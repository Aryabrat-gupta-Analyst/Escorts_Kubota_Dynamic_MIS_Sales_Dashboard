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my\Documents\"/>
    </mc:Choice>
  </mc:AlternateContent>
  <xr:revisionPtr revIDLastSave="0" documentId="13_ncr:1_{E0FEA109-951F-48A0-A237-B080487FE4E3}" xr6:coauthVersionLast="47" xr6:coauthVersionMax="47" xr10:uidLastSave="{00000000-0000-0000-0000-000000000000}"/>
  <bookViews>
    <workbookView xWindow="-120" yWindow="-120" windowWidth="19440" windowHeight="15150" tabRatio="663" firstSheet="4" activeTab="5" xr2:uid="{00000000-000D-0000-FFFF-FFFF00000000}"/>
  </bookViews>
  <sheets>
    <sheet name="Raw_Sales_Data" sheetId="1" r:id="rId1"/>
    <sheet name="Master Sheet" sheetId="3" r:id="rId2"/>
    <sheet name="Cleaned Data" sheetId="2" r:id="rId3"/>
    <sheet name="Executive Sales Report" sheetId="4" r:id="rId4"/>
    <sheet name="Brand Sales Report" sheetId="7" r:id="rId5"/>
    <sheet name="Brand Sales Dashboard" sheetId="12" r:id="rId6"/>
    <sheet name="Executive Sales Dashboard" sheetId="11" r:id="rId7"/>
  </sheets>
  <definedNames>
    <definedName name="Discount_Table">'Master Sheet'!$B$2:$C$12</definedName>
    <definedName name="NativeTimeline_Order_Date1">#N/A</definedName>
    <definedName name="Product_Assign">'Master Sheet'!$E$3:$F$9</definedName>
    <definedName name="Region_Table">'Master Sheet'!$E$16:$F$22</definedName>
    <definedName name="Slicer_Brand_Name">#N/A</definedName>
    <definedName name="Slicer_City">#N/A</definedName>
    <definedName name="Slicer_Dealer_Name1">#N/A</definedName>
    <definedName name="Slicer_Region1">#N/A</definedName>
    <definedName name="Slicer_State">#N/A</definedName>
    <definedName name="Slicer_Tractor_Model">#N/A</definedName>
    <definedName name="Table_2">Table1[#All]</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N1980" i="2"/>
  <c r="N1979" i="2"/>
  <c r="N1978" i="2"/>
  <c r="N1977" i="2"/>
  <c r="N1976" i="2"/>
  <c r="N1975" i="2"/>
  <c r="N1974" i="2"/>
  <c r="N1973" i="2"/>
  <c r="N1972" i="2"/>
  <c r="N1971" i="2"/>
  <c r="N1970" i="2"/>
  <c r="N1969" i="2"/>
  <c r="N1968" i="2"/>
  <c r="N1967" i="2"/>
  <c r="N1966" i="2"/>
  <c r="N1965" i="2"/>
  <c r="N1964" i="2"/>
  <c r="N1963" i="2"/>
  <c r="N1962" i="2"/>
  <c r="N1961" i="2"/>
  <c r="N1960" i="2"/>
  <c r="N1959" i="2"/>
  <c r="N1958" i="2"/>
  <c r="N1957" i="2"/>
  <c r="N1956" i="2"/>
  <c r="N1955" i="2"/>
  <c r="N1954" i="2"/>
  <c r="N1953" i="2"/>
  <c r="N1952" i="2"/>
  <c r="N1951" i="2"/>
  <c r="N1950" i="2"/>
  <c r="N1949" i="2"/>
  <c r="N1948" i="2"/>
  <c r="N1947" i="2"/>
  <c r="N1946" i="2"/>
  <c r="N1945" i="2"/>
  <c r="N1944" i="2"/>
  <c r="N1943" i="2"/>
  <c r="N1942" i="2"/>
  <c r="N1941" i="2"/>
  <c r="N1940" i="2"/>
  <c r="N1939" i="2"/>
  <c r="N1938" i="2"/>
  <c r="N1937" i="2"/>
  <c r="N1936" i="2"/>
  <c r="N1935" i="2"/>
  <c r="N1934" i="2"/>
  <c r="N1933" i="2"/>
  <c r="N1932" i="2"/>
  <c r="N1931" i="2"/>
  <c r="N1930" i="2"/>
  <c r="N1929" i="2"/>
  <c r="N1928" i="2"/>
  <c r="N1927" i="2"/>
  <c r="N1926" i="2"/>
  <c r="N1925" i="2"/>
  <c r="N1924" i="2"/>
  <c r="N1923" i="2"/>
  <c r="N1922" i="2"/>
  <c r="N1921" i="2"/>
  <c r="N1920" i="2"/>
  <c r="N1919" i="2"/>
  <c r="N1918" i="2"/>
  <c r="N1917" i="2"/>
  <c r="N1916" i="2"/>
  <c r="N1915" i="2"/>
  <c r="N1914" i="2"/>
  <c r="N1913" i="2"/>
  <c r="N1912" i="2"/>
  <c r="N1911" i="2"/>
  <c r="N1910" i="2"/>
  <c r="N1909" i="2"/>
  <c r="N1908" i="2"/>
  <c r="N1907" i="2"/>
  <c r="N1906" i="2"/>
  <c r="N1905" i="2"/>
  <c r="N1904" i="2"/>
  <c r="N1903" i="2"/>
  <c r="N1902" i="2"/>
  <c r="N1901" i="2"/>
  <c r="N1900" i="2"/>
  <c r="N1899" i="2"/>
  <c r="N1898" i="2"/>
  <c r="N1897" i="2"/>
  <c r="N1896" i="2"/>
  <c r="N1895" i="2"/>
  <c r="N1894" i="2"/>
  <c r="N1893" i="2"/>
  <c r="N1892" i="2"/>
  <c r="N1891" i="2"/>
  <c r="N1890" i="2"/>
  <c r="N1889" i="2"/>
  <c r="N1888" i="2"/>
  <c r="N1887" i="2"/>
  <c r="N1886" i="2"/>
  <c r="N1885" i="2"/>
  <c r="N1884" i="2"/>
  <c r="N1883" i="2"/>
  <c r="N1882" i="2"/>
  <c r="N1881" i="2"/>
  <c r="N1880" i="2"/>
  <c r="N1879" i="2"/>
  <c r="N1878" i="2"/>
  <c r="N1877" i="2"/>
  <c r="N1876" i="2"/>
  <c r="N1875" i="2"/>
  <c r="N1874" i="2"/>
  <c r="N1873" i="2"/>
  <c r="N1872" i="2"/>
  <c r="N1871" i="2"/>
  <c r="N1870" i="2"/>
  <c r="N1869" i="2"/>
  <c r="N1868" i="2"/>
  <c r="N1867" i="2"/>
  <c r="N1866" i="2"/>
  <c r="N1865" i="2"/>
  <c r="N1864" i="2"/>
  <c r="N1863" i="2"/>
  <c r="N1862" i="2"/>
  <c r="N1861" i="2"/>
  <c r="N1860" i="2"/>
  <c r="N1859" i="2"/>
  <c r="N1858" i="2"/>
  <c r="N1857" i="2"/>
  <c r="N1856" i="2"/>
  <c r="N1855" i="2"/>
  <c r="N1854" i="2"/>
  <c r="N1853" i="2"/>
  <c r="N1852" i="2"/>
  <c r="N1851" i="2"/>
  <c r="N1850" i="2"/>
  <c r="N1849" i="2"/>
  <c r="N1848" i="2"/>
  <c r="N1847" i="2"/>
  <c r="N1846" i="2"/>
  <c r="N1845" i="2"/>
  <c r="N1844" i="2"/>
  <c r="N1843" i="2"/>
  <c r="N1842" i="2"/>
  <c r="N1841" i="2"/>
  <c r="N1840" i="2"/>
  <c r="N1839" i="2"/>
  <c r="N1838" i="2"/>
  <c r="N1837" i="2"/>
  <c r="N1836" i="2"/>
  <c r="N1835" i="2"/>
  <c r="N1834" i="2"/>
  <c r="N1833" i="2"/>
  <c r="N1832" i="2"/>
  <c r="N1831" i="2"/>
  <c r="N1830" i="2"/>
  <c r="N1829" i="2"/>
  <c r="N1828" i="2"/>
  <c r="N1827" i="2"/>
  <c r="N1826" i="2"/>
  <c r="N1825" i="2"/>
  <c r="N1824" i="2"/>
  <c r="N1823" i="2"/>
  <c r="N1822" i="2"/>
  <c r="N1821" i="2"/>
  <c r="N1820" i="2"/>
  <c r="N1819" i="2"/>
  <c r="N1818" i="2"/>
  <c r="N1817" i="2"/>
  <c r="N1816" i="2"/>
  <c r="N1815" i="2"/>
  <c r="N1814" i="2"/>
  <c r="N1813" i="2"/>
  <c r="N1812" i="2"/>
  <c r="N1811" i="2"/>
  <c r="N1810" i="2"/>
  <c r="N1809" i="2"/>
  <c r="N1808" i="2"/>
  <c r="N1807" i="2"/>
  <c r="N1806" i="2"/>
  <c r="N1805" i="2"/>
  <c r="N1804" i="2"/>
  <c r="N1803" i="2"/>
  <c r="N1802" i="2"/>
  <c r="N1801" i="2"/>
  <c r="N1800" i="2"/>
  <c r="N1799" i="2"/>
  <c r="N1798" i="2"/>
  <c r="N1797" i="2"/>
  <c r="N1796" i="2"/>
  <c r="N1795" i="2"/>
  <c r="N1794" i="2"/>
  <c r="N1793" i="2"/>
  <c r="N1792" i="2"/>
  <c r="N1791" i="2"/>
  <c r="N1790" i="2"/>
  <c r="N1789" i="2"/>
  <c r="N1788" i="2"/>
  <c r="N1787" i="2"/>
  <c r="N1786" i="2"/>
  <c r="N1785" i="2"/>
  <c r="N1784" i="2"/>
  <c r="N1783" i="2"/>
  <c r="N1782" i="2"/>
  <c r="N1781" i="2"/>
  <c r="N1780" i="2"/>
  <c r="N1779" i="2"/>
  <c r="N1778" i="2"/>
  <c r="N1777" i="2"/>
  <c r="N1776" i="2"/>
  <c r="N1775" i="2"/>
  <c r="N1774" i="2"/>
  <c r="N1773" i="2"/>
  <c r="N1772" i="2"/>
  <c r="N1771" i="2"/>
  <c r="N1770" i="2"/>
  <c r="N1769" i="2"/>
  <c r="N1768" i="2"/>
  <c r="N1767" i="2"/>
  <c r="N1766" i="2"/>
  <c r="N1765" i="2"/>
  <c r="N1764" i="2"/>
  <c r="N1763" i="2"/>
  <c r="N1762" i="2"/>
  <c r="N1761" i="2"/>
  <c r="N1760" i="2"/>
  <c r="N1759" i="2"/>
  <c r="N1758" i="2"/>
  <c r="N1757" i="2"/>
  <c r="N1756" i="2"/>
  <c r="N1755" i="2"/>
  <c r="N1754" i="2"/>
  <c r="N1753" i="2"/>
  <c r="N1752" i="2"/>
  <c r="N1751" i="2"/>
  <c r="N1750" i="2"/>
  <c r="N1749" i="2"/>
  <c r="N1748" i="2"/>
  <c r="N1747" i="2"/>
  <c r="N1746" i="2"/>
  <c r="N1745" i="2"/>
  <c r="N1744" i="2"/>
  <c r="N1743" i="2"/>
  <c r="N1742" i="2"/>
  <c r="N1741" i="2"/>
  <c r="N1740" i="2"/>
  <c r="N1739" i="2"/>
  <c r="N1738" i="2"/>
  <c r="N1737" i="2"/>
  <c r="N1736" i="2"/>
  <c r="N1735" i="2"/>
  <c r="N1734" i="2"/>
  <c r="N1733" i="2"/>
  <c r="N1732" i="2"/>
  <c r="N1731" i="2"/>
  <c r="N1730" i="2"/>
  <c r="N1729" i="2"/>
  <c r="N1728" i="2"/>
  <c r="N1727" i="2"/>
  <c r="N1726" i="2"/>
  <c r="N1725" i="2"/>
  <c r="N1724" i="2"/>
  <c r="N1723" i="2"/>
  <c r="N1722" i="2"/>
  <c r="N1721" i="2"/>
  <c r="N1720" i="2"/>
  <c r="N1719" i="2"/>
  <c r="N1718" i="2"/>
  <c r="N1717" i="2"/>
  <c r="N1716" i="2"/>
  <c r="N1715" i="2"/>
  <c r="N1714" i="2"/>
  <c r="N1713" i="2"/>
  <c r="N1712" i="2"/>
  <c r="N1711" i="2"/>
  <c r="N1710" i="2"/>
  <c r="N1709" i="2"/>
  <c r="N1708" i="2"/>
  <c r="N1707" i="2"/>
  <c r="N1706" i="2"/>
  <c r="N1705" i="2"/>
  <c r="N1704" i="2"/>
  <c r="N1703" i="2"/>
  <c r="N1702" i="2"/>
  <c r="N1701" i="2"/>
  <c r="N1700" i="2"/>
  <c r="N1699" i="2"/>
  <c r="N1698" i="2"/>
  <c r="N1697" i="2"/>
  <c r="N1696" i="2"/>
  <c r="N1695" i="2"/>
  <c r="N1694" i="2"/>
  <c r="N1693" i="2"/>
  <c r="N1692" i="2"/>
  <c r="N1691" i="2"/>
  <c r="N1690" i="2"/>
  <c r="N1689" i="2"/>
  <c r="N1688" i="2"/>
  <c r="N1687" i="2"/>
  <c r="N1686" i="2"/>
  <c r="N1685" i="2"/>
  <c r="N1684" i="2"/>
  <c r="N1683" i="2"/>
  <c r="N1682" i="2"/>
  <c r="N1681" i="2"/>
  <c r="N1680" i="2"/>
  <c r="N1679" i="2"/>
  <c r="N1678" i="2"/>
  <c r="N1677" i="2"/>
  <c r="N1676" i="2"/>
  <c r="N1675" i="2"/>
  <c r="N1674" i="2"/>
  <c r="N1673" i="2"/>
  <c r="N1672" i="2"/>
  <c r="N1671" i="2"/>
  <c r="N1670" i="2"/>
  <c r="N1669" i="2"/>
  <c r="N1668" i="2"/>
  <c r="N1667" i="2"/>
  <c r="N1666" i="2"/>
  <c r="N1665" i="2"/>
  <c r="N1664" i="2"/>
  <c r="N1663" i="2"/>
  <c r="N1662" i="2"/>
  <c r="N1661" i="2"/>
  <c r="N1660" i="2"/>
  <c r="N1659" i="2"/>
  <c r="N1658" i="2"/>
  <c r="N1657" i="2"/>
  <c r="N1656" i="2"/>
  <c r="N1655" i="2"/>
  <c r="N1654" i="2"/>
  <c r="N1653" i="2"/>
  <c r="N1652" i="2"/>
  <c r="N1651" i="2"/>
  <c r="N1650" i="2"/>
  <c r="N1649" i="2"/>
  <c r="N1648" i="2"/>
  <c r="N1647" i="2"/>
  <c r="N1646" i="2"/>
  <c r="N1645" i="2"/>
  <c r="N1644" i="2"/>
  <c r="N1643" i="2"/>
  <c r="N1642" i="2"/>
  <c r="N1641" i="2"/>
  <c r="N1640" i="2"/>
  <c r="N1639" i="2"/>
  <c r="N1638" i="2"/>
  <c r="N1637" i="2"/>
  <c r="N1636" i="2"/>
  <c r="N1635" i="2"/>
  <c r="N1634" i="2"/>
  <c r="N1633" i="2"/>
  <c r="N1632" i="2"/>
  <c r="N1631" i="2"/>
  <c r="N1630" i="2"/>
  <c r="N1629" i="2"/>
  <c r="N1628" i="2"/>
  <c r="N1627" i="2"/>
  <c r="N1626" i="2"/>
  <c r="N1625" i="2"/>
  <c r="N1624" i="2"/>
  <c r="N1623" i="2"/>
  <c r="N1622" i="2"/>
  <c r="N1621" i="2"/>
  <c r="N1620" i="2"/>
  <c r="N1619" i="2"/>
  <c r="N1618" i="2"/>
  <c r="N1617" i="2"/>
  <c r="N1616" i="2"/>
  <c r="N1615" i="2"/>
  <c r="N1614" i="2"/>
  <c r="N1613" i="2"/>
  <c r="N1612" i="2"/>
  <c r="N1611" i="2"/>
  <c r="N1610" i="2"/>
  <c r="N1609" i="2"/>
  <c r="N1608" i="2"/>
  <c r="N1607" i="2"/>
  <c r="N1606" i="2"/>
  <c r="N1605" i="2"/>
  <c r="N1604" i="2"/>
  <c r="N1603" i="2"/>
  <c r="N1602" i="2"/>
  <c r="N1601" i="2"/>
  <c r="N1600" i="2"/>
  <c r="N1599" i="2"/>
  <c r="N1598" i="2"/>
  <c r="N1597" i="2"/>
  <c r="N1596" i="2"/>
  <c r="N1595" i="2"/>
  <c r="N1594" i="2"/>
  <c r="N1593" i="2"/>
  <c r="N1592" i="2"/>
  <c r="N1591" i="2"/>
  <c r="N1590" i="2"/>
  <c r="N1589" i="2"/>
  <c r="N1588" i="2"/>
  <c r="N1587" i="2"/>
  <c r="N1586" i="2"/>
  <c r="N1585" i="2"/>
  <c r="N1584" i="2"/>
  <c r="N1583" i="2"/>
  <c r="N1582" i="2"/>
  <c r="N1581" i="2"/>
  <c r="N1580" i="2"/>
  <c r="N1579" i="2"/>
  <c r="N1578" i="2"/>
  <c r="N1577" i="2"/>
  <c r="N1576" i="2"/>
  <c r="N1575" i="2"/>
  <c r="N1574" i="2"/>
  <c r="N1573" i="2"/>
  <c r="N1572" i="2"/>
  <c r="N1571" i="2"/>
  <c r="N1570" i="2"/>
  <c r="N1569" i="2"/>
  <c r="N1568" i="2"/>
  <c r="N1567" i="2"/>
  <c r="N1566" i="2"/>
  <c r="N1565" i="2"/>
  <c r="N1564" i="2"/>
  <c r="N1563" i="2"/>
  <c r="N1562" i="2"/>
  <c r="N1561" i="2"/>
  <c r="N1560" i="2"/>
  <c r="N1559" i="2"/>
  <c r="N1558" i="2"/>
  <c r="N1557" i="2"/>
  <c r="N1556" i="2"/>
  <c r="N1555" i="2"/>
  <c r="N1554" i="2"/>
  <c r="N1553" i="2"/>
  <c r="N1552" i="2"/>
  <c r="N1551" i="2"/>
  <c r="N1550" i="2"/>
  <c r="N1549" i="2"/>
  <c r="N1548" i="2"/>
  <c r="N1547" i="2"/>
  <c r="N1546" i="2"/>
  <c r="N1545" i="2"/>
  <c r="N1544" i="2"/>
  <c r="N1543" i="2"/>
  <c r="N1542" i="2"/>
  <c r="N1541" i="2"/>
  <c r="N1540" i="2"/>
  <c r="N1539" i="2"/>
  <c r="N1538" i="2"/>
  <c r="N1537" i="2"/>
  <c r="N1536" i="2"/>
  <c r="N1535" i="2"/>
  <c r="N1534" i="2"/>
  <c r="N1533" i="2"/>
  <c r="N1532" i="2"/>
  <c r="N1531" i="2"/>
  <c r="N1530" i="2"/>
  <c r="N1529" i="2"/>
  <c r="N1528" i="2"/>
  <c r="N1527" i="2"/>
  <c r="N1526" i="2"/>
  <c r="N1525" i="2"/>
  <c r="N1524" i="2"/>
  <c r="N1523" i="2"/>
  <c r="N1522" i="2"/>
  <c r="N1521" i="2"/>
  <c r="N1520" i="2"/>
  <c r="N1519" i="2"/>
  <c r="N1518" i="2"/>
  <c r="N1517" i="2"/>
  <c r="N1516" i="2"/>
  <c r="N1515" i="2"/>
  <c r="N1514" i="2"/>
  <c r="N1513" i="2"/>
  <c r="N1512" i="2"/>
  <c r="N1511" i="2"/>
  <c r="N1510" i="2"/>
  <c r="N1509" i="2"/>
  <c r="N1508" i="2"/>
  <c r="N1507" i="2"/>
  <c r="N1506" i="2"/>
  <c r="N1505" i="2"/>
  <c r="N1504" i="2"/>
  <c r="N1503" i="2"/>
  <c r="N1502" i="2"/>
  <c r="N1501" i="2"/>
  <c r="N1500" i="2"/>
  <c r="N1499" i="2"/>
  <c r="N1498" i="2"/>
  <c r="N1497" i="2"/>
  <c r="N1496" i="2"/>
  <c r="N1495" i="2"/>
  <c r="N1494" i="2"/>
  <c r="N1493" i="2"/>
  <c r="N1492" i="2"/>
  <c r="N1491" i="2"/>
  <c r="N1490" i="2"/>
  <c r="N1489" i="2"/>
  <c r="N1488" i="2"/>
  <c r="N1487" i="2"/>
  <c r="N1486" i="2"/>
  <c r="N1485" i="2"/>
  <c r="N1484" i="2"/>
  <c r="N1483" i="2"/>
  <c r="N1482" i="2"/>
  <c r="N1481" i="2"/>
  <c r="N1480" i="2"/>
  <c r="N1479" i="2"/>
  <c r="N1478" i="2"/>
  <c r="N1477" i="2"/>
  <c r="N1476" i="2"/>
  <c r="N1475" i="2"/>
  <c r="N1474" i="2"/>
  <c r="N1473" i="2"/>
  <c r="N1472" i="2"/>
  <c r="N1471" i="2"/>
  <c r="N1470" i="2"/>
  <c r="N1469" i="2"/>
  <c r="N1468" i="2"/>
  <c r="N1467" i="2"/>
  <c r="N1466" i="2"/>
  <c r="N1465" i="2"/>
  <c r="N1464" i="2"/>
  <c r="N1463" i="2"/>
  <c r="N1462" i="2"/>
  <c r="N1461" i="2"/>
  <c r="N1460" i="2"/>
  <c r="N1459" i="2"/>
  <c r="N1458" i="2"/>
  <c r="N1457" i="2"/>
  <c r="N1456" i="2"/>
  <c r="N1455" i="2"/>
  <c r="N1454" i="2"/>
  <c r="N1453" i="2"/>
  <c r="N1452" i="2"/>
  <c r="N1451" i="2"/>
  <c r="N1450" i="2"/>
  <c r="N1449" i="2"/>
  <c r="N1448" i="2"/>
  <c r="N1447" i="2"/>
  <c r="N1446" i="2"/>
  <c r="N1445" i="2"/>
  <c r="N1444" i="2"/>
  <c r="N1443" i="2"/>
  <c r="N1442" i="2"/>
  <c r="N1441" i="2"/>
  <c r="N1440" i="2"/>
  <c r="N1439" i="2"/>
  <c r="N1438" i="2"/>
  <c r="N1437" i="2"/>
  <c r="N1436" i="2"/>
  <c r="N1435" i="2"/>
  <c r="N1434" i="2"/>
  <c r="N1433" i="2"/>
  <c r="N1432" i="2"/>
  <c r="N1431" i="2"/>
  <c r="N1430" i="2"/>
  <c r="N1429" i="2"/>
  <c r="N1428" i="2"/>
  <c r="N1427" i="2"/>
  <c r="N1426" i="2"/>
  <c r="N1425" i="2"/>
  <c r="N1424" i="2"/>
  <c r="N1423" i="2"/>
  <c r="N1422" i="2"/>
  <c r="N1421" i="2"/>
  <c r="N1420" i="2"/>
  <c r="N1419" i="2"/>
  <c r="N1418" i="2"/>
  <c r="N1417" i="2"/>
  <c r="N1416" i="2"/>
  <c r="N1415" i="2"/>
  <c r="N1414" i="2"/>
  <c r="N1413" i="2"/>
  <c r="N1412" i="2"/>
  <c r="N1411" i="2"/>
  <c r="N1410" i="2"/>
  <c r="N1409" i="2"/>
  <c r="N1408" i="2"/>
  <c r="N1407" i="2"/>
  <c r="N1406" i="2"/>
  <c r="N1405" i="2"/>
  <c r="N1404" i="2"/>
  <c r="N1403" i="2"/>
  <c r="N1402" i="2"/>
  <c r="N1401" i="2"/>
  <c r="N1400" i="2"/>
  <c r="N1399" i="2"/>
  <c r="N1398" i="2"/>
  <c r="N1397" i="2"/>
  <c r="N1396" i="2"/>
  <c r="N1395" i="2"/>
  <c r="N1394" i="2"/>
  <c r="N1393" i="2"/>
  <c r="N1392" i="2"/>
  <c r="N1391" i="2"/>
  <c r="N1390" i="2"/>
  <c r="N1389" i="2"/>
  <c r="N1388" i="2"/>
  <c r="N1387" i="2"/>
  <c r="N1386" i="2"/>
  <c r="N1385" i="2"/>
  <c r="N1384" i="2"/>
  <c r="N1383" i="2"/>
  <c r="N1382" i="2"/>
  <c r="N1381" i="2"/>
  <c r="N1380" i="2"/>
  <c r="N1379" i="2"/>
  <c r="N1378" i="2"/>
  <c r="N1377" i="2"/>
  <c r="N1376" i="2"/>
  <c r="N1375" i="2"/>
  <c r="N1374" i="2"/>
  <c r="N1373" i="2"/>
  <c r="N1372" i="2"/>
  <c r="N1371" i="2"/>
  <c r="N1370" i="2"/>
  <c r="N1369" i="2"/>
  <c r="N1368" i="2"/>
  <c r="N1367" i="2"/>
  <c r="N1366" i="2"/>
  <c r="N1365" i="2"/>
  <c r="N1364" i="2"/>
  <c r="N1363" i="2"/>
  <c r="N1362" i="2"/>
  <c r="N1361" i="2"/>
  <c r="N1360" i="2"/>
  <c r="N1359" i="2"/>
  <c r="N1358" i="2"/>
  <c r="N1357" i="2"/>
  <c r="N1356" i="2"/>
  <c r="N1355" i="2"/>
  <c r="N1354" i="2"/>
  <c r="N1353" i="2"/>
  <c r="N1352" i="2"/>
  <c r="N1351" i="2"/>
  <c r="N1350" i="2"/>
  <c r="N1349" i="2"/>
  <c r="N1348" i="2"/>
  <c r="N1347" i="2"/>
  <c r="N1346" i="2"/>
  <c r="N1345" i="2"/>
  <c r="N1344" i="2"/>
  <c r="N1343" i="2"/>
  <c r="N1342" i="2"/>
  <c r="N1341" i="2"/>
  <c r="N1340" i="2"/>
  <c r="N1339" i="2"/>
  <c r="N1338" i="2"/>
  <c r="N1337" i="2"/>
  <c r="N1336" i="2"/>
  <c r="N1335" i="2"/>
  <c r="N1334" i="2"/>
  <c r="N1333" i="2"/>
  <c r="N1332" i="2"/>
  <c r="N1331" i="2"/>
  <c r="N1330" i="2"/>
  <c r="N1329" i="2"/>
  <c r="N1328" i="2"/>
  <c r="N1327" i="2"/>
  <c r="N1326" i="2"/>
  <c r="N1325" i="2"/>
  <c r="N1324" i="2"/>
  <c r="N1323" i="2"/>
  <c r="N1322" i="2"/>
  <c r="N1321" i="2"/>
  <c r="N1320" i="2"/>
  <c r="N1319" i="2"/>
  <c r="N1318" i="2"/>
  <c r="N1317" i="2"/>
  <c r="N1316" i="2"/>
  <c r="N1315" i="2"/>
  <c r="N1314" i="2"/>
  <c r="N1313" i="2"/>
  <c r="N1312" i="2"/>
  <c r="N1311" i="2"/>
  <c r="N1310" i="2"/>
  <c r="N1309" i="2"/>
  <c r="N1308" i="2"/>
  <c r="N1307" i="2"/>
  <c r="N1306" i="2"/>
  <c r="N1305" i="2"/>
  <c r="N1304" i="2"/>
  <c r="N1303" i="2"/>
  <c r="N1302" i="2"/>
  <c r="N1301" i="2"/>
  <c r="N1300" i="2"/>
  <c r="N1299" i="2"/>
  <c r="N1298" i="2"/>
  <c r="N1297" i="2"/>
  <c r="N1296" i="2"/>
  <c r="N1295" i="2"/>
  <c r="N1294" i="2"/>
  <c r="N1293" i="2"/>
  <c r="N1292" i="2"/>
  <c r="N1291" i="2"/>
  <c r="N1290" i="2"/>
  <c r="N1289" i="2"/>
  <c r="N1288" i="2"/>
  <c r="N1287" i="2"/>
  <c r="N1286" i="2"/>
  <c r="N1285" i="2"/>
  <c r="N1284" i="2"/>
  <c r="N1283" i="2"/>
  <c r="N1282" i="2"/>
  <c r="N1281" i="2"/>
  <c r="N1280" i="2"/>
  <c r="N1279" i="2"/>
  <c r="N1278" i="2"/>
  <c r="N1277" i="2"/>
  <c r="N1276" i="2"/>
  <c r="N1275" i="2"/>
  <c r="N1274" i="2"/>
  <c r="N1273" i="2"/>
  <c r="N1272" i="2"/>
  <c r="N1271" i="2"/>
  <c r="N1270" i="2"/>
  <c r="N1269" i="2"/>
  <c r="N1268" i="2"/>
  <c r="N1267" i="2"/>
  <c r="N1266" i="2"/>
  <c r="N1265" i="2"/>
  <c r="N1264" i="2"/>
  <c r="N1263" i="2"/>
  <c r="N1262" i="2"/>
  <c r="N1261" i="2"/>
  <c r="N1260" i="2"/>
  <c r="N1259" i="2"/>
  <c r="N1258" i="2"/>
  <c r="N1257" i="2"/>
  <c r="N1256" i="2"/>
  <c r="N1255" i="2"/>
  <c r="N1254" i="2"/>
  <c r="N1253" i="2"/>
  <c r="N1252" i="2"/>
  <c r="N1251" i="2"/>
  <c r="N1250" i="2"/>
  <c r="N1249" i="2"/>
  <c r="N1248" i="2"/>
  <c r="N1247" i="2"/>
  <c r="N1246" i="2"/>
  <c r="N1245" i="2"/>
  <c r="N1244" i="2"/>
  <c r="N1243" i="2"/>
  <c r="N1242" i="2"/>
  <c r="N1241" i="2"/>
  <c r="N1240" i="2"/>
  <c r="N1239" i="2"/>
  <c r="N1238" i="2"/>
  <c r="N1237" i="2"/>
  <c r="N1236" i="2"/>
  <c r="N1235" i="2"/>
  <c r="N1234" i="2"/>
  <c r="N1233" i="2"/>
  <c r="N1232" i="2"/>
  <c r="N1231" i="2"/>
  <c r="N1230" i="2"/>
  <c r="N1229" i="2"/>
  <c r="N1228" i="2"/>
  <c r="N1227" i="2"/>
  <c r="N1226" i="2"/>
  <c r="N1225" i="2"/>
  <c r="N1224" i="2"/>
  <c r="N1223" i="2"/>
  <c r="N1222" i="2"/>
  <c r="N1221" i="2"/>
  <c r="N1220" i="2"/>
  <c r="N1219" i="2"/>
  <c r="N1218" i="2"/>
  <c r="N1217" i="2"/>
  <c r="N1216" i="2"/>
  <c r="N1215" i="2"/>
  <c r="N1214" i="2"/>
  <c r="N1213" i="2"/>
  <c r="N1212" i="2"/>
  <c r="N1211" i="2"/>
  <c r="N1210" i="2"/>
  <c r="N1209" i="2"/>
  <c r="N1208" i="2"/>
  <c r="N1207" i="2"/>
  <c r="N1206" i="2"/>
  <c r="N1205" i="2"/>
  <c r="N1204" i="2"/>
  <c r="N1203" i="2"/>
  <c r="N1202" i="2"/>
  <c r="N1201" i="2"/>
  <c r="N1200" i="2"/>
  <c r="N1199" i="2"/>
  <c r="N1198" i="2"/>
  <c r="N1197" i="2"/>
  <c r="N1196" i="2"/>
  <c r="N1195" i="2"/>
  <c r="N1194" i="2"/>
  <c r="N1193" i="2"/>
  <c r="N1192" i="2"/>
  <c r="N1191" i="2"/>
  <c r="N1190" i="2"/>
  <c r="N1189" i="2"/>
  <c r="N1188" i="2"/>
  <c r="N1187" i="2"/>
  <c r="N1186" i="2"/>
  <c r="N1185" i="2"/>
  <c r="N1184" i="2"/>
  <c r="N1183" i="2"/>
  <c r="N1182" i="2"/>
  <c r="N1181" i="2"/>
  <c r="N1180" i="2"/>
  <c r="N1179" i="2"/>
  <c r="N1178" i="2"/>
  <c r="N1177" i="2"/>
  <c r="N1176" i="2"/>
  <c r="N1175" i="2"/>
  <c r="N1174" i="2"/>
  <c r="N1173" i="2"/>
  <c r="N1172" i="2"/>
  <c r="N1171" i="2"/>
  <c r="N1170" i="2"/>
  <c r="N1169" i="2"/>
  <c r="N1168" i="2"/>
  <c r="N1167" i="2"/>
  <c r="N1166" i="2"/>
  <c r="N1165" i="2"/>
  <c r="N1164" i="2"/>
  <c r="N1163" i="2"/>
  <c r="N1162" i="2"/>
  <c r="N1161" i="2"/>
  <c r="N1160" i="2"/>
  <c r="N1159" i="2"/>
  <c r="N1158" i="2"/>
  <c r="N1157" i="2"/>
  <c r="N1156" i="2"/>
  <c r="N1155" i="2"/>
  <c r="N1154" i="2"/>
  <c r="N1153" i="2"/>
  <c r="N1152" i="2"/>
  <c r="N1151" i="2"/>
  <c r="N1150" i="2"/>
  <c r="N1149" i="2"/>
  <c r="N1148" i="2"/>
  <c r="N1147" i="2"/>
  <c r="N1146" i="2"/>
  <c r="N1145" i="2"/>
  <c r="N1144" i="2"/>
  <c r="N1143" i="2"/>
  <c r="N1142" i="2"/>
  <c r="N1141" i="2"/>
  <c r="N1140" i="2"/>
  <c r="N1139" i="2"/>
  <c r="N1138" i="2"/>
  <c r="N1137" i="2"/>
  <c r="N1136" i="2"/>
  <c r="N1135" i="2"/>
  <c r="N1134" i="2"/>
  <c r="N1133" i="2"/>
  <c r="N1132" i="2"/>
  <c r="N1131" i="2"/>
  <c r="N1130" i="2"/>
  <c r="N1129" i="2"/>
  <c r="N1128" i="2"/>
  <c r="N1127" i="2"/>
  <c r="N1126" i="2"/>
  <c r="N1125" i="2"/>
  <c r="N1124" i="2"/>
  <c r="N1123" i="2"/>
  <c r="N1122" i="2"/>
  <c r="N1121" i="2"/>
  <c r="N1120" i="2"/>
  <c r="N1119" i="2"/>
  <c r="N1118" i="2"/>
  <c r="N1117" i="2"/>
  <c r="N1116" i="2"/>
  <c r="N1115" i="2"/>
  <c r="N1114" i="2"/>
  <c r="N1113" i="2"/>
  <c r="N1112" i="2"/>
  <c r="N1111" i="2"/>
  <c r="N1110" i="2"/>
  <c r="N1109" i="2"/>
  <c r="N1108" i="2"/>
  <c r="N1107" i="2"/>
  <c r="N1106" i="2"/>
  <c r="N1105" i="2"/>
  <c r="N1104" i="2"/>
  <c r="N1103" i="2"/>
  <c r="N1102" i="2"/>
  <c r="N1101" i="2"/>
  <c r="N1100" i="2"/>
  <c r="N1099" i="2"/>
  <c r="N1098" i="2"/>
  <c r="N1097" i="2"/>
  <c r="N1096" i="2"/>
  <c r="N1095" i="2"/>
  <c r="N1094" i="2"/>
  <c r="N1093" i="2"/>
  <c r="N1092" i="2"/>
  <c r="N1091" i="2"/>
  <c r="N1090" i="2"/>
  <c r="N1089" i="2"/>
  <c r="N1088" i="2"/>
  <c r="N1087" i="2"/>
  <c r="N1086" i="2"/>
  <c r="N1085" i="2"/>
  <c r="N1084" i="2"/>
  <c r="N1083" i="2"/>
  <c r="N1082" i="2"/>
  <c r="N1081" i="2"/>
  <c r="N1080" i="2"/>
  <c r="N1079" i="2"/>
  <c r="N1078" i="2"/>
  <c r="N1077" i="2"/>
  <c r="N1076" i="2"/>
  <c r="N1075" i="2"/>
  <c r="N1074" i="2"/>
  <c r="N1073" i="2"/>
  <c r="N1072" i="2"/>
  <c r="N1071" i="2"/>
  <c r="N1070" i="2"/>
  <c r="N1069" i="2"/>
  <c r="N1068" i="2"/>
  <c r="N1067" i="2"/>
  <c r="N1066" i="2"/>
  <c r="N1065" i="2"/>
  <c r="N1064" i="2"/>
  <c r="N1063" i="2"/>
  <c r="N1062" i="2"/>
  <c r="N1061" i="2"/>
  <c r="N1060" i="2"/>
  <c r="N1059" i="2"/>
  <c r="N1058" i="2"/>
  <c r="N1057" i="2"/>
  <c r="N1056" i="2"/>
  <c r="N1055" i="2"/>
  <c r="N1054" i="2"/>
  <c r="N1053" i="2"/>
  <c r="N1052" i="2"/>
  <c r="N1051" i="2"/>
  <c r="N1050" i="2"/>
  <c r="N1049" i="2"/>
  <c r="N1048" i="2"/>
  <c r="N1047" i="2"/>
  <c r="N1046" i="2"/>
  <c r="N1045" i="2"/>
  <c r="N1044" i="2"/>
  <c r="N1043" i="2"/>
  <c r="N1042" i="2"/>
  <c r="N1041" i="2"/>
  <c r="N1040" i="2"/>
  <c r="N1039" i="2"/>
  <c r="N1038" i="2"/>
  <c r="N1037" i="2"/>
  <c r="N1036" i="2"/>
  <c r="N1035" i="2"/>
  <c r="N1034" i="2"/>
  <c r="N1033" i="2"/>
  <c r="N1032" i="2"/>
  <c r="N1031" i="2"/>
  <c r="N1030" i="2"/>
  <c r="N1029" i="2"/>
  <c r="N1028" i="2"/>
  <c r="N1027" i="2"/>
  <c r="N1026" i="2"/>
  <c r="N1025" i="2"/>
  <c r="N1024" i="2"/>
  <c r="N1023" i="2"/>
  <c r="N1022" i="2"/>
  <c r="N1021" i="2"/>
  <c r="N1020" i="2"/>
  <c r="N1019" i="2"/>
  <c r="N1018" i="2"/>
  <c r="N1017" i="2"/>
  <c r="N1016" i="2"/>
  <c r="N1015" i="2"/>
  <c r="N1014" i="2"/>
  <c r="N1013" i="2"/>
  <c r="N1012" i="2"/>
  <c r="N1011" i="2"/>
  <c r="N1010" i="2"/>
  <c r="N1009" i="2"/>
  <c r="N1008" i="2"/>
  <c r="N1007" i="2"/>
  <c r="N1006" i="2"/>
  <c r="N1005" i="2"/>
  <c r="N1004" i="2"/>
  <c r="N1003" i="2"/>
  <c r="N100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J2" i="2"/>
  <c r="U3" i="2" a="1"/>
  <c r="U3" i="2" s="1"/>
  <c r="U4" i="2" a="1"/>
  <c r="U4" i="2" s="1"/>
  <c r="U5" i="2" a="1"/>
  <c r="U5" i="2" s="1"/>
  <c r="U6" i="2" a="1"/>
  <c r="U6" i="2" s="1"/>
  <c r="U7" i="2" a="1"/>
  <c r="U7" i="2" s="1"/>
  <c r="U8" i="2" a="1"/>
  <c r="U8" i="2" s="1"/>
  <c r="U9" i="2" a="1"/>
  <c r="U9" i="2" s="1"/>
  <c r="U10" i="2" a="1"/>
  <c r="U10" i="2" s="1"/>
  <c r="U11" i="2" a="1"/>
  <c r="U11" i="2" s="1"/>
  <c r="U12" i="2" a="1"/>
  <c r="U12" i="2" s="1"/>
  <c r="U13" i="2" a="1"/>
  <c r="U13" i="2" s="1"/>
  <c r="U14" i="2" a="1"/>
  <c r="U14" i="2" s="1"/>
  <c r="U15" i="2" a="1"/>
  <c r="U15" i="2" s="1"/>
  <c r="U16" i="2" a="1"/>
  <c r="U16" i="2" s="1"/>
  <c r="U17" i="2" a="1"/>
  <c r="U17" i="2" s="1"/>
  <c r="U18" i="2" a="1"/>
  <c r="U18" i="2" s="1"/>
  <c r="U19" i="2" a="1"/>
  <c r="U19" i="2" s="1"/>
  <c r="U20" i="2" a="1"/>
  <c r="U20" i="2" s="1"/>
  <c r="U21" i="2" a="1"/>
  <c r="U21" i="2" s="1"/>
  <c r="U22" i="2" a="1"/>
  <c r="U22" i="2" s="1"/>
  <c r="U23" i="2" a="1"/>
  <c r="U23" i="2" s="1"/>
  <c r="U24" i="2" a="1"/>
  <c r="U24" i="2" s="1"/>
  <c r="U25" i="2" a="1"/>
  <c r="U25" i="2" s="1"/>
  <c r="U26" i="2" a="1"/>
  <c r="U26" i="2" s="1"/>
  <c r="U27" i="2" a="1"/>
  <c r="U27" i="2" s="1"/>
  <c r="U28" i="2" a="1"/>
  <c r="U28" i="2" s="1"/>
  <c r="U29" i="2" a="1"/>
  <c r="U29" i="2" s="1"/>
  <c r="U30" i="2" a="1"/>
  <c r="U30" i="2" s="1"/>
  <c r="U31" i="2" a="1"/>
  <c r="U31" i="2" s="1"/>
  <c r="U32" i="2" a="1"/>
  <c r="U32" i="2" s="1"/>
  <c r="U33" i="2" a="1"/>
  <c r="U33" i="2" s="1"/>
  <c r="U34" i="2" a="1"/>
  <c r="U34" i="2" s="1"/>
  <c r="U35" i="2" a="1"/>
  <c r="U35" i="2" s="1"/>
  <c r="U36" i="2" a="1"/>
  <c r="U36" i="2" s="1"/>
  <c r="U37" i="2" a="1"/>
  <c r="U37" i="2" s="1"/>
  <c r="U38" i="2" a="1"/>
  <c r="U38" i="2" s="1"/>
  <c r="U39" i="2" a="1"/>
  <c r="U39" i="2" s="1"/>
  <c r="U40" i="2" a="1"/>
  <c r="U40" i="2" s="1"/>
  <c r="U41" i="2" a="1"/>
  <c r="U41" i="2" s="1"/>
  <c r="U42" i="2" a="1"/>
  <c r="U42" i="2" s="1"/>
  <c r="U43" i="2" a="1"/>
  <c r="U43" i="2" s="1"/>
  <c r="U44" i="2" a="1"/>
  <c r="U44" i="2" s="1"/>
  <c r="U45" i="2" a="1"/>
  <c r="U45" i="2" s="1"/>
  <c r="U46" i="2" a="1"/>
  <c r="U46" i="2" s="1"/>
  <c r="U47" i="2" a="1"/>
  <c r="U47" i="2" s="1"/>
  <c r="U48" i="2" a="1"/>
  <c r="U48" i="2" s="1"/>
  <c r="U49" i="2" a="1"/>
  <c r="U49" i="2" s="1"/>
  <c r="U50" i="2" a="1"/>
  <c r="U50" i="2" s="1"/>
  <c r="U51" i="2" a="1"/>
  <c r="U51" i="2" s="1"/>
  <c r="U52" i="2" a="1"/>
  <c r="U52" i="2" s="1"/>
  <c r="U53" i="2" a="1"/>
  <c r="U53" i="2" s="1"/>
  <c r="U54" i="2" a="1"/>
  <c r="U54" i="2" s="1"/>
  <c r="U55" i="2" a="1"/>
  <c r="U55" i="2" s="1"/>
  <c r="U56" i="2" a="1"/>
  <c r="U56" i="2" s="1"/>
  <c r="U57" i="2" a="1"/>
  <c r="U57" i="2" s="1"/>
  <c r="U58" i="2" a="1"/>
  <c r="U58" i="2" s="1"/>
  <c r="U59" i="2" a="1"/>
  <c r="U59" i="2" s="1"/>
  <c r="U60" i="2" a="1"/>
  <c r="U60" i="2" s="1"/>
  <c r="U61" i="2" a="1"/>
  <c r="U61" i="2" s="1"/>
  <c r="U62" i="2" a="1"/>
  <c r="U62" i="2" s="1"/>
  <c r="U63" i="2" a="1"/>
  <c r="U63" i="2" s="1"/>
  <c r="U64" i="2" a="1"/>
  <c r="U64" i="2" s="1"/>
  <c r="U65" i="2" a="1"/>
  <c r="U65" i="2" s="1"/>
  <c r="U66" i="2" a="1"/>
  <c r="U66" i="2" s="1"/>
  <c r="U67" i="2" a="1"/>
  <c r="U67" i="2" s="1"/>
  <c r="U68" i="2" a="1"/>
  <c r="U68" i="2" s="1"/>
  <c r="U69" i="2" a="1"/>
  <c r="U69" i="2" s="1"/>
  <c r="U70" i="2" a="1"/>
  <c r="U70" i="2" s="1"/>
  <c r="U71" i="2" a="1"/>
  <c r="U71" i="2" s="1"/>
  <c r="U72" i="2" a="1"/>
  <c r="U72" i="2" s="1"/>
  <c r="U73" i="2" a="1"/>
  <c r="U73" i="2" s="1"/>
  <c r="U74" i="2" a="1"/>
  <c r="U74" i="2" s="1"/>
  <c r="U75" i="2" a="1"/>
  <c r="U75" i="2" s="1"/>
  <c r="U76" i="2" a="1"/>
  <c r="U76" i="2" s="1"/>
  <c r="U77" i="2" a="1"/>
  <c r="U77" i="2" s="1"/>
  <c r="U78" i="2" a="1"/>
  <c r="U78" i="2" s="1"/>
  <c r="U79" i="2" a="1"/>
  <c r="U79" i="2" s="1"/>
  <c r="U80" i="2" a="1"/>
  <c r="U80" i="2" s="1"/>
  <c r="U81" i="2" a="1"/>
  <c r="U81" i="2" s="1"/>
  <c r="U82" i="2" a="1"/>
  <c r="U82" i="2" s="1"/>
  <c r="U83" i="2" a="1"/>
  <c r="U83" i="2" s="1"/>
  <c r="U84" i="2" a="1"/>
  <c r="U84" i="2" s="1"/>
  <c r="U85" i="2" a="1"/>
  <c r="U85" i="2" s="1"/>
  <c r="U86" i="2" a="1"/>
  <c r="U86" i="2" s="1"/>
  <c r="U87" i="2" a="1"/>
  <c r="U87" i="2" s="1"/>
  <c r="U88" i="2" a="1"/>
  <c r="U88" i="2" s="1"/>
  <c r="U89" i="2" a="1"/>
  <c r="U89" i="2" s="1"/>
  <c r="U90" i="2" a="1"/>
  <c r="U90" i="2" s="1"/>
  <c r="U91" i="2" a="1"/>
  <c r="U91" i="2" s="1"/>
  <c r="U92" i="2" a="1"/>
  <c r="U92" i="2" s="1"/>
  <c r="U93" i="2" a="1"/>
  <c r="U93" i="2" s="1"/>
  <c r="U94" i="2" a="1"/>
  <c r="U94" i="2" s="1"/>
  <c r="U95" i="2" a="1"/>
  <c r="U95" i="2" s="1"/>
  <c r="U96" i="2" a="1"/>
  <c r="U96" i="2" s="1"/>
  <c r="U97" i="2" a="1"/>
  <c r="U97" i="2" s="1"/>
  <c r="U98" i="2" a="1"/>
  <c r="U98" i="2" s="1"/>
  <c r="U99" i="2" a="1"/>
  <c r="U99" i="2" s="1"/>
  <c r="U100" i="2" a="1"/>
  <c r="U100" i="2" s="1"/>
  <c r="U101" i="2" a="1"/>
  <c r="U101" i="2" s="1"/>
  <c r="U102" i="2" a="1"/>
  <c r="U102" i="2" s="1"/>
  <c r="U103" i="2" a="1"/>
  <c r="U103" i="2" s="1"/>
  <c r="U104" i="2" a="1"/>
  <c r="U104" i="2" s="1"/>
  <c r="U105" i="2" a="1"/>
  <c r="U105" i="2" s="1"/>
  <c r="U106" i="2" a="1"/>
  <c r="U106" i="2" s="1"/>
  <c r="U107" i="2" a="1"/>
  <c r="U107" i="2" s="1"/>
  <c r="U108" i="2" a="1"/>
  <c r="U108" i="2" s="1"/>
  <c r="U109" i="2" a="1"/>
  <c r="U109" i="2" s="1"/>
  <c r="U110" i="2" a="1"/>
  <c r="U110" i="2" s="1"/>
  <c r="U111" i="2" a="1"/>
  <c r="U111" i="2" s="1"/>
  <c r="U112" i="2" a="1"/>
  <c r="U112" i="2" s="1"/>
  <c r="U113" i="2" a="1"/>
  <c r="U113" i="2" s="1"/>
  <c r="U114" i="2" a="1"/>
  <c r="U114" i="2" s="1"/>
  <c r="U115" i="2" a="1"/>
  <c r="U115" i="2" s="1"/>
  <c r="U116" i="2" a="1"/>
  <c r="U116" i="2" s="1"/>
  <c r="U117" i="2" a="1"/>
  <c r="U117" i="2" s="1"/>
  <c r="U118" i="2" a="1"/>
  <c r="U118" i="2" s="1"/>
  <c r="U119" i="2" a="1"/>
  <c r="U119" i="2" s="1"/>
  <c r="U120" i="2" a="1"/>
  <c r="U120" i="2" s="1"/>
  <c r="U121" i="2" a="1"/>
  <c r="U121" i="2" s="1"/>
  <c r="U122" i="2" a="1"/>
  <c r="U122" i="2" s="1"/>
  <c r="U123" i="2" a="1"/>
  <c r="U123" i="2" s="1"/>
  <c r="U124" i="2" a="1"/>
  <c r="U124" i="2" s="1"/>
  <c r="U125" i="2" a="1"/>
  <c r="U125" i="2" s="1"/>
  <c r="U126" i="2" a="1"/>
  <c r="U126" i="2" s="1"/>
  <c r="U127" i="2" a="1"/>
  <c r="U127" i="2" s="1"/>
  <c r="U128" i="2" a="1"/>
  <c r="U128" i="2" s="1"/>
  <c r="U129" i="2" a="1"/>
  <c r="U129" i="2" s="1"/>
  <c r="U130" i="2" a="1"/>
  <c r="U130" i="2" s="1"/>
  <c r="U131" i="2" a="1"/>
  <c r="U131" i="2" s="1"/>
  <c r="U132" i="2" a="1"/>
  <c r="U132" i="2" s="1"/>
  <c r="U133" i="2" a="1"/>
  <c r="U133" i="2" s="1"/>
  <c r="U134" i="2" a="1"/>
  <c r="U134" i="2" s="1"/>
  <c r="U135" i="2" a="1"/>
  <c r="U135" i="2" s="1"/>
  <c r="U136" i="2" a="1"/>
  <c r="U136" i="2" s="1"/>
  <c r="U137" i="2" a="1"/>
  <c r="U137" i="2" s="1"/>
  <c r="U138" i="2" a="1"/>
  <c r="U138" i="2" s="1"/>
  <c r="U139" i="2" a="1"/>
  <c r="U139" i="2" s="1"/>
  <c r="U140" i="2" a="1"/>
  <c r="U140" i="2" s="1"/>
  <c r="U141" i="2" a="1"/>
  <c r="U141" i="2" s="1"/>
  <c r="U142" i="2" a="1"/>
  <c r="U142" i="2" s="1"/>
  <c r="U143" i="2" a="1"/>
  <c r="U143" i="2" s="1"/>
  <c r="U144" i="2" a="1"/>
  <c r="U144" i="2" s="1"/>
  <c r="U145" i="2" a="1"/>
  <c r="U145" i="2" s="1"/>
  <c r="U146" i="2" a="1"/>
  <c r="U146" i="2" s="1"/>
  <c r="U147" i="2" a="1"/>
  <c r="U147" i="2" s="1"/>
  <c r="U148" i="2" a="1"/>
  <c r="U148" i="2" s="1"/>
  <c r="U149" i="2" a="1"/>
  <c r="U149" i="2" s="1"/>
  <c r="U150" i="2" a="1"/>
  <c r="U150" i="2" s="1"/>
  <c r="U151" i="2" a="1"/>
  <c r="U151" i="2" s="1"/>
  <c r="U152" i="2" a="1"/>
  <c r="U152" i="2" s="1"/>
  <c r="U153" i="2" a="1"/>
  <c r="U153" i="2" s="1"/>
  <c r="U154" i="2" a="1"/>
  <c r="U154" i="2" s="1"/>
  <c r="U155" i="2" a="1"/>
  <c r="U155" i="2" s="1"/>
  <c r="U156" i="2" a="1"/>
  <c r="U156" i="2" s="1"/>
  <c r="U157" i="2" a="1"/>
  <c r="U157" i="2" s="1"/>
  <c r="U158" i="2" a="1"/>
  <c r="U158" i="2" s="1"/>
  <c r="U159" i="2" a="1"/>
  <c r="U159" i="2" s="1"/>
  <c r="U160" i="2" a="1"/>
  <c r="U160" i="2" s="1"/>
  <c r="U161" i="2" a="1"/>
  <c r="U161" i="2" s="1"/>
  <c r="U162" i="2" a="1"/>
  <c r="U162" i="2" s="1"/>
  <c r="U163" i="2" a="1"/>
  <c r="U163" i="2" s="1"/>
  <c r="U164" i="2" a="1"/>
  <c r="U164" i="2" s="1"/>
  <c r="U165" i="2" a="1"/>
  <c r="U165" i="2" s="1"/>
  <c r="U166" i="2" a="1"/>
  <c r="U166" i="2" s="1"/>
  <c r="U167" i="2" a="1"/>
  <c r="U167" i="2" s="1"/>
  <c r="U168" i="2" a="1"/>
  <c r="U168" i="2" s="1"/>
  <c r="U169" i="2" a="1"/>
  <c r="U169" i="2" s="1"/>
  <c r="U170" i="2" a="1"/>
  <c r="U170" i="2" s="1"/>
  <c r="U171" i="2" a="1"/>
  <c r="U171" i="2" s="1"/>
  <c r="U172" i="2" a="1"/>
  <c r="U172" i="2" s="1"/>
  <c r="U173" i="2" a="1"/>
  <c r="U173" i="2" s="1"/>
  <c r="U174" i="2" a="1"/>
  <c r="U174" i="2" s="1"/>
  <c r="U175" i="2" a="1"/>
  <c r="U175" i="2" s="1"/>
  <c r="U176" i="2" a="1"/>
  <c r="U176" i="2" s="1"/>
  <c r="U177" i="2" a="1"/>
  <c r="U177" i="2" s="1"/>
  <c r="U178" i="2" a="1"/>
  <c r="U178" i="2" s="1"/>
  <c r="U179" i="2" a="1"/>
  <c r="U179" i="2" s="1"/>
  <c r="U180" i="2" a="1"/>
  <c r="U180" i="2" s="1"/>
  <c r="U181" i="2" a="1"/>
  <c r="U181" i="2" s="1"/>
  <c r="U182" i="2" a="1"/>
  <c r="U182" i="2" s="1"/>
  <c r="U183" i="2" a="1"/>
  <c r="U183" i="2" s="1"/>
  <c r="U184" i="2" a="1"/>
  <c r="U184" i="2" s="1"/>
  <c r="U185" i="2" a="1"/>
  <c r="U185" i="2" s="1"/>
  <c r="U186" i="2" a="1"/>
  <c r="U186" i="2" s="1"/>
  <c r="U187" i="2" a="1"/>
  <c r="U187" i="2" s="1"/>
  <c r="U188" i="2" a="1"/>
  <c r="U188" i="2" s="1"/>
  <c r="U189" i="2" a="1"/>
  <c r="U189" i="2" s="1"/>
  <c r="U190" i="2" a="1"/>
  <c r="U190" i="2" s="1"/>
  <c r="U191" i="2" a="1"/>
  <c r="U191" i="2" s="1"/>
  <c r="U192" i="2" a="1"/>
  <c r="U192" i="2" s="1"/>
  <c r="U193" i="2" a="1"/>
  <c r="U193" i="2" s="1"/>
  <c r="U194" i="2" a="1"/>
  <c r="U194" i="2" s="1"/>
  <c r="U195" i="2" a="1"/>
  <c r="U195" i="2" s="1"/>
  <c r="U196" i="2" a="1"/>
  <c r="U196" i="2" s="1"/>
  <c r="U197" i="2" a="1"/>
  <c r="U197" i="2" s="1"/>
  <c r="U198" i="2" a="1"/>
  <c r="U198" i="2" s="1"/>
  <c r="U199" i="2" a="1"/>
  <c r="U199" i="2" s="1"/>
  <c r="U200" i="2" a="1"/>
  <c r="U200" i="2" s="1"/>
  <c r="U201" i="2" a="1"/>
  <c r="U201" i="2" s="1"/>
  <c r="U202" i="2" a="1"/>
  <c r="U202" i="2" s="1"/>
  <c r="U203" i="2" a="1"/>
  <c r="U203" i="2" s="1"/>
  <c r="U204" i="2" a="1"/>
  <c r="U204" i="2" s="1"/>
  <c r="U205" i="2" a="1"/>
  <c r="U205" i="2" s="1"/>
  <c r="U206" i="2" a="1"/>
  <c r="U206" i="2" s="1"/>
  <c r="U207" i="2" a="1"/>
  <c r="U207" i="2" s="1"/>
  <c r="U208" i="2" a="1"/>
  <c r="U208" i="2" s="1"/>
  <c r="U209" i="2" a="1"/>
  <c r="U209" i="2" s="1"/>
  <c r="U210" i="2" a="1"/>
  <c r="U210" i="2" s="1"/>
  <c r="U211" i="2" a="1"/>
  <c r="U211" i="2" s="1"/>
  <c r="U212" i="2" a="1"/>
  <c r="U212" i="2" s="1"/>
  <c r="U213" i="2" a="1"/>
  <c r="U213" i="2" s="1"/>
  <c r="U214" i="2" a="1"/>
  <c r="U214" i="2" s="1"/>
  <c r="U215" i="2" a="1"/>
  <c r="U215" i="2" s="1"/>
  <c r="U216" i="2" a="1"/>
  <c r="U216" i="2" s="1"/>
  <c r="U217" i="2" a="1"/>
  <c r="U217" i="2" s="1"/>
  <c r="U218" i="2" a="1"/>
  <c r="U218" i="2" s="1"/>
  <c r="U219" i="2" a="1"/>
  <c r="U219" i="2" s="1"/>
  <c r="U220" i="2" a="1"/>
  <c r="U220" i="2" s="1"/>
  <c r="U221" i="2" a="1"/>
  <c r="U221" i="2" s="1"/>
  <c r="U222" i="2" a="1"/>
  <c r="U222" i="2" s="1"/>
  <c r="U223" i="2" a="1"/>
  <c r="U223" i="2" s="1"/>
  <c r="U224" i="2" a="1"/>
  <c r="U224" i="2" s="1"/>
  <c r="U225" i="2" a="1"/>
  <c r="U225" i="2" s="1"/>
  <c r="U226" i="2" a="1"/>
  <c r="U226" i="2" s="1"/>
  <c r="U227" i="2" a="1"/>
  <c r="U227" i="2" s="1"/>
  <c r="U228" i="2" a="1"/>
  <c r="U228" i="2" s="1"/>
  <c r="U229" i="2" a="1"/>
  <c r="U229" i="2" s="1"/>
  <c r="U230" i="2" a="1"/>
  <c r="U230" i="2" s="1"/>
  <c r="U231" i="2" a="1"/>
  <c r="U231" i="2" s="1"/>
  <c r="U232" i="2" a="1"/>
  <c r="U232" i="2" s="1"/>
  <c r="U233" i="2" a="1"/>
  <c r="U233" i="2" s="1"/>
  <c r="U234" i="2" a="1"/>
  <c r="U234" i="2" s="1"/>
  <c r="U235" i="2" a="1"/>
  <c r="U235" i="2" s="1"/>
  <c r="U236" i="2" a="1"/>
  <c r="U236" i="2" s="1"/>
  <c r="U237" i="2" a="1"/>
  <c r="U237" i="2" s="1"/>
  <c r="U238" i="2" a="1"/>
  <c r="U238" i="2" s="1"/>
  <c r="U239" i="2" a="1"/>
  <c r="U239" i="2" s="1"/>
  <c r="U240" i="2" a="1"/>
  <c r="U240" i="2" s="1"/>
  <c r="U241" i="2" a="1"/>
  <c r="U241" i="2" s="1"/>
  <c r="U242" i="2" a="1"/>
  <c r="U242" i="2" s="1"/>
  <c r="U243" i="2" a="1"/>
  <c r="U243" i="2" s="1"/>
  <c r="U244" i="2" a="1"/>
  <c r="U244" i="2" s="1"/>
  <c r="U245" i="2" a="1"/>
  <c r="U245" i="2" s="1"/>
  <c r="U246" i="2" a="1"/>
  <c r="U246" i="2" s="1"/>
  <c r="U247" i="2" a="1"/>
  <c r="U247" i="2" s="1"/>
  <c r="U248" i="2" a="1"/>
  <c r="U248" i="2" s="1"/>
  <c r="U249" i="2" a="1"/>
  <c r="U249" i="2" s="1"/>
  <c r="U250" i="2" a="1"/>
  <c r="U250" i="2" s="1"/>
  <c r="U251" i="2" a="1"/>
  <c r="U251" i="2" s="1"/>
  <c r="U252" i="2" a="1"/>
  <c r="U252" i="2" s="1"/>
  <c r="U253" i="2" a="1"/>
  <c r="U253" i="2" s="1"/>
  <c r="U254" i="2" a="1"/>
  <c r="U254" i="2" s="1"/>
  <c r="U255" i="2" a="1"/>
  <c r="U255" i="2" s="1"/>
  <c r="U256" i="2" a="1"/>
  <c r="U256" i="2" s="1"/>
  <c r="U257" i="2" a="1"/>
  <c r="U257" i="2" s="1"/>
  <c r="U258" i="2" a="1"/>
  <c r="U258" i="2" s="1"/>
  <c r="U259" i="2" a="1"/>
  <c r="U259" i="2" s="1"/>
  <c r="U260" i="2" a="1"/>
  <c r="U260" i="2" s="1"/>
  <c r="U261" i="2" a="1"/>
  <c r="U261" i="2" s="1"/>
  <c r="U262" i="2" a="1"/>
  <c r="U262" i="2" s="1"/>
  <c r="U263" i="2" a="1"/>
  <c r="U263" i="2" s="1"/>
  <c r="U264" i="2" a="1"/>
  <c r="U264" i="2" s="1"/>
  <c r="U265" i="2" a="1"/>
  <c r="U265" i="2" s="1"/>
  <c r="U266" i="2" a="1"/>
  <c r="U266" i="2" s="1"/>
  <c r="U267" i="2" a="1"/>
  <c r="U267" i="2" s="1"/>
  <c r="U268" i="2" a="1"/>
  <c r="U268" i="2" s="1"/>
  <c r="U269" i="2" a="1"/>
  <c r="U269" i="2" s="1"/>
  <c r="U270" i="2" a="1"/>
  <c r="U270" i="2" s="1"/>
  <c r="U271" i="2" a="1"/>
  <c r="U271" i="2" s="1"/>
  <c r="U272" i="2" a="1"/>
  <c r="U272" i="2" s="1"/>
  <c r="U273" i="2" a="1"/>
  <c r="U273" i="2" s="1"/>
  <c r="U274" i="2" a="1"/>
  <c r="U274" i="2" s="1"/>
  <c r="U275" i="2" a="1"/>
  <c r="U275" i="2" s="1"/>
  <c r="U276" i="2" a="1"/>
  <c r="U276" i="2" s="1"/>
  <c r="U277" i="2" a="1"/>
  <c r="U277" i="2" s="1"/>
  <c r="U278" i="2" a="1"/>
  <c r="U278" i="2" s="1"/>
  <c r="U279" i="2" a="1"/>
  <c r="U279" i="2" s="1"/>
  <c r="U280" i="2" a="1"/>
  <c r="U280" i="2" s="1"/>
  <c r="U281" i="2" a="1"/>
  <c r="U281" i="2" s="1"/>
  <c r="U282" i="2" a="1"/>
  <c r="U282" i="2" s="1"/>
  <c r="U283" i="2" a="1"/>
  <c r="U283" i="2" s="1"/>
  <c r="U284" i="2" a="1"/>
  <c r="U284" i="2" s="1"/>
  <c r="U285" i="2" a="1"/>
  <c r="U285" i="2" s="1"/>
  <c r="U286" i="2" a="1"/>
  <c r="U286" i="2" s="1"/>
  <c r="U287" i="2" a="1"/>
  <c r="U287" i="2" s="1"/>
  <c r="U288" i="2" a="1"/>
  <c r="U288" i="2" s="1"/>
  <c r="U289" i="2" a="1"/>
  <c r="U289" i="2" s="1"/>
  <c r="U290" i="2" a="1"/>
  <c r="U290" i="2" s="1"/>
  <c r="U291" i="2" a="1"/>
  <c r="U291" i="2" s="1"/>
  <c r="U292" i="2" a="1"/>
  <c r="U292" i="2" s="1"/>
  <c r="U293" i="2" a="1"/>
  <c r="U293" i="2" s="1"/>
  <c r="U294" i="2" a="1"/>
  <c r="U294" i="2" s="1"/>
  <c r="U295" i="2" a="1"/>
  <c r="U295" i="2" s="1"/>
  <c r="U296" i="2" a="1"/>
  <c r="U296" i="2" s="1"/>
  <c r="U297" i="2" a="1"/>
  <c r="U297" i="2" s="1"/>
  <c r="U298" i="2" a="1"/>
  <c r="U298" i="2" s="1"/>
  <c r="U299" i="2" a="1"/>
  <c r="U299" i="2" s="1"/>
  <c r="U300" i="2" a="1"/>
  <c r="U300" i="2" s="1"/>
  <c r="U301" i="2" a="1"/>
  <c r="U301" i="2" s="1"/>
  <c r="U302" i="2" a="1"/>
  <c r="U302" i="2" s="1"/>
  <c r="U303" i="2" a="1"/>
  <c r="U303" i="2" s="1"/>
  <c r="U304" i="2" a="1"/>
  <c r="U304" i="2" s="1"/>
  <c r="U305" i="2" a="1"/>
  <c r="U305" i="2" s="1"/>
  <c r="U306" i="2" a="1"/>
  <c r="U306" i="2" s="1"/>
  <c r="U307" i="2" a="1"/>
  <c r="U307" i="2" s="1"/>
  <c r="U308" i="2" a="1"/>
  <c r="U308" i="2" s="1"/>
  <c r="U309" i="2" a="1"/>
  <c r="U309" i="2" s="1"/>
  <c r="U310" i="2" a="1"/>
  <c r="U310" i="2" s="1"/>
  <c r="U311" i="2" a="1"/>
  <c r="U311" i="2" s="1"/>
  <c r="U312" i="2" a="1"/>
  <c r="U312" i="2" s="1"/>
  <c r="U313" i="2" a="1"/>
  <c r="U313" i="2" s="1"/>
  <c r="U314" i="2" a="1"/>
  <c r="U314" i="2" s="1"/>
  <c r="U315" i="2" a="1"/>
  <c r="U315" i="2" s="1"/>
  <c r="U316" i="2" a="1"/>
  <c r="U316" i="2" s="1"/>
  <c r="U317" i="2" a="1"/>
  <c r="U317" i="2" s="1"/>
  <c r="U318" i="2" a="1"/>
  <c r="U318" i="2" s="1"/>
  <c r="U319" i="2" a="1"/>
  <c r="U319" i="2" s="1"/>
  <c r="U320" i="2" a="1"/>
  <c r="U320" i="2" s="1"/>
  <c r="U321" i="2" a="1"/>
  <c r="U321" i="2" s="1"/>
  <c r="U322" i="2" a="1"/>
  <c r="U322" i="2" s="1"/>
  <c r="U323" i="2" a="1"/>
  <c r="U323" i="2" s="1"/>
  <c r="U324" i="2" a="1"/>
  <c r="U324" i="2" s="1"/>
  <c r="U325" i="2" a="1"/>
  <c r="U325" i="2" s="1"/>
  <c r="U326" i="2" a="1"/>
  <c r="U326" i="2" s="1"/>
  <c r="U327" i="2" a="1"/>
  <c r="U327" i="2" s="1"/>
  <c r="U328" i="2" a="1"/>
  <c r="U328" i="2" s="1"/>
  <c r="U329" i="2" a="1"/>
  <c r="U329" i="2" s="1"/>
  <c r="U330" i="2" a="1"/>
  <c r="U330" i="2" s="1"/>
  <c r="U331" i="2" a="1"/>
  <c r="U331" i="2" s="1"/>
  <c r="U332" i="2" a="1"/>
  <c r="U332" i="2" s="1"/>
  <c r="U333" i="2" a="1"/>
  <c r="U333" i="2" s="1"/>
  <c r="U334" i="2" a="1"/>
  <c r="U334" i="2" s="1"/>
  <c r="U335" i="2" a="1"/>
  <c r="U335" i="2" s="1"/>
  <c r="U336" i="2" a="1"/>
  <c r="U336" i="2" s="1"/>
  <c r="U337" i="2" a="1"/>
  <c r="U337" i="2" s="1"/>
  <c r="U338" i="2" a="1"/>
  <c r="U338" i="2" s="1"/>
  <c r="U339" i="2" a="1"/>
  <c r="U339" i="2" s="1"/>
  <c r="U340" i="2" a="1"/>
  <c r="U340" i="2" s="1"/>
  <c r="U341" i="2" a="1"/>
  <c r="U341" i="2" s="1"/>
  <c r="U342" i="2" a="1"/>
  <c r="U342" i="2" s="1"/>
  <c r="U343" i="2" a="1"/>
  <c r="U343" i="2" s="1"/>
  <c r="U344" i="2" a="1"/>
  <c r="U344" i="2" s="1"/>
  <c r="U345" i="2" a="1"/>
  <c r="U345" i="2" s="1"/>
  <c r="U346" i="2" a="1"/>
  <c r="U346" i="2" s="1"/>
  <c r="U347" i="2" a="1"/>
  <c r="U347" i="2" s="1"/>
  <c r="U348" i="2" a="1"/>
  <c r="U348" i="2" s="1"/>
  <c r="U349" i="2" a="1"/>
  <c r="U349" i="2" s="1"/>
  <c r="U350" i="2" a="1"/>
  <c r="U350" i="2" s="1"/>
  <c r="U351" i="2" a="1"/>
  <c r="U351" i="2" s="1"/>
  <c r="U352" i="2" a="1"/>
  <c r="U352" i="2" s="1"/>
  <c r="U353" i="2" a="1"/>
  <c r="U353" i="2" s="1"/>
  <c r="U354" i="2" a="1"/>
  <c r="U354" i="2" s="1"/>
  <c r="U355" i="2" a="1"/>
  <c r="U355" i="2" s="1"/>
  <c r="U356" i="2" a="1"/>
  <c r="U356" i="2" s="1"/>
  <c r="U357" i="2" a="1"/>
  <c r="U357" i="2" s="1"/>
  <c r="U358" i="2" a="1"/>
  <c r="U358" i="2" s="1"/>
  <c r="U359" i="2" a="1"/>
  <c r="U359" i="2" s="1"/>
  <c r="U360" i="2" a="1"/>
  <c r="U360" i="2" s="1"/>
  <c r="U361" i="2" a="1"/>
  <c r="U361" i="2" s="1"/>
  <c r="U362" i="2" a="1"/>
  <c r="U362" i="2" s="1"/>
  <c r="U363" i="2" a="1"/>
  <c r="U363" i="2" s="1"/>
  <c r="U364" i="2" a="1"/>
  <c r="U364" i="2" s="1"/>
  <c r="U365" i="2" a="1"/>
  <c r="U365" i="2" s="1"/>
  <c r="U366" i="2" a="1"/>
  <c r="U366" i="2" s="1"/>
  <c r="U367" i="2" a="1"/>
  <c r="U367" i="2" s="1"/>
  <c r="U368" i="2" a="1"/>
  <c r="U368" i="2" s="1"/>
  <c r="U369" i="2" a="1"/>
  <c r="U369" i="2" s="1"/>
  <c r="U370" i="2" a="1"/>
  <c r="U370" i="2" s="1"/>
  <c r="U371" i="2" a="1"/>
  <c r="U371" i="2" s="1"/>
  <c r="U372" i="2" a="1"/>
  <c r="U372" i="2" s="1"/>
  <c r="U373" i="2" a="1"/>
  <c r="U373" i="2" s="1"/>
  <c r="U374" i="2" a="1"/>
  <c r="U374" i="2" s="1"/>
  <c r="U375" i="2" a="1"/>
  <c r="U375" i="2" s="1"/>
  <c r="U376" i="2" a="1"/>
  <c r="U376" i="2" s="1"/>
  <c r="U377" i="2" a="1"/>
  <c r="U377" i="2" s="1"/>
  <c r="U378" i="2" a="1"/>
  <c r="U378" i="2" s="1"/>
  <c r="U379" i="2" a="1"/>
  <c r="U379" i="2" s="1"/>
  <c r="U380" i="2" a="1"/>
  <c r="U380" i="2" s="1"/>
  <c r="U381" i="2" a="1"/>
  <c r="U381" i="2" s="1"/>
  <c r="U382" i="2" a="1"/>
  <c r="U382" i="2" s="1"/>
  <c r="U383" i="2" a="1"/>
  <c r="U383" i="2" s="1"/>
  <c r="U384" i="2" a="1"/>
  <c r="U384" i="2" s="1"/>
  <c r="U385" i="2" a="1"/>
  <c r="U385" i="2" s="1"/>
  <c r="U386" i="2" a="1"/>
  <c r="U386" i="2" s="1"/>
  <c r="U387" i="2" a="1"/>
  <c r="U387" i="2" s="1"/>
  <c r="U388" i="2" a="1"/>
  <c r="U388" i="2" s="1"/>
  <c r="U389" i="2" a="1"/>
  <c r="U389" i="2" s="1"/>
  <c r="U390" i="2" a="1"/>
  <c r="U390" i="2" s="1"/>
  <c r="U391" i="2" a="1"/>
  <c r="U391" i="2" s="1"/>
  <c r="U392" i="2" a="1"/>
  <c r="U392" i="2" s="1"/>
  <c r="U393" i="2" a="1"/>
  <c r="U393" i="2" s="1"/>
  <c r="U394" i="2" a="1"/>
  <c r="U394" i="2" s="1"/>
  <c r="U395" i="2" a="1"/>
  <c r="U395" i="2" s="1"/>
  <c r="U396" i="2" a="1"/>
  <c r="U396" i="2" s="1"/>
  <c r="U397" i="2" a="1"/>
  <c r="U397" i="2" s="1"/>
  <c r="U398" i="2" a="1"/>
  <c r="U398" i="2" s="1"/>
  <c r="U399" i="2" a="1"/>
  <c r="U399" i="2" s="1"/>
  <c r="U400" i="2" a="1"/>
  <c r="U400" i="2" s="1"/>
  <c r="U401" i="2" a="1"/>
  <c r="U401" i="2" s="1"/>
  <c r="U402" i="2" a="1"/>
  <c r="U402" i="2" s="1"/>
  <c r="U403" i="2" a="1"/>
  <c r="U403" i="2" s="1"/>
  <c r="U404" i="2" a="1"/>
  <c r="U404" i="2" s="1"/>
  <c r="U405" i="2" a="1"/>
  <c r="U405" i="2" s="1"/>
  <c r="U406" i="2" a="1"/>
  <c r="U406" i="2" s="1"/>
  <c r="U407" i="2" a="1"/>
  <c r="U407" i="2" s="1"/>
  <c r="U408" i="2" a="1"/>
  <c r="U408" i="2" s="1"/>
  <c r="U409" i="2" a="1"/>
  <c r="U409" i="2" s="1"/>
  <c r="U410" i="2" a="1"/>
  <c r="U410" i="2" s="1"/>
  <c r="U411" i="2" a="1"/>
  <c r="U411" i="2" s="1"/>
  <c r="U412" i="2" a="1"/>
  <c r="U412" i="2" s="1"/>
  <c r="U413" i="2" a="1"/>
  <c r="U413" i="2" s="1"/>
  <c r="U414" i="2" a="1"/>
  <c r="U414" i="2" s="1"/>
  <c r="U415" i="2" a="1"/>
  <c r="U415" i="2" s="1"/>
  <c r="U416" i="2" a="1"/>
  <c r="U416" i="2" s="1"/>
  <c r="U417" i="2" a="1"/>
  <c r="U417" i="2" s="1"/>
  <c r="U418" i="2" a="1"/>
  <c r="U418" i="2" s="1"/>
  <c r="U419" i="2" a="1"/>
  <c r="U419" i="2" s="1"/>
  <c r="U420" i="2" a="1"/>
  <c r="U420" i="2" s="1"/>
  <c r="U421" i="2" a="1"/>
  <c r="U421" i="2" s="1"/>
  <c r="U422" i="2" a="1"/>
  <c r="U422" i="2" s="1"/>
  <c r="U423" i="2" a="1"/>
  <c r="U423" i="2" s="1"/>
  <c r="U424" i="2" a="1"/>
  <c r="U424" i="2" s="1"/>
  <c r="U425" i="2" a="1"/>
  <c r="U425" i="2" s="1"/>
  <c r="U426" i="2" a="1"/>
  <c r="U426" i="2" s="1"/>
  <c r="U427" i="2" a="1"/>
  <c r="U427" i="2" s="1"/>
  <c r="U428" i="2" a="1"/>
  <c r="U428" i="2" s="1"/>
  <c r="U429" i="2" a="1"/>
  <c r="U429" i="2" s="1"/>
  <c r="U430" i="2" a="1"/>
  <c r="U430" i="2" s="1"/>
  <c r="U431" i="2" a="1"/>
  <c r="U431" i="2" s="1"/>
  <c r="U432" i="2" a="1"/>
  <c r="U432" i="2" s="1"/>
  <c r="U433" i="2" a="1"/>
  <c r="U433" i="2" s="1"/>
  <c r="U434" i="2" a="1"/>
  <c r="U434" i="2" s="1"/>
  <c r="U435" i="2" a="1"/>
  <c r="U435" i="2" s="1"/>
  <c r="U436" i="2" a="1"/>
  <c r="U436" i="2" s="1"/>
  <c r="U437" i="2" a="1"/>
  <c r="U437" i="2" s="1"/>
  <c r="U438" i="2" a="1"/>
  <c r="U438" i="2" s="1"/>
  <c r="U439" i="2" a="1"/>
  <c r="U439" i="2" s="1"/>
  <c r="U440" i="2" a="1"/>
  <c r="U440" i="2" s="1"/>
  <c r="U441" i="2" a="1"/>
  <c r="U441" i="2" s="1"/>
  <c r="U442" i="2" a="1"/>
  <c r="U442" i="2" s="1"/>
  <c r="U443" i="2" a="1"/>
  <c r="U443" i="2" s="1"/>
  <c r="U444" i="2" a="1"/>
  <c r="U444" i="2" s="1"/>
  <c r="U445" i="2" a="1"/>
  <c r="U445" i="2" s="1"/>
  <c r="U446" i="2" a="1"/>
  <c r="U446" i="2" s="1"/>
  <c r="U447" i="2" a="1"/>
  <c r="U447" i="2" s="1"/>
  <c r="U448" i="2" a="1"/>
  <c r="U448" i="2" s="1"/>
  <c r="U449" i="2" a="1"/>
  <c r="U449" i="2" s="1"/>
  <c r="U450" i="2" a="1"/>
  <c r="U450" i="2" s="1"/>
  <c r="U451" i="2" a="1"/>
  <c r="U451" i="2" s="1"/>
  <c r="U452" i="2" a="1"/>
  <c r="U452" i="2" s="1"/>
  <c r="U453" i="2" a="1"/>
  <c r="U453" i="2" s="1"/>
  <c r="U454" i="2" a="1"/>
  <c r="U454" i="2" s="1"/>
  <c r="U455" i="2" a="1"/>
  <c r="U455" i="2" s="1"/>
  <c r="U456" i="2" a="1"/>
  <c r="U456" i="2" s="1"/>
  <c r="U457" i="2" a="1"/>
  <c r="U457" i="2" s="1"/>
  <c r="U458" i="2" a="1"/>
  <c r="U458" i="2" s="1"/>
  <c r="U459" i="2" a="1"/>
  <c r="U459" i="2" s="1"/>
  <c r="U460" i="2" a="1"/>
  <c r="U460" i="2" s="1"/>
  <c r="U461" i="2" a="1"/>
  <c r="U461" i="2" s="1"/>
  <c r="U462" i="2" a="1"/>
  <c r="U462" i="2" s="1"/>
  <c r="U463" i="2" a="1"/>
  <c r="U463" i="2" s="1"/>
  <c r="U464" i="2" a="1"/>
  <c r="U464" i="2" s="1"/>
  <c r="U465" i="2" a="1"/>
  <c r="U465" i="2" s="1"/>
  <c r="U466" i="2" a="1"/>
  <c r="U466" i="2" s="1"/>
  <c r="U467" i="2" a="1"/>
  <c r="U467" i="2" s="1"/>
  <c r="U468" i="2" a="1"/>
  <c r="U468" i="2" s="1"/>
  <c r="U469" i="2" a="1"/>
  <c r="U469" i="2" s="1"/>
  <c r="U470" i="2" a="1"/>
  <c r="U470" i="2" s="1"/>
  <c r="U471" i="2" a="1"/>
  <c r="U471" i="2" s="1"/>
  <c r="U472" i="2" a="1"/>
  <c r="U472" i="2" s="1"/>
  <c r="U473" i="2" a="1"/>
  <c r="U473" i="2" s="1"/>
  <c r="U474" i="2" a="1"/>
  <c r="U474" i="2" s="1"/>
  <c r="U475" i="2" a="1"/>
  <c r="U475" i="2" s="1"/>
  <c r="U476" i="2" a="1"/>
  <c r="U476" i="2" s="1"/>
  <c r="U477" i="2" a="1"/>
  <c r="U477" i="2" s="1"/>
  <c r="U478" i="2" a="1"/>
  <c r="U478" i="2" s="1"/>
  <c r="U479" i="2" a="1"/>
  <c r="U479" i="2" s="1"/>
  <c r="U480" i="2" a="1"/>
  <c r="U480" i="2" s="1"/>
  <c r="U481" i="2" a="1"/>
  <c r="U481" i="2" s="1"/>
  <c r="U482" i="2" a="1"/>
  <c r="U482" i="2" s="1"/>
  <c r="U483" i="2" a="1"/>
  <c r="U483" i="2" s="1"/>
  <c r="U484" i="2" a="1"/>
  <c r="U484" i="2" s="1"/>
  <c r="U485" i="2" a="1"/>
  <c r="U485" i="2" s="1"/>
  <c r="U486" i="2" a="1"/>
  <c r="U486" i="2" s="1"/>
  <c r="U487" i="2" a="1"/>
  <c r="U487" i="2" s="1"/>
  <c r="U488" i="2" a="1"/>
  <c r="U488" i="2" s="1"/>
  <c r="U489" i="2" a="1"/>
  <c r="U489" i="2" s="1"/>
  <c r="U490" i="2" a="1"/>
  <c r="U490" i="2" s="1"/>
  <c r="U491" i="2" a="1"/>
  <c r="U491" i="2" s="1"/>
  <c r="U492" i="2" a="1"/>
  <c r="U492" i="2" s="1"/>
  <c r="U493" i="2" a="1"/>
  <c r="U493" i="2" s="1"/>
  <c r="U494" i="2" a="1"/>
  <c r="U494" i="2" s="1"/>
  <c r="U495" i="2" a="1"/>
  <c r="U495" i="2" s="1"/>
  <c r="U496" i="2" a="1"/>
  <c r="U496" i="2" s="1"/>
  <c r="U497" i="2" a="1"/>
  <c r="U497" i="2" s="1"/>
  <c r="U498" i="2" a="1"/>
  <c r="U498" i="2" s="1"/>
  <c r="U499" i="2" a="1"/>
  <c r="U499" i="2" s="1"/>
  <c r="U500" i="2" a="1"/>
  <c r="U500" i="2" s="1"/>
  <c r="U501" i="2" a="1"/>
  <c r="U501" i="2" s="1"/>
  <c r="U502" i="2" a="1"/>
  <c r="U502" i="2" s="1"/>
  <c r="U503" i="2" a="1"/>
  <c r="U503" i="2" s="1"/>
  <c r="U504" i="2" a="1"/>
  <c r="U504" i="2" s="1"/>
  <c r="U505" i="2" a="1"/>
  <c r="U505" i="2" s="1"/>
  <c r="U506" i="2" a="1"/>
  <c r="U506" i="2" s="1"/>
  <c r="U507" i="2" a="1"/>
  <c r="U507" i="2" s="1"/>
  <c r="U508" i="2" a="1"/>
  <c r="U508" i="2" s="1"/>
  <c r="U509" i="2" a="1"/>
  <c r="U509" i="2" s="1"/>
  <c r="U510" i="2" a="1"/>
  <c r="U510" i="2" s="1"/>
  <c r="U511" i="2" a="1"/>
  <c r="U511" i="2" s="1"/>
  <c r="U512" i="2" a="1"/>
  <c r="U512" i="2" s="1"/>
  <c r="U513" i="2" a="1"/>
  <c r="U513" i="2" s="1"/>
  <c r="U514" i="2" a="1"/>
  <c r="U514" i="2" s="1"/>
  <c r="U515" i="2" a="1"/>
  <c r="U515" i="2" s="1"/>
  <c r="U516" i="2" a="1"/>
  <c r="U516" i="2" s="1"/>
  <c r="U517" i="2" a="1"/>
  <c r="U517" i="2" s="1"/>
  <c r="U518" i="2" a="1"/>
  <c r="U518" i="2" s="1"/>
  <c r="U519" i="2" a="1"/>
  <c r="U519" i="2" s="1"/>
  <c r="U520" i="2" a="1"/>
  <c r="U520" i="2" s="1"/>
  <c r="U521" i="2" a="1"/>
  <c r="U521" i="2" s="1"/>
  <c r="U522" i="2" a="1"/>
  <c r="U522" i="2" s="1"/>
  <c r="U523" i="2" a="1"/>
  <c r="U523" i="2" s="1"/>
  <c r="U524" i="2" a="1"/>
  <c r="U524" i="2" s="1"/>
  <c r="U525" i="2" a="1"/>
  <c r="U525" i="2" s="1"/>
  <c r="U526" i="2" a="1"/>
  <c r="U526" i="2" s="1"/>
  <c r="U527" i="2" a="1"/>
  <c r="U527" i="2" s="1"/>
  <c r="U528" i="2" a="1"/>
  <c r="U528" i="2" s="1"/>
  <c r="U529" i="2" a="1"/>
  <c r="U529" i="2" s="1"/>
  <c r="U530" i="2" a="1"/>
  <c r="U530" i="2" s="1"/>
  <c r="U531" i="2" a="1"/>
  <c r="U531" i="2" s="1"/>
  <c r="U532" i="2" a="1"/>
  <c r="U532" i="2" s="1"/>
  <c r="U533" i="2" a="1"/>
  <c r="U533" i="2" s="1"/>
  <c r="U534" i="2" a="1"/>
  <c r="U534" i="2" s="1"/>
  <c r="U535" i="2" a="1"/>
  <c r="U535" i="2" s="1"/>
  <c r="U536" i="2" a="1"/>
  <c r="U536" i="2" s="1"/>
  <c r="U537" i="2" a="1"/>
  <c r="U537" i="2" s="1"/>
  <c r="U538" i="2" a="1"/>
  <c r="U538" i="2" s="1"/>
  <c r="U539" i="2" a="1"/>
  <c r="U539" i="2" s="1"/>
  <c r="U540" i="2" a="1"/>
  <c r="U540" i="2" s="1"/>
  <c r="U541" i="2" a="1"/>
  <c r="U541" i="2" s="1"/>
  <c r="U542" i="2" a="1"/>
  <c r="U542" i="2" s="1"/>
  <c r="U543" i="2" a="1"/>
  <c r="U543" i="2" s="1"/>
  <c r="U544" i="2" a="1"/>
  <c r="U544" i="2" s="1"/>
  <c r="U545" i="2" a="1"/>
  <c r="U545" i="2" s="1"/>
  <c r="U546" i="2" a="1"/>
  <c r="U546" i="2" s="1"/>
  <c r="U547" i="2" a="1"/>
  <c r="U547" i="2" s="1"/>
  <c r="U548" i="2" a="1"/>
  <c r="U548" i="2" s="1"/>
  <c r="U549" i="2" a="1"/>
  <c r="U549" i="2" s="1"/>
  <c r="U550" i="2" a="1"/>
  <c r="U550" i="2" s="1"/>
  <c r="U551" i="2" a="1"/>
  <c r="U551" i="2" s="1"/>
  <c r="U552" i="2" a="1"/>
  <c r="U552" i="2" s="1"/>
  <c r="U553" i="2" a="1"/>
  <c r="U553" i="2" s="1"/>
  <c r="U554" i="2" a="1"/>
  <c r="U554" i="2" s="1"/>
  <c r="U555" i="2" a="1"/>
  <c r="U555" i="2" s="1"/>
  <c r="U556" i="2" a="1"/>
  <c r="U556" i="2" s="1"/>
  <c r="U557" i="2" a="1"/>
  <c r="U557" i="2" s="1"/>
  <c r="U558" i="2" a="1"/>
  <c r="U558" i="2" s="1"/>
  <c r="U559" i="2" a="1"/>
  <c r="U559" i="2" s="1"/>
  <c r="U560" i="2" a="1"/>
  <c r="U560" i="2" s="1"/>
  <c r="U561" i="2" a="1"/>
  <c r="U561" i="2" s="1"/>
  <c r="U562" i="2" a="1"/>
  <c r="U562" i="2" s="1"/>
  <c r="U563" i="2" a="1"/>
  <c r="U563" i="2" s="1"/>
  <c r="U564" i="2" a="1"/>
  <c r="U564" i="2" s="1"/>
  <c r="U565" i="2" a="1"/>
  <c r="U565" i="2" s="1"/>
  <c r="U566" i="2" a="1"/>
  <c r="U566" i="2" s="1"/>
  <c r="U567" i="2" a="1"/>
  <c r="U567" i="2" s="1"/>
  <c r="U568" i="2" a="1"/>
  <c r="U568" i="2" s="1"/>
  <c r="U569" i="2" a="1"/>
  <c r="U569" i="2" s="1"/>
  <c r="U570" i="2" a="1"/>
  <c r="U570" i="2" s="1"/>
  <c r="U571" i="2" a="1"/>
  <c r="U571" i="2" s="1"/>
  <c r="U572" i="2" a="1"/>
  <c r="U572" i="2" s="1"/>
  <c r="U573" i="2" a="1"/>
  <c r="U573" i="2" s="1"/>
  <c r="U574" i="2" a="1"/>
  <c r="U574" i="2" s="1"/>
  <c r="U575" i="2" a="1"/>
  <c r="U575" i="2" s="1"/>
  <c r="U576" i="2" a="1"/>
  <c r="U576" i="2" s="1"/>
  <c r="U577" i="2" a="1"/>
  <c r="U577" i="2" s="1"/>
  <c r="U578" i="2" a="1"/>
  <c r="U578" i="2" s="1"/>
  <c r="U579" i="2" a="1"/>
  <c r="U579" i="2" s="1"/>
  <c r="U580" i="2" a="1"/>
  <c r="U580" i="2" s="1"/>
  <c r="U581" i="2" a="1"/>
  <c r="U581" i="2" s="1"/>
  <c r="U582" i="2" a="1"/>
  <c r="U582" i="2" s="1"/>
  <c r="U583" i="2" a="1"/>
  <c r="U583" i="2" s="1"/>
  <c r="U584" i="2" a="1"/>
  <c r="U584" i="2" s="1"/>
  <c r="U585" i="2" a="1"/>
  <c r="U585" i="2" s="1"/>
  <c r="U586" i="2" a="1"/>
  <c r="U586" i="2" s="1"/>
  <c r="U587" i="2" a="1"/>
  <c r="U587" i="2" s="1"/>
  <c r="U588" i="2" a="1"/>
  <c r="U588" i="2" s="1"/>
  <c r="U589" i="2" a="1"/>
  <c r="U589" i="2" s="1"/>
  <c r="U590" i="2" a="1"/>
  <c r="U590" i="2" s="1"/>
  <c r="U591" i="2" a="1"/>
  <c r="U591" i="2" s="1"/>
  <c r="U592" i="2" a="1"/>
  <c r="U592" i="2" s="1"/>
  <c r="U593" i="2" a="1"/>
  <c r="U593" i="2" s="1"/>
  <c r="U594" i="2" a="1"/>
  <c r="U594" i="2" s="1"/>
  <c r="U595" i="2" a="1"/>
  <c r="U595" i="2" s="1"/>
  <c r="U596" i="2" a="1"/>
  <c r="U596" i="2" s="1"/>
  <c r="U597" i="2" a="1"/>
  <c r="U597" i="2" s="1"/>
  <c r="U598" i="2" a="1"/>
  <c r="U598" i="2" s="1"/>
  <c r="U599" i="2" a="1"/>
  <c r="U599" i="2" s="1"/>
  <c r="U600" i="2" a="1"/>
  <c r="U600" i="2" s="1"/>
  <c r="U601" i="2" a="1"/>
  <c r="U601" i="2" s="1"/>
  <c r="U602" i="2" a="1"/>
  <c r="U602" i="2" s="1"/>
  <c r="U603" i="2" a="1"/>
  <c r="U603" i="2" s="1"/>
  <c r="U604" i="2" a="1"/>
  <c r="U604" i="2" s="1"/>
  <c r="U605" i="2" a="1"/>
  <c r="U605" i="2" s="1"/>
  <c r="U606" i="2" a="1"/>
  <c r="U606" i="2" s="1"/>
  <c r="U607" i="2" a="1"/>
  <c r="U607" i="2" s="1"/>
  <c r="U608" i="2" a="1"/>
  <c r="U608" i="2" s="1"/>
  <c r="U609" i="2" a="1"/>
  <c r="U609" i="2" s="1"/>
  <c r="U610" i="2" a="1"/>
  <c r="U610" i="2" s="1"/>
  <c r="U611" i="2" a="1"/>
  <c r="U611" i="2" s="1"/>
  <c r="U612" i="2" a="1"/>
  <c r="U612" i="2" s="1"/>
  <c r="U613" i="2" a="1"/>
  <c r="U613" i="2" s="1"/>
  <c r="U614" i="2" a="1"/>
  <c r="U614" i="2" s="1"/>
  <c r="U615" i="2" a="1"/>
  <c r="U615" i="2" s="1"/>
  <c r="U616" i="2" a="1"/>
  <c r="U616" i="2" s="1"/>
  <c r="U617" i="2" a="1"/>
  <c r="U617" i="2" s="1"/>
  <c r="U618" i="2" a="1"/>
  <c r="U618" i="2" s="1"/>
  <c r="U619" i="2" a="1"/>
  <c r="U619" i="2" s="1"/>
  <c r="U620" i="2" a="1"/>
  <c r="U620" i="2" s="1"/>
  <c r="U621" i="2" a="1"/>
  <c r="U621" i="2" s="1"/>
  <c r="U622" i="2" a="1"/>
  <c r="U622" i="2" s="1"/>
  <c r="U623" i="2" a="1"/>
  <c r="U623" i="2" s="1"/>
  <c r="U624" i="2" a="1"/>
  <c r="U624" i="2" s="1"/>
  <c r="U625" i="2" a="1"/>
  <c r="U625" i="2" s="1"/>
  <c r="U626" i="2" a="1"/>
  <c r="U626" i="2" s="1"/>
  <c r="U627" i="2" a="1"/>
  <c r="U627" i="2" s="1"/>
  <c r="U628" i="2" a="1"/>
  <c r="U628" i="2" s="1"/>
  <c r="U629" i="2" a="1"/>
  <c r="U629" i="2" s="1"/>
  <c r="U630" i="2" a="1"/>
  <c r="U630" i="2" s="1"/>
  <c r="U631" i="2" a="1"/>
  <c r="U631" i="2" s="1"/>
  <c r="U632" i="2" a="1"/>
  <c r="U632" i="2" s="1"/>
  <c r="U633" i="2" a="1"/>
  <c r="U633" i="2" s="1"/>
  <c r="U634" i="2" a="1"/>
  <c r="U634" i="2" s="1"/>
  <c r="U635" i="2" a="1"/>
  <c r="U635" i="2" s="1"/>
  <c r="U636" i="2" a="1"/>
  <c r="U636" i="2" s="1"/>
  <c r="U637" i="2" a="1"/>
  <c r="U637" i="2" s="1"/>
  <c r="U638" i="2" a="1"/>
  <c r="U638" i="2" s="1"/>
  <c r="U639" i="2" a="1"/>
  <c r="U639" i="2" s="1"/>
  <c r="U640" i="2" a="1"/>
  <c r="U640" i="2" s="1"/>
  <c r="U641" i="2" a="1"/>
  <c r="U641" i="2" s="1"/>
  <c r="U642" i="2" a="1"/>
  <c r="U642" i="2" s="1"/>
  <c r="U643" i="2" a="1"/>
  <c r="U643" i="2" s="1"/>
  <c r="U644" i="2" a="1"/>
  <c r="U644" i="2" s="1"/>
  <c r="U645" i="2" a="1"/>
  <c r="U645" i="2" s="1"/>
  <c r="U646" i="2" a="1"/>
  <c r="U646" i="2" s="1"/>
  <c r="U647" i="2" a="1"/>
  <c r="U647" i="2" s="1"/>
  <c r="U648" i="2" a="1"/>
  <c r="U648" i="2" s="1"/>
  <c r="U649" i="2" a="1"/>
  <c r="U649" i="2" s="1"/>
  <c r="U650" i="2" a="1"/>
  <c r="U650" i="2" s="1"/>
  <c r="U651" i="2" a="1"/>
  <c r="U651" i="2" s="1"/>
  <c r="U652" i="2" a="1"/>
  <c r="U652" i="2" s="1"/>
  <c r="U653" i="2" a="1"/>
  <c r="U653" i="2" s="1"/>
  <c r="U654" i="2" a="1"/>
  <c r="U654" i="2" s="1"/>
  <c r="U655" i="2" a="1"/>
  <c r="U655" i="2" s="1"/>
  <c r="U656" i="2" a="1"/>
  <c r="U656" i="2" s="1"/>
  <c r="U657" i="2" a="1"/>
  <c r="U657" i="2" s="1"/>
  <c r="U658" i="2" a="1"/>
  <c r="U658" i="2" s="1"/>
  <c r="U659" i="2" a="1"/>
  <c r="U659" i="2" s="1"/>
  <c r="U660" i="2" a="1"/>
  <c r="U660" i="2" s="1"/>
  <c r="U661" i="2" a="1"/>
  <c r="U661" i="2" s="1"/>
  <c r="U662" i="2" a="1"/>
  <c r="U662" i="2" s="1"/>
  <c r="U663" i="2" a="1"/>
  <c r="U663" i="2" s="1"/>
  <c r="U664" i="2" a="1"/>
  <c r="U664" i="2" s="1"/>
  <c r="U665" i="2" a="1"/>
  <c r="U665" i="2" s="1"/>
  <c r="U666" i="2" a="1"/>
  <c r="U666" i="2" s="1"/>
  <c r="U667" i="2" a="1"/>
  <c r="U667" i="2" s="1"/>
  <c r="U668" i="2" a="1"/>
  <c r="U668" i="2" s="1"/>
  <c r="U669" i="2" a="1"/>
  <c r="U669" i="2" s="1"/>
  <c r="U670" i="2" a="1"/>
  <c r="U670" i="2" s="1"/>
  <c r="U671" i="2" a="1"/>
  <c r="U671" i="2" s="1"/>
  <c r="U672" i="2" a="1"/>
  <c r="U672" i="2" s="1"/>
  <c r="U673" i="2" a="1"/>
  <c r="U673" i="2" s="1"/>
  <c r="U674" i="2" a="1"/>
  <c r="U674" i="2" s="1"/>
  <c r="U675" i="2" a="1"/>
  <c r="U675" i="2" s="1"/>
  <c r="U676" i="2" a="1"/>
  <c r="U676" i="2" s="1"/>
  <c r="U677" i="2" a="1"/>
  <c r="U677" i="2" s="1"/>
  <c r="U678" i="2" a="1"/>
  <c r="U678" i="2" s="1"/>
  <c r="U679" i="2" a="1"/>
  <c r="U679" i="2" s="1"/>
  <c r="U680" i="2" a="1"/>
  <c r="U680" i="2" s="1"/>
  <c r="U681" i="2" a="1"/>
  <c r="U681" i="2" s="1"/>
  <c r="U682" i="2" a="1"/>
  <c r="U682" i="2" s="1"/>
  <c r="U683" i="2" a="1"/>
  <c r="U683" i="2" s="1"/>
  <c r="U684" i="2" a="1"/>
  <c r="U684" i="2" s="1"/>
  <c r="U685" i="2" a="1"/>
  <c r="U685" i="2" s="1"/>
  <c r="U686" i="2" a="1"/>
  <c r="U686" i="2" s="1"/>
  <c r="U687" i="2" a="1"/>
  <c r="U687" i="2" s="1"/>
  <c r="U688" i="2" a="1"/>
  <c r="U688" i="2" s="1"/>
  <c r="U689" i="2" a="1"/>
  <c r="U689" i="2" s="1"/>
  <c r="U690" i="2" a="1"/>
  <c r="U690" i="2" s="1"/>
  <c r="U691" i="2" a="1"/>
  <c r="U691" i="2" s="1"/>
  <c r="U692" i="2" a="1"/>
  <c r="U692" i="2" s="1"/>
  <c r="U693" i="2" a="1"/>
  <c r="U693" i="2" s="1"/>
  <c r="U694" i="2" a="1"/>
  <c r="U694" i="2" s="1"/>
  <c r="U695" i="2" a="1"/>
  <c r="U695" i="2" s="1"/>
  <c r="U696" i="2" a="1"/>
  <c r="U696" i="2" s="1"/>
  <c r="U697" i="2" a="1"/>
  <c r="U697" i="2" s="1"/>
  <c r="U698" i="2" a="1"/>
  <c r="U698" i="2" s="1"/>
  <c r="U699" i="2" a="1"/>
  <c r="U699" i="2" s="1"/>
  <c r="U700" i="2" a="1"/>
  <c r="U700" i="2" s="1"/>
  <c r="U701" i="2" a="1"/>
  <c r="U701" i="2" s="1"/>
  <c r="U702" i="2" a="1"/>
  <c r="U702" i="2" s="1"/>
  <c r="U703" i="2" a="1"/>
  <c r="U703" i="2" s="1"/>
  <c r="U704" i="2" a="1"/>
  <c r="U704" i="2" s="1"/>
  <c r="U705" i="2" a="1"/>
  <c r="U705" i="2" s="1"/>
  <c r="U706" i="2" a="1"/>
  <c r="U706" i="2" s="1"/>
  <c r="U707" i="2" a="1"/>
  <c r="U707" i="2" s="1"/>
  <c r="U708" i="2" a="1"/>
  <c r="U708" i="2" s="1"/>
  <c r="U709" i="2" a="1"/>
  <c r="U709" i="2" s="1"/>
  <c r="U710" i="2" a="1"/>
  <c r="U710" i="2" s="1"/>
  <c r="U711" i="2" a="1"/>
  <c r="U711" i="2" s="1"/>
  <c r="U712" i="2" a="1"/>
  <c r="U712" i="2" s="1"/>
  <c r="U713" i="2" a="1"/>
  <c r="U713" i="2" s="1"/>
  <c r="U714" i="2" a="1"/>
  <c r="U714" i="2" s="1"/>
  <c r="U715" i="2" a="1"/>
  <c r="U715" i="2" s="1"/>
  <c r="U716" i="2" a="1"/>
  <c r="U716" i="2" s="1"/>
  <c r="U717" i="2" a="1"/>
  <c r="U717" i="2" s="1"/>
  <c r="U718" i="2" a="1"/>
  <c r="U718" i="2" s="1"/>
  <c r="U719" i="2" a="1"/>
  <c r="U719" i="2" s="1"/>
  <c r="U720" i="2" a="1"/>
  <c r="U720" i="2" s="1"/>
  <c r="U721" i="2" a="1"/>
  <c r="U721" i="2" s="1"/>
  <c r="U722" i="2" a="1"/>
  <c r="U722" i="2" s="1"/>
  <c r="U723" i="2" a="1"/>
  <c r="U723" i="2" s="1"/>
  <c r="U724" i="2" a="1"/>
  <c r="U724" i="2" s="1"/>
  <c r="U725" i="2" a="1"/>
  <c r="U725" i="2" s="1"/>
  <c r="U726" i="2" a="1"/>
  <c r="U726" i="2" s="1"/>
  <c r="U727" i="2" a="1"/>
  <c r="U727" i="2" s="1"/>
  <c r="U728" i="2" a="1"/>
  <c r="U728" i="2" s="1"/>
  <c r="U729" i="2" a="1"/>
  <c r="U729" i="2" s="1"/>
  <c r="U730" i="2" a="1"/>
  <c r="U730" i="2" s="1"/>
  <c r="U731" i="2" a="1"/>
  <c r="U731" i="2" s="1"/>
  <c r="U732" i="2" a="1"/>
  <c r="U732" i="2" s="1"/>
  <c r="U733" i="2" a="1"/>
  <c r="U733" i="2" s="1"/>
  <c r="U734" i="2" a="1"/>
  <c r="U734" i="2" s="1"/>
  <c r="U735" i="2" a="1"/>
  <c r="U735" i="2" s="1"/>
  <c r="U736" i="2" a="1"/>
  <c r="U736" i="2" s="1"/>
  <c r="U737" i="2" a="1"/>
  <c r="U737" i="2" s="1"/>
  <c r="U738" i="2" a="1"/>
  <c r="U738" i="2" s="1"/>
  <c r="U739" i="2" a="1"/>
  <c r="U739" i="2" s="1"/>
  <c r="U740" i="2" a="1"/>
  <c r="U740" i="2" s="1"/>
  <c r="U741" i="2" a="1"/>
  <c r="U741" i="2" s="1"/>
  <c r="U742" i="2" a="1"/>
  <c r="U742" i="2" s="1"/>
  <c r="U743" i="2" a="1"/>
  <c r="U743" i="2" s="1"/>
  <c r="U744" i="2" a="1"/>
  <c r="U744" i="2" s="1"/>
  <c r="U745" i="2" a="1"/>
  <c r="U745" i="2" s="1"/>
  <c r="U746" i="2" a="1"/>
  <c r="U746" i="2" s="1"/>
  <c r="U747" i="2" a="1"/>
  <c r="U747" i="2" s="1"/>
  <c r="U748" i="2" a="1"/>
  <c r="U748" i="2" s="1"/>
  <c r="U749" i="2" a="1"/>
  <c r="U749" i="2" s="1"/>
  <c r="U750" i="2" a="1"/>
  <c r="U750" i="2" s="1"/>
  <c r="U751" i="2" a="1"/>
  <c r="U751" i="2" s="1"/>
  <c r="U752" i="2" a="1"/>
  <c r="U752" i="2" s="1"/>
  <c r="U753" i="2" a="1"/>
  <c r="U753" i="2" s="1"/>
  <c r="U754" i="2" a="1"/>
  <c r="U754" i="2" s="1"/>
  <c r="U755" i="2" a="1"/>
  <c r="U755" i="2" s="1"/>
  <c r="U756" i="2" a="1"/>
  <c r="U756" i="2" s="1"/>
  <c r="U757" i="2" a="1"/>
  <c r="U757" i="2" s="1"/>
  <c r="U758" i="2" a="1"/>
  <c r="U758" i="2" s="1"/>
  <c r="U759" i="2" a="1"/>
  <c r="U759" i="2" s="1"/>
  <c r="U760" i="2" a="1"/>
  <c r="U760" i="2" s="1"/>
  <c r="U761" i="2" a="1"/>
  <c r="U761" i="2" s="1"/>
  <c r="U762" i="2" a="1"/>
  <c r="U762" i="2" s="1"/>
  <c r="U763" i="2" a="1"/>
  <c r="U763" i="2" s="1"/>
  <c r="U764" i="2" a="1"/>
  <c r="U764" i="2" s="1"/>
  <c r="U765" i="2" a="1"/>
  <c r="U765" i="2" s="1"/>
  <c r="U766" i="2" a="1"/>
  <c r="U766" i="2" s="1"/>
  <c r="U767" i="2" a="1"/>
  <c r="U767" i="2" s="1"/>
  <c r="U768" i="2" a="1"/>
  <c r="U768" i="2" s="1"/>
  <c r="U769" i="2" a="1"/>
  <c r="U769" i="2" s="1"/>
  <c r="U770" i="2" a="1"/>
  <c r="U770" i="2" s="1"/>
  <c r="U771" i="2" a="1"/>
  <c r="U771" i="2" s="1"/>
  <c r="U772" i="2" a="1"/>
  <c r="U772" i="2" s="1"/>
  <c r="U773" i="2" a="1"/>
  <c r="U773" i="2" s="1"/>
  <c r="U774" i="2" a="1"/>
  <c r="U774" i="2" s="1"/>
  <c r="U775" i="2" a="1"/>
  <c r="U775" i="2" s="1"/>
  <c r="U776" i="2" a="1"/>
  <c r="U776" i="2" s="1"/>
  <c r="U777" i="2" a="1"/>
  <c r="U777" i="2" s="1"/>
  <c r="U778" i="2" a="1"/>
  <c r="U778" i="2" s="1"/>
  <c r="U779" i="2" a="1"/>
  <c r="U779" i="2" s="1"/>
  <c r="U780" i="2" a="1"/>
  <c r="U780" i="2" s="1"/>
  <c r="U781" i="2" a="1"/>
  <c r="U781" i="2" s="1"/>
  <c r="U782" i="2" a="1"/>
  <c r="U782" i="2" s="1"/>
  <c r="U783" i="2" a="1"/>
  <c r="U783" i="2" s="1"/>
  <c r="U784" i="2" a="1"/>
  <c r="U784" i="2" s="1"/>
  <c r="U785" i="2" a="1"/>
  <c r="U785" i="2" s="1"/>
  <c r="U786" i="2" a="1"/>
  <c r="U786" i="2" s="1"/>
  <c r="U787" i="2" a="1"/>
  <c r="U787" i="2" s="1"/>
  <c r="U788" i="2" a="1"/>
  <c r="U788" i="2" s="1"/>
  <c r="U789" i="2" a="1"/>
  <c r="U789" i="2" s="1"/>
  <c r="U790" i="2" a="1"/>
  <c r="U790" i="2" s="1"/>
  <c r="U791" i="2" a="1"/>
  <c r="U791" i="2" s="1"/>
  <c r="U792" i="2" a="1"/>
  <c r="U792" i="2" s="1"/>
  <c r="U793" i="2" a="1"/>
  <c r="U793" i="2" s="1"/>
  <c r="U794" i="2" a="1"/>
  <c r="U794" i="2" s="1"/>
  <c r="U795" i="2" a="1"/>
  <c r="U795" i="2" s="1"/>
  <c r="U796" i="2" a="1"/>
  <c r="U796" i="2" s="1"/>
  <c r="U797" i="2" a="1"/>
  <c r="U797" i="2" s="1"/>
  <c r="U798" i="2" a="1"/>
  <c r="U798" i="2" s="1"/>
  <c r="U799" i="2" a="1"/>
  <c r="U799" i="2" s="1"/>
  <c r="U800" i="2" a="1"/>
  <c r="U800" i="2" s="1"/>
  <c r="U801" i="2" a="1"/>
  <c r="U801" i="2" s="1"/>
  <c r="U802" i="2" a="1"/>
  <c r="U802" i="2" s="1"/>
  <c r="U803" i="2" a="1"/>
  <c r="U803" i="2" s="1"/>
  <c r="U804" i="2" a="1"/>
  <c r="U804" i="2" s="1"/>
  <c r="U805" i="2" a="1"/>
  <c r="U805" i="2" s="1"/>
  <c r="U806" i="2" a="1"/>
  <c r="U806" i="2" s="1"/>
  <c r="U807" i="2" a="1"/>
  <c r="U807" i="2" s="1"/>
  <c r="U808" i="2" a="1"/>
  <c r="U808" i="2" s="1"/>
  <c r="U809" i="2" a="1"/>
  <c r="U809" i="2" s="1"/>
  <c r="U810" i="2" a="1"/>
  <c r="U810" i="2" s="1"/>
  <c r="U811" i="2" a="1"/>
  <c r="U811" i="2" s="1"/>
  <c r="U812" i="2" a="1"/>
  <c r="U812" i="2" s="1"/>
  <c r="U813" i="2" a="1"/>
  <c r="U813" i="2" s="1"/>
  <c r="U814" i="2" a="1"/>
  <c r="U814" i="2" s="1"/>
  <c r="U815" i="2" a="1"/>
  <c r="U815" i="2" s="1"/>
  <c r="U816" i="2" a="1"/>
  <c r="U816" i="2" s="1"/>
  <c r="U817" i="2" a="1"/>
  <c r="U817" i="2" s="1"/>
  <c r="U818" i="2" a="1"/>
  <c r="U818" i="2" s="1"/>
  <c r="U819" i="2" a="1"/>
  <c r="U819" i="2" s="1"/>
  <c r="U820" i="2" a="1"/>
  <c r="U820" i="2" s="1"/>
  <c r="U821" i="2" a="1"/>
  <c r="U821" i="2" s="1"/>
  <c r="U822" i="2" a="1"/>
  <c r="U822" i="2" s="1"/>
  <c r="U823" i="2" a="1"/>
  <c r="U823" i="2" s="1"/>
  <c r="U824" i="2" a="1"/>
  <c r="U824" i="2" s="1"/>
  <c r="U825" i="2" a="1"/>
  <c r="U825" i="2" s="1"/>
  <c r="U826" i="2" a="1"/>
  <c r="U826" i="2" s="1"/>
  <c r="U827" i="2" a="1"/>
  <c r="U827" i="2" s="1"/>
  <c r="U828" i="2" a="1"/>
  <c r="U828" i="2" s="1"/>
  <c r="U829" i="2" a="1"/>
  <c r="U829" i="2" s="1"/>
  <c r="U830" i="2" a="1"/>
  <c r="U830" i="2" s="1"/>
  <c r="U831" i="2" a="1"/>
  <c r="U831" i="2" s="1"/>
  <c r="U832" i="2" a="1"/>
  <c r="U832" i="2" s="1"/>
  <c r="U833" i="2" a="1"/>
  <c r="U833" i="2" s="1"/>
  <c r="U834" i="2" a="1"/>
  <c r="U834" i="2" s="1"/>
  <c r="U835" i="2" a="1"/>
  <c r="U835" i="2" s="1"/>
  <c r="U836" i="2" a="1"/>
  <c r="U836" i="2" s="1"/>
  <c r="U837" i="2" a="1"/>
  <c r="U837" i="2" s="1"/>
  <c r="U838" i="2" a="1"/>
  <c r="U838" i="2" s="1"/>
  <c r="U839" i="2" a="1"/>
  <c r="U839" i="2" s="1"/>
  <c r="U840" i="2" a="1"/>
  <c r="U840" i="2" s="1"/>
  <c r="U841" i="2" a="1"/>
  <c r="U841" i="2" s="1"/>
  <c r="U842" i="2" a="1"/>
  <c r="U842" i="2" s="1"/>
  <c r="U843" i="2" a="1"/>
  <c r="U843" i="2" s="1"/>
  <c r="U844" i="2" a="1"/>
  <c r="U844" i="2" s="1"/>
  <c r="U845" i="2" a="1"/>
  <c r="U845" i="2" s="1"/>
  <c r="U846" i="2" a="1"/>
  <c r="U846" i="2" s="1"/>
  <c r="U847" i="2" a="1"/>
  <c r="U847" i="2" s="1"/>
  <c r="U848" i="2" a="1"/>
  <c r="U848" i="2" s="1"/>
  <c r="U849" i="2" a="1"/>
  <c r="U849" i="2" s="1"/>
  <c r="U850" i="2" a="1"/>
  <c r="U850" i="2" s="1"/>
  <c r="U851" i="2" a="1"/>
  <c r="U851" i="2" s="1"/>
  <c r="U852" i="2" a="1"/>
  <c r="U852" i="2" s="1"/>
  <c r="U853" i="2" a="1"/>
  <c r="U853" i="2" s="1"/>
  <c r="U854" i="2" a="1"/>
  <c r="U854" i="2" s="1"/>
  <c r="U855" i="2" a="1"/>
  <c r="U855" i="2" s="1"/>
  <c r="U856" i="2" a="1"/>
  <c r="U856" i="2" s="1"/>
  <c r="U857" i="2" a="1"/>
  <c r="U857" i="2" s="1"/>
  <c r="U858" i="2" a="1"/>
  <c r="U858" i="2" s="1"/>
  <c r="U859" i="2" a="1"/>
  <c r="U859" i="2" s="1"/>
  <c r="U860" i="2" a="1"/>
  <c r="U860" i="2" s="1"/>
  <c r="U861" i="2" a="1"/>
  <c r="U861" i="2" s="1"/>
  <c r="U862" i="2" a="1"/>
  <c r="U862" i="2" s="1"/>
  <c r="U863" i="2" a="1"/>
  <c r="U863" i="2" s="1"/>
  <c r="U864" i="2" a="1"/>
  <c r="U864" i="2" s="1"/>
  <c r="U865" i="2" a="1"/>
  <c r="U865" i="2" s="1"/>
  <c r="U866" i="2" a="1"/>
  <c r="U866" i="2" s="1"/>
  <c r="U867" i="2" a="1"/>
  <c r="U867" i="2" s="1"/>
  <c r="U868" i="2" a="1"/>
  <c r="U868" i="2" s="1"/>
  <c r="U869" i="2" a="1"/>
  <c r="U869" i="2" s="1"/>
  <c r="U870" i="2" a="1"/>
  <c r="U870" i="2" s="1"/>
  <c r="U871" i="2" a="1"/>
  <c r="U871" i="2" s="1"/>
  <c r="U872" i="2" a="1"/>
  <c r="U872" i="2" s="1"/>
  <c r="U873" i="2" a="1"/>
  <c r="U873" i="2" s="1"/>
  <c r="U874" i="2" a="1"/>
  <c r="U874" i="2" s="1"/>
  <c r="U875" i="2" a="1"/>
  <c r="U875" i="2" s="1"/>
  <c r="U876" i="2" a="1"/>
  <c r="U876" i="2" s="1"/>
  <c r="U877" i="2" a="1"/>
  <c r="U877" i="2" s="1"/>
  <c r="U878" i="2" a="1"/>
  <c r="U878" i="2" s="1"/>
  <c r="U879" i="2" a="1"/>
  <c r="U879" i="2" s="1"/>
  <c r="U880" i="2" a="1"/>
  <c r="U880" i="2" s="1"/>
  <c r="U881" i="2" a="1"/>
  <c r="U881" i="2" s="1"/>
  <c r="U882" i="2" a="1"/>
  <c r="U882" i="2" s="1"/>
  <c r="U883" i="2" a="1"/>
  <c r="U883" i="2" s="1"/>
  <c r="U884" i="2" a="1"/>
  <c r="U884" i="2" s="1"/>
  <c r="U885" i="2" a="1"/>
  <c r="U885" i="2" s="1"/>
  <c r="U886" i="2" a="1"/>
  <c r="U886" i="2" s="1"/>
  <c r="U887" i="2" a="1"/>
  <c r="U887" i="2" s="1"/>
  <c r="U888" i="2" a="1"/>
  <c r="U888" i="2" s="1"/>
  <c r="U889" i="2" a="1"/>
  <c r="U889" i="2" s="1"/>
  <c r="U890" i="2" a="1"/>
  <c r="U890" i="2" s="1"/>
  <c r="U891" i="2" a="1"/>
  <c r="U891" i="2" s="1"/>
  <c r="U892" i="2" a="1"/>
  <c r="U892" i="2" s="1"/>
  <c r="U893" i="2" a="1"/>
  <c r="U893" i="2" s="1"/>
  <c r="U894" i="2" a="1"/>
  <c r="U894" i="2" s="1"/>
  <c r="U895" i="2" a="1"/>
  <c r="U895" i="2" s="1"/>
  <c r="U896" i="2" a="1"/>
  <c r="U896" i="2" s="1"/>
  <c r="U897" i="2" a="1"/>
  <c r="U897" i="2" s="1"/>
  <c r="U898" i="2" a="1"/>
  <c r="U898" i="2" s="1"/>
  <c r="U899" i="2" a="1"/>
  <c r="U899" i="2" s="1"/>
  <c r="U900" i="2" a="1"/>
  <c r="U900" i="2" s="1"/>
  <c r="U901" i="2" a="1"/>
  <c r="U901" i="2" s="1"/>
  <c r="U902" i="2" a="1"/>
  <c r="U902" i="2" s="1"/>
  <c r="U903" i="2" a="1"/>
  <c r="U903" i="2" s="1"/>
  <c r="U904" i="2" a="1"/>
  <c r="U904" i="2" s="1"/>
  <c r="U905" i="2" a="1"/>
  <c r="U905" i="2" s="1"/>
  <c r="U906" i="2" a="1"/>
  <c r="U906" i="2" s="1"/>
  <c r="U907" i="2" a="1"/>
  <c r="U907" i="2" s="1"/>
  <c r="U908" i="2" a="1"/>
  <c r="U908" i="2" s="1"/>
  <c r="U909" i="2" a="1"/>
  <c r="U909" i="2" s="1"/>
  <c r="U910" i="2" a="1"/>
  <c r="U910" i="2" s="1"/>
  <c r="U911" i="2" a="1"/>
  <c r="U911" i="2" s="1"/>
  <c r="U912" i="2" a="1"/>
  <c r="U912" i="2" s="1"/>
  <c r="U913" i="2" a="1"/>
  <c r="U913" i="2" s="1"/>
  <c r="U914" i="2" a="1"/>
  <c r="U914" i="2" s="1"/>
  <c r="U915" i="2" a="1"/>
  <c r="U915" i="2" s="1"/>
  <c r="U916" i="2" a="1"/>
  <c r="U916" i="2" s="1"/>
  <c r="U917" i="2" a="1"/>
  <c r="U917" i="2" s="1"/>
  <c r="U918" i="2" a="1"/>
  <c r="U918" i="2" s="1"/>
  <c r="U919" i="2" a="1"/>
  <c r="U919" i="2" s="1"/>
  <c r="U920" i="2" a="1"/>
  <c r="U920" i="2" s="1"/>
  <c r="U921" i="2" a="1"/>
  <c r="U921" i="2" s="1"/>
  <c r="U922" i="2" a="1"/>
  <c r="U922" i="2" s="1"/>
  <c r="U923" i="2" a="1"/>
  <c r="U923" i="2" s="1"/>
  <c r="U924" i="2" a="1"/>
  <c r="U924" i="2" s="1"/>
  <c r="U925" i="2" a="1"/>
  <c r="U925" i="2" s="1"/>
  <c r="U926" i="2" a="1"/>
  <c r="U926" i="2" s="1"/>
  <c r="U927" i="2" a="1"/>
  <c r="U927" i="2" s="1"/>
  <c r="U928" i="2" a="1"/>
  <c r="U928" i="2" s="1"/>
  <c r="U929" i="2" a="1"/>
  <c r="U929" i="2" s="1"/>
  <c r="U930" i="2" a="1"/>
  <c r="U930" i="2" s="1"/>
  <c r="U931" i="2" a="1"/>
  <c r="U931" i="2" s="1"/>
  <c r="U932" i="2" a="1"/>
  <c r="U932" i="2" s="1"/>
  <c r="U933" i="2" a="1"/>
  <c r="U933" i="2" s="1"/>
  <c r="U934" i="2" a="1"/>
  <c r="U934" i="2" s="1"/>
  <c r="U935" i="2" a="1"/>
  <c r="U935" i="2" s="1"/>
  <c r="U936" i="2" a="1"/>
  <c r="U936" i="2" s="1"/>
  <c r="U937" i="2" a="1"/>
  <c r="U937" i="2" s="1"/>
  <c r="U938" i="2" a="1"/>
  <c r="U938" i="2" s="1"/>
  <c r="U939" i="2" a="1"/>
  <c r="U939" i="2" s="1"/>
  <c r="U940" i="2" a="1"/>
  <c r="U940" i="2" s="1"/>
  <c r="U941" i="2" a="1"/>
  <c r="U941" i="2" s="1"/>
  <c r="U942" i="2" a="1"/>
  <c r="U942" i="2" s="1"/>
  <c r="U943" i="2" a="1"/>
  <c r="U943" i="2" s="1"/>
  <c r="U944" i="2" a="1"/>
  <c r="U944" i="2" s="1"/>
  <c r="U945" i="2" a="1"/>
  <c r="U945" i="2" s="1"/>
  <c r="U946" i="2" a="1"/>
  <c r="U946" i="2" s="1"/>
  <c r="U947" i="2" a="1"/>
  <c r="U947" i="2" s="1"/>
  <c r="U948" i="2" a="1"/>
  <c r="U948" i="2" s="1"/>
  <c r="U949" i="2" a="1"/>
  <c r="U949" i="2" s="1"/>
  <c r="U950" i="2" a="1"/>
  <c r="U950" i="2" s="1"/>
  <c r="U951" i="2" a="1"/>
  <c r="U951" i="2" s="1"/>
  <c r="U952" i="2" a="1"/>
  <c r="U952" i="2" s="1"/>
  <c r="U953" i="2" a="1"/>
  <c r="U953" i="2" s="1"/>
  <c r="U954" i="2" a="1"/>
  <c r="U954" i="2" s="1"/>
  <c r="U955" i="2" a="1"/>
  <c r="U955" i="2" s="1"/>
  <c r="U956" i="2" a="1"/>
  <c r="U956" i="2" s="1"/>
  <c r="U957" i="2" a="1"/>
  <c r="U957" i="2" s="1"/>
  <c r="U958" i="2" a="1"/>
  <c r="U958" i="2" s="1"/>
  <c r="U959" i="2" a="1"/>
  <c r="U959" i="2" s="1"/>
  <c r="U960" i="2" a="1"/>
  <c r="U960" i="2" s="1"/>
  <c r="U961" i="2" a="1"/>
  <c r="U961" i="2" s="1"/>
  <c r="U962" i="2" a="1"/>
  <c r="U962" i="2" s="1"/>
  <c r="U963" i="2" a="1"/>
  <c r="U963" i="2" s="1"/>
  <c r="U964" i="2" a="1"/>
  <c r="U964" i="2" s="1"/>
  <c r="U965" i="2" a="1"/>
  <c r="U965" i="2" s="1"/>
  <c r="U966" i="2" a="1"/>
  <c r="U966" i="2" s="1"/>
  <c r="U967" i="2" a="1"/>
  <c r="U967" i="2" s="1"/>
  <c r="U968" i="2" a="1"/>
  <c r="U968" i="2" s="1"/>
  <c r="U969" i="2" a="1"/>
  <c r="U969" i="2" s="1"/>
  <c r="U970" i="2" a="1"/>
  <c r="U970" i="2" s="1"/>
  <c r="U971" i="2" a="1"/>
  <c r="U971" i="2" s="1"/>
  <c r="U972" i="2" a="1"/>
  <c r="U972" i="2" s="1"/>
  <c r="U973" i="2" a="1"/>
  <c r="U973" i="2" s="1"/>
  <c r="U974" i="2" a="1"/>
  <c r="U974" i="2" s="1"/>
  <c r="U975" i="2" a="1"/>
  <c r="U975" i="2" s="1"/>
  <c r="U976" i="2" a="1"/>
  <c r="U976" i="2" s="1"/>
  <c r="U977" i="2" a="1"/>
  <c r="U977" i="2" s="1"/>
  <c r="U978" i="2" a="1"/>
  <c r="U978" i="2" s="1"/>
  <c r="U979" i="2" a="1"/>
  <c r="U979" i="2" s="1"/>
  <c r="U980" i="2" a="1"/>
  <c r="U980" i="2" s="1"/>
  <c r="U981" i="2" a="1"/>
  <c r="U981" i="2" s="1"/>
  <c r="U982" i="2" a="1"/>
  <c r="U982" i="2" s="1"/>
  <c r="U983" i="2" a="1"/>
  <c r="U983" i="2" s="1"/>
  <c r="U984" i="2" a="1"/>
  <c r="U984" i="2" s="1"/>
  <c r="U985" i="2" a="1"/>
  <c r="U985" i="2" s="1"/>
  <c r="U986" i="2" a="1"/>
  <c r="U986" i="2" s="1"/>
  <c r="U987" i="2" a="1"/>
  <c r="U987" i="2" s="1"/>
  <c r="U988" i="2" a="1"/>
  <c r="U988" i="2" s="1"/>
  <c r="U989" i="2" a="1"/>
  <c r="U989" i="2" s="1"/>
  <c r="U990" i="2" a="1"/>
  <c r="U990" i="2" s="1"/>
  <c r="U991" i="2" a="1"/>
  <c r="U991" i="2" s="1"/>
  <c r="U992" i="2" a="1"/>
  <c r="U992" i="2" s="1"/>
  <c r="U993" i="2" a="1"/>
  <c r="U993" i="2" s="1"/>
  <c r="U994" i="2" a="1"/>
  <c r="U994" i="2" s="1"/>
  <c r="U995" i="2" a="1"/>
  <c r="U995" i="2" s="1"/>
  <c r="U996" i="2" a="1"/>
  <c r="U996" i="2" s="1"/>
  <c r="U997" i="2" a="1"/>
  <c r="U997" i="2" s="1"/>
  <c r="U998" i="2" a="1"/>
  <c r="U998" i="2" s="1"/>
  <c r="U999" i="2" a="1"/>
  <c r="U999" i="2" s="1"/>
  <c r="U1000" i="2" a="1"/>
  <c r="U1000" i="2" s="1"/>
  <c r="U1001" i="2" a="1"/>
  <c r="U1001" i="2" s="1"/>
  <c r="U1002" i="2" a="1"/>
  <c r="U1002" i="2" s="1"/>
  <c r="U1003" i="2" a="1"/>
  <c r="U1003" i="2" s="1"/>
  <c r="U1004" i="2" a="1"/>
  <c r="U1004" i="2" s="1"/>
  <c r="U1005" i="2" a="1"/>
  <c r="U1005" i="2" s="1"/>
  <c r="U1006" i="2" a="1"/>
  <c r="U1006" i="2" s="1"/>
  <c r="U1007" i="2" a="1"/>
  <c r="U1007" i="2" s="1"/>
  <c r="U1008" i="2" a="1"/>
  <c r="U1008" i="2" s="1"/>
  <c r="U1009" i="2" a="1"/>
  <c r="U1009" i="2" s="1"/>
  <c r="U1010" i="2" a="1"/>
  <c r="U1010" i="2" s="1"/>
  <c r="U1011" i="2" a="1"/>
  <c r="U1011" i="2" s="1"/>
  <c r="U1012" i="2" a="1"/>
  <c r="U1012" i="2" s="1"/>
  <c r="U1013" i="2" a="1"/>
  <c r="U1013" i="2" s="1"/>
  <c r="U1014" i="2" a="1"/>
  <c r="U1014" i="2" s="1"/>
  <c r="U1015" i="2" a="1"/>
  <c r="U1015" i="2" s="1"/>
  <c r="U1016" i="2" a="1"/>
  <c r="U1016" i="2" s="1"/>
  <c r="U1017" i="2" a="1"/>
  <c r="U1017" i="2" s="1"/>
  <c r="U1018" i="2" a="1"/>
  <c r="U1018" i="2" s="1"/>
  <c r="U1019" i="2" a="1"/>
  <c r="U1019" i="2" s="1"/>
  <c r="U1020" i="2" a="1"/>
  <c r="U1020" i="2" s="1"/>
  <c r="U1021" i="2" a="1"/>
  <c r="U1021" i="2" s="1"/>
  <c r="U1022" i="2" a="1"/>
  <c r="U1022" i="2" s="1"/>
  <c r="U1023" i="2" a="1"/>
  <c r="U1023" i="2" s="1"/>
  <c r="U1024" i="2" a="1"/>
  <c r="U1024" i="2" s="1"/>
  <c r="U1025" i="2" a="1"/>
  <c r="U1025" i="2" s="1"/>
  <c r="U1026" i="2" a="1"/>
  <c r="U1026" i="2" s="1"/>
  <c r="U1027" i="2" a="1"/>
  <c r="U1027" i="2" s="1"/>
  <c r="U1028" i="2" a="1"/>
  <c r="U1028" i="2" s="1"/>
  <c r="U1029" i="2" a="1"/>
  <c r="U1029" i="2" s="1"/>
  <c r="U1030" i="2" a="1"/>
  <c r="U1030" i="2" s="1"/>
  <c r="U1031" i="2" a="1"/>
  <c r="U1031" i="2" s="1"/>
  <c r="U1032" i="2" a="1"/>
  <c r="U1032" i="2" s="1"/>
  <c r="U1033" i="2" a="1"/>
  <c r="U1033" i="2" s="1"/>
  <c r="U1034" i="2" a="1"/>
  <c r="U1034" i="2" s="1"/>
  <c r="U1035" i="2" a="1"/>
  <c r="U1035" i="2" s="1"/>
  <c r="U1036" i="2" a="1"/>
  <c r="U1036" i="2" s="1"/>
  <c r="U1037" i="2" a="1"/>
  <c r="U1037" i="2" s="1"/>
  <c r="U1038" i="2" a="1"/>
  <c r="U1038" i="2" s="1"/>
  <c r="U1039" i="2" a="1"/>
  <c r="U1039" i="2" s="1"/>
  <c r="U1040" i="2" a="1"/>
  <c r="U1040" i="2" s="1"/>
  <c r="U1041" i="2" a="1"/>
  <c r="U1041" i="2" s="1"/>
  <c r="U1042" i="2" a="1"/>
  <c r="U1042" i="2" s="1"/>
  <c r="U1043" i="2" a="1"/>
  <c r="U1043" i="2" s="1"/>
  <c r="U1044" i="2" a="1"/>
  <c r="U1044" i="2" s="1"/>
  <c r="U1045" i="2" a="1"/>
  <c r="U1045" i="2" s="1"/>
  <c r="U1046" i="2" a="1"/>
  <c r="U1046" i="2" s="1"/>
  <c r="U1047" i="2" a="1"/>
  <c r="U1047" i="2" s="1"/>
  <c r="U1048" i="2" a="1"/>
  <c r="U1048" i="2" s="1"/>
  <c r="U1049" i="2" a="1"/>
  <c r="U1049" i="2" s="1"/>
  <c r="U1050" i="2" a="1"/>
  <c r="U1050" i="2" s="1"/>
  <c r="U1051" i="2" a="1"/>
  <c r="U1051" i="2" s="1"/>
  <c r="U1052" i="2" a="1"/>
  <c r="U1052" i="2" s="1"/>
  <c r="U1053" i="2" a="1"/>
  <c r="U1053" i="2" s="1"/>
  <c r="U1054" i="2" a="1"/>
  <c r="U1054" i="2" s="1"/>
  <c r="U1055" i="2" a="1"/>
  <c r="U1055" i="2" s="1"/>
  <c r="U1056" i="2" a="1"/>
  <c r="U1056" i="2" s="1"/>
  <c r="U1057" i="2" a="1"/>
  <c r="U1057" i="2" s="1"/>
  <c r="U1058" i="2" a="1"/>
  <c r="U1058" i="2" s="1"/>
  <c r="U1059" i="2" a="1"/>
  <c r="U1059" i="2" s="1"/>
  <c r="U1060" i="2" a="1"/>
  <c r="U1060" i="2" s="1"/>
  <c r="U1061" i="2" a="1"/>
  <c r="U1061" i="2" s="1"/>
  <c r="U1062" i="2" a="1"/>
  <c r="U1062" i="2" s="1"/>
  <c r="U1063" i="2" a="1"/>
  <c r="U1063" i="2" s="1"/>
  <c r="U1064" i="2" a="1"/>
  <c r="U1064" i="2" s="1"/>
  <c r="U1065" i="2" a="1"/>
  <c r="U1065" i="2" s="1"/>
  <c r="U1066" i="2" a="1"/>
  <c r="U1066" i="2" s="1"/>
  <c r="U1067" i="2" a="1"/>
  <c r="U1067" i="2" s="1"/>
  <c r="U1068" i="2" a="1"/>
  <c r="U1068" i="2" s="1"/>
  <c r="U1069" i="2" a="1"/>
  <c r="U1069" i="2" s="1"/>
  <c r="U1070" i="2" a="1"/>
  <c r="U1070" i="2" s="1"/>
  <c r="U1071" i="2" a="1"/>
  <c r="U1071" i="2" s="1"/>
  <c r="U1072" i="2" a="1"/>
  <c r="U1072" i="2" s="1"/>
  <c r="U1073" i="2" a="1"/>
  <c r="U1073" i="2" s="1"/>
  <c r="U1074" i="2" a="1"/>
  <c r="U1074" i="2" s="1"/>
  <c r="U1075" i="2" a="1"/>
  <c r="U1075" i="2" s="1"/>
  <c r="U1076" i="2" a="1"/>
  <c r="U1076" i="2" s="1"/>
  <c r="U1077" i="2" a="1"/>
  <c r="U1077" i="2" s="1"/>
  <c r="U1078" i="2" a="1"/>
  <c r="U1078" i="2" s="1"/>
  <c r="U1079" i="2" a="1"/>
  <c r="U1079" i="2" s="1"/>
  <c r="U1080" i="2" a="1"/>
  <c r="U1080" i="2" s="1"/>
  <c r="U1081" i="2" a="1"/>
  <c r="U1081" i="2" s="1"/>
  <c r="U1082" i="2" a="1"/>
  <c r="U1082" i="2" s="1"/>
  <c r="U1083" i="2" a="1"/>
  <c r="U1083" i="2" s="1"/>
  <c r="U1084" i="2" a="1"/>
  <c r="U1084" i="2" s="1"/>
  <c r="U1085" i="2" a="1"/>
  <c r="U1085" i="2" s="1"/>
  <c r="U1086" i="2" a="1"/>
  <c r="U1086" i="2" s="1"/>
  <c r="U1087" i="2" a="1"/>
  <c r="U1087" i="2" s="1"/>
  <c r="U1088" i="2" a="1"/>
  <c r="U1088" i="2" s="1"/>
  <c r="U1089" i="2" a="1"/>
  <c r="U1089" i="2" s="1"/>
  <c r="U1090" i="2" a="1"/>
  <c r="U1090" i="2" s="1"/>
  <c r="U1091" i="2" a="1"/>
  <c r="U1091" i="2" s="1"/>
  <c r="U1092" i="2" a="1"/>
  <c r="U1092" i="2" s="1"/>
  <c r="U1093" i="2" a="1"/>
  <c r="U1093" i="2" s="1"/>
  <c r="U1094" i="2" a="1"/>
  <c r="U1094" i="2" s="1"/>
  <c r="U1095" i="2" a="1"/>
  <c r="U1095" i="2" s="1"/>
  <c r="U1096" i="2" a="1"/>
  <c r="U1096" i="2" s="1"/>
  <c r="U1097" i="2" a="1"/>
  <c r="U1097" i="2" s="1"/>
  <c r="U1098" i="2" a="1"/>
  <c r="U1098" i="2" s="1"/>
  <c r="U1099" i="2" a="1"/>
  <c r="U1099" i="2" s="1"/>
  <c r="U1100" i="2" a="1"/>
  <c r="U1100" i="2" s="1"/>
  <c r="U1101" i="2" a="1"/>
  <c r="U1101" i="2" s="1"/>
  <c r="U1102" i="2" a="1"/>
  <c r="U1102" i="2" s="1"/>
  <c r="U1103" i="2" a="1"/>
  <c r="U1103" i="2" s="1"/>
  <c r="U1104" i="2" a="1"/>
  <c r="U1104" i="2" s="1"/>
  <c r="U1105" i="2" a="1"/>
  <c r="U1105" i="2" s="1"/>
  <c r="U1106" i="2" a="1"/>
  <c r="U1106" i="2" s="1"/>
  <c r="U1107" i="2" a="1"/>
  <c r="U1107" i="2" s="1"/>
  <c r="U1108" i="2" a="1"/>
  <c r="U1108" i="2" s="1"/>
  <c r="U1109" i="2" a="1"/>
  <c r="U1109" i="2" s="1"/>
  <c r="U1110" i="2" a="1"/>
  <c r="U1110" i="2" s="1"/>
  <c r="U1111" i="2" a="1"/>
  <c r="U1111" i="2" s="1"/>
  <c r="U1112" i="2" a="1"/>
  <c r="U1112" i="2" s="1"/>
  <c r="U1113" i="2" a="1"/>
  <c r="U1113" i="2" s="1"/>
  <c r="U1114" i="2" a="1"/>
  <c r="U1114" i="2" s="1"/>
  <c r="U1115" i="2" a="1"/>
  <c r="U1115" i="2" s="1"/>
  <c r="U1116" i="2" a="1"/>
  <c r="U1116" i="2" s="1"/>
  <c r="U1117" i="2" a="1"/>
  <c r="U1117" i="2" s="1"/>
  <c r="U1118" i="2" a="1"/>
  <c r="U1118" i="2" s="1"/>
  <c r="U1119" i="2" a="1"/>
  <c r="U1119" i="2" s="1"/>
  <c r="U1120" i="2" a="1"/>
  <c r="U1120" i="2" s="1"/>
  <c r="U1121" i="2" a="1"/>
  <c r="U1121" i="2" s="1"/>
  <c r="U1122" i="2" a="1"/>
  <c r="U1122" i="2" s="1"/>
  <c r="U1123" i="2" a="1"/>
  <c r="U1123" i="2" s="1"/>
  <c r="U1124" i="2" a="1"/>
  <c r="U1124" i="2" s="1"/>
  <c r="U1125" i="2" a="1"/>
  <c r="U1125" i="2" s="1"/>
  <c r="U1126" i="2" a="1"/>
  <c r="U1126" i="2" s="1"/>
  <c r="U1127" i="2" a="1"/>
  <c r="U1127" i="2" s="1"/>
  <c r="U1128" i="2" a="1"/>
  <c r="U1128" i="2" s="1"/>
  <c r="U1129" i="2" a="1"/>
  <c r="U1129" i="2" s="1"/>
  <c r="U1130" i="2" a="1"/>
  <c r="U1130" i="2" s="1"/>
  <c r="U1131" i="2" a="1"/>
  <c r="U1131" i="2" s="1"/>
  <c r="U1132" i="2" a="1"/>
  <c r="U1132" i="2" s="1"/>
  <c r="U1133" i="2" a="1"/>
  <c r="U1133" i="2" s="1"/>
  <c r="U1134" i="2" a="1"/>
  <c r="U1134" i="2" s="1"/>
  <c r="U1135" i="2" a="1"/>
  <c r="U1135" i="2" s="1"/>
  <c r="U1136" i="2" a="1"/>
  <c r="U1136" i="2" s="1"/>
  <c r="U1137" i="2" a="1"/>
  <c r="U1137" i="2" s="1"/>
  <c r="U1138" i="2" a="1"/>
  <c r="U1138" i="2" s="1"/>
  <c r="U1139" i="2" a="1"/>
  <c r="U1139" i="2" s="1"/>
  <c r="U1140" i="2" a="1"/>
  <c r="U1140" i="2" s="1"/>
  <c r="U1141" i="2" a="1"/>
  <c r="U1141" i="2" s="1"/>
  <c r="U1142" i="2" a="1"/>
  <c r="U1142" i="2" s="1"/>
  <c r="U1143" i="2" a="1"/>
  <c r="U1143" i="2" s="1"/>
  <c r="U1144" i="2" a="1"/>
  <c r="U1144" i="2" s="1"/>
  <c r="U1145" i="2" a="1"/>
  <c r="U1145" i="2" s="1"/>
  <c r="U1146" i="2" a="1"/>
  <c r="U1146" i="2" s="1"/>
  <c r="U1147" i="2" a="1"/>
  <c r="U1147" i="2" s="1"/>
  <c r="U1148" i="2" a="1"/>
  <c r="U1148" i="2" s="1"/>
  <c r="U1149" i="2" a="1"/>
  <c r="U1149" i="2" s="1"/>
  <c r="U1150" i="2" a="1"/>
  <c r="U1150" i="2" s="1"/>
  <c r="U1151" i="2" a="1"/>
  <c r="U1151" i="2" s="1"/>
  <c r="U1152" i="2" a="1"/>
  <c r="U1152" i="2" s="1"/>
  <c r="U1153" i="2" a="1"/>
  <c r="U1153" i="2" s="1"/>
  <c r="U1154" i="2" a="1"/>
  <c r="U1154" i="2" s="1"/>
  <c r="U1155" i="2" a="1"/>
  <c r="U1155" i="2" s="1"/>
  <c r="U1156" i="2" a="1"/>
  <c r="U1156" i="2" s="1"/>
  <c r="U1157" i="2" a="1"/>
  <c r="U1157" i="2" s="1"/>
  <c r="U1158" i="2" a="1"/>
  <c r="U1158" i="2" s="1"/>
  <c r="U1159" i="2" a="1"/>
  <c r="U1159" i="2" s="1"/>
  <c r="U1160" i="2" a="1"/>
  <c r="U1160" i="2" s="1"/>
  <c r="U1161" i="2" a="1"/>
  <c r="U1161" i="2" s="1"/>
  <c r="U1162" i="2" a="1"/>
  <c r="U1162" i="2" s="1"/>
  <c r="U1163" i="2" a="1"/>
  <c r="U1163" i="2" s="1"/>
  <c r="U1164" i="2" a="1"/>
  <c r="U1164" i="2" s="1"/>
  <c r="U1165" i="2" a="1"/>
  <c r="U1165" i="2" s="1"/>
  <c r="U1166" i="2" a="1"/>
  <c r="U1166" i="2" s="1"/>
  <c r="U1167" i="2" a="1"/>
  <c r="U1167" i="2" s="1"/>
  <c r="U1168" i="2" a="1"/>
  <c r="U1168" i="2" s="1"/>
  <c r="U1169" i="2" a="1"/>
  <c r="U1169" i="2" s="1"/>
  <c r="U1170" i="2" a="1"/>
  <c r="U1170" i="2" s="1"/>
  <c r="U1171" i="2" a="1"/>
  <c r="U1171" i="2" s="1"/>
  <c r="U1172" i="2" a="1"/>
  <c r="U1172" i="2" s="1"/>
  <c r="U1173" i="2" a="1"/>
  <c r="U1173" i="2" s="1"/>
  <c r="U1174" i="2" a="1"/>
  <c r="U1174" i="2" s="1"/>
  <c r="U1175" i="2" a="1"/>
  <c r="U1175" i="2" s="1"/>
  <c r="U1176" i="2" a="1"/>
  <c r="U1176" i="2" s="1"/>
  <c r="U1177" i="2" a="1"/>
  <c r="U1177" i="2" s="1"/>
  <c r="U1178" i="2" a="1"/>
  <c r="U1178" i="2" s="1"/>
  <c r="U1179" i="2" a="1"/>
  <c r="U1179" i="2" s="1"/>
  <c r="U1180" i="2" a="1"/>
  <c r="U1180" i="2" s="1"/>
  <c r="U1181" i="2" a="1"/>
  <c r="U1181" i="2" s="1"/>
  <c r="U1182" i="2" a="1"/>
  <c r="U1182" i="2" s="1"/>
  <c r="U1183" i="2" a="1"/>
  <c r="U1183" i="2" s="1"/>
  <c r="U1184" i="2" a="1"/>
  <c r="U1184" i="2" s="1"/>
  <c r="U1185" i="2" a="1"/>
  <c r="U1185" i="2" s="1"/>
  <c r="U1186" i="2" a="1"/>
  <c r="U1186" i="2" s="1"/>
  <c r="U1187" i="2" a="1"/>
  <c r="U1187" i="2" s="1"/>
  <c r="U1188" i="2" a="1"/>
  <c r="U1188" i="2" s="1"/>
  <c r="U1189" i="2" a="1"/>
  <c r="U1189" i="2" s="1"/>
  <c r="U1190" i="2" a="1"/>
  <c r="U1190" i="2" s="1"/>
  <c r="U1191" i="2" a="1"/>
  <c r="U1191" i="2" s="1"/>
  <c r="U1192" i="2" a="1"/>
  <c r="U1192" i="2" s="1"/>
  <c r="U1193" i="2" a="1"/>
  <c r="U1193" i="2" s="1"/>
  <c r="U1194" i="2" a="1"/>
  <c r="U1194" i="2" s="1"/>
  <c r="U1195" i="2" a="1"/>
  <c r="U1195" i="2" s="1"/>
  <c r="U1196" i="2" a="1"/>
  <c r="U1196" i="2" s="1"/>
  <c r="U1197" i="2" a="1"/>
  <c r="U1197" i="2" s="1"/>
  <c r="U1198" i="2" a="1"/>
  <c r="U1198" i="2" s="1"/>
  <c r="U1199" i="2" a="1"/>
  <c r="U1199" i="2" s="1"/>
  <c r="U1200" i="2" a="1"/>
  <c r="U1200" i="2" s="1"/>
  <c r="U1201" i="2" a="1"/>
  <c r="U1201" i="2" s="1"/>
  <c r="U1202" i="2" a="1"/>
  <c r="U1202" i="2" s="1"/>
  <c r="U1203" i="2" a="1"/>
  <c r="U1203" i="2" s="1"/>
  <c r="U1204" i="2" a="1"/>
  <c r="U1204" i="2" s="1"/>
  <c r="U1205" i="2" a="1"/>
  <c r="U1205" i="2" s="1"/>
  <c r="U1206" i="2" a="1"/>
  <c r="U1206" i="2" s="1"/>
  <c r="U1207" i="2" a="1"/>
  <c r="U1207" i="2" s="1"/>
  <c r="U1208" i="2" a="1"/>
  <c r="U1208" i="2" s="1"/>
  <c r="U1209" i="2" a="1"/>
  <c r="U1209" i="2" s="1"/>
  <c r="U1210" i="2" a="1"/>
  <c r="U1210" i="2" s="1"/>
  <c r="U1211" i="2" a="1"/>
  <c r="U1211" i="2" s="1"/>
  <c r="U1212" i="2" a="1"/>
  <c r="U1212" i="2" s="1"/>
  <c r="U1213" i="2" a="1"/>
  <c r="U1213" i="2" s="1"/>
  <c r="U1214" i="2" a="1"/>
  <c r="U1214" i="2" s="1"/>
  <c r="U1215" i="2" a="1"/>
  <c r="U1215" i="2" s="1"/>
  <c r="U1216" i="2" a="1"/>
  <c r="U1216" i="2" s="1"/>
  <c r="U1217" i="2" a="1"/>
  <c r="U1217" i="2" s="1"/>
  <c r="U1218" i="2" a="1"/>
  <c r="U1218" i="2" s="1"/>
  <c r="U1219" i="2" a="1"/>
  <c r="U1219" i="2" s="1"/>
  <c r="U1220" i="2" a="1"/>
  <c r="U1220" i="2" s="1"/>
  <c r="U1221" i="2" a="1"/>
  <c r="U1221" i="2" s="1"/>
  <c r="U1222" i="2" a="1"/>
  <c r="U1222" i="2" s="1"/>
  <c r="U1223" i="2" a="1"/>
  <c r="U1223" i="2" s="1"/>
  <c r="U1224" i="2" a="1"/>
  <c r="U1224" i="2" s="1"/>
  <c r="U1225" i="2" a="1"/>
  <c r="U1225" i="2" s="1"/>
  <c r="U1226" i="2" a="1"/>
  <c r="U1226" i="2" s="1"/>
  <c r="U1227" i="2" a="1"/>
  <c r="U1227" i="2" s="1"/>
  <c r="U1228" i="2" a="1"/>
  <c r="U1228" i="2" s="1"/>
  <c r="U1229" i="2" a="1"/>
  <c r="U1229" i="2" s="1"/>
  <c r="U1230" i="2" a="1"/>
  <c r="U1230" i="2" s="1"/>
  <c r="U1231" i="2" a="1"/>
  <c r="U1231" i="2" s="1"/>
  <c r="U1232" i="2" a="1"/>
  <c r="U1232" i="2" s="1"/>
  <c r="U1233" i="2" a="1"/>
  <c r="U1233" i="2" s="1"/>
  <c r="U1234" i="2" a="1"/>
  <c r="U1234" i="2" s="1"/>
  <c r="U1235" i="2" a="1"/>
  <c r="U1235" i="2" s="1"/>
  <c r="U1236" i="2" a="1"/>
  <c r="U1236" i="2" s="1"/>
  <c r="U1237" i="2" a="1"/>
  <c r="U1237" i="2" s="1"/>
  <c r="U1238" i="2" a="1"/>
  <c r="U1238" i="2" s="1"/>
  <c r="U1239" i="2" a="1"/>
  <c r="U1239" i="2" s="1"/>
  <c r="U1240" i="2" a="1"/>
  <c r="U1240" i="2" s="1"/>
  <c r="U1241" i="2" a="1"/>
  <c r="U1241" i="2" s="1"/>
  <c r="U1242" i="2" a="1"/>
  <c r="U1242" i="2" s="1"/>
  <c r="U1243" i="2" a="1"/>
  <c r="U1243" i="2" s="1"/>
  <c r="U1244" i="2" a="1"/>
  <c r="U1244" i="2" s="1"/>
  <c r="U1245" i="2" a="1"/>
  <c r="U1245" i="2" s="1"/>
  <c r="U1246" i="2" a="1"/>
  <c r="U1246" i="2" s="1"/>
  <c r="U1247" i="2" a="1"/>
  <c r="U1247" i="2" s="1"/>
  <c r="U1248" i="2" a="1"/>
  <c r="U1248" i="2" s="1"/>
  <c r="U1249" i="2" a="1"/>
  <c r="U1249" i="2" s="1"/>
  <c r="U1250" i="2" a="1"/>
  <c r="U1250" i="2" s="1"/>
  <c r="U1251" i="2" a="1"/>
  <c r="U1251" i="2" s="1"/>
  <c r="U1252" i="2" a="1"/>
  <c r="U1252" i="2" s="1"/>
  <c r="U1253" i="2" a="1"/>
  <c r="U1253" i="2" s="1"/>
  <c r="U1254" i="2" a="1"/>
  <c r="U1254" i="2" s="1"/>
  <c r="U1255" i="2" a="1"/>
  <c r="U1255" i="2" s="1"/>
  <c r="U1256" i="2" a="1"/>
  <c r="U1256" i="2" s="1"/>
  <c r="U1257" i="2" a="1"/>
  <c r="U1257" i="2" s="1"/>
  <c r="U1258" i="2" a="1"/>
  <c r="U1258" i="2" s="1"/>
  <c r="U1259" i="2" a="1"/>
  <c r="U1259" i="2" s="1"/>
  <c r="U1260" i="2" a="1"/>
  <c r="U1260" i="2" s="1"/>
  <c r="U1261" i="2" a="1"/>
  <c r="U1261" i="2" s="1"/>
  <c r="U1262" i="2" a="1"/>
  <c r="U1262" i="2" s="1"/>
  <c r="U1263" i="2" a="1"/>
  <c r="U1263" i="2" s="1"/>
  <c r="U1264" i="2" a="1"/>
  <c r="U1264" i="2" s="1"/>
  <c r="U1265" i="2" a="1"/>
  <c r="U1265" i="2" s="1"/>
  <c r="U1266" i="2" a="1"/>
  <c r="U1266" i="2" s="1"/>
  <c r="U1267" i="2" a="1"/>
  <c r="U1267" i="2" s="1"/>
  <c r="U1268" i="2" a="1"/>
  <c r="U1268" i="2" s="1"/>
  <c r="U1269" i="2" a="1"/>
  <c r="U1269" i="2" s="1"/>
  <c r="U1270" i="2" a="1"/>
  <c r="U1270" i="2" s="1"/>
  <c r="U1271" i="2" a="1"/>
  <c r="U1271" i="2" s="1"/>
  <c r="U1272" i="2" a="1"/>
  <c r="U1272" i="2" s="1"/>
  <c r="U1273" i="2" a="1"/>
  <c r="U1273" i="2" s="1"/>
  <c r="U1274" i="2" a="1"/>
  <c r="U1274" i="2" s="1"/>
  <c r="U1275" i="2" a="1"/>
  <c r="U1275" i="2" s="1"/>
  <c r="U1276" i="2" a="1"/>
  <c r="U1276" i="2" s="1"/>
  <c r="U1277" i="2" a="1"/>
  <c r="U1277" i="2" s="1"/>
  <c r="U1278" i="2" a="1"/>
  <c r="U1278" i="2" s="1"/>
  <c r="U1279" i="2" a="1"/>
  <c r="U1279" i="2" s="1"/>
  <c r="U1280" i="2" a="1"/>
  <c r="U1280" i="2" s="1"/>
  <c r="U1281" i="2" a="1"/>
  <c r="U1281" i="2" s="1"/>
  <c r="U1282" i="2" a="1"/>
  <c r="U1282" i="2" s="1"/>
  <c r="U1283" i="2" a="1"/>
  <c r="U1283" i="2" s="1"/>
  <c r="U1284" i="2" a="1"/>
  <c r="U1284" i="2" s="1"/>
  <c r="U1285" i="2" a="1"/>
  <c r="U1285" i="2" s="1"/>
  <c r="U1286" i="2" a="1"/>
  <c r="U1286" i="2" s="1"/>
  <c r="U1287" i="2" a="1"/>
  <c r="U1287" i="2" s="1"/>
  <c r="U1288" i="2" a="1"/>
  <c r="U1288" i="2" s="1"/>
  <c r="U1289" i="2" a="1"/>
  <c r="U1289" i="2" s="1"/>
  <c r="U1290" i="2" a="1"/>
  <c r="U1290" i="2" s="1"/>
  <c r="U1291" i="2" a="1"/>
  <c r="U1291" i="2" s="1"/>
  <c r="U1292" i="2" a="1"/>
  <c r="U1292" i="2" s="1"/>
  <c r="U1293" i="2" a="1"/>
  <c r="U1293" i="2" s="1"/>
  <c r="U1294" i="2" a="1"/>
  <c r="U1294" i="2" s="1"/>
  <c r="U1295" i="2" a="1"/>
  <c r="U1295" i="2" s="1"/>
  <c r="U1296" i="2" a="1"/>
  <c r="U1296" i="2" s="1"/>
  <c r="U1297" i="2" a="1"/>
  <c r="U1297" i="2" s="1"/>
  <c r="U1298" i="2" a="1"/>
  <c r="U1298" i="2" s="1"/>
  <c r="U1299" i="2" a="1"/>
  <c r="U1299" i="2" s="1"/>
  <c r="U1300" i="2" a="1"/>
  <c r="U1300" i="2" s="1"/>
  <c r="U1301" i="2" a="1"/>
  <c r="U1301" i="2" s="1"/>
  <c r="U1302" i="2" a="1"/>
  <c r="U1302" i="2" s="1"/>
  <c r="U1303" i="2" a="1"/>
  <c r="U1303" i="2" s="1"/>
  <c r="U1304" i="2" a="1"/>
  <c r="U1304" i="2" s="1"/>
  <c r="U1305" i="2" a="1"/>
  <c r="U1305" i="2" s="1"/>
  <c r="U1306" i="2" a="1"/>
  <c r="U1306" i="2" s="1"/>
  <c r="U1307" i="2" a="1"/>
  <c r="U1307" i="2" s="1"/>
  <c r="U1308" i="2" a="1"/>
  <c r="U1308" i="2" s="1"/>
  <c r="U1309" i="2" a="1"/>
  <c r="U1309" i="2" s="1"/>
  <c r="U1310" i="2" a="1"/>
  <c r="U1310" i="2" s="1"/>
  <c r="U1311" i="2" a="1"/>
  <c r="U1311" i="2" s="1"/>
  <c r="U1312" i="2" a="1"/>
  <c r="U1312" i="2" s="1"/>
  <c r="U1313" i="2" a="1"/>
  <c r="U1313" i="2" s="1"/>
  <c r="U1314" i="2" a="1"/>
  <c r="U1314" i="2" s="1"/>
  <c r="U1315" i="2" a="1"/>
  <c r="U1315" i="2" s="1"/>
  <c r="U1316" i="2" a="1"/>
  <c r="U1316" i="2" s="1"/>
  <c r="U1317" i="2" a="1"/>
  <c r="U1317" i="2" s="1"/>
  <c r="U1318" i="2" a="1"/>
  <c r="U1318" i="2" s="1"/>
  <c r="U1319" i="2" a="1"/>
  <c r="U1319" i="2" s="1"/>
  <c r="U1320" i="2" a="1"/>
  <c r="U1320" i="2" s="1"/>
  <c r="U1321" i="2" a="1"/>
  <c r="U1321" i="2" s="1"/>
  <c r="U1322" i="2" a="1"/>
  <c r="U1322" i="2" s="1"/>
  <c r="U1323" i="2" a="1"/>
  <c r="U1323" i="2" s="1"/>
  <c r="U1324" i="2" a="1"/>
  <c r="U1324" i="2" s="1"/>
  <c r="U1325" i="2" a="1"/>
  <c r="U1325" i="2" s="1"/>
  <c r="U1326" i="2" a="1"/>
  <c r="U1326" i="2" s="1"/>
  <c r="U1327" i="2" a="1"/>
  <c r="U1327" i="2" s="1"/>
  <c r="U1328" i="2" a="1"/>
  <c r="U1328" i="2" s="1"/>
  <c r="U1329" i="2" a="1"/>
  <c r="U1329" i="2" s="1"/>
  <c r="U1330" i="2" a="1"/>
  <c r="U1330" i="2" s="1"/>
  <c r="U1331" i="2" a="1"/>
  <c r="U1331" i="2" s="1"/>
  <c r="U1332" i="2" a="1"/>
  <c r="U1332" i="2" s="1"/>
  <c r="U1333" i="2" a="1"/>
  <c r="U1333" i="2" s="1"/>
  <c r="U1334" i="2" a="1"/>
  <c r="U1334" i="2" s="1"/>
  <c r="U1335" i="2" a="1"/>
  <c r="U1335" i="2" s="1"/>
  <c r="U1336" i="2" a="1"/>
  <c r="U1336" i="2" s="1"/>
  <c r="U1337" i="2" a="1"/>
  <c r="U1337" i="2" s="1"/>
  <c r="U1338" i="2" a="1"/>
  <c r="U1338" i="2" s="1"/>
  <c r="U1339" i="2" a="1"/>
  <c r="U1339" i="2" s="1"/>
  <c r="U1340" i="2" a="1"/>
  <c r="U1340" i="2" s="1"/>
  <c r="U1341" i="2" a="1"/>
  <c r="U1341" i="2" s="1"/>
  <c r="U1342" i="2" a="1"/>
  <c r="U1342" i="2" s="1"/>
  <c r="U1343" i="2" a="1"/>
  <c r="U1343" i="2" s="1"/>
  <c r="U1344" i="2" a="1"/>
  <c r="U1344" i="2" s="1"/>
  <c r="U1345" i="2" a="1"/>
  <c r="U1345" i="2" s="1"/>
  <c r="U1346" i="2" a="1"/>
  <c r="U1346" i="2" s="1"/>
  <c r="U1347" i="2" a="1"/>
  <c r="U1347" i="2" s="1"/>
  <c r="U1348" i="2" a="1"/>
  <c r="U1348" i="2" s="1"/>
  <c r="U1349" i="2" a="1"/>
  <c r="U1349" i="2" s="1"/>
  <c r="U1350" i="2" a="1"/>
  <c r="U1350" i="2" s="1"/>
  <c r="U1351" i="2" a="1"/>
  <c r="U1351" i="2" s="1"/>
  <c r="U1352" i="2" a="1"/>
  <c r="U1352" i="2" s="1"/>
  <c r="U1353" i="2" a="1"/>
  <c r="U1353" i="2" s="1"/>
  <c r="U1354" i="2" a="1"/>
  <c r="U1354" i="2" s="1"/>
  <c r="U1355" i="2" a="1"/>
  <c r="U1355" i="2" s="1"/>
  <c r="U1356" i="2" a="1"/>
  <c r="U1356" i="2" s="1"/>
  <c r="U1357" i="2" a="1"/>
  <c r="U1357" i="2" s="1"/>
  <c r="U1358" i="2" a="1"/>
  <c r="U1358" i="2" s="1"/>
  <c r="U1359" i="2" a="1"/>
  <c r="U1359" i="2" s="1"/>
  <c r="U1360" i="2" a="1"/>
  <c r="U1360" i="2" s="1"/>
  <c r="U1361" i="2" a="1"/>
  <c r="U1361" i="2" s="1"/>
  <c r="U1362" i="2" a="1"/>
  <c r="U1362" i="2" s="1"/>
  <c r="U1363" i="2" a="1"/>
  <c r="U1363" i="2" s="1"/>
  <c r="U1364" i="2" a="1"/>
  <c r="U1364" i="2" s="1"/>
  <c r="U1365" i="2" a="1"/>
  <c r="U1365" i="2" s="1"/>
  <c r="U1366" i="2" a="1"/>
  <c r="U1366" i="2" s="1"/>
  <c r="U1367" i="2" a="1"/>
  <c r="U1367" i="2" s="1"/>
  <c r="U1368" i="2" a="1"/>
  <c r="U1368" i="2" s="1"/>
  <c r="U1369" i="2" a="1"/>
  <c r="U1369" i="2" s="1"/>
  <c r="U1370" i="2" a="1"/>
  <c r="U1370" i="2" s="1"/>
  <c r="U1371" i="2" a="1"/>
  <c r="U1371" i="2" s="1"/>
  <c r="U1372" i="2" a="1"/>
  <c r="U1372" i="2" s="1"/>
  <c r="U1373" i="2" a="1"/>
  <c r="U1373" i="2" s="1"/>
  <c r="U1374" i="2" a="1"/>
  <c r="U1374" i="2" s="1"/>
  <c r="U1375" i="2" a="1"/>
  <c r="U1375" i="2" s="1"/>
  <c r="U1376" i="2" a="1"/>
  <c r="U1376" i="2" s="1"/>
  <c r="U1377" i="2" a="1"/>
  <c r="U1377" i="2" s="1"/>
  <c r="U1378" i="2" a="1"/>
  <c r="U1378" i="2" s="1"/>
  <c r="U1379" i="2" a="1"/>
  <c r="U1379" i="2" s="1"/>
  <c r="U1380" i="2" a="1"/>
  <c r="U1380" i="2" s="1"/>
  <c r="U1381" i="2" a="1"/>
  <c r="U1381" i="2" s="1"/>
  <c r="U1382" i="2" a="1"/>
  <c r="U1382" i="2" s="1"/>
  <c r="U1383" i="2" a="1"/>
  <c r="U1383" i="2" s="1"/>
  <c r="U1384" i="2" a="1"/>
  <c r="U1384" i="2" s="1"/>
  <c r="U1385" i="2" a="1"/>
  <c r="U1385" i="2" s="1"/>
  <c r="U1386" i="2" a="1"/>
  <c r="U1386" i="2" s="1"/>
  <c r="U1387" i="2" a="1"/>
  <c r="U1387" i="2" s="1"/>
  <c r="U1388" i="2" a="1"/>
  <c r="U1388" i="2" s="1"/>
  <c r="U1389" i="2" a="1"/>
  <c r="U1389" i="2" s="1"/>
  <c r="U1390" i="2" a="1"/>
  <c r="U1390" i="2" s="1"/>
  <c r="U1391" i="2" a="1"/>
  <c r="U1391" i="2" s="1"/>
  <c r="U1392" i="2" a="1"/>
  <c r="U1392" i="2" s="1"/>
  <c r="U1393" i="2" a="1"/>
  <c r="U1393" i="2" s="1"/>
  <c r="U1394" i="2" a="1"/>
  <c r="U1394" i="2" s="1"/>
  <c r="U1395" i="2" a="1"/>
  <c r="U1395" i="2" s="1"/>
  <c r="U1396" i="2" a="1"/>
  <c r="U1396" i="2" s="1"/>
  <c r="U1397" i="2" a="1"/>
  <c r="U1397" i="2" s="1"/>
  <c r="U1398" i="2" a="1"/>
  <c r="U1398" i="2" s="1"/>
  <c r="U1399" i="2" a="1"/>
  <c r="U1399" i="2" s="1"/>
  <c r="U1400" i="2" a="1"/>
  <c r="U1400" i="2" s="1"/>
  <c r="U1401" i="2" a="1"/>
  <c r="U1401" i="2" s="1"/>
  <c r="U1402" i="2" a="1"/>
  <c r="U1402" i="2" s="1"/>
  <c r="U1403" i="2" a="1"/>
  <c r="U1403" i="2" s="1"/>
  <c r="U1404" i="2" a="1"/>
  <c r="U1404" i="2" s="1"/>
  <c r="U1405" i="2" a="1"/>
  <c r="U1405" i="2" s="1"/>
  <c r="U1406" i="2" a="1"/>
  <c r="U1406" i="2" s="1"/>
  <c r="U1407" i="2" a="1"/>
  <c r="U1407" i="2" s="1"/>
  <c r="U1408" i="2" a="1"/>
  <c r="U1408" i="2" s="1"/>
  <c r="U1409" i="2" a="1"/>
  <c r="U1409" i="2" s="1"/>
  <c r="U1410" i="2" a="1"/>
  <c r="U1410" i="2" s="1"/>
  <c r="U1411" i="2" a="1"/>
  <c r="U1411" i="2" s="1"/>
  <c r="U1412" i="2" a="1"/>
  <c r="U1412" i="2" s="1"/>
  <c r="U1413" i="2" a="1"/>
  <c r="U1413" i="2" s="1"/>
  <c r="U1414" i="2" a="1"/>
  <c r="U1414" i="2" s="1"/>
  <c r="U1415" i="2" a="1"/>
  <c r="U1415" i="2" s="1"/>
  <c r="U1416" i="2" a="1"/>
  <c r="U1416" i="2" s="1"/>
  <c r="U1417" i="2" a="1"/>
  <c r="U1417" i="2" s="1"/>
  <c r="U1418" i="2" a="1"/>
  <c r="U1418" i="2" s="1"/>
  <c r="U1419" i="2" a="1"/>
  <c r="U1419" i="2" s="1"/>
  <c r="U1420" i="2" a="1"/>
  <c r="U1420" i="2" s="1"/>
  <c r="U1421" i="2" a="1"/>
  <c r="U1421" i="2" s="1"/>
  <c r="U1422" i="2" a="1"/>
  <c r="U1422" i="2" s="1"/>
  <c r="U1423" i="2" a="1"/>
  <c r="U1423" i="2" s="1"/>
  <c r="U1424" i="2" a="1"/>
  <c r="U1424" i="2" s="1"/>
  <c r="U1425" i="2" a="1"/>
  <c r="U1425" i="2" s="1"/>
  <c r="U1426" i="2" a="1"/>
  <c r="U1426" i="2" s="1"/>
  <c r="U1427" i="2" a="1"/>
  <c r="U1427" i="2" s="1"/>
  <c r="U1428" i="2" a="1"/>
  <c r="U1428" i="2" s="1"/>
  <c r="U1429" i="2" a="1"/>
  <c r="U1429" i="2" s="1"/>
  <c r="U1430" i="2" a="1"/>
  <c r="U1430" i="2" s="1"/>
  <c r="U1431" i="2" a="1"/>
  <c r="U1431" i="2" s="1"/>
  <c r="U1432" i="2" a="1"/>
  <c r="U1432" i="2" s="1"/>
  <c r="U1433" i="2" a="1"/>
  <c r="U1433" i="2" s="1"/>
  <c r="U1434" i="2" a="1"/>
  <c r="U1434" i="2" s="1"/>
  <c r="U1435" i="2" a="1"/>
  <c r="U1435" i="2" s="1"/>
  <c r="U1436" i="2" a="1"/>
  <c r="U1436" i="2" s="1"/>
  <c r="U1437" i="2" a="1"/>
  <c r="U1437" i="2" s="1"/>
  <c r="U1438" i="2" a="1"/>
  <c r="U1438" i="2" s="1"/>
  <c r="U1439" i="2" a="1"/>
  <c r="U1439" i="2" s="1"/>
  <c r="U1440" i="2" a="1"/>
  <c r="U1440" i="2" s="1"/>
  <c r="U1441" i="2" a="1"/>
  <c r="U1441" i="2" s="1"/>
  <c r="U1442" i="2" a="1"/>
  <c r="U1442" i="2" s="1"/>
  <c r="U1443" i="2" a="1"/>
  <c r="U1443" i="2" s="1"/>
  <c r="U1444" i="2" a="1"/>
  <c r="U1444" i="2" s="1"/>
  <c r="U1445" i="2" a="1"/>
  <c r="U1445" i="2" s="1"/>
  <c r="U1446" i="2" a="1"/>
  <c r="U1446" i="2" s="1"/>
  <c r="U1447" i="2" a="1"/>
  <c r="U1447" i="2" s="1"/>
  <c r="U1448" i="2" a="1"/>
  <c r="U1448" i="2" s="1"/>
  <c r="U1449" i="2" a="1"/>
  <c r="U1449" i="2" s="1"/>
  <c r="U1450" i="2" a="1"/>
  <c r="U1450" i="2" s="1"/>
  <c r="U1451" i="2" a="1"/>
  <c r="U1451" i="2" s="1"/>
  <c r="U1452" i="2" a="1"/>
  <c r="U1452" i="2" s="1"/>
  <c r="U1453" i="2" a="1"/>
  <c r="U1453" i="2" s="1"/>
  <c r="U1454" i="2" a="1"/>
  <c r="U1454" i="2" s="1"/>
  <c r="U1455" i="2" a="1"/>
  <c r="U1455" i="2" s="1"/>
  <c r="U1456" i="2" a="1"/>
  <c r="U1456" i="2" s="1"/>
  <c r="U1457" i="2" a="1"/>
  <c r="U1457" i="2" s="1"/>
  <c r="U1458" i="2" a="1"/>
  <c r="U1458" i="2" s="1"/>
  <c r="U1459" i="2" a="1"/>
  <c r="U1459" i="2" s="1"/>
  <c r="U1460" i="2" a="1"/>
  <c r="U1460" i="2" s="1"/>
  <c r="U1461" i="2" a="1"/>
  <c r="U1461" i="2" s="1"/>
  <c r="U1462" i="2" a="1"/>
  <c r="U1462" i="2" s="1"/>
  <c r="U1463" i="2" a="1"/>
  <c r="U1463" i="2" s="1"/>
  <c r="U1464" i="2" a="1"/>
  <c r="U1464" i="2" s="1"/>
  <c r="U1465" i="2" a="1"/>
  <c r="U1465" i="2" s="1"/>
  <c r="U1466" i="2" a="1"/>
  <c r="U1466" i="2" s="1"/>
  <c r="U1467" i="2" a="1"/>
  <c r="U1467" i="2" s="1"/>
  <c r="U1468" i="2" a="1"/>
  <c r="U1468" i="2" s="1"/>
  <c r="U1469" i="2" a="1"/>
  <c r="U1469" i="2" s="1"/>
  <c r="U1470" i="2" a="1"/>
  <c r="U1470" i="2" s="1"/>
  <c r="U1471" i="2" a="1"/>
  <c r="U1471" i="2" s="1"/>
  <c r="U1472" i="2" a="1"/>
  <c r="U1472" i="2" s="1"/>
  <c r="U1473" i="2" a="1"/>
  <c r="U1473" i="2" s="1"/>
  <c r="U1474" i="2" a="1"/>
  <c r="U1474" i="2" s="1"/>
  <c r="U1475" i="2" a="1"/>
  <c r="U1475" i="2" s="1"/>
  <c r="U1476" i="2" a="1"/>
  <c r="U1476" i="2" s="1"/>
  <c r="U1477" i="2" a="1"/>
  <c r="U1477" i="2" s="1"/>
  <c r="U1478" i="2" a="1"/>
  <c r="U1478" i="2" s="1"/>
  <c r="U1479" i="2" a="1"/>
  <c r="U1479" i="2" s="1"/>
  <c r="U1480" i="2" a="1"/>
  <c r="U1480" i="2" s="1"/>
  <c r="U1481" i="2" a="1"/>
  <c r="U1481" i="2" s="1"/>
  <c r="U1482" i="2" a="1"/>
  <c r="U1482" i="2" s="1"/>
  <c r="U1483" i="2" a="1"/>
  <c r="U1483" i="2" s="1"/>
  <c r="U1484" i="2" a="1"/>
  <c r="U1484" i="2" s="1"/>
  <c r="U1485" i="2" a="1"/>
  <c r="U1485" i="2" s="1"/>
  <c r="U1486" i="2" a="1"/>
  <c r="U1486" i="2" s="1"/>
  <c r="U1487" i="2" a="1"/>
  <c r="U1487" i="2" s="1"/>
  <c r="U1488" i="2" a="1"/>
  <c r="U1488" i="2" s="1"/>
  <c r="U1489" i="2" a="1"/>
  <c r="U1489" i="2" s="1"/>
  <c r="U1490" i="2" a="1"/>
  <c r="U1490" i="2" s="1"/>
  <c r="U1491" i="2" a="1"/>
  <c r="U1491" i="2" s="1"/>
  <c r="U1492" i="2" a="1"/>
  <c r="U1492" i="2" s="1"/>
  <c r="U1493" i="2" a="1"/>
  <c r="U1493" i="2" s="1"/>
  <c r="U1494" i="2" a="1"/>
  <c r="U1494" i="2" s="1"/>
  <c r="U1495" i="2" a="1"/>
  <c r="U1495" i="2" s="1"/>
  <c r="U1496" i="2" a="1"/>
  <c r="U1496" i="2" s="1"/>
  <c r="U1497" i="2" a="1"/>
  <c r="U1497" i="2" s="1"/>
  <c r="U1498" i="2" a="1"/>
  <c r="U1498" i="2" s="1"/>
  <c r="U1499" i="2" a="1"/>
  <c r="U1499" i="2" s="1"/>
  <c r="U1500" i="2" a="1"/>
  <c r="U1500" i="2" s="1"/>
  <c r="U1501" i="2" a="1"/>
  <c r="U1501" i="2" s="1"/>
  <c r="U1502" i="2" a="1"/>
  <c r="U1502" i="2" s="1"/>
  <c r="U1503" i="2" a="1"/>
  <c r="U1503" i="2" s="1"/>
  <c r="U1504" i="2" a="1"/>
  <c r="U1504" i="2" s="1"/>
  <c r="U1505" i="2" a="1"/>
  <c r="U1505" i="2" s="1"/>
  <c r="U1506" i="2" a="1"/>
  <c r="U1506" i="2" s="1"/>
  <c r="U1507" i="2" a="1"/>
  <c r="U1507" i="2" s="1"/>
  <c r="U1508" i="2" a="1"/>
  <c r="U1508" i="2" s="1"/>
  <c r="U1509" i="2" a="1"/>
  <c r="U1509" i="2" s="1"/>
  <c r="U1510" i="2" a="1"/>
  <c r="U1510" i="2" s="1"/>
  <c r="U1511" i="2" a="1"/>
  <c r="U1511" i="2" s="1"/>
  <c r="U1512" i="2" a="1"/>
  <c r="U1512" i="2" s="1"/>
  <c r="U1513" i="2" a="1"/>
  <c r="U1513" i="2" s="1"/>
  <c r="U1514" i="2" a="1"/>
  <c r="U1514" i="2" s="1"/>
  <c r="U1515" i="2" a="1"/>
  <c r="U1515" i="2" s="1"/>
  <c r="U1516" i="2" a="1"/>
  <c r="U1516" i="2" s="1"/>
  <c r="U1517" i="2" a="1"/>
  <c r="U1517" i="2" s="1"/>
  <c r="U1518" i="2" a="1"/>
  <c r="U1518" i="2" s="1"/>
  <c r="U1519" i="2" a="1"/>
  <c r="U1519" i="2" s="1"/>
  <c r="U1520" i="2" a="1"/>
  <c r="U1520" i="2" s="1"/>
  <c r="U1521" i="2" a="1"/>
  <c r="U1521" i="2" s="1"/>
  <c r="U1522" i="2" a="1"/>
  <c r="U1522" i="2" s="1"/>
  <c r="U1523" i="2" a="1"/>
  <c r="U1523" i="2" s="1"/>
  <c r="U1524" i="2" a="1"/>
  <c r="U1524" i="2" s="1"/>
  <c r="U1525" i="2" a="1"/>
  <c r="U1525" i="2" s="1"/>
  <c r="U1526" i="2" a="1"/>
  <c r="U1526" i="2" s="1"/>
  <c r="U1527" i="2" a="1"/>
  <c r="U1527" i="2" s="1"/>
  <c r="U1528" i="2" a="1"/>
  <c r="U1528" i="2" s="1"/>
  <c r="U1529" i="2" a="1"/>
  <c r="U1529" i="2" s="1"/>
  <c r="U1530" i="2" a="1"/>
  <c r="U1530" i="2" s="1"/>
  <c r="U1531" i="2" a="1"/>
  <c r="U1531" i="2" s="1"/>
  <c r="U1532" i="2" a="1"/>
  <c r="U1532" i="2" s="1"/>
  <c r="U1533" i="2" a="1"/>
  <c r="U1533" i="2" s="1"/>
  <c r="U1534" i="2" a="1"/>
  <c r="U1534" i="2" s="1"/>
  <c r="U1535" i="2" a="1"/>
  <c r="U1535" i="2" s="1"/>
  <c r="U1536" i="2" a="1"/>
  <c r="U1536" i="2" s="1"/>
  <c r="U1537" i="2" a="1"/>
  <c r="U1537" i="2" s="1"/>
  <c r="U1538" i="2" a="1"/>
  <c r="U1538" i="2" s="1"/>
  <c r="U1539" i="2" a="1"/>
  <c r="U1539" i="2" s="1"/>
  <c r="U1540" i="2" a="1"/>
  <c r="U1540" i="2" s="1"/>
  <c r="U1541" i="2" a="1"/>
  <c r="U1541" i="2" s="1"/>
  <c r="U1542" i="2" a="1"/>
  <c r="U1542" i="2" s="1"/>
  <c r="U1543" i="2" a="1"/>
  <c r="U1543" i="2" s="1"/>
  <c r="U1544" i="2" a="1"/>
  <c r="U1544" i="2" s="1"/>
  <c r="U1545" i="2" a="1"/>
  <c r="U1545" i="2" s="1"/>
  <c r="U1546" i="2" a="1"/>
  <c r="U1546" i="2" s="1"/>
  <c r="U1547" i="2" a="1"/>
  <c r="U1547" i="2" s="1"/>
  <c r="U1548" i="2" a="1"/>
  <c r="U1548" i="2" s="1"/>
  <c r="U1549" i="2" a="1"/>
  <c r="U1549" i="2" s="1"/>
  <c r="U1550" i="2" a="1"/>
  <c r="U1550" i="2" s="1"/>
  <c r="U1551" i="2" a="1"/>
  <c r="U1551" i="2" s="1"/>
  <c r="U1552" i="2" a="1"/>
  <c r="U1552" i="2" s="1"/>
  <c r="U1553" i="2" a="1"/>
  <c r="U1553" i="2" s="1"/>
  <c r="U1554" i="2" a="1"/>
  <c r="U1554" i="2" s="1"/>
  <c r="U1555" i="2" a="1"/>
  <c r="U1555" i="2" s="1"/>
  <c r="U1556" i="2" a="1"/>
  <c r="U1556" i="2" s="1"/>
  <c r="U1557" i="2" a="1"/>
  <c r="U1557" i="2" s="1"/>
  <c r="U1558" i="2" a="1"/>
  <c r="U1558" i="2" s="1"/>
  <c r="U1559" i="2" a="1"/>
  <c r="U1559" i="2" s="1"/>
  <c r="U1560" i="2" a="1"/>
  <c r="U1560" i="2" s="1"/>
  <c r="U1561" i="2" a="1"/>
  <c r="U1561" i="2" s="1"/>
  <c r="U1562" i="2" a="1"/>
  <c r="U1562" i="2" s="1"/>
  <c r="U1563" i="2" a="1"/>
  <c r="U1563" i="2" s="1"/>
  <c r="U1564" i="2" a="1"/>
  <c r="U1564" i="2" s="1"/>
  <c r="U1565" i="2" a="1"/>
  <c r="U1565" i="2" s="1"/>
  <c r="U1566" i="2" a="1"/>
  <c r="U1566" i="2" s="1"/>
  <c r="U1567" i="2" a="1"/>
  <c r="U1567" i="2" s="1"/>
  <c r="U1568" i="2" a="1"/>
  <c r="U1568" i="2" s="1"/>
  <c r="U1569" i="2" a="1"/>
  <c r="U1569" i="2" s="1"/>
  <c r="U1570" i="2" a="1"/>
  <c r="U1570" i="2" s="1"/>
  <c r="U1571" i="2" a="1"/>
  <c r="U1571" i="2" s="1"/>
  <c r="U1572" i="2" a="1"/>
  <c r="U1572" i="2" s="1"/>
  <c r="U1573" i="2" a="1"/>
  <c r="U1573" i="2" s="1"/>
  <c r="U1574" i="2" a="1"/>
  <c r="U1574" i="2" s="1"/>
  <c r="U1575" i="2" a="1"/>
  <c r="U1575" i="2" s="1"/>
  <c r="U1576" i="2" a="1"/>
  <c r="U1576" i="2" s="1"/>
  <c r="U1577" i="2" a="1"/>
  <c r="U1577" i="2" s="1"/>
  <c r="U1578" i="2" a="1"/>
  <c r="U1578" i="2" s="1"/>
  <c r="U1579" i="2" a="1"/>
  <c r="U1579" i="2" s="1"/>
  <c r="U1580" i="2" a="1"/>
  <c r="U1580" i="2" s="1"/>
  <c r="U1581" i="2" a="1"/>
  <c r="U1581" i="2" s="1"/>
  <c r="U1582" i="2" a="1"/>
  <c r="U1582" i="2" s="1"/>
  <c r="U1583" i="2" a="1"/>
  <c r="U1583" i="2" s="1"/>
  <c r="U1584" i="2" a="1"/>
  <c r="U1584" i="2" s="1"/>
  <c r="U1585" i="2" a="1"/>
  <c r="U1585" i="2" s="1"/>
  <c r="U1586" i="2" a="1"/>
  <c r="U1586" i="2" s="1"/>
  <c r="U1587" i="2" a="1"/>
  <c r="U1587" i="2" s="1"/>
  <c r="U1588" i="2" a="1"/>
  <c r="U1588" i="2" s="1"/>
  <c r="U1589" i="2" a="1"/>
  <c r="U1589" i="2" s="1"/>
  <c r="U1590" i="2" a="1"/>
  <c r="U1590" i="2" s="1"/>
  <c r="U1591" i="2" a="1"/>
  <c r="U1591" i="2" s="1"/>
  <c r="U1592" i="2" a="1"/>
  <c r="U1592" i="2" s="1"/>
  <c r="U1593" i="2" a="1"/>
  <c r="U1593" i="2" s="1"/>
  <c r="U1594" i="2" a="1"/>
  <c r="U1594" i="2" s="1"/>
  <c r="U1595" i="2" a="1"/>
  <c r="U1595" i="2" s="1"/>
  <c r="U1596" i="2" a="1"/>
  <c r="U1596" i="2" s="1"/>
  <c r="U1597" i="2" a="1"/>
  <c r="U1597" i="2" s="1"/>
  <c r="U1598" i="2" a="1"/>
  <c r="U1598" i="2" s="1"/>
  <c r="U1599" i="2" a="1"/>
  <c r="U1599" i="2" s="1"/>
  <c r="U1600" i="2" a="1"/>
  <c r="U1600" i="2" s="1"/>
  <c r="U1601" i="2" a="1"/>
  <c r="U1601" i="2" s="1"/>
  <c r="U1602" i="2" a="1"/>
  <c r="U1602" i="2" s="1"/>
  <c r="U1603" i="2" a="1"/>
  <c r="U1603" i="2" s="1"/>
  <c r="U1604" i="2" a="1"/>
  <c r="U1604" i="2" s="1"/>
  <c r="U1605" i="2" a="1"/>
  <c r="U1605" i="2" s="1"/>
  <c r="U1606" i="2" a="1"/>
  <c r="U1606" i="2" s="1"/>
  <c r="U1607" i="2" a="1"/>
  <c r="U1607" i="2" s="1"/>
  <c r="U1608" i="2" a="1"/>
  <c r="U1608" i="2" s="1"/>
  <c r="U1609" i="2" a="1"/>
  <c r="U1609" i="2" s="1"/>
  <c r="U1610" i="2" a="1"/>
  <c r="U1610" i="2" s="1"/>
  <c r="U1611" i="2" a="1"/>
  <c r="U1611" i="2" s="1"/>
  <c r="U1612" i="2" a="1"/>
  <c r="U1612" i="2" s="1"/>
  <c r="U1613" i="2" a="1"/>
  <c r="U1613" i="2" s="1"/>
  <c r="U1614" i="2" a="1"/>
  <c r="U1614" i="2" s="1"/>
  <c r="U1615" i="2" a="1"/>
  <c r="U1615" i="2" s="1"/>
  <c r="U1616" i="2" a="1"/>
  <c r="U1616" i="2" s="1"/>
  <c r="U1617" i="2" a="1"/>
  <c r="U1617" i="2" s="1"/>
  <c r="U1618" i="2" a="1"/>
  <c r="U1618" i="2" s="1"/>
  <c r="U1619" i="2" a="1"/>
  <c r="U1619" i="2" s="1"/>
  <c r="U1620" i="2" a="1"/>
  <c r="U1620" i="2" s="1"/>
  <c r="U1621" i="2" a="1"/>
  <c r="U1621" i="2" s="1"/>
  <c r="U1622" i="2" a="1"/>
  <c r="U1622" i="2" s="1"/>
  <c r="U1623" i="2" a="1"/>
  <c r="U1623" i="2" s="1"/>
  <c r="U1624" i="2" a="1"/>
  <c r="U1624" i="2" s="1"/>
  <c r="U1625" i="2" a="1"/>
  <c r="U1625" i="2" s="1"/>
  <c r="U1626" i="2" a="1"/>
  <c r="U1626" i="2" s="1"/>
  <c r="U1627" i="2" a="1"/>
  <c r="U1627" i="2" s="1"/>
  <c r="U1628" i="2" a="1"/>
  <c r="U1628" i="2" s="1"/>
  <c r="U1629" i="2" a="1"/>
  <c r="U1629" i="2" s="1"/>
  <c r="U1630" i="2" a="1"/>
  <c r="U1630" i="2" s="1"/>
  <c r="U1631" i="2" a="1"/>
  <c r="U1631" i="2" s="1"/>
  <c r="U1632" i="2" a="1"/>
  <c r="U1632" i="2" s="1"/>
  <c r="U1633" i="2" a="1"/>
  <c r="U1633" i="2" s="1"/>
  <c r="U1634" i="2" a="1"/>
  <c r="U1634" i="2" s="1"/>
  <c r="U1635" i="2" a="1"/>
  <c r="U1635" i="2" s="1"/>
  <c r="U1636" i="2" a="1"/>
  <c r="U1636" i="2" s="1"/>
  <c r="U1637" i="2" a="1"/>
  <c r="U1637" i="2" s="1"/>
  <c r="U1638" i="2" a="1"/>
  <c r="U1638" i="2" s="1"/>
  <c r="U1639" i="2" a="1"/>
  <c r="U1639" i="2" s="1"/>
  <c r="U1640" i="2" a="1"/>
  <c r="U1640" i="2" s="1"/>
  <c r="U1641" i="2" a="1"/>
  <c r="U1641" i="2" s="1"/>
  <c r="U1642" i="2" a="1"/>
  <c r="U1642" i="2" s="1"/>
  <c r="U1643" i="2" a="1"/>
  <c r="U1643" i="2" s="1"/>
  <c r="U1644" i="2" a="1"/>
  <c r="U1644" i="2" s="1"/>
  <c r="U1645" i="2" a="1"/>
  <c r="U1645" i="2" s="1"/>
  <c r="U1646" i="2" a="1"/>
  <c r="U1646" i="2" s="1"/>
  <c r="U1647" i="2" a="1"/>
  <c r="U1647" i="2" s="1"/>
  <c r="U1648" i="2" a="1"/>
  <c r="U1648" i="2" s="1"/>
  <c r="U1649" i="2" a="1"/>
  <c r="U1649" i="2" s="1"/>
  <c r="U1650" i="2" a="1"/>
  <c r="U1650" i="2" s="1"/>
  <c r="U1651" i="2" a="1"/>
  <c r="U1651" i="2" s="1"/>
  <c r="U1652" i="2" a="1"/>
  <c r="U1652" i="2" s="1"/>
  <c r="U1653" i="2" a="1"/>
  <c r="U1653" i="2" s="1"/>
  <c r="U1654" i="2" a="1"/>
  <c r="U1654" i="2" s="1"/>
  <c r="U1655" i="2" a="1"/>
  <c r="U1655" i="2" s="1"/>
  <c r="U1656" i="2" a="1"/>
  <c r="U1656" i="2" s="1"/>
  <c r="U1657" i="2" a="1"/>
  <c r="U1657" i="2" s="1"/>
  <c r="U1658" i="2" a="1"/>
  <c r="U1658" i="2" s="1"/>
  <c r="U1659" i="2" a="1"/>
  <c r="U1659" i="2" s="1"/>
  <c r="U1660" i="2" a="1"/>
  <c r="U1660" i="2" s="1"/>
  <c r="U1661" i="2" a="1"/>
  <c r="U1661" i="2" s="1"/>
  <c r="U1662" i="2" a="1"/>
  <c r="U1662" i="2" s="1"/>
  <c r="U1663" i="2" a="1"/>
  <c r="U1663" i="2" s="1"/>
  <c r="U1664" i="2" a="1"/>
  <c r="U1664" i="2" s="1"/>
  <c r="U1665" i="2" a="1"/>
  <c r="U1665" i="2" s="1"/>
  <c r="U1666" i="2" a="1"/>
  <c r="U1666" i="2" s="1"/>
  <c r="U1667" i="2" a="1"/>
  <c r="U1667" i="2" s="1"/>
  <c r="U1668" i="2" a="1"/>
  <c r="U1668" i="2" s="1"/>
  <c r="U1669" i="2" a="1"/>
  <c r="U1669" i="2" s="1"/>
  <c r="U1670" i="2" a="1"/>
  <c r="U1670" i="2" s="1"/>
  <c r="U1671" i="2" a="1"/>
  <c r="U1671" i="2" s="1"/>
  <c r="U1672" i="2" a="1"/>
  <c r="U1672" i="2" s="1"/>
  <c r="U1673" i="2" a="1"/>
  <c r="U1673" i="2" s="1"/>
  <c r="U1674" i="2" a="1"/>
  <c r="U1674" i="2" s="1"/>
  <c r="U1675" i="2" a="1"/>
  <c r="U1675" i="2" s="1"/>
  <c r="U1676" i="2" a="1"/>
  <c r="U1676" i="2" s="1"/>
  <c r="U1677" i="2" a="1"/>
  <c r="U1677" i="2" s="1"/>
  <c r="U1678" i="2" a="1"/>
  <c r="U1678" i="2" s="1"/>
  <c r="U1679" i="2" a="1"/>
  <c r="U1679" i="2" s="1"/>
  <c r="U1680" i="2" a="1"/>
  <c r="U1680" i="2" s="1"/>
  <c r="U1681" i="2" a="1"/>
  <c r="U1681" i="2" s="1"/>
  <c r="U1682" i="2" a="1"/>
  <c r="U1682" i="2" s="1"/>
  <c r="U1683" i="2" a="1"/>
  <c r="U1683" i="2" s="1"/>
  <c r="U1684" i="2" a="1"/>
  <c r="U1684" i="2" s="1"/>
  <c r="U1685" i="2" a="1"/>
  <c r="U1685" i="2" s="1"/>
  <c r="U1686" i="2" a="1"/>
  <c r="U1686" i="2" s="1"/>
  <c r="U1687" i="2" a="1"/>
  <c r="U1687" i="2" s="1"/>
  <c r="U1688" i="2" a="1"/>
  <c r="U1688" i="2" s="1"/>
  <c r="U1689" i="2" a="1"/>
  <c r="U1689" i="2" s="1"/>
  <c r="U1690" i="2" a="1"/>
  <c r="U1690" i="2" s="1"/>
  <c r="U1691" i="2" a="1"/>
  <c r="U1691" i="2" s="1"/>
  <c r="U1692" i="2" a="1"/>
  <c r="U1692" i="2" s="1"/>
  <c r="U1693" i="2" a="1"/>
  <c r="U1693" i="2" s="1"/>
  <c r="U1694" i="2" a="1"/>
  <c r="U1694" i="2" s="1"/>
  <c r="U1695" i="2" a="1"/>
  <c r="U1695" i="2" s="1"/>
  <c r="U1696" i="2" a="1"/>
  <c r="U1696" i="2" s="1"/>
  <c r="U1697" i="2" a="1"/>
  <c r="U1697" i="2" s="1"/>
  <c r="U1698" i="2" a="1"/>
  <c r="U1698" i="2" s="1"/>
  <c r="U1699" i="2" a="1"/>
  <c r="U1699" i="2" s="1"/>
  <c r="U1700" i="2" a="1"/>
  <c r="U1700" i="2" s="1"/>
  <c r="U1701" i="2" a="1"/>
  <c r="U1701" i="2" s="1"/>
  <c r="U1702" i="2" a="1"/>
  <c r="U1702" i="2" s="1"/>
  <c r="U1703" i="2" a="1"/>
  <c r="U1703" i="2" s="1"/>
  <c r="U1704" i="2" a="1"/>
  <c r="U1704" i="2" s="1"/>
  <c r="U1705" i="2" a="1"/>
  <c r="U1705" i="2" s="1"/>
  <c r="U1706" i="2" a="1"/>
  <c r="U1706" i="2" s="1"/>
  <c r="U1707" i="2" a="1"/>
  <c r="U1707" i="2" s="1"/>
  <c r="U1708" i="2" a="1"/>
  <c r="U1708" i="2" s="1"/>
  <c r="U1709" i="2" a="1"/>
  <c r="U1709" i="2" s="1"/>
  <c r="U1710" i="2" a="1"/>
  <c r="U1710" i="2" s="1"/>
  <c r="U1711" i="2" a="1"/>
  <c r="U1711" i="2" s="1"/>
  <c r="U1712" i="2" a="1"/>
  <c r="U1712" i="2" s="1"/>
  <c r="U1713" i="2" a="1"/>
  <c r="U1713" i="2" s="1"/>
  <c r="U1714" i="2" a="1"/>
  <c r="U1714" i="2" s="1"/>
  <c r="U1715" i="2" a="1"/>
  <c r="U1715" i="2" s="1"/>
  <c r="U1716" i="2" a="1"/>
  <c r="U1716" i="2" s="1"/>
  <c r="U1717" i="2" a="1"/>
  <c r="U1717" i="2" s="1"/>
  <c r="U1718" i="2" a="1"/>
  <c r="U1718" i="2" s="1"/>
  <c r="U1719" i="2" a="1"/>
  <c r="U1719" i="2" s="1"/>
  <c r="U1720" i="2" a="1"/>
  <c r="U1720" i="2" s="1"/>
  <c r="U1721" i="2" a="1"/>
  <c r="U1721" i="2" s="1"/>
  <c r="U1722" i="2" a="1"/>
  <c r="U1722" i="2" s="1"/>
  <c r="U1723" i="2" a="1"/>
  <c r="U1723" i="2" s="1"/>
  <c r="U1724" i="2" a="1"/>
  <c r="U1724" i="2" s="1"/>
  <c r="U1725" i="2" a="1"/>
  <c r="U1725" i="2" s="1"/>
  <c r="U1726" i="2" a="1"/>
  <c r="U1726" i="2" s="1"/>
  <c r="U1727" i="2" a="1"/>
  <c r="U1727" i="2" s="1"/>
  <c r="U1728" i="2" a="1"/>
  <c r="U1728" i="2" s="1"/>
  <c r="U1729" i="2" a="1"/>
  <c r="U1729" i="2" s="1"/>
  <c r="U1730" i="2" a="1"/>
  <c r="U1730" i="2" s="1"/>
  <c r="U1731" i="2" a="1"/>
  <c r="U1731" i="2" s="1"/>
  <c r="U1732" i="2" a="1"/>
  <c r="U1732" i="2" s="1"/>
  <c r="U1733" i="2" a="1"/>
  <c r="U1733" i="2" s="1"/>
  <c r="U1734" i="2" a="1"/>
  <c r="U1734" i="2" s="1"/>
  <c r="U1735" i="2" a="1"/>
  <c r="U1735" i="2" s="1"/>
  <c r="U1736" i="2" a="1"/>
  <c r="U1736" i="2" s="1"/>
  <c r="U1737" i="2" a="1"/>
  <c r="U1737" i="2" s="1"/>
  <c r="U1738" i="2" a="1"/>
  <c r="U1738" i="2" s="1"/>
  <c r="U1739" i="2" a="1"/>
  <c r="U1739" i="2" s="1"/>
  <c r="U1740" i="2" a="1"/>
  <c r="U1740" i="2" s="1"/>
  <c r="U1741" i="2" a="1"/>
  <c r="U1741" i="2" s="1"/>
  <c r="U1742" i="2" a="1"/>
  <c r="U1742" i="2" s="1"/>
  <c r="U1743" i="2" a="1"/>
  <c r="U1743" i="2" s="1"/>
  <c r="U1744" i="2" a="1"/>
  <c r="U1744" i="2" s="1"/>
  <c r="U1745" i="2" a="1"/>
  <c r="U1745" i="2" s="1"/>
  <c r="U1746" i="2" a="1"/>
  <c r="U1746" i="2" s="1"/>
  <c r="U1747" i="2" a="1"/>
  <c r="U1747" i="2" s="1"/>
  <c r="U1748" i="2" a="1"/>
  <c r="U1748" i="2" s="1"/>
  <c r="U1749" i="2" a="1"/>
  <c r="U1749" i="2" s="1"/>
  <c r="U1750" i="2" a="1"/>
  <c r="U1750" i="2" s="1"/>
  <c r="U1751" i="2" a="1"/>
  <c r="U1751" i="2" s="1"/>
  <c r="U1752" i="2" a="1"/>
  <c r="U1752" i="2" s="1"/>
  <c r="U1753" i="2" a="1"/>
  <c r="U1753" i="2" s="1"/>
  <c r="U1754" i="2" a="1"/>
  <c r="U1754" i="2" s="1"/>
  <c r="U1755" i="2" a="1"/>
  <c r="U1755" i="2" s="1"/>
  <c r="U1756" i="2" a="1"/>
  <c r="U1756" i="2" s="1"/>
  <c r="U1757" i="2" a="1"/>
  <c r="U1757" i="2" s="1"/>
  <c r="U1758" i="2" a="1"/>
  <c r="U1758" i="2" s="1"/>
  <c r="U1759" i="2" a="1"/>
  <c r="U1759" i="2" s="1"/>
  <c r="U1760" i="2" a="1"/>
  <c r="U1760" i="2" s="1"/>
  <c r="U1761" i="2" a="1"/>
  <c r="U1761" i="2" s="1"/>
  <c r="U1762" i="2" a="1"/>
  <c r="U1762" i="2" s="1"/>
  <c r="U1763" i="2" a="1"/>
  <c r="U1763" i="2" s="1"/>
  <c r="U1764" i="2" a="1"/>
  <c r="U1764" i="2" s="1"/>
  <c r="U1765" i="2" a="1"/>
  <c r="U1765" i="2" s="1"/>
  <c r="U1766" i="2" a="1"/>
  <c r="U1766" i="2" s="1"/>
  <c r="U1767" i="2" a="1"/>
  <c r="U1767" i="2" s="1"/>
  <c r="U1768" i="2" a="1"/>
  <c r="U1768" i="2" s="1"/>
  <c r="U1769" i="2" a="1"/>
  <c r="U1769" i="2" s="1"/>
  <c r="U1770" i="2" a="1"/>
  <c r="U1770" i="2" s="1"/>
  <c r="U1771" i="2" a="1"/>
  <c r="U1771" i="2" s="1"/>
  <c r="U1772" i="2" a="1"/>
  <c r="U1772" i="2" s="1"/>
  <c r="U1773" i="2" a="1"/>
  <c r="U1773" i="2" s="1"/>
  <c r="U1774" i="2" a="1"/>
  <c r="U1774" i="2" s="1"/>
  <c r="U1775" i="2" a="1"/>
  <c r="U1775" i="2" s="1"/>
  <c r="U1776" i="2" a="1"/>
  <c r="U1776" i="2" s="1"/>
  <c r="U1777" i="2" a="1"/>
  <c r="U1777" i="2" s="1"/>
  <c r="U1778" i="2" a="1"/>
  <c r="U1778" i="2" s="1"/>
  <c r="U1779" i="2" a="1"/>
  <c r="U1779" i="2" s="1"/>
  <c r="U1780" i="2" a="1"/>
  <c r="U1780" i="2" s="1"/>
  <c r="U1781" i="2" a="1"/>
  <c r="U1781" i="2" s="1"/>
  <c r="U1782" i="2" a="1"/>
  <c r="U1782" i="2" s="1"/>
  <c r="U1783" i="2" a="1"/>
  <c r="U1783" i="2" s="1"/>
  <c r="U1784" i="2" a="1"/>
  <c r="U1784" i="2" s="1"/>
  <c r="U1785" i="2" a="1"/>
  <c r="U1785" i="2" s="1"/>
  <c r="U1786" i="2" a="1"/>
  <c r="U1786" i="2" s="1"/>
  <c r="U1787" i="2" a="1"/>
  <c r="U1787" i="2" s="1"/>
  <c r="U1788" i="2" a="1"/>
  <c r="U1788" i="2" s="1"/>
  <c r="U1789" i="2" a="1"/>
  <c r="U1789" i="2" s="1"/>
  <c r="U1790" i="2" a="1"/>
  <c r="U1790" i="2" s="1"/>
  <c r="U1791" i="2" a="1"/>
  <c r="U1791" i="2" s="1"/>
  <c r="U1792" i="2" a="1"/>
  <c r="U1792" i="2" s="1"/>
  <c r="U1793" i="2" a="1"/>
  <c r="U1793" i="2" s="1"/>
  <c r="U1794" i="2" a="1"/>
  <c r="U1794" i="2" s="1"/>
  <c r="U1795" i="2" a="1"/>
  <c r="U1795" i="2" s="1"/>
  <c r="U1796" i="2" a="1"/>
  <c r="U1796" i="2" s="1"/>
  <c r="U1797" i="2" a="1"/>
  <c r="U1797" i="2" s="1"/>
  <c r="U1798" i="2" a="1"/>
  <c r="U1798" i="2" s="1"/>
  <c r="U1799" i="2" a="1"/>
  <c r="U1799" i="2" s="1"/>
  <c r="U1800" i="2" a="1"/>
  <c r="U1800" i="2" s="1"/>
  <c r="U1801" i="2" a="1"/>
  <c r="U1801" i="2" s="1"/>
  <c r="U1802" i="2" a="1"/>
  <c r="U1802" i="2" s="1"/>
  <c r="U1803" i="2" a="1"/>
  <c r="U1803" i="2" s="1"/>
  <c r="U1804" i="2" a="1"/>
  <c r="U1804" i="2" s="1"/>
  <c r="U1805" i="2" a="1"/>
  <c r="U1805" i="2" s="1"/>
  <c r="U1806" i="2" a="1"/>
  <c r="U1806" i="2" s="1"/>
  <c r="U1807" i="2" a="1"/>
  <c r="U1807" i="2" s="1"/>
  <c r="U1808" i="2" a="1"/>
  <c r="U1808" i="2" s="1"/>
  <c r="U1809" i="2" a="1"/>
  <c r="U1809" i="2" s="1"/>
  <c r="U1810" i="2" a="1"/>
  <c r="U1810" i="2" s="1"/>
  <c r="U1811" i="2" a="1"/>
  <c r="U1811" i="2" s="1"/>
  <c r="U1812" i="2" a="1"/>
  <c r="U1812" i="2" s="1"/>
  <c r="U1813" i="2" a="1"/>
  <c r="U1813" i="2" s="1"/>
  <c r="U1814" i="2" a="1"/>
  <c r="U1814" i="2" s="1"/>
  <c r="U1815" i="2" a="1"/>
  <c r="U1815" i="2" s="1"/>
  <c r="U1816" i="2" a="1"/>
  <c r="U1816" i="2" s="1"/>
  <c r="U1817" i="2" a="1"/>
  <c r="U1817" i="2" s="1"/>
  <c r="U1818" i="2" a="1"/>
  <c r="U1818" i="2" s="1"/>
  <c r="U1819" i="2" a="1"/>
  <c r="U1819" i="2" s="1"/>
  <c r="U1820" i="2" a="1"/>
  <c r="U1820" i="2" s="1"/>
  <c r="U1821" i="2" a="1"/>
  <c r="U1821" i="2" s="1"/>
  <c r="U1822" i="2" a="1"/>
  <c r="U1822" i="2" s="1"/>
  <c r="U1823" i="2" a="1"/>
  <c r="U1823" i="2" s="1"/>
  <c r="U1824" i="2" a="1"/>
  <c r="U1824" i="2" s="1"/>
  <c r="U1825" i="2" a="1"/>
  <c r="U1825" i="2" s="1"/>
  <c r="U1826" i="2" a="1"/>
  <c r="U1826" i="2" s="1"/>
  <c r="U1827" i="2" a="1"/>
  <c r="U1827" i="2" s="1"/>
  <c r="U1828" i="2" a="1"/>
  <c r="U1828" i="2" s="1"/>
  <c r="U1829" i="2" a="1"/>
  <c r="U1829" i="2" s="1"/>
  <c r="U1830" i="2" a="1"/>
  <c r="U1830" i="2" s="1"/>
  <c r="U1831" i="2" a="1"/>
  <c r="U1831" i="2" s="1"/>
  <c r="U1832" i="2" a="1"/>
  <c r="U1832" i="2" s="1"/>
  <c r="U1833" i="2" a="1"/>
  <c r="U1833" i="2" s="1"/>
  <c r="U1834" i="2" a="1"/>
  <c r="U1834" i="2" s="1"/>
  <c r="U1835" i="2" a="1"/>
  <c r="U1835" i="2" s="1"/>
  <c r="U1836" i="2" a="1"/>
  <c r="U1836" i="2" s="1"/>
  <c r="U1837" i="2" a="1"/>
  <c r="U1837" i="2" s="1"/>
  <c r="U1838" i="2" a="1"/>
  <c r="U1838" i="2" s="1"/>
  <c r="U1839" i="2" a="1"/>
  <c r="U1839" i="2" s="1"/>
  <c r="U1840" i="2" a="1"/>
  <c r="U1840" i="2" s="1"/>
  <c r="U1841" i="2" a="1"/>
  <c r="U1841" i="2" s="1"/>
  <c r="U1842" i="2" a="1"/>
  <c r="U1842" i="2" s="1"/>
  <c r="U1843" i="2" a="1"/>
  <c r="U1843" i="2" s="1"/>
  <c r="U1844" i="2" a="1"/>
  <c r="U1844" i="2" s="1"/>
  <c r="U1845" i="2" a="1"/>
  <c r="U1845" i="2" s="1"/>
  <c r="U1846" i="2" a="1"/>
  <c r="U1846" i="2" s="1"/>
  <c r="U1847" i="2" a="1"/>
  <c r="U1847" i="2" s="1"/>
  <c r="U1848" i="2" a="1"/>
  <c r="U1848" i="2" s="1"/>
  <c r="U1849" i="2" a="1"/>
  <c r="U1849" i="2" s="1"/>
  <c r="U1850" i="2" a="1"/>
  <c r="U1850" i="2" s="1"/>
  <c r="U1851" i="2" a="1"/>
  <c r="U1851" i="2" s="1"/>
  <c r="U1852" i="2" a="1"/>
  <c r="U1852" i="2" s="1"/>
  <c r="U1853" i="2" a="1"/>
  <c r="U1853" i="2" s="1"/>
  <c r="U1854" i="2" a="1"/>
  <c r="U1854" i="2" s="1"/>
  <c r="U1855" i="2" a="1"/>
  <c r="U1855" i="2" s="1"/>
  <c r="U1856" i="2" a="1"/>
  <c r="U1856" i="2" s="1"/>
  <c r="U1857" i="2" a="1"/>
  <c r="U1857" i="2" s="1"/>
  <c r="U1858" i="2" a="1"/>
  <c r="U1858" i="2" s="1"/>
  <c r="U1859" i="2" a="1"/>
  <c r="U1859" i="2" s="1"/>
  <c r="U1860" i="2" a="1"/>
  <c r="U1860" i="2" s="1"/>
  <c r="U1861" i="2" a="1"/>
  <c r="U1861" i="2" s="1"/>
  <c r="U1862" i="2" a="1"/>
  <c r="U1862" i="2" s="1"/>
  <c r="U1863" i="2" a="1"/>
  <c r="U1863" i="2" s="1"/>
  <c r="U1864" i="2" a="1"/>
  <c r="U1864" i="2" s="1"/>
  <c r="U1865" i="2" a="1"/>
  <c r="U1865" i="2" s="1"/>
  <c r="U1866" i="2" a="1"/>
  <c r="U1866" i="2" s="1"/>
  <c r="U1867" i="2" a="1"/>
  <c r="U1867" i="2" s="1"/>
  <c r="U1868" i="2" a="1"/>
  <c r="U1868" i="2" s="1"/>
  <c r="U1869" i="2" a="1"/>
  <c r="U1869" i="2" s="1"/>
  <c r="U1870" i="2" a="1"/>
  <c r="U1870" i="2" s="1"/>
  <c r="U1871" i="2" a="1"/>
  <c r="U1871" i="2" s="1"/>
  <c r="U1872" i="2" a="1"/>
  <c r="U1872" i="2" s="1"/>
  <c r="U1873" i="2" a="1"/>
  <c r="U1873" i="2" s="1"/>
  <c r="U1874" i="2" a="1"/>
  <c r="U1874" i="2" s="1"/>
  <c r="U1875" i="2" a="1"/>
  <c r="U1875" i="2" s="1"/>
  <c r="U1876" i="2" a="1"/>
  <c r="U1876" i="2" s="1"/>
  <c r="U1877" i="2" a="1"/>
  <c r="U1877" i="2" s="1"/>
  <c r="U1878" i="2" a="1"/>
  <c r="U1878" i="2" s="1"/>
  <c r="U1879" i="2" a="1"/>
  <c r="U1879" i="2" s="1"/>
  <c r="U1880" i="2" a="1"/>
  <c r="U1880" i="2" s="1"/>
  <c r="U1881" i="2" a="1"/>
  <c r="U1881" i="2" s="1"/>
  <c r="U1882" i="2" a="1"/>
  <c r="U1882" i="2" s="1"/>
  <c r="U1883" i="2" a="1"/>
  <c r="U1883" i="2" s="1"/>
  <c r="U1884" i="2" a="1"/>
  <c r="U1884" i="2" s="1"/>
  <c r="U1885" i="2" a="1"/>
  <c r="U1885" i="2" s="1"/>
  <c r="U1886" i="2" a="1"/>
  <c r="U1886" i="2" s="1"/>
  <c r="U1887" i="2" a="1"/>
  <c r="U1887" i="2" s="1"/>
  <c r="U1888" i="2" a="1"/>
  <c r="U1888" i="2" s="1"/>
  <c r="U1889" i="2" a="1"/>
  <c r="U1889" i="2" s="1"/>
  <c r="U1890" i="2" a="1"/>
  <c r="U1890" i="2" s="1"/>
  <c r="U1891" i="2" a="1"/>
  <c r="U1891" i="2" s="1"/>
  <c r="U1892" i="2" a="1"/>
  <c r="U1892" i="2" s="1"/>
  <c r="U1893" i="2" a="1"/>
  <c r="U1893" i="2" s="1"/>
  <c r="U1894" i="2" a="1"/>
  <c r="U1894" i="2" s="1"/>
  <c r="U1895" i="2" a="1"/>
  <c r="U1895" i="2" s="1"/>
  <c r="U1896" i="2" a="1"/>
  <c r="U1896" i="2" s="1"/>
  <c r="U1897" i="2" a="1"/>
  <c r="U1897" i="2" s="1"/>
  <c r="U1898" i="2" a="1"/>
  <c r="U1898" i="2" s="1"/>
  <c r="U1899" i="2" a="1"/>
  <c r="U1899" i="2" s="1"/>
  <c r="U1900" i="2" a="1"/>
  <c r="U1900" i="2" s="1"/>
  <c r="U1901" i="2" a="1"/>
  <c r="U1901" i="2" s="1"/>
  <c r="U1902" i="2" a="1"/>
  <c r="U1902" i="2" s="1"/>
  <c r="U1903" i="2" a="1"/>
  <c r="U1903" i="2" s="1"/>
  <c r="U1904" i="2" a="1"/>
  <c r="U1904" i="2" s="1"/>
  <c r="U1905" i="2" a="1"/>
  <c r="U1905" i="2" s="1"/>
  <c r="U1906" i="2" a="1"/>
  <c r="U1906" i="2" s="1"/>
  <c r="U1907" i="2" a="1"/>
  <c r="U1907" i="2" s="1"/>
  <c r="U1908" i="2" a="1"/>
  <c r="U1908" i="2" s="1"/>
  <c r="U1909" i="2" a="1"/>
  <c r="U1909" i="2" s="1"/>
  <c r="U1910" i="2" a="1"/>
  <c r="U1910" i="2" s="1"/>
  <c r="U1911" i="2" a="1"/>
  <c r="U1911" i="2" s="1"/>
  <c r="U1912" i="2" a="1"/>
  <c r="U1912" i="2" s="1"/>
  <c r="U1913" i="2" a="1"/>
  <c r="U1913" i="2" s="1"/>
  <c r="U1914" i="2" a="1"/>
  <c r="U1914" i="2" s="1"/>
  <c r="U1915" i="2" a="1"/>
  <c r="U1915" i="2" s="1"/>
  <c r="U1916" i="2" a="1"/>
  <c r="U1916" i="2" s="1"/>
  <c r="U1917" i="2" a="1"/>
  <c r="U1917" i="2" s="1"/>
  <c r="U1918" i="2" a="1"/>
  <c r="U1918" i="2" s="1"/>
  <c r="U1919" i="2" a="1"/>
  <c r="U1919" i="2" s="1"/>
  <c r="U1920" i="2" a="1"/>
  <c r="U1920" i="2" s="1"/>
  <c r="U1921" i="2" a="1"/>
  <c r="U1921" i="2" s="1"/>
  <c r="U1922" i="2" a="1"/>
  <c r="U1922" i="2" s="1"/>
  <c r="U1923" i="2" a="1"/>
  <c r="U1923" i="2" s="1"/>
  <c r="U1924" i="2" a="1"/>
  <c r="U1924" i="2" s="1"/>
  <c r="U1925" i="2" a="1"/>
  <c r="U1925" i="2" s="1"/>
  <c r="U1926" i="2" a="1"/>
  <c r="U1926" i="2" s="1"/>
  <c r="U1927" i="2" a="1"/>
  <c r="U1927" i="2" s="1"/>
  <c r="U1928" i="2" a="1"/>
  <c r="U1928" i="2" s="1"/>
  <c r="U1929" i="2" a="1"/>
  <c r="U1929" i="2" s="1"/>
  <c r="U1930" i="2" a="1"/>
  <c r="U1930" i="2" s="1"/>
  <c r="U1931" i="2" a="1"/>
  <c r="U1931" i="2" s="1"/>
  <c r="U1932" i="2" a="1"/>
  <c r="U1932" i="2" s="1"/>
  <c r="U1933" i="2" a="1"/>
  <c r="U1933" i="2" s="1"/>
  <c r="U1934" i="2" a="1"/>
  <c r="U1934" i="2" s="1"/>
  <c r="U1935" i="2" a="1"/>
  <c r="U1935" i="2" s="1"/>
  <c r="U1936" i="2" a="1"/>
  <c r="U1936" i="2" s="1"/>
  <c r="U1937" i="2" a="1"/>
  <c r="U1937" i="2" s="1"/>
  <c r="U1938" i="2" a="1"/>
  <c r="U1938" i="2" s="1"/>
  <c r="U1939" i="2" a="1"/>
  <c r="U1939" i="2" s="1"/>
  <c r="U1940" i="2" a="1"/>
  <c r="U1940" i="2" s="1"/>
  <c r="U1941" i="2" a="1"/>
  <c r="U1941" i="2" s="1"/>
  <c r="U1942" i="2" a="1"/>
  <c r="U1942" i="2" s="1"/>
  <c r="U1943" i="2" a="1"/>
  <c r="U1943" i="2" s="1"/>
  <c r="U1944" i="2" a="1"/>
  <c r="U1944" i="2" s="1"/>
  <c r="U1945" i="2" a="1"/>
  <c r="U1945" i="2" s="1"/>
  <c r="U1946" i="2" a="1"/>
  <c r="U1946" i="2" s="1"/>
  <c r="U1947" i="2" a="1"/>
  <c r="U1947" i="2" s="1"/>
  <c r="U1948" i="2" a="1"/>
  <c r="U1948" i="2" s="1"/>
  <c r="U1949" i="2" a="1"/>
  <c r="U1949" i="2" s="1"/>
  <c r="U1950" i="2" a="1"/>
  <c r="U1950" i="2" s="1"/>
  <c r="U1951" i="2" a="1"/>
  <c r="U1951" i="2" s="1"/>
  <c r="U1952" i="2" a="1"/>
  <c r="U1952" i="2" s="1"/>
  <c r="U1953" i="2" a="1"/>
  <c r="U1953" i="2" s="1"/>
  <c r="U1954" i="2" a="1"/>
  <c r="U1954" i="2" s="1"/>
  <c r="U1955" i="2" a="1"/>
  <c r="U1955" i="2" s="1"/>
  <c r="U1956" i="2" a="1"/>
  <c r="U1956" i="2" s="1"/>
  <c r="U1957" i="2" a="1"/>
  <c r="U1957" i="2" s="1"/>
  <c r="U1958" i="2" a="1"/>
  <c r="U1958" i="2" s="1"/>
  <c r="U1959" i="2" a="1"/>
  <c r="U1959" i="2" s="1"/>
  <c r="U1960" i="2" a="1"/>
  <c r="U1960" i="2" s="1"/>
  <c r="U1961" i="2" a="1"/>
  <c r="U1961" i="2" s="1"/>
  <c r="U1962" i="2" a="1"/>
  <c r="U1962" i="2" s="1"/>
  <c r="U1963" i="2" a="1"/>
  <c r="U1963" i="2" s="1"/>
  <c r="U1964" i="2" a="1"/>
  <c r="U1964" i="2" s="1"/>
  <c r="U1965" i="2" a="1"/>
  <c r="U1965" i="2" s="1"/>
  <c r="U1966" i="2" a="1"/>
  <c r="U1966" i="2" s="1"/>
  <c r="U1967" i="2" a="1"/>
  <c r="U1967" i="2" s="1"/>
  <c r="U1968" i="2" a="1"/>
  <c r="U1968" i="2" s="1"/>
  <c r="U1969" i="2" a="1"/>
  <c r="U1969" i="2" s="1"/>
  <c r="U1970" i="2" a="1"/>
  <c r="U1970" i="2" s="1"/>
  <c r="U1971" i="2" a="1"/>
  <c r="U1971" i="2" s="1"/>
  <c r="U1972" i="2" a="1"/>
  <c r="U1972" i="2" s="1"/>
  <c r="U1973" i="2" a="1"/>
  <c r="U1973" i="2" s="1"/>
  <c r="U1974" i="2" a="1"/>
  <c r="U1974" i="2" s="1"/>
  <c r="U1975" i="2" a="1"/>
  <c r="U1975" i="2" s="1"/>
  <c r="U1976" i="2" a="1"/>
  <c r="U1976" i="2" s="1"/>
  <c r="U1977" i="2" a="1"/>
  <c r="U1977" i="2" s="1"/>
  <c r="U1978" i="2" a="1"/>
  <c r="U1978" i="2" s="1"/>
  <c r="U1979" i="2" a="1"/>
  <c r="U1979" i="2" s="1"/>
  <c r="U1980" i="2" a="1"/>
  <c r="U1980" i="2" s="1"/>
  <c r="U2" i="2" a="1"/>
  <c r="U2" i="2" s="1"/>
  <c r="S2" i="2" a="1"/>
  <c r="S2" i="2" s="1"/>
  <c r="S3" i="2" a="1"/>
  <c r="S3" i="2" s="1"/>
  <c r="S4" i="2" a="1"/>
  <c r="S4" i="2" s="1"/>
  <c r="S5" i="2" a="1"/>
  <c r="S5" i="2" s="1"/>
  <c r="S6" i="2" a="1"/>
  <c r="S6" i="2" s="1"/>
  <c r="S7" i="2" a="1"/>
  <c r="S7" i="2" s="1"/>
  <c r="S8" i="2" a="1"/>
  <c r="S8" i="2" s="1"/>
  <c r="S9" i="2" a="1"/>
  <c r="S9" i="2" s="1"/>
  <c r="S10" i="2" a="1"/>
  <c r="S10" i="2" s="1"/>
  <c r="S11" i="2" a="1"/>
  <c r="S11" i="2" s="1"/>
  <c r="S12" i="2" a="1"/>
  <c r="S12" i="2" s="1"/>
  <c r="S13" i="2" a="1"/>
  <c r="S13" i="2" s="1"/>
  <c r="S14" i="2" a="1"/>
  <c r="S14" i="2" s="1"/>
  <c r="S15" i="2" a="1"/>
  <c r="S15" i="2" s="1"/>
  <c r="S16" i="2" a="1"/>
  <c r="S16" i="2" s="1"/>
  <c r="S17" i="2" a="1"/>
  <c r="S17" i="2" s="1"/>
  <c r="S18" i="2" a="1"/>
  <c r="S18" i="2" s="1"/>
  <c r="S19" i="2" a="1"/>
  <c r="S19" i="2" s="1"/>
  <c r="S20" i="2" a="1"/>
  <c r="S20" i="2" s="1"/>
  <c r="S21" i="2" a="1"/>
  <c r="S21" i="2" s="1"/>
  <c r="S22" i="2" a="1"/>
  <c r="S22" i="2" s="1"/>
  <c r="S23" i="2" a="1"/>
  <c r="S23" i="2" s="1"/>
  <c r="S24" i="2" a="1"/>
  <c r="S24" i="2" s="1"/>
  <c r="S25" i="2" a="1"/>
  <c r="S25" i="2" s="1"/>
  <c r="S26" i="2" a="1"/>
  <c r="S26" i="2" s="1"/>
  <c r="S27" i="2" a="1"/>
  <c r="S27" i="2" s="1"/>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s="1"/>
  <c r="S39" i="2" a="1"/>
  <c r="S39" i="2" s="1"/>
  <c r="S40" i="2" a="1"/>
  <c r="S40" i="2" s="1"/>
  <c r="S41" i="2" a="1"/>
  <c r="S41" i="2" s="1"/>
  <c r="S42" i="2" a="1"/>
  <c r="S42" i="2" s="1"/>
  <c r="S43" i="2" a="1"/>
  <c r="S43" i="2" s="1"/>
  <c r="S44" i="2" a="1"/>
  <c r="S44" i="2" s="1"/>
  <c r="S45" i="2" a="1"/>
  <c r="S45" i="2" s="1"/>
  <c r="S46" i="2" a="1"/>
  <c r="S46" i="2" s="1"/>
  <c r="S47" i="2" a="1"/>
  <c r="S47" i="2" s="1"/>
  <c r="S48" i="2" a="1"/>
  <c r="S48" i="2" s="1"/>
  <c r="S49" i="2" a="1"/>
  <c r="S49" i="2" s="1"/>
  <c r="S50" i="2" a="1"/>
  <c r="S50" i="2" s="1"/>
  <c r="S51" i="2" a="1"/>
  <c r="S51" i="2" s="1"/>
  <c r="S52" i="2" a="1"/>
  <c r="S52" i="2" s="1"/>
  <c r="S53" i="2" a="1"/>
  <c r="S53" i="2" s="1"/>
  <c r="S54" i="2" a="1"/>
  <c r="S54" i="2" s="1"/>
  <c r="S55" i="2" a="1"/>
  <c r="S55" i="2" s="1"/>
  <c r="S56" i="2" a="1"/>
  <c r="S56" i="2" s="1"/>
  <c r="S57" i="2" a="1"/>
  <c r="S57" i="2" s="1"/>
  <c r="S58" i="2" a="1"/>
  <c r="S58" i="2" s="1"/>
  <c r="S59" i="2" a="1"/>
  <c r="S59" i="2" s="1"/>
  <c r="S60" i="2" a="1"/>
  <c r="S60" i="2" s="1"/>
  <c r="S61" i="2" a="1"/>
  <c r="S61" i="2" s="1"/>
  <c r="S62" i="2" a="1"/>
  <c r="S62" i="2" s="1"/>
  <c r="S63" i="2" a="1"/>
  <c r="S63" i="2" s="1"/>
  <c r="S64" i="2" a="1"/>
  <c r="S64" i="2" s="1"/>
  <c r="S65" i="2" a="1"/>
  <c r="S65" i="2" s="1"/>
  <c r="S66" i="2" a="1"/>
  <c r="S66" i="2" s="1"/>
  <c r="S67" i="2" a="1"/>
  <c r="S67" i="2" s="1"/>
  <c r="S68" i="2" a="1"/>
  <c r="S68" i="2" s="1"/>
  <c r="S69" i="2" a="1"/>
  <c r="S69" i="2" s="1"/>
  <c r="S70" i="2" a="1"/>
  <c r="S70" i="2" s="1"/>
  <c r="S71" i="2" a="1"/>
  <c r="S71" i="2" s="1"/>
  <c r="S72" i="2" a="1"/>
  <c r="S72" i="2" s="1"/>
  <c r="S73" i="2" a="1"/>
  <c r="S73" i="2" s="1"/>
  <c r="S74" i="2" a="1"/>
  <c r="S74" i="2" s="1"/>
  <c r="S75" i="2" a="1"/>
  <c r="S75" i="2" s="1"/>
  <c r="S76" i="2" a="1"/>
  <c r="S76" i="2" s="1"/>
  <c r="S77" i="2" a="1"/>
  <c r="S77" i="2" s="1"/>
  <c r="S78" i="2" a="1"/>
  <c r="S78" i="2" s="1"/>
  <c r="S79" i="2" a="1"/>
  <c r="S79" i="2" s="1"/>
  <c r="S80" i="2" a="1"/>
  <c r="S80" i="2" s="1"/>
  <c r="S81" i="2" a="1"/>
  <c r="S81" i="2" s="1"/>
  <c r="S82" i="2" a="1"/>
  <c r="S82" i="2" s="1"/>
  <c r="S83" i="2" a="1"/>
  <c r="S83" i="2" s="1"/>
  <c r="S84" i="2" a="1"/>
  <c r="S84" i="2" s="1"/>
  <c r="S85" i="2" a="1"/>
  <c r="S85" i="2" s="1"/>
  <c r="S86" i="2" a="1"/>
  <c r="S86" i="2" s="1"/>
  <c r="S87" i="2" a="1"/>
  <c r="S87" i="2" s="1"/>
  <c r="S88" i="2" a="1"/>
  <c r="S88" i="2" s="1"/>
  <c r="S89" i="2" a="1"/>
  <c r="S89" i="2" s="1"/>
  <c r="S90" i="2" a="1"/>
  <c r="S90" i="2" s="1"/>
  <c r="S91" i="2" a="1"/>
  <c r="S91" i="2" s="1"/>
  <c r="S92" i="2" a="1"/>
  <c r="S92" i="2" s="1"/>
  <c r="S93" i="2" a="1"/>
  <c r="S93" i="2" s="1"/>
  <c r="S94" i="2" a="1"/>
  <c r="S94" i="2" s="1"/>
  <c r="S95" i="2" a="1"/>
  <c r="S95" i="2" s="1"/>
  <c r="S96" i="2" a="1"/>
  <c r="S96" i="2" s="1"/>
  <c r="S97" i="2" a="1"/>
  <c r="S97" i="2" s="1"/>
  <c r="S98" i="2" a="1"/>
  <c r="S98" i="2" s="1"/>
  <c r="S99" i="2" a="1"/>
  <c r="S99" i="2" s="1"/>
  <c r="S100" i="2" a="1"/>
  <c r="S100" i="2" s="1"/>
  <c r="S101" i="2" a="1"/>
  <c r="S101" i="2" s="1"/>
  <c r="S102" i="2" a="1"/>
  <c r="S102" i="2" s="1"/>
  <c r="S103" i="2" a="1"/>
  <c r="S103" i="2" s="1"/>
  <c r="S104" i="2" a="1"/>
  <c r="S104" i="2" s="1"/>
  <c r="S105" i="2" a="1"/>
  <c r="S105" i="2" s="1"/>
  <c r="S106" i="2" a="1"/>
  <c r="S106" i="2" s="1"/>
  <c r="S107" i="2" a="1"/>
  <c r="S107" i="2" s="1"/>
  <c r="S108" i="2" a="1"/>
  <c r="S108" i="2" s="1"/>
  <c r="S109" i="2" a="1"/>
  <c r="S109" i="2" s="1"/>
  <c r="S110" i="2" a="1"/>
  <c r="S110" i="2" s="1"/>
  <c r="S111" i="2" a="1"/>
  <c r="S111" i="2" s="1"/>
  <c r="S112" i="2" a="1"/>
  <c r="S112" i="2" s="1"/>
  <c r="S113" i="2" a="1"/>
  <c r="S113" i="2" s="1"/>
  <c r="S114" i="2" a="1"/>
  <c r="S114" i="2" s="1"/>
  <c r="S115" i="2" a="1"/>
  <c r="S115" i="2" s="1"/>
  <c r="S116" i="2" a="1"/>
  <c r="S116" i="2" s="1"/>
  <c r="S117" i="2" a="1"/>
  <c r="S117" i="2" s="1"/>
  <c r="S118" i="2" a="1"/>
  <c r="S118" i="2" s="1"/>
  <c r="S119" i="2" a="1"/>
  <c r="S119" i="2" s="1"/>
  <c r="S120" i="2" a="1"/>
  <c r="S120" i="2" s="1"/>
  <c r="S121" i="2" a="1"/>
  <c r="S121" i="2" s="1"/>
  <c r="S122" i="2" a="1"/>
  <c r="S122" i="2" s="1"/>
  <c r="S123" i="2" a="1"/>
  <c r="S123" i="2" s="1"/>
  <c r="S124" i="2" a="1"/>
  <c r="S124" i="2" s="1"/>
  <c r="S125" i="2" a="1"/>
  <c r="S125" i="2" s="1"/>
  <c r="S126" i="2" a="1"/>
  <c r="S126" i="2" s="1"/>
  <c r="S127" i="2" a="1"/>
  <c r="S127" i="2" s="1"/>
  <c r="S128" i="2" a="1"/>
  <c r="S128" i="2" s="1"/>
  <c r="S129" i="2" a="1"/>
  <c r="S129" i="2" s="1"/>
  <c r="S130" i="2" a="1"/>
  <c r="S130" i="2" s="1"/>
  <c r="S131" i="2" a="1"/>
  <c r="S131" i="2" s="1"/>
  <c r="S132" i="2" a="1"/>
  <c r="S132" i="2" s="1"/>
  <c r="S133" i="2" a="1"/>
  <c r="S133" i="2" s="1"/>
  <c r="S134" i="2" a="1"/>
  <c r="S134" i="2" s="1"/>
  <c r="S135" i="2" a="1"/>
  <c r="S135" i="2" s="1"/>
  <c r="S136" i="2" a="1"/>
  <c r="S136" i="2" s="1"/>
  <c r="S137" i="2" a="1"/>
  <c r="S137" i="2" s="1"/>
  <c r="S138" i="2" a="1"/>
  <c r="S138" i="2" s="1"/>
  <c r="S139" i="2" a="1"/>
  <c r="S139" i="2" s="1"/>
  <c r="S140" i="2" a="1"/>
  <c r="S140" i="2" s="1"/>
  <c r="S141" i="2" a="1"/>
  <c r="S141" i="2" s="1"/>
  <c r="S142" i="2" a="1"/>
  <c r="S142" i="2" s="1"/>
  <c r="S143" i="2" a="1"/>
  <c r="S143" i="2" s="1"/>
  <c r="S144" i="2" a="1"/>
  <c r="S144" i="2" s="1"/>
  <c r="S145" i="2" a="1"/>
  <c r="S145" i="2" s="1"/>
  <c r="S146" i="2" a="1"/>
  <c r="S146" i="2" s="1"/>
  <c r="S147" i="2" a="1"/>
  <c r="S147" i="2" s="1"/>
  <c r="S148" i="2" a="1"/>
  <c r="S148" i="2" s="1"/>
  <c r="S149" i="2" a="1"/>
  <c r="S149" i="2" s="1"/>
  <c r="S150" i="2" a="1"/>
  <c r="S150" i="2" s="1"/>
  <c r="S151" i="2" a="1"/>
  <c r="S151" i="2" s="1"/>
  <c r="S152" i="2" a="1"/>
  <c r="S152" i="2" s="1"/>
  <c r="S153" i="2" a="1"/>
  <c r="S153" i="2" s="1"/>
  <c r="S154" i="2" a="1"/>
  <c r="S154" i="2" s="1"/>
  <c r="S155" i="2" a="1"/>
  <c r="S155" i="2" s="1"/>
  <c r="S156" i="2" a="1"/>
  <c r="S156" i="2" s="1"/>
  <c r="S157" i="2" a="1"/>
  <c r="S157" i="2" s="1"/>
  <c r="S158" i="2" a="1"/>
  <c r="S158" i="2" s="1"/>
  <c r="S159" i="2" a="1"/>
  <c r="S159" i="2" s="1"/>
  <c r="S160" i="2" a="1"/>
  <c r="S160" i="2" s="1"/>
  <c r="S161" i="2" a="1"/>
  <c r="S161" i="2" s="1"/>
  <c r="S162" i="2" a="1"/>
  <c r="S162" i="2" s="1"/>
  <c r="S163" i="2" a="1"/>
  <c r="S163" i="2" s="1"/>
  <c r="S164" i="2" a="1"/>
  <c r="S164" i="2" s="1"/>
  <c r="S165" i="2" a="1"/>
  <c r="S165" i="2" s="1"/>
  <c r="S166" i="2" a="1"/>
  <c r="S166" i="2" s="1"/>
  <c r="S167" i="2" a="1"/>
  <c r="S167" i="2" s="1"/>
  <c r="S168" i="2" a="1"/>
  <c r="S168" i="2" s="1"/>
  <c r="S169" i="2" a="1"/>
  <c r="S169" i="2" s="1"/>
  <c r="S170" i="2" a="1"/>
  <c r="S170" i="2" s="1"/>
  <c r="S171" i="2" a="1"/>
  <c r="S171" i="2" s="1"/>
  <c r="S172" i="2" a="1"/>
  <c r="S172" i="2" s="1"/>
  <c r="S173" i="2" a="1"/>
  <c r="S173" i="2" s="1"/>
  <c r="S174" i="2" a="1"/>
  <c r="S174" i="2" s="1"/>
  <c r="S175" i="2" a="1"/>
  <c r="S175" i="2" s="1"/>
  <c r="S176" i="2" a="1"/>
  <c r="S176" i="2" s="1"/>
  <c r="S177" i="2" a="1"/>
  <c r="S177" i="2" s="1"/>
  <c r="S178" i="2" a="1"/>
  <c r="S178" i="2" s="1"/>
  <c r="S179" i="2" a="1"/>
  <c r="S179" i="2" s="1"/>
  <c r="S180" i="2" a="1"/>
  <c r="S180" i="2" s="1"/>
  <c r="S181" i="2" a="1"/>
  <c r="S181" i="2" s="1"/>
  <c r="S182" i="2" a="1"/>
  <c r="S182" i="2" s="1"/>
  <c r="S183" i="2" a="1"/>
  <c r="S183" i="2" s="1"/>
  <c r="S184" i="2" a="1"/>
  <c r="S184" i="2" s="1"/>
  <c r="S185" i="2" a="1"/>
  <c r="S185" i="2" s="1"/>
  <c r="S186" i="2" a="1"/>
  <c r="S186" i="2" s="1"/>
  <c r="S187" i="2" a="1"/>
  <c r="S187" i="2" s="1"/>
  <c r="S188" i="2" a="1"/>
  <c r="S188" i="2" s="1"/>
  <c r="S189" i="2" a="1"/>
  <c r="S189" i="2" s="1"/>
  <c r="S190" i="2" a="1"/>
  <c r="S190" i="2" s="1"/>
  <c r="S191" i="2" a="1"/>
  <c r="S191" i="2" s="1"/>
  <c r="S192" i="2" a="1"/>
  <c r="S192" i="2" s="1"/>
  <c r="S193" i="2" a="1"/>
  <c r="S193" i="2" s="1"/>
  <c r="S194" i="2" a="1"/>
  <c r="S194" i="2" s="1"/>
  <c r="S195" i="2" a="1"/>
  <c r="S195" i="2" s="1"/>
  <c r="S196" i="2" a="1"/>
  <c r="S196" i="2" s="1"/>
  <c r="S197" i="2" a="1"/>
  <c r="S197" i="2" s="1"/>
  <c r="S198" i="2" a="1"/>
  <c r="S198" i="2" s="1"/>
  <c r="S199" i="2" a="1"/>
  <c r="S199" i="2" s="1"/>
  <c r="S200" i="2" a="1"/>
  <c r="S200" i="2" s="1"/>
  <c r="S201" i="2" a="1"/>
  <c r="S201" i="2" s="1"/>
  <c r="S202" i="2" a="1"/>
  <c r="S202" i="2" s="1"/>
  <c r="S203" i="2" a="1"/>
  <c r="S203" i="2" s="1"/>
  <c r="S204" i="2" a="1"/>
  <c r="S204" i="2" s="1"/>
  <c r="S205" i="2" a="1"/>
  <c r="S205" i="2" s="1"/>
  <c r="S206" i="2" a="1"/>
  <c r="S206" i="2" s="1"/>
  <c r="S207" i="2" a="1"/>
  <c r="S207" i="2" s="1"/>
  <c r="S208" i="2" a="1"/>
  <c r="S208" i="2" s="1"/>
  <c r="S209" i="2" a="1"/>
  <c r="S209" i="2" s="1"/>
  <c r="S210" i="2" a="1"/>
  <c r="S210" i="2" s="1"/>
  <c r="S211" i="2" a="1"/>
  <c r="S211" i="2" s="1"/>
  <c r="S212" i="2" a="1"/>
  <c r="S212" i="2" s="1"/>
  <c r="S213" i="2" a="1"/>
  <c r="S213" i="2" s="1"/>
  <c r="S214" i="2" a="1"/>
  <c r="S214" i="2" s="1"/>
  <c r="S215" i="2" a="1"/>
  <c r="S215" i="2" s="1"/>
  <c r="S216" i="2" a="1"/>
  <c r="S216" i="2" s="1"/>
  <c r="S217" i="2" a="1"/>
  <c r="S217" i="2" s="1"/>
  <c r="S218" i="2" a="1"/>
  <c r="S218" i="2" s="1"/>
  <c r="S219" i="2" a="1"/>
  <c r="S219" i="2" s="1"/>
  <c r="S220" i="2" a="1"/>
  <c r="S220" i="2" s="1"/>
  <c r="S221" i="2" a="1"/>
  <c r="S221" i="2" s="1"/>
  <c r="S222" i="2" a="1"/>
  <c r="S222" i="2" s="1"/>
  <c r="S223" i="2" a="1"/>
  <c r="S223" i="2" s="1"/>
  <c r="S224" i="2" a="1"/>
  <c r="S224" i="2" s="1"/>
  <c r="S225" i="2" a="1"/>
  <c r="S225" i="2" s="1"/>
  <c r="S226" i="2" a="1"/>
  <c r="S226" i="2" s="1"/>
  <c r="S227" i="2" a="1"/>
  <c r="S227" i="2" s="1"/>
  <c r="S228" i="2" a="1"/>
  <c r="S228" i="2" s="1"/>
  <c r="S229" i="2" a="1"/>
  <c r="S229" i="2" s="1"/>
  <c r="S230" i="2" a="1"/>
  <c r="S230" i="2" s="1"/>
  <c r="S231" i="2" a="1"/>
  <c r="S231" i="2" s="1"/>
  <c r="S232" i="2" a="1"/>
  <c r="S232" i="2" s="1"/>
  <c r="S233" i="2" a="1"/>
  <c r="S233" i="2" s="1"/>
  <c r="S234" i="2" a="1"/>
  <c r="S234" i="2" s="1"/>
  <c r="S235" i="2" a="1"/>
  <c r="S235" i="2" s="1"/>
  <c r="S236" i="2" a="1"/>
  <c r="S236" i="2" s="1"/>
  <c r="S237" i="2" a="1"/>
  <c r="S237" i="2" s="1"/>
  <c r="S238" i="2" a="1"/>
  <c r="S238" i="2" s="1"/>
  <c r="S239" i="2" a="1"/>
  <c r="S239" i="2" s="1"/>
  <c r="S240" i="2" a="1"/>
  <c r="S240" i="2" s="1"/>
  <c r="S241" i="2" a="1"/>
  <c r="S241" i="2" s="1"/>
  <c r="S242" i="2" a="1"/>
  <c r="S242" i="2" s="1"/>
  <c r="S243" i="2" a="1"/>
  <c r="S243" i="2" s="1"/>
  <c r="S244" i="2" a="1"/>
  <c r="S244" i="2" s="1"/>
  <c r="S245" i="2" a="1"/>
  <c r="S245" i="2" s="1"/>
  <c r="S246" i="2" a="1"/>
  <c r="S246" i="2" s="1"/>
  <c r="S247" i="2" a="1"/>
  <c r="S247" i="2" s="1"/>
  <c r="S248" i="2" a="1"/>
  <c r="S248" i="2" s="1"/>
  <c r="S249" i="2" a="1"/>
  <c r="S249" i="2" s="1"/>
  <c r="S250" i="2" a="1"/>
  <c r="S250" i="2" s="1"/>
  <c r="S251" i="2" a="1"/>
  <c r="S251" i="2" s="1"/>
  <c r="S252" i="2" a="1"/>
  <c r="S252" i="2" s="1"/>
  <c r="S253" i="2" a="1"/>
  <c r="S253" i="2" s="1"/>
  <c r="S254" i="2" a="1"/>
  <c r="S254" i="2" s="1"/>
  <c r="S255" i="2" a="1"/>
  <c r="S255" i="2" s="1"/>
  <c r="S256" i="2" a="1"/>
  <c r="S256" i="2" s="1"/>
  <c r="S257" i="2" a="1"/>
  <c r="S257" i="2" s="1"/>
  <c r="S258" i="2" a="1"/>
  <c r="S258" i="2" s="1"/>
  <c r="S259" i="2" a="1"/>
  <c r="S259" i="2" s="1"/>
  <c r="S260" i="2" a="1"/>
  <c r="S260" i="2" s="1"/>
  <c r="S261" i="2" a="1"/>
  <c r="S261" i="2" s="1"/>
  <c r="S262" i="2" a="1"/>
  <c r="S262" i="2" s="1"/>
  <c r="S263" i="2" a="1"/>
  <c r="S263" i="2" s="1"/>
  <c r="S264" i="2" a="1"/>
  <c r="S264" i="2" s="1"/>
  <c r="S265" i="2" a="1"/>
  <c r="S265" i="2" s="1"/>
  <c r="S266" i="2" a="1"/>
  <c r="S266" i="2" s="1"/>
  <c r="S267" i="2" a="1"/>
  <c r="S267" i="2" s="1"/>
  <c r="S268" i="2" a="1"/>
  <c r="S268" i="2" s="1"/>
  <c r="S269" i="2" a="1"/>
  <c r="S269" i="2" s="1"/>
  <c r="S270" i="2" a="1"/>
  <c r="S270" i="2" s="1"/>
  <c r="S271" i="2" a="1"/>
  <c r="S271" i="2" s="1"/>
  <c r="S272" i="2" a="1"/>
  <c r="S272" i="2" s="1"/>
  <c r="S273" i="2" a="1"/>
  <c r="S273" i="2" s="1"/>
  <c r="S274" i="2" a="1"/>
  <c r="S274" i="2" s="1"/>
  <c r="S275" i="2" a="1"/>
  <c r="S275" i="2" s="1"/>
  <c r="S276" i="2" a="1"/>
  <c r="S276" i="2" s="1"/>
  <c r="S277" i="2" a="1"/>
  <c r="S277" i="2" s="1"/>
  <c r="S278" i="2" a="1"/>
  <c r="S278" i="2" s="1"/>
  <c r="S279" i="2" a="1"/>
  <c r="S279" i="2" s="1"/>
  <c r="S280" i="2" a="1"/>
  <c r="S280" i="2" s="1"/>
  <c r="S281" i="2" a="1"/>
  <c r="S281" i="2" s="1"/>
  <c r="S282" i="2" a="1"/>
  <c r="S282" i="2" s="1"/>
  <c r="S283" i="2" a="1"/>
  <c r="S283" i="2" s="1"/>
  <c r="S284" i="2" a="1"/>
  <c r="S284" i="2" s="1"/>
  <c r="S285" i="2" a="1"/>
  <c r="S285" i="2" s="1"/>
  <c r="S286" i="2" a="1"/>
  <c r="S286" i="2" s="1"/>
  <c r="S287" i="2" a="1"/>
  <c r="S287" i="2" s="1"/>
  <c r="S288" i="2" a="1"/>
  <c r="S288" i="2" s="1"/>
  <c r="S289" i="2" a="1"/>
  <c r="S289" i="2" s="1"/>
  <c r="S290" i="2" a="1"/>
  <c r="S290" i="2" s="1"/>
  <c r="S291" i="2" a="1"/>
  <c r="S291" i="2" s="1"/>
  <c r="S292" i="2" a="1"/>
  <c r="S292" i="2" s="1"/>
  <c r="S293" i="2" a="1"/>
  <c r="S293" i="2" s="1"/>
  <c r="S294" i="2" a="1"/>
  <c r="S294" i="2" s="1"/>
  <c r="S295" i="2" a="1"/>
  <c r="S295" i="2" s="1"/>
  <c r="S296" i="2" a="1"/>
  <c r="S296" i="2" s="1"/>
  <c r="S297" i="2" a="1"/>
  <c r="S297" i="2" s="1"/>
  <c r="S298" i="2" a="1"/>
  <c r="S298" i="2" s="1"/>
  <c r="S299" i="2" a="1"/>
  <c r="S299" i="2" s="1"/>
  <c r="S300" i="2" a="1"/>
  <c r="S300" i="2" s="1"/>
  <c r="S301" i="2" a="1"/>
  <c r="S301" i="2" s="1"/>
  <c r="S302" i="2" a="1"/>
  <c r="S302" i="2" s="1"/>
  <c r="S303" i="2" a="1"/>
  <c r="S303" i="2" s="1"/>
  <c r="S304" i="2" a="1"/>
  <c r="S304" i="2" s="1"/>
  <c r="S305" i="2" a="1"/>
  <c r="S305" i="2" s="1"/>
  <c r="S306" i="2" a="1"/>
  <c r="S306" i="2" s="1"/>
  <c r="S307" i="2" a="1"/>
  <c r="S307" i="2" s="1"/>
  <c r="S308" i="2" a="1"/>
  <c r="S308" i="2" s="1"/>
  <c r="S309" i="2" a="1"/>
  <c r="S309" i="2" s="1"/>
  <c r="S310" i="2" a="1"/>
  <c r="S310" i="2" s="1"/>
  <c r="S311" i="2" a="1"/>
  <c r="S311" i="2" s="1"/>
  <c r="S312" i="2" a="1"/>
  <c r="S312" i="2" s="1"/>
  <c r="S313" i="2" a="1"/>
  <c r="S313" i="2" s="1"/>
  <c r="S314" i="2" a="1"/>
  <c r="S314" i="2" s="1"/>
  <c r="S315" i="2" a="1"/>
  <c r="S315" i="2" s="1"/>
  <c r="S316" i="2" a="1"/>
  <c r="S316" i="2" s="1"/>
  <c r="S317" i="2" a="1"/>
  <c r="S317" i="2" s="1"/>
  <c r="S318" i="2" a="1"/>
  <c r="S318" i="2" s="1"/>
  <c r="S319" i="2" a="1"/>
  <c r="S319" i="2" s="1"/>
  <c r="S320" i="2" a="1"/>
  <c r="S320" i="2" s="1"/>
  <c r="S321" i="2" a="1"/>
  <c r="S321" i="2" s="1"/>
  <c r="S322" i="2" a="1"/>
  <c r="S322" i="2" s="1"/>
  <c r="S323" i="2" a="1"/>
  <c r="S323" i="2" s="1"/>
  <c r="S324" i="2" a="1"/>
  <c r="S324" i="2" s="1"/>
  <c r="S325" i="2" a="1"/>
  <c r="S325" i="2" s="1"/>
  <c r="S326" i="2" a="1"/>
  <c r="S326" i="2" s="1"/>
  <c r="S327" i="2" a="1"/>
  <c r="S327" i="2" s="1"/>
  <c r="S328" i="2" a="1"/>
  <c r="S328" i="2" s="1"/>
  <c r="S329" i="2" a="1"/>
  <c r="S329" i="2" s="1"/>
  <c r="S330" i="2" a="1"/>
  <c r="S330" i="2" s="1"/>
  <c r="S331" i="2" a="1"/>
  <c r="S331" i="2" s="1"/>
  <c r="S332" i="2" a="1"/>
  <c r="S332" i="2" s="1"/>
  <c r="S333" i="2" a="1"/>
  <c r="S333" i="2" s="1"/>
  <c r="S334" i="2" a="1"/>
  <c r="S334" i="2" s="1"/>
  <c r="S335" i="2" a="1"/>
  <c r="S335" i="2" s="1"/>
  <c r="S336" i="2" a="1"/>
  <c r="S336" i="2" s="1"/>
  <c r="S337" i="2" a="1"/>
  <c r="S337" i="2" s="1"/>
  <c r="S338" i="2" a="1"/>
  <c r="S338" i="2" s="1"/>
  <c r="S339" i="2" a="1"/>
  <c r="S339" i="2" s="1"/>
  <c r="S340" i="2" a="1"/>
  <c r="S340" i="2" s="1"/>
  <c r="S341" i="2" a="1"/>
  <c r="S341" i="2" s="1"/>
  <c r="S342" i="2" a="1"/>
  <c r="S342" i="2" s="1"/>
  <c r="S343" i="2" a="1"/>
  <c r="S343" i="2" s="1"/>
  <c r="S344" i="2" a="1"/>
  <c r="S344" i="2" s="1"/>
  <c r="S345" i="2" a="1"/>
  <c r="S345" i="2" s="1"/>
  <c r="S346" i="2" a="1"/>
  <c r="S346" i="2" s="1"/>
  <c r="S347" i="2" a="1"/>
  <c r="S347" i="2" s="1"/>
  <c r="S348" i="2" a="1"/>
  <c r="S348" i="2" s="1"/>
  <c r="S349" i="2" a="1"/>
  <c r="S349" i="2" s="1"/>
  <c r="S350" i="2" a="1"/>
  <c r="S350" i="2" s="1"/>
  <c r="S351" i="2" a="1"/>
  <c r="S351" i="2" s="1"/>
  <c r="S352" i="2" a="1"/>
  <c r="S352" i="2" s="1"/>
  <c r="S353" i="2" a="1"/>
  <c r="S353" i="2" s="1"/>
  <c r="S354" i="2" a="1"/>
  <c r="S354" i="2" s="1"/>
  <c r="S355" i="2" a="1"/>
  <c r="S355" i="2" s="1"/>
  <c r="S356" i="2" a="1"/>
  <c r="S356" i="2" s="1"/>
  <c r="S357" i="2" a="1"/>
  <c r="S357" i="2" s="1"/>
  <c r="S358" i="2" a="1"/>
  <c r="S358" i="2" s="1"/>
  <c r="S359" i="2" a="1"/>
  <c r="S359" i="2" s="1"/>
  <c r="S360" i="2" a="1"/>
  <c r="S360" i="2" s="1"/>
  <c r="S361" i="2" a="1"/>
  <c r="S361" i="2" s="1"/>
  <c r="S362" i="2" a="1"/>
  <c r="S362" i="2" s="1"/>
  <c r="S363" i="2" a="1"/>
  <c r="S363" i="2" s="1"/>
  <c r="S364" i="2" a="1"/>
  <c r="S364" i="2" s="1"/>
  <c r="S365" i="2" a="1"/>
  <c r="S365" i="2" s="1"/>
  <c r="S366" i="2" a="1"/>
  <c r="S366" i="2" s="1"/>
  <c r="S367" i="2" a="1"/>
  <c r="S367" i="2" s="1"/>
  <c r="S368" i="2" a="1"/>
  <c r="S368" i="2" s="1"/>
  <c r="S369" i="2" a="1"/>
  <c r="S369" i="2" s="1"/>
  <c r="S370" i="2" a="1"/>
  <c r="S370" i="2" s="1"/>
  <c r="S371" i="2" a="1"/>
  <c r="S371" i="2" s="1"/>
  <c r="S372" i="2" a="1"/>
  <c r="S372" i="2" s="1"/>
  <c r="S373" i="2" a="1"/>
  <c r="S373" i="2" s="1"/>
  <c r="S374" i="2" a="1"/>
  <c r="S374" i="2" s="1"/>
  <c r="S375" i="2" a="1"/>
  <c r="S375" i="2" s="1"/>
  <c r="S376" i="2" a="1"/>
  <c r="S376" i="2" s="1"/>
  <c r="S377" i="2" a="1"/>
  <c r="S377" i="2" s="1"/>
  <c r="S378" i="2" a="1"/>
  <c r="S378" i="2" s="1"/>
  <c r="S379" i="2" a="1"/>
  <c r="S379" i="2" s="1"/>
  <c r="S380" i="2" a="1"/>
  <c r="S380" i="2" s="1"/>
  <c r="S381" i="2" a="1"/>
  <c r="S381" i="2" s="1"/>
  <c r="S382" i="2" a="1"/>
  <c r="S382" i="2" s="1"/>
  <c r="S383" i="2" a="1"/>
  <c r="S383" i="2" s="1"/>
  <c r="S384" i="2" a="1"/>
  <c r="S384" i="2" s="1"/>
  <c r="S385" i="2" a="1"/>
  <c r="S385" i="2" s="1"/>
  <c r="S386" i="2" a="1"/>
  <c r="S386" i="2" s="1"/>
  <c r="S387" i="2" a="1"/>
  <c r="S387" i="2" s="1"/>
  <c r="S388" i="2" a="1"/>
  <c r="S388" i="2" s="1"/>
  <c r="S389" i="2" a="1"/>
  <c r="S389" i="2" s="1"/>
  <c r="S390" i="2" a="1"/>
  <c r="S390" i="2" s="1"/>
  <c r="S391" i="2" a="1"/>
  <c r="S391" i="2" s="1"/>
  <c r="S392" i="2" a="1"/>
  <c r="S392" i="2" s="1"/>
  <c r="S393" i="2" a="1"/>
  <c r="S393" i="2" s="1"/>
  <c r="S394" i="2" a="1"/>
  <c r="S394" i="2" s="1"/>
  <c r="S395" i="2" a="1"/>
  <c r="S395" i="2" s="1"/>
  <c r="S396" i="2" a="1"/>
  <c r="S396" i="2" s="1"/>
  <c r="S397" i="2" a="1"/>
  <c r="S397" i="2" s="1"/>
  <c r="S398" i="2" a="1"/>
  <c r="S398" i="2" s="1"/>
  <c r="S399" i="2" a="1"/>
  <c r="S399" i="2" s="1"/>
  <c r="S400" i="2" a="1"/>
  <c r="S400" i="2" s="1"/>
  <c r="S401" i="2" a="1"/>
  <c r="S401" i="2" s="1"/>
  <c r="S402" i="2" a="1"/>
  <c r="S402" i="2" s="1"/>
  <c r="S403" i="2" a="1"/>
  <c r="S403" i="2" s="1"/>
  <c r="S404" i="2" a="1"/>
  <c r="S404" i="2" s="1"/>
  <c r="S405" i="2" a="1"/>
  <c r="S405" i="2" s="1"/>
  <c r="S406" i="2" a="1"/>
  <c r="S406" i="2" s="1"/>
  <c r="S407" i="2" a="1"/>
  <c r="S407" i="2" s="1"/>
  <c r="S408" i="2" a="1"/>
  <c r="S408" i="2" s="1"/>
  <c r="S409" i="2" a="1"/>
  <c r="S409" i="2" s="1"/>
  <c r="S410" i="2" a="1"/>
  <c r="S410" i="2" s="1"/>
  <c r="S411" i="2" a="1"/>
  <c r="S411" i="2" s="1"/>
  <c r="S412" i="2" a="1"/>
  <c r="S412" i="2" s="1"/>
  <c r="S413" i="2" a="1"/>
  <c r="S413" i="2" s="1"/>
  <c r="S414" i="2" a="1"/>
  <c r="S414" i="2" s="1"/>
  <c r="S415" i="2" a="1"/>
  <c r="S415" i="2" s="1"/>
  <c r="S416" i="2" a="1"/>
  <c r="S416" i="2" s="1"/>
  <c r="S417" i="2" a="1"/>
  <c r="S417" i="2" s="1"/>
  <c r="S418" i="2" a="1"/>
  <c r="S418" i="2" s="1"/>
  <c r="S419" i="2" a="1"/>
  <c r="S419" i="2" s="1"/>
  <c r="S420" i="2" a="1"/>
  <c r="S420" i="2" s="1"/>
  <c r="S421" i="2" a="1"/>
  <c r="S421" i="2" s="1"/>
  <c r="S422" i="2" a="1"/>
  <c r="S422" i="2" s="1"/>
  <c r="S423" i="2" a="1"/>
  <c r="S423" i="2" s="1"/>
  <c r="S424" i="2" a="1"/>
  <c r="S424" i="2" s="1"/>
  <c r="S425" i="2" a="1"/>
  <c r="S425" i="2" s="1"/>
  <c r="S426" i="2" a="1"/>
  <c r="S426" i="2" s="1"/>
  <c r="S427" i="2" a="1"/>
  <c r="S427" i="2" s="1"/>
  <c r="S428" i="2" a="1"/>
  <c r="S428" i="2" s="1"/>
  <c r="S429" i="2" a="1"/>
  <c r="S429" i="2" s="1"/>
  <c r="S430" i="2" a="1"/>
  <c r="S430" i="2" s="1"/>
  <c r="S431" i="2" a="1"/>
  <c r="S431" i="2" s="1"/>
  <c r="S432" i="2" a="1"/>
  <c r="S432" i="2" s="1"/>
  <c r="S433" i="2" a="1"/>
  <c r="S433" i="2" s="1"/>
  <c r="S434" i="2" a="1"/>
  <c r="S434" i="2" s="1"/>
  <c r="S435" i="2" a="1"/>
  <c r="S435" i="2" s="1"/>
  <c r="S436" i="2" a="1"/>
  <c r="S436" i="2" s="1"/>
  <c r="S437" i="2" a="1"/>
  <c r="S437" i="2" s="1"/>
  <c r="S438" i="2" a="1"/>
  <c r="S438" i="2" s="1"/>
  <c r="S439" i="2" a="1"/>
  <c r="S439" i="2" s="1"/>
  <c r="S440" i="2" a="1"/>
  <c r="S440" i="2" s="1"/>
  <c r="S441" i="2" a="1"/>
  <c r="S441" i="2" s="1"/>
  <c r="S442" i="2" a="1"/>
  <c r="S442" i="2" s="1"/>
  <c r="S443" i="2" a="1"/>
  <c r="S443" i="2" s="1"/>
  <c r="S444" i="2" a="1"/>
  <c r="S444" i="2" s="1"/>
  <c r="S445" i="2" a="1"/>
  <c r="S445" i="2" s="1"/>
  <c r="S446" i="2" a="1"/>
  <c r="S446" i="2" s="1"/>
  <c r="S447" i="2" a="1"/>
  <c r="S447" i="2" s="1"/>
  <c r="S448" i="2" a="1"/>
  <c r="S448" i="2" s="1"/>
  <c r="S449" i="2" a="1"/>
  <c r="S449" i="2" s="1"/>
  <c r="S450" i="2" a="1"/>
  <c r="S450" i="2" s="1"/>
  <c r="S451" i="2" a="1"/>
  <c r="S451" i="2" s="1"/>
  <c r="S452" i="2" a="1"/>
  <c r="S452" i="2" s="1"/>
  <c r="S453" i="2" a="1"/>
  <c r="S453" i="2" s="1"/>
  <c r="S454" i="2" a="1"/>
  <c r="S454" i="2" s="1"/>
  <c r="S455" i="2" a="1"/>
  <c r="S455" i="2" s="1"/>
  <c r="S456" i="2" a="1"/>
  <c r="S456" i="2" s="1"/>
  <c r="S457" i="2" a="1"/>
  <c r="S457" i="2" s="1"/>
  <c r="S458" i="2" a="1"/>
  <c r="S458" i="2" s="1"/>
  <c r="S459" i="2" a="1"/>
  <c r="S459" i="2" s="1"/>
  <c r="S460" i="2" a="1"/>
  <c r="S460" i="2" s="1"/>
  <c r="S461" i="2" a="1"/>
  <c r="S461" i="2" s="1"/>
  <c r="S462" i="2" a="1"/>
  <c r="S462" i="2" s="1"/>
  <c r="S463" i="2" a="1"/>
  <c r="S463" i="2" s="1"/>
  <c r="S464" i="2" a="1"/>
  <c r="S464" i="2" s="1"/>
  <c r="S465" i="2" a="1"/>
  <c r="S465" i="2" s="1"/>
  <c r="S466" i="2" a="1"/>
  <c r="S466" i="2" s="1"/>
  <c r="S467" i="2" a="1"/>
  <c r="S467" i="2" s="1"/>
  <c r="S468" i="2" a="1"/>
  <c r="S468" i="2" s="1"/>
  <c r="S469" i="2" a="1"/>
  <c r="S469" i="2" s="1"/>
  <c r="S470" i="2" a="1"/>
  <c r="S470" i="2" s="1"/>
  <c r="S471" i="2" a="1"/>
  <c r="S471" i="2" s="1"/>
  <c r="S472" i="2" a="1"/>
  <c r="S472" i="2" s="1"/>
  <c r="S473" i="2" a="1"/>
  <c r="S473" i="2" s="1"/>
  <c r="S474" i="2" a="1"/>
  <c r="S474" i="2" s="1"/>
  <c r="S475" i="2" a="1"/>
  <c r="S475" i="2" s="1"/>
  <c r="S476" i="2" a="1"/>
  <c r="S476" i="2" s="1"/>
  <c r="S477" i="2" a="1"/>
  <c r="S477" i="2" s="1"/>
  <c r="S478" i="2" a="1"/>
  <c r="S478" i="2" s="1"/>
  <c r="S479" i="2" a="1"/>
  <c r="S479" i="2" s="1"/>
  <c r="S480" i="2" a="1"/>
  <c r="S480" i="2" s="1"/>
  <c r="S481" i="2" a="1"/>
  <c r="S481" i="2" s="1"/>
  <c r="S482" i="2" a="1"/>
  <c r="S482" i="2" s="1"/>
  <c r="S483" i="2" a="1"/>
  <c r="S483" i="2" s="1"/>
  <c r="S484" i="2" a="1"/>
  <c r="S484" i="2" s="1"/>
  <c r="S485" i="2" a="1"/>
  <c r="S485" i="2" s="1"/>
  <c r="S486" i="2" a="1"/>
  <c r="S486" i="2" s="1"/>
  <c r="S487" i="2" a="1"/>
  <c r="S487" i="2" s="1"/>
  <c r="S488" i="2" a="1"/>
  <c r="S488" i="2" s="1"/>
  <c r="S489" i="2" a="1"/>
  <c r="S489" i="2" s="1"/>
  <c r="S490" i="2" a="1"/>
  <c r="S490" i="2" s="1"/>
  <c r="S491" i="2" a="1"/>
  <c r="S491" i="2" s="1"/>
  <c r="S492" i="2" a="1"/>
  <c r="S492" i="2" s="1"/>
  <c r="S493" i="2" a="1"/>
  <c r="S493" i="2" s="1"/>
  <c r="S494" i="2" a="1"/>
  <c r="S494" i="2" s="1"/>
  <c r="S495" i="2" a="1"/>
  <c r="S495" i="2" s="1"/>
  <c r="S496" i="2" a="1"/>
  <c r="S496" i="2" s="1"/>
  <c r="S497" i="2" a="1"/>
  <c r="S497" i="2" s="1"/>
  <c r="S498" i="2" a="1"/>
  <c r="S498" i="2" s="1"/>
  <c r="S499" i="2" a="1"/>
  <c r="S499" i="2" s="1"/>
  <c r="S500" i="2" a="1"/>
  <c r="S500" i="2" s="1"/>
  <c r="S501" i="2" a="1"/>
  <c r="S501" i="2" s="1"/>
  <c r="S502" i="2" a="1"/>
  <c r="S502" i="2" s="1"/>
  <c r="S503" i="2" a="1"/>
  <c r="S503" i="2" s="1"/>
  <c r="S504" i="2" a="1"/>
  <c r="S504" i="2" s="1"/>
  <c r="S505" i="2" a="1"/>
  <c r="S505" i="2" s="1"/>
  <c r="S506" i="2" a="1"/>
  <c r="S506" i="2" s="1"/>
  <c r="S507" i="2" a="1"/>
  <c r="S507" i="2" s="1"/>
  <c r="S508" i="2" a="1"/>
  <c r="S508" i="2" s="1"/>
  <c r="S509" i="2" a="1"/>
  <c r="S509" i="2" s="1"/>
  <c r="S510" i="2" a="1"/>
  <c r="S510" i="2" s="1"/>
  <c r="S511" i="2" a="1"/>
  <c r="S511" i="2" s="1"/>
  <c r="S512" i="2" a="1"/>
  <c r="S512" i="2" s="1"/>
  <c r="S513" i="2" a="1"/>
  <c r="S513" i="2" s="1"/>
  <c r="S514" i="2" a="1"/>
  <c r="S514" i="2" s="1"/>
  <c r="S515" i="2" a="1"/>
  <c r="S515" i="2" s="1"/>
  <c r="S516" i="2" a="1"/>
  <c r="S516" i="2" s="1"/>
  <c r="S517" i="2" a="1"/>
  <c r="S517" i="2" s="1"/>
  <c r="S518" i="2" a="1"/>
  <c r="S518" i="2" s="1"/>
  <c r="S519" i="2" a="1"/>
  <c r="S519" i="2" s="1"/>
  <c r="S520" i="2" a="1"/>
  <c r="S520" i="2" s="1"/>
  <c r="S521" i="2" a="1"/>
  <c r="S521" i="2" s="1"/>
  <c r="S522" i="2" a="1"/>
  <c r="S522" i="2" s="1"/>
  <c r="S523" i="2" a="1"/>
  <c r="S523" i="2" s="1"/>
  <c r="S524" i="2" a="1"/>
  <c r="S524" i="2" s="1"/>
  <c r="S525" i="2" a="1"/>
  <c r="S525" i="2" s="1"/>
  <c r="S526" i="2" a="1"/>
  <c r="S526" i="2" s="1"/>
  <c r="S527" i="2" a="1"/>
  <c r="S527" i="2" s="1"/>
  <c r="S528" i="2" a="1"/>
  <c r="S528" i="2" s="1"/>
  <c r="S529" i="2" a="1"/>
  <c r="S529" i="2" s="1"/>
  <c r="S530" i="2" a="1"/>
  <c r="S530" i="2" s="1"/>
  <c r="S531" i="2" a="1"/>
  <c r="S531" i="2" s="1"/>
  <c r="S532" i="2" a="1"/>
  <c r="S532" i="2" s="1"/>
  <c r="S533" i="2" a="1"/>
  <c r="S533" i="2" s="1"/>
  <c r="S534" i="2" a="1"/>
  <c r="S534" i="2" s="1"/>
  <c r="S535" i="2" a="1"/>
  <c r="S535" i="2" s="1"/>
  <c r="S536" i="2" a="1"/>
  <c r="S536" i="2" s="1"/>
  <c r="S537" i="2" a="1"/>
  <c r="S537" i="2" s="1"/>
  <c r="S538" i="2" a="1"/>
  <c r="S538" i="2" s="1"/>
  <c r="S539" i="2" a="1"/>
  <c r="S539" i="2" s="1"/>
  <c r="S540" i="2" a="1"/>
  <c r="S540" i="2" s="1"/>
  <c r="S541" i="2" a="1"/>
  <c r="S541" i="2" s="1"/>
  <c r="S542" i="2" a="1"/>
  <c r="S542" i="2" s="1"/>
  <c r="S543" i="2" a="1"/>
  <c r="S543" i="2" s="1"/>
  <c r="S544" i="2" a="1"/>
  <c r="S544" i="2" s="1"/>
  <c r="S545" i="2" a="1"/>
  <c r="S545" i="2" s="1"/>
  <c r="S546" i="2" a="1"/>
  <c r="S546" i="2" s="1"/>
  <c r="S547" i="2" a="1"/>
  <c r="S547" i="2" s="1"/>
  <c r="S548" i="2" a="1"/>
  <c r="S548" i="2" s="1"/>
  <c r="S549" i="2" a="1"/>
  <c r="S549" i="2" s="1"/>
  <c r="S550" i="2" a="1"/>
  <c r="S550" i="2" s="1"/>
  <c r="S551" i="2" a="1"/>
  <c r="S551" i="2" s="1"/>
  <c r="S552" i="2" a="1"/>
  <c r="S552" i="2" s="1"/>
  <c r="S553" i="2" a="1"/>
  <c r="S553" i="2" s="1"/>
  <c r="S554" i="2" a="1"/>
  <c r="S554" i="2" s="1"/>
  <c r="S555" i="2" a="1"/>
  <c r="S555" i="2" s="1"/>
  <c r="S556" i="2" a="1"/>
  <c r="S556" i="2" s="1"/>
  <c r="S557" i="2" a="1"/>
  <c r="S557" i="2" s="1"/>
  <c r="S558" i="2" a="1"/>
  <c r="S558" i="2" s="1"/>
  <c r="S559" i="2" a="1"/>
  <c r="S559" i="2" s="1"/>
  <c r="S560" i="2" a="1"/>
  <c r="S560" i="2" s="1"/>
  <c r="S561" i="2" a="1"/>
  <c r="S561" i="2" s="1"/>
  <c r="S562" i="2" a="1"/>
  <c r="S562" i="2" s="1"/>
  <c r="S563" i="2" a="1"/>
  <c r="S563" i="2" s="1"/>
  <c r="S564" i="2" a="1"/>
  <c r="S564" i="2" s="1"/>
  <c r="S565" i="2" a="1"/>
  <c r="S565" i="2" s="1"/>
  <c r="S566" i="2" a="1"/>
  <c r="S566" i="2" s="1"/>
  <c r="S567" i="2" a="1"/>
  <c r="S567" i="2" s="1"/>
  <c r="S568" i="2" a="1"/>
  <c r="S568" i="2" s="1"/>
  <c r="S569" i="2" a="1"/>
  <c r="S569" i="2" s="1"/>
  <c r="S570" i="2" a="1"/>
  <c r="S570" i="2" s="1"/>
  <c r="S571" i="2" a="1"/>
  <c r="S571" i="2" s="1"/>
  <c r="S572" i="2" a="1"/>
  <c r="S572" i="2" s="1"/>
  <c r="S573" i="2" a="1"/>
  <c r="S573" i="2" s="1"/>
  <c r="S574" i="2" a="1"/>
  <c r="S574" i="2" s="1"/>
  <c r="S575" i="2" a="1"/>
  <c r="S575" i="2" s="1"/>
  <c r="S576" i="2" a="1"/>
  <c r="S576" i="2" s="1"/>
  <c r="S577" i="2" a="1"/>
  <c r="S577" i="2" s="1"/>
  <c r="S578" i="2" a="1"/>
  <c r="S578" i="2" s="1"/>
  <c r="S579" i="2" a="1"/>
  <c r="S579" i="2" s="1"/>
  <c r="S580" i="2" a="1"/>
  <c r="S580" i="2" s="1"/>
  <c r="S581" i="2" a="1"/>
  <c r="S581" i="2" s="1"/>
  <c r="S582" i="2" a="1"/>
  <c r="S582" i="2" s="1"/>
  <c r="S583" i="2" a="1"/>
  <c r="S583" i="2" s="1"/>
  <c r="S584" i="2" a="1"/>
  <c r="S584" i="2" s="1"/>
  <c r="S585" i="2" a="1"/>
  <c r="S585" i="2" s="1"/>
  <c r="S586" i="2" a="1"/>
  <c r="S586" i="2" s="1"/>
  <c r="S587" i="2" a="1"/>
  <c r="S587" i="2" s="1"/>
  <c r="S588" i="2" a="1"/>
  <c r="S588" i="2" s="1"/>
  <c r="S589" i="2" a="1"/>
  <c r="S589" i="2" s="1"/>
  <c r="S590" i="2" a="1"/>
  <c r="S590" i="2" s="1"/>
  <c r="S591" i="2" a="1"/>
  <c r="S591" i="2" s="1"/>
  <c r="S592" i="2" a="1"/>
  <c r="S592" i="2" s="1"/>
  <c r="S593" i="2" a="1"/>
  <c r="S593" i="2" s="1"/>
  <c r="S594" i="2" a="1"/>
  <c r="S594" i="2" s="1"/>
  <c r="S595" i="2" a="1"/>
  <c r="S595" i="2" s="1"/>
  <c r="S596" i="2" a="1"/>
  <c r="S596" i="2" s="1"/>
  <c r="S597" i="2" a="1"/>
  <c r="S597" i="2" s="1"/>
  <c r="S598" i="2" a="1"/>
  <c r="S598" i="2" s="1"/>
  <c r="S599" i="2" a="1"/>
  <c r="S599" i="2" s="1"/>
  <c r="S600" i="2" a="1"/>
  <c r="S600" i="2" s="1"/>
  <c r="S601" i="2" a="1"/>
  <c r="S601" i="2" s="1"/>
  <c r="S602" i="2" a="1"/>
  <c r="S602" i="2" s="1"/>
  <c r="S603" i="2" a="1"/>
  <c r="S603" i="2" s="1"/>
  <c r="S604" i="2" a="1"/>
  <c r="S604" i="2" s="1"/>
  <c r="S605" i="2" a="1"/>
  <c r="S605" i="2" s="1"/>
  <c r="S606" i="2" a="1"/>
  <c r="S606" i="2" s="1"/>
  <c r="S607" i="2" a="1"/>
  <c r="S607" i="2" s="1"/>
  <c r="S608" i="2" a="1"/>
  <c r="S608" i="2" s="1"/>
  <c r="S609" i="2" a="1"/>
  <c r="S609" i="2" s="1"/>
  <c r="S610" i="2" a="1"/>
  <c r="S610" i="2" s="1"/>
  <c r="S611" i="2" a="1"/>
  <c r="S611" i="2" s="1"/>
  <c r="S612" i="2" a="1"/>
  <c r="S612" i="2" s="1"/>
  <c r="S613" i="2" a="1"/>
  <c r="S613" i="2" s="1"/>
  <c r="S614" i="2" a="1"/>
  <c r="S614" i="2" s="1"/>
  <c r="S615" i="2" a="1"/>
  <c r="S615" i="2" s="1"/>
  <c r="S616" i="2" a="1"/>
  <c r="S616" i="2" s="1"/>
  <c r="S617" i="2" a="1"/>
  <c r="S617" i="2" s="1"/>
  <c r="S618" i="2" a="1"/>
  <c r="S618" i="2" s="1"/>
  <c r="S619" i="2" a="1"/>
  <c r="S619" i="2" s="1"/>
  <c r="S620" i="2" a="1"/>
  <c r="S620" i="2" s="1"/>
  <c r="S621" i="2" a="1"/>
  <c r="S621" i="2" s="1"/>
  <c r="S622" i="2" a="1"/>
  <c r="S622" i="2" s="1"/>
  <c r="S623" i="2" a="1"/>
  <c r="S623" i="2" s="1"/>
  <c r="S624" i="2" a="1"/>
  <c r="S624" i="2" s="1"/>
  <c r="S625" i="2" a="1"/>
  <c r="S625" i="2" s="1"/>
  <c r="S626" i="2" a="1"/>
  <c r="S626" i="2" s="1"/>
  <c r="S627" i="2" a="1"/>
  <c r="S627" i="2" s="1"/>
  <c r="S628" i="2" a="1"/>
  <c r="S628" i="2" s="1"/>
  <c r="S629" i="2" a="1"/>
  <c r="S629" i="2" s="1"/>
  <c r="S630" i="2" a="1"/>
  <c r="S630" i="2" s="1"/>
  <c r="S631" i="2" a="1"/>
  <c r="S631" i="2" s="1"/>
  <c r="S632" i="2" a="1"/>
  <c r="S632" i="2" s="1"/>
  <c r="S633" i="2" a="1"/>
  <c r="S633" i="2" s="1"/>
  <c r="S634" i="2" a="1"/>
  <c r="S634" i="2" s="1"/>
  <c r="S635" i="2" a="1"/>
  <c r="S635" i="2" s="1"/>
  <c r="S636" i="2" a="1"/>
  <c r="S636" i="2" s="1"/>
  <c r="S637" i="2" a="1"/>
  <c r="S637" i="2" s="1"/>
  <c r="S638" i="2" a="1"/>
  <c r="S638" i="2" s="1"/>
  <c r="S639" i="2" a="1"/>
  <c r="S639" i="2" s="1"/>
  <c r="S640" i="2" a="1"/>
  <c r="S640" i="2" s="1"/>
  <c r="S641" i="2" a="1"/>
  <c r="S641" i="2" s="1"/>
  <c r="S642" i="2" a="1"/>
  <c r="S642" i="2" s="1"/>
  <c r="S643" i="2" a="1"/>
  <c r="S643" i="2" s="1"/>
  <c r="S644" i="2" a="1"/>
  <c r="S644" i="2" s="1"/>
  <c r="S645" i="2" a="1"/>
  <c r="S645" i="2" s="1"/>
  <c r="S646" i="2" a="1"/>
  <c r="S646" i="2" s="1"/>
  <c r="S647" i="2" a="1"/>
  <c r="S647" i="2" s="1"/>
  <c r="S648" i="2" a="1"/>
  <c r="S648" i="2" s="1"/>
  <c r="S649" i="2" a="1"/>
  <c r="S649" i="2" s="1"/>
  <c r="S650" i="2" a="1"/>
  <c r="S650" i="2" s="1"/>
  <c r="S651" i="2" a="1"/>
  <c r="S651" i="2" s="1"/>
  <c r="S652" i="2" a="1"/>
  <c r="S652" i="2" s="1"/>
  <c r="S653" i="2" a="1"/>
  <c r="S653" i="2" s="1"/>
  <c r="S654" i="2" a="1"/>
  <c r="S654" i="2" s="1"/>
  <c r="S655" i="2" a="1"/>
  <c r="S655" i="2" s="1"/>
  <c r="S656" i="2" a="1"/>
  <c r="S656" i="2" s="1"/>
  <c r="S657" i="2" a="1"/>
  <c r="S657" i="2" s="1"/>
  <c r="S658" i="2" a="1"/>
  <c r="S658" i="2" s="1"/>
  <c r="S659" i="2" a="1"/>
  <c r="S659" i="2" s="1"/>
  <c r="S660" i="2" a="1"/>
  <c r="S660" i="2" s="1"/>
  <c r="S661" i="2" a="1"/>
  <c r="S661" i="2" s="1"/>
  <c r="S662" i="2" a="1"/>
  <c r="S662" i="2" s="1"/>
  <c r="S663" i="2" a="1"/>
  <c r="S663" i="2" s="1"/>
  <c r="S664" i="2" a="1"/>
  <c r="S664" i="2" s="1"/>
  <c r="S665" i="2" a="1"/>
  <c r="S665" i="2" s="1"/>
  <c r="S666" i="2" a="1"/>
  <c r="S666" i="2" s="1"/>
  <c r="S667" i="2" a="1"/>
  <c r="S667" i="2" s="1"/>
  <c r="S668" i="2" a="1"/>
  <c r="S668" i="2" s="1"/>
  <c r="S669" i="2" a="1"/>
  <c r="S669" i="2" s="1"/>
  <c r="S670" i="2" a="1"/>
  <c r="S670" i="2" s="1"/>
  <c r="S671" i="2" a="1"/>
  <c r="S671" i="2" s="1"/>
  <c r="S672" i="2" a="1"/>
  <c r="S672" i="2" s="1"/>
  <c r="S673" i="2" a="1"/>
  <c r="S673" i="2" s="1"/>
  <c r="S674" i="2" a="1"/>
  <c r="S674" i="2" s="1"/>
  <c r="S675" i="2" a="1"/>
  <c r="S675" i="2" s="1"/>
  <c r="S676" i="2" a="1"/>
  <c r="S676" i="2" s="1"/>
  <c r="S677" i="2" a="1"/>
  <c r="S677" i="2" s="1"/>
  <c r="S678" i="2" a="1"/>
  <c r="S678" i="2" s="1"/>
  <c r="S679" i="2" a="1"/>
  <c r="S679" i="2" s="1"/>
  <c r="S680" i="2" a="1"/>
  <c r="S680" i="2" s="1"/>
  <c r="S681" i="2" a="1"/>
  <c r="S681" i="2" s="1"/>
  <c r="S682" i="2" a="1"/>
  <c r="S682" i="2" s="1"/>
  <c r="S683" i="2" a="1"/>
  <c r="S683" i="2" s="1"/>
  <c r="S684" i="2" a="1"/>
  <c r="S684" i="2" s="1"/>
  <c r="S685" i="2" a="1"/>
  <c r="S685" i="2" s="1"/>
  <c r="S686" i="2" a="1"/>
  <c r="S686" i="2" s="1"/>
  <c r="S687" i="2" a="1"/>
  <c r="S687" i="2" s="1"/>
  <c r="S688" i="2" a="1"/>
  <c r="S688" i="2" s="1"/>
  <c r="S689" i="2" a="1"/>
  <c r="S689" i="2" s="1"/>
  <c r="S690" i="2" a="1"/>
  <c r="S690" i="2" s="1"/>
  <c r="S691" i="2" a="1"/>
  <c r="S691" i="2" s="1"/>
  <c r="S692" i="2" a="1"/>
  <c r="S692" i="2" s="1"/>
  <c r="S693" i="2" a="1"/>
  <c r="S693" i="2" s="1"/>
  <c r="S694" i="2" a="1"/>
  <c r="S694" i="2" s="1"/>
  <c r="S695" i="2" a="1"/>
  <c r="S695" i="2" s="1"/>
  <c r="S696" i="2" a="1"/>
  <c r="S696" i="2" s="1"/>
  <c r="S697" i="2" a="1"/>
  <c r="S697" i="2" s="1"/>
  <c r="S698" i="2" a="1"/>
  <c r="S698" i="2" s="1"/>
  <c r="S699" i="2" a="1"/>
  <c r="S699" i="2" s="1"/>
  <c r="S700" i="2" a="1"/>
  <c r="S700" i="2" s="1"/>
  <c r="S701" i="2" a="1"/>
  <c r="S701" i="2" s="1"/>
  <c r="S702" i="2" a="1"/>
  <c r="S702" i="2" s="1"/>
  <c r="S703" i="2" a="1"/>
  <c r="S703" i="2" s="1"/>
  <c r="S704" i="2" a="1"/>
  <c r="S704" i="2" s="1"/>
  <c r="S705" i="2" a="1"/>
  <c r="S705" i="2" s="1"/>
  <c r="S706" i="2" a="1"/>
  <c r="S706" i="2" s="1"/>
  <c r="S707" i="2" a="1"/>
  <c r="S707" i="2" s="1"/>
  <c r="S708" i="2" a="1"/>
  <c r="S708" i="2" s="1"/>
  <c r="S709" i="2" a="1"/>
  <c r="S709" i="2" s="1"/>
  <c r="S710" i="2" a="1"/>
  <c r="S710" i="2" s="1"/>
  <c r="S711" i="2" a="1"/>
  <c r="S711" i="2" s="1"/>
  <c r="S712" i="2" a="1"/>
  <c r="S712" i="2" s="1"/>
  <c r="S713" i="2" a="1"/>
  <c r="S713" i="2" s="1"/>
  <c r="S714" i="2" a="1"/>
  <c r="S714" i="2" s="1"/>
  <c r="S715" i="2" a="1"/>
  <c r="S715" i="2" s="1"/>
  <c r="S716" i="2" a="1"/>
  <c r="S716" i="2" s="1"/>
  <c r="S717" i="2" a="1"/>
  <c r="S717" i="2" s="1"/>
  <c r="S718" i="2" a="1"/>
  <c r="S718" i="2" s="1"/>
  <c r="S719" i="2" a="1"/>
  <c r="S719" i="2" s="1"/>
  <c r="S720" i="2" a="1"/>
  <c r="S720" i="2" s="1"/>
  <c r="S721" i="2" a="1"/>
  <c r="S721" i="2" s="1"/>
  <c r="S722" i="2" a="1"/>
  <c r="S722" i="2" s="1"/>
  <c r="S723" i="2" a="1"/>
  <c r="S723" i="2" s="1"/>
  <c r="S724" i="2" a="1"/>
  <c r="S724" i="2" s="1"/>
  <c r="S725" i="2" a="1"/>
  <c r="S725" i="2" s="1"/>
  <c r="S726" i="2" a="1"/>
  <c r="S726" i="2" s="1"/>
  <c r="S727" i="2" a="1"/>
  <c r="S727" i="2" s="1"/>
  <c r="S728" i="2" a="1"/>
  <c r="S728" i="2" s="1"/>
  <c r="S729" i="2" a="1"/>
  <c r="S729" i="2" s="1"/>
  <c r="S730" i="2" a="1"/>
  <c r="S730" i="2" s="1"/>
  <c r="S731" i="2" a="1"/>
  <c r="S731" i="2" s="1"/>
  <c r="S732" i="2" a="1"/>
  <c r="S732" i="2" s="1"/>
  <c r="S733" i="2" a="1"/>
  <c r="S733" i="2" s="1"/>
  <c r="S734" i="2" a="1"/>
  <c r="S734" i="2" s="1"/>
  <c r="S735" i="2" a="1"/>
  <c r="S735" i="2" s="1"/>
  <c r="S736" i="2" a="1"/>
  <c r="S736" i="2" s="1"/>
  <c r="S737" i="2" a="1"/>
  <c r="S737" i="2" s="1"/>
  <c r="S738" i="2" a="1"/>
  <c r="S738" i="2" s="1"/>
  <c r="S739" i="2" a="1"/>
  <c r="S739" i="2" s="1"/>
  <c r="S740" i="2" a="1"/>
  <c r="S740" i="2" s="1"/>
  <c r="S741" i="2" a="1"/>
  <c r="S741" i="2" s="1"/>
  <c r="S742" i="2" a="1"/>
  <c r="S742" i="2" s="1"/>
  <c r="S743" i="2" a="1"/>
  <c r="S743" i="2" s="1"/>
  <c r="S744" i="2" a="1"/>
  <c r="S744" i="2" s="1"/>
  <c r="S745" i="2" a="1"/>
  <c r="S745" i="2" s="1"/>
  <c r="S746" i="2" a="1"/>
  <c r="S746" i="2" s="1"/>
  <c r="S747" i="2" a="1"/>
  <c r="S747" i="2" s="1"/>
  <c r="S748" i="2" a="1"/>
  <c r="S748" i="2" s="1"/>
  <c r="S749" i="2" a="1"/>
  <c r="S749" i="2" s="1"/>
  <c r="S750" i="2" a="1"/>
  <c r="S750" i="2" s="1"/>
  <c r="S751" i="2" a="1"/>
  <c r="S751" i="2" s="1"/>
  <c r="S752" i="2" a="1"/>
  <c r="S752" i="2" s="1"/>
  <c r="S753" i="2" a="1"/>
  <c r="S753" i="2" s="1"/>
  <c r="S754" i="2" a="1"/>
  <c r="S754" i="2" s="1"/>
  <c r="S755" i="2" a="1"/>
  <c r="S755" i="2" s="1"/>
  <c r="S756" i="2" a="1"/>
  <c r="S756" i="2" s="1"/>
  <c r="S757" i="2" a="1"/>
  <c r="S757" i="2" s="1"/>
  <c r="S758" i="2" a="1"/>
  <c r="S758" i="2" s="1"/>
  <c r="S759" i="2" a="1"/>
  <c r="S759" i="2" s="1"/>
  <c r="S760" i="2" a="1"/>
  <c r="S760" i="2" s="1"/>
  <c r="S761" i="2" a="1"/>
  <c r="S761" i="2" s="1"/>
  <c r="S762" i="2" a="1"/>
  <c r="S762" i="2" s="1"/>
  <c r="S763" i="2" a="1"/>
  <c r="S763" i="2" s="1"/>
  <c r="S764" i="2" a="1"/>
  <c r="S764" i="2" s="1"/>
  <c r="S765" i="2" a="1"/>
  <c r="S765" i="2" s="1"/>
  <c r="S766" i="2" a="1"/>
  <c r="S766" i="2" s="1"/>
  <c r="S767" i="2" a="1"/>
  <c r="S767" i="2" s="1"/>
  <c r="S768" i="2" a="1"/>
  <c r="S768" i="2" s="1"/>
  <c r="S769" i="2" a="1"/>
  <c r="S769" i="2" s="1"/>
  <c r="S770" i="2" a="1"/>
  <c r="S770" i="2" s="1"/>
  <c r="S771" i="2" a="1"/>
  <c r="S771" i="2" s="1"/>
  <c r="S772" i="2" a="1"/>
  <c r="S772" i="2" s="1"/>
  <c r="S773" i="2" a="1"/>
  <c r="S773" i="2" s="1"/>
  <c r="S774" i="2" a="1"/>
  <c r="S774" i="2" s="1"/>
  <c r="S775" i="2" a="1"/>
  <c r="S775" i="2" s="1"/>
  <c r="S776" i="2" a="1"/>
  <c r="S776" i="2" s="1"/>
  <c r="S777" i="2" a="1"/>
  <c r="S777" i="2" s="1"/>
  <c r="S778" i="2" a="1"/>
  <c r="S778" i="2" s="1"/>
  <c r="S779" i="2" a="1"/>
  <c r="S779" i="2" s="1"/>
  <c r="S780" i="2" a="1"/>
  <c r="S780" i="2" s="1"/>
  <c r="S781" i="2" a="1"/>
  <c r="S781" i="2" s="1"/>
  <c r="S782" i="2" a="1"/>
  <c r="S782" i="2" s="1"/>
  <c r="S783" i="2" a="1"/>
  <c r="S783" i="2" s="1"/>
  <c r="S784" i="2" a="1"/>
  <c r="S784" i="2" s="1"/>
  <c r="S785" i="2" a="1"/>
  <c r="S785" i="2" s="1"/>
  <c r="S786" i="2" a="1"/>
  <c r="S786" i="2" s="1"/>
  <c r="S787" i="2" a="1"/>
  <c r="S787" i="2" s="1"/>
  <c r="S788" i="2" a="1"/>
  <c r="S788" i="2" s="1"/>
  <c r="S789" i="2" a="1"/>
  <c r="S789" i="2" s="1"/>
  <c r="S790" i="2" a="1"/>
  <c r="S790" i="2" s="1"/>
  <c r="S791" i="2" a="1"/>
  <c r="S791" i="2" s="1"/>
  <c r="S792" i="2" a="1"/>
  <c r="S792" i="2" s="1"/>
  <c r="S793" i="2" a="1"/>
  <c r="S793" i="2" s="1"/>
  <c r="S794" i="2" a="1"/>
  <c r="S794" i="2" s="1"/>
  <c r="S795" i="2" a="1"/>
  <c r="S795" i="2" s="1"/>
  <c r="S796" i="2" a="1"/>
  <c r="S796" i="2" s="1"/>
  <c r="S797" i="2" a="1"/>
  <c r="S797" i="2" s="1"/>
  <c r="S798" i="2" a="1"/>
  <c r="S798" i="2" s="1"/>
  <c r="S799" i="2" a="1"/>
  <c r="S799" i="2" s="1"/>
  <c r="S800" i="2" a="1"/>
  <c r="S800" i="2" s="1"/>
  <c r="S801" i="2" a="1"/>
  <c r="S801" i="2" s="1"/>
  <c r="S802" i="2" a="1"/>
  <c r="S802" i="2" s="1"/>
  <c r="S803" i="2" a="1"/>
  <c r="S803" i="2" s="1"/>
  <c r="S804" i="2" a="1"/>
  <c r="S804" i="2" s="1"/>
  <c r="S805" i="2" a="1"/>
  <c r="S805" i="2" s="1"/>
  <c r="S806" i="2" a="1"/>
  <c r="S806" i="2" s="1"/>
  <c r="S807" i="2" a="1"/>
  <c r="S807" i="2" s="1"/>
  <c r="S808" i="2" a="1"/>
  <c r="S808" i="2" s="1"/>
  <c r="S809" i="2" a="1"/>
  <c r="S809" i="2" s="1"/>
  <c r="S810" i="2" a="1"/>
  <c r="S810" i="2" s="1"/>
  <c r="S811" i="2" a="1"/>
  <c r="S811" i="2" s="1"/>
  <c r="S812" i="2" a="1"/>
  <c r="S812" i="2" s="1"/>
  <c r="S813" i="2" a="1"/>
  <c r="S813" i="2" s="1"/>
  <c r="S814" i="2" a="1"/>
  <c r="S814" i="2" s="1"/>
  <c r="S815" i="2" a="1"/>
  <c r="S815" i="2" s="1"/>
  <c r="S816" i="2" a="1"/>
  <c r="S816" i="2" s="1"/>
  <c r="S817" i="2" a="1"/>
  <c r="S817" i="2" s="1"/>
  <c r="S818" i="2" a="1"/>
  <c r="S818" i="2" s="1"/>
  <c r="S819" i="2" a="1"/>
  <c r="S819" i="2" s="1"/>
  <c r="S820" i="2" a="1"/>
  <c r="S820" i="2" s="1"/>
  <c r="S821" i="2" a="1"/>
  <c r="S821" i="2" s="1"/>
  <c r="S822" i="2" a="1"/>
  <c r="S822" i="2" s="1"/>
  <c r="S823" i="2" a="1"/>
  <c r="S823" i="2" s="1"/>
  <c r="S824" i="2" a="1"/>
  <c r="S824" i="2" s="1"/>
  <c r="S825" i="2" a="1"/>
  <c r="S825" i="2" s="1"/>
  <c r="S826" i="2" a="1"/>
  <c r="S826" i="2" s="1"/>
  <c r="S827" i="2" a="1"/>
  <c r="S827" i="2" s="1"/>
  <c r="S828" i="2" a="1"/>
  <c r="S828" i="2" s="1"/>
  <c r="S829" i="2" a="1"/>
  <c r="S829" i="2" s="1"/>
  <c r="S830" i="2" a="1"/>
  <c r="S830" i="2" s="1"/>
  <c r="S831" i="2" a="1"/>
  <c r="S831" i="2" s="1"/>
  <c r="S832" i="2" a="1"/>
  <c r="S832" i="2" s="1"/>
  <c r="S833" i="2" a="1"/>
  <c r="S833" i="2" s="1"/>
  <c r="S834" i="2" a="1"/>
  <c r="S834" i="2" s="1"/>
  <c r="S835" i="2" a="1"/>
  <c r="S835" i="2" s="1"/>
  <c r="S836" i="2" a="1"/>
  <c r="S836" i="2" s="1"/>
  <c r="S837" i="2" a="1"/>
  <c r="S837" i="2" s="1"/>
  <c r="S838" i="2" a="1"/>
  <c r="S838" i="2" s="1"/>
  <c r="S839" i="2" a="1"/>
  <c r="S839" i="2" s="1"/>
  <c r="S840" i="2" a="1"/>
  <c r="S840" i="2" s="1"/>
  <c r="S841" i="2" a="1"/>
  <c r="S841" i="2" s="1"/>
  <c r="S842" i="2" a="1"/>
  <c r="S842" i="2" s="1"/>
  <c r="S843" i="2" a="1"/>
  <c r="S843" i="2" s="1"/>
  <c r="S844" i="2" a="1"/>
  <c r="S844" i="2" s="1"/>
  <c r="S845" i="2" a="1"/>
  <c r="S845" i="2" s="1"/>
  <c r="S846" i="2" a="1"/>
  <c r="S846" i="2" s="1"/>
  <c r="S847" i="2" a="1"/>
  <c r="S847" i="2" s="1"/>
  <c r="S848" i="2" a="1"/>
  <c r="S848" i="2" s="1"/>
  <c r="S849" i="2" a="1"/>
  <c r="S849" i="2" s="1"/>
  <c r="S850" i="2" a="1"/>
  <c r="S850" i="2" s="1"/>
  <c r="S851" i="2" a="1"/>
  <c r="S851" i="2" s="1"/>
  <c r="S852" i="2" a="1"/>
  <c r="S852" i="2" s="1"/>
  <c r="S853" i="2" a="1"/>
  <c r="S853" i="2" s="1"/>
  <c r="S854" i="2" a="1"/>
  <c r="S854" i="2" s="1"/>
  <c r="S855" i="2" a="1"/>
  <c r="S855" i="2" s="1"/>
  <c r="S856" i="2" a="1"/>
  <c r="S856" i="2" s="1"/>
  <c r="S857" i="2" a="1"/>
  <c r="S857" i="2" s="1"/>
  <c r="S858" i="2" a="1"/>
  <c r="S858" i="2" s="1"/>
  <c r="S859" i="2" a="1"/>
  <c r="S859" i="2" s="1"/>
  <c r="S860" i="2" a="1"/>
  <c r="S860" i="2" s="1"/>
  <c r="S861" i="2" a="1"/>
  <c r="S861" i="2" s="1"/>
  <c r="S862" i="2" a="1"/>
  <c r="S862" i="2" s="1"/>
  <c r="S863" i="2" a="1"/>
  <c r="S863" i="2" s="1"/>
  <c r="S864" i="2" a="1"/>
  <c r="S864" i="2" s="1"/>
  <c r="S865" i="2" a="1"/>
  <c r="S865" i="2" s="1"/>
  <c r="S866" i="2" a="1"/>
  <c r="S866" i="2" s="1"/>
  <c r="S867" i="2" a="1"/>
  <c r="S867" i="2" s="1"/>
  <c r="S868" i="2" a="1"/>
  <c r="S868" i="2" s="1"/>
  <c r="S869" i="2" a="1"/>
  <c r="S869" i="2" s="1"/>
  <c r="S870" i="2" a="1"/>
  <c r="S870" i="2" s="1"/>
  <c r="S871" i="2" a="1"/>
  <c r="S871" i="2" s="1"/>
  <c r="S872" i="2" a="1"/>
  <c r="S872" i="2" s="1"/>
  <c r="S873" i="2" a="1"/>
  <c r="S873" i="2" s="1"/>
  <c r="S874" i="2" a="1"/>
  <c r="S874" i="2" s="1"/>
  <c r="S875" i="2" a="1"/>
  <c r="S875" i="2" s="1"/>
  <c r="S876" i="2" a="1"/>
  <c r="S876" i="2" s="1"/>
  <c r="S877" i="2" a="1"/>
  <c r="S877" i="2" s="1"/>
  <c r="S878" i="2" a="1"/>
  <c r="S878" i="2" s="1"/>
  <c r="S879" i="2" a="1"/>
  <c r="S879" i="2" s="1"/>
  <c r="S880" i="2" a="1"/>
  <c r="S880" i="2" s="1"/>
  <c r="S881" i="2" a="1"/>
  <c r="S881" i="2" s="1"/>
  <c r="S882" i="2" a="1"/>
  <c r="S882" i="2" s="1"/>
  <c r="S883" i="2" a="1"/>
  <c r="S883" i="2" s="1"/>
  <c r="S884" i="2" a="1"/>
  <c r="S884" i="2" s="1"/>
  <c r="S885" i="2" a="1"/>
  <c r="S885" i="2" s="1"/>
  <c r="S886" i="2" a="1"/>
  <c r="S886" i="2" s="1"/>
  <c r="S887" i="2" a="1"/>
  <c r="S887" i="2" s="1"/>
  <c r="S888" i="2" a="1"/>
  <c r="S888" i="2" s="1"/>
  <c r="S889" i="2" a="1"/>
  <c r="S889" i="2" s="1"/>
  <c r="S890" i="2" a="1"/>
  <c r="S890" i="2" s="1"/>
  <c r="S891" i="2" a="1"/>
  <c r="S891" i="2" s="1"/>
  <c r="S892" i="2" a="1"/>
  <c r="S892" i="2" s="1"/>
  <c r="S893" i="2" a="1"/>
  <c r="S893" i="2" s="1"/>
  <c r="S894" i="2" a="1"/>
  <c r="S894" i="2" s="1"/>
  <c r="S895" i="2" a="1"/>
  <c r="S895" i="2" s="1"/>
  <c r="S896" i="2" a="1"/>
  <c r="S896" i="2" s="1"/>
  <c r="S897" i="2" a="1"/>
  <c r="S897" i="2" s="1"/>
  <c r="S898" i="2" a="1"/>
  <c r="S898" i="2" s="1"/>
  <c r="S899" i="2" a="1"/>
  <c r="S899" i="2" s="1"/>
  <c r="S900" i="2" a="1"/>
  <c r="S900" i="2" s="1"/>
  <c r="S901" i="2" a="1"/>
  <c r="S901" i="2" s="1"/>
  <c r="S902" i="2" a="1"/>
  <c r="S902" i="2" s="1"/>
  <c r="S903" i="2" a="1"/>
  <c r="S903" i="2" s="1"/>
  <c r="S904" i="2" a="1"/>
  <c r="S904" i="2" s="1"/>
  <c r="S905" i="2" a="1"/>
  <c r="S905" i="2" s="1"/>
  <c r="S906" i="2" a="1"/>
  <c r="S906" i="2" s="1"/>
  <c r="S907" i="2" a="1"/>
  <c r="S907" i="2" s="1"/>
  <c r="S908" i="2" a="1"/>
  <c r="S908" i="2" s="1"/>
  <c r="S909" i="2" a="1"/>
  <c r="S909" i="2" s="1"/>
  <c r="S910" i="2" a="1"/>
  <c r="S910" i="2" s="1"/>
  <c r="S911" i="2" a="1"/>
  <c r="S911" i="2" s="1"/>
  <c r="S912" i="2" a="1"/>
  <c r="S912" i="2" s="1"/>
  <c r="S913" i="2" a="1"/>
  <c r="S913" i="2" s="1"/>
  <c r="S914" i="2" a="1"/>
  <c r="S914" i="2" s="1"/>
  <c r="S915" i="2" a="1"/>
  <c r="S915" i="2" s="1"/>
  <c r="S916" i="2" a="1"/>
  <c r="S916" i="2" s="1"/>
  <c r="S917" i="2" a="1"/>
  <c r="S917" i="2" s="1"/>
  <c r="S918" i="2" a="1"/>
  <c r="S918" i="2" s="1"/>
  <c r="S919" i="2" a="1"/>
  <c r="S919" i="2" s="1"/>
  <c r="S920" i="2" a="1"/>
  <c r="S920" i="2" s="1"/>
  <c r="S921" i="2" a="1"/>
  <c r="S921" i="2" s="1"/>
  <c r="S922" i="2" a="1"/>
  <c r="S922" i="2" s="1"/>
  <c r="S923" i="2" a="1"/>
  <c r="S923" i="2" s="1"/>
  <c r="S924" i="2" a="1"/>
  <c r="S924" i="2" s="1"/>
  <c r="S925" i="2" a="1"/>
  <c r="S925" i="2" s="1"/>
  <c r="S926" i="2" a="1"/>
  <c r="S926" i="2" s="1"/>
  <c r="S927" i="2" a="1"/>
  <c r="S927" i="2" s="1"/>
  <c r="S928" i="2" a="1"/>
  <c r="S928" i="2" s="1"/>
  <c r="S929" i="2" a="1"/>
  <c r="S929" i="2" s="1"/>
  <c r="S930" i="2" a="1"/>
  <c r="S930" i="2" s="1"/>
  <c r="S931" i="2" a="1"/>
  <c r="S931" i="2" s="1"/>
  <c r="S932" i="2" a="1"/>
  <c r="S932" i="2" s="1"/>
  <c r="S933" i="2" a="1"/>
  <c r="S933" i="2" s="1"/>
  <c r="S934" i="2" a="1"/>
  <c r="S934" i="2" s="1"/>
  <c r="S935" i="2" a="1"/>
  <c r="S935" i="2" s="1"/>
  <c r="S936" i="2" a="1"/>
  <c r="S936" i="2" s="1"/>
  <c r="S937" i="2" a="1"/>
  <c r="S937" i="2" s="1"/>
  <c r="S938" i="2" a="1"/>
  <c r="S938" i="2" s="1"/>
  <c r="S939" i="2" a="1"/>
  <c r="S939" i="2" s="1"/>
  <c r="S940" i="2" a="1"/>
  <c r="S940" i="2" s="1"/>
  <c r="S941" i="2" a="1"/>
  <c r="S941" i="2" s="1"/>
  <c r="S942" i="2" a="1"/>
  <c r="S942" i="2" s="1"/>
  <c r="S943" i="2" a="1"/>
  <c r="S943" i="2" s="1"/>
  <c r="S944" i="2" a="1"/>
  <c r="S944" i="2" s="1"/>
  <c r="S945" i="2" a="1"/>
  <c r="S945" i="2" s="1"/>
  <c r="S946" i="2" a="1"/>
  <c r="S946" i="2" s="1"/>
  <c r="S947" i="2" a="1"/>
  <c r="S947" i="2" s="1"/>
  <c r="S948" i="2" a="1"/>
  <c r="S948" i="2" s="1"/>
  <c r="S949" i="2" a="1"/>
  <c r="S949" i="2" s="1"/>
  <c r="S950" i="2" a="1"/>
  <c r="S950" i="2" s="1"/>
  <c r="S951" i="2" a="1"/>
  <c r="S951" i="2" s="1"/>
  <c r="S952" i="2" a="1"/>
  <c r="S952" i="2" s="1"/>
  <c r="S953" i="2" a="1"/>
  <c r="S953" i="2" s="1"/>
  <c r="S954" i="2" a="1"/>
  <c r="S954" i="2" s="1"/>
  <c r="S955" i="2" a="1"/>
  <c r="S955" i="2" s="1"/>
  <c r="S956" i="2" a="1"/>
  <c r="S956" i="2" s="1"/>
  <c r="S957" i="2" a="1"/>
  <c r="S957" i="2" s="1"/>
  <c r="S958" i="2" a="1"/>
  <c r="S958" i="2" s="1"/>
  <c r="S959" i="2" a="1"/>
  <c r="S959" i="2" s="1"/>
  <c r="S960" i="2" a="1"/>
  <c r="S960" i="2" s="1"/>
  <c r="S961" i="2" a="1"/>
  <c r="S961" i="2" s="1"/>
  <c r="S962" i="2" a="1"/>
  <c r="S962" i="2" s="1"/>
  <c r="S963" i="2" a="1"/>
  <c r="S963" i="2" s="1"/>
  <c r="S964" i="2" a="1"/>
  <c r="S964" i="2" s="1"/>
  <c r="S965" i="2" a="1"/>
  <c r="S965" i="2" s="1"/>
  <c r="S966" i="2" a="1"/>
  <c r="S966" i="2" s="1"/>
  <c r="S967" i="2" a="1"/>
  <c r="S967" i="2" s="1"/>
  <c r="S968" i="2" a="1"/>
  <c r="S968" i="2" s="1"/>
  <c r="S969" i="2" a="1"/>
  <c r="S969" i="2" s="1"/>
  <c r="S970" i="2" a="1"/>
  <c r="S970" i="2" s="1"/>
  <c r="S971" i="2" a="1"/>
  <c r="S971" i="2" s="1"/>
  <c r="S972" i="2" a="1"/>
  <c r="S972" i="2" s="1"/>
  <c r="S973" i="2" a="1"/>
  <c r="S973" i="2" s="1"/>
  <c r="S974" i="2" a="1"/>
  <c r="S974" i="2" s="1"/>
  <c r="S975" i="2" a="1"/>
  <c r="S975" i="2" s="1"/>
  <c r="S976" i="2" a="1"/>
  <c r="S976" i="2" s="1"/>
  <c r="S977" i="2" a="1"/>
  <c r="S977" i="2" s="1"/>
  <c r="S978" i="2" a="1"/>
  <c r="S978" i="2" s="1"/>
  <c r="S979" i="2" a="1"/>
  <c r="S979" i="2" s="1"/>
  <c r="S980" i="2" a="1"/>
  <c r="S980" i="2" s="1"/>
  <c r="S981" i="2" a="1"/>
  <c r="S981" i="2" s="1"/>
  <c r="S982" i="2" a="1"/>
  <c r="S982" i="2" s="1"/>
  <c r="S983" i="2" a="1"/>
  <c r="S983" i="2" s="1"/>
  <c r="S984" i="2" a="1"/>
  <c r="S984" i="2" s="1"/>
  <c r="S985" i="2" a="1"/>
  <c r="S985" i="2" s="1"/>
  <c r="S986" i="2" a="1"/>
  <c r="S986" i="2" s="1"/>
  <c r="S987" i="2" a="1"/>
  <c r="S987" i="2" s="1"/>
  <c r="S988" i="2" a="1"/>
  <c r="S988" i="2" s="1"/>
  <c r="S989" i="2" a="1"/>
  <c r="S989" i="2" s="1"/>
  <c r="S990" i="2" a="1"/>
  <c r="S990" i="2" s="1"/>
  <c r="S991" i="2" a="1"/>
  <c r="S991" i="2" s="1"/>
  <c r="S992" i="2" a="1"/>
  <c r="S992" i="2" s="1"/>
  <c r="S993" i="2" a="1"/>
  <c r="S993" i="2" s="1"/>
  <c r="S994" i="2" a="1"/>
  <c r="S994" i="2" s="1"/>
  <c r="S995" i="2" a="1"/>
  <c r="S995" i="2" s="1"/>
  <c r="S996" i="2" a="1"/>
  <c r="S996" i="2" s="1"/>
  <c r="S997" i="2" a="1"/>
  <c r="S997" i="2" s="1"/>
  <c r="S998" i="2" a="1"/>
  <c r="S998" i="2" s="1"/>
  <c r="S999" i="2" a="1"/>
  <c r="S999" i="2" s="1"/>
  <c r="S1000" i="2" a="1"/>
  <c r="S1000" i="2" s="1"/>
  <c r="S1001" i="2" a="1"/>
  <c r="S1001" i="2" s="1"/>
  <c r="S1002" i="2" a="1"/>
  <c r="S1002" i="2" s="1"/>
  <c r="S1003" i="2" a="1"/>
  <c r="S1003" i="2" s="1"/>
  <c r="S1004" i="2" a="1"/>
  <c r="S1004" i="2" s="1"/>
  <c r="S1005" i="2" a="1"/>
  <c r="S1005" i="2" s="1"/>
  <c r="S1006" i="2" a="1"/>
  <c r="S1006" i="2" s="1"/>
  <c r="S1007" i="2" a="1"/>
  <c r="S1007" i="2" s="1"/>
  <c r="S1008" i="2" a="1"/>
  <c r="S1008" i="2" s="1"/>
  <c r="S1009" i="2" a="1"/>
  <c r="S1009" i="2" s="1"/>
  <c r="S1010" i="2" a="1"/>
  <c r="S1010" i="2" s="1"/>
  <c r="S1011" i="2" a="1"/>
  <c r="S1011" i="2" s="1"/>
  <c r="S1012" i="2" a="1"/>
  <c r="S1012" i="2" s="1"/>
  <c r="S1013" i="2" a="1"/>
  <c r="S1013" i="2" s="1"/>
  <c r="S1014" i="2" a="1"/>
  <c r="S1014" i="2" s="1"/>
  <c r="S1015" i="2" a="1"/>
  <c r="S1015" i="2" s="1"/>
  <c r="S1016" i="2" a="1"/>
  <c r="S1016" i="2" s="1"/>
  <c r="S1017" i="2" a="1"/>
  <c r="S1017" i="2" s="1"/>
  <c r="S1018" i="2" a="1"/>
  <c r="S1018" i="2" s="1"/>
  <c r="S1019" i="2" a="1"/>
  <c r="S1019" i="2" s="1"/>
  <c r="S1020" i="2" a="1"/>
  <c r="S1020" i="2" s="1"/>
  <c r="S1021" i="2" a="1"/>
  <c r="S1021" i="2" s="1"/>
  <c r="S1022" i="2" a="1"/>
  <c r="S1022" i="2" s="1"/>
  <c r="S1023" i="2" a="1"/>
  <c r="S1023" i="2" s="1"/>
  <c r="S1024" i="2" a="1"/>
  <c r="S1024" i="2" s="1"/>
  <c r="S1025" i="2" a="1"/>
  <c r="S1025" i="2" s="1"/>
  <c r="S1026" i="2" a="1"/>
  <c r="S1026" i="2" s="1"/>
  <c r="S1027" i="2" a="1"/>
  <c r="S1027" i="2" s="1"/>
  <c r="S1028" i="2" a="1"/>
  <c r="S1028" i="2" s="1"/>
  <c r="S1029" i="2" a="1"/>
  <c r="S1029" i="2" s="1"/>
  <c r="S1030" i="2" a="1"/>
  <c r="S1030" i="2" s="1"/>
  <c r="S1031" i="2" a="1"/>
  <c r="S1031" i="2" s="1"/>
  <c r="S1032" i="2" a="1"/>
  <c r="S1032" i="2" s="1"/>
  <c r="S1033" i="2" a="1"/>
  <c r="S1033" i="2" s="1"/>
  <c r="S1034" i="2" a="1"/>
  <c r="S1034" i="2" s="1"/>
  <c r="S1035" i="2" a="1"/>
  <c r="S1035" i="2" s="1"/>
  <c r="S1036" i="2" a="1"/>
  <c r="S1036" i="2" s="1"/>
  <c r="S1037" i="2" a="1"/>
  <c r="S1037" i="2" s="1"/>
  <c r="S1038" i="2" a="1"/>
  <c r="S1038" i="2" s="1"/>
  <c r="S1039" i="2" a="1"/>
  <c r="S1039" i="2" s="1"/>
  <c r="S1040" i="2" a="1"/>
  <c r="S1040" i="2" s="1"/>
  <c r="S1041" i="2" a="1"/>
  <c r="S1041" i="2" s="1"/>
  <c r="S1042" i="2" a="1"/>
  <c r="S1042" i="2" s="1"/>
  <c r="S1043" i="2" a="1"/>
  <c r="S1043" i="2" s="1"/>
  <c r="S1044" i="2" a="1"/>
  <c r="S1044" i="2" s="1"/>
  <c r="S1045" i="2" a="1"/>
  <c r="S1045" i="2" s="1"/>
  <c r="S1046" i="2" a="1"/>
  <c r="S1046" i="2" s="1"/>
  <c r="S1047" i="2" a="1"/>
  <c r="S1047" i="2" s="1"/>
  <c r="S1048" i="2" a="1"/>
  <c r="S1048" i="2" s="1"/>
  <c r="S1049" i="2" a="1"/>
  <c r="S1049" i="2" s="1"/>
  <c r="S1050" i="2" a="1"/>
  <c r="S1050" i="2" s="1"/>
  <c r="S1051" i="2" a="1"/>
  <c r="S1051" i="2" s="1"/>
  <c r="S1052" i="2" a="1"/>
  <c r="S1052" i="2" s="1"/>
  <c r="S1053" i="2" a="1"/>
  <c r="S1053" i="2" s="1"/>
  <c r="S1054" i="2" a="1"/>
  <c r="S1054" i="2" s="1"/>
  <c r="S1055" i="2" a="1"/>
  <c r="S1055" i="2" s="1"/>
  <c r="S1056" i="2" a="1"/>
  <c r="S1056" i="2" s="1"/>
  <c r="S1057" i="2" a="1"/>
  <c r="S1057" i="2" s="1"/>
  <c r="S1058" i="2" a="1"/>
  <c r="S1058" i="2" s="1"/>
  <c r="S1059" i="2" a="1"/>
  <c r="S1059" i="2" s="1"/>
  <c r="S1060" i="2" a="1"/>
  <c r="S1060" i="2" s="1"/>
  <c r="S1061" i="2" a="1"/>
  <c r="S1061" i="2" s="1"/>
  <c r="S1062" i="2" a="1"/>
  <c r="S1062" i="2" s="1"/>
  <c r="S1063" i="2" a="1"/>
  <c r="S1063" i="2" s="1"/>
  <c r="S1064" i="2" a="1"/>
  <c r="S1064" i="2" s="1"/>
  <c r="S1065" i="2" a="1"/>
  <c r="S1065" i="2" s="1"/>
  <c r="S1066" i="2" a="1"/>
  <c r="S1066" i="2" s="1"/>
  <c r="S1067" i="2" a="1"/>
  <c r="S1067" i="2" s="1"/>
  <c r="S1068" i="2" a="1"/>
  <c r="S1068" i="2" s="1"/>
  <c r="S1069" i="2" a="1"/>
  <c r="S1069" i="2" s="1"/>
  <c r="S1070" i="2" a="1"/>
  <c r="S1070" i="2" s="1"/>
  <c r="S1071" i="2" a="1"/>
  <c r="S1071" i="2" s="1"/>
  <c r="S1072" i="2" a="1"/>
  <c r="S1072" i="2" s="1"/>
  <c r="S1073" i="2" a="1"/>
  <c r="S1073" i="2" s="1"/>
  <c r="S1074" i="2" a="1"/>
  <c r="S1074" i="2" s="1"/>
  <c r="S1075" i="2" a="1"/>
  <c r="S1075" i="2" s="1"/>
  <c r="S1076" i="2" a="1"/>
  <c r="S1076" i="2" s="1"/>
  <c r="S1077" i="2" a="1"/>
  <c r="S1077" i="2" s="1"/>
  <c r="S1078" i="2" a="1"/>
  <c r="S1078" i="2" s="1"/>
  <c r="S1079" i="2" a="1"/>
  <c r="S1079" i="2" s="1"/>
  <c r="S1080" i="2" a="1"/>
  <c r="S1080" i="2" s="1"/>
  <c r="S1081" i="2" a="1"/>
  <c r="S1081" i="2" s="1"/>
  <c r="S1082" i="2" a="1"/>
  <c r="S1082" i="2" s="1"/>
  <c r="S1083" i="2" a="1"/>
  <c r="S1083" i="2" s="1"/>
  <c r="S1084" i="2" a="1"/>
  <c r="S1084" i="2" s="1"/>
  <c r="S1085" i="2" a="1"/>
  <c r="S1085" i="2" s="1"/>
  <c r="S1086" i="2" a="1"/>
  <c r="S1086" i="2" s="1"/>
  <c r="S1087" i="2" a="1"/>
  <c r="S1087" i="2" s="1"/>
  <c r="S1088" i="2" a="1"/>
  <c r="S1088" i="2" s="1"/>
  <c r="S1089" i="2" a="1"/>
  <c r="S1089" i="2" s="1"/>
  <c r="S1090" i="2" a="1"/>
  <c r="S1090" i="2" s="1"/>
  <c r="S1091" i="2" a="1"/>
  <c r="S1091" i="2" s="1"/>
  <c r="S1092" i="2" a="1"/>
  <c r="S1092" i="2" s="1"/>
  <c r="S1093" i="2" a="1"/>
  <c r="S1093" i="2" s="1"/>
  <c r="S1094" i="2" a="1"/>
  <c r="S1094" i="2" s="1"/>
  <c r="S1095" i="2" a="1"/>
  <c r="S1095" i="2" s="1"/>
  <c r="S1096" i="2" a="1"/>
  <c r="S1096" i="2" s="1"/>
  <c r="S1097" i="2" a="1"/>
  <c r="S1097" i="2" s="1"/>
  <c r="S1098" i="2" a="1"/>
  <c r="S1098" i="2" s="1"/>
  <c r="S1099" i="2" a="1"/>
  <c r="S1099" i="2" s="1"/>
  <c r="S1100" i="2" a="1"/>
  <c r="S1100" i="2" s="1"/>
  <c r="S1101" i="2" a="1"/>
  <c r="S1101" i="2" s="1"/>
  <c r="S1102" i="2" a="1"/>
  <c r="S1102" i="2" s="1"/>
  <c r="S1103" i="2" a="1"/>
  <c r="S1103" i="2" s="1"/>
  <c r="S1104" i="2" a="1"/>
  <c r="S1104" i="2" s="1"/>
  <c r="S1105" i="2" a="1"/>
  <c r="S1105" i="2" s="1"/>
  <c r="S1106" i="2" a="1"/>
  <c r="S1106" i="2" s="1"/>
  <c r="S1107" i="2" a="1"/>
  <c r="S1107" i="2" s="1"/>
  <c r="S1108" i="2" a="1"/>
  <c r="S1108" i="2" s="1"/>
  <c r="S1109" i="2" a="1"/>
  <c r="S1109" i="2" s="1"/>
  <c r="S1110" i="2" a="1"/>
  <c r="S1110" i="2" s="1"/>
  <c r="S1111" i="2" a="1"/>
  <c r="S1111" i="2" s="1"/>
  <c r="S1112" i="2" a="1"/>
  <c r="S1112" i="2" s="1"/>
  <c r="S1113" i="2" a="1"/>
  <c r="S1113" i="2" s="1"/>
  <c r="S1114" i="2" a="1"/>
  <c r="S1114" i="2" s="1"/>
  <c r="S1115" i="2" a="1"/>
  <c r="S1115" i="2" s="1"/>
  <c r="S1116" i="2" a="1"/>
  <c r="S1116" i="2" s="1"/>
  <c r="S1117" i="2" a="1"/>
  <c r="S1117" i="2" s="1"/>
  <c r="S1118" i="2" a="1"/>
  <c r="S1118" i="2" s="1"/>
  <c r="S1119" i="2" a="1"/>
  <c r="S1119" i="2" s="1"/>
  <c r="S1120" i="2" a="1"/>
  <c r="S1120" i="2" s="1"/>
  <c r="S1121" i="2" a="1"/>
  <c r="S1121" i="2" s="1"/>
  <c r="S1122" i="2" a="1"/>
  <c r="S1122" i="2" s="1"/>
  <c r="S1123" i="2" a="1"/>
  <c r="S1123" i="2" s="1"/>
  <c r="S1124" i="2" a="1"/>
  <c r="S1124" i="2" s="1"/>
  <c r="S1125" i="2" a="1"/>
  <c r="S1125" i="2" s="1"/>
  <c r="S1126" i="2" a="1"/>
  <c r="S1126" i="2" s="1"/>
  <c r="S1127" i="2" a="1"/>
  <c r="S1127" i="2" s="1"/>
  <c r="S1128" i="2" a="1"/>
  <c r="S1128" i="2" s="1"/>
  <c r="S1129" i="2" a="1"/>
  <c r="S1129" i="2" s="1"/>
  <c r="S1130" i="2" a="1"/>
  <c r="S1130" i="2" s="1"/>
  <c r="S1131" i="2" a="1"/>
  <c r="S1131" i="2" s="1"/>
  <c r="S1132" i="2" a="1"/>
  <c r="S1132" i="2" s="1"/>
  <c r="S1133" i="2" a="1"/>
  <c r="S1133" i="2" s="1"/>
  <c r="S1134" i="2" a="1"/>
  <c r="S1134" i="2" s="1"/>
  <c r="S1135" i="2" a="1"/>
  <c r="S1135" i="2" s="1"/>
  <c r="S1136" i="2" a="1"/>
  <c r="S1136" i="2" s="1"/>
  <c r="S1137" i="2" a="1"/>
  <c r="S1137" i="2" s="1"/>
  <c r="S1138" i="2" a="1"/>
  <c r="S1138" i="2" s="1"/>
  <c r="S1139" i="2" a="1"/>
  <c r="S1139" i="2" s="1"/>
  <c r="S1140" i="2" a="1"/>
  <c r="S1140" i="2" s="1"/>
  <c r="S1141" i="2" a="1"/>
  <c r="S1141" i="2" s="1"/>
  <c r="S1142" i="2" a="1"/>
  <c r="S1142" i="2" s="1"/>
  <c r="S1143" i="2" a="1"/>
  <c r="S1143" i="2" s="1"/>
  <c r="S1144" i="2" a="1"/>
  <c r="S1144" i="2" s="1"/>
  <c r="S1145" i="2" a="1"/>
  <c r="S1145" i="2" s="1"/>
  <c r="S1146" i="2" a="1"/>
  <c r="S1146" i="2" s="1"/>
  <c r="S1147" i="2" a="1"/>
  <c r="S1147" i="2" s="1"/>
  <c r="S1148" i="2" a="1"/>
  <c r="S1148" i="2" s="1"/>
  <c r="S1149" i="2" a="1"/>
  <c r="S1149" i="2" s="1"/>
  <c r="S1150" i="2" a="1"/>
  <c r="S1150" i="2" s="1"/>
  <c r="S1151" i="2" a="1"/>
  <c r="S1151" i="2" s="1"/>
  <c r="S1152" i="2" a="1"/>
  <c r="S1152" i="2" s="1"/>
  <c r="S1153" i="2" a="1"/>
  <c r="S1153" i="2" s="1"/>
  <c r="S1154" i="2" a="1"/>
  <c r="S1154" i="2" s="1"/>
  <c r="S1155" i="2" a="1"/>
  <c r="S1155" i="2" s="1"/>
  <c r="S1156" i="2" a="1"/>
  <c r="S1156" i="2" s="1"/>
  <c r="S1157" i="2" a="1"/>
  <c r="S1157" i="2" s="1"/>
  <c r="S1158" i="2" a="1"/>
  <c r="S1158" i="2" s="1"/>
  <c r="S1159" i="2" a="1"/>
  <c r="S1159" i="2" s="1"/>
  <c r="S1160" i="2" a="1"/>
  <c r="S1160" i="2" s="1"/>
  <c r="S1161" i="2" a="1"/>
  <c r="S1161" i="2" s="1"/>
  <c r="S1162" i="2" a="1"/>
  <c r="S1162" i="2" s="1"/>
  <c r="S1163" i="2" a="1"/>
  <c r="S1163" i="2" s="1"/>
  <c r="S1164" i="2" a="1"/>
  <c r="S1164" i="2" s="1"/>
  <c r="S1165" i="2" a="1"/>
  <c r="S1165" i="2" s="1"/>
  <c r="S1166" i="2" a="1"/>
  <c r="S1166" i="2" s="1"/>
  <c r="S1167" i="2" a="1"/>
  <c r="S1167" i="2" s="1"/>
  <c r="S1168" i="2" a="1"/>
  <c r="S1168" i="2" s="1"/>
  <c r="S1169" i="2" a="1"/>
  <c r="S1169" i="2" s="1"/>
  <c r="S1170" i="2" a="1"/>
  <c r="S1170" i="2" s="1"/>
  <c r="S1171" i="2" a="1"/>
  <c r="S1171" i="2" s="1"/>
  <c r="S1172" i="2" a="1"/>
  <c r="S1172" i="2" s="1"/>
  <c r="S1173" i="2" a="1"/>
  <c r="S1173" i="2" s="1"/>
  <c r="S1174" i="2" a="1"/>
  <c r="S1174" i="2" s="1"/>
  <c r="S1175" i="2" a="1"/>
  <c r="S1175" i="2" s="1"/>
  <c r="S1176" i="2" a="1"/>
  <c r="S1176" i="2" s="1"/>
  <c r="S1177" i="2" a="1"/>
  <c r="S1177" i="2" s="1"/>
  <c r="S1178" i="2" a="1"/>
  <c r="S1178" i="2" s="1"/>
  <c r="S1179" i="2" a="1"/>
  <c r="S1179" i="2" s="1"/>
  <c r="S1180" i="2" a="1"/>
  <c r="S1180" i="2" s="1"/>
  <c r="S1181" i="2" a="1"/>
  <c r="S1181" i="2" s="1"/>
  <c r="S1182" i="2" a="1"/>
  <c r="S1182" i="2" s="1"/>
  <c r="S1183" i="2" a="1"/>
  <c r="S1183" i="2" s="1"/>
  <c r="S1184" i="2" a="1"/>
  <c r="S1184" i="2" s="1"/>
  <c r="S1185" i="2" a="1"/>
  <c r="S1185" i="2" s="1"/>
  <c r="S1186" i="2" a="1"/>
  <c r="S1186" i="2" s="1"/>
  <c r="S1187" i="2" a="1"/>
  <c r="S1187" i="2" s="1"/>
  <c r="S1188" i="2" a="1"/>
  <c r="S1188" i="2" s="1"/>
  <c r="S1189" i="2" a="1"/>
  <c r="S1189" i="2" s="1"/>
  <c r="S1190" i="2" a="1"/>
  <c r="S1190" i="2" s="1"/>
  <c r="S1191" i="2" a="1"/>
  <c r="S1191" i="2" s="1"/>
  <c r="S1192" i="2" a="1"/>
  <c r="S1192" i="2" s="1"/>
  <c r="S1193" i="2" a="1"/>
  <c r="S1193" i="2" s="1"/>
  <c r="S1194" i="2" a="1"/>
  <c r="S1194" i="2" s="1"/>
  <c r="S1195" i="2" a="1"/>
  <c r="S1195" i="2" s="1"/>
  <c r="S1196" i="2" a="1"/>
  <c r="S1196" i="2" s="1"/>
  <c r="S1197" i="2" a="1"/>
  <c r="S1197" i="2" s="1"/>
  <c r="S1198" i="2" a="1"/>
  <c r="S1198" i="2" s="1"/>
  <c r="S1199" i="2" a="1"/>
  <c r="S1199" i="2" s="1"/>
  <c r="S1200" i="2" a="1"/>
  <c r="S1200" i="2" s="1"/>
  <c r="S1201" i="2" a="1"/>
  <c r="S1201" i="2" s="1"/>
  <c r="S1202" i="2" a="1"/>
  <c r="S1202" i="2" s="1"/>
  <c r="S1203" i="2" a="1"/>
  <c r="S1203" i="2" s="1"/>
  <c r="S1204" i="2" a="1"/>
  <c r="S1204" i="2" s="1"/>
  <c r="S1205" i="2" a="1"/>
  <c r="S1205" i="2" s="1"/>
  <c r="S1206" i="2" a="1"/>
  <c r="S1206" i="2" s="1"/>
  <c r="S1207" i="2" a="1"/>
  <c r="S1207" i="2" s="1"/>
  <c r="S1208" i="2" a="1"/>
  <c r="S1208" i="2" s="1"/>
  <c r="S1209" i="2" a="1"/>
  <c r="S1209" i="2" s="1"/>
  <c r="S1210" i="2" a="1"/>
  <c r="S1210" i="2" s="1"/>
  <c r="S1211" i="2" a="1"/>
  <c r="S1211" i="2" s="1"/>
  <c r="S1212" i="2" a="1"/>
  <c r="S1212" i="2" s="1"/>
  <c r="S1213" i="2" a="1"/>
  <c r="S1213" i="2" s="1"/>
  <c r="S1214" i="2" a="1"/>
  <c r="S1214" i="2" s="1"/>
  <c r="S1215" i="2" a="1"/>
  <c r="S1215" i="2" s="1"/>
  <c r="S1216" i="2" a="1"/>
  <c r="S1216" i="2" s="1"/>
  <c r="S1217" i="2" a="1"/>
  <c r="S1217" i="2" s="1"/>
  <c r="S1218" i="2" a="1"/>
  <c r="S1218" i="2" s="1"/>
  <c r="S1219" i="2" a="1"/>
  <c r="S1219" i="2" s="1"/>
  <c r="S1220" i="2" a="1"/>
  <c r="S1220" i="2" s="1"/>
  <c r="S1221" i="2" a="1"/>
  <c r="S1221" i="2" s="1"/>
  <c r="S1222" i="2" a="1"/>
  <c r="S1222" i="2" s="1"/>
  <c r="S1223" i="2" a="1"/>
  <c r="S1223" i="2" s="1"/>
  <c r="S1224" i="2" a="1"/>
  <c r="S1224" i="2" s="1"/>
  <c r="S1225" i="2" a="1"/>
  <c r="S1225" i="2" s="1"/>
  <c r="S1226" i="2" a="1"/>
  <c r="S1226" i="2" s="1"/>
  <c r="S1227" i="2" a="1"/>
  <c r="S1227" i="2" s="1"/>
  <c r="S1228" i="2" a="1"/>
  <c r="S1228" i="2" s="1"/>
  <c r="S1229" i="2" a="1"/>
  <c r="S1229" i="2" s="1"/>
  <c r="S1230" i="2" a="1"/>
  <c r="S1230" i="2" s="1"/>
  <c r="S1231" i="2" a="1"/>
  <c r="S1231" i="2" s="1"/>
  <c r="S1232" i="2" a="1"/>
  <c r="S1232" i="2" s="1"/>
  <c r="S1233" i="2" a="1"/>
  <c r="S1233" i="2" s="1"/>
  <c r="S1234" i="2" a="1"/>
  <c r="S1234" i="2" s="1"/>
  <c r="S1235" i="2" a="1"/>
  <c r="S1235" i="2" s="1"/>
  <c r="S1236" i="2" a="1"/>
  <c r="S1236" i="2" s="1"/>
  <c r="S1237" i="2" a="1"/>
  <c r="S1237" i="2" s="1"/>
  <c r="S1238" i="2" a="1"/>
  <c r="S1238" i="2" s="1"/>
  <c r="S1239" i="2" a="1"/>
  <c r="S1239" i="2" s="1"/>
  <c r="S1240" i="2" a="1"/>
  <c r="S1240" i="2" s="1"/>
  <c r="S1241" i="2" a="1"/>
  <c r="S1241" i="2" s="1"/>
  <c r="S1242" i="2" a="1"/>
  <c r="S1242" i="2" s="1"/>
  <c r="S1243" i="2" a="1"/>
  <c r="S1243" i="2" s="1"/>
  <c r="S1244" i="2" a="1"/>
  <c r="S1244" i="2" s="1"/>
  <c r="S1245" i="2" a="1"/>
  <c r="S1245" i="2" s="1"/>
  <c r="S1246" i="2" a="1"/>
  <c r="S1246" i="2" s="1"/>
  <c r="S1247" i="2" a="1"/>
  <c r="S1247" i="2" s="1"/>
  <c r="S1248" i="2" a="1"/>
  <c r="S1248" i="2" s="1"/>
  <c r="S1249" i="2" a="1"/>
  <c r="S1249" i="2" s="1"/>
  <c r="S1250" i="2" a="1"/>
  <c r="S1250" i="2" s="1"/>
  <c r="S1251" i="2" a="1"/>
  <c r="S1251" i="2" s="1"/>
  <c r="S1252" i="2" a="1"/>
  <c r="S1252" i="2" s="1"/>
  <c r="S1253" i="2" a="1"/>
  <c r="S1253" i="2" s="1"/>
  <c r="S1254" i="2" a="1"/>
  <c r="S1254" i="2" s="1"/>
  <c r="S1255" i="2" a="1"/>
  <c r="S1255" i="2" s="1"/>
  <c r="S1256" i="2" a="1"/>
  <c r="S1256" i="2" s="1"/>
  <c r="S1257" i="2" a="1"/>
  <c r="S1257" i="2" s="1"/>
  <c r="S1258" i="2" a="1"/>
  <c r="S1258" i="2" s="1"/>
  <c r="S1259" i="2" a="1"/>
  <c r="S1259" i="2" s="1"/>
  <c r="S1260" i="2" a="1"/>
  <c r="S1260" i="2" s="1"/>
  <c r="S1261" i="2" a="1"/>
  <c r="S1261" i="2" s="1"/>
  <c r="S1262" i="2" a="1"/>
  <c r="S1262" i="2" s="1"/>
  <c r="S1263" i="2" a="1"/>
  <c r="S1263" i="2" s="1"/>
  <c r="S1264" i="2" a="1"/>
  <c r="S1264" i="2" s="1"/>
  <c r="S1265" i="2" a="1"/>
  <c r="S1265" i="2" s="1"/>
  <c r="S1266" i="2" a="1"/>
  <c r="S1266" i="2" s="1"/>
  <c r="S1267" i="2" a="1"/>
  <c r="S1267" i="2" s="1"/>
  <c r="S1268" i="2" a="1"/>
  <c r="S1268" i="2" s="1"/>
  <c r="S1269" i="2" a="1"/>
  <c r="S1269" i="2" s="1"/>
  <c r="S1270" i="2" a="1"/>
  <c r="S1270" i="2" s="1"/>
  <c r="S1271" i="2" a="1"/>
  <c r="S1271" i="2" s="1"/>
  <c r="S1272" i="2" a="1"/>
  <c r="S1272" i="2" s="1"/>
  <c r="S1273" i="2" a="1"/>
  <c r="S1273" i="2" s="1"/>
  <c r="S1274" i="2" a="1"/>
  <c r="S1274" i="2" s="1"/>
  <c r="S1275" i="2" a="1"/>
  <c r="S1275" i="2" s="1"/>
  <c r="S1276" i="2" a="1"/>
  <c r="S1276" i="2" s="1"/>
  <c r="S1277" i="2" a="1"/>
  <c r="S1277" i="2" s="1"/>
  <c r="S1278" i="2" a="1"/>
  <c r="S1278" i="2" s="1"/>
  <c r="S1279" i="2" a="1"/>
  <c r="S1279" i="2" s="1"/>
  <c r="S1280" i="2" a="1"/>
  <c r="S1280" i="2" s="1"/>
  <c r="S1281" i="2" a="1"/>
  <c r="S1281" i="2" s="1"/>
  <c r="S1282" i="2" a="1"/>
  <c r="S1282" i="2" s="1"/>
  <c r="S1283" i="2" a="1"/>
  <c r="S1283" i="2" s="1"/>
  <c r="S1284" i="2" a="1"/>
  <c r="S1284" i="2" s="1"/>
  <c r="S1285" i="2" a="1"/>
  <c r="S1285" i="2" s="1"/>
  <c r="S1286" i="2" a="1"/>
  <c r="S1286" i="2" s="1"/>
  <c r="S1287" i="2" a="1"/>
  <c r="S1287" i="2" s="1"/>
  <c r="S1288" i="2" a="1"/>
  <c r="S1288" i="2" s="1"/>
  <c r="S1289" i="2" a="1"/>
  <c r="S1289" i="2" s="1"/>
  <c r="S1290" i="2" a="1"/>
  <c r="S1290" i="2" s="1"/>
  <c r="S1291" i="2" a="1"/>
  <c r="S1291" i="2" s="1"/>
  <c r="S1292" i="2" a="1"/>
  <c r="S1292" i="2" s="1"/>
  <c r="S1293" i="2" a="1"/>
  <c r="S1293" i="2" s="1"/>
  <c r="S1294" i="2" a="1"/>
  <c r="S1294" i="2" s="1"/>
  <c r="S1295" i="2" a="1"/>
  <c r="S1295" i="2" s="1"/>
  <c r="S1296" i="2" a="1"/>
  <c r="S1296" i="2" s="1"/>
  <c r="S1297" i="2" a="1"/>
  <c r="S1297" i="2" s="1"/>
  <c r="S1298" i="2" a="1"/>
  <c r="S1298" i="2" s="1"/>
  <c r="S1299" i="2" a="1"/>
  <c r="S1299" i="2" s="1"/>
  <c r="S1300" i="2" a="1"/>
  <c r="S1300" i="2" s="1"/>
  <c r="S1301" i="2" a="1"/>
  <c r="S1301" i="2" s="1"/>
  <c r="S1302" i="2" a="1"/>
  <c r="S1302" i="2" s="1"/>
  <c r="S1303" i="2" a="1"/>
  <c r="S1303" i="2" s="1"/>
  <c r="S1304" i="2" a="1"/>
  <c r="S1304" i="2" s="1"/>
  <c r="S1305" i="2" a="1"/>
  <c r="S1305" i="2" s="1"/>
  <c r="S1306" i="2" a="1"/>
  <c r="S1306" i="2" s="1"/>
  <c r="S1307" i="2" a="1"/>
  <c r="S1307" i="2" s="1"/>
  <c r="S1308" i="2" a="1"/>
  <c r="S1308" i="2" s="1"/>
  <c r="S1309" i="2" a="1"/>
  <c r="S1309" i="2" s="1"/>
  <c r="S1310" i="2" a="1"/>
  <c r="S1310" i="2" s="1"/>
  <c r="S1311" i="2" a="1"/>
  <c r="S1311" i="2" s="1"/>
  <c r="S1312" i="2" a="1"/>
  <c r="S1312" i="2" s="1"/>
  <c r="S1313" i="2" a="1"/>
  <c r="S1313" i="2" s="1"/>
  <c r="S1314" i="2" a="1"/>
  <c r="S1314" i="2" s="1"/>
  <c r="S1315" i="2" a="1"/>
  <c r="S1315" i="2" s="1"/>
  <c r="S1316" i="2" a="1"/>
  <c r="S1316" i="2" s="1"/>
  <c r="S1317" i="2" a="1"/>
  <c r="S1317" i="2" s="1"/>
  <c r="S1318" i="2" a="1"/>
  <c r="S1318" i="2" s="1"/>
  <c r="S1319" i="2" a="1"/>
  <c r="S1319" i="2" s="1"/>
  <c r="S1320" i="2" a="1"/>
  <c r="S1320" i="2" s="1"/>
  <c r="S1321" i="2" a="1"/>
  <c r="S1321" i="2" s="1"/>
  <c r="S1322" i="2" a="1"/>
  <c r="S1322" i="2" s="1"/>
  <c r="S1323" i="2" a="1"/>
  <c r="S1323" i="2" s="1"/>
  <c r="S1324" i="2" a="1"/>
  <c r="S1324" i="2" s="1"/>
  <c r="S1325" i="2" a="1"/>
  <c r="S1325" i="2" s="1"/>
  <c r="S1326" i="2" a="1"/>
  <c r="S1326" i="2" s="1"/>
  <c r="S1327" i="2" a="1"/>
  <c r="S1327" i="2" s="1"/>
  <c r="S1328" i="2" a="1"/>
  <c r="S1328" i="2" s="1"/>
  <c r="S1329" i="2" a="1"/>
  <c r="S1329" i="2" s="1"/>
  <c r="S1330" i="2" a="1"/>
  <c r="S1330" i="2" s="1"/>
  <c r="S1331" i="2" a="1"/>
  <c r="S1331" i="2" s="1"/>
  <c r="S1332" i="2" a="1"/>
  <c r="S1332" i="2" s="1"/>
  <c r="S1333" i="2" a="1"/>
  <c r="S1333" i="2" s="1"/>
  <c r="S1334" i="2" a="1"/>
  <c r="S1334" i="2" s="1"/>
  <c r="S1335" i="2" a="1"/>
  <c r="S1335" i="2" s="1"/>
  <c r="S1336" i="2" a="1"/>
  <c r="S1336" i="2" s="1"/>
  <c r="S1337" i="2" a="1"/>
  <c r="S1337" i="2" s="1"/>
  <c r="S1338" i="2" a="1"/>
  <c r="S1338" i="2" s="1"/>
  <c r="S1339" i="2" a="1"/>
  <c r="S1339" i="2" s="1"/>
  <c r="S1340" i="2" a="1"/>
  <c r="S1340" i="2" s="1"/>
  <c r="S1341" i="2" a="1"/>
  <c r="S1341" i="2" s="1"/>
  <c r="S1342" i="2" a="1"/>
  <c r="S1342" i="2" s="1"/>
  <c r="S1343" i="2" a="1"/>
  <c r="S1343" i="2" s="1"/>
  <c r="S1344" i="2" a="1"/>
  <c r="S1344" i="2" s="1"/>
  <c r="S1345" i="2" a="1"/>
  <c r="S1345" i="2" s="1"/>
  <c r="S1346" i="2" a="1"/>
  <c r="S1346" i="2" s="1"/>
  <c r="S1347" i="2" a="1"/>
  <c r="S1347" i="2" s="1"/>
  <c r="S1348" i="2" a="1"/>
  <c r="S1348" i="2" s="1"/>
  <c r="S1349" i="2" a="1"/>
  <c r="S1349" i="2" s="1"/>
  <c r="S1350" i="2" a="1"/>
  <c r="S1350" i="2" s="1"/>
  <c r="S1351" i="2" a="1"/>
  <c r="S1351" i="2" s="1"/>
  <c r="S1352" i="2" a="1"/>
  <c r="S1352" i="2" s="1"/>
  <c r="S1353" i="2" a="1"/>
  <c r="S1353" i="2" s="1"/>
  <c r="S1354" i="2" a="1"/>
  <c r="S1354" i="2" s="1"/>
  <c r="S1355" i="2" a="1"/>
  <c r="S1355" i="2" s="1"/>
  <c r="S1356" i="2" a="1"/>
  <c r="S1356" i="2" s="1"/>
  <c r="S1357" i="2" a="1"/>
  <c r="S1357" i="2" s="1"/>
  <c r="S1358" i="2" a="1"/>
  <c r="S1358" i="2" s="1"/>
  <c r="S1359" i="2" a="1"/>
  <c r="S1359" i="2" s="1"/>
  <c r="S1360" i="2" a="1"/>
  <c r="S1360" i="2" s="1"/>
  <c r="S1361" i="2" a="1"/>
  <c r="S1361" i="2" s="1"/>
  <c r="S1362" i="2" a="1"/>
  <c r="S1362" i="2" s="1"/>
  <c r="S1363" i="2" a="1"/>
  <c r="S1363" i="2" s="1"/>
  <c r="S1364" i="2" a="1"/>
  <c r="S1364" i="2" s="1"/>
  <c r="S1365" i="2" a="1"/>
  <c r="S1365" i="2" s="1"/>
  <c r="S1366" i="2" a="1"/>
  <c r="S1366" i="2" s="1"/>
  <c r="S1367" i="2" a="1"/>
  <c r="S1367" i="2" s="1"/>
  <c r="S1368" i="2" a="1"/>
  <c r="S1368" i="2" s="1"/>
  <c r="S1369" i="2" a="1"/>
  <c r="S1369" i="2" s="1"/>
  <c r="S1370" i="2" a="1"/>
  <c r="S1370" i="2" s="1"/>
  <c r="S1371" i="2" a="1"/>
  <c r="S1371" i="2" s="1"/>
  <c r="S1372" i="2" a="1"/>
  <c r="S1372" i="2" s="1"/>
  <c r="S1373" i="2" a="1"/>
  <c r="S1373" i="2" s="1"/>
  <c r="S1374" i="2" a="1"/>
  <c r="S1374" i="2" s="1"/>
  <c r="S1375" i="2" a="1"/>
  <c r="S1375" i="2" s="1"/>
  <c r="S1376" i="2" a="1"/>
  <c r="S1376" i="2" s="1"/>
  <c r="S1377" i="2" a="1"/>
  <c r="S1377" i="2" s="1"/>
  <c r="S1378" i="2" a="1"/>
  <c r="S1378" i="2" s="1"/>
  <c r="S1379" i="2" a="1"/>
  <c r="S1379" i="2" s="1"/>
  <c r="S1380" i="2" a="1"/>
  <c r="S1380" i="2" s="1"/>
  <c r="S1381" i="2" a="1"/>
  <c r="S1381" i="2" s="1"/>
  <c r="S1382" i="2" a="1"/>
  <c r="S1382" i="2" s="1"/>
  <c r="S1383" i="2" a="1"/>
  <c r="S1383" i="2" s="1"/>
  <c r="S1384" i="2" a="1"/>
  <c r="S1384" i="2" s="1"/>
  <c r="S1385" i="2" a="1"/>
  <c r="S1385" i="2" s="1"/>
  <c r="S1386" i="2" a="1"/>
  <c r="S1386" i="2" s="1"/>
  <c r="S1387" i="2" a="1"/>
  <c r="S1387" i="2" s="1"/>
  <c r="S1388" i="2" a="1"/>
  <c r="S1388" i="2" s="1"/>
  <c r="S1389" i="2" a="1"/>
  <c r="S1389" i="2" s="1"/>
  <c r="S1390" i="2" a="1"/>
  <c r="S1390" i="2" s="1"/>
  <c r="S1391" i="2" a="1"/>
  <c r="S1391" i="2" s="1"/>
  <c r="S1392" i="2" a="1"/>
  <c r="S1392" i="2" s="1"/>
  <c r="S1393" i="2" a="1"/>
  <c r="S1393" i="2" s="1"/>
  <c r="S1394" i="2" a="1"/>
  <c r="S1394" i="2" s="1"/>
  <c r="S1395" i="2" a="1"/>
  <c r="S1395" i="2" s="1"/>
  <c r="S1396" i="2" a="1"/>
  <c r="S1396" i="2" s="1"/>
  <c r="S1397" i="2" a="1"/>
  <c r="S1397" i="2" s="1"/>
  <c r="S1398" i="2" a="1"/>
  <c r="S1398" i="2" s="1"/>
  <c r="S1399" i="2" a="1"/>
  <c r="S1399" i="2" s="1"/>
  <c r="S1400" i="2" a="1"/>
  <c r="S1400" i="2" s="1"/>
  <c r="S1401" i="2" a="1"/>
  <c r="S1401" i="2" s="1"/>
  <c r="S1402" i="2" a="1"/>
  <c r="S1402" i="2" s="1"/>
  <c r="S1403" i="2" a="1"/>
  <c r="S1403" i="2" s="1"/>
  <c r="S1404" i="2" a="1"/>
  <c r="S1404" i="2" s="1"/>
  <c r="S1405" i="2" a="1"/>
  <c r="S1405" i="2" s="1"/>
  <c r="S1406" i="2" a="1"/>
  <c r="S1406" i="2" s="1"/>
  <c r="S1407" i="2" a="1"/>
  <c r="S1407" i="2" s="1"/>
  <c r="S1408" i="2" a="1"/>
  <c r="S1408" i="2" s="1"/>
  <c r="S1409" i="2" a="1"/>
  <c r="S1409" i="2" s="1"/>
  <c r="S1410" i="2" a="1"/>
  <c r="S1410" i="2" s="1"/>
  <c r="S1411" i="2" a="1"/>
  <c r="S1411" i="2" s="1"/>
  <c r="S1412" i="2" a="1"/>
  <c r="S1412" i="2" s="1"/>
  <c r="S1413" i="2" a="1"/>
  <c r="S1413" i="2" s="1"/>
  <c r="S1414" i="2" a="1"/>
  <c r="S1414" i="2" s="1"/>
  <c r="S1415" i="2" a="1"/>
  <c r="S1415" i="2" s="1"/>
  <c r="S1416" i="2" a="1"/>
  <c r="S1416" i="2" s="1"/>
  <c r="S1417" i="2" a="1"/>
  <c r="S1417" i="2" s="1"/>
  <c r="S1418" i="2" a="1"/>
  <c r="S1418" i="2" s="1"/>
  <c r="S1419" i="2" a="1"/>
  <c r="S1419" i="2" s="1"/>
  <c r="S1420" i="2" a="1"/>
  <c r="S1420" i="2" s="1"/>
  <c r="S1421" i="2" a="1"/>
  <c r="S1421" i="2" s="1"/>
  <c r="S1422" i="2" a="1"/>
  <c r="S1422" i="2" s="1"/>
  <c r="S1423" i="2" a="1"/>
  <c r="S1423" i="2" s="1"/>
  <c r="S1424" i="2" a="1"/>
  <c r="S1424" i="2" s="1"/>
  <c r="S1425" i="2" a="1"/>
  <c r="S1425" i="2" s="1"/>
  <c r="S1426" i="2" a="1"/>
  <c r="S1426" i="2" s="1"/>
  <c r="S1427" i="2" a="1"/>
  <c r="S1427" i="2" s="1"/>
  <c r="S1428" i="2" a="1"/>
  <c r="S1428" i="2" s="1"/>
  <c r="S1429" i="2" a="1"/>
  <c r="S1429" i="2" s="1"/>
  <c r="S1430" i="2" a="1"/>
  <c r="S1430" i="2" s="1"/>
  <c r="S1431" i="2" a="1"/>
  <c r="S1431" i="2" s="1"/>
  <c r="S1432" i="2" a="1"/>
  <c r="S1432" i="2" s="1"/>
  <c r="S1433" i="2" a="1"/>
  <c r="S1433" i="2" s="1"/>
  <c r="S1434" i="2" a="1"/>
  <c r="S1434" i="2" s="1"/>
  <c r="S1435" i="2" a="1"/>
  <c r="S1435" i="2" s="1"/>
  <c r="S1436" i="2" a="1"/>
  <c r="S1436" i="2" s="1"/>
  <c r="S1437" i="2" a="1"/>
  <c r="S1437" i="2" s="1"/>
  <c r="S1438" i="2" a="1"/>
  <c r="S1438" i="2" s="1"/>
  <c r="S1439" i="2" a="1"/>
  <c r="S1439" i="2" s="1"/>
  <c r="S1440" i="2" a="1"/>
  <c r="S1440" i="2" s="1"/>
  <c r="S1441" i="2" a="1"/>
  <c r="S1441" i="2" s="1"/>
  <c r="S1442" i="2" a="1"/>
  <c r="S1442" i="2" s="1"/>
  <c r="S1443" i="2" a="1"/>
  <c r="S1443" i="2" s="1"/>
  <c r="S1444" i="2" a="1"/>
  <c r="S1444" i="2" s="1"/>
  <c r="S1445" i="2" a="1"/>
  <c r="S1445" i="2" s="1"/>
  <c r="S1446" i="2" a="1"/>
  <c r="S1446" i="2" s="1"/>
  <c r="S1447" i="2" a="1"/>
  <c r="S1447" i="2" s="1"/>
  <c r="S1448" i="2" a="1"/>
  <c r="S1448" i="2" s="1"/>
  <c r="S1449" i="2" a="1"/>
  <c r="S1449" i="2" s="1"/>
  <c r="S1450" i="2" a="1"/>
  <c r="S1450" i="2" s="1"/>
  <c r="S1451" i="2" a="1"/>
  <c r="S1451" i="2" s="1"/>
  <c r="S1452" i="2" a="1"/>
  <c r="S1452" i="2" s="1"/>
  <c r="S1453" i="2" a="1"/>
  <c r="S1453" i="2" s="1"/>
  <c r="S1454" i="2" a="1"/>
  <c r="S1454" i="2" s="1"/>
  <c r="S1455" i="2" a="1"/>
  <c r="S1455" i="2" s="1"/>
  <c r="S1456" i="2" a="1"/>
  <c r="S1456" i="2" s="1"/>
  <c r="S1457" i="2" a="1"/>
  <c r="S1457" i="2" s="1"/>
  <c r="S1458" i="2" a="1"/>
  <c r="S1458" i="2" s="1"/>
  <c r="S1459" i="2" a="1"/>
  <c r="S1459" i="2" s="1"/>
  <c r="S1460" i="2" a="1"/>
  <c r="S1460" i="2" s="1"/>
  <c r="S1461" i="2" a="1"/>
  <c r="S1461" i="2" s="1"/>
  <c r="S1462" i="2" a="1"/>
  <c r="S1462" i="2" s="1"/>
  <c r="S1463" i="2" a="1"/>
  <c r="S1463" i="2" s="1"/>
  <c r="S1464" i="2" a="1"/>
  <c r="S1464" i="2" s="1"/>
  <c r="S1465" i="2" a="1"/>
  <c r="S1465" i="2" s="1"/>
  <c r="S1466" i="2" a="1"/>
  <c r="S1466" i="2" s="1"/>
  <c r="S1467" i="2" a="1"/>
  <c r="S1467" i="2" s="1"/>
  <c r="S1468" i="2" a="1"/>
  <c r="S1468" i="2" s="1"/>
  <c r="S1469" i="2" a="1"/>
  <c r="S1469" i="2" s="1"/>
  <c r="S1470" i="2" a="1"/>
  <c r="S1470" i="2" s="1"/>
  <c r="S1471" i="2" a="1"/>
  <c r="S1471" i="2" s="1"/>
  <c r="S1472" i="2" a="1"/>
  <c r="S1472" i="2" s="1"/>
  <c r="S1473" i="2" a="1"/>
  <c r="S1473" i="2" s="1"/>
  <c r="S1474" i="2" a="1"/>
  <c r="S1474" i="2" s="1"/>
  <c r="S1475" i="2" a="1"/>
  <c r="S1475" i="2" s="1"/>
  <c r="S1476" i="2" a="1"/>
  <c r="S1476" i="2" s="1"/>
  <c r="S1477" i="2" a="1"/>
  <c r="S1477" i="2" s="1"/>
  <c r="S1478" i="2" a="1"/>
  <c r="S1478" i="2" s="1"/>
  <c r="S1479" i="2" a="1"/>
  <c r="S1479" i="2" s="1"/>
  <c r="S1480" i="2" a="1"/>
  <c r="S1480" i="2" s="1"/>
  <c r="S1481" i="2" a="1"/>
  <c r="S1481" i="2" s="1"/>
  <c r="S1482" i="2" a="1"/>
  <c r="S1482" i="2" s="1"/>
  <c r="S1483" i="2" a="1"/>
  <c r="S1483" i="2" s="1"/>
  <c r="S1484" i="2" a="1"/>
  <c r="S1484" i="2" s="1"/>
  <c r="S1485" i="2" a="1"/>
  <c r="S1485" i="2" s="1"/>
  <c r="S1486" i="2" a="1"/>
  <c r="S1486" i="2" s="1"/>
  <c r="S1487" i="2" a="1"/>
  <c r="S1487" i="2" s="1"/>
  <c r="S1488" i="2" a="1"/>
  <c r="S1488" i="2" s="1"/>
  <c r="S1489" i="2" a="1"/>
  <c r="S1489" i="2" s="1"/>
  <c r="S1490" i="2" a="1"/>
  <c r="S1490" i="2" s="1"/>
  <c r="S1491" i="2" a="1"/>
  <c r="S1491" i="2" s="1"/>
  <c r="S1492" i="2" a="1"/>
  <c r="S1492" i="2" s="1"/>
  <c r="S1493" i="2" a="1"/>
  <c r="S1493" i="2" s="1"/>
  <c r="S1494" i="2" a="1"/>
  <c r="S1494" i="2" s="1"/>
  <c r="S1495" i="2" a="1"/>
  <c r="S1495" i="2" s="1"/>
  <c r="S1496" i="2" a="1"/>
  <c r="S1496" i="2" s="1"/>
  <c r="S1497" i="2" a="1"/>
  <c r="S1497" i="2" s="1"/>
  <c r="S1498" i="2" a="1"/>
  <c r="S1498" i="2" s="1"/>
  <c r="S1499" i="2" a="1"/>
  <c r="S1499" i="2" s="1"/>
  <c r="S1500" i="2" a="1"/>
  <c r="S1500" i="2" s="1"/>
  <c r="S1501" i="2" a="1"/>
  <c r="S1501" i="2" s="1"/>
  <c r="S1502" i="2" a="1"/>
  <c r="S1502" i="2" s="1"/>
  <c r="S1503" i="2" a="1"/>
  <c r="S1503" i="2" s="1"/>
  <c r="S1504" i="2" a="1"/>
  <c r="S1504" i="2" s="1"/>
  <c r="S1505" i="2" a="1"/>
  <c r="S1505" i="2" s="1"/>
  <c r="S1506" i="2" a="1"/>
  <c r="S1506" i="2" s="1"/>
  <c r="S1507" i="2" a="1"/>
  <c r="S1507" i="2" s="1"/>
  <c r="S1508" i="2" a="1"/>
  <c r="S1508" i="2" s="1"/>
  <c r="S1509" i="2" a="1"/>
  <c r="S1509" i="2" s="1"/>
  <c r="S1510" i="2" a="1"/>
  <c r="S1510" i="2" s="1"/>
  <c r="S1511" i="2" a="1"/>
  <c r="S1511" i="2" s="1"/>
  <c r="S1512" i="2" a="1"/>
  <c r="S1512" i="2" s="1"/>
  <c r="S1513" i="2" a="1"/>
  <c r="S1513" i="2" s="1"/>
  <c r="S1514" i="2" a="1"/>
  <c r="S1514" i="2" s="1"/>
  <c r="S1515" i="2" a="1"/>
  <c r="S1515" i="2" s="1"/>
  <c r="S1516" i="2" a="1"/>
  <c r="S1516" i="2" s="1"/>
  <c r="S1517" i="2" a="1"/>
  <c r="S1517" i="2" s="1"/>
  <c r="S1518" i="2" a="1"/>
  <c r="S1518" i="2" s="1"/>
  <c r="S1519" i="2" a="1"/>
  <c r="S1519" i="2" s="1"/>
  <c r="S1520" i="2" a="1"/>
  <c r="S1520" i="2" s="1"/>
  <c r="S1521" i="2" a="1"/>
  <c r="S1521" i="2" s="1"/>
  <c r="S1522" i="2" a="1"/>
  <c r="S1522" i="2" s="1"/>
  <c r="S1523" i="2" a="1"/>
  <c r="S1523" i="2" s="1"/>
  <c r="S1524" i="2" a="1"/>
  <c r="S1524" i="2" s="1"/>
  <c r="S1525" i="2" a="1"/>
  <c r="S1525" i="2" s="1"/>
  <c r="S1526" i="2" a="1"/>
  <c r="S1526" i="2" s="1"/>
  <c r="S1527" i="2" a="1"/>
  <c r="S1527" i="2" s="1"/>
  <c r="S1528" i="2" a="1"/>
  <c r="S1528" i="2" s="1"/>
  <c r="S1529" i="2" a="1"/>
  <c r="S1529" i="2" s="1"/>
  <c r="S1530" i="2" a="1"/>
  <c r="S1530" i="2" s="1"/>
  <c r="S1531" i="2" a="1"/>
  <c r="S1531" i="2" s="1"/>
  <c r="S1532" i="2" a="1"/>
  <c r="S1532" i="2" s="1"/>
  <c r="S1533" i="2" a="1"/>
  <c r="S1533" i="2" s="1"/>
  <c r="S1534" i="2" a="1"/>
  <c r="S1534" i="2" s="1"/>
  <c r="S1535" i="2" a="1"/>
  <c r="S1535" i="2" s="1"/>
  <c r="S1536" i="2" a="1"/>
  <c r="S1536" i="2" s="1"/>
  <c r="S1537" i="2" a="1"/>
  <c r="S1537" i="2" s="1"/>
  <c r="S1538" i="2" a="1"/>
  <c r="S1538" i="2" s="1"/>
  <c r="S1539" i="2" a="1"/>
  <c r="S1539" i="2" s="1"/>
  <c r="S1540" i="2" a="1"/>
  <c r="S1540" i="2" s="1"/>
  <c r="S1541" i="2" a="1"/>
  <c r="S1541" i="2" s="1"/>
  <c r="S1542" i="2" a="1"/>
  <c r="S1542" i="2" s="1"/>
  <c r="S1543" i="2" a="1"/>
  <c r="S1543" i="2" s="1"/>
  <c r="S1544" i="2" a="1"/>
  <c r="S1544" i="2" s="1"/>
  <c r="S1545" i="2" a="1"/>
  <c r="S1545" i="2" s="1"/>
  <c r="S1546" i="2" a="1"/>
  <c r="S1546" i="2" s="1"/>
  <c r="S1547" i="2" a="1"/>
  <c r="S1547" i="2" s="1"/>
  <c r="S1548" i="2" a="1"/>
  <c r="S1548" i="2" s="1"/>
  <c r="S1549" i="2" a="1"/>
  <c r="S1549" i="2" s="1"/>
  <c r="S1550" i="2" a="1"/>
  <c r="S1550" i="2" s="1"/>
  <c r="S1551" i="2" a="1"/>
  <c r="S1551" i="2" s="1"/>
  <c r="S1552" i="2" a="1"/>
  <c r="S1552" i="2" s="1"/>
  <c r="S1553" i="2" a="1"/>
  <c r="S1553" i="2" s="1"/>
  <c r="S1554" i="2" a="1"/>
  <c r="S1554" i="2" s="1"/>
  <c r="S1555" i="2" a="1"/>
  <c r="S1555" i="2" s="1"/>
  <c r="S1556" i="2" a="1"/>
  <c r="S1556" i="2" s="1"/>
  <c r="S1557" i="2" a="1"/>
  <c r="S1557" i="2" s="1"/>
  <c r="S1558" i="2" a="1"/>
  <c r="S1558" i="2" s="1"/>
  <c r="S1559" i="2" a="1"/>
  <c r="S1559" i="2" s="1"/>
  <c r="S1560" i="2" a="1"/>
  <c r="S1560" i="2" s="1"/>
  <c r="S1561" i="2" a="1"/>
  <c r="S1561" i="2" s="1"/>
  <c r="S1562" i="2" a="1"/>
  <c r="S1562" i="2" s="1"/>
  <c r="S1563" i="2" a="1"/>
  <c r="S1563" i="2" s="1"/>
  <c r="S1564" i="2" a="1"/>
  <c r="S1564" i="2" s="1"/>
  <c r="S1565" i="2" a="1"/>
  <c r="S1565" i="2" s="1"/>
  <c r="S1566" i="2" a="1"/>
  <c r="S1566" i="2" s="1"/>
  <c r="S1567" i="2" a="1"/>
  <c r="S1567" i="2" s="1"/>
  <c r="S1568" i="2" a="1"/>
  <c r="S1568" i="2" s="1"/>
  <c r="S1569" i="2" a="1"/>
  <c r="S1569" i="2" s="1"/>
  <c r="S1570" i="2" a="1"/>
  <c r="S1570" i="2" s="1"/>
  <c r="S1571" i="2" a="1"/>
  <c r="S1571" i="2" s="1"/>
  <c r="S1572" i="2" a="1"/>
  <c r="S1572" i="2" s="1"/>
  <c r="S1573" i="2" a="1"/>
  <c r="S1573" i="2" s="1"/>
  <c r="S1574" i="2" a="1"/>
  <c r="S1574" i="2" s="1"/>
  <c r="S1575" i="2" a="1"/>
  <c r="S1575" i="2" s="1"/>
  <c r="S1576" i="2" a="1"/>
  <c r="S1576" i="2" s="1"/>
  <c r="S1577" i="2" a="1"/>
  <c r="S1577" i="2" s="1"/>
  <c r="S1578" i="2" a="1"/>
  <c r="S1578" i="2" s="1"/>
  <c r="S1579" i="2" a="1"/>
  <c r="S1579" i="2" s="1"/>
  <c r="S1580" i="2" a="1"/>
  <c r="S1580" i="2" s="1"/>
  <c r="S1581" i="2" a="1"/>
  <c r="S1581" i="2" s="1"/>
  <c r="S1582" i="2" a="1"/>
  <c r="S1582" i="2" s="1"/>
  <c r="S1583" i="2" a="1"/>
  <c r="S1583" i="2" s="1"/>
  <c r="S1584" i="2" a="1"/>
  <c r="S1584" i="2" s="1"/>
  <c r="S1585" i="2" a="1"/>
  <c r="S1585" i="2" s="1"/>
  <c r="S1586" i="2" a="1"/>
  <c r="S1586" i="2" s="1"/>
  <c r="S1587" i="2" a="1"/>
  <c r="S1587" i="2" s="1"/>
  <c r="S1588" i="2" a="1"/>
  <c r="S1588" i="2" s="1"/>
  <c r="S1589" i="2" a="1"/>
  <c r="S1589" i="2" s="1"/>
  <c r="S1590" i="2" a="1"/>
  <c r="S1590" i="2" s="1"/>
  <c r="S1591" i="2" a="1"/>
  <c r="S1591" i="2" s="1"/>
  <c r="S1592" i="2" a="1"/>
  <c r="S1592" i="2" s="1"/>
  <c r="S1593" i="2" a="1"/>
  <c r="S1593" i="2" s="1"/>
  <c r="S1594" i="2" a="1"/>
  <c r="S1594" i="2" s="1"/>
  <c r="S1595" i="2" a="1"/>
  <c r="S1595" i="2" s="1"/>
  <c r="S1596" i="2" a="1"/>
  <c r="S1596" i="2" s="1"/>
  <c r="S1597" i="2" a="1"/>
  <c r="S1597" i="2" s="1"/>
  <c r="S1598" i="2" a="1"/>
  <c r="S1598" i="2" s="1"/>
  <c r="S1599" i="2" a="1"/>
  <c r="S1599" i="2" s="1"/>
  <c r="S1600" i="2" a="1"/>
  <c r="S1600" i="2" s="1"/>
  <c r="S1601" i="2" a="1"/>
  <c r="S1601" i="2" s="1"/>
  <c r="S1602" i="2" a="1"/>
  <c r="S1602" i="2" s="1"/>
  <c r="S1603" i="2" a="1"/>
  <c r="S1603" i="2" s="1"/>
  <c r="S1604" i="2" a="1"/>
  <c r="S1604" i="2" s="1"/>
  <c r="S1605" i="2" a="1"/>
  <c r="S1605" i="2" s="1"/>
  <c r="S1606" i="2" a="1"/>
  <c r="S1606" i="2" s="1"/>
  <c r="S1607" i="2" a="1"/>
  <c r="S1607" i="2" s="1"/>
  <c r="S1608" i="2" a="1"/>
  <c r="S1608" i="2" s="1"/>
  <c r="S1609" i="2" a="1"/>
  <c r="S1609" i="2" s="1"/>
  <c r="S1610" i="2" a="1"/>
  <c r="S1610" i="2" s="1"/>
  <c r="S1611" i="2" a="1"/>
  <c r="S1611" i="2" s="1"/>
  <c r="S1612" i="2" a="1"/>
  <c r="S1612" i="2" s="1"/>
  <c r="S1613" i="2" a="1"/>
  <c r="S1613" i="2" s="1"/>
  <c r="S1614" i="2" a="1"/>
  <c r="S1614" i="2" s="1"/>
  <c r="S1615" i="2" a="1"/>
  <c r="S1615" i="2" s="1"/>
  <c r="S1616" i="2" a="1"/>
  <c r="S1616" i="2" s="1"/>
  <c r="S1617" i="2" a="1"/>
  <c r="S1617" i="2" s="1"/>
  <c r="S1618" i="2" a="1"/>
  <c r="S1618" i="2" s="1"/>
  <c r="S1619" i="2" a="1"/>
  <c r="S1619" i="2" s="1"/>
  <c r="S1620" i="2" a="1"/>
  <c r="S1620" i="2" s="1"/>
  <c r="S1621" i="2" a="1"/>
  <c r="S1621" i="2" s="1"/>
  <c r="S1622" i="2" a="1"/>
  <c r="S1622" i="2" s="1"/>
  <c r="S1623" i="2" a="1"/>
  <c r="S1623" i="2" s="1"/>
  <c r="S1624" i="2" a="1"/>
  <c r="S1624" i="2" s="1"/>
  <c r="S1625" i="2" a="1"/>
  <c r="S1625" i="2" s="1"/>
  <c r="S1626" i="2" a="1"/>
  <c r="S1626" i="2" s="1"/>
  <c r="S1627" i="2" a="1"/>
  <c r="S1627" i="2" s="1"/>
  <c r="S1628" i="2" a="1"/>
  <c r="S1628" i="2" s="1"/>
  <c r="S1629" i="2" a="1"/>
  <c r="S1629" i="2" s="1"/>
  <c r="S1630" i="2" a="1"/>
  <c r="S1630" i="2" s="1"/>
  <c r="S1631" i="2" a="1"/>
  <c r="S1631" i="2" s="1"/>
  <c r="S1632" i="2" a="1"/>
  <c r="S1632" i="2" s="1"/>
  <c r="S1633" i="2" a="1"/>
  <c r="S1633" i="2" s="1"/>
  <c r="S1634" i="2" a="1"/>
  <c r="S1634" i="2" s="1"/>
  <c r="S1635" i="2" a="1"/>
  <c r="S1635" i="2" s="1"/>
  <c r="S1636" i="2" a="1"/>
  <c r="S1636" i="2" s="1"/>
  <c r="S1637" i="2" a="1"/>
  <c r="S1637" i="2" s="1"/>
  <c r="S1638" i="2" a="1"/>
  <c r="S1638" i="2" s="1"/>
  <c r="S1639" i="2" a="1"/>
  <c r="S1639" i="2" s="1"/>
  <c r="S1640" i="2" a="1"/>
  <c r="S1640" i="2" s="1"/>
  <c r="S1641" i="2" a="1"/>
  <c r="S1641" i="2" s="1"/>
  <c r="S1642" i="2" a="1"/>
  <c r="S1642" i="2" s="1"/>
  <c r="S1643" i="2" a="1"/>
  <c r="S1643" i="2" s="1"/>
  <c r="S1644" i="2" a="1"/>
  <c r="S1644" i="2" s="1"/>
  <c r="S1645" i="2" a="1"/>
  <c r="S1645" i="2" s="1"/>
  <c r="S1646" i="2" a="1"/>
  <c r="S1646" i="2" s="1"/>
  <c r="S1647" i="2" a="1"/>
  <c r="S1647" i="2" s="1"/>
  <c r="S1648" i="2" a="1"/>
  <c r="S1648" i="2" s="1"/>
  <c r="S1649" i="2" a="1"/>
  <c r="S1649" i="2" s="1"/>
  <c r="S1650" i="2" a="1"/>
  <c r="S1650" i="2" s="1"/>
  <c r="S1651" i="2" a="1"/>
  <c r="S1651" i="2" s="1"/>
  <c r="S1652" i="2" a="1"/>
  <c r="S1652" i="2" s="1"/>
  <c r="S1653" i="2" a="1"/>
  <c r="S1653" i="2" s="1"/>
  <c r="S1654" i="2" a="1"/>
  <c r="S1654" i="2" s="1"/>
  <c r="S1655" i="2" a="1"/>
  <c r="S1655" i="2" s="1"/>
  <c r="S1656" i="2" a="1"/>
  <c r="S1656" i="2" s="1"/>
  <c r="S1657" i="2" a="1"/>
  <c r="S1657" i="2" s="1"/>
  <c r="S1658" i="2" a="1"/>
  <c r="S1658" i="2" s="1"/>
  <c r="S1659" i="2" a="1"/>
  <c r="S1659" i="2" s="1"/>
  <c r="S1660" i="2" a="1"/>
  <c r="S1660" i="2" s="1"/>
  <c r="S1661" i="2" a="1"/>
  <c r="S1661" i="2" s="1"/>
  <c r="S1662" i="2" a="1"/>
  <c r="S1662" i="2" s="1"/>
  <c r="S1663" i="2" a="1"/>
  <c r="S1663" i="2" s="1"/>
  <c r="S1664" i="2" a="1"/>
  <c r="S1664" i="2" s="1"/>
  <c r="S1665" i="2" a="1"/>
  <c r="S1665" i="2" s="1"/>
  <c r="S1666" i="2" a="1"/>
  <c r="S1666" i="2" s="1"/>
  <c r="S1667" i="2" a="1"/>
  <c r="S1667" i="2" s="1"/>
  <c r="S1668" i="2" a="1"/>
  <c r="S1668" i="2" s="1"/>
  <c r="S1669" i="2" a="1"/>
  <c r="S1669" i="2" s="1"/>
  <c r="S1670" i="2" a="1"/>
  <c r="S1670" i="2" s="1"/>
  <c r="S1671" i="2" a="1"/>
  <c r="S1671" i="2" s="1"/>
  <c r="S1672" i="2" a="1"/>
  <c r="S1672" i="2" s="1"/>
  <c r="S1673" i="2" a="1"/>
  <c r="S1673" i="2" s="1"/>
  <c r="S1674" i="2" a="1"/>
  <c r="S1674" i="2" s="1"/>
  <c r="S1675" i="2" a="1"/>
  <c r="S1675" i="2" s="1"/>
  <c r="S1676" i="2" a="1"/>
  <c r="S1676" i="2" s="1"/>
  <c r="S1677" i="2" a="1"/>
  <c r="S1677" i="2" s="1"/>
  <c r="S1678" i="2" a="1"/>
  <c r="S1678" i="2" s="1"/>
  <c r="S1679" i="2" a="1"/>
  <c r="S1679" i="2" s="1"/>
  <c r="S1680" i="2" a="1"/>
  <c r="S1680" i="2" s="1"/>
  <c r="S1681" i="2" a="1"/>
  <c r="S1681" i="2" s="1"/>
  <c r="S1682" i="2" a="1"/>
  <c r="S1682" i="2" s="1"/>
  <c r="S1683" i="2" a="1"/>
  <c r="S1683" i="2" s="1"/>
  <c r="S1684" i="2" a="1"/>
  <c r="S1684" i="2" s="1"/>
  <c r="S1685" i="2" a="1"/>
  <c r="S1685" i="2" s="1"/>
  <c r="S1686" i="2" a="1"/>
  <c r="S1686" i="2" s="1"/>
  <c r="S1687" i="2" a="1"/>
  <c r="S1687" i="2" s="1"/>
  <c r="S1688" i="2" a="1"/>
  <c r="S1688" i="2" s="1"/>
  <c r="S1689" i="2" a="1"/>
  <c r="S1689" i="2" s="1"/>
  <c r="S1690" i="2" a="1"/>
  <c r="S1690" i="2" s="1"/>
  <c r="S1691" i="2" a="1"/>
  <c r="S1691" i="2" s="1"/>
  <c r="S1692" i="2" a="1"/>
  <c r="S1692" i="2" s="1"/>
  <c r="S1693" i="2" a="1"/>
  <c r="S1693" i="2" s="1"/>
  <c r="S1694" i="2" a="1"/>
  <c r="S1694" i="2" s="1"/>
  <c r="S1695" i="2" a="1"/>
  <c r="S1695" i="2" s="1"/>
  <c r="S1696" i="2" a="1"/>
  <c r="S1696" i="2" s="1"/>
  <c r="S1697" i="2" a="1"/>
  <c r="S1697" i="2" s="1"/>
  <c r="S1698" i="2" a="1"/>
  <c r="S1698" i="2" s="1"/>
  <c r="S1699" i="2" a="1"/>
  <c r="S1699" i="2" s="1"/>
  <c r="S1700" i="2" a="1"/>
  <c r="S1700" i="2" s="1"/>
  <c r="S1701" i="2" a="1"/>
  <c r="S1701" i="2" s="1"/>
  <c r="S1702" i="2" a="1"/>
  <c r="S1702" i="2" s="1"/>
  <c r="S1703" i="2" a="1"/>
  <c r="S1703" i="2" s="1"/>
  <c r="S1704" i="2" a="1"/>
  <c r="S1704" i="2" s="1"/>
  <c r="S1705" i="2" a="1"/>
  <c r="S1705" i="2" s="1"/>
  <c r="S1706" i="2" a="1"/>
  <c r="S1706" i="2" s="1"/>
  <c r="S1707" i="2" a="1"/>
  <c r="S1707" i="2" s="1"/>
  <c r="S1708" i="2" a="1"/>
  <c r="S1708" i="2" s="1"/>
  <c r="S1709" i="2" a="1"/>
  <c r="S1709" i="2" s="1"/>
  <c r="S1710" i="2" a="1"/>
  <c r="S1710" i="2" s="1"/>
  <c r="S1711" i="2" a="1"/>
  <c r="S1711" i="2" s="1"/>
  <c r="S1712" i="2" a="1"/>
  <c r="S1712" i="2" s="1"/>
  <c r="S1713" i="2" a="1"/>
  <c r="S1713" i="2" s="1"/>
  <c r="S1714" i="2" a="1"/>
  <c r="S1714" i="2" s="1"/>
  <c r="S1715" i="2" a="1"/>
  <c r="S1715" i="2" s="1"/>
  <c r="S1716" i="2" a="1"/>
  <c r="S1716" i="2" s="1"/>
  <c r="S1717" i="2" a="1"/>
  <c r="S1717" i="2" s="1"/>
  <c r="S1718" i="2" a="1"/>
  <c r="S1718" i="2" s="1"/>
  <c r="S1719" i="2" a="1"/>
  <c r="S1719" i="2" s="1"/>
  <c r="S1720" i="2" a="1"/>
  <c r="S1720" i="2" s="1"/>
  <c r="S1721" i="2" a="1"/>
  <c r="S1721" i="2" s="1"/>
  <c r="S1722" i="2" a="1"/>
  <c r="S1722" i="2" s="1"/>
  <c r="S1723" i="2" a="1"/>
  <c r="S1723" i="2" s="1"/>
  <c r="S1724" i="2" a="1"/>
  <c r="S1724" i="2" s="1"/>
  <c r="S1725" i="2" a="1"/>
  <c r="S1725" i="2" s="1"/>
  <c r="S1726" i="2" a="1"/>
  <c r="S1726" i="2" s="1"/>
  <c r="S1727" i="2" a="1"/>
  <c r="S1727" i="2" s="1"/>
  <c r="S1728" i="2" a="1"/>
  <c r="S1728" i="2" s="1"/>
  <c r="S1729" i="2" a="1"/>
  <c r="S1729" i="2" s="1"/>
  <c r="S1730" i="2" a="1"/>
  <c r="S1730" i="2" s="1"/>
  <c r="S1731" i="2" a="1"/>
  <c r="S1731" i="2" s="1"/>
  <c r="S1732" i="2" a="1"/>
  <c r="S1732" i="2" s="1"/>
  <c r="S1733" i="2" a="1"/>
  <c r="S1733" i="2" s="1"/>
  <c r="S1734" i="2" a="1"/>
  <c r="S1734" i="2" s="1"/>
  <c r="S1735" i="2" a="1"/>
  <c r="S1735" i="2" s="1"/>
  <c r="S1736" i="2" a="1"/>
  <c r="S1736" i="2" s="1"/>
  <c r="S1737" i="2" a="1"/>
  <c r="S1737" i="2" s="1"/>
  <c r="S1738" i="2" a="1"/>
  <c r="S1738" i="2" s="1"/>
  <c r="S1739" i="2" a="1"/>
  <c r="S1739" i="2" s="1"/>
  <c r="S1740" i="2" a="1"/>
  <c r="S1740" i="2" s="1"/>
  <c r="S1741" i="2" a="1"/>
  <c r="S1741" i="2" s="1"/>
  <c r="S1742" i="2" a="1"/>
  <c r="S1742" i="2" s="1"/>
  <c r="S1743" i="2" a="1"/>
  <c r="S1743" i="2" s="1"/>
  <c r="S1744" i="2" a="1"/>
  <c r="S1744" i="2" s="1"/>
  <c r="S1745" i="2" a="1"/>
  <c r="S1745" i="2" s="1"/>
  <c r="S1746" i="2" a="1"/>
  <c r="S1746" i="2" s="1"/>
  <c r="S1747" i="2" a="1"/>
  <c r="S1747" i="2" s="1"/>
  <c r="S1748" i="2" a="1"/>
  <c r="S1748" i="2" s="1"/>
  <c r="S1749" i="2" a="1"/>
  <c r="S1749" i="2" s="1"/>
  <c r="S1750" i="2" a="1"/>
  <c r="S1750" i="2" s="1"/>
  <c r="S1751" i="2" a="1"/>
  <c r="S1751" i="2" s="1"/>
  <c r="S1752" i="2" a="1"/>
  <c r="S1752" i="2" s="1"/>
  <c r="S1753" i="2" a="1"/>
  <c r="S1753" i="2" s="1"/>
  <c r="S1754" i="2" a="1"/>
  <c r="S1754" i="2" s="1"/>
  <c r="S1755" i="2" a="1"/>
  <c r="S1755" i="2" s="1"/>
  <c r="S1756" i="2" a="1"/>
  <c r="S1756" i="2" s="1"/>
  <c r="S1757" i="2" a="1"/>
  <c r="S1757" i="2" s="1"/>
  <c r="S1758" i="2" a="1"/>
  <c r="S1758" i="2" s="1"/>
  <c r="S1759" i="2" a="1"/>
  <c r="S1759" i="2" s="1"/>
  <c r="S1760" i="2" a="1"/>
  <c r="S1760" i="2" s="1"/>
  <c r="S1761" i="2" a="1"/>
  <c r="S1761" i="2" s="1"/>
  <c r="S1762" i="2" a="1"/>
  <c r="S1762" i="2" s="1"/>
  <c r="S1763" i="2" a="1"/>
  <c r="S1763" i="2" s="1"/>
  <c r="S1764" i="2" a="1"/>
  <c r="S1764" i="2" s="1"/>
  <c r="S1765" i="2" a="1"/>
  <c r="S1765" i="2" s="1"/>
  <c r="S1766" i="2" a="1"/>
  <c r="S1766" i="2" s="1"/>
  <c r="S1767" i="2" a="1"/>
  <c r="S1767" i="2" s="1"/>
  <c r="S1768" i="2" a="1"/>
  <c r="S1768" i="2" s="1"/>
  <c r="S1769" i="2" a="1"/>
  <c r="S1769" i="2" s="1"/>
  <c r="S1770" i="2" a="1"/>
  <c r="S1770" i="2" s="1"/>
  <c r="S1771" i="2" a="1"/>
  <c r="S1771" i="2" s="1"/>
  <c r="S1772" i="2" a="1"/>
  <c r="S1772" i="2" s="1"/>
  <c r="S1773" i="2" a="1"/>
  <c r="S1773" i="2" s="1"/>
  <c r="S1774" i="2" a="1"/>
  <c r="S1774" i="2" s="1"/>
  <c r="S1775" i="2" a="1"/>
  <c r="S1775" i="2" s="1"/>
  <c r="S1776" i="2" a="1"/>
  <c r="S1776" i="2" s="1"/>
  <c r="S1777" i="2" a="1"/>
  <c r="S1777" i="2" s="1"/>
  <c r="S1778" i="2" a="1"/>
  <c r="S1778" i="2" s="1"/>
  <c r="S1779" i="2" a="1"/>
  <c r="S1779" i="2" s="1"/>
  <c r="S1780" i="2" a="1"/>
  <c r="S1780" i="2" s="1"/>
  <c r="S1781" i="2" a="1"/>
  <c r="S1781" i="2" s="1"/>
  <c r="S1782" i="2" a="1"/>
  <c r="S1782" i="2" s="1"/>
  <c r="S1783" i="2" a="1"/>
  <c r="S1783" i="2" s="1"/>
  <c r="S1784" i="2" a="1"/>
  <c r="S1784" i="2" s="1"/>
  <c r="S1785" i="2" a="1"/>
  <c r="S1785" i="2" s="1"/>
  <c r="S1786" i="2" a="1"/>
  <c r="S1786" i="2" s="1"/>
  <c r="S1787" i="2" a="1"/>
  <c r="S1787" i="2" s="1"/>
  <c r="S1788" i="2" a="1"/>
  <c r="S1788" i="2" s="1"/>
  <c r="S1789" i="2" a="1"/>
  <c r="S1789" i="2" s="1"/>
  <c r="S1790" i="2" a="1"/>
  <c r="S1790" i="2" s="1"/>
  <c r="S1791" i="2" a="1"/>
  <c r="S1791" i="2" s="1"/>
  <c r="S1792" i="2" a="1"/>
  <c r="S1792" i="2" s="1"/>
  <c r="S1793" i="2" a="1"/>
  <c r="S1793" i="2" s="1"/>
  <c r="S1794" i="2" a="1"/>
  <c r="S1794" i="2" s="1"/>
  <c r="S1795" i="2" a="1"/>
  <c r="S1795" i="2" s="1"/>
  <c r="S1796" i="2" a="1"/>
  <c r="S1796" i="2" s="1"/>
  <c r="S1797" i="2" a="1"/>
  <c r="S1797" i="2" s="1"/>
  <c r="S1798" i="2" a="1"/>
  <c r="S1798" i="2" s="1"/>
  <c r="S1799" i="2" a="1"/>
  <c r="S1799" i="2" s="1"/>
  <c r="S1800" i="2" a="1"/>
  <c r="S1800" i="2" s="1"/>
  <c r="S1801" i="2" a="1"/>
  <c r="S1801" i="2" s="1"/>
  <c r="S1802" i="2" a="1"/>
  <c r="S1802" i="2" s="1"/>
  <c r="S1803" i="2" a="1"/>
  <c r="S1803" i="2" s="1"/>
  <c r="S1804" i="2" a="1"/>
  <c r="S1804" i="2" s="1"/>
  <c r="S1805" i="2" a="1"/>
  <c r="S1805" i="2" s="1"/>
  <c r="S1806" i="2" a="1"/>
  <c r="S1806" i="2" s="1"/>
  <c r="S1807" i="2" a="1"/>
  <c r="S1807" i="2" s="1"/>
  <c r="S1808" i="2" a="1"/>
  <c r="S1808" i="2" s="1"/>
  <c r="S1809" i="2" a="1"/>
  <c r="S1809" i="2" s="1"/>
  <c r="S1810" i="2" a="1"/>
  <c r="S1810" i="2" s="1"/>
  <c r="S1811" i="2" a="1"/>
  <c r="S1811" i="2" s="1"/>
  <c r="S1812" i="2" a="1"/>
  <c r="S1812" i="2" s="1"/>
  <c r="S1813" i="2" a="1"/>
  <c r="S1813" i="2" s="1"/>
  <c r="S1814" i="2" a="1"/>
  <c r="S1814" i="2" s="1"/>
  <c r="S1815" i="2" a="1"/>
  <c r="S1815" i="2" s="1"/>
  <c r="S1816" i="2" a="1"/>
  <c r="S1816" i="2" s="1"/>
  <c r="S1817" i="2" a="1"/>
  <c r="S1817" i="2" s="1"/>
  <c r="S1818" i="2" a="1"/>
  <c r="S1818" i="2" s="1"/>
  <c r="S1819" i="2" a="1"/>
  <c r="S1819" i="2" s="1"/>
  <c r="S1820" i="2" a="1"/>
  <c r="S1820" i="2" s="1"/>
  <c r="S1821" i="2" a="1"/>
  <c r="S1821" i="2" s="1"/>
  <c r="S1822" i="2" a="1"/>
  <c r="S1822" i="2" s="1"/>
  <c r="S1823" i="2" a="1"/>
  <c r="S1823" i="2" s="1"/>
  <c r="S1824" i="2" a="1"/>
  <c r="S1824" i="2" s="1"/>
  <c r="S1825" i="2" a="1"/>
  <c r="S1825" i="2" s="1"/>
  <c r="S1826" i="2" a="1"/>
  <c r="S1826" i="2" s="1"/>
  <c r="S1827" i="2" a="1"/>
  <c r="S1827" i="2" s="1"/>
  <c r="S1828" i="2" a="1"/>
  <c r="S1828" i="2" s="1"/>
  <c r="S1829" i="2" a="1"/>
  <c r="S1829" i="2" s="1"/>
  <c r="S1830" i="2" a="1"/>
  <c r="S1830" i="2" s="1"/>
  <c r="S1831" i="2" a="1"/>
  <c r="S1831" i="2" s="1"/>
  <c r="S1832" i="2" a="1"/>
  <c r="S1832" i="2" s="1"/>
  <c r="S1833" i="2" a="1"/>
  <c r="S1833" i="2" s="1"/>
  <c r="S1834" i="2" a="1"/>
  <c r="S1834" i="2" s="1"/>
  <c r="S1835" i="2" a="1"/>
  <c r="S1835" i="2" s="1"/>
  <c r="S1836" i="2" a="1"/>
  <c r="S1836" i="2" s="1"/>
  <c r="S1837" i="2" a="1"/>
  <c r="S1837" i="2" s="1"/>
  <c r="S1838" i="2" a="1"/>
  <c r="S1838" i="2" s="1"/>
  <c r="S1839" i="2" a="1"/>
  <c r="S1839" i="2" s="1"/>
  <c r="S1840" i="2" a="1"/>
  <c r="S1840" i="2" s="1"/>
  <c r="S1841" i="2" a="1"/>
  <c r="S1841" i="2" s="1"/>
  <c r="S1842" i="2" a="1"/>
  <c r="S1842" i="2" s="1"/>
  <c r="S1843" i="2" a="1"/>
  <c r="S1843" i="2" s="1"/>
  <c r="S1844" i="2" a="1"/>
  <c r="S1844" i="2" s="1"/>
  <c r="S1845" i="2" a="1"/>
  <c r="S1845" i="2" s="1"/>
  <c r="S1846" i="2" a="1"/>
  <c r="S1846" i="2" s="1"/>
  <c r="S1847" i="2" a="1"/>
  <c r="S1847" i="2" s="1"/>
  <c r="S1848" i="2" a="1"/>
  <c r="S1848" i="2" s="1"/>
  <c r="S1849" i="2" a="1"/>
  <c r="S1849" i="2" s="1"/>
  <c r="S1850" i="2" a="1"/>
  <c r="S1850" i="2" s="1"/>
  <c r="S1851" i="2" a="1"/>
  <c r="S1851" i="2" s="1"/>
  <c r="S1852" i="2" a="1"/>
  <c r="S1852" i="2" s="1"/>
  <c r="S1853" i="2" a="1"/>
  <c r="S1853" i="2" s="1"/>
  <c r="S1854" i="2" a="1"/>
  <c r="S1854" i="2" s="1"/>
  <c r="S1855" i="2" a="1"/>
  <c r="S1855" i="2" s="1"/>
  <c r="S1856" i="2" a="1"/>
  <c r="S1856" i="2" s="1"/>
  <c r="S1857" i="2" a="1"/>
  <c r="S1857" i="2" s="1"/>
  <c r="S1858" i="2" a="1"/>
  <c r="S1858" i="2" s="1"/>
  <c r="S1859" i="2" a="1"/>
  <c r="S1859" i="2" s="1"/>
  <c r="S1860" i="2" a="1"/>
  <c r="S1860" i="2" s="1"/>
  <c r="S1861" i="2" a="1"/>
  <c r="S1861" i="2" s="1"/>
  <c r="S1862" i="2" a="1"/>
  <c r="S1862" i="2" s="1"/>
  <c r="S1863" i="2" a="1"/>
  <c r="S1863" i="2" s="1"/>
  <c r="S1864" i="2" a="1"/>
  <c r="S1864" i="2" s="1"/>
  <c r="S1865" i="2" a="1"/>
  <c r="S1865" i="2" s="1"/>
  <c r="S1866" i="2" a="1"/>
  <c r="S1866" i="2" s="1"/>
  <c r="S1867" i="2" a="1"/>
  <c r="S1867" i="2" s="1"/>
  <c r="S1868" i="2" a="1"/>
  <c r="S1868" i="2" s="1"/>
  <c r="S1869" i="2" a="1"/>
  <c r="S1869" i="2" s="1"/>
  <c r="S1870" i="2" a="1"/>
  <c r="S1870" i="2" s="1"/>
  <c r="S1871" i="2" a="1"/>
  <c r="S1871" i="2" s="1"/>
  <c r="S1872" i="2" a="1"/>
  <c r="S1872" i="2" s="1"/>
  <c r="S1873" i="2" a="1"/>
  <c r="S1873" i="2" s="1"/>
  <c r="S1874" i="2" a="1"/>
  <c r="S1874" i="2" s="1"/>
  <c r="S1875" i="2" a="1"/>
  <c r="S1875" i="2" s="1"/>
  <c r="S1876" i="2" a="1"/>
  <c r="S1876" i="2" s="1"/>
  <c r="S1877" i="2" a="1"/>
  <c r="S1877" i="2" s="1"/>
  <c r="S1878" i="2" a="1"/>
  <c r="S1878" i="2" s="1"/>
  <c r="S1879" i="2" a="1"/>
  <c r="S1879" i="2" s="1"/>
  <c r="S1880" i="2" a="1"/>
  <c r="S1880" i="2" s="1"/>
  <c r="S1881" i="2" a="1"/>
  <c r="S1881" i="2" s="1"/>
  <c r="S1882" i="2" a="1"/>
  <c r="S1882" i="2" s="1"/>
  <c r="S1883" i="2" a="1"/>
  <c r="S1883" i="2" s="1"/>
  <c r="S1884" i="2" a="1"/>
  <c r="S1884" i="2" s="1"/>
  <c r="S1885" i="2" a="1"/>
  <c r="S1885" i="2" s="1"/>
  <c r="S1886" i="2" a="1"/>
  <c r="S1886" i="2" s="1"/>
  <c r="S1887" i="2" a="1"/>
  <c r="S1887" i="2" s="1"/>
  <c r="S1888" i="2" a="1"/>
  <c r="S1888" i="2" s="1"/>
  <c r="S1889" i="2" a="1"/>
  <c r="S1889" i="2" s="1"/>
  <c r="S1890" i="2" a="1"/>
  <c r="S1890" i="2" s="1"/>
  <c r="S1891" i="2" a="1"/>
  <c r="S1891" i="2" s="1"/>
  <c r="S1892" i="2" a="1"/>
  <c r="S1892" i="2" s="1"/>
  <c r="S1893" i="2" a="1"/>
  <c r="S1893" i="2" s="1"/>
  <c r="S1894" i="2" a="1"/>
  <c r="S1894" i="2" s="1"/>
  <c r="S1895" i="2" a="1"/>
  <c r="S1895" i="2" s="1"/>
  <c r="S1896" i="2" a="1"/>
  <c r="S1896" i="2" s="1"/>
  <c r="S1897" i="2" a="1"/>
  <c r="S1897" i="2" s="1"/>
  <c r="S1898" i="2" a="1"/>
  <c r="S1898" i="2" s="1"/>
  <c r="S1899" i="2" a="1"/>
  <c r="S1899" i="2" s="1"/>
  <c r="S1900" i="2" a="1"/>
  <c r="S1900" i="2" s="1"/>
  <c r="S1901" i="2" a="1"/>
  <c r="S1901" i="2" s="1"/>
  <c r="S1902" i="2" a="1"/>
  <c r="S1902" i="2" s="1"/>
  <c r="S1903" i="2" a="1"/>
  <c r="S1903" i="2" s="1"/>
  <c r="S1904" i="2" a="1"/>
  <c r="S1904" i="2" s="1"/>
  <c r="S1905" i="2" a="1"/>
  <c r="S1905" i="2" s="1"/>
  <c r="S1906" i="2" a="1"/>
  <c r="S1906" i="2" s="1"/>
  <c r="S1907" i="2" a="1"/>
  <c r="S1907" i="2" s="1"/>
  <c r="S1908" i="2" a="1"/>
  <c r="S1908" i="2" s="1"/>
  <c r="S1909" i="2" a="1"/>
  <c r="S1909" i="2" s="1"/>
  <c r="S1910" i="2" a="1"/>
  <c r="S1910" i="2" s="1"/>
  <c r="S1911" i="2" a="1"/>
  <c r="S1911" i="2" s="1"/>
  <c r="S1912" i="2" a="1"/>
  <c r="S1912" i="2" s="1"/>
  <c r="S1913" i="2" a="1"/>
  <c r="S1913" i="2" s="1"/>
  <c r="S1914" i="2" a="1"/>
  <c r="S1914" i="2" s="1"/>
  <c r="S1915" i="2" a="1"/>
  <c r="S1915" i="2" s="1"/>
  <c r="S1916" i="2" a="1"/>
  <c r="S1916" i="2" s="1"/>
  <c r="S1917" i="2" a="1"/>
  <c r="S1917" i="2" s="1"/>
  <c r="S1918" i="2" a="1"/>
  <c r="S1918" i="2" s="1"/>
  <c r="S1919" i="2" a="1"/>
  <c r="S1919" i="2" s="1"/>
  <c r="S1920" i="2" a="1"/>
  <c r="S1920" i="2" s="1"/>
  <c r="S1921" i="2" a="1"/>
  <c r="S1921" i="2" s="1"/>
  <c r="S1922" i="2" a="1"/>
  <c r="S1922" i="2" s="1"/>
  <c r="S1923" i="2" a="1"/>
  <c r="S1923" i="2" s="1"/>
  <c r="S1924" i="2" a="1"/>
  <c r="S1924" i="2" s="1"/>
  <c r="S1925" i="2" a="1"/>
  <c r="S1925" i="2" s="1"/>
  <c r="S1926" i="2" a="1"/>
  <c r="S1926" i="2" s="1"/>
  <c r="S1927" i="2" a="1"/>
  <c r="S1927" i="2" s="1"/>
  <c r="S1928" i="2" a="1"/>
  <c r="S1928" i="2" s="1"/>
  <c r="S1929" i="2" a="1"/>
  <c r="S1929" i="2" s="1"/>
  <c r="S1930" i="2" a="1"/>
  <c r="S1930" i="2" s="1"/>
  <c r="S1931" i="2" a="1"/>
  <c r="S1931" i="2" s="1"/>
  <c r="S1932" i="2" a="1"/>
  <c r="S1932" i="2" s="1"/>
  <c r="S1933" i="2" a="1"/>
  <c r="S1933" i="2" s="1"/>
  <c r="S1934" i="2" a="1"/>
  <c r="S1934" i="2" s="1"/>
  <c r="S1935" i="2" a="1"/>
  <c r="S1935" i="2" s="1"/>
  <c r="S1936" i="2" a="1"/>
  <c r="S1936" i="2" s="1"/>
  <c r="S1937" i="2" a="1"/>
  <c r="S1937" i="2" s="1"/>
  <c r="S1938" i="2" a="1"/>
  <c r="S1938" i="2" s="1"/>
  <c r="S1939" i="2" a="1"/>
  <c r="S1939" i="2" s="1"/>
  <c r="S1940" i="2" a="1"/>
  <c r="S1940" i="2" s="1"/>
  <c r="S1941" i="2" a="1"/>
  <c r="S1941" i="2" s="1"/>
  <c r="S1942" i="2" a="1"/>
  <c r="S1942" i="2" s="1"/>
  <c r="S1943" i="2" a="1"/>
  <c r="S1943" i="2" s="1"/>
  <c r="S1944" i="2" a="1"/>
  <c r="S1944" i="2" s="1"/>
  <c r="S1945" i="2" a="1"/>
  <c r="S1945" i="2" s="1"/>
  <c r="S1946" i="2" a="1"/>
  <c r="S1946" i="2" s="1"/>
  <c r="S1947" i="2" a="1"/>
  <c r="S1947" i="2" s="1"/>
  <c r="S1948" i="2" a="1"/>
  <c r="S1948" i="2" s="1"/>
  <c r="S1949" i="2" a="1"/>
  <c r="S1949" i="2" s="1"/>
  <c r="S1950" i="2" a="1"/>
  <c r="S1950" i="2" s="1"/>
  <c r="S1951" i="2" a="1"/>
  <c r="S1951" i="2" s="1"/>
  <c r="S1952" i="2" a="1"/>
  <c r="S1952" i="2" s="1"/>
  <c r="S1953" i="2" a="1"/>
  <c r="S1953" i="2" s="1"/>
  <c r="S1954" i="2" a="1"/>
  <c r="S1954" i="2" s="1"/>
  <c r="S1955" i="2" a="1"/>
  <c r="S1955" i="2" s="1"/>
  <c r="S1956" i="2" a="1"/>
  <c r="S1956" i="2" s="1"/>
  <c r="S1957" i="2" a="1"/>
  <c r="S1957" i="2" s="1"/>
  <c r="S1958" i="2" a="1"/>
  <c r="S1958" i="2" s="1"/>
  <c r="S1959" i="2" a="1"/>
  <c r="S1959" i="2" s="1"/>
  <c r="S1960" i="2" a="1"/>
  <c r="S1960" i="2" s="1"/>
  <c r="S1961" i="2" a="1"/>
  <c r="S1961" i="2" s="1"/>
  <c r="S1962" i="2" a="1"/>
  <c r="S1962" i="2" s="1"/>
  <c r="S1963" i="2" a="1"/>
  <c r="S1963" i="2" s="1"/>
  <c r="S1964" i="2" a="1"/>
  <c r="S1964" i="2" s="1"/>
  <c r="S1965" i="2" a="1"/>
  <c r="S1965" i="2" s="1"/>
  <c r="S1966" i="2" a="1"/>
  <c r="S1966" i="2" s="1"/>
  <c r="S1967" i="2" a="1"/>
  <c r="S1967" i="2" s="1"/>
  <c r="S1968" i="2" a="1"/>
  <c r="S1968" i="2" s="1"/>
  <c r="S1969" i="2" a="1"/>
  <c r="S1969" i="2" s="1"/>
  <c r="S1970" i="2" a="1"/>
  <c r="S1970" i="2" s="1"/>
  <c r="S1971" i="2" a="1"/>
  <c r="S1971" i="2" s="1"/>
  <c r="S1972" i="2" a="1"/>
  <c r="S1972" i="2" s="1"/>
  <c r="S1973" i="2" a="1"/>
  <c r="S1973" i="2" s="1"/>
  <c r="S1974" i="2" a="1"/>
  <c r="S1974" i="2" s="1"/>
  <c r="S1975" i="2" a="1"/>
  <c r="S1975" i="2" s="1"/>
  <c r="S1976" i="2" a="1"/>
  <c r="S1976" i="2" s="1"/>
  <c r="S1977" i="2" a="1"/>
  <c r="S1977" i="2" s="1"/>
  <c r="S1978" i="2" a="1"/>
  <c r="S1978" i="2" s="1"/>
  <c r="S1979" i="2" a="1"/>
  <c r="S1979" i="2" s="1"/>
  <c r="S1980" i="2" a="1"/>
  <c r="S1980" i="2" s="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Q365" i="2" s="1"/>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Q761" i="2" s="1"/>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P898" i="2" s="1"/>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Q977" i="2" s="1"/>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Q1041" i="2" s="1"/>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Q1105" i="2" s="1"/>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Q1169" i="2" s="1"/>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Q1233" i="2" s="1"/>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Q1297" i="2" s="1"/>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Q1361" i="2" s="1"/>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P1410" i="2" s="1"/>
  <c r="M1411" i="2"/>
  <c r="M1412" i="2"/>
  <c r="M1413" i="2"/>
  <c r="M1414" i="2"/>
  <c r="M1415" i="2"/>
  <c r="M1416" i="2"/>
  <c r="M1417" i="2"/>
  <c r="M1418" i="2"/>
  <c r="M1419" i="2"/>
  <c r="M1420" i="2"/>
  <c r="M1421" i="2"/>
  <c r="M1422" i="2"/>
  <c r="M1423" i="2"/>
  <c r="M1424" i="2"/>
  <c r="M1425" i="2"/>
  <c r="M1426" i="2"/>
  <c r="P1426" i="2" s="1"/>
  <c r="M1427" i="2"/>
  <c r="M1428" i="2"/>
  <c r="M1429" i="2"/>
  <c r="M1430" i="2"/>
  <c r="M1431" i="2"/>
  <c r="M1432" i="2"/>
  <c r="M1433" i="2"/>
  <c r="M1434" i="2"/>
  <c r="M1435" i="2"/>
  <c r="M1436" i="2"/>
  <c r="M1437" i="2"/>
  <c r="M1438" i="2"/>
  <c r="M1439" i="2"/>
  <c r="M1440" i="2"/>
  <c r="M1441" i="2"/>
  <c r="M1442" i="2"/>
  <c r="P1442" i="2" s="1"/>
  <c r="M1443" i="2"/>
  <c r="M1444" i="2"/>
  <c r="M1445" i="2"/>
  <c r="M1446" i="2"/>
  <c r="M1447" i="2"/>
  <c r="M1448" i="2"/>
  <c r="M1449" i="2"/>
  <c r="M1450" i="2"/>
  <c r="M1451" i="2"/>
  <c r="M1452" i="2"/>
  <c r="M1453" i="2"/>
  <c r="M1454" i="2"/>
  <c r="M1455" i="2"/>
  <c r="M1456" i="2"/>
  <c r="M1457" i="2"/>
  <c r="M1458" i="2"/>
  <c r="P1458" i="2" s="1"/>
  <c r="M1459" i="2"/>
  <c r="M1460" i="2"/>
  <c r="M1461" i="2"/>
  <c r="M1462" i="2"/>
  <c r="M1463" i="2"/>
  <c r="M1464" i="2"/>
  <c r="M1465" i="2"/>
  <c r="M1466" i="2"/>
  <c r="M1467" i="2"/>
  <c r="M1468" i="2"/>
  <c r="M1469" i="2"/>
  <c r="Q1469" i="2" s="1"/>
  <c r="M1470" i="2"/>
  <c r="M1471" i="2"/>
  <c r="M1472" i="2"/>
  <c r="M1473" i="2"/>
  <c r="M1474" i="2"/>
  <c r="P1474" i="2" s="1"/>
  <c r="M1475" i="2"/>
  <c r="M1476" i="2"/>
  <c r="M1477" i="2"/>
  <c r="M1478" i="2"/>
  <c r="M1479" i="2"/>
  <c r="M1480" i="2"/>
  <c r="M1481" i="2"/>
  <c r="M1482" i="2"/>
  <c r="M1483" i="2"/>
  <c r="M1484" i="2"/>
  <c r="M1485" i="2"/>
  <c r="M1486" i="2"/>
  <c r="M1487" i="2"/>
  <c r="M1488" i="2"/>
  <c r="M1489" i="2"/>
  <c r="M1490" i="2"/>
  <c r="P1490" i="2" s="1"/>
  <c r="M1491" i="2"/>
  <c r="M1492" i="2"/>
  <c r="M1493" i="2"/>
  <c r="M1494" i="2"/>
  <c r="M1495" i="2"/>
  <c r="M1496" i="2"/>
  <c r="M1497" i="2"/>
  <c r="M1498" i="2"/>
  <c r="M1499" i="2"/>
  <c r="M1500" i="2"/>
  <c r="M1501" i="2"/>
  <c r="M1502" i="2"/>
  <c r="M1503" i="2"/>
  <c r="M1504" i="2"/>
  <c r="M1505" i="2"/>
  <c r="M1506" i="2"/>
  <c r="P1506" i="2" s="1"/>
  <c r="M1507" i="2"/>
  <c r="M1508" i="2"/>
  <c r="M1509" i="2"/>
  <c r="M1510" i="2"/>
  <c r="M1511" i="2"/>
  <c r="M1512" i="2"/>
  <c r="M1513" i="2"/>
  <c r="M1514" i="2"/>
  <c r="M1515" i="2"/>
  <c r="M1516" i="2"/>
  <c r="M1517" i="2"/>
  <c r="M1518" i="2"/>
  <c r="M1519" i="2"/>
  <c r="M1520" i="2"/>
  <c r="M1521" i="2"/>
  <c r="M1522" i="2"/>
  <c r="P1522" i="2" s="1"/>
  <c r="M1523" i="2"/>
  <c r="M1524" i="2"/>
  <c r="M1525" i="2"/>
  <c r="M1526" i="2"/>
  <c r="M1527" i="2"/>
  <c r="M1528" i="2"/>
  <c r="M1529" i="2"/>
  <c r="M1530" i="2"/>
  <c r="M1531" i="2"/>
  <c r="M1532" i="2"/>
  <c r="M1533" i="2"/>
  <c r="Q1533" i="2" s="1"/>
  <c r="M1534" i="2"/>
  <c r="M1535" i="2"/>
  <c r="M1536" i="2"/>
  <c r="M1537" i="2"/>
  <c r="M1538" i="2"/>
  <c r="P1538" i="2" s="1"/>
  <c r="M1539" i="2"/>
  <c r="M1540" i="2"/>
  <c r="M1541" i="2"/>
  <c r="M1542" i="2"/>
  <c r="M1543" i="2"/>
  <c r="M1544" i="2"/>
  <c r="M1545" i="2"/>
  <c r="M1546" i="2"/>
  <c r="M1547" i="2"/>
  <c r="M1548" i="2"/>
  <c r="M1549" i="2"/>
  <c r="M1550" i="2"/>
  <c r="M1551" i="2"/>
  <c r="M1552" i="2"/>
  <c r="M1553" i="2"/>
  <c r="M1554" i="2"/>
  <c r="P1554" i="2" s="1"/>
  <c r="M1555" i="2"/>
  <c r="M1556" i="2"/>
  <c r="M1557" i="2"/>
  <c r="M1558" i="2"/>
  <c r="M1559" i="2"/>
  <c r="M1560" i="2"/>
  <c r="M1561" i="2"/>
  <c r="M1562" i="2"/>
  <c r="M1563" i="2"/>
  <c r="M1564" i="2"/>
  <c r="M1565" i="2"/>
  <c r="M1566" i="2"/>
  <c r="M1567" i="2"/>
  <c r="M1568" i="2"/>
  <c r="M1569" i="2"/>
  <c r="M1570" i="2"/>
  <c r="M1571" i="2"/>
  <c r="M1572" i="2"/>
  <c r="M1573" i="2"/>
  <c r="Q1573" i="2" s="1"/>
  <c r="M1574" i="2"/>
  <c r="M1575" i="2"/>
  <c r="M1576" i="2"/>
  <c r="M1577" i="2"/>
  <c r="M1578" i="2"/>
  <c r="M1579" i="2"/>
  <c r="M1580" i="2"/>
  <c r="M1581" i="2"/>
  <c r="M1582" i="2"/>
  <c r="M1583" i="2"/>
  <c r="M1584" i="2"/>
  <c r="M1585" i="2"/>
  <c r="M1586" i="2"/>
  <c r="M1587" i="2"/>
  <c r="M1588" i="2"/>
  <c r="M1589" i="2"/>
  <c r="Q1589" i="2" s="1"/>
  <c r="M1590" i="2"/>
  <c r="M1591" i="2"/>
  <c r="M1592" i="2"/>
  <c r="M1593" i="2"/>
  <c r="M1594" i="2"/>
  <c r="M1595" i="2"/>
  <c r="M1596" i="2"/>
  <c r="M1597" i="2"/>
  <c r="M1598" i="2"/>
  <c r="M1599" i="2"/>
  <c r="M1600" i="2"/>
  <c r="M1601" i="2"/>
  <c r="M1602" i="2"/>
  <c r="M1603" i="2"/>
  <c r="M1604" i="2"/>
  <c r="M1605" i="2"/>
  <c r="Q1605" i="2" s="1"/>
  <c r="M1606" i="2"/>
  <c r="M1607" i="2"/>
  <c r="M1608" i="2"/>
  <c r="M1609" i="2"/>
  <c r="M1610" i="2"/>
  <c r="M1611" i="2"/>
  <c r="M1612" i="2"/>
  <c r="M1613" i="2"/>
  <c r="M1614" i="2"/>
  <c r="M1615" i="2"/>
  <c r="M1616" i="2"/>
  <c r="M1617" i="2"/>
  <c r="M1618" i="2"/>
  <c r="M1619" i="2"/>
  <c r="M1620" i="2"/>
  <c r="M1621" i="2"/>
  <c r="Q1621" i="2" s="1"/>
  <c r="M1622" i="2"/>
  <c r="M1623" i="2"/>
  <c r="M1624" i="2"/>
  <c r="M1625" i="2"/>
  <c r="M1626" i="2"/>
  <c r="M1627" i="2"/>
  <c r="M1628" i="2"/>
  <c r="M1629" i="2"/>
  <c r="M1630" i="2"/>
  <c r="M1631" i="2"/>
  <c r="M1632" i="2"/>
  <c r="M1633" i="2"/>
  <c r="M1634" i="2"/>
  <c r="M1635" i="2"/>
  <c r="M1636" i="2"/>
  <c r="M1637" i="2"/>
  <c r="Q1637" i="2" s="1"/>
  <c r="M1638" i="2"/>
  <c r="M1639" i="2"/>
  <c r="M1640" i="2"/>
  <c r="M1641" i="2"/>
  <c r="Q1641" i="2" s="1"/>
  <c r="M1642" i="2"/>
  <c r="M1643" i="2"/>
  <c r="M1644" i="2"/>
  <c r="M1645" i="2"/>
  <c r="Q1645" i="2" s="1"/>
  <c r="M1646" i="2"/>
  <c r="M1647" i="2"/>
  <c r="M1648" i="2"/>
  <c r="M1649" i="2"/>
  <c r="Q1649" i="2" s="1"/>
  <c r="M1650" i="2"/>
  <c r="M1651" i="2"/>
  <c r="M1652" i="2"/>
  <c r="M1653" i="2"/>
  <c r="Q1653" i="2" s="1"/>
  <c r="M1654" i="2"/>
  <c r="M1655" i="2"/>
  <c r="M1656" i="2"/>
  <c r="M1657" i="2"/>
  <c r="Q1657" i="2" s="1"/>
  <c r="M1658" i="2"/>
  <c r="M1659" i="2"/>
  <c r="M1660" i="2"/>
  <c r="M1661" i="2"/>
  <c r="Q1661" i="2" s="1"/>
  <c r="M1662" i="2"/>
  <c r="M1663" i="2"/>
  <c r="M1664" i="2"/>
  <c r="M1665" i="2"/>
  <c r="Q1665" i="2" s="1"/>
  <c r="M1666" i="2"/>
  <c r="M1667" i="2"/>
  <c r="M1668" i="2"/>
  <c r="M1669" i="2"/>
  <c r="Q1669" i="2" s="1"/>
  <c r="M1670" i="2"/>
  <c r="M1671" i="2"/>
  <c r="M1672" i="2"/>
  <c r="M1673" i="2"/>
  <c r="Q1673" i="2" s="1"/>
  <c r="M1674" i="2"/>
  <c r="M1675" i="2"/>
  <c r="M1676" i="2"/>
  <c r="M1677" i="2"/>
  <c r="Q1677" i="2" s="1"/>
  <c r="M1678" i="2"/>
  <c r="M1679" i="2"/>
  <c r="M1680" i="2"/>
  <c r="M1681" i="2"/>
  <c r="Q1681" i="2" s="1"/>
  <c r="M1682" i="2"/>
  <c r="M1683" i="2"/>
  <c r="M1684" i="2"/>
  <c r="M1685" i="2"/>
  <c r="Q1685" i="2" s="1"/>
  <c r="M1686" i="2"/>
  <c r="M1687" i="2"/>
  <c r="M1688" i="2"/>
  <c r="M1689" i="2"/>
  <c r="Q1689" i="2" s="1"/>
  <c r="M1690" i="2"/>
  <c r="M1691" i="2"/>
  <c r="M1692" i="2"/>
  <c r="M1693" i="2"/>
  <c r="Q1693" i="2" s="1"/>
  <c r="M1694" i="2"/>
  <c r="M1695" i="2"/>
  <c r="M1696" i="2"/>
  <c r="M1697" i="2"/>
  <c r="Q1697" i="2" s="1"/>
  <c r="M1698" i="2"/>
  <c r="M1699" i="2"/>
  <c r="M1700" i="2"/>
  <c r="M1701" i="2"/>
  <c r="Q1701" i="2" s="1"/>
  <c r="M1702" i="2"/>
  <c r="M1703" i="2"/>
  <c r="M1704" i="2"/>
  <c r="M1705" i="2"/>
  <c r="Q1705" i="2" s="1"/>
  <c r="M1706" i="2"/>
  <c r="M1707" i="2"/>
  <c r="M1708" i="2"/>
  <c r="M1709" i="2"/>
  <c r="Q1709" i="2" s="1"/>
  <c r="M1710" i="2"/>
  <c r="M1711" i="2"/>
  <c r="M1712" i="2"/>
  <c r="M1713" i="2"/>
  <c r="Q1713" i="2" s="1"/>
  <c r="M1714" i="2"/>
  <c r="M1715" i="2"/>
  <c r="M1716" i="2"/>
  <c r="M1717" i="2"/>
  <c r="Q1717" i="2" s="1"/>
  <c r="M1718" i="2"/>
  <c r="M1719" i="2"/>
  <c r="M1720" i="2"/>
  <c r="M1721" i="2"/>
  <c r="Q1721" i="2" s="1"/>
  <c r="M1722" i="2"/>
  <c r="M1723" i="2"/>
  <c r="M1724" i="2"/>
  <c r="M1725" i="2"/>
  <c r="Q1725" i="2" s="1"/>
  <c r="M1726" i="2"/>
  <c r="M1727" i="2"/>
  <c r="M1728" i="2"/>
  <c r="M1729" i="2"/>
  <c r="Q1729" i="2" s="1"/>
  <c r="M1730" i="2"/>
  <c r="M1731" i="2"/>
  <c r="M1732" i="2"/>
  <c r="M1733" i="2"/>
  <c r="Q1733" i="2" s="1"/>
  <c r="M1734" i="2"/>
  <c r="M1735" i="2"/>
  <c r="M1736" i="2"/>
  <c r="M1737" i="2"/>
  <c r="Q1737" i="2" s="1"/>
  <c r="M1738" i="2"/>
  <c r="M1739" i="2"/>
  <c r="M1740" i="2"/>
  <c r="M1741" i="2"/>
  <c r="Q1741" i="2" s="1"/>
  <c r="M1742" i="2"/>
  <c r="M1743" i="2"/>
  <c r="M1744" i="2"/>
  <c r="M1745" i="2"/>
  <c r="Q1745" i="2" s="1"/>
  <c r="M1746" i="2"/>
  <c r="M1747" i="2"/>
  <c r="M1748" i="2"/>
  <c r="M1749" i="2"/>
  <c r="Q1749" i="2" s="1"/>
  <c r="M1750" i="2"/>
  <c r="M1751" i="2"/>
  <c r="M1752" i="2"/>
  <c r="M1753" i="2"/>
  <c r="Q1753" i="2" s="1"/>
  <c r="M1754" i="2"/>
  <c r="M1755" i="2"/>
  <c r="M1756" i="2"/>
  <c r="M1757" i="2"/>
  <c r="Q1757" i="2" s="1"/>
  <c r="M1758" i="2"/>
  <c r="M1759" i="2"/>
  <c r="M1760" i="2"/>
  <c r="M1761" i="2"/>
  <c r="Q1761" i="2" s="1"/>
  <c r="M1762" i="2"/>
  <c r="M1763" i="2"/>
  <c r="M1764" i="2"/>
  <c r="M1765" i="2"/>
  <c r="Q1765" i="2" s="1"/>
  <c r="M1766" i="2"/>
  <c r="M1767" i="2"/>
  <c r="M1768" i="2"/>
  <c r="M1769" i="2"/>
  <c r="Q1769" i="2" s="1"/>
  <c r="M1770" i="2"/>
  <c r="M1771" i="2"/>
  <c r="M1772" i="2"/>
  <c r="M1773" i="2"/>
  <c r="Q1773" i="2" s="1"/>
  <c r="M1774" i="2"/>
  <c r="M1775" i="2"/>
  <c r="M1776" i="2"/>
  <c r="M1777" i="2"/>
  <c r="Q1777" i="2" s="1"/>
  <c r="M1778" i="2"/>
  <c r="M1779" i="2"/>
  <c r="M1780" i="2"/>
  <c r="M1781" i="2"/>
  <c r="Q1781" i="2" s="1"/>
  <c r="M1782" i="2"/>
  <c r="M1783" i="2"/>
  <c r="M1784" i="2"/>
  <c r="M1785" i="2"/>
  <c r="Q1785" i="2" s="1"/>
  <c r="M1786" i="2"/>
  <c r="M1787" i="2"/>
  <c r="M1788" i="2"/>
  <c r="M1789" i="2"/>
  <c r="Q1789" i="2" s="1"/>
  <c r="M1790" i="2"/>
  <c r="M1791" i="2"/>
  <c r="M1792" i="2"/>
  <c r="M1793" i="2"/>
  <c r="Q1793" i="2" s="1"/>
  <c r="M1794" i="2"/>
  <c r="M1795" i="2"/>
  <c r="M1796" i="2"/>
  <c r="M1797" i="2"/>
  <c r="Q1797" i="2" s="1"/>
  <c r="M1798" i="2"/>
  <c r="M1799" i="2"/>
  <c r="M1800" i="2"/>
  <c r="M1801" i="2"/>
  <c r="Q1801" i="2" s="1"/>
  <c r="M1802" i="2"/>
  <c r="M1803" i="2"/>
  <c r="M1804" i="2"/>
  <c r="M1805" i="2"/>
  <c r="Q1805" i="2" s="1"/>
  <c r="M1806" i="2"/>
  <c r="M1807" i="2"/>
  <c r="M1808" i="2"/>
  <c r="M1809" i="2"/>
  <c r="Q1809" i="2" s="1"/>
  <c r="M1810" i="2"/>
  <c r="M1811" i="2"/>
  <c r="M1812" i="2"/>
  <c r="M1813" i="2"/>
  <c r="Q1813" i="2" s="1"/>
  <c r="M1814" i="2"/>
  <c r="M1815" i="2"/>
  <c r="M1816" i="2"/>
  <c r="M1817" i="2"/>
  <c r="Q1817" i="2" s="1"/>
  <c r="M1818" i="2"/>
  <c r="M1819" i="2"/>
  <c r="M1820" i="2"/>
  <c r="M1821" i="2"/>
  <c r="Q1821" i="2" s="1"/>
  <c r="M1822" i="2"/>
  <c r="M1823" i="2"/>
  <c r="M1824" i="2"/>
  <c r="M1825" i="2"/>
  <c r="Q1825" i="2" s="1"/>
  <c r="M1826" i="2"/>
  <c r="M1827" i="2"/>
  <c r="M1828" i="2"/>
  <c r="M1829" i="2"/>
  <c r="Q1829" i="2" s="1"/>
  <c r="M1830" i="2"/>
  <c r="M1831" i="2"/>
  <c r="M1832" i="2"/>
  <c r="M1833" i="2"/>
  <c r="Q1833" i="2" s="1"/>
  <c r="M1834" i="2"/>
  <c r="M1835" i="2"/>
  <c r="M1836" i="2"/>
  <c r="M1837" i="2"/>
  <c r="Q1837" i="2" s="1"/>
  <c r="M1838" i="2"/>
  <c r="M1839" i="2"/>
  <c r="M1840" i="2"/>
  <c r="M1841" i="2"/>
  <c r="Q1841" i="2" s="1"/>
  <c r="M1842" i="2"/>
  <c r="M1843" i="2"/>
  <c r="M1844" i="2"/>
  <c r="M1845" i="2"/>
  <c r="Q1845" i="2" s="1"/>
  <c r="M1846" i="2"/>
  <c r="M1847" i="2"/>
  <c r="M1848" i="2"/>
  <c r="M1849" i="2"/>
  <c r="Q1849" i="2" s="1"/>
  <c r="M1850" i="2"/>
  <c r="M1851" i="2"/>
  <c r="M1852" i="2"/>
  <c r="M1853" i="2"/>
  <c r="Q1853" i="2" s="1"/>
  <c r="M1854" i="2"/>
  <c r="M1855" i="2"/>
  <c r="M1856" i="2"/>
  <c r="M1857" i="2"/>
  <c r="Q1857" i="2" s="1"/>
  <c r="M1858" i="2"/>
  <c r="M1859" i="2"/>
  <c r="M1860" i="2"/>
  <c r="M1861" i="2"/>
  <c r="Q1861" i="2" s="1"/>
  <c r="M1862" i="2"/>
  <c r="M1863" i="2"/>
  <c r="M1864" i="2"/>
  <c r="M1865" i="2"/>
  <c r="Q1865" i="2" s="1"/>
  <c r="M1866" i="2"/>
  <c r="M1867" i="2"/>
  <c r="M1868" i="2"/>
  <c r="M1869" i="2"/>
  <c r="Q1869" i="2" s="1"/>
  <c r="M1870" i="2"/>
  <c r="M1871" i="2"/>
  <c r="M1872" i="2"/>
  <c r="M1873" i="2"/>
  <c r="Q1873" i="2" s="1"/>
  <c r="M1874" i="2"/>
  <c r="M1875" i="2"/>
  <c r="M1876" i="2"/>
  <c r="M1877" i="2"/>
  <c r="Q1877" i="2" s="1"/>
  <c r="M1878" i="2"/>
  <c r="M1879" i="2"/>
  <c r="M1880" i="2"/>
  <c r="M1881" i="2"/>
  <c r="Q1881" i="2" s="1"/>
  <c r="M1882" i="2"/>
  <c r="M1883" i="2"/>
  <c r="M1884" i="2"/>
  <c r="M1885" i="2"/>
  <c r="Q1885" i="2" s="1"/>
  <c r="M1886" i="2"/>
  <c r="M1887" i="2"/>
  <c r="M1888" i="2"/>
  <c r="M1889" i="2"/>
  <c r="Q1889" i="2" s="1"/>
  <c r="M1890" i="2"/>
  <c r="M1891" i="2"/>
  <c r="M1892" i="2"/>
  <c r="M1893" i="2"/>
  <c r="Q1893" i="2" s="1"/>
  <c r="M1894" i="2"/>
  <c r="M1895" i="2"/>
  <c r="M1896" i="2"/>
  <c r="M1897" i="2"/>
  <c r="Q1897" i="2" s="1"/>
  <c r="M1898" i="2"/>
  <c r="M1899" i="2"/>
  <c r="M1900" i="2"/>
  <c r="M1901" i="2"/>
  <c r="Q1901" i="2" s="1"/>
  <c r="M1902" i="2"/>
  <c r="M1903" i="2"/>
  <c r="M1904" i="2"/>
  <c r="M1905" i="2"/>
  <c r="Q1905" i="2" s="1"/>
  <c r="M1906" i="2"/>
  <c r="M1907" i="2"/>
  <c r="M1908" i="2"/>
  <c r="M1909" i="2"/>
  <c r="Q1909" i="2" s="1"/>
  <c r="M1910" i="2"/>
  <c r="M1911" i="2"/>
  <c r="M1912" i="2"/>
  <c r="M1913" i="2"/>
  <c r="Q1913" i="2" s="1"/>
  <c r="M1914" i="2"/>
  <c r="M1915" i="2"/>
  <c r="M1916" i="2"/>
  <c r="M1917" i="2"/>
  <c r="Q1917" i="2" s="1"/>
  <c r="M1918" i="2"/>
  <c r="M1919" i="2"/>
  <c r="M1920" i="2"/>
  <c r="M1921" i="2"/>
  <c r="Q1921" i="2" s="1"/>
  <c r="M1922" i="2"/>
  <c r="M1923" i="2"/>
  <c r="M1924" i="2"/>
  <c r="M1925" i="2"/>
  <c r="Q1925" i="2" s="1"/>
  <c r="M1926" i="2"/>
  <c r="M1927" i="2"/>
  <c r="M1928" i="2"/>
  <c r="M1929" i="2"/>
  <c r="Q1929" i="2" s="1"/>
  <c r="M1930" i="2"/>
  <c r="M1931" i="2"/>
  <c r="M1932" i="2"/>
  <c r="M1933" i="2"/>
  <c r="Q1933" i="2" s="1"/>
  <c r="M1934" i="2"/>
  <c r="M1935" i="2"/>
  <c r="M1936" i="2"/>
  <c r="M1937" i="2"/>
  <c r="Q1937" i="2" s="1"/>
  <c r="M1938" i="2"/>
  <c r="M1939" i="2"/>
  <c r="M1940" i="2"/>
  <c r="M1941" i="2"/>
  <c r="Q1941" i="2" s="1"/>
  <c r="M1942" i="2"/>
  <c r="M1943" i="2"/>
  <c r="M1944" i="2"/>
  <c r="M1945" i="2"/>
  <c r="Q1945" i="2" s="1"/>
  <c r="M1946" i="2"/>
  <c r="M1947" i="2"/>
  <c r="M1948" i="2"/>
  <c r="M1949" i="2"/>
  <c r="Q1949" i="2" s="1"/>
  <c r="M1950" i="2"/>
  <c r="M1951" i="2"/>
  <c r="M1952" i="2"/>
  <c r="M1953" i="2"/>
  <c r="Q1953" i="2" s="1"/>
  <c r="M1954" i="2"/>
  <c r="M1955" i="2"/>
  <c r="M1956" i="2"/>
  <c r="M1957" i="2"/>
  <c r="Q1957" i="2" s="1"/>
  <c r="M1958" i="2"/>
  <c r="M1959" i="2"/>
  <c r="M1960" i="2"/>
  <c r="M1961" i="2"/>
  <c r="Q1961" i="2" s="1"/>
  <c r="M1962" i="2"/>
  <c r="M1963" i="2"/>
  <c r="M1964" i="2"/>
  <c r="M1965" i="2"/>
  <c r="Q1965" i="2" s="1"/>
  <c r="M1966" i="2"/>
  <c r="M1967" i="2"/>
  <c r="M1968" i="2"/>
  <c r="M1969" i="2"/>
  <c r="Q1969" i="2" s="1"/>
  <c r="M1970" i="2"/>
  <c r="M1971" i="2"/>
  <c r="M1972" i="2"/>
  <c r="M1973" i="2"/>
  <c r="Q1973" i="2" s="1"/>
  <c r="M1974" i="2"/>
  <c r="M1975" i="2"/>
  <c r="M1976" i="2"/>
  <c r="M1977" i="2"/>
  <c r="Q1977" i="2" s="1"/>
  <c r="M1978" i="2"/>
  <c r="M1979" i="2"/>
  <c r="M1980" i="2"/>
  <c r="N2" i="2"/>
  <c r="E7" i="12"/>
  <c r="E6" i="11"/>
  <c r="G7" i="12"/>
  <c r="K7" i="12"/>
  <c r="M6" i="11"/>
  <c r="K6" i="11"/>
  <c r="M7" i="12"/>
  <c r="G6" i="11"/>
  <c r="I7" i="12"/>
  <c r="I6" i="11"/>
  <c r="Q1643" i="2" l="1"/>
  <c r="P1559" i="2"/>
  <c r="P1543" i="2"/>
  <c r="P1527" i="2"/>
  <c r="P1511" i="2"/>
  <c r="P1495" i="2"/>
  <c r="P1479" i="2"/>
  <c r="P1463" i="2"/>
  <c r="P1447" i="2"/>
  <c r="P1431" i="2"/>
  <c r="P1415" i="2"/>
  <c r="P1403" i="2"/>
  <c r="P1395" i="2"/>
  <c r="P1387" i="2"/>
  <c r="P919" i="2"/>
  <c r="P855" i="2"/>
  <c r="P479" i="2"/>
  <c r="Q139" i="2"/>
  <c r="Q131" i="2"/>
  <c r="Q123" i="2"/>
  <c r="Q115" i="2"/>
  <c r="Q107" i="2"/>
  <c r="Q99" i="2"/>
  <c r="Q91" i="2"/>
  <c r="Q83" i="2"/>
  <c r="Q75" i="2"/>
  <c r="Q67" i="2"/>
  <c r="Q59" i="2"/>
  <c r="Q51" i="2"/>
  <c r="Q47" i="2"/>
  <c r="Q43" i="2"/>
  <c r="Q35" i="2"/>
  <c r="Q31" i="2"/>
  <c r="Q27" i="2"/>
  <c r="Q23" i="2"/>
  <c r="Q19" i="2"/>
  <c r="Q15" i="2"/>
  <c r="Q11" i="2"/>
  <c r="Q3" i="2"/>
  <c r="Q1936" i="2"/>
  <c r="Q1260" i="2"/>
  <c r="P592" i="2"/>
  <c r="P252" i="2"/>
  <c r="P132" i="2"/>
  <c r="Q2" i="2"/>
  <c r="P2" i="2"/>
  <c r="Q1490" i="2"/>
  <c r="Q898" i="2"/>
  <c r="P5" i="2"/>
  <c r="P9" i="2"/>
  <c r="P13" i="2"/>
  <c r="P17" i="2"/>
  <c r="P21" i="2"/>
  <c r="P25" i="2"/>
  <c r="P29" i="2"/>
  <c r="P33" i="2"/>
  <c r="P37" i="2"/>
  <c r="P45" i="2"/>
  <c r="P53" i="2"/>
  <c r="P57" i="2"/>
  <c r="Q877" i="2"/>
  <c r="Q1153" i="2"/>
  <c r="Q1281" i="2"/>
  <c r="Q1447" i="2"/>
  <c r="P1643" i="2"/>
  <c r="Q1554" i="2"/>
  <c r="Q1426" i="2"/>
  <c r="Q1511" i="2"/>
  <c r="Q1403" i="2"/>
  <c r="P69" i="2"/>
  <c r="P85" i="2"/>
  <c r="P97" i="2"/>
  <c r="P113" i="2"/>
  <c r="P125" i="2"/>
  <c r="Q125" i="2"/>
  <c r="P133" i="2"/>
  <c r="P145" i="2"/>
  <c r="P157" i="2"/>
  <c r="Q157" i="2"/>
  <c r="P169" i="2"/>
  <c r="P185" i="2"/>
  <c r="P197" i="2"/>
  <c r="P209" i="2"/>
  <c r="P221" i="2"/>
  <c r="Q221" i="2"/>
  <c r="P233" i="2"/>
  <c r="P249" i="2"/>
  <c r="P257" i="2"/>
  <c r="P269" i="2"/>
  <c r="Q269" i="2"/>
  <c r="P281" i="2"/>
  <c r="P293" i="2"/>
  <c r="P309" i="2"/>
  <c r="P321" i="2"/>
  <c r="P337" i="2"/>
  <c r="P353" i="2"/>
  <c r="P365" i="2"/>
  <c r="P377" i="2"/>
  <c r="P389" i="2"/>
  <c r="P397" i="2"/>
  <c r="Q397" i="2"/>
  <c r="P409" i="2"/>
  <c r="P425" i="2"/>
  <c r="P433" i="2"/>
  <c r="P445" i="2"/>
  <c r="Q445" i="2"/>
  <c r="P457" i="2"/>
  <c r="P473" i="2"/>
  <c r="P489" i="2"/>
  <c r="P501" i="2"/>
  <c r="P513" i="2"/>
  <c r="P525" i="2"/>
  <c r="Q525" i="2"/>
  <c r="P533" i="2"/>
  <c r="P545" i="2"/>
  <c r="P557" i="2"/>
  <c r="Q557" i="2"/>
  <c r="P565" i="2"/>
  <c r="P585" i="2"/>
  <c r="P597" i="2"/>
  <c r="P609" i="2"/>
  <c r="P621" i="2"/>
  <c r="Q621" i="2"/>
  <c r="P633" i="2"/>
  <c r="P649" i="2"/>
  <c r="P661" i="2"/>
  <c r="P673" i="2"/>
  <c r="P697" i="2"/>
  <c r="P705" i="2"/>
  <c r="Q705" i="2"/>
  <c r="P717" i="2"/>
  <c r="Q717" i="2"/>
  <c r="P729" i="2"/>
  <c r="Q729" i="2"/>
  <c r="P741" i="2"/>
  <c r="Q741" i="2"/>
  <c r="P761" i="2"/>
  <c r="P773" i="2"/>
  <c r="Q773" i="2"/>
  <c r="P785" i="2"/>
  <c r="Q785" i="2"/>
  <c r="P797" i="2"/>
  <c r="Q797" i="2"/>
  <c r="P809" i="2"/>
  <c r="Q809" i="2"/>
  <c r="P817" i="2"/>
  <c r="Q817" i="2"/>
  <c r="P829" i="2"/>
  <c r="Q829" i="2"/>
  <c r="P837" i="2"/>
  <c r="Q837" i="2"/>
  <c r="P853" i="2"/>
  <c r="Q853" i="2"/>
  <c r="P865" i="2"/>
  <c r="Q865" i="2"/>
  <c r="P869" i="2"/>
  <c r="Q869" i="2"/>
  <c r="P881" i="2"/>
  <c r="Q881" i="2"/>
  <c r="P893" i="2"/>
  <c r="Q893" i="2"/>
  <c r="P905" i="2"/>
  <c r="Q905" i="2"/>
  <c r="P921" i="2"/>
  <c r="Q921" i="2"/>
  <c r="P941" i="2"/>
  <c r="P961" i="2"/>
  <c r="P969" i="2"/>
  <c r="Q969" i="2"/>
  <c r="P985" i="2"/>
  <c r="Q985" i="2"/>
  <c r="P1009" i="2"/>
  <c r="P1025" i="2"/>
  <c r="P1033" i="2"/>
  <c r="Q1033" i="2"/>
  <c r="P1045" i="2"/>
  <c r="Q1045" i="2"/>
  <c r="P1053" i="2"/>
  <c r="Q1053" i="2"/>
  <c r="P1073" i="2"/>
  <c r="P1089" i="2"/>
  <c r="P1097" i="2"/>
  <c r="Q1097" i="2"/>
  <c r="P1109" i="2"/>
  <c r="Q1109" i="2"/>
  <c r="P1113" i="2"/>
  <c r="Q1113" i="2"/>
  <c r="P1125" i="2"/>
  <c r="Q1125" i="2"/>
  <c r="P1133" i="2"/>
  <c r="Q1133" i="2"/>
  <c r="P1145" i="2"/>
  <c r="Q1145" i="2"/>
  <c r="P1169" i="2"/>
  <c r="P1177" i="2"/>
  <c r="Q1177" i="2"/>
  <c r="P1189" i="2"/>
  <c r="Q1189" i="2"/>
  <c r="P1197" i="2"/>
  <c r="Q1197" i="2"/>
  <c r="P1217" i="2"/>
  <c r="P1221" i="2"/>
  <c r="Q1221" i="2"/>
  <c r="P1229" i="2"/>
  <c r="Q1229" i="2"/>
  <c r="P1237" i="2"/>
  <c r="Q1237" i="2"/>
  <c r="P1245" i="2"/>
  <c r="Q1245" i="2"/>
  <c r="P1265" i="2"/>
  <c r="P1269" i="2"/>
  <c r="Q1269" i="2"/>
  <c r="P1277" i="2"/>
  <c r="Q1277" i="2"/>
  <c r="P1285" i="2"/>
  <c r="Q1285" i="2"/>
  <c r="P1293" i="2"/>
  <c r="Q1293" i="2"/>
  <c r="P1313" i="2"/>
  <c r="P1325" i="2"/>
  <c r="Q1325" i="2"/>
  <c r="P1329" i="2"/>
  <c r="P1333" i="2"/>
  <c r="Q1333" i="2"/>
  <c r="P1337" i="2"/>
  <c r="Q1337" i="2"/>
  <c r="P1341" i="2"/>
  <c r="Q1341" i="2"/>
  <c r="P1345" i="2"/>
  <c r="P1357" i="2"/>
  <c r="Q1357" i="2"/>
  <c r="P1361" i="2"/>
  <c r="P1365" i="2"/>
  <c r="Q1365" i="2"/>
  <c r="P1369" i="2"/>
  <c r="Q1369" i="2"/>
  <c r="P1373" i="2"/>
  <c r="Q1373" i="2"/>
  <c r="P1377" i="2"/>
  <c r="P1381" i="2"/>
  <c r="Q1381" i="2"/>
  <c r="P1385" i="2"/>
  <c r="Q1385" i="2"/>
  <c r="P1389" i="2"/>
  <c r="Q1389" i="2"/>
  <c r="P1393" i="2"/>
  <c r="Q1393" i="2"/>
  <c r="P1397" i="2"/>
  <c r="Q1397" i="2"/>
  <c r="P1401" i="2"/>
  <c r="Q1401" i="2"/>
  <c r="P1405" i="2"/>
  <c r="Q1405" i="2"/>
  <c r="P1409" i="2"/>
  <c r="Q1409" i="2"/>
  <c r="P1413" i="2"/>
  <c r="Q1413" i="2"/>
  <c r="P1417" i="2"/>
  <c r="Q1417" i="2"/>
  <c r="P1421" i="2"/>
  <c r="P1425" i="2"/>
  <c r="Q1425" i="2"/>
  <c r="P1429" i="2"/>
  <c r="Q1429" i="2"/>
  <c r="P1433" i="2"/>
  <c r="Q1433" i="2"/>
  <c r="P1437" i="2"/>
  <c r="P1441" i="2"/>
  <c r="Q1441" i="2"/>
  <c r="P1445" i="2"/>
  <c r="Q1445" i="2"/>
  <c r="P1449" i="2"/>
  <c r="Q1449" i="2"/>
  <c r="P1453" i="2"/>
  <c r="P1457" i="2"/>
  <c r="Q1457" i="2"/>
  <c r="P1461" i="2"/>
  <c r="Q1461" i="2"/>
  <c r="P1465" i="2"/>
  <c r="Q1465" i="2"/>
  <c r="P1469" i="2"/>
  <c r="P1473" i="2"/>
  <c r="Q1473" i="2"/>
  <c r="P1477" i="2"/>
  <c r="Q1477" i="2"/>
  <c r="P1481" i="2"/>
  <c r="Q1481" i="2"/>
  <c r="P1485" i="2"/>
  <c r="P1489" i="2"/>
  <c r="Q1489" i="2"/>
  <c r="P1493" i="2"/>
  <c r="Q1493" i="2"/>
  <c r="P1497" i="2"/>
  <c r="Q1497" i="2"/>
  <c r="P1501" i="2"/>
  <c r="P1505" i="2"/>
  <c r="Q1505" i="2"/>
  <c r="P1509" i="2"/>
  <c r="Q1509" i="2"/>
  <c r="P1513" i="2"/>
  <c r="Q1513" i="2"/>
  <c r="P1517" i="2"/>
  <c r="P1521" i="2"/>
  <c r="Q1521" i="2"/>
  <c r="P1525" i="2"/>
  <c r="Q1525" i="2"/>
  <c r="P1529" i="2"/>
  <c r="Q1529" i="2"/>
  <c r="P1533" i="2"/>
  <c r="P1537" i="2"/>
  <c r="Q1537" i="2"/>
  <c r="P1541" i="2"/>
  <c r="Q1541" i="2"/>
  <c r="P1545" i="2"/>
  <c r="Q1545" i="2"/>
  <c r="P1549" i="2"/>
  <c r="P1553" i="2"/>
  <c r="Q1553" i="2"/>
  <c r="P1557" i="2"/>
  <c r="Q1557" i="2"/>
  <c r="P1561" i="2"/>
  <c r="Q1561" i="2"/>
  <c r="P1565" i="2"/>
  <c r="P1569" i="2"/>
  <c r="P1573" i="2"/>
  <c r="P1577" i="2"/>
  <c r="P1581" i="2"/>
  <c r="P1585" i="2"/>
  <c r="P1589" i="2"/>
  <c r="P1593" i="2"/>
  <c r="P1597" i="2"/>
  <c r="P1601" i="2"/>
  <c r="P1605" i="2"/>
  <c r="P1609" i="2"/>
  <c r="P1613" i="2"/>
  <c r="P1617" i="2"/>
  <c r="P1621" i="2"/>
  <c r="P1625" i="2"/>
  <c r="P1629" i="2"/>
  <c r="P1633" i="2"/>
  <c r="P1637" i="2"/>
  <c r="P1980" i="2"/>
  <c r="Q1980" i="2"/>
  <c r="P1976" i="2"/>
  <c r="Q1976" i="2"/>
  <c r="P1972" i="2"/>
  <c r="Q1972" i="2"/>
  <c r="P1968" i="2"/>
  <c r="Q1968" i="2"/>
  <c r="P1964" i="2"/>
  <c r="Q1964" i="2"/>
  <c r="P1960" i="2"/>
  <c r="Q1960" i="2"/>
  <c r="P1956" i="2"/>
  <c r="Q1956" i="2"/>
  <c r="P1952" i="2"/>
  <c r="Q1952" i="2"/>
  <c r="P1948" i="2"/>
  <c r="Q1948" i="2"/>
  <c r="P1944" i="2"/>
  <c r="Q1944" i="2"/>
  <c r="P1940" i="2"/>
  <c r="Q1940" i="2"/>
  <c r="P1932" i="2"/>
  <c r="Q1932" i="2"/>
  <c r="P1928" i="2"/>
  <c r="Q1928" i="2"/>
  <c r="P1924" i="2"/>
  <c r="Q1924" i="2"/>
  <c r="P1920" i="2"/>
  <c r="Q1920" i="2"/>
  <c r="P1916" i="2"/>
  <c r="Q1916" i="2"/>
  <c r="P1912" i="2"/>
  <c r="Q1912" i="2"/>
  <c r="P1908" i="2"/>
  <c r="Q1908" i="2"/>
  <c r="P1904" i="2"/>
  <c r="Q1904" i="2"/>
  <c r="P1900" i="2"/>
  <c r="Q1900" i="2"/>
  <c r="P1896" i="2"/>
  <c r="Q1896" i="2"/>
  <c r="P1892" i="2"/>
  <c r="Q1892" i="2"/>
  <c r="P1888" i="2"/>
  <c r="Q1888" i="2"/>
  <c r="P1884" i="2"/>
  <c r="Q1884" i="2"/>
  <c r="P1880" i="2"/>
  <c r="Q1880" i="2"/>
  <c r="P1876" i="2"/>
  <c r="Q1876" i="2"/>
  <c r="P1872" i="2"/>
  <c r="Q1872" i="2"/>
  <c r="P1868" i="2"/>
  <c r="Q1868" i="2"/>
  <c r="P1864" i="2"/>
  <c r="Q1864" i="2"/>
  <c r="P1860" i="2"/>
  <c r="Q1860" i="2"/>
  <c r="P1856" i="2"/>
  <c r="Q1856" i="2"/>
  <c r="P1852" i="2"/>
  <c r="Q1852" i="2"/>
  <c r="P1848" i="2"/>
  <c r="Q1848" i="2"/>
  <c r="P1844" i="2"/>
  <c r="Q1844" i="2"/>
  <c r="P1840" i="2"/>
  <c r="Q1840" i="2"/>
  <c r="P1836" i="2"/>
  <c r="Q1836" i="2"/>
  <c r="P1832" i="2"/>
  <c r="Q1832" i="2"/>
  <c r="P1828" i="2"/>
  <c r="Q1828" i="2"/>
  <c r="P1824" i="2"/>
  <c r="Q1824" i="2"/>
  <c r="P1820" i="2"/>
  <c r="Q1820" i="2"/>
  <c r="P1816" i="2"/>
  <c r="Q1816" i="2"/>
  <c r="P1812" i="2"/>
  <c r="Q1812" i="2"/>
  <c r="P1808" i="2"/>
  <c r="Q1808" i="2"/>
  <c r="P1804" i="2"/>
  <c r="Q1804" i="2"/>
  <c r="P1800" i="2"/>
  <c r="Q1800" i="2"/>
  <c r="P1796" i="2"/>
  <c r="Q1796" i="2"/>
  <c r="P1792" i="2"/>
  <c r="Q1792" i="2"/>
  <c r="P1788" i="2"/>
  <c r="Q1788" i="2"/>
  <c r="P1784" i="2"/>
  <c r="Q1784" i="2"/>
  <c r="P1780" i="2"/>
  <c r="Q1780" i="2"/>
  <c r="P1776" i="2"/>
  <c r="Q1776" i="2"/>
  <c r="P1772" i="2"/>
  <c r="Q1772" i="2"/>
  <c r="P1768" i="2"/>
  <c r="Q1768" i="2"/>
  <c r="P1764" i="2"/>
  <c r="Q1764" i="2"/>
  <c r="P1760" i="2"/>
  <c r="Q1760" i="2"/>
  <c r="P1756" i="2"/>
  <c r="Q1756" i="2"/>
  <c r="P1752" i="2"/>
  <c r="Q1752" i="2"/>
  <c r="P1748" i="2"/>
  <c r="Q1748" i="2"/>
  <c r="P1744" i="2"/>
  <c r="Q1744" i="2"/>
  <c r="P1740" i="2"/>
  <c r="Q1740" i="2"/>
  <c r="P1736" i="2"/>
  <c r="Q1736" i="2"/>
  <c r="P1732" i="2"/>
  <c r="Q1732" i="2"/>
  <c r="P1728" i="2"/>
  <c r="Q1728" i="2"/>
  <c r="P1724" i="2"/>
  <c r="Q1724" i="2"/>
  <c r="P1720" i="2"/>
  <c r="Q1720" i="2"/>
  <c r="P1716" i="2"/>
  <c r="Q1716" i="2"/>
  <c r="P1712" i="2"/>
  <c r="Q1712" i="2"/>
  <c r="P1708" i="2"/>
  <c r="Q1708" i="2"/>
  <c r="P1704" i="2"/>
  <c r="Q1704" i="2"/>
  <c r="P1700" i="2"/>
  <c r="Q1700" i="2"/>
  <c r="P1696" i="2"/>
  <c r="Q1696" i="2"/>
  <c r="P1692" i="2"/>
  <c r="Q1692" i="2"/>
  <c r="P1688" i="2"/>
  <c r="Q1688" i="2"/>
  <c r="P1684" i="2"/>
  <c r="Q1684" i="2"/>
  <c r="P1680" i="2"/>
  <c r="Q1680" i="2"/>
  <c r="P1676" i="2"/>
  <c r="Q1676" i="2"/>
  <c r="P1672" i="2"/>
  <c r="Q1672" i="2"/>
  <c r="P1668" i="2"/>
  <c r="Q1668" i="2"/>
  <c r="P1664" i="2"/>
  <c r="Q1664" i="2"/>
  <c r="P1660" i="2"/>
  <c r="Q1660" i="2"/>
  <c r="P1656" i="2"/>
  <c r="Q1656" i="2"/>
  <c r="P1652" i="2"/>
  <c r="Q1652" i="2"/>
  <c r="P1648" i="2"/>
  <c r="Q1648" i="2"/>
  <c r="P1644" i="2"/>
  <c r="Q1644" i="2"/>
  <c r="P1640" i="2"/>
  <c r="Q1640" i="2"/>
  <c r="P1636" i="2"/>
  <c r="Q1636" i="2"/>
  <c r="P1632" i="2"/>
  <c r="Q1632" i="2"/>
  <c r="P1628" i="2"/>
  <c r="Q1628" i="2"/>
  <c r="P1624" i="2"/>
  <c r="Q1624" i="2"/>
  <c r="P1620" i="2"/>
  <c r="Q1620" i="2"/>
  <c r="P1616" i="2"/>
  <c r="Q1616" i="2"/>
  <c r="P1612" i="2"/>
  <c r="Q1612" i="2"/>
  <c r="P1608" i="2"/>
  <c r="Q1608" i="2"/>
  <c r="P1604" i="2"/>
  <c r="Q1604" i="2"/>
  <c r="P1600" i="2"/>
  <c r="Q1600" i="2"/>
  <c r="P1596" i="2"/>
  <c r="Q1596" i="2"/>
  <c r="P1592" i="2"/>
  <c r="Q1592" i="2"/>
  <c r="P1588" i="2"/>
  <c r="Q1588" i="2"/>
  <c r="P1584" i="2"/>
  <c r="Q1584" i="2"/>
  <c r="P1580" i="2"/>
  <c r="Q1580" i="2"/>
  <c r="P1576" i="2"/>
  <c r="Q1576" i="2"/>
  <c r="P1572" i="2"/>
  <c r="Q1572" i="2"/>
  <c r="P1568" i="2"/>
  <c r="Q1568" i="2"/>
  <c r="P1564" i="2"/>
  <c r="Q1564" i="2"/>
  <c r="P1560" i="2"/>
  <c r="Q1560" i="2"/>
  <c r="P1556" i="2"/>
  <c r="Q1556" i="2"/>
  <c r="P1552" i="2"/>
  <c r="Q1552" i="2"/>
  <c r="P1548" i="2"/>
  <c r="Q1548" i="2"/>
  <c r="P1544" i="2"/>
  <c r="Q1544" i="2"/>
  <c r="P1540" i="2"/>
  <c r="Q1540" i="2"/>
  <c r="P1536" i="2"/>
  <c r="Q1536" i="2"/>
  <c r="P1532" i="2"/>
  <c r="Q1532" i="2"/>
  <c r="P1528" i="2"/>
  <c r="Q1528" i="2"/>
  <c r="P1524" i="2"/>
  <c r="Q1524" i="2"/>
  <c r="P1520" i="2"/>
  <c r="Q1520" i="2"/>
  <c r="P1516" i="2"/>
  <c r="Q1516" i="2"/>
  <c r="P1512" i="2"/>
  <c r="Q1512" i="2"/>
  <c r="P1508" i="2"/>
  <c r="Q1508" i="2"/>
  <c r="P1504" i="2"/>
  <c r="Q1504" i="2"/>
  <c r="P1500" i="2"/>
  <c r="Q1500" i="2"/>
  <c r="P1496" i="2"/>
  <c r="Q1496" i="2"/>
  <c r="P1492" i="2"/>
  <c r="Q1492" i="2"/>
  <c r="P1488" i="2"/>
  <c r="Q1488" i="2"/>
  <c r="P1484" i="2"/>
  <c r="Q1484" i="2"/>
  <c r="P1480" i="2"/>
  <c r="Q1480" i="2"/>
  <c r="P1476" i="2"/>
  <c r="Q1476" i="2"/>
  <c r="Q1472" i="2"/>
  <c r="P1472" i="2"/>
  <c r="P1468" i="2"/>
  <c r="Q1468" i="2"/>
  <c r="P1464" i="2"/>
  <c r="Q1464" i="2"/>
  <c r="P1460" i="2"/>
  <c r="Q1460" i="2"/>
  <c r="P1456" i="2"/>
  <c r="Q1456" i="2"/>
  <c r="P1452" i="2"/>
  <c r="Q1452" i="2"/>
  <c r="P1448" i="2"/>
  <c r="Q1448" i="2"/>
  <c r="P1444" i="2"/>
  <c r="Q1444" i="2"/>
  <c r="P1440" i="2"/>
  <c r="Q1440" i="2"/>
  <c r="P1436" i="2"/>
  <c r="Q1436" i="2"/>
  <c r="P1432" i="2"/>
  <c r="Q1432" i="2"/>
  <c r="P1428" i="2"/>
  <c r="Q1428" i="2"/>
  <c r="P1424" i="2"/>
  <c r="Q1424" i="2"/>
  <c r="P1420" i="2"/>
  <c r="Q1420" i="2"/>
  <c r="P1416" i="2"/>
  <c r="Q1416" i="2"/>
  <c r="P1412" i="2"/>
  <c r="Q1412" i="2"/>
  <c r="P1408" i="2"/>
  <c r="Q1408" i="2"/>
  <c r="P1404" i="2"/>
  <c r="Q1404" i="2"/>
  <c r="P1400" i="2"/>
  <c r="Q1400" i="2"/>
  <c r="P1396" i="2"/>
  <c r="Q1396" i="2"/>
  <c r="P1392" i="2"/>
  <c r="Q1392" i="2"/>
  <c r="P1388" i="2"/>
  <c r="Q1388" i="2"/>
  <c r="P1384" i="2"/>
  <c r="Q1384" i="2"/>
  <c r="P1380" i="2"/>
  <c r="Q1380" i="2"/>
  <c r="Q1376" i="2"/>
  <c r="P1376" i="2"/>
  <c r="P1372" i="2"/>
  <c r="Q1372" i="2"/>
  <c r="P1368" i="2"/>
  <c r="Q1368" i="2"/>
  <c r="P1364" i="2"/>
  <c r="Q1364" i="2"/>
  <c r="P1360" i="2"/>
  <c r="Q1360" i="2"/>
  <c r="P1356" i="2"/>
  <c r="Q1356" i="2"/>
  <c r="P1352" i="2"/>
  <c r="Q1352" i="2"/>
  <c r="P1348" i="2"/>
  <c r="Q1348" i="2"/>
  <c r="P1344" i="2"/>
  <c r="Q1344" i="2"/>
  <c r="P1340" i="2"/>
  <c r="Q1340" i="2"/>
  <c r="P1336" i="2"/>
  <c r="Q1336" i="2"/>
  <c r="P1332" i="2"/>
  <c r="Q1332" i="2"/>
  <c r="P1328" i="2"/>
  <c r="Q1328" i="2"/>
  <c r="P1324" i="2"/>
  <c r="Q1324" i="2"/>
  <c r="P1320" i="2"/>
  <c r="Q1320" i="2"/>
  <c r="P1316" i="2"/>
  <c r="Q1316" i="2"/>
  <c r="P1312" i="2"/>
  <c r="Q1312" i="2"/>
  <c r="P1308" i="2"/>
  <c r="Q1308" i="2"/>
  <c r="P1304" i="2"/>
  <c r="Q1304" i="2"/>
  <c r="P1300" i="2"/>
  <c r="Q1300" i="2"/>
  <c r="P1296" i="2"/>
  <c r="Q1296" i="2"/>
  <c r="P1292" i="2"/>
  <c r="Q1292" i="2"/>
  <c r="P1288" i="2"/>
  <c r="Q1288" i="2"/>
  <c r="P1284" i="2"/>
  <c r="Q1284" i="2"/>
  <c r="P1280" i="2"/>
  <c r="Q1280" i="2"/>
  <c r="P1276" i="2"/>
  <c r="Q1276" i="2"/>
  <c r="P1272" i="2"/>
  <c r="Q1272" i="2"/>
  <c r="P1268" i="2"/>
  <c r="Q1268" i="2"/>
  <c r="P1264" i="2"/>
  <c r="Q1264" i="2"/>
  <c r="P1256" i="2"/>
  <c r="Q1256" i="2"/>
  <c r="P1252" i="2"/>
  <c r="Q1252" i="2"/>
  <c r="P1248" i="2"/>
  <c r="Q1248" i="2"/>
  <c r="P1244" i="2"/>
  <c r="Q1244" i="2"/>
  <c r="P1240" i="2"/>
  <c r="Q1240" i="2"/>
  <c r="P1236" i="2"/>
  <c r="Q1236" i="2"/>
  <c r="P1232" i="2"/>
  <c r="Q1232" i="2"/>
  <c r="P1228" i="2"/>
  <c r="Q1228" i="2"/>
  <c r="P1224" i="2"/>
  <c r="Q1224" i="2"/>
  <c r="P1220" i="2"/>
  <c r="Q1220" i="2"/>
  <c r="P1216" i="2"/>
  <c r="Q1216" i="2"/>
  <c r="P1212" i="2"/>
  <c r="Q1212" i="2"/>
  <c r="P1208" i="2"/>
  <c r="Q1208" i="2"/>
  <c r="P1204" i="2"/>
  <c r="Q1204" i="2"/>
  <c r="P1200" i="2"/>
  <c r="Q1200" i="2"/>
  <c r="P1196" i="2"/>
  <c r="Q1196" i="2"/>
  <c r="P1192" i="2"/>
  <c r="Q1192" i="2"/>
  <c r="P1188" i="2"/>
  <c r="Q1188" i="2"/>
  <c r="P1184" i="2"/>
  <c r="Q1184" i="2"/>
  <c r="P1180" i="2"/>
  <c r="Q1180" i="2"/>
  <c r="P1176" i="2"/>
  <c r="Q1176" i="2"/>
  <c r="P1172" i="2"/>
  <c r="Q1172" i="2"/>
  <c r="P1168" i="2"/>
  <c r="Q1168" i="2"/>
  <c r="P1164" i="2"/>
  <c r="Q1164" i="2"/>
  <c r="P1160" i="2"/>
  <c r="Q1160" i="2"/>
  <c r="P1156" i="2"/>
  <c r="Q1156" i="2"/>
  <c r="P1152" i="2"/>
  <c r="Q1152" i="2"/>
  <c r="P1148" i="2"/>
  <c r="Q1148" i="2"/>
  <c r="P1144" i="2"/>
  <c r="Q1144" i="2"/>
  <c r="P1140" i="2"/>
  <c r="Q1140" i="2"/>
  <c r="P1136" i="2"/>
  <c r="Q1136" i="2"/>
  <c r="P1132" i="2"/>
  <c r="Q1132" i="2"/>
  <c r="P1128" i="2"/>
  <c r="Q1128" i="2"/>
  <c r="P1124" i="2"/>
  <c r="Q1124" i="2"/>
  <c r="P1120" i="2"/>
  <c r="Q1120" i="2"/>
  <c r="P1116" i="2"/>
  <c r="Q1116" i="2"/>
  <c r="P1112" i="2"/>
  <c r="Q1112" i="2"/>
  <c r="P1108" i="2"/>
  <c r="Q1108" i="2"/>
  <c r="P1104" i="2"/>
  <c r="Q1104" i="2"/>
  <c r="P1100" i="2"/>
  <c r="Q1100" i="2"/>
  <c r="P1096" i="2"/>
  <c r="Q1096" i="2"/>
  <c r="P1092" i="2"/>
  <c r="Q1092" i="2"/>
  <c r="P1088" i="2"/>
  <c r="Q1088" i="2"/>
  <c r="P1084" i="2"/>
  <c r="Q1084" i="2"/>
  <c r="P1080" i="2"/>
  <c r="Q1080" i="2"/>
  <c r="P1076" i="2"/>
  <c r="Q1076" i="2"/>
  <c r="P1072" i="2"/>
  <c r="Q1072" i="2"/>
  <c r="P1068" i="2"/>
  <c r="Q1068" i="2"/>
  <c r="P1064" i="2"/>
  <c r="Q1064" i="2"/>
  <c r="P1060" i="2"/>
  <c r="Q1060" i="2"/>
  <c r="P1056" i="2"/>
  <c r="Q1056" i="2"/>
  <c r="P1052" i="2"/>
  <c r="Q1052" i="2"/>
  <c r="P1048" i="2"/>
  <c r="Q1048" i="2"/>
  <c r="P1044" i="2"/>
  <c r="Q1044" i="2"/>
  <c r="P1040" i="2"/>
  <c r="Q1040" i="2"/>
  <c r="P1036" i="2"/>
  <c r="Q1036" i="2"/>
  <c r="P1032" i="2"/>
  <c r="Q1032" i="2"/>
  <c r="P1028" i="2"/>
  <c r="Q1028" i="2"/>
  <c r="P1024" i="2"/>
  <c r="Q1024" i="2"/>
  <c r="P1020" i="2"/>
  <c r="Q1020" i="2"/>
  <c r="P1016" i="2"/>
  <c r="Q1016" i="2"/>
  <c r="P1012" i="2"/>
  <c r="Q1012" i="2"/>
  <c r="P1008" i="2"/>
  <c r="Q1008" i="2"/>
  <c r="P1004" i="2"/>
  <c r="Q1004" i="2"/>
  <c r="P1000" i="2"/>
  <c r="Q1000" i="2"/>
  <c r="P996" i="2"/>
  <c r="Q996" i="2"/>
  <c r="P992" i="2"/>
  <c r="Q992" i="2"/>
  <c r="P988" i="2"/>
  <c r="Q988" i="2"/>
  <c r="P984" i="2"/>
  <c r="Q984" i="2"/>
  <c r="P980" i="2"/>
  <c r="Q980" i="2"/>
  <c r="P976" i="2"/>
  <c r="Q976" i="2"/>
  <c r="P972" i="2"/>
  <c r="Q972" i="2"/>
  <c r="P968" i="2"/>
  <c r="Q968" i="2"/>
  <c r="P964" i="2"/>
  <c r="Q964" i="2"/>
  <c r="P960" i="2"/>
  <c r="Q960" i="2"/>
  <c r="P956" i="2"/>
  <c r="Q956" i="2"/>
  <c r="P952" i="2"/>
  <c r="Q952" i="2"/>
  <c r="P948" i="2"/>
  <c r="Q948" i="2"/>
  <c r="P944" i="2"/>
  <c r="Q944" i="2"/>
  <c r="P940" i="2"/>
  <c r="Q940" i="2"/>
  <c r="P936" i="2"/>
  <c r="Q936" i="2"/>
  <c r="P932" i="2"/>
  <c r="Q932" i="2"/>
  <c r="P928" i="2"/>
  <c r="Q928" i="2"/>
  <c r="P924" i="2"/>
  <c r="Q924" i="2"/>
  <c r="P920" i="2"/>
  <c r="Q920" i="2"/>
  <c r="P916" i="2"/>
  <c r="Q916" i="2"/>
  <c r="P912" i="2"/>
  <c r="Q912" i="2"/>
  <c r="P908" i="2"/>
  <c r="Q908" i="2"/>
  <c r="P904" i="2"/>
  <c r="Q904" i="2"/>
  <c r="P900" i="2"/>
  <c r="Q900" i="2"/>
  <c r="P896" i="2"/>
  <c r="Q896" i="2"/>
  <c r="P892" i="2"/>
  <c r="Q892" i="2"/>
  <c r="P888" i="2"/>
  <c r="Q888" i="2"/>
  <c r="P884" i="2"/>
  <c r="Q884" i="2"/>
  <c r="P880" i="2"/>
  <c r="Q880" i="2"/>
  <c r="P876" i="2"/>
  <c r="Q876" i="2"/>
  <c r="P872" i="2"/>
  <c r="Q872" i="2"/>
  <c r="P868" i="2"/>
  <c r="Q868" i="2"/>
  <c r="P864" i="2"/>
  <c r="Q864" i="2"/>
  <c r="P860" i="2"/>
  <c r="Q860" i="2"/>
  <c r="P856" i="2"/>
  <c r="Q856" i="2"/>
  <c r="P852" i="2"/>
  <c r="Q852" i="2"/>
  <c r="P848" i="2"/>
  <c r="Q848" i="2"/>
  <c r="P844" i="2"/>
  <c r="Q844" i="2"/>
  <c r="P840" i="2"/>
  <c r="Q840" i="2"/>
  <c r="P836" i="2"/>
  <c r="Q836" i="2"/>
  <c r="P832" i="2"/>
  <c r="Q832" i="2"/>
  <c r="P828" i="2"/>
  <c r="Q828" i="2"/>
  <c r="P824" i="2"/>
  <c r="Q824" i="2"/>
  <c r="P820" i="2"/>
  <c r="Q820" i="2"/>
  <c r="P816" i="2"/>
  <c r="Q816" i="2"/>
  <c r="P812" i="2"/>
  <c r="Q812" i="2"/>
  <c r="P808" i="2"/>
  <c r="Q808" i="2"/>
  <c r="P804" i="2"/>
  <c r="Q804" i="2"/>
  <c r="P800" i="2"/>
  <c r="Q800" i="2"/>
  <c r="P796" i="2"/>
  <c r="Q796" i="2"/>
  <c r="P792" i="2"/>
  <c r="Q792" i="2"/>
  <c r="P788" i="2"/>
  <c r="Q788" i="2"/>
  <c r="P784" i="2"/>
  <c r="Q784" i="2"/>
  <c r="P780" i="2"/>
  <c r="Q780" i="2"/>
  <c r="P776" i="2"/>
  <c r="Q776" i="2"/>
  <c r="P772" i="2"/>
  <c r="Q772" i="2"/>
  <c r="P768" i="2"/>
  <c r="Q768" i="2"/>
  <c r="P764" i="2"/>
  <c r="Q764" i="2"/>
  <c r="P760" i="2"/>
  <c r="Q760" i="2"/>
  <c r="P756" i="2"/>
  <c r="Q756" i="2"/>
  <c r="P752" i="2"/>
  <c r="Q752" i="2"/>
  <c r="P748" i="2"/>
  <c r="Q748" i="2"/>
  <c r="P744" i="2"/>
  <c r="Q744" i="2"/>
  <c r="P740" i="2"/>
  <c r="Q740" i="2"/>
  <c r="P736" i="2"/>
  <c r="Q736" i="2"/>
  <c r="P732" i="2"/>
  <c r="Q732" i="2"/>
  <c r="P728" i="2"/>
  <c r="Q728" i="2"/>
  <c r="P724" i="2"/>
  <c r="Q724" i="2"/>
  <c r="P720" i="2"/>
  <c r="Q720" i="2"/>
  <c r="P716" i="2"/>
  <c r="Q716" i="2"/>
  <c r="P712" i="2"/>
  <c r="Q712" i="2"/>
  <c r="P708" i="2"/>
  <c r="Q708" i="2"/>
  <c r="P704" i="2"/>
  <c r="Q704" i="2"/>
  <c r="P700" i="2"/>
  <c r="Q700" i="2"/>
  <c r="P696" i="2"/>
  <c r="Q696" i="2"/>
  <c r="P692" i="2"/>
  <c r="Q692" i="2"/>
  <c r="P688" i="2"/>
  <c r="Q688" i="2"/>
  <c r="P684" i="2"/>
  <c r="Q684" i="2"/>
  <c r="P680" i="2"/>
  <c r="Q680" i="2"/>
  <c r="P676" i="2"/>
  <c r="Q676" i="2"/>
  <c r="P672" i="2"/>
  <c r="Q672" i="2"/>
  <c r="P668" i="2"/>
  <c r="Q668" i="2"/>
  <c r="P664" i="2"/>
  <c r="Q664" i="2"/>
  <c r="P660" i="2"/>
  <c r="Q660" i="2"/>
  <c r="P656" i="2"/>
  <c r="Q656" i="2"/>
  <c r="P652" i="2"/>
  <c r="Q652" i="2"/>
  <c r="P648" i="2"/>
  <c r="Q648" i="2"/>
  <c r="Q644" i="2"/>
  <c r="P644" i="2"/>
  <c r="P640" i="2"/>
  <c r="Q640" i="2"/>
  <c r="P636" i="2"/>
  <c r="Q636" i="2"/>
  <c r="P632" i="2"/>
  <c r="Q632" i="2"/>
  <c r="P628" i="2"/>
  <c r="Q628" i="2"/>
  <c r="P624" i="2"/>
  <c r="Q624" i="2"/>
  <c r="P620" i="2"/>
  <c r="Q620" i="2"/>
  <c r="P616" i="2"/>
  <c r="Q616" i="2"/>
  <c r="P612" i="2"/>
  <c r="Q612" i="2"/>
  <c r="P608" i="2"/>
  <c r="Q608" i="2"/>
  <c r="P604" i="2"/>
  <c r="Q604" i="2"/>
  <c r="P600" i="2"/>
  <c r="Q600" i="2"/>
  <c r="P596" i="2"/>
  <c r="Q596" i="2"/>
  <c r="P588" i="2"/>
  <c r="Q588" i="2"/>
  <c r="P584" i="2"/>
  <c r="Q584" i="2"/>
  <c r="P580" i="2"/>
  <c r="Q580" i="2"/>
  <c r="P576" i="2"/>
  <c r="Q576" i="2"/>
  <c r="P572" i="2"/>
  <c r="Q572" i="2"/>
  <c r="P568" i="2"/>
  <c r="Q568" i="2"/>
  <c r="P564" i="2"/>
  <c r="Q564" i="2"/>
  <c r="P560" i="2"/>
  <c r="Q560" i="2"/>
  <c r="P556" i="2"/>
  <c r="Q556" i="2"/>
  <c r="P552" i="2"/>
  <c r="Q552" i="2"/>
  <c r="P548" i="2"/>
  <c r="Q548" i="2"/>
  <c r="P544" i="2"/>
  <c r="Q544" i="2"/>
  <c r="P540" i="2"/>
  <c r="Q540" i="2"/>
  <c r="P536" i="2"/>
  <c r="Q536" i="2"/>
  <c r="P532" i="2"/>
  <c r="Q532" i="2"/>
  <c r="P528" i="2"/>
  <c r="Q528" i="2"/>
  <c r="P524" i="2"/>
  <c r="Q524" i="2"/>
  <c r="P520" i="2"/>
  <c r="Q520" i="2"/>
  <c r="P516" i="2"/>
  <c r="Q516" i="2"/>
  <c r="P512" i="2"/>
  <c r="Q512" i="2"/>
  <c r="P508" i="2"/>
  <c r="Q508" i="2"/>
  <c r="P504" i="2"/>
  <c r="Q504" i="2"/>
  <c r="P500" i="2"/>
  <c r="Q500" i="2"/>
  <c r="P496" i="2"/>
  <c r="Q496" i="2"/>
  <c r="P492" i="2"/>
  <c r="Q492" i="2"/>
  <c r="P488" i="2"/>
  <c r="Q488" i="2"/>
  <c r="P484" i="2"/>
  <c r="Q484" i="2"/>
  <c r="P480" i="2"/>
  <c r="Q480" i="2"/>
  <c r="P476" i="2"/>
  <c r="Q476" i="2"/>
  <c r="P472" i="2"/>
  <c r="Q472" i="2"/>
  <c r="P468" i="2"/>
  <c r="Q468" i="2"/>
  <c r="P464" i="2"/>
  <c r="Q464" i="2"/>
  <c r="P460" i="2"/>
  <c r="Q460" i="2"/>
  <c r="P456" i="2"/>
  <c r="Q456" i="2"/>
  <c r="P452" i="2"/>
  <c r="Q452" i="2"/>
  <c r="P448" i="2"/>
  <c r="Q448" i="2"/>
  <c r="P444" i="2"/>
  <c r="Q444" i="2"/>
  <c r="P440" i="2"/>
  <c r="Q440" i="2"/>
  <c r="P436" i="2"/>
  <c r="Q436" i="2"/>
  <c r="P432" i="2"/>
  <c r="Q432" i="2"/>
  <c r="P428" i="2"/>
  <c r="Q428" i="2"/>
  <c r="P424" i="2"/>
  <c r="Q424" i="2"/>
  <c r="P420" i="2"/>
  <c r="Q420" i="2"/>
  <c r="P416" i="2"/>
  <c r="Q416" i="2"/>
  <c r="P412" i="2"/>
  <c r="Q412" i="2"/>
  <c r="P408" i="2"/>
  <c r="Q408" i="2"/>
  <c r="P404" i="2"/>
  <c r="Q404" i="2"/>
  <c r="P400" i="2"/>
  <c r="Q400" i="2"/>
  <c r="P396" i="2"/>
  <c r="Q396" i="2"/>
  <c r="P392" i="2"/>
  <c r="Q392" i="2"/>
  <c r="P388" i="2"/>
  <c r="Q388" i="2"/>
  <c r="P384" i="2"/>
  <c r="Q384" i="2"/>
  <c r="P380" i="2"/>
  <c r="Q380" i="2"/>
  <c r="P376" i="2"/>
  <c r="Q376" i="2"/>
  <c r="P372" i="2"/>
  <c r="Q372" i="2"/>
  <c r="P368" i="2"/>
  <c r="Q368" i="2"/>
  <c r="P364" i="2"/>
  <c r="Q364" i="2"/>
  <c r="P360" i="2"/>
  <c r="Q360" i="2"/>
  <c r="P356" i="2"/>
  <c r="Q356" i="2"/>
  <c r="P352" i="2"/>
  <c r="Q352" i="2"/>
  <c r="P348" i="2"/>
  <c r="Q348" i="2"/>
  <c r="P344" i="2"/>
  <c r="Q344" i="2"/>
  <c r="P340" i="2"/>
  <c r="Q340" i="2"/>
  <c r="P336" i="2"/>
  <c r="Q336" i="2"/>
  <c r="P332" i="2"/>
  <c r="Q332" i="2"/>
  <c r="P328" i="2"/>
  <c r="Q328" i="2"/>
  <c r="P324" i="2"/>
  <c r="Q324" i="2"/>
  <c r="P320" i="2"/>
  <c r="Q320" i="2"/>
  <c r="P316" i="2"/>
  <c r="Q316" i="2"/>
  <c r="P312" i="2"/>
  <c r="Q312" i="2"/>
  <c r="P308" i="2"/>
  <c r="Q308" i="2"/>
  <c r="P304" i="2"/>
  <c r="Q304" i="2"/>
  <c r="P300" i="2"/>
  <c r="Q300" i="2"/>
  <c r="P296" i="2"/>
  <c r="Q296" i="2"/>
  <c r="P292" i="2"/>
  <c r="Q292" i="2"/>
  <c r="P288" i="2"/>
  <c r="Q288" i="2"/>
  <c r="P284" i="2"/>
  <c r="Q284" i="2"/>
  <c r="P280" i="2"/>
  <c r="Q280" i="2"/>
  <c r="P276" i="2"/>
  <c r="Q276" i="2"/>
  <c r="P272" i="2"/>
  <c r="Q272" i="2"/>
  <c r="P268" i="2"/>
  <c r="Q268" i="2"/>
  <c r="P264" i="2"/>
  <c r="Q264" i="2"/>
  <c r="P260" i="2"/>
  <c r="Q260" i="2"/>
  <c r="P256" i="2"/>
  <c r="Q256" i="2"/>
  <c r="P248" i="2"/>
  <c r="Q248" i="2"/>
  <c r="P244" i="2"/>
  <c r="Q244" i="2"/>
  <c r="P240" i="2"/>
  <c r="Q240" i="2"/>
  <c r="P236" i="2"/>
  <c r="Q236" i="2"/>
  <c r="P232" i="2"/>
  <c r="Q232" i="2"/>
  <c r="P228" i="2"/>
  <c r="Q228" i="2"/>
  <c r="P224" i="2"/>
  <c r="Q224" i="2"/>
  <c r="P220" i="2"/>
  <c r="Q220" i="2"/>
  <c r="P216" i="2"/>
  <c r="Q216" i="2"/>
  <c r="Q212" i="2"/>
  <c r="P212" i="2"/>
  <c r="P208" i="2"/>
  <c r="Q208" i="2"/>
  <c r="P204" i="2"/>
  <c r="Q204" i="2"/>
  <c r="P200" i="2"/>
  <c r="Q200" i="2"/>
  <c r="P196" i="2"/>
  <c r="Q196" i="2"/>
  <c r="P192" i="2"/>
  <c r="Q192" i="2"/>
  <c r="P188" i="2"/>
  <c r="Q188" i="2"/>
  <c r="P184" i="2"/>
  <c r="Q184" i="2"/>
  <c r="P180" i="2"/>
  <c r="Q180" i="2"/>
  <c r="P176" i="2"/>
  <c r="Q176" i="2"/>
  <c r="P172" i="2"/>
  <c r="Q172" i="2"/>
  <c r="P168" i="2"/>
  <c r="Q168" i="2"/>
  <c r="P164" i="2"/>
  <c r="Q164" i="2"/>
  <c r="P160" i="2"/>
  <c r="Q160" i="2"/>
  <c r="P156" i="2"/>
  <c r="Q156" i="2"/>
  <c r="P152" i="2"/>
  <c r="Q152" i="2"/>
  <c r="P148" i="2"/>
  <c r="Q148" i="2"/>
  <c r="P144" i="2"/>
  <c r="Q144" i="2"/>
  <c r="P140" i="2"/>
  <c r="Q140" i="2"/>
  <c r="P136" i="2"/>
  <c r="Q136" i="2"/>
  <c r="P128" i="2"/>
  <c r="Q128" i="2"/>
  <c r="P124" i="2"/>
  <c r="Q124" i="2"/>
  <c r="P120" i="2"/>
  <c r="Q120" i="2"/>
  <c r="P116" i="2"/>
  <c r="Q116" i="2"/>
  <c r="P112" i="2"/>
  <c r="Q112" i="2"/>
  <c r="P108" i="2"/>
  <c r="Q108" i="2"/>
  <c r="P104" i="2"/>
  <c r="Q104" i="2"/>
  <c r="P100" i="2"/>
  <c r="Q100" i="2"/>
  <c r="P96" i="2"/>
  <c r="Q96" i="2"/>
  <c r="P92" i="2"/>
  <c r="Q92" i="2"/>
  <c r="P88" i="2"/>
  <c r="Q88" i="2"/>
  <c r="P84" i="2"/>
  <c r="Q84" i="2"/>
  <c r="P80" i="2"/>
  <c r="Q80" i="2"/>
  <c r="P76" i="2"/>
  <c r="Q76" i="2"/>
  <c r="P72" i="2"/>
  <c r="Q72" i="2"/>
  <c r="P68" i="2"/>
  <c r="Q68" i="2"/>
  <c r="P64" i="2"/>
  <c r="Q64" i="2"/>
  <c r="P60" i="2"/>
  <c r="Q60" i="2"/>
  <c r="P56" i="2"/>
  <c r="Q56" i="2"/>
  <c r="P52" i="2"/>
  <c r="Q52" i="2"/>
  <c r="P48" i="2"/>
  <c r="Q48" i="2"/>
  <c r="P44" i="2"/>
  <c r="Q44" i="2"/>
  <c r="P40" i="2"/>
  <c r="Q40" i="2"/>
  <c r="P36" i="2"/>
  <c r="Q36" i="2"/>
  <c r="P32" i="2"/>
  <c r="Q32" i="2"/>
  <c r="P28" i="2"/>
  <c r="Q28" i="2"/>
  <c r="P24" i="2"/>
  <c r="Q24" i="2"/>
  <c r="P20" i="2"/>
  <c r="Q20" i="2"/>
  <c r="P16" i="2"/>
  <c r="Q16" i="2"/>
  <c r="P12" i="2"/>
  <c r="Q12" i="2"/>
  <c r="P8" i="2"/>
  <c r="Q8" i="2"/>
  <c r="Q1633" i="2"/>
  <c r="Q1617" i="2"/>
  <c r="Q1601" i="2"/>
  <c r="Q1585" i="2"/>
  <c r="Q1569" i="2"/>
  <c r="Q1549" i="2"/>
  <c r="Q1527" i="2"/>
  <c r="Q1506" i="2"/>
  <c r="Q1485" i="2"/>
  <c r="Q1463" i="2"/>
  <c r="Q1442" i="2"/>
  <c r="Q1421" i="2"/>
  <c r="Q1395" i="2"/>
  <c r="Q1345" i="2"/>
  <c r="Q1217" i="2"/>
  <c r="Q1089" i="2"/>
  <c r="Q1025" i="2"/>
  <c r="Q961" i="2"/>
  <c r="Q697" i="2"/>
  <c r="Q252" i="2"/>
  <c r="P1260" i="2"/>
  <c r="P49" i="2"/>
  <c r="Q49" i="2"/>
  <c r="P61" i="2"/>
  <c r="Q61" i="2"/>
  <c r="P73" i="2"/>
  <c r="P89" i="2"/>
  <c r="P101" i="2"/>
  <c r="P109" i="2"/>
  <c r="Q109" i="2"/>
  <c r="P121" i="2"/>
  <c r="P137" i="2"/>
  <c r="P149" i="2"/>
  <c r="P161" i="2"/>
  <c r="P173" i="2"/>
  <c r="Q173" i="2"/>
  <c r="P181" i="2"/>
  <c r="P193" i="2"/>
  <c r="P205" i="2"/>
  <c r="Q205" i="2"/>
  <c r="P217" i="2"/>
  <c r="P229" i="2"/>
  <c r="P241" i="2"/>
  <c r="P253" i="2"/>
  <c r="Q253" i="2"/>
  <c r="P265" i="2"/>
  <c r="P277" i="2"/>
  <c r="P289" i="2"/>
  <c r="P301" i="2"/>
  <c r="Q301" i="2"/>
  <c r="P313" i="2"/>
  <c r="P329" i="2"/>
  <c r="P341" i="2"/>
  <c r="P349" i="2"/>
  <c r="Q349" i="2"/>
  <c r="P361" i="2"/>
  <c r="P373" i="2"/>
  <c r="P385" i="2"/>
  <c r="P401" i="2"/>
  <c r="P417" i="2"/>
  <c r="P429" i="2"/>
  <c r="Q429" i="2"/>
  <c r="P441" i="2"/>
  <c r="P449" i="2"/>
  <c r="P461" i="2"/>
  <c r="Q461" i="2"/>
  <c r="P469" i="2"/>
  <c r="P481" i="2"/>
  <c r="P497" i="2"/>
  <c r="P509" i="2"/>
  <c r="Q509" i="2"/>
  <c r="P521" i="2"/>
  <c r="P537" i="2"/>
  <c r="P553" i="2"/>
  <c r="P569" i="2"/>
  <c r="P581" i="2"/>
  <c r="P593" i="2"/>
  <c r="P605" i="2"/>
  <c r="Q605" i="2"/>
  <c r="P617" i="2"/>
  <c r="P625" i="2"/>
  <c r="P637" i="2"/>
  <c r="Q637" i="2"/>
  <c r="P645" i="2"/>
  <c r="P657" i="2"/>
  <c r="P669" i="2"/>
  <c r="Q669" i="2"/>
  <c r="P681" i="2"/>
  <c r="P689" i="2"/>
  <c r="Q689" i="2"/>
  <c r="P701" i="2"/>
  <c r="Q701" i="2"/>
  <c r="P713" i="2"/>
  <c r="Q713" i="2"/>
  <c r="P725" i="2"/>
  <c r="Q725" i="2"/>
  <c r="P737" i="2"/>
  <c r="Q737" i="2"/>
  <c r="P749" i="2"/>
  <c r="Q749" i="2"/>
  <c r="P757" i="2"/>
  <c r="Q757" i="2"/>
  <c r="P769" i="2"/>
  <c r="Q769" i="2"/>
  <c r="P781" i="2"/>
  <c r="Q781" i="2"/>
  <c r="P793" i="2"/>
  <c r="Q793" i="2"/>
  <c r="P801" i="2"/>
  <c r="Q801" i="2"/>
  <c r="P813" i="2"/>
  <c r="Q813" i="2"/>
  <c r="P821" i="2"/>
  <c r="Q821" i="2"/>
  <c r="P833" i="2"/>
  <c r="Q833" i="2"/>
  <c r="P845" i="2"/>
  <c r="Q845" i="2"/>
  <c r="P857" i="2"/>
  <c r="Q857" i="2"/>
  <c r="P877" i="2"/>
  <c r="P889" i="2"/>
  <c r="Q889" i="2"/>
  <c r="P901" i="2"/>
  <c r="Q901" i="2"/>
  <c r="P913" i="2"/>
  <c r="Q913" i="2"/>
  <c r="P925" i="2"/>
  <c r="Q925" i="2"/>
  <c r="P937" i="2"/>
  <c r="Q937" i="2"/>
  <c r="P949" i="2"/>
  <c r="Q949" i="2"/>
  <c r="P957" i="2"/>
  <c r="Q957" i="2"/>
  <c r="P977" i="2"/>
  <c r="P981" i="2"/>
  <c r="Q981" i="2"/>
  <c r="P989" i="2"/>
  <c r="Q989" i="2"/>
  <c r="P997" i="2"/>
  <c r="Q997" i="2"/>
  <c r="P1005" i="2"/>
  <c r="Q1005" i="2"/>
  <c r="P1017" i="2"/>
  <c r="Q1017" i="2"/>
  <c r="P1029" i="2"/>
  <c r="Q1029" i="2"/>
  <c r="P1037" i="2"/>
  <c r="Q1037" i="2"/>
  <c r="P1057" i="2"/>
  <c r="P1065" i="2"/>
  <c r="Q1065" i="2"/>
  <c r="P1077" i="2"/>
  <c r="Q1077" i="2"/>
  <c r="P1085" i="2"/>
  <c r="Q1085" i="2"/>
  <c r="P1105" i="2"/>
  <c r="P1117" i="2"/>
  <c r="Q1117" i="2"/>
  <c r="P1137" i="2"/>
  <c r="P1153" i="2"/>
  <c r="P1161" i="2"/>
  <c r="Q1161" i="2"/>
  <c r="P1173" i="2"/>
  <c r="Q1173" i="2"/>
  <c r="P1181" i="2"/>
  <c r="Q1181" i="2"/>
  <c r="P1201" i="2"/>
  <c r="P1209" i="2"/>
  <c r="Q1209" i="2"/>
  <c r="P1233" i="2"/>
  <c r="P1241" i="2"/>
  <c r="Q1241" i="2"/>
  <c r="P1253" i="2"/>
  <c r="Q1253" i="2"/>
  <c r="P1261" i="2"/>
  <c r="Q1261" i="2"/>
  <c r="P1273" i="2"/>
  <c r="Q1273" i="2"/>
  <c r="P1297" i="2"/>
  <c r="P1305" i="2"/>
  <c r="Q1305" i="2"/>
  <c r="P1317" i="2"/>
  <c r="Q1317" i="2"/>
  <c r="P1353" i="2"/>
  <c r="Q1353" i="2"/>
  <c r="P1975" i="2"/>
  <c r="Q1975" i="2"/>
  <c r="P1967" i="2"/>
  <c r="Q1967" i="2"/>
  <c r="P1959" i="2"/>
  <c r="Q1959" i="2"/>
  <c r="P1951" i="2"/>
  <c r="Q1951" i="2"/>
  <c r="P1943" i="2"/>
  <c r="Q1943" i="2"/>
  <c r="P1935" i="2"/>
  <c r="Q1935" i="2"/>
  <c r="P1927" i="2"/>
  <c r="Q1927" i="2"/>
  <c r="P1919" i="2"/>
  <c r="Q1919" i="2"/>
  <c r="P1911" i="2"/>
  <c r="Q1911" i="2"/>
  <c r="P1903" i="2"/>
  <c r="Q1903" i="2"/>
  <c r="P1895" i="2"/>
  <c r="Q1895" i="2"/>
  <c r="P1887" i="2"/>
  <c r="Q1887" i="2"/>
  <c r="P1879" i="2"/>
  <c r="Q1879" i="2"/>
  <c r="P1871" i="2"/>
  <c r="Q1871" i="2"/>
  <c r="P1863" i="2"/>
  <c r="Q1863" i="2"/>
  <c r="P1855" i="2"/>
  <c r="Q1855" i="2"/>
  <c r="P1847" i="2"/>
  <c r="Q1847" i="2"/>
  <c r="P1835" i="2"/>
  <c r="Q1835" i="2"/>
  <c r="P1827" i="2"/>
  <c r="Q1827" i="2"/>
  <c r="P1819" i="2"/>
  <c r="Q1819" i="2"/>
  <c r="P1811" i="2"/>
  <c r="Q1811" i="2"/>
  <c r="P1803" i="2"/>
  <c r="Q1803" i="2"/>
  <c r="P1795" i="2"/>
  <c r="Q1795" i="2"/>
  <c r="P1787" i="2"/>
  <c r="Q1787" i="2"/>
  <c r="P1779" i="2"/>
  <c r="Q1779" i="2"/>
  <c r="P1771" i="2"/>
  <c r="Q1771" i="2"/>
  <c r="P1763" i="2"/>
  <c r="Q1763" i="2"/>
  <c r="P1759" i="2"/>
  <c r="Q1759" i="2"/>
  <c r="P1751" i="2"/>
  <c r="Q1751" i="2"/>
  <c r="P1747" i="2"/>
  <c r="Q1747" i="2"/>
  <c r="P1743" i="2"/>
  <c r="Q1743" i="2"/>
  <c r="P1739" i="2"/>
  <c r="Q1739" i="2"/>
  <c r="P1735" i="2"/>
  <c r="Q1735" i="2"/>
  <c r="P1731" i="2"/>
  <c r="Q1731" i="2"/>
  <c r="P1727" i="2"/>
  <c r="Q1727" i="2"/>
  <c r="P1723" i="2"/>
  <c r="Q1723" i="2"/>
  <c r="P1719" i="2"/>
  <c r="Q1719" i="2"/>
  <c r="P1715" i="2"/>
  <c r="Q1715" i="2"/>
  <c r="P1711" i="2"/>
  <c r="Q1711" i="2"/>
  <c r="P1707" i="2"/>
  <c r="Q1707" i="2"/>
  <c r="P1703" i="2"/>
  <c r="Q1703" i="2"/>
  <c r="P1699" i="2"/>
  <c r="Q1699" i="2"/>
  <c r="P1695" i="2"/>
  <c r="Q1695" i="2"/>
  <c r="P1691" i="2"/>
  <c r="Q1691" i="2"/>
  <c r="P1687" i="2"/>
  <c r="Q1687" i="2"/>
  <c r="P1683" i="2"/>
  <c r="Q1683" i="2"/>
  <c r="P1679" i="2"/>
  <c r="Q1679" i="2"/>
  <c r="P1675" i="2"/>
  <c r="Q1675" i="2"/>
  <c r="P1671" i="2"/>
  <c r="Q1671" i="2"/>
  <c r="P1667" i="2"/>
  <c r="Q1667" i="2"/>
  <c r="P1663" i="2"/>
  <c r="Q1663" i="2"/>
  <c r="P1659" i="2"/>
  <c r="Q1659" i="2"/>
  <c r="P1655" i="2"/>
  <c r="Q1655" i="2"/>
  <c r="P1651" i="2"/>
  <c r="Q1651" i="2"/>
  <c r="P1647" i="2"/>
  <c r="Q1647" i="2"/>
  <c r="P1639" i="2"/>
  <c r="Q1639" i="2"/>
  <c r="P1635" i="2"/>
  <c r="Q1635" i="2"/>
  <c r="P1631" i="2"/>
  <c r="Q1631" i="2"/>
  <c r="P1627" i="2"/>
  <c r="Q1627" i="2"/>
  <c r="P1623" i="2"/>
  <c r="Q1623" i="2"/>
  <c r="P1619" i="2"/>
  <c r="Q1619" i="2"/>
  <c r="P1615" i="2"/>
  <c r="Q1615" i="2"/>
  <c r="P1611" i="2"/>
  <c r="Q1611" i="2"/>
  <c r="P1607" i="2"/>
  <c r="Q1607" i="2"/>
  <c r="P1603" i="2"/>
  <c r="Q1603" i="2"/>
  <c r="P1599" i="2"/>
  <c r="Q1599" i="2"/>
  <c r="P1595" i="2"/>
  <c r="Q1595" i="2"/>
  <c r="P1591" i="2"/>
  <c r="Q1591" i="2"/>
  <c r="P1587" i="2"/>
  <c r="Q1587" i="2"/>
  <c r="P1583" i="2"/>
  <c r="Q1583" i="2"/>
  <c r="P1579" i="2"/>
  <c r="Q1579" i="2"/>
  <c r="P1575" i="2"/>
  <c r="Q1575" i="2"/>
  <c r="P1571" i="2"/>
  <c r="Q1571" i="2"/>
  <c r="P1567" i="2"/>
  <c r="Q1567" i="2"/>
  <c r="P1563" i="2"/>
  <c r="Q1563" i="2"/>
  <c r="P1555" i="2"/>
  <c r="Q1555" i="2"/>
  <c r="P1551" i="2"/>
  <c r="Q1551" i="2"/>
  <c r="P1547" i="2"/>
  <c r="Q1547" i="2"/>
  <c r="P1539" i="2"/>
  <c r="Q1539" i="2"/>
  <c r="P1535" i="2"/>
  <c r="Q1535" i="2"/>
  <c r="P1531" i="2"/>
  <c r="Q1531" i="2"/>
  <c r="P1523" i="2"/>
  <c r="Q1523" i="2"/>
  <c r="P1519" i="2"/>
  <c r="Q1519" i="2"/>
  <c r="P1515" i="2"/>
  <c r="Q1515" i="2"/>
  <c r="P1507" i="2"/>
  <c r="Q1507" i="2"/>
  <c r="P1503" i="2"/>
  <c r="Q1503" i="2"/>
  <c r="P1499" i="2"/>
  <c r="Q1499" i="2"/>
  <c r="P1491" i="2"/>
  <c r="Q1491" i="2"/>
  <c r="P1487" i="2"/>
  <c r="Q1487" i="2"/>
  <c r="P1483" i="2"/>
  <c r="Q1483" i="2"/>
  <c r="P1475" i="2"/>
  <c r="Q1475" i="2"/>
  <c r="P1471" i="2"/>
  <c r="Q1471" i="2"/>
  <c r="P1467" i="2"/>
  <c r="Q1467" i="2"/>
  <c r="P1459" i="2"/>
  <c r="Q1459" i="2"/>
  <c r="P1455" i="2"/>
  <c r="Q1455" i="2"/>
  <c r="P1451" i="2"/>
  <c r="Q1451" i="2"/>
  <c r="P1443" i="2"/>
  <c r="Q1443" i="2"/>
  <c r="P1439" i="2"/>
  <c r="Q1439" i="2"/>
  <c r="P1435" i="2"/>
  <c r="Q1435" i="2"/>
  <c r="P1427" i="2"/>
  <c r="Q1427" i="2"/>
  <c r="P1423" i="2"/>
  <c r="Q1423" i="2"/>
  <c r="P1419" i="2"/>
  <c r="Q1419" i="2"/>
  <c r="P1411" i="2"/>
  <c r="Q1411" i="2"/>
  <c r="P1407" i="2"/>
  <c r="Q1407" i="2"/>
  <c r="P1399" i="2"/>
  <c r="Q1399" i="2"/>
  <c r="P1391" i="2"/>
  <c r="Q1391" i="2"/>
  <c r="P1383" i="2"/>
  <c r="Q1383" i="2"/>
  <c r="P1379" i="2"/>
  <c r="Q1379" i="2"/>
  <c r="P1375" i="2"/>
  <c r="Q1375" i="2"/>
  <c r="P1371" i="2"/>
  <c r="Q1371" i="2"/>
  <c r="P1367" i="2"/>
  <c r="Q1367" i="2"/>
  <c r="P1363" i="2"/>
  <c r="Q1363" i="2"/>
  <c r="P1359" i="2"/>
  <c r="Q1359" i="2"/>
  <c r="P1355" i="2"/>
  <c r="Q1355" i="2"/>
  <c r="P1351" i="2"/>
  <c r="Q1351" i="2"/>
  <c r="P1347" i="2"/>
  <c r="Q1347" i="2"/>
  <c r="P1343" i="2"/>
  <c r="Q1343" i="2"/>
  <c r="P1339" i="2"/>
  <c r="Q1339" i="2"/>
  <c r="P1335" i="2"/>
  <c r="Q1335" i="2"/>
  <c r="P1331" i="2"/>
  <c r="Q1331" i="2"/>
  <c r="P1327" i="2"/>
  <c r="Q1327" i="2"/>
  <c r="P1323" i="2"/>
  <c r="Q1323" i="2"/>
  <c r="P1319" i="2"/>
  <c r="Q1319" i="2"/>
  <c r="P1315" i="2"/>
  <c r="Q1315" i="2"/>
  <c r="P1311" i="2"/>
  <c r="Q1311" i="2"/>
  <c r="P1307" i="2"/>
  <c r="Q1307" i="2"/>
  <c r="P1303" i="2"/>
  <c r="Q1303" i="2"/>
  <c r="P1299" i="2"/>
  <c r="Q1299" i="2"/>
  <c r="P1295" i="2"/>
  <c r="Q1295" i="2"/>
  <c r="P1291" i="2"/>
  <c r="Q1291" i="2"/>
  <c r="P1287" i="2"/>
  <c r="Q1287" i="2"/>
  <c r="P1283" i="2"/>
  <c r="Q1283" i="2"/>
  <c r="P1279" i="2"/>
  <c r="Q1279" i="2"/>
  <c r="P1275" i="2"/>
  <c r="Q1275" i="2"/>
  <c r="P1271" i="2"/>
  <c r="Q1271" i="2"/>
  <c r="P1267" i="2"/>
  <c r="Q1267" i="2"/>
  <c r="P1263" i="2"/>
  <c r="Q1263" i="2"/>
  <c r="P1259" i="2"/>
  <c r="Q1259" i="2"/>
  <c r="P1255" i="2"/>
  <c r="Q1255" i="2"/>
  <c r="P1251" i="2"/>
  <c r="Q1251" i="2"/>
  <c r="P1247" i="2"/>
  <c r="Q1247" i="2"/>
  <c r="P1243" i="2"/>
  <c r="Q1243" i="2"/>
  <c r="P1239" i="2"/>
  <c r="Q1239" i="2"/>
  <c r="P1235" i="2"/>
  <c r="Q1235" i="2"/>
  <c r="P1231" i="2"/>
  <c r="Q1231" i="2"/>
  <c r="P1227" i="2"/>
  <c r="Q1227" i="2"/>
  <c r="P1223" i="2"/>
  <c r="Q1223" i="2"/>
  <c r="P1219" i="2"/>
  <c r="Q1219" i="2"/>
  <c r="P1215" i="2"/>
  <c r="Q1215" i="2"/>
  <c r="P1211" i="2"/>
  <c r="Q1211" i="2"/>
  <c r="P1207" i="2"/>
  <c r="Q1207" i="2"/>
  <c r="P1203" i="2"/>
  <c r="Q1203" i="2"/>
  <c r="P1199" i="2"/>
  <c r="Q1199" i="2"/>
  <c r="P1195" i="2"/>
  <c r="Q1195" i="2"/>
  <c r="P1191" i="2"/>
  <c r="Q1191" i="2"/>
  <c r="P1187" i="2"/>
  <c r="Q1187" i="2"/>
  <c r="Q1183" i="2"/>
  <c r="P1183" i="2"/>
  <c r="P1179" i="2"/>
  <c r="Q1179" i="2"/>
  <c r="P1175" i="2"/>
  <c r="Q1175" i="2"/>
  <c r="P1171" i="2"/>
  <c r="Q1171" i="2"/>
  <c r="P1167" i="2"/>
  <c r="Q1167" i="2"/>
  <c r="P1163" i="2"/>
  <c r="Q1163" i="2"/>
  <c r="P1159" i="2"/>
  <c r="Q1159" i="2"/>
  <c r="P1155" i="2"/>
  <c r="Q1155" i="2"/>
  <c r="P1151" i="2"/>
  <c r="Q1151" i="2"/>
  <c r="P1147" i="2"/>
  <c r="Q1147" i="2"/>
  <c r="P1143" i="2"/>
  <c r="Q1143" i="2"/>
  <c r="P1139" i="2"/>
  <c r="Q1139" i="2"/>
  <c r="P1135" i="2"/>
  <c r="Q1135" i="2"/>
  <c r="P1131" i="2"/>
  <c r="Q1131" i="2"/>
  <c r="P1127" i="2"/>
  <c r="Q1127" i="2"/>
  <c r="P1123" i="2"/>
  <c r="Q1123" i="2"/>
  <c r="P1119" i="2"/>
  <c r="Q1119" i="2"/>
  <c r="P1115" i="2"/>
  <c r="Q1115" i="2"/>
  <c r="P1111" i="2"/>
  <c r="Q1111" i="2"/>
  <c r="P1107" i="2"/>
  <c r="Q1107" i="2"/>
  <c r="P1103" i="2"/>
  <c r="Q1103" i="2"/>
  <c r="P1099" i="2"/>
  <c r="Q1099" i="2"/>
  <c r="P1095" i="2"/>
  <c r="Q1095" i="2"/>
  <c r="P1091" i="2"/>
  <c r="Q1091" i="2"/>
  <c r="P1087" i="2"/>
  <c r="Q1087" i="2"/>
  <c r="P1083" i="2"/>
  <c r="Q1083" i="2"/>
  <c r="P1079" i="2"/>
  <c r="Q1079" i="2"/>
  <c r="P1075" i="2"/>
  <c r="Q1075" i="2"/>
  <c r="P1071" i="2"/>
  <c r="Q1071" i="2"/>
  <c r="P1067" i="2"/>
  <c r="Q1067" i="2"/>
  <c r="P1063" i="2"/>
  <c r="Q1063" i="2"/>
  <c r="P1059" i="2"/>
  <c r="Q1059" i="2"/>
  <c r="P1055" i="2"/>
  <c r="Q1055" i="2"/>
  <c r="P1051" i="2"/>
  <c r="Q1051" i="2"/>
  <c r="P1047" i="2"/>
  <c r="Q1047" i="2"/>
  <c r="P1043" i="2"/>
  <c r="Q1043" i="2"/>
  <c r="P1039" i="2"/>
  <c r="Q1039" i="2"/>
  <c r="P1035" i="2"/>
  <c r="Q1035" i="2"/>
  <c r="P1031" i="2"/>
  <c r="Q1031" i="2"/>
  <c r="P1027" i="2"/>
  <c r="Q1027" i="2"/>
  <c r="P1023" i="2"/>
  <c r="Q1023" i="2"/>
  <c r="P1019" i="2"/>
  <c r="Q1019" i="2"/>
  <c r="P1015" i="2"/>
  <c r="Q1015" i="2"/>
  <c r="P1011" i="2"/>
  <c r="Q1011" i="2"/>
  <c r="P1007" i="2"/>
  <c r="Q1007" i="2"/>
  <c r="P1003" i="2"/>
  <c r="Q1003" i="2"/>
  <c r="P999" i="2"/>
  <c r="Q999" i="2"/>
  <c r="P995" i="2"/>
  <c r="Q995" i="2"/>
  <c r="P991" i="2"/>
  <c r="Q991" i="2"/>
  <c r="P987" i="2"/>
  <c r="Q987" i="2"/>
  <c r="P983" i="2"/>
  <c r="Q983" i="2"/>
  <c r="P979" i="2"/>
  <c r="Q979" i="2"/>
  <c r="P975" i="2"/>
  <c r="Q975" i="2"/>
  <c r="P971" i="2"/>
  <c r="Q971" i="2"/>
  <c r="P967" i="2"/>
  <c r="Q967" i="2"/>
  <c r="P963" i="2"/>
  <c r="Q963" i="2"/>
  <c r="P959" i="2"/>
  <c r="Q959" i="2"/>
  <c r="P955" i="2"/>
  <c r="Q955" i="2"/>
  <c r="P951" i="2"/>
  <c r="Q951" i="2"/>
  <c r="P947" i="2"/>
  <c r="Q947" i="2"/>
  <c r="P943" i="2"/>
  <c r="Q943" i="2"/>
  <c r="P939" i="2"/>
  <c r="Q939" i="2"/>
  <c r="P935" i="2"/>
  <c r="Q935" i="2"/>
  <c r="P931" i="2"/>
  <c r="Q931" i="2"/>
  <c r="P927" i="2"/>
  <c r="Q927" i="2"/>
  <c r="P923" i="2"/>
  <c r="Q923" i="2"/>
  <c r="P915" i="2"/>
  <c r="Q915" i="2"/>
  <c r="P911" i="2"/>
  <c r="Q911" i="2"/>
  <c r="P907" i="2"/>
  <c r="Q907" i="2"/>
  <c r="P903" i="2"/>
  <c r="Q903" i="2"/>
  <c r="P899" i="2"/>
  <c r="Q899" i="2"/>
  <c r="P895" i="2"/>
  <c r="Q895" i="2"/>
  <c r="P891" i="2"/>
  <c r="Q891" i="2"/>
  <c r="P887" i="2"/>
  <c r="Q887" i="2"/>
  <c r="P883" i="2"/>
  <c r="Q883" i="2"/>
  <c r="P879" i="2"/>
  <c r="Q879" i="2"/>
  <c r="P875" i="2"/>
  <c r="Q875" i="2"/>
  <c r="P871" i="2"/>
  <c r="Q871" i="2"/>
  <c r="P867" i="2"/>
  <c r="Q867" i="2"/>
  <c r="P863" i="2"/>
  <c r="Q863" i="2"/>
  <c r="P859" i="2"/>
  <c r="Q859" i="2"/>
  <c r="P851" i="2"/>
  <c r="Q851" i="2"/>
  <c r="P847" i="2"/>
  <c r="Q847" i="2"/>
  <c r="P843" i="2"/>
  <c r="Q843" i="2"/>
  <c r="P839" i="2"/>
  <c r="Q839" i="2"/>
  <c r="P835" i="2"/>
  <c r="Q835" i="2"/>
  <c r="P831" i="2"/>
  <c r="Q831" i="2"/>
  <c r="P827" i="2"/>
  <c r="Q827" i="2"/>
  <c r="P823" i="2"/>
  <c r="Q823" i="2"/>
  <c r="P819" i="2"/>
  <c r="Q819" i="2"/>
  <c r="P815" i="2"/>
  <c r="Q815" i="2"/>
  <c r="P811" i="2"/>
  <c r="Q811" i="2"/>
  <c r="P807" i="2"/>
  <c r="Q807" i="2"/>
  <c r="P803" i="2"/>
  <c r="Q803" i="2"/>
  <c r="P799" i="2"/>
  <c r="Q799" i="2"/>
  <c r="P795" i="2"/>
  <c r="Q795" i="2"/>
  <c r="P791" i="2"/>
  <c r="Q791" i="2"/>
  <c r="P787" i="2"/>
  <c r="Q787" i="2"/>
  <c r="P783" i="2"/>
  <c r="Q783" i="2"/>
  <c r="P779" i="2"/>
  <c r="Q779" i="2"/>
  <c r="P775" i="2"/>
  <c r="Q775" i="2"/>
  <c r="P771" i="2"/>
  <c r="Q771" i="2"/>
  <c r="P767" i="2"/>
  <c r="Q767" i="2"/>
  <c r="P763" i="2"/>
  <c r="Q763" i="2"/>
  <c r="P759" i="2"/>
  <c r="Q759" i="2"/>
  <c r="P755" i="2"/>
  <c r="Q755" i="2"/>
  <c r="P751" i="2"/>
  <c r="Q751" i="2"/>
  <c r="P747" i="2"/>
  <c r="Q747" i="2"/>
  <c r="P743" i="2"/>
  <c r="Q743" i="2"/>
  <c r="P739" i="2"/>
  <c r="Q739" i="2"/>
  <c r="P735" i="2"/>
  <c r="Q735" i="2"/>
  <c r="P731" i="2"/>
  <c r="Q731" i="2"/>
  <c r="P727" i="2"/>
  <c r="Q727" i="2"/>
  <c r="P723" i="2"/>
  <c r="Q723" i="2"/>
  <c r="P719" i="2"/>
  <c r="Q719" i="2"/>
  <c r="P715" i="2"/>
  <c r="Q715" i="2"/>
  <c r="P711" i="2"/>
  <c r="Q711" i="2"/>
  <c r="P707" i="2"/>
  <c r="Q707" i="2"/>
  <c r="P703" i="2"/>
  <c r="Q703" i="2"/>
  <c r="P699" i="2"/>
  <c r="Q699" i="2"/>
  <c r="P695" i="2"/>
  <c r="Q695" i="2"/>
  <c r="P691" i="2"/>
  <c r="Q691" i="2"/>
  <c r="P687" i="2"/>
  <c r="Q687" i="2"/>
  <c r="P683" i="2"/>
  <c r="Q683" i="2"/>
  <c r="P679" i="2"/>
  <c r="Q679" i="2"/>
  <c r="P675" i="2"/>
  <c r="Q675" i="2"/>
  <c r="P671" i="2"/>
  <c r="Q671" i="2"/>
  <c r="P667" i="2"/>
  <c r="Q667" i="2"/>
  <c r="P663" i="2"/>
  <c r="Q663" i="2"/>
  <c r="P659" i="2"/>
  <c r="Q659" i="2"/>
  <c r="P655" i="2"/>
  <c r="Q655" i="2"/>
  <c r="P651" i="2"/>
  <c r="Q651" i="2"/>
  <c r="P647" i="2"/>
  <c r="Q647" i="2"/>
  <c r="P643" i="2"/>
  <c r="Q643" i="2"/>
  <c r="P639" i="2"/>
  <c r="Q639" i="2"/>
  <c r="P635" i="2"/>
  <c r="Q635" i="2"/>
  <c r="P631" i="2"/>
  <c r="Q631" i="2"/>
  <c r="P627" i="2"/>
  <c r="Q627" i="2"/>
  <c r="P623" i="2"/>
  <c r="Q623" i="2"/>
  <c r="P619" i="2"/>
  <c r="Q619" i="2"/>
  <c r="P615" i="2"/>
  <c r="Q615" i="2"/>
  <c r="P611" i="2"/>
  <c r="Q611" i="2"/>
  <c r="P607" i="2"/>
  <c r="Q607" i="2"/>
  <c r="P603" i="2"/>
  <c r="Q603" i="2"/>
  <c r="P599" i="2"/>
  <c r="Q599" i="2"/>
  <c r="P595" i="2"/>
  <c r="Q595" i="2"/>
  <c r="P591" i="2"/>
  <c r="Q591" i="2"/>
  <c r="P587" i="2"/>
  <c r="Q587" i="2"/>
  <c r="P583" i="2"/>
  <c r="Q583" i="2"/>
  <c r="P579" i="2"/>
  <c r="Q579" i="2"/>
  <c r="P575" i="2"/>
  <c r="Q575" i="2"/>
  <c r="P571" i="2"/>
  <c r="Q571" i="2"/>
  <c r="P567" i="2"/>
  <c r="Q567" i="2"/>
  <c r="P563" i="2"/>
  <c r="Q563" i="2"/>
  <c r="P559" i="2"/>
  <c r="Q559" i="2"/>
  <c r="P555" i="2"/>
  <c r="Q555" i="2"/>
  <c r="P551" i="2"/>
  <c r="Q551" i="2"/>
  <c r="P547" i="2"/>
  <c r="Q547" i="2"/>
  <c r="P543" i="2"/>
  <c r="Q543" i="2"/>
  <c r="P539" i="2"/>
  <c r="Q539" i="2"/>
  <c r="P535" i="2"/>
  <c r="Q535" i="2"/>
  <c r="P531" i="2"/>
  <c r="Q531" i="2"/>
  <c r="P527" i="2"/>
  <c r="Q527" i="2"/>
  <c r="P523" i="2"/>
  <c r="Q523" i="2"/>
  <c r="P519" i="2"/>
  <c r="Q519" i="2"/>
  <c r="P515" i="2"/>
  <c r="Q515" i="2"/>
  <c r="P511" i="2"/>
  <c r="Q511" i="2"/>
  <c r="P507" i="2"/>
  <c r="Q507" i="2"/>
  <c r="P503" i="2"/>
  <c r="Q503" i="2"/>
  <c r="P499" i="2"/>
  <c r="Q499" i="2"/>
  <c r="P495" i="2"/>
  <c r="Q495" i="2"/>
  <c r="P491" i="2"/>
  <c r="Q491" i="2"/>
  <c r="P487" i="2"/>
  <c r="Q487" i="2"/>
  <c r="P483" i="2"/>
  <c r="Q483" i="2"/>
  <c r="P475" i="2"/>
  <c r="Q475" i="2"/>
  <c r="P471" i="2"/>
  <c r="Q471" i="2"/>
  <c r="P467" i="2"/>
  <c r="Q467" i="2"/>
  <c r="P463" i="2"/>
  <c r="Q463" i="2"/>
  <c r="P459" i="2"/>
  <c r="Q459" i="2"/>
  <c r="P455" i="2"/>
  <c r="Q455" i="2"/>
  <c r="P451" i="2"/>
  <c r="Q451" i="2"/>
  <c r="P447" i="2"/>
  <c r="Q447" i="2"/>
  <c r="P443" i="2"/>
  <c r="Q443" i="2"/>
  <c r="P439" i="2"/>
  <c r="Q439" i="2"/>
  <c r="P435" i="2"/>
  <c r="Q435" i="2"/>
  <c r="P431" i="2"/>
  <c r="Q431" i="2"/>
  <c r="P427" i="2"/>
  <c r="Q427" i="2"/>
  <c r="P423" i="2"/>
  <c r="Q423" i="2"/>
  <c r="P419" i="2"/>
  <c r="Q419" i="2"/>
  <c r="P415" i="2"/>
  <c r="Q415" i="2"/>
  <c r="P411" i="2"/>
  <c r="Q411" i="2"/>
  <c r="P407" i="2"/>
  <c r="Q407" i="2"/>
  <c r="P403" i="2"/>
  <c r="Q403" i="2"/>
  <c r="P399" i="2"/>
  <c r="Q399" i="2"/>
  <c r="P395" i="2"/>
  <c r="Q395" i="2"/>
  <c r="P391" i="2"/>
  <c r="Q391" i="2"/>
  <c r="P387" i="2"/>
  <c r="Q387" i="2"/>
  <c r="P383" i="2"/>
  <c r="Q383" i="2"/>
  <c r="P379" i="2"/>
  <c r="Q379" i="2"/>
  <c r="P375" i="2"/>
  <c r="Q375" i="2"/>
  <c r="P371" i="2"/>
  <c r="Q371" i="2"/>
  <c r="P367" i="2"/>
  <c r="Q367" i="2"/>
  <c r="P363" i="2"/>
  <c r="Q363" i="2"/>
  <c r="P359" i="2"/>
  <c r="Q359" i="2"/>
  <c r="P355" i="2"/>
  <c r="Q355" i="2"/>
  <c r="P351" i="2"/>
  <c r="Q351" i="2"/>
  <c r="P347" i="2"/>
  <c r="Q347" i="2"/>
  <c r="P343" i="2"/>
  <c r="Q343" i="2"/>
  <c r="P339" i="2"/>
  <c r="Q339" i="2"/>
  <c r="P335" i="2"/>
  <c r="Q335" i="2"/>
  <c r="P331" i="2"/>
  <c r="Q331" i="2"/>
  <c r="P327" i="2"/>
  <c r="Q327" i="2"/>
  <c r="P323" i="2"/>
  <c r="Q323" i="2"/>
  <c r="P319" i="2"/>
  <c r="Q319" i="2"/>
  <c r="P315" i="2"/>
  <c r="Q315" i="2"/>
  <c r="P311" i="2"/>
  <c r="Q311" i="2"/>
  <c r="P307" i="2"/>
  <c r="Q307" i="2"/>
  <c r="P303" i="2"/>
  <c r="Q303" i="2"/>
  <c r="P299" i="2"/>
  <c r="Q299" i="2"/>
  <c r="P295" i="2"/>
  <c r="Q295" i="2"/>
  <c r="P291" i="2"/>
  <c r="Q291" i="2"/>
  <c r="P287" i="2"/>
  <c r="Q287" i="2"/>
  <c r="P283" i="2"/>
  <c r="Q283" i="2"/>
  <c r="P279" i="2"/>
  <c r="Q279" i="2"/>
  <c r="P275" i="2"/>
  <c r="Q275" i="2"/>
  <c r="P271" i="2"/>
  <c r="Q271" i="2"/>
  <c r="P267" i="2"/>
  <c r="Q267" i="2"/>
  <c r="P263" i="2"/>
  <c r="Q263" i="2"/>
  <c r="P259" i="2"/>
  <c r="Q259" i="2"/>
  <c r="P255" i="2"/>
  <c r="Q255" i="2"/>
  <c r="P251" i="2"/>
  <c r="Q251" i="2"/>
  <c r="P247" i="2"/>
  <c r="Q247" i="2"/>
  <c r="P243" i="2"/>
  <c r="Q243" i="2"/>
  <c r="P239" i="2"/>
  <c r="Q239" i="2"/>
  <c r="P235" i="2"/>
  <c r="Q235" i="2"/>
  <c r="P231" i="2"/>
  <c r="Q231" i="2"/>
  <c r="P227" i="2"/>
  <c r="Q227" i="2"/>
  <c r="P223" i="2"/>
  <c r="Q223" i="2"/>
  <c r="P219" i="2"/>
  <c r="Q219" i="2"/>
  <c r="P215" i="2"/>
  <c r="Q215" i="2"/>
  <c r="P211" i="2"/>
  <c r="Q211" i="2"/>
  <c r="P207" i="2"/>
  <c r="Q207" i="2"/>
  <c r="P203" i="2"/>
  <c r="Q203" i="2"/>
  <c r="P199" i="2"/>
  <c r="Q199" i="2"/>
  <c r="P195" i="2"/>
  <c r="Q195" i="2"/>
  <c r="P191" i="2"/>
  <c r="Q191" i="2"/>
  <c r="P187" i="2"/>
  <c r="Q187" i="2"/>
  <c r="P183" i="2"/>
  <c r="Q183" i="2"/>
  <c r="P179" i="2"/>
  <c r="Q179" i="2"/>
  <c r="P175" i="2"/>
  <c r="Q175" i="2"/>
  <c r="P171" i="2"/>
  <c r="Q171" i="2"/>
  <c r="P167" i="2"/>
  <c r="Q167" i="2"/>
  <c r="P163" i="2"/>
  <c r="Q163" i="2"/>
  <c r="P159" i="2"/>
  <c r="Q159" i="2"/>
  <c r="P155" i="2"/>
  <c r="Q155" i="2"/>
  <c r="P151" i="2"/>
  <c r="Q151" i="2"/>
  <c r="P147" i="2"/>
  <c r="Q147" i="2"/>
  <c r="P143" i="2"/>
  <c r="Q143" i="2"/>
  <c r="P135" i="2"/>
  <c r="Q135" i="2"/>
  <c r="P127" i="2"/>
  <c r="Q127" i="2"/>
  <c r="P119" i="2"/>
  <c r="Q119" i="2"/>
  <c r="P111" i="2"/>
  <c r="Q111" i="2"/>
  <c r="P103" i="2"/>
  <c r="Q103" i="2"/>
  <c r="P95" i="2"/>
  <c r="Q95" i="2"/>
  <c r="P87" i="2"/>
  <c r="Q87" i="2"/>
  <c r="P79" i="2"/>
  <c r="Q79" i="2"/>
  <c r="P71" i="2"/>
  <c r="Q71" i="2"/>
  <c r="P63" i="2"/>
  <c r="Q63" i="2"/>
  <c r="P55" i="2"/>
  <c r="Q55" i="2"/>
  <c r="P39" i="2"/>
  <c r="Q39" i="2"/>
  <c r="P7" i="2"/>
  <c r="Q7" i="2"/>
  <c r="Q1629" i="2"/>
  <c r="Q1613" i="2"/>
  <c r="Q1597" i="2"/>
  <c r="Q1581" i="2"/>
  <c r="Q1565" i="2"/>
  <c r="Q1543" i="2"/>
  <c r="Q1522" i="2"/>
  <c r="Q1501" i="2"/>
  <c r="Q1479" i="2"/>
  <c r="Q1458" i="2"/>
  <c r="Q1437" i="2"/>
  <c r="Q1415" i="2"/>
  <c r="Q1387" i="2"/>
  <c r="Q1329" i="2"/>
  <c r="Q1265" i="2"/>
  <c r="Q1201" i="2"/>
  <c r="Q1137" i="2"/>
  <c r="Q1073" i="2"/>
  <c r="Q1009" i="2"/>
  <c r="Q941" i="2"/>
  <c r="Q855" i="2"/>
  <c r="Q592" i="2"/>
  <c r="Q132" i="2"/>
  <c r="P65" i="2"/>
  <c r="P77" i="2"/>
  <c r="Q77" i="2"/>
  <c r="P81" i="2"/>
  <c r="P93" i="2"/>
  <c r="Q93" i="2"/>
  <c r="P105" i="2"/>
  <c r="P117" i="2"/>
  <c r="P129" i="2"/>
  <c r="P141" i="2"/>
  <c r="Q141" i="2"/>
  <c r="P153" i="2"/>
  <c r="P165" i="2"/>
  <c r="P177" i="2"/>
  <c r="P189" i="2"/>
  <c r="Q189" i="2"/>
  <c r="P201" i="2"/>
  <c r="P213" i="2"/>
  <c r="P225" i="2"/>
  <c r="P237" i="2"/>
  <c r="Q237" i="2"/>
  <c r="P245" i="2"/>
  <c r="P261" i="2"/>
  <c r="P273" i="2"/>
  <c r="P285" i="2"/>
  <c r="Q285" i="2"/>
  <c r="P297" i="2"/>
  <c r="P305" i="2"/>
  <c r="P317" i="2"/>
  <c r="Q317" i="2"/>
  <c r="P325" i="2"/>
  <c r="P333" i="2"/>
  <c r="Q333" i="2"/>
  <c r="P345" i="2"/>
  <c r="P357" i="2"/>
  <c r="P369" i="2"/>
  <c r="P381" i="2"/>
  <c r="Q381" i="2"/>
  <c r="P393" i="2"/>
  <c r="P405" i="2"/>
  <c r="P413" i="2"/>
  <c r="Q413" i="2"/>
  <c r="P421" i="2"/>
  <c r="P437" i="2"/>
  <c r="P453" i="2"/>
  <c r="P465" i="2"/>
  <c r="P477" i="2"/>
  <c r="Q477" i="2"/>
  <c r="P485" i="2"/>
  <c r="P493" i="2"/>
  <c r="Q493" i="2"/>
  <c r="P505" i="2"/>
  <c r="P517" i="2"/>
  <c r="P529" i="2"/>
  <c r="P541" i="2"/>
  <c r="Q541" i="2"/>
  <c r="P549" i="2"/>
  <c r="P561" i="2"/>
  <c r="P573" i="2"/>
  <c r="Q573" i="2"/>
  <c r="P577" i="2"/>
  <c r="P589" i="2"/>
  <c r="Q589" i="2"/>
  <c r="P601" i="2"/>
  <c r="P613" i="2"/>
  <c r="P629" i="2"/>
  <c r="P641" i="2"/>
  <c r="P653" i="2"/>
  <c r="Q653" i="2"/>
  <c r="P665" i="2"/>
  <c r="P677" i="2"/>
  <c r="P685" i="2"/>
  <c r="Q685" i="2"/>
  <c r="P693" i="2"/>
  <c r="Q693" i="2"/>
  <c r="P709" i="2"/>
  <c r="Q709" i="2"/>
  <c r="P721" i="2"/>
  <c r="Q721" i="2"/>
  <c r="P733" i="2"/>
  <c r="Q733" i="2"/>
  <c r="P745" i="2"/>
  <c r="Q745" i="2"/>
  <c r="P753" i="2"/>
  <c r="Q753" i="2"/>
  <c r="P765" i="2"/>
  <c r="Q765" i="2"/>
  <c r="P777" i="2"/>
  <c r="Q777" i="2"/>
  <c r="P789" i="2"/>
  <c r="Q789" i="2"/>
  <c r="P805" i="2"/>
  <c r="Q805" i="2"/>
  <c r="P825" i="2"/>
  <c r="P841" i="2"/>
  <c r="Q841" i="2"/>
  <c r="P849" i="2"/>
  <c r="Q849" i="2"/>
  <c r="P861" i="2"/>
  <c r="Q861" i="2"/>
  <c r="P873" i="2"/>
  <c r="Q873" i="2"/>
  <c r="P885" i="2"/>
  <c r="Q885" i="2"/>
  <c r="P897" i="2"/>
  <c r="Q897" i="2"/>
  <c r="P909" i="2"/>
  <c r="Q909" i="2"/>
  <c r="P917" i="2"/>
  <c r="Q917" i="2"/>
  <c r="P929" i="2"/>
  <c r="Q929" i="2"/>
  <c r="P933" i="2"/>
  <c r="Q933" i="2"/>
  <c r="P945" i="2"/>
  <c r="Q945" i="2"/>
  <c r="P953" i="2"/>
  <c r="Q953" i="2"/>
  <c r="P965" i="2"/>
  <c r="Q965" i="2"/>
  <c r="P973" i="2"/>
  <c r="Q973" i="2"/>
  <c r="P993" i="2"/>
  <c r="P1001" i="2"/>
  <c r="Q1001" i="2"/>
  <c r="P1013" i="2"/>
  <c r="Q1013" i="2"/>
  <c r="P1021" i="2"/>
  <c r="Q1021" i="2"/>
  <c r="P1041" i="2"/>
  <c r="P1049" i="2"/>
  <c r="Q1049" i="2"/>
  <c r="P1061" i="2"/>
  <c r="Q1061" i="2"/>
  <c r="P1069" i="2"/>
  <c r="Q1069" i="2"/>
  <c r="P1081" i="2"/>
  <c r="Q1081" i="2"/>
  <c r="P1093" i="2"/>
  <c r="Q1093" i="2"/>
  <c r="P1101" i="2"/>
  <c r="Q1101" i="2"/>
  <c r="P1121" i="2"/>
  <c r="P1129" i="2"/>
  <c r="Q1129" i="2"/>
  <c r="P1141" i="2"/>
  <c r="Q1141" i="2"/>
  <c r="P1149" i="2"/>
  <c r="Q1149" i="2"/>
  <c r="P1157" i="2"/>
  <c r="Q1157" i="2"/>
  <c r="P1165" i="2"/>
  <c r="Q1165" i="2"/>
  <c r="P1185" i="2"/>
  <c r="P1193" i="2"/>
  <c r="Q1193" i="2"/>
  <c r="P1205" i="2"/>
  <c r="Q1205" i="2"/>
  <c r="P1213" i="2"/>
  <c r="Q1213" i="2"/>
  <c r="P1225" i="2"/>
  <c r="Q1225" i="2"/>
  <c r="P1249" i="2"/>
  <c r="P1257" i="2"/>
  <c r="Q1257" i="2"/>
  <c r="P1281" i="2"/>
  <c r="P1289" i="2"/>
  <c r="Q1289" i="2"/>
  <c r="P1301" i="2"/>
  <c r="Q1301" i="2"/>
  <c r="P1309" i="2"/>
  <c r="Q1309" i="2"/>
  <c r="P1321" i="2"/>
  <c r="Q1321" i="2"/>
  <c r="P1349" i="2"/>
  <c r="Q1349" i="2"/>
  <c r="P1979" i="2"/>
  <c r="Q1979" i="2"/>
  <c r="P1971" i="2"/>
  <c r="Q1971" i="2"/>
  <c r="P1963" i="2"/>
  <c r="Q1963" i="2"/>
  <c r="P1955" i="2"/>
  <c r="Q1955" i="2"/>
  <c r="P1947" i="2"/>
  <c r="Q1947" i="2"/>
  <c r="P1939" i="2"/>
  <c r="Q1939" i="2"/>
  <c r="P1931" i="2"/>
  <c r="Q1931" i="2"/>
  <c r="P1923" i="2"/>
  <c r="Q1923" i="2"/>
  <c r="P1915" i="2"/>
  <c r="Q1915" i="2"/>
  <c r="P1907" i="2"/>
  <c r="Q1907" i="2"/>
  <c r="P1899" i="2"/>
  <c r="Q1899" i="2"/>
  <c r="P1891" i="2"/>
  <c r="Q1891" i="2"/>
  <c r="P1883" i="2"/>
  <c r="Q1883" i="2"/>
  <c r="P1875" i="2"/>
  <c r="Q1875" i="2"/>
  <c r="P1867" i="2"/>
  <c r="Q1867" i="2"/>
  <c r="P1859" i="2"/>
  <c r="Q1859" i="2"/>
  <c r="P1851" i="2"/>
  <c r="Q1851" i="2"/>
  <c r="P1843" i="2"/>
  <c r="Q1843" i="2"/>
  <c r="P1839" i="2"/>
  <c r="Q1839" i="2"/>
  <c r="P1831" i="2"/>
  <c r="Q1831" i="2"/>
  <c r="P1823" i="2"/>
  <c r="Q1823" i="2"/>
  <c r="P1815" i="2"/>
  <c r="Q1815" i="2"/>
  <c r="P1807" i="2"/>
  <c r="Q1807" i="2"/>
  <c r="P1799" i="2"/>
  <c r="Q1799" i="2"/>
  <c r="P1791" i="2"/>
  <c r="Q1791" i="2"/>
  <c r="P1783" i="2"/>
  <c r="Q1783" i="2"/>
  <c r="P1775" i="2"/>
  <c r="Q1775" i="2"/>
  <c r="P1767" i="2"/>
  <c r="Q1767" i="2"/>
  <c r="P1755" i="2"/>
  <c r="Q1755" i="2"/>
  <c r="P1978" i="2"/>
  <c r="Q1978" i="2"/>
  <c r="P1974" i="2"/>
  <c r="Q1974" i="2"/>
  <c r="P1970" i="2"/>
  <c r="Q1970" i="2"/>
  <c r="P1966" i="2"/>
  <c r="Q1966" i="2"/>
  <c r="P1962" i="2"/>
  <c r="Q1962" i="2"/>
  <c r="P1958" i="2"/>
  <c r="Q1958" i="2"/>
  <c r="P1954" i="2"/>
  <c r="Q1954" i="2"/>
  <c r="P1950" i="2"/>
  <c r="Q1950" i="2"/>
  <c r="P1946" i="2"/>
  <c r="Q1946" i="2"/>
  <c r="P1942" i="2"/>
  <c r="Q1942" i="2"/>
  <c r="P1938" i="2"/>
  <c r="Q1938" i="2"/>
  <c r="P1934" i="2"/>
  <c r="Q1934" i="2"/>
  <c r="P1930" i="2"/>
  <c r="Q1930" i="2"/>
  <c r="P1926" i="2"/>
  <c r="Q1926" i="2"/>
  <c r="P1922" i="2"/>
  <c r="Q1922" i="2"/>
  <c r="P1918" i="2"/>
  <c r="Q1918" i="2"/>
  <c r="P1914" i="2"/>
  <c r="Q1914" i="2"/>
  <c r="P1910" i="2"/>
  <c r="Q1910" i="2"/>
  <c r="P1906" i="2"/>
  <c r="Q1906" i="2"/>
  <c r="P1902" i="2"/>
  <c r="Q1902" i="2"/>
  <c r="P1898" i="2"/>
  <c r="Q1898" i="2"/>
  <c r="Q1894" i="2"/>
  <c r="P1894" i="2"/>
  <c r="P1890" i="2"/>
  <c r="Q1890" i="2"/>
  <c r="P1886" i="2"/>
  <c r="Q1886" i="2"/>
  <c r="P1882" i="2"/>
  <c r="Q1882" i="2"/>
  <c r="P1878" i="2"/>
  <c r="Q1878" i="2"/>
  <c r="P1874" i="2"/>
  <c r="Q1874" i="2"/>
  <c r="P1870" i="2"/>
  <c r="Q1870" i="2"/>
  <c r="P1866" i="2"/>
  <c r="Q1866" i="2"/>
  <c r="P1862" i="2"/>
  <c r="Q1862" i="2"/>
  <c r="P1858" i="2"/>
  <c r="Q1858" i="2"/>
  <c r="P1854" i="2"/>
  <c r="Q1854" i="2"/>
  <c r="P1850" i="2"/>
  <c r="Q1850" i="2"/>
  <c r="P1846" i="2"/>
  <c r="Q1846" i="2"/>
  <c r="P1842" i="2"/>
  <c r="Q1842" i="2"/>
  <c r="P1838" i="2"/>
  <c r="Q1838" i="2"/>
  <c r="P1834" i="2"/>
  <c r="Q1834" i="2"/>
  <c r="P1830" i="2"/>
  <c r="Q1830" i="2"/>
  <c r="P1826" i="2"/>
  <c r="Q1826" i="2"/>
  <c r="P1822" i="2"/>
  <c r="Q1822" i="2"/>
  <c r="P1818" i="2"/>
  <c r="Q1818" i="2"/>
  <c r="Q1814" i="2"/>
  <c r="P1814" i="2"/>
  <c r="P1810" i="2"/>
  <c r="Q1810" i="2"/>
  <c r="P1806" i="2"/>
  <c r="Q1806" i="2"/>
  <c r="P1802" i="2"/>
  <c r="Q1802" i="2"/>
  <c r="P1798" i="2"/>
  <c r="Q1798" i="2"/>
  <c r="P1794" i="2"/>
  <c r="Q1794" i="2"/>
  <c r="P1790" i="2"/>
  <c r="Q1790" i="2"/>
  <c r="P1786" i="2"/>
  <c r="Q1786" i="2"/>
  <c r="P1782" i="2"/>
  <c r="Q1782" i="2"/>
  <c r="P1778" i="2"/>
  <c r="Q1778" i="2"/>
  <c r="P1774" i="2"/>
  <c r="Q1774" i="2"/>
  <c r="P1770" i="2"/>
  <c r="Q1770" i="2"/>
  <c r="P1766" i="2"/>
  <c r="Q1766" i="2"/>
  <c r="P1762" i="2"/>
  <c r="Q1762" i="2"/>
  <c r="P1758" i="2"/>
  <c r="Q1758" i="2"/>
  <c r="P1754" i="2"/>
  <c r="Q1754" i="2"/>
  <c r="P1750" i="2"/>
  <c r="Q1750" i="2"/>
  <c r="P1746" i="2"/>
  <c r="Q1746" i="2"/>
  <c r="P1742" i="2"/>
  <c r="Q1742" i="2"/>
  <c r="P1738" i="2"/>
  <c r="Q1738" i="2"/>
  <c r="P1734" i="2"/>
  <c r="Q1734" i="2"/>
  <c r="P1730" i="2"/>
  <c r="Q1730" i="2"/>
  <c r="P1726" i="2"/>
  <c r="Q1726" i="2"/>
  <c r="P1722" i="2"/>
  <c r="Q1722" i="2"/>
  <c r="P1718" i="2"/>
  <c r="Q1718" i="2"/>
  <c r="P1714" i="2"/>
  <c r="Q1714" i="2"/>
  <c r="P1710" i="2"/>
  <c r="Q1710" i="2"/>
  <c r="P1706" i="2"/>
  <c r="Q1706" i="2"/>
  <c r="P1702" i="2"/>
  <c r="Q1702" i="2"/>
  <c r="P1698" i="2"/>
  <c r="Q1698" i="2"/>
  <c r="P1694" i="2"/>
  <c r="Q1694" i="2"/>
  <c r="P1690" i="2"/>
  <c r="Q1690" i="2"/>
  <c r="P1686" i="2"/>
  <c r="Q1686" i="2"/>
  <c r="P1682" i="2"/>
  <c r="Q1682" i="2"/>
  <c r="P1678" i="2"/>
  <c r="Q1678" i="2"/>
  <c r="P1674" i="2"/>
  <c r="Q1674" i="2"/>
  <c r="P1670" i="2"/>
  <c r="Q1670" i="2"/>
  <c r="P1666" i="2"/>
  <c r="Q1666" i="2"/>
  <c r="P1662" i="2"/>
  <c r="Q1662" i="2"/>
  <c r="P1658" i="2"/>
  <c r="Q1658" i="2"/>
  <c r="P1654" i="2"/>
  <c r="Q1654" i="2"/>
  <c r="P1650" i="2"/>
  <c r="Q1650" i="2"/>
  <c r="P1646" i="2"/>
  <c r="Q1646" i="2"/>
  <c r="P1642" i="2"/>
  <c r="Q1642" i="2"/>
  <c r="P1638" i="2"/>
  <c r="Q1638" i="2"/>
  <c r="P1634" i="2"/>
  <c r="Q1634" i="2"/>
  <c r="P1630" i="2"/>
  <c r="Q1630" i="2"/>
  <c r="P1626" i="2"/>
  <c r="Q1626" i="2"/>
  <c r="P1622" i="2"/>
  <c r="Q1622" i="2"/>
  <c r="P1618" i="2"/>
  <c r="Q1618" i="2"/>
  <c r="P1614" i="2"/>
  <c r="Q1614" i="2"/>
  <c r="P1610" i="2"/>
  <c r="Q1610" i="2"/>
  <c r="P1606" i="2"/>
  <c r="Q1606" i="2"/>
  <c r="P1602" i="2"/>
  <c r="Q1602" i="2"/>
  <c r="P1598" i="2"/>
  <c r="Q1598" i="2"/>
  <c r="P1594" i="2"/>
  <c r="Q1594" i="2"/>
  <c r="P1590" i="2"/>
  <c r="Q1590" i="2"/>
  <c r="P1586" i="2"/>
  <c r="Q1586" i="2"/>
  <c r="P1582" i="2"/>
  <c r="Q1582" i="2"/>
  <c r="P1578" i="2"/>
  <c r="Q1578" i="2"/>
  <c r="P1574" i="2"/>
  <c r="Q1574" i="2"/>
  <c r="P1570" i="2"/>
  <c r="Q1570" i="2"/>
  <c r="P1566" i="2"/>
  <c r="Q1566" i="2"/>
  <c r="P1562" i="2"/>
  <c r="Q1562" i="2"/>
  <c r="P1558" i="2"/>
  <c r="Q1558" i="2"/>
  <c r="P1550" i="2"/>
  <c r="Q1550" i="2"/>
  <c r="P1546" i="2"/>
  <c r="Q1546" i="2"/>
  <c r="P1542" i="2"/>
  <c r="Q1542" i="2"/>
  <c r="P1534" i="2"/>
  <c r="Q1534" i="2"/>
  <c r="P1530" i="2"/>
  <c r="Q1530" i="2"/>
  <c r="P1526" i="2"/>
  <c r="Q1526" i="2"/>
  <c r="P1518" i="2"/>
  <c r="Q1518" i="2"/>
  <c r="P1514" i="2"/>
  <c r="Q1514" i="2"/>
  <c r="P1510" i="2"/>
  <c r="Q1510" i="2"/>
  <c r="P1502" i="2"/>
  <c r="Q1502" i="2"/>
  <c r="P1498" i="2"/>
  <c r="Q1498" i="2"/>
  <c r="P1494" i="2"/>
  <c r="Q1494" i="2"/>
  <c r="P1486" i="2"/>
  <c r="Q1486" i="2"/>
  <c r="P1482" i="2"/>
  <c r="Q1482" i="2"/>
  <c r="P1478" i="2"/>
  <c r="Q1478" i="2"/>
  <c r="P1470" i="2"/>
  <c r="Q1470" i="2"/>
  <c r="P1466" i="2"/>
  <c r="Q1466" i="2"/>
  <c r="P1462" i="2"/>
  <c r="Q1462" i="2"/>
  <c r="P1454" i="2"/>
  <c r="Q1454" i="2"/>
  <c r="P1450" i="2"/>
  <c r="Q1450" i="2"/>
  <c r="P1446" i="2"/>
  <c r="Q1446" i="2"/>
  <c r="P1438" i="2"/>
  <c r="Q1438" i="2"/>
  <c r="P1434" i="2"/>
  <c r="Q1434" i="2"/>
  <c r="P1430" i="2"/>
  <c r="Q1430" i="2"/>
  <c r="P1422" i="2"/>
  <c r="Q1422" i="2"/>
  <c r="P1418" i="2"/>
  <c r="Q1418" i="2"/>
  <c r="P1414" i="2"/>
  <c r="Q1414" i="2"/>
  <c r="P1406" i="2"/>
  <c r="Q1406" i="2"/>
  <c r="P1402" i="2"/>
  <c r="Q1402" i="2"/>
  <c r="P1398" i="2"/>
  <c r="Q1398" i="2"/>
  <c r="P1394" i="2"/>
  <c r="Q1394" i="2"/>
  <c r="P1390" i="2"/>
  <c r="Q1390" i="2"/>
  <c r="P1386" i="2"/>
  <c r="Q1386" i="2"/>
  <c r="P1382" i="2"/>
  <c r="Q1382" i="2"/>
  <c r="P1378" i="2"/>
  <c r="Q1378" i="2"/>
  <c r="P1374" i="2"/>
  <c r="Q1374" i="2"/>
  <c r="P1370" i="2"/>
  <c r="Q1370" i="2"/>
  <c r="P1366" i="2"/>
  <c r="Q1366" i="2"/>
  <c r="P1362" i="2"/>
  <c r="Q1362" i="2"/>
  <c r="P1358" i="2"/>
  <c r="Q1358" i="2"/>
  <c r="P1354" i="2"/>
  <c r="Q1354" i="2"/>
  <c r="P1350" i="2"/>
  <c r="Q1350" i="2"/>
  <c r="P1346" i="2"/>
  <c r="Q1346" i="2"/>
  <c r="P1342" i="2"/>
  <c r="Q1342" i="2"/>
  <c r="P1338" i="2"/>
  <c r="Q1338" i="2"/>
  <c r="P1334" i="2"/>
  <c r="Q1334" i="2"/>
  <c r="P1330" i="2"/>
  <c r="Q1330" i="2"/>
  <c r="P1326" i="2"/>
  <c r="Q1326" i="2"/>
  <c r="P1322" i="2"/>
  <c r="Q1322" i="2"/>
  <c r="P1318" i="2"/>
  <c r="Q1318" i="2"/>
  <c r="P1314" i="2"/>
  <c r="Q1314" i="2"/>
  <c r="P1310" i="2"/>
  <c r="Q1310" i="2"/>
  <c r="P1306" i="2"/>
  <c r="Q1306" i="2"/>
  <c r="P1302" i="2"/>
  <c r="Q1302" i="2"/>
  <c r="P1298" i="2"/>
  <c r="Q1298" i="2"/>
  <c r="P1294" i="2"/>
  <c r="Q1294" i="2"/>
  <c r="P1290" i="2"/>
  <c r="Q1290" i="2"/>
  <c r="P1286" i="2"/>
  <c r="Q1286" i="2"/>
  <c r="P1282" i="2"/>
  <c r="Q1282" i="2"/>
  <c r="P1278" i="2"/>
  <c r="Q1278" i="2"/>
  <c r="P1274" i="2"/>
  <c r="Q1274" i="2"/>
  <c r="P1270" i="2"/>
  <c r="Q1270" i="2"/>
  <c r="P1266" i="2"/>
  <c r="Q1266" i="2"/>
  <c r="P1262" i="2"/>
  <c r="Q1262" i="2"/>
  <c r="P1258" i="2"/>
  <c r="Q1258" i="2"/>
  <c r="P1254" i="2"/>
  <c r="Q1254" i="2"/>
  <c r="P1250" i="2"/>
  <c r="Q1250" i="2"/>
  <c r="P1246" i="2"/>
  <c r="Q1246" i="2"/>
  <c r="P1242" i="2"/>
  <c r="Q1242" i="2"/>
  <c r="P1238" i="2"/>
  <c r="Q1238" i="2"/>
  <c r="P1234" i="2"/>
  <c r="Q1234" i="2"/>
  <c r="P1230" i="2"/>
  <c r="Q1230" i="2"/>
  <c r="P1226" i="2"/>
  <c r="Q1226" i="2"/>
  <c r="P1222" i="2"/>
  <c r="Q1222" i="2"/>
  <c r="P1218" i="2"/>
  <c r="Q1218" i="2"/>
  <c r="P1214" i="2"/>
  <c r="Q1214" i="2"/>
  <c r="P1210" i="2"/>
  <c r="Q1210" i="2"/>
  <c r="P1206" i="2"/>
  <c r="Q1206" i="2"/>
  <c r="P1202" i="2"/>
  <c r="Q1202" i="2"/>
  <c r="P1198" i="2"/>
  <c r="Q1198" i="2"/>
  <c r="P1194" i="2"/>
  <c r="Q1194" i="2"/>
  <c r="P1190" i="2"/>
  <c r="Q1190" i="2"/>
  <c r="P1186" i="2"/>
  <c r="Q1186" i="2"/>
  <c r="P1182" i="2"/>
  <c r="Q1182" i="2"/>
  <c r="P1178" i="2"/>
  <c r="Q1178" i="2"/>
  <c r="P1174" i="2"/>
  <c r="Q1174" i="2"/>
  <c r="P1170" i="2"/>
  <c r="Q1170" i="2"/>
  <c r="P1166" i="2"/>
  <c r="Q1166" i="2"/>
  <c r="P1162" i="2"/>
  <c r="Q1162" i="2"/>
  <c r="P1158" i="2"/>
  <c r="Q1158" i="2"/>
  <c r="P1154" i="2"/>
  <c r="Q1154" i="2"/>
  <c r="P1150" i="2"/>
  <c r="Q1150" i="2"/>
  <c r="P1146" i="2"/>
  <c r="Q1146" i="2"/>
  <c r="P1142" i="2"/>
  <c r="Q1142" i="2"/>
  <c r="P1138" i="2"/>
  <c r="Q1138" i="2"/>
  <c r="P1134" i="2"/>
  <c r="Q1134" i="2"/>
  <c r="P1130" i="2"/>
  <c r="Q1130" i="2"/>
  <c r="P1126" i="2"/>
  <c r="Q1126" i="2"/>
  <c r="P1122" i="2"/>
  <c r="Q1122" i="2"/>
  <c r="P1118" i="2"/>
  <c r="Q1118" i="2"/>
  <c r="P1114" i="2"/>
  <c r="Q1114" i="2"/>
  <c r="P1110" i="2"/>
  <c r="Q1110" i="2"/>
  <c r="P1106" i="2"/>
  <c r="Q1106" i="2"/>
  <c r="P1102" i="2"/>
  <c r="Q1102" i="2"/>
  <c r="Q1098" i="2"/>
  <c r="P1098" i="2"/>
  <c r="P1094" i="2"/>
  <c r="Q1094" i="2"/>
  <c r="P1090" i="2"/>
  <c r="Q1090" i="2"/>
  <c r="P1086" i="2"/>
  <c r="Q1086" i="2"/>
  <c r="P1082" i="2"/>
  <c r="Q1082" i="2"/>
  <c r="P1078" i="2"/>
  <c r="Q1078" i="2"/>
  <c r="P1074" i="2"/>
  <c r="Q1074" i="2"/>
  <c r="P1070" i="2"/>
  <c r="Q1070" i="2"/>
  <c r="P1066" i="2"/>
  <c r="Q1066" i="2"/>
  <c r="P1062" i="2"/>
  <c r="Q1062" i="2"/>
  <c r="P1058" i="2"/>
  <c r="Q1058" i="2"/>
  <c r="P1054" i="2"/>
  <c r="Q1054" i="2"/>
  <c r="P1050" i="2"/>
  <c r="Q1050" i="2"/>
  <c r="P1046" i="2"/>
  <c r="Q1046" i="2"/>
  <c r="P1042" i="2"/>
  <c r="Q1042" i="2"/>
  <c r="P1038" i="2"/>
  <c r="Q1038" i="2"/>
  <c r="P1034" i="2"/>
  <c r="Q1034" i="2"/>
  <c r="P1030" i="2"/>
  <c r="Q1030" i="2"/>
  <c r="P1026" i="2"/>
  <c r="Q1026" i="2"/>
  <c r="P1022" i="2"/>
  <c r="Q1022" i="2"/>
  <c r="P1018" i="2"/>
  <c r="Q1018" i="2"/>
  <c r="P1014" i="2"/>
  <c r="Q1014" i="2"/>
  <c r="P1010" i="2"/>
  <c r="Q1010" i="2"/>
  <c r="P1006" i="2"/>
  <c r="Q1006" i="2"/>
  <c r="P1002" i="2"/>
  <c r="Q1002" i="2"/>
  <c r="P998" i="2"/>
  <c r="Q998" i="2"/>
  <c r="P994" i="2"/>
  <c r="Q994" i="2"/>
  <c r="P990" i="2"/>
  <c r="Q990" i="2"/>
  <c r="P986" i="2"/>
  <c r="Q986" i="2"/>
  <c r="P982" i="2"/>
  <c r="Q982" i="2"/>
  <c r="P978" i="2"/>
  <c r="Q978" i="2"/>
  <c r="P974" i="2"/>
  <c r="Q974" i="2"/>
  <c r="P970" i="2"/>
  <c r="Q970" i="2"/>
  <c r="P966" i="2"/>
  <c r="Q966" i="2"/>
  <c r="P962" i="2"/>
  <c r="Q962" i="2"/>
  <c r="P958" i="2"/>
  <c r="Q958" i="2"/>
  <c r="P954" i="2"/>
  <c r="Q954" i="2"/>
  <c r="P950" i="2"/>
  <c r="Q950" i="2"/>
  <c r="P946" i="2"/>
  <c r="Q946" i="2"/>
  <c r="P942" i="2"/>
  <c r="Q942" i="2"/>
  <c r="P938" i="2"/>
  <c r="Q938" i="2"/>
  <c r="P934" i="2"/>
  <c r="Q934" i="2"/>
  <c r="P930" i="2"/>
  <c r="Q930" i="2"/>
  <c r="P926" i="2"/>
  <c r="Q926" i="2"/>
  <c r="P922" i="2"/>
  <c r="Q922" i="2"/>
  <c r="P918" i="2"/>
  <c r="Q918" i="2"/>
  <c r="P914" i="2"/>
  <c r="Q914" i="2"/>
  <c r="P910" i="2"/>
  <c r="Q910" i="2"/>
  <c r="P906" i="2"/>
  <c r="Q906" i="2"/>
  <c r="Q902" i="2"/>
  <c r="P902" i="2"/>
  <c r="P894" i="2"/>
  <c r="Q894" i="2"/>
  <c r="P890" i="2"/>
  <c r="Q890" i="2"/>
  <c r="P886" i="2"/>
  <c r="Q886" i="2"/>
  <c r="P882" i="2"/>
  <c r="Q882" i="2"/>
  <c r="P878" i="2"/>
  <c r="Q878" i="2"/>
  <c r="P874" i="2"/>
  <c r="Q874" i="2"/>
  <c r="P870" i="2"/>
  <c r="Q870" i="2"/>
  <c r="P866" i="2"/>
  <c r="Q866" i="2"/>
  <c r="P862" i="2"/>
  <c r="Q862" i="2"/>
  <c r="P858" i="2"/>
  <c r="Q858" i="2"/>
  <c r="P854" i="2"/>
  <c r="Q854" i="2"/>
  <c r="P850" i="2"/>
  <c r="Q850" i="2"/>
  <c r="P846" i="2"/>
  <c r="Q846" i="2"/>
  <c r="P842" i="2"/>
  <c r="Q842" i="2"/>
  <c r="P838" i="2"/>
  <c r="Q838" i="2"/>
  <c r="P834" i="2"/>
  <c r="Q834" i="2"/>
  <c r="P830" i="2"/>
  <c r="Q830" i="2"/>
  <c r="P826" i="2"/>
  <c r="Q826" i="2"/>
  <c r="P822" i="2"/>
  <c r="Q822" i="2"/>
  <c r="P818" i="2"/>
  <c r="Q818" i="2"/>
  <c r="P814" i="2"/>
  <c r="Q814" i="2"/>
  <c r="P810" i="2"/>
  <c r="Q810" i="2"/>
  <c r="P806" i="2"/>
  <c r="Q806" i="2"/>
  <c r="P802" i="2"/>
  <c r="Q802" i="2"/>
  <c r="P798" i="2"/>
  <c r="Q798" i="2"/>
  <c r="P794" i="2"/>
  <c r="Q794" i="2"/>
  <c r="P790" i="2"/>
  <c r="Q790" i="2"/>
  <c r="P786" i="2"/>
  <c r="Q786" i="2"/>
  <c r="P782" i="2"/>
  <c r="Q782" i="2"/>
  <c r="P778" i="2"/>
  <c r="Q778" i="2"/>
  <c r="P774" i="2"/>
  <c r="Q774" i="2"/>
  <c r="P770" i="2"/>
  <c r="Q770" i="2"/>
  <c r="P766" i="2"/>
  <c r="Q766" i="2"/>
  <c r="P762" i="2"/>
  <c r="Q762" i="2"/>
  <c r="P758" i="2"/>
  <c r="Q758" i="2"/>
  <c r="P754" i="2"/>
  <c r="Q754" i="2"/>
  <c r="P750" i="2"/>
  <c r="Q750" i="2"/>
  <c r="P746" i="2"/>
  <c r="Q746" i="2"/>
  <c r="P742" i="2"/>
  <c r="Q742" i="2"/>
  <c r="P738" i="2"/>
  <c r="Q738" i="2"/>
  <c r="P734" i="2"/>
  <c r="Q734" i="2"/>
  <c r="P730" i="2"/>
  <c r="Q730" i="2"/>
  <c r="P726" i="2"/>
  <c r="Q726" i="2"/>
  <c r="P722" i="2"/>
  <c r="Q722" i="2"/>
  <c r="P718" i="2"/>
  <c r="Q718" i="2"/>
  <c r="P714" i="2"/>
  <c r="Q714" i="2"/>
  <c r="P710" i="2"/>
  <c r="Q710" i="2"/>
  <c r="P706" i="2"/>
  <c r="Q706" i="2"/>
  <c r="P702" i="2"/>
  <c r="Q702" i="2"/>
  <c r="P698" i="2"/>
  <c r="Q698" i="2"/>
  <c r="P694" i="2"/>
  <c r="Q694" i="2"/>
  <c r="P690" i="2"/>
  <c r="Q690" i="2"/>
  <c r="P686" i="2"/>
  <c r="Q686" i="2"/>
  <c r="Q1625" i="2"/>
  <c r="Q1609" i="2"/>
  <c r="Q1593" i="2"/>
  <c r="Q1577" i="2"/>
  <c r="Q1559" i="2"/>
  <c r="Q1538" i="2"/>
  <c r="Q1517" i="2"/>
  <c r="Q1495" i="2"/>
  <c r="Q1474" i="2"/>
  <c r="Q1453" i="2"/>
  <c r="Q1431" i="2"/>
  <c r="Q1410" i="2"/>
  <c r="Q1377" i="2"/>
  <c r="Q1313" i="2"/>
  <c r="Q1249" i="2"/>
  <c r="Q1185" i="2"/>
  <c r="Q1121" i="2"/>
  <c r="Q1057" i="2"/>
  <c r="Q993" i="2"/>
  <c r="Q919" i="2"/>
  <c r="Q825" i="2"/>
  <c r="Q479" i="2"/>
  <c r="P1936" i="2"/>
  <c r="P1641" i="2"/>
  <c r="P1645" i="2"/>
  <c r="P1649" i="2"/>
  <c r="P1653" i="2"/>
  <c r="P1657" i="2"/>
  <c r="P1661" i="2"/>
  <c r="P1665" i="2"/>
  <c r="P1669" i="2"/>
  <c r="P1673" i="2"/>
  <c r="P1677" i="2"/>
  <c r="P1681" i="2"/>
  <c r="P1685" i="2"/>
  <c r="P1689" i="2"/>
  <c r="P1693" i="2"/>
  <c r="P1697" i="2"/>
  <c r="P1701" i="2"/>
  <c r="P1705" i="2"/>
  <c r="P1709" i="2"/>
  <c r="P1713" i="2"/>
  <c r="P1717" i="2"/>
  <c r="P1721" i="2"/>
  <c r="P1725" i="2"/>
  <c r="P1729" i="2"/>
  <c r="P1733" i="2"/>
  <c r="P1737" i="2"/>
  <c r="P1741" i="2"/>
  <c r="P1745" i="2"/>
  <c r="P1749" i="2"/>
  <c r="P1753" i="2"/>
  <c r="P1757" i="2"/>
  <c r="P1761" i="2"/>
  <c r="P1765" i="2"/>
  <c r="P1769" i="2"/>
  <c r="P1773" i="2"/>
  <c r="P1777" i="2"/>
  <c r="P1781" i="2"/>
  <c r="P1785" i="2"/>
  <c r="P1789" i="2"/>
  <c r="P1793" i="2"/>
  <c r="P1797" i="2"/>
  <c r="P1801" i="2"/>
  <c r="P1805" i="2"/>
  <c r="P1809" i="2"/>
  <c r="P1813" i="2"/>
  <c r="P1817" i="2"/>
  <c r="P1821" i="2"/>
  <c r="P1825" i="2"/>
  <c r="P1829" i="2"/>
  <c r="P1833" i="2"/>
  <c r="P1837" i="2"/>
  <c r="P1841" i="2"/>
  <c r="P1845" i="2"/>
  <c r="P1849" i="2"/>
  <c r="P1853" i="2"/>
  <c r="P1857" i="2"/>
  <c r="P1861" i="2"/>
  <c r="P1865" i="2"/>
  <c r="P1869" i="2"/>
  <c r="P1873" i="2"/>
  <c r="P1877" i="2"/>
  <c r="P1881" i="2"/>
  <c r="P1885" i="2"/>
  <c r="P1889" i="2"/>
  <c r="P1893" i="2"/>
  <c r="P1897" i="2"/>
  <c r="P1901" i="2"/>
  <c r="P1905" i="2"/>
  <c r="P1909" i="2"/>
  <c r="P1913" i="2"/>
  <c r="P1917" i="2"/>
  <c r="P1921" i="2"/>
  <c r="P1925" i="2"/>
  <c r="P1929" i="2"/>
  <c r="P1933" i="2"/>
  <c r="P1937" i="2"/>
  <c r="P1941" i="2"/>
  <c r="P1945" i="2"/>
  <c r="P1949" i="2"/>
  <c r="P1953" i="2"/>
  <c r="P1957" i="2"/>
  <c r="P1961" i="2"/>
  <c r="P1965" i="2"/>
  <c r="P1969" i="2"/>
  <c r="P1973" i="2"/>
  <c r="P1977" i="2"/>
  <c r="P4" i="2"/>
  <c r="Q4" i="2"/>
  <c r="P23" i="2"/>
  <c r="P47" i="2"/>
  <c r="P3" i="2"/>
  <c r="P11" i="2"/>
  <c r="P15" i="2"/>
  <c r="P19" i="2"/>
  <c r="P27" i="2"/>
  <c r="P31" i="2"/>
  <c r="P35" i="2"/>
  <c r="P43" i="2"/>
  <c r="P51" i="2"/>
  <c r="P59" i="2"/>
  <c r="P67" i="2"/>
  <c r="P75" i="2"/>
  <c r="P83" i="2"/>
  <c r="P91" i="2"/>
  <c r="P99" i="2"/>
  <c r="P107" i="2"/>
  <c r="P115" i="2"/>
  <c r="P123" i="2"/>
  <c r="P131" i="2"/>
  <c r="P139" i="2"/>
  <c r="Q673" i="2"/>
  <c r="Q657" i="2"/>
  <c r="Q641" i="2"/>
  <c r="Q625" i="2"/>
  <c r="Q609" i="2"/>
  <c r="Q593" i="2"/>
  <c r="Q577" i="2"/>
  <c r="Q561" i="2"/>
  <c r="Q545" i="2"/>
  <c r="Q529" i="2"/>
  <c r="Q513" i="2"/>
  <c r="Q497" i="2"/>
  <c r="Q481" i="2"/>
  <c r="Q465" i="2"/>
  <c r="Q449" i="2"/>
  <c r="Q433" i="2"/>
  <c r="Q417" i="2"/>
  <c r="Q401" i="2"/>
  <c r="Q385" i="2"/>
  <c r="Q369" i="2"/>
  <c r="Q353" i="2"/>
  <c r="Q337" i="2"/>
  <c r="Q321" i="2"/>
  <c r="Q305" i="2"/>
  <c r="Q289" i="2"/>
  <c r="Q273" i="2"/>
  <c r="Q257" i="2"/>
  <c r="Q241" i="2"/>
  <c r="Q225" i="2"/>
  <c r="Q209" i="2"/>
  <c r="Q193" i="2"/>
  <c r="Q177" i="2"/>
  <c r="Q161" i="2"/>
  <c r="Q145" i="2"/>
  <c r="Q129" i="2"/>
  <c r="Q113" i="2"/>
  <c r="Q97" i="2"/>
  <c r="Q81" i="2"/>
  <c r="Q65" i="2"/>
  <c r="Q33" i="2"/>
  <c r="Q41" i="2"/>
  <c r="P41" i="2"/>
  <c r="Q677" i="2"/>
  <c r="Q661" i="2"/>
  <c r="Q645" i="2"/>
  <c r="Q629" i="2"/>
  <c r="Q613" i="2"/>
  <c r="Q597" i="2"/>
  <c r="Q581" i="2"/>
  <c r="Q565" i="2"/>
  <c r="Q549" i="2"/>
  <c r="Q533" i="2"/>
  <c r="Q517" i="2"/>
  <c r="Q501" i="2"/>
  <c r="Q485" i="2"/>
  <c r="Q469" i="2"/>
  <c r="Q453" i="2"/>
  <c r="Q437" i="2"/>
  <c r="Q421" i="2"/>
  <c r="Q405" i="2"/>
  <c r="Q389" i="2"/>
  <c r="Q373" i="2"/>
  <c r="Q357" i="2"/>
  <c r="Q341" i="2"/>
  <c r="Q325" i="2"/>
  <c r="Q309" i="2"/>
  <c r="Q293" i="2"/>
  <c r="Q277" i="2"/>
  <c r="Q261" i="2"/>
  <c r="Q245" i="2"/>
  <c r="Q229" i="2"/>
  <c r="Q213" i="2"/>
  <c r="Q197" i="2"/>
  <c r="Q181" i="2"/>
  <c r="Q165" i="2"/>
  <c r="Q149" i="2"/>
  <c r="Q133" i="2"/>
  <c r="Q117" i="2"/>
  <c r="Q101" i="2"/>
  <c r="Q85" i="2"/>
  <c r="Q69" i="2"/>
  <c r="Q17" i="2"/>
  <c r="Q681" i="2"/>
  <c r="Q665" i="2"/>
  <c r="Q649" i="2"/>
  <c r="Q633" i="2"/>
  <c r="Q617" i="2"/>
  <c r="Q601" i="2"/>
  <c r="Q585" i="2"/>
  <c r="Q569" i="2"/>
  <c r="Q553" i="2"/>
  <c r="Q537" i="2"/>
  <c r="Q521" i="2"/>
  <c r="Q505" i="2"/>
  <c r="Q489" i="2"/>
  <c r="Q473" i="2"/>
  <c r="Q457" i="2"/>
  <c r="Q441" i="2"/>
  <c r="Q425" i="2"/>
  <c r="Q409" i="2"/>
  <c r="Q393" i="2"/>
  <c r="Q377" i="2"/>
  <c r="Q361" i="2"/>
  <c r="Q345" i="2"/>
  <c r="Q329" i="2"/>
  <c r="Q313" i="2"/>
  <c r="Q297" i="2"/>
  <c r="Q281" i="2"/>
  <c r="Q265" i="2"/>
  <c r="Q249" i="2"/>
  <c r="Q233" i="2"/>
  <c r="Q217" i="2"/>
  <c r="Q201" i="2"/>
  <c r="Q185" i="2"/>
  <c r="Q169" i="2"/>
  <c r="Q153" i="2"/>
  <c r="Q137" i="2"/>
  <c r="Q121" i="2"/>
  <c r="Q105" i="2"/>
  <c r="Q89" i="2"/>
  <c r="Q73" i="2"/>
  <c r="Q57" i="2"/>
  <c r="Q53" i="2"/>
  <c r="Q37" i="2"/>
  <c r="Q21" i="2"/>
  <c r="Q5" i="2"/>
  <c r="Q25" i="2"/>
  <c r="Q9" i="2"/>
  <c r="Q45" i="2"/>
  <c r="Q29" i="2"/>
  <c r="Q13" i="2"/>
  <c r="P674" i="2"/>
  <c r="Q674" i="2"/>
  <c r="P662" i="2"/>
  <c r="Q662" i="2"/>
  <c r="P650" i="2"/>
  <c r="Q650" i="2"/>
  <c r="P638" i="2"/>
  <c r="Q638" i="2"/>
  <c r="P626" i="2"/>
  <c r="Q626" i="2"/>
  <c r="P614" i="2"/>
  <c r="Q614" i="2"/>
  <c r="P602" i="2"/>
  <c r="Q602" i="2"/>
  <c r="P590" i="2"/>
  <c r="Q590" i="2"/>
  <c r="P582" i="2"/>
  <c r="Q582" i="2"/>
  <c r="P570" i="2"/>
  <c r="Q570" i="2"/>
  <c r="P554" i="2"/>
  <c r="Q554" i="2"/>
  <c r="P538" i="2"/>
  <c r="Q538" i="2"/>
  <c r="P526" i="2"/>
  <c r="Q526" i="2"/>
  <c r="P514" i="2"/>
  <c r="Q514" i="2"/>
  <c r="P506" i="2"/>
  <c r="Q506" i="2"/>
  <c r="P494" i="2"/>
  <c r="Q494" i="2"/>
  <c r="P482" i="2"/>
  <c r="Q482" i="2"/>
  <c r="P470" i="2"/>
  <c r="Q470" i="2"/>
  <c r="P458" i="2"/>
  <c r="Q458" i="2"/>
  <c r="P446" i="2"/>
  <c r="Q446" i="2"/>
  <c r="P434" i="2"/>
  <c r="Q434" i="2"/>
  <c r="P422" i="2"/>
  <c r="Q422" i="2"/>
  <c r="P414" i="2"/>
  <c r="Q414" i="2"/>
  <c r="P402" i="2"/>
  <c r="Q402" i="2"/>
  <c r="P390" i="2"/>
  <c r="Q390" i="2"/>
  <c r="P378" i="2"/>
  <c r="Q378" i="2"/>
  <c r="P362" i="2"/>
  <c r="Q362" i="2"/>
  <c r="P350" i="2"/>
  <c r="Q350" i="2"/>
  <c r="P338" i="2"/>
  <c r="Q338" i="2"/>
  <c r="P326" i="2"/>
  <c r="Q326" i="2"/>
  <c r="P314" i="2"/>
  <c r="Q314" i="2"/>
  <c r="P302" i="2"/>
  <c r="Q302" i="2"/>
  <c r="P290" i="2"/>
  <c r="Q290" i="2"/>
  <c r="P278" i="2"/>
  <c r="Q278" i="2"/>
  <c r="P266" i="2"/>
  <c r="Q266" i="2"/>
  <c r="P254" i="2"/>
  <c r="Q254" i="2"/>
  <c r="P250" i="2"/>
  <c r="Q250" i="2"/>
  <c r="P246" i="2"/>
  <c r="Q246" i="2"/>
  <c r="P234" i="2"/>
  <c r="Q234" i="2"/>
  <c r="P222" i="2"/>
  <c r="Q222" i="2"/>
  <c r="P210" i="2"/>
  <c r="Q210" i="2"/>
  <c r="P198" i="2"/>
  <c r="Q198" i="2"/>
  <c r="P186" i="2"/>
  <c r="Q186" i="2"/>
  <c r="P174" i="2"/>
  <c r="Q174" i="2"/>
  <c r="P166" i="2"/>
  <c r="Q166" i="2"/>
  <c r="P154" i="2"/>
  <c r="Q154" i="2"/>
  <c r="P142" i="2"/>
  <c r="Q142" i="2"/>
  <c r="P130" i="2"/>
  <c r="Q130" i="2"/>
  <c r="P118" i="2"/>
  <c r="Q118" i="2"/>
  <c r="P106" i="2"/>
  <c r="Q106" i="2"/>
  <c r="P94" i="2"/>
  <c r="Q94" i="2"/>
  <c r="P82" i="2"/>
  <c r="Q82" i="2"/>
  <c r="P70" i="2"/>
  <c r="Q70" i="2"/>
  <c r="P58" i="2"/>
  <c r="Q58" i="2"/>
  <c r="P46" i="2"/>
  <c r="Q46" i="2"/>
  <c r="P34" i="2"/>
  <c r="Q34" i="2"/>
  <c r="P6" i="2"/>
  <c r="Q6" i="2"/>
  <c r="P678" i="2"/>
  <c r="Q678" i="2"/>
  <c r="P666" i="2"/>
  <c r="Q666" i="2"/>
  <c r="P654" i="2"/>
  <c r="Q654" i="2"/>
  <c r="P642" i="2"/>
  <c r="Q642" i="2"/>
  <c r="P630" i="2"/>
  <c r="Q630" i="2"/>
  <c r="P618" i="2"/>
  <c r="Q618" i="2"/>
  <c r="P606" i="2"/>
  <c r="Q606" i="2"/>
  <c r="P594" i="2"/>
  <c r="Q594" i="2"/>
  <c r="P578" i="2"/>
  <c r="Q578" i="2"/>
  <c r="P566" i="2"/>
  <c r="Q566" i="2"/>
  <c r="P558" i="2"/>
  <c r="Q558" i="2"/>
  <c r="P546" i="2"/>
  <c r="Q546" i="2"/>
  <c r="P534" i="2"/>
  <c r="Q534" i="2"/>
  <c r="P518" i="2"/>
  <c r="Q518" i="2"/>
  <c r="P502" i="2"/>
  <c r="Q502" i="2"/>
  <c r="P490" i="2"/>
  <c r="Q490" i="2"/>
  <c r="P478" i="2"/>
  <c r="Q478" i="2"/>
  <c r="P466" i="2"/>
  <c r="Q466" i="2"/>
  <c r="P454" i="2"/>
  <c r="Q454" i="2"/>
  <c r="P442" i="2"/>
  <c r="Q442" i="2"/>
  <c r="P430" i="2"/>
  <c r="Q430" i="2"/>
  <c r="P418" i="2"/>
  <c r="Q418" i="2"/>
  <c r="P406" i="2"/>
  <c r="Q406" i="2"/>
  <c r="P394" i="2"/>
  <c r="Q394" i="2"/>
  <c r="P382" i="2"/>
  <c r="Q382" i="2"/>
  <c r="P374" i="2"/>
  <c r="Q374" i="2"/>
  <c r="P366" i="2"/>
  <c r="Q366" i="2"/>
  <c r="P354" i="2"/>
  <c r="Q354" i="2"/>
  <c r="P342" i="2"/>
  <c r="Q342" i="2"/>
  <c r="P330" i="2"/>
  <c r="Q330" i="2"/>
  <c r="P318" i="2"/>
  <c r="Q318" i="2"/>
  <c r="P306" i="2"/>
  <c r="Q306" i="2"/>
  <c r="P294" i="2"/>
  <c r="Q294" i="2"/>
  <c r="P286" i="2"/>
  <c r="Q286" i="2"/>
  <c r="P274" i="2"/>
  <c r="Q274" i="2"/>
  <c r="P258" i="2"/>
  <c r="Q258" i="2"/>
  <c r="P238" i="2"/>
  <c r="Q238" i="2"/>
  <c r="P230" i="2"/>
  <c r="Q230" i="2"/>
  <c r="P218" i="2"/>
  <c r="Q218" i="2"/>
  <c r="P206" i="2"/>
  <c r="Q206" i="2"/>
  <c r="P194" i="2"/>
  <c r="Q194" i="2"/>
  <c r="P182" i="2"/>
  <c r="Q182" i="2"/>
  <c r="P170" i="2"/>
  <c r="Q170" i="2"/>
  <c r="P158" i="2"/>
  <c r="Q158" i="2"/>
  <c r="P146" i="2"/>
  <c r="Q146" i="2"/>
  <c r="P134" i="2"/>
  <c r="Q134" i="2"/>
  <c r="P126" i="2"/>
  <c r="Q126" i="2"/>
  <c r="P114" i="2"/>
  <c r="Q114" i="2"/>
  <c r="P98" i="2"/>
  <c r="Q98" i="2"/>
  <c r="P86" i="2"/>
  <c r="Q86" i="2"/>
  <c r="P74" i="2"/>
  <c r="Q74" i="2"/>
  <c r="P62" i="2"/>
  <c r="Q62" i="2"/>
  <c r="P50" i="2"/>
  <c r="Q50" i="2"/>
  <c r="P38" i="2"/>
  <c r="Q38" i="2"/>
  <c r="P26" i="2"/>
  <c r="Q26" i="2"/>
  <c r="P18" i="2"/>
  <c r="Q18" i="2"/>
  <c r="P10" i="2"/>
  <c r="Q10" i="2"/>
  <c r="P682" i="2"/>
  <c r="Q682" i="2"/>
  <c r="P670" i="2"/>
  <c r="Q670" i="2"/>
  <c r="P658" i="2"/>
  <c r="Q658" i="2"/>
  <c r="P646" i="2"/>
  <c r="Q646" i="2"/>
  <c r="P634" i="2"/>
  <c r="Q634" i="2"/>
  <c r="P622" i="2"/>
  <c r="Q622" i="2"/>
  <c r="P610" i="2"/>
  <c r="Q610" i="2"/>
  <c r="P598" i="2"/>
  <c r="Q598" i="2"/>
  <c r="P586" i="2"/>
  <c r="Q586" i="2"/>
  <c r="P574" i="2"/>
  <c r="Q574" i="2"/>
  <c r="P562" i="2"/>
  <c r="Q562" i="2"/>
  <c r="P550" i="2"/>
  <c r="Q550" i="2"/>
  <c r="P542" i="2"/>
  <c r="Q542" i="2"/>
  <c r="P530" i="2"/>
  <c r="Q530" i="2"/>
  <c r="P522" i="2"/>
  <c r="Q522" i="2"/>
  <c r="P510" i="2"/>
  <c r="Q510" i="2"/>
  <c r="P498" i="2"/>
  <c r="Q498" i="2"/>
  <c r="P486" i="2"/>
  <c r="Q486" i="2"/>
  <c r="P474" i="2"/>
  <c r="Q474" i="2"/>
  <c r="P462" i="2"/>
  <c r="Q462" i="2"/>
  <c r="P450" i="2"/>
  <c r="Q450" i="2"/>
  <c r="P438" i="2"/>
  <c r="Q438" i="2"/>
  <c r="P426" i="2"/>
  <c r="Q426" i="2"/>
  <c r="P410" i="2"/>
  <c r="Q410" i="2"/>
  <c r="P398" i="2"/>
  <c r="Q398" i="2"/>
  <c r="P386" i="2"/>
  <c r="Q386" i="2"/>
  <c r="P370" i="2"/>
  <c r="Q370" i="2"/>
  <c r="P358" i="2"/>
  <c r="Q358" i="2"/>
  <c r="P346" i="2"/>
  <c r="Q346" i="2"/>
  <c r="P334" i="2"/>
  <c r="Q334" i="2"/>
  <c r="P322" i="2"/>
  <c r="Q322" i="2"/>
  <c r="P310" i="2"/>
  <c r="Q310" i="2"/>
  <c r="P298" i="2"/>
  <c r="Q298" i="2"/>
  <c r="P282" i="2"/>
  <c r="Q282" i="2"/>
  <c r="P270" i="2"/>
  <c r="Q270" i="2"/>
  <c r="P262" i="2"/>
  <c r="Q262" i="2"/>
  <c r="P242" i="2"/>
  <c r="Q242" i="2"/>
  <c r="P226" i="2"/>
  <c r="Q226" i="2"/>
  <c r="P214" i="2"/>
  <c r="Q214" i="2"/>
  <c r="P202" i="2"/>
  <c r="Q202" i="2"/>
  <c r="P190" i="2"/>
  <c r="Q190" i="2"/>
  <c r="P178" i="2"/>
  <c r="Q178" i="2"/>
  <c r="P162" i="2"/>
  <c r="Q162" i="2"/>
  <c r="P150" i="2"/>
  <c r="Q150" i="2"/>
  <c r="P138" i="2"/>
  <c r="Q138" i="2"/>
  <c r="P122" i="2"/>
  <c r="Q122" i="2"/>
  <c r="P110" i="2"/>
  <c r="Q110" i="2"/>
  <c r="P102" i="2"/>
  <c r="Q102" i="2"/>
  <c r="P90" i="2"/>
  <c r="Q90" i="2"/>
  <c r="P78" i="2"/>
  <c r="Q78" i="2"/>
  <c r="P66" i="2"/>
  <c r="Q66" i="2"/>
  <c r="P54" i="2"/>
  <c r="Q54" i="2"/>
  <c r="P42" i="2"/>
  <c r="Q42" i="2"/>
  <c r="P30" i="2"/>
  <c r="Q30" i="2"/>
  <c r="P22" i="2"/>
  <c r="Q22" i="2"/>
  <c r="P14" i="2"/>
  <c r="Q1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<sst xmlns="http://schemas.openxmlformats.org/spreadsheetml/2006/main" count="44094" uniqueCount="3290">
  <si>
    <t>Invoice ID</t>
  </si>
  <si>
    <t>Order Date</t>
  </si>
  <si>
    <t>Dealer Name</t>
  </si>
  <si>
    <t>State</t>
  </si>
  <si>
    <t>City</t>
  </si>
  <si>
    <t>Region</t>
  </si>
  <si>
    <t>Sales Executive</t>
  </si>
  <si>
    <t>Product Category</t>
  </si>
  <si>
    <t>Tractor Model</t>
  </si>
  <si>
    <t>Quantity</t>
  </si>
  <si>
    <t>Unit Price</t>
  </si>
  <si>
    <t>Discount %</t>
  </si>
  <si>
    <t>Sales Amount</t>
  </si>
  <si>
    <t>Payment Status</t>
  </si>
  <si>
    <t>Delivery Status</t>
  </si>
  <si>
    <t>GST Status</t>
  </si>
  <si>
    <t>Order Status</t>
  </si>
  <si>
    <t>INV1000</t>
  </si>
  <si>
    <t>2024/04/23</t>
  </si>
  <si>
    <t>Shakti Agro</t>
  </si>
  <si>
    <t>UP</t>
  </si>
  <si>
    <t>Lucknow</t>
  </si>
  <si>
    <t>North</t>
  </si>
  <si>
    <t xml:space="preserve">NEHA </t>
  </si>
  <si>
    <t>Farmtrac 60</t>
  </si>
  <si>
    <t>Partial</t>
  </si>
  <si>
    <t>Cancelled</t>
  </si>
  <si>
    <t>Invalid</t>
  </si>
  <si>
    <t>INV1001</t>
  </si>
  <si>
    <t>2024/02/04</t>
  </si>
  <si>
    <t>Karnataka</t>
  </si>
  <si>
    <t>Bengaluru</t>
  </si>
  <si>
    <t>South</t>
  </si>
  <si>
    <t>Priya</t>
  </si>
  <si>
    <t>Kubota MU4501</t>
  </si>
  <si>
    <t>INV1002</t>
  </si>
  <si>
    <t>2024/12/31</t>
  </si>
  <si>
    <t>Green Field</t>
  </si>
  <si>
    <t>Maharashtra</t>
  </si>
  <si>
    <t>Pune</t>
  </si>
  <si>
    <t>West</t>
  </si>
  <si>
    <t>Amit</t>
  </si>
  <si>
    <t>Pending</t>
  </si>
  <si>
    <t>Delivered</t>
  </si>
  <si>
    <t>Valid</t>
  </si>
  <si>
    <t>INV1003</t>
  </si>
  <si>
    <t>09/15/2024</t>
  </si>
  <si>
    <t>Haryana</t>
  </si>
  <si>
    <t>Gurugram</t>
  </si>
  <si>
    <t>INV1004</t>
  </si>
  <si>
    <t>28-05-2025</t>
  </si>
  <si>
    <t>haryana</t>
  </si>
  <si>
    <t>Neha</t>
  </si>
  <si>
    <t>Farmtrac 45</t>
  </si>
  <si>
    <t>Paid</t>
  </si>
  <si>
    <t>Completed</t>
  </si>
  <si>
    <t>INV1005</t>
  </si>
  <si>
    <t>27-03-2025</t>
  </si>
  <si>
    <t>Powertrac 439</t>
  </si>
  <si>
    <t>INV1006</t>
  </si>
  <si>
    <t>09-10-2024</t>
  </si>
  <si>
    <t xml:space="preserve"> Green Field  </t>
  </si>
  <si>
    <t>Vikas</t>
  </si>
  <si>
    <t>INV1007</t>
  </si>
  <si>
    <t>17-11-2024</t>
  </si>
  <si>
    <t>Kisan Tractors</t>
  </si>
  <si>
    <t>West Bengal</t>
  </si>
  <si>
    <t>Kolkata</t>
  </si>
  <si>
    <t>East</t>
  </si>
  <si>
    <t>In Transit</t>
  </si>
  <si>
    <t>INV1008</t>
  </si>
  <si>
    <t>09-11-2024</t>
  </si>
  <si>
    <t xml:space="preserve">Gurugram </t>
  </si>
  <si>
    <t>Rohit</t>
  </si>
  <si>
    <t>INV1009</t>
  </si>
  <si>
    <t>23-11-2024</t>
  </si>
  <si>
    <t>Mahadev Motors</t>
  </si>
  <si>
    <t>INV1010</t>
  </si>
  <si>
    <t>2024/02/07</t>
  </si>
  <si>
    <t xml:space="preserve"> Mahadev Motors  </t>
  </si>
  <si>
    <t>INV1011</t>
  </si>
  <si>
    <t>16-01-2025</t>
  </si>
  <si>
    <t>INV1012</t>
  </si>
  <si>
    <t>INV1013</t>
  </si>
  <si>
    <t>2024/09/19</t>
  </si>
  <si>
    <t>Agri Motors</t>
  </si>
  <si>
    <t>Kubota NeoStar</t>
  </si>
  <si>
    <t>INV1014</t>
  </si>
  <si>
    <t>2024/08/20</t>
  </si>
  <si>
    <t xml:space="preserve">PRIYA </t>
  </si>
  <si>
    <t>INV1015</t>
  </si>
  <si>
    <t xml:space="preserve"> Agri Motors  </t>
  </si>
  <si>
    <t>INV1016</t>
  </si>
  <si>
    <t>2024/07/09</t>
  </si>
  <si>
    <t xml:space="preserve">VIKAS </t>
  </si>
  <si>
    <t>INV1017</t>
  </si>
  <si>
    <t>08/02/2024</t>
  </si>
  <si>
    <t>INV1018</t>
  </si>
  <si>
    <t>14-08-2024</t>
  </si>
  <si>
    <t xml:space="preserve"> Kisan Tractors  </t>
  </si>
  <si>
    <t>INV1019</t>
  </si>
  <si>
    <t>2024/12/15</t>
  </si>
  <si>
    <t>INV1020</t>
  </si>
  <si>
    <t>22-06-2024</t>
  </si>
  <si>
    <t>INV1021</t>
  </si>
  <si>
    <t>2025/03/07</t>
  </si>
  <si>
    <t>karnataka</t>
  </si>
  <si>
    <t>INV1022</t>
  </si>
  <si>
    <t>06/02/2024</t>
  </si>
  <si>
    <t>INV1023</t>
  </si>
  <si>
    <t>01/01/2025</t>
  </si>
  <si>
    <t>INV1024</t>
  </si>
  <si>
    <t>2024/12/18</t>
  </si>
  <si>
    <t>INV1025</t>
  </si>
  <si>
    <t>12/13/2024</t>
  </si>
  <si>
    <t>INV1026</t>
  </si>
  <si>
    <t>2024/01/29</t>
  </si>
  <si>
    <t>INV1027</t>
  </si>
  <si>
    <t>12/01/2024</t>
  </si>
  <si>
    <t>Uttar Pradesh</t>
  </si>
  <si>
    <t>INV1028</t>
  </si>
  <si>
    <t>20-04-2025</t>
  </si>
  <si>
    <t>INV1029</t>
  </si>
  <si>
    <t>23-06-2024</t>
  </si>
  <si>
    <t xml:space="preserve">AMIT </t>
  </si>
  <si>
    <t>INV1030</t>
  </si>
  <si>
    <t>14-01-2025</t>
  </si>
  <si>
    <t>INV1031</t>
  </si>
  <si>
    <t>21-05-2024</t>
  </si>
  <si>
    <t>maharashtra</t>
  </si>
  <si>
    <t xml:space="preserve">Pune </t>
  </si>
  <si>
    <t>INV1032</t>
  </si>
  <si>
    <t>11-04-2024</t>
  </si>
  <si>
    <t>INV1033</t>
  </si>
  <si>
    <t>01/09/2025</t>
  </si>
  <si>
    <t xml:space="preserve">ROHIT </t>
  </si>
  <si>
    <t>INV1034</t>
  </si>
  <si>
    <t>12/25/2024</t>
  </si>
  <si>
    <t>INV1035</t>
  </si>
  <si>
    <t>05/12/2024</t>
  </si>
  <si>
    <t>INV1036</t>
  </si>
  <si>
    <t>08-09-2024</t>
  </si>
  <si>
    <t xml:space="preserve">Bengaluru </t>
  </si>
  <si>
    <t>INV1037</t>
  </si>
  <si>
    <t>06/05/2025</t>
  </si>
  <si>
    <t>INV1038</t>
  </si>
  <si>
    <t>2024/03/25</t>
  </si>
  <si>
    <t>INV1039</t>
  </si>
  <si>
    <t>02-10-2024</t>
  </si>
  <si>
    <t>INV1040</t>
  </si>
  <si>
    <t>2025/04/12</t>
  </si>
  <si>
    <t>10-02-2024</t>
  </si>
  <si>
    <t>INV1042</t>
  </si>
  <si>
    <t>25-02-2025</t>
  </si>
  <si>
    <t>west bengal</t>
  </si>
  <si>
    <t>INV1043</t>
  </si>
  <si>
    <t>01/25/2025</t>
  </si>
  <si>
    <t>INV1044</t>
  </si>
  <si>
    <t>04/20/2024</t>
  </si>
  <si>
    <t>INV1045</t>
  </si>
  <si>
    <t>2024/07/05</t>
  </si>
  <si>
    <t>INV1046</t>
  </si>
  <si>
    <t>2025/03/26</t>
  </si>
  <si>
    <t>INV1047</t>
  </si>
  <si>
    <t>2024/12/27</t>
  </si>
  <si>
    <t>INV1048</t>
  </si>
  <si>
    <t>10/16/2024</t>
  </si>
  <si>
    <t>INV1049</t>
  </si>
  <si>
    <t>2025/01/06</t>
  </si>
  <si>
    <t>INV1050</t>
  </si>
  <si>
    <t>01-05-2025</t>
  </si>
  <si>
    <t>INV1051</t>
  </si>
  <si>
    <t>2024/03/26</t>
  </si>
  <si>
    <t>INV1052</t>
  </si>
  <si>
    <t>16-06-2024</t>
  </si>
  <si>
    <t>INV1053</t>
  </si>
  <si>
    <t>01/21/2025</t>
  </si>
  <si>
    <t>INV1054</t>
  </si>
  <si>
    <t>05-05-2024</t>
  </si>
  <si>
    <t>INV1055</t>
  </si>
  <si>
    <t>2024/07/02</t>
  </si>
  <si>
    <t>INV1056</t>
  </si>
  <si>
    <t>10-08-2024</t>
  </si>
  <si>
    <t>INV1057</t>
  </si>
  <si>
    <t>2025/04/10</t>
  </si>
  <si>
    <t>INV1058</t>
  </si>
  <si>
    <t>05/25/2025</t>
  </si>
  <si>
    <t>INV1059</t>
  </si>
  <si>
    <t>08/21/2024</t>
  </si>
  <si>
    <t xml:space="preserve">Lucknow </t>
  </si>
  <si>
    <t>INV1060</t>
  </si>
  <si>
    <t>12/15/2024</t>
  </si>
  <si>
    <t>INV1061</t>
  </si>
  <si>
    <t>2024/07/21</t>
  </si>
  <si>
    <t>INV1062</t>
  </si>
  <si>
    <t>04-01-2025</t>
  </si>
  <si>
    <t>INV1063</t>
  </si>
  <si>
    <t>2024/11/06</t>
  </si>
  <si>
    <t xml:space="preserve"> Shakti Agro  </t>
  </si>
  <si>
    <t>INV1064</t>
  </si>
  <si>
    <t>17-10-2024</t>
  </si>
  <si>
    <t xml:space="preserve">Kolkata </t>
  </si>
  <si>
    <t>INV1065</t>
  </si>
  <si>
    <t>10/18/2024</t>
  </si>
  <si>
    <t>INV1066</t>
  </si>
  <si>
    <t>08-02-2025</t>
  </si>
  <si>
    <t>INV1067</t>
  </si>
  <si>
    <t>06/21/2025</t>
  </si>
  <si>
    <t>INV1068</t>
  </si>
  <si>
    <t>12/02/2024</t>
  </si>
  <si>
    <t>INV1069</t>
  </si>
  <si>
    <t>16-02-2024</t>
  </si>
  <si>
    <t>INV1070</t>
  </si>
  <si>
    <t>2025/06/14</t>
  </si>
  <si>
    <t>INV1071</t>
  </si>
  <si>
    <t>11/21/2024</t>
  </si>
  <si>
    <t>INV1072</t>
  </si>
  <si>
    <t>2024/01/27</t>
  </si>
  <si>
    <t>INV1073</t>
  </si>
  <si>
    <t>19-11-2024</t>
  </si>
  <si>
    <t>INV1074</t>
  </si>
  <si>
    <t>04/25/2025</t>
  </si>
  <si>
    <t>INV1075</t>
  </si>
  <si>
    <t>04/21/2024</t>
  </si>
  <si>
    <t>INV1076</t>
  </si>
  <si>
    <t>09/23/2024</t>
  </si>
  <si>
    <t>INV1077</t>
  </si>
  <si>
    <t>05-04-2025</t>
  </si>
  <si>
    <t>INV1078</t>
  </si>
  <si>
    <t>2024/10/23</t>
  </si>
  <si>
    <t>INV1079</t>
  </si>
  <si>
    <t>INV1080</t>
  </si>
  <si>
    <t>2024/03/15</t>
  </si>
  <si>
    <t>INV1081</t>
  </si>
  <si>
    <t>02/14/2024</t>
  </si>
  <si>
    <t>INV1082</t>
  </si>
  <si>
    <t>01/14/2024</t>
  </si>
  <si>
    <t>INV1083</t>
  </si>
  <si>
    <t>11/14/2024</t>
  </si>
  <si>
    <t>INV1084</t>
  </si>
  <si>
    <t>02-04-2024</t>
  </si>
  <si>
    <t>INV1085</t>
  </si>
  <si>
    <t>03/28/2025</t>
  </si>
  <si>
    <t>INV1086</t>
  </si>
  <si>
    <t>2025/03/10</t>
  </si>
  <si>
    <t>INV1087</t>
  </si>
  <si>
    <t>29-05-2024</t>
  </si>
  <si>
    <t>INV1088</t>
  </si>
  <si>
    <t>27-03-2024</t>
  </si>
  <si>
    <t>INV1089</t>
  </si>
  <si>
    <t>02/10/2024</t>
  </si>
  <si>
    <t>INV1090</t>
  </si>
  <si>
    <t>2024/04/07</t>
  </si>
  <si>
    <t>INV1091</t>
  </si>
  <si>
    <t>11/02/2024</t>
  </si>
  <si>
    <t>INV1092</t>
  </si>
  <si>
    <t>2024/04/29</t>
  </si>
  <si>
    <t>INV1093</t>
  </si>
  <si>
    <t>05/11/2024</t>
  </si>
  <si>
    <t>INV1094</t>
  </si>
  <si>
    <t>14-11-2024</t>
  </si>
  <si>
    <t>INV1095</t>
  </si>
  <si>
    <t>2025/04/11</t>
  </si>
  <si>
    <t>INV1096</t>
  </si>
  <si>
    <t>07/17/2024</t>
  </si>
  <si>
    <t>INV1097</t>
  </si>
  <si>
    <t>2025/04/15</t>
  </si>
  <si>
    <t>INV1098</t>
  </si>
  <si>
    <t>28-02-2025</t>
  </si>
  <si>
    <t>INV1099</t>
  </si>
  <si>
    <t>2025/05/27</t>
  </si>
  <si>
    <t>INV1100</t>
  </si>
  <si>
    <t>20-01-2025</t>
  </si>
  <si>
    <t>INV1101</t>
  </si>
  <si>
    <t>05/20/2024</t>
  </si>
  <si>
    <t>INV1102</t>
  </si>
  <si>
    <t>06/14/2025</t>
  </si>
  <si>
    <t>INV1103</t>
  </si>
  <si>
    <t>08/07/2024</t>
  </si>
  <si>
    <t>INV1104</t>
  </si>
  <si>
    <t>2024/12/03</t>
  </si>
  <si>
    <t>INV1105</t>
  </si>
  <si>
    <t>2024/01/24</t>
  </si>
  <si>
    <t>INV1106</t>
  </si>
  <si>
    <t>22-05-2025</t>
  </si>
  <si>
    <t>INV1107</t>
  </si>
  <si>
    <t>27-02-2025</t>
  </si>
  <si>
    <t>INV1108</t>
  </si>
  <si>
    <t>25-02-2024</t>
  </si>
  <si>
    <t>INV1109</t>
  </si>
  <si>
    <t>08-03-2025</t>
  </si>
  <si>
    <t>INV1110</t>
  </si>
  <si>
    <t>INV1111</t>
  </si>
  <si>
    <t>14-04-2025</t>
  </si>
  <si>
    <t>INV1112</t>
  </si>
  <si>
    <t>2025/02/21</t>
  </si>
  <si>
    <t>INV1113</t>
  </si>
  <si>
    <t>12/19/2024</t>
  </si>
  <si>
    <t>INV1114</t>
  </si>
  <si>
    <t>04/03/2025</t>
  </si>
  <si>
    <t>INV1115</t>
  </si>
  <si>
    <t>05/15/2025</t>
  </si>
  <si>
    <t>INV1116</t>
  </si>
  <si>
    <t>2025/05/29</t>
  </si>
  <si>
    <t>INV1117</t>
  </si>
  <si>
    <t>04/30/2025</t>
  </si>
  <si>
    <t>INV1118</t>
  </si>
  <si>
    <t>10/26/2024</t>
  </si>
  <si>
    <t>INV1119</t>
  </si>
  <si>
    <t>30-05-2024</t>
  </si>
  <si>
    <t>INV1120</t>
  </si>
  <si>
    <t>05/05/2025</t>
  </si>
  <si>
    <t>INV1121</t>
  </si>
  <si>
    <t>14-02-2024</t>
  </si>
  <si>
    <t>INV1122</t>
  </si>
  <si>
    <t>2024/11/10</t>
  </si>
  <si>
    <t>INV1123</t>
  </si>
  <si>
    <t>15-08-2024</t>
  </si>
  <si>
    <t>INV1124</t>
  </si>
  <si>
    <t>22-02-2025</t>
  </si>
  <si>
    <t>INV1125</t>
  </si>
  <si>
    <t>2025/04/16</t>
  </si>
  <si>
    <t>INV1126</t>
  </si>
  <si>
    <t>2024/09/28</t>
  </si>
  <si>
    <t>INV1127</t>
  </si>
  <si>
    <t>08/10/2024</t>
  </si>
  <si>
    <t>INV1128</t>
  </si>
  <si>
    <t>10/31/2024</t>
  </si>
  <si>
    <t>INV1129</t>
  </si>
  <si>
    <t>2024/08/19</t>
  </si>
  <si>
    <t>INV1130</t>
  </si>
  <si>
    <t>2024/10/01</t>
  </si>
  <si>
    <t>INV1131</t>
  </si>
  <si>
    <t>04-12-2024</t>
  </si>
  <si>
    <t>INV1132</t>
  </si>
  <si>
    <t>2025/05/24</t>
  </si>
  <si>
    <t>INV1133</t>
  </si>
  <si>
    <t>2025/06/03</t>
  </si>
  <si>
    <t>INV1134</t>
  </si>
  <si>
    <t>03/19/2025</t>
  </si>
  <si>
    <t>INV1135</t>
  </si>
  <si>
    <t>09-08-2024</t>
  </si>
  <si>
    <t>INV1136</t>
  </si>
  <si>
    <t>24-05-2025</t>
  </si>
  <si>
    <t>INV1137</t>
  </si>
  <si>
    <t>06/03/2025</t>
  </si>
  <si>
    <t>INV1138</t>
  </si>
  <si>
    <t>03-07-2024</t>
  </si>
  <si>
    <t>INV1139</t>
  </si>
  <si>
    <t>11-01-2024</t>
  </si>
  <si>
    <t>INV1140</t>
  </si>
  <si>
    <t>2024/09/03</t>
  </si>
  <si>
    <t>INV1141</t>
  </si>
  <si>
    <t>INV1142</t>
  </si>
  <si>
    <t>01/02/2024</t>
  </si>
  <si>
    <t>INV1143</t>
  </si>
  <si>
    <t>06/29/2024</t>
  </si>
  <si>
    <t>INV1144</t>
  </si>
  <si>
    <t>03/06/2024</t>
  </si>
  <si>
    <t>INV1145</t>
  </si>
  <si>
    <t>2024/12/09</t>
  </si>
  <si>
    <t>INV1146</t>
  </si>
  <si>
    <t>21-12-2024</t>
  </si>
  <si>
    <t>INV1147</t>
  </si>
  <si>
    <t>05/04/2025</t>
  </si>
  <si>
    <t>INV1148</t>
  </si>
  <si>
    <t>09/19/2024</t>
  </si>
  <si>
    <t>INV1149</t>
  </si>
  <si>
    <t>2025/06/13</t>
  </si>
  <si>
    <t>INV1150</t>
  </si>
  <si>
    <t>2024/11/22</t>
  </si>
  <si>
    <t>INV1151</t>
  </si>
  <si>
    <t>2024/06/14</t>
  </si>
  <si>
    <t>INV1152</t>
  </si>
  <si>
    <t>15-07-2024</t>
  </si>
  <si>
    <t>INV1153</t>
  </si>
  <si>
    <t>27-10-2024</t>
  </si>
  <si>
    <t>INV1154</t>
  </si>
  <si>
    <t>2025/04/07</t>
  </si>
  <si>
    <t>INV1155</t>
  </si>
  <si>
    <t>23-06-2025</t>
  </si>
  <si>
    <t>INV1156</t>
  </si>
  <si>
    <t>17-09-2024</t>
  </si>
  <si>
    <t>INV1157</t>
  </si>
  <si>
    <t>07/21/2024</t>
  </si>
  <si>
    <t>INV1158</t>
  </si>
  <si>
    <t>INV1159</t>
  </si>
  <si>
    <t>01/24/2025</t>
  </si>
  <si>
    <t>INV1160</t>
  </si>
  <si>
    <t>10-05-2024</t>
  </si>
  <si>
    <t>INV1161</t>
  </si>
  <si>
    <t>2024/09/16</t>
  </si>
  <si>
    <t>INV1162</t>
  </si>
  <si>
    <t>2025/01/21</t>
  </si>
  <si>
    <t>INV1163</t>
  </si>
  <si>
    <t>10-09-2024</t>
  </si>
  <si>
    <t>INV1164</t>
  </si>
  <si>
    <t>05/16/2024</t>
  </si>
  <si>
    <t>INV1165</t>
  </si>
  <si>
    <t>13-04-2024</t>
  </si>
  <si>
    <t>INV1166</t>
  </si>
  <si>
    <t>05/26/2025</t>
  </si>
  <si>
    <t>INV1167</t>
  </si>
  <si>
    <t>INV1168</t>
  </si>
  <si>
    <t>12/18/2024</t>
  </si>
  <si>
    <t>INV1169</t>
  </si>
  <si>
    <t>07/18/2024</t>
  </si>
  <si>
    <t>INV1170</t>
  </si>
  <si>
    <t>INV1171</t>
  </si>
  <si>
    <t>2025/01/10</t>
  </si>
  <si>
    <t>INV1172</t>
  </si>
  <si>
    <t>24-01-2024</t>
  </si>
  <si>
    <t>INV1173</t>
  </si>
  <si>
    <t>2025/02/14</t>
  </si>
  <si>
    <t>INV1174</t>
  </si>
  <si>
    <t>10-03-2025</t>
  </si>
  <si>
    <t>INV1175</t>
  </si>
  <si>
    <t>12/29/2024</t>
  </si>
  <si>
    <t>INV1176</t>
  </si>
  <si>
    <t>05/25/2024</t>
  </si>
  <si>
    <t>INV1177</t>
  </si>
  <si>
    <t>14-06-2025</t>
  </si>
  <si>
    <t>INV1178</t>
  </si>
  <si>
    <t>2024/04/01</t>
  </si>
  <si>
    <t>INV1179</t>
  </si>
  <si>
    <t>2024/07/31</t>
  </si>
  <si>
    <t>INV1180</t>
  </si>
  <si>
    <t>2024/09/13</t>
  </si>
  <si>
    <t>INV1181</t>
  </si>
  <si>
    <t>05-09-2024</t>
  </si>
  <si>
    <t>INV1182</t>
  </si>
  <si>
    <t>2024/10/21</t>
  </si>
  <si>
    <t>INV1183</t>
  </si>
  <si>
    <t>05/06/2024</t>
  </si>
  <si>
    <t>INV1184</t>
  </si>
  <si>
    <t>2024/02/28</t>
  </si>
  <si>
    <t>INV1185</t>
  </si>
  <si>
    <t>2024/05/14</t>
  </si>
  <si>
    <t>INV1186</t>
  </si>
  <si>
    <t>28-01-2024</t>
  </si>
  <si>
    <t>INV1187</t>
  </si>
  <si>
    <t>2025/02/08</t>
  </si>
  <si>
    <t>INV1188</t>
  </si>
  <si>
    <t>10/03/2024</t>
  </si>
  <si>
    <t>INV1189</t>
  </si>
  <si>
    <t>2025/01/23</t>
  </si>
  <si>
    <t>INV1190</t>
  </si>
  <si>
    <t>24-06-2025</t>
  </si>
  <si>
    <t>INV1191</t>
  </si>
  <si>
    <t>2024/12/04</t>
  </si>
  <si>
    <t>INV1192</t>
  </si>
  <si>
    <t>18-02-2024</t>
  </si>
  <si>
    <t>INV1193</t>
  </si>
  <si>
    <t>2025/02/25</t>
  </si>
  <si>
    <t>INV1194</t>
  </si>
  <si>
    <t>2025/05/03</t>
  </si>
  <si>
    <t>INV1195</t>
  </si>
  <si>
    <t>INV1196</t>
  </si>
  <si>
    <t>2024/10/29</t>
  </si>
  <si>
    <t>INV1197</t>
  </si>
  <si>
    <t>25-05-2025</t>
  </si>
  <si>
    <t>INV1198</t>
  </si>
  <si>
    <t>2025/03/15</t>
  </si>
  <si>
    <t>INV1199</t>
  </si>
  <si>
    <t>2024/09/04</t>
  </si>
  <si>
    <t>INV1200</t>
  </si>
  <si>
    <t>04/12/2025</t>
  </si>
  <si>
    <t>INV1201</t>
  </si>
  <si>
    <t>03/15/2024</t>
  </si>
  <si>
    <t>INV1202</t>
  </si>
  <si>
    <t>2024/06/13</t>
  </si>
  <si>
    <t>INV1203</t>
  </si>
  <si>
    <t>04/23/2024</t>
  </si>
  <si>
    <t>INV1204</t>
  </si>
  <si>
    <t>2024/06/19</t>
  </si>
  <si>
    <t>INV1205</t>
  </si>
  <si>
    <t>INV1206</t>
  </si>
  <si>
    <t>INV1207</t>
  </si>
  <si>
    <t>08-04-2024</t>
  </si>
  <si>
    <t>INV1208</t>
  </si>
  <si>
    <t>17-04-2024</t>
  </si>
  <si>
    <t>INV1209</t>
  </si>
  <si>
    <t>INV1210</t>
  </si>
  <si>
    <t>2024/11/29</t>
  </si>
  <si>
    <t>INV1211</t>
  </si>
  <si>
    <t>03-09-2024</t>
  </si>
  <si>
    <t>INV1212</t>
  </si>
  <si>
    <t>2025/04/01</t>
  </si>
  <si>
    <t>INV1213</t>
  </si>
  <si>
    <t>05/28/2025</t>
  </si>
  <si>
    <t>INV1214</t>
  </si>
  <si>
    <t>01/22/2024</t>
  </si>
  <si>
    <t>INV1215</t>
  </si>
  <si>
    <t>01/21/2024</t>
  </si>
  <si>
    <t>INV1216</t>
  </si>
  <si>
    <t>18-01-2025</t>
  </si>
  <si>
    <t>INV1217</t>
  </si>
  <si>
    <t>2024/09/02</t>
  </si>
  <si>
    <t>INV1218</t>
  </si>
  <si>
    <t>2024/10/24</t>
  </si>
  <si>
    <t>INV1219</t>
  </si>
  <si>
    <t>01/16/2025</t>
  </si>
  <si>
    <t>INV1220</t>
  </si>
  <si>
    <t>INV1221</t>
  </si>
  <si>
    <t>13-10-2024</t>
  </si>
  <si>
    <t>INV1222</t>
  </si>
  <si>
    <t>23-04-2025</t>
  </si>
  <si>
    <t>INV1223</t>
  </si>
  <si>
    <t>2024/11/21</t>
  </si>
  <si>
    <t>INV1224</t>
  </si>
  <si>
    <t>03-01-2025</t>
  </si>
  <si>
    <t>INV1225</t>
  </si>
  <si>
    <t>2024/03/17</t>
  </si>
  <si>
    <t>INV1226</t>
  </si>
  <si>
    <t>04/02/2025</t>
  </si>
  <si>
    <t>INV1227</t>
  </si>
  <si>
    <t>2024/05/26</t>
  </si>
  <si>
    <t>INV1228</t>
  </si>
  <si>
    <t>11-04-2025</t>
  </si>
  <si>
    <t>INV1229</t>
  </si>
  <si>
    <t>04-08-2024</t>
  </si>
  <si>
    <t>INV1230</t>
  </si>
  <si>
    <t>06-01-2025</t>
  </si>
  <si>
    <t>INV1231</t>
  </si>
  <si>
    <t>31-12-2024</t>
  </si>
  <si>
    <t>INV1232</t>
  </si>
  <si>
    <t>10-02-2025</t>
  </si>
  <si>
    <t>INV1233</t>
  </si>
  <si>
    <t>01-01-2024</t>
  </si>
  <si>
    <t>INV1234</t>
  </si>
  <si>
    <t>16-05-2025</t>
  </si>
  <si>
    <t>INV1235</t>
  </si>
  <si>
    <t>03/25/2024</t>
  </si>
  <si>
    <t>INV1236</t>
  </si>
  <si>
    <t>05-10-2024</t>
  </si>
  <si>
    <t>INV1237</t>
  </si>
  <si>
    <t>INV1238</t>
  </si>
  <si>
    <t>09/09/2024</t>
  </si>
  <si>
    <t>INV1239</t>
  </si>
  <si>
    <t>2024/08/16</t>
  </si>
  <si>
    <t>INV1240</t>
  </si>
  <si>
    <t>INV1241</t>
  </si>
  <si>
    <t>INV1242</t>
  </si>
  <si>
    <t>2024/11/02</t>
  </si>
  <si>
    <t>INV1243</t>
  </si>
  <si>
    <t>2024/02/22</t>
  </si>
  <si>
    <t>INV1244</t>
  </si>
  <si>
    <t>2025/04/21</t>
  </si>
  <si>
    <t>INV1245</t>
  </si>
  <si>
    <t>2024/11/26</t>
  </si>
  <si>
    <t>INV1246</t>
  </si>
  <si>
    <t>INV1247</t>
  </si>
  <si>
    <t>10/01/2024</t>
  </si>
  <si>
    <t>INV1248</t>
  </si>
  <si>
    <t>14-06-2024</t>
  </si>
  <si>
    <t>INV1249</t>
  </si>
  <si>
    <t>INV1250</t>
  </si>
  <si>
    <t>11/09/2024</t>
  </si>
  <si>
    <t>INV1251</t>
  </si>
  <si>
    <t>2024/06/11</t>
  </si>
  <si>
    <t>INV1252</t>
  </si>
  <si>
    <t>03/10/2024</t>
  </si>
  <si>
    <t>INV1253</t>
  </si>
  <si>
    <t>27-08-2024</t>
  </si>
  <si>
    <t>INV1254</t>
  </si>
  <si>
    <t>04/16/2024</t>
  </si>
  <si>
    <t>INV1255</t>
  </si>
  <si>
    <t>31-01-2024</t>
  </si>
  <si>
    <t>INV1256</t>
  </si>
  <si>
    <t>2024/03/20</t>
  </si>
  <si>
    <t>INV1257</t>
  </si>
  <si>
    <t>09/17/2024</t>
  </si>
  <si>
    <t>INV1258</t>
  </si>
  <si>
    <t>01/10/2024</t>
  </si>
  <si>
    <t>INV1259</t>
  </si>
  <si>
    <t>03/31/2025</t>
  </si>
  <si>
    <t>INV1260</t>
  </si>
  <si>
    <t>12/07/2024</t>
  </si>
  <si>
    <t>INV1261</t>
  </si>
  <si>
    <t>01/19/2024</t>
  </si>
  <si>
    <t>INV1262</t>
  </si>
  <si>
    <t>2024/07/18</t>
  </si>
  <si>
    <t>INV1263</t>
  </si>
  <si>
    <t>INV1264</t>
  </si>
  <si>
    <t>07/07/2024</t>
  </si>
  <si>
    <t>INV1265</t>
  </si>
  <si>
    <t>11-06-2025</t>
  </si>
  <si>
    <t>04/07/2025</t>
  </si>
  <si>
    <t>INV1267</t>
  </si>
  <si>
    <t>12/04/2024</t>
  </si>
  <si>
    <t>INV1268</t>
  </si>
  <si>
    <t>2025/02/10</t>
  </si>
  <si>
    <t>INV1269</t>
  </si>
  <si>
    <t>INV1270</t>
  </si>
  <si>
    <t>19-10-2024</t>
  </si>
  <si>
    <t>INV1271</t>
  </si>
  <si>
    <t>2025/02/27</t>
  </si>
  <si>
    <t>INV1272</t>
  </si>
  <si>
    <t>13-02-2025</t>
  </si>
  <si>
    <t>INV1273</t>
  </si>
  <si>
    <t>18-01-2024</t>
  </si>
  <si>
    <t>INV1274</t>
  </si>
  <si>
    <t>INV1275</t>
  </si>
  <si>
    <t>28-03-2024</t>
  </si>
  <si>
    <t>INV1276</t>
  </si>
  <si>
    <t>13-03-2024</t>
  </si>
  <si>
    <t>INV1277</t>
  </si>
  <si>
    <t>INV1278</t>
  </si>
  <si>
    <t>01/11/2025</t>
  </si>
  <si>
    <t>INV1279</t>
  </si>
  <si>
    <t>26-05-2024</t>
  </si>
  <si>
    <t>INV1280</t>
  </si>
  <si>
    <t>INV1281</t>
  </si>
  <si>
    <t>2024/03/11</t>
  </si>
  <si>
    <t>INV1282</t>
  </si>
  <si>
    <t>28-05-2024</t>
  </si>
  <si>
    <t>INV1283</t>
  </si>
  <si>
    <t>2024/05/16</t>
  </si>
  <si>
    <t>INV1284</t>
  </si>
  <si>
    <t>2024/01/26</t>
  </si>
  <si>
    <t>INV1285</t>
  </si>
  <si>
    <t>21-02-2025</t>
  </si>
  <si>
    <t>INV1286</t>
  </si>
  <si>
    <t>02/09/2025</t>
  </si>
  <si>
    <t>INV1287</t>
  </si>
  <si>
    <t>06/18/2025</t>
  </si>
  <si>
    <t>INV1288</t>
  </si>
  <si>
    <t>2024/05/03</t>
  </si>
  <si>
    <t>INV1289</t>
  </si>
  <si>
    <t>04-05-2025</t>
  </si>
  <si>
    <t>INV1290</t>
  </si>
  <si>
    <t>02/21/2025</t>
  </si>
  <si>
    <t>INV1291</t>
  </si>
  <si>
    <t>2025/01/28</t>
  </si>
  <si>
    <t>INV1292</t>
  </si>
  <si>
    <t>INV1293</t>
  </si>
  <si>
    <t>31-10-2024</t>
  </si>
  <si>
    <t>INV1294</t>
  </si>
  <si>
    <t>INV1295</t>
  </si>
  <si>
    <t>29-04-2024</t>
  </si>
  <si>
    <t>INV1296</t>
  </si>
  <si>
    <t>20-04-2024</t>
  </si>
  <si>
    <t>INV1297</t>
  </si>
  <si>
    <t>INV1298</t>
  </si>
  <si>
    <t>09/04/2024</t>
  </si>
  <si>
    <t>INV1299</t>
  </si>
  <si>
    <t>23-03-2024</t>
  </si>
  <si>
    <t>INV1300</t>
  </si>
  <si>
    <t>2024/12/26</t>
  </si>
  <si>
    <t>INV1301</t>
  </si>
  <si>
    <t>05/06/2025</t>
  </si>
  <si>
    <t>INV1302</t>
  </si>
  <si>
    <t>2024/05/30</t>
  </si>
  <si>
    <t>INV1303</t>
  </si>
  <si>
    <t>14-03-2025</t>
  </si>
  <si>
    <t>INV1304</t>
  </si>
  <si>
    <t>09-03-2025</t>
  </si>
  <si>
    <t>INV1305</t>
  </si>
  <si>
    <t>2024/06/12</t>
  </si>
  <si>
    <t>INV1306</t>
  </si>
  <si>
    <t>02/26/2025</t>
  </si>
  <si>
    <t>INV1307</t>
  </si>
  <si>
    <t>2024/08/08</t>
  </si>
  <si>
    <t>INV1308</t>
  </si>
  <si>
    <t>15-12-2024</t>
  </si>
  <si>
    <t>INV1309</t>
  </si>
  <si>
    <t>INV1310</t>
  </si>
  <si>
    <t>INV1311</t>
  </si>
  <si>
    <t>INV1312</t>
  </si>
  <si>
    <t>2024/12/29</t>
  </si>
  <si>
    <t>INV1313</t>
  </si>
  <si>
    <t>04/11/2024</t>
  </si>
  <si>
    <t>INV1314</t>
  </si>
  <si>
    <t>INV1315</t>
  </si>
  <si>
    <t>04/24/2024</t>
  </si>
  <si>
    <t>INV1316</t>
  </si>
  <si>
    <t>INV1317</t>
  </si>
  <si>
    <t>03-05-2025</t>
  </si>
  <si>
    <t>INV1318</t>
  </si>
  <si>
    <t>2024/03/29</t>
  </si>
  <si>
    <t>INV1319</t>
  </si>
  <si>
    <t>12-08-2024</t>
  </si>
  <si>
    <t>INV1320</t>
  </si>
  <si>
    <t>16-03-2025</t>
  </si>
  <si>
    <t>INV1321</t>
  </si>
  <si>
    <t>2024/04/17</t>
  </si>
  <si>
    <t>INV1322</t>
  </si>
  <si>
    <t>2025/06/19</t>
  </si>
  <si>
    <t>INV1323</t>
  </si>
  <si>
    <t>04/28/2024</t>
  </si>
  <si>
    <t>INV1324</t>
  </si>
  <si>
    <t>26-02-2025</t>
  </si>
  <si>
    <t>INV1325</t>
  </si>
  <si>
    <t>2024/10/11</t>
  </si>
  <si>
    <t>INV1326</t>
  </si>
  <si>
    <t>2024/08/18</t>
  </si>
  <si>
    <t>INV1327</t>
  </si>
  <si>
    <t>12/26/2024</t>
  </si>
  <si>
    <t>INV1328</t>
  </si>
  <si>
    <t>2024/12/19</t>
  </si>
  <si>
    <t>INV1329</t>
  </si>
  <si>
    <t>INV1330</t>
  </si>
  <si>
    <t>22-05-2024</t>
  </si>
  <si>
    <t>INV1331</t>
  </si>
  <si>
    <t>2024/02/23</t>
  </si>
  <si>
    <t>INV1332</t>
  </si>
  <si>
    <t>2025/01/16</t>
  </si>
  <si>
    <t>INV1333</t>
  </si>
  <si>
    <t>2024/06/20</t>
  </si>
  <si>
    <t>INV1334</t>
  </si>
  <si>
    <t>03/21/2024</t>
  </si>
  <si>
    <t>INV1335</t>
  </si>
  <si>
    <t>03/29/2024</t>
  </si>
  <si>
    <t>INV1336</t>
  </si>
  <si>
    <t>02/13/2025</t>
  </si>
  <si>
    <t>INV1337</t>
  </si>
  <si>
    <t>04/09/2025</t>
  </si>
  <si>
    <t>INV1338</t>
  </si>
  <si>
    <t>2025/04/24</t>
  </si>
  <si>
    <t>INV1339</t>
  </si>
  <si>
    <t>INV1340</t>
  </si>
  <si>
    <t>INV1341</t>
  </si>
  <si>
    <t>INV1342</t>
  </si>
  <si>
    <t>2025/02/23</t>
  </si>
  <si>
    <t>INV1343</t>
  </si>
  <si>
    <t>01-02-2025</t>
  </si>
  <si>
    <t>INV1344</t>
  </si>
  <si>
    <t>2024/06/15</t>
  </si>
  <si>
    <t>INV1345</t>
  </si>
  <si>
    <t>29-01-2024</t>
  </si>
  <si>
    <t>INV1346</t>
  </si>
  <si>
    <t>07-09-2024</t>
  </si>
  <si>
    <t>INV1347</t>
  </si>
  <si>
    <t>12/11/2024</t>
  </si>
  <si>
    <t>INV1348</t>
  </si>
  <si>
    <t>01/03/2024</t>
  </si>
  <si>
    <t>INV1349</t>
  </si>
  <si>
    <t>18-07-2024</t>
  </si>
  <si>
    <t>INV1350</t>
  </si>
  <si>
    <t>INV1351</t>
  </si>
  <si>
    <t>INV1352</t>
  </si>
  <si>
    <t>INV1353</t>
  </si>
  <si>
    <t>01/20/2024</t>
  </si>
  <si>
    <t>2024/10/07</t>
  </si>
  <si>
    <t>INV1355</t>
  </si>
  <si>
    <t>01/16/2024</t>
  </si>
  <si>
    <t>INV1356</t>
  </si>
  <si>
    <t>2025/05/31</t>
  </si>
  <si>
    <t>INV1357</t>
  </si>
  <si>
    <t>25-11-2024</t>
  </si>
  <si>
    <t>INV1358</t>
  </si>
  <si>
    <t>01/18/2025</t>
  </si>
  <si>
    <t>INV1359</t>
  </si>
  <si>
    <t>02/04/2025</t>
  </si>
  <si>
    <t>INV1360</t>
  </si>
  <si>
    <t>2025/02/04</t>
  </si>
  <si>
    <t>02/05/2024</t>
  </si>
  <si>
    <t>INV1362</t>
  </si>
  <si>
    <t>INV1363</t>
  </si>
  <si>
    <t>19-05-2024</t>
  </si>
  <si>
    <t>INV1364</t>
  </si>
  <si>
    <t>06/26/2024</t>
  </si>
  <si>
    <t>INV1365</t>
  </si>
  <si>
    <t>01-09-2024</t>
  </si>
  <si>
    <t>INV1366</t>
  </si>
  <si>
    <t>2024/08/04</t>
  </si>
  <si>
    <t>INV1367</t>
  </si>
  <si>
    <t>02/02/2024</t>
  </si>
  <si>
    <t>INV1368</t>
  </si>
  <si>
    <t>2024/09/21</t>
  </si>
  <si>
    <t>INV1369</t>
  </si>
  <si>
    <t>06/16/2025</t>
  </si>
  <si>
    <t>INV1370</t>
  </si>
  <si>
    <t>11/28/2024</t>
  </si>
  <si>
    <t>INV1371</t>
  </si>
  <si>
    <t>2025/04/26</t>
  </si>
  <si>
    <t>INV1372</t>
  </si>
  <si>
    <t>07/30/2024</t>
  </si>
  <si>
    <t>INV1373</t>
  </si>
  <si>
    <t>INV1374</t>
  </si>
  <si>
    <t>INV1375</t>
  </si>
  <si>
    <t>09-09-2024</t>
  </si>
  <si>
    <t>INV1376</t>
  </si>
  <si>
    <t>INV1377</t>
  </si>
  <si>
    <t>04/10/2025</t>
  </si>
  <si>
    <t>INV1378</t>
  </si>
  <si>
    <t>INV1379</t>
  </si>
  <si>
    <t>10/13/2024</t>
  </si>
  <si>
    <t>INV1380</t>
  </si>
  <si>
    <t>2025/02/12</t>
  </si>
  <si>
    <t>INV1381</t>
  </si>
  <si>
    <t>10-04-2025</t>
  </si>
  <si>
    <t>INV1382</t>
  </si>
  <si>
    <t>10/09/2024</t>
  </si>
  <si>
    <t>INV1383</t>
  </si>
  <si>
    <t>03/09/2024</t>
  </si>
  <si>
    <t>INV1384</t>
  </si>
  <si>
    <t>21-07-2024</t>
  </si>
  <si>
    <t>INV1385</t>
  </si>
  <si>
    <t>INV1386</t>
  </si>
  <si>
    <t>02-05-2024</t>
  </si>
  <si>
    <t>INV1387</t>
  </si>
  <si>
    <t>11-05-2024</t>
  </si>
  <si>
    <t>INV1388</t>
  </si>
  <si>
    <t>10/17/2024</t>
  </si>
  <si>
    <t>INV1389</t>
  </si>
  <si>
    <t>INV1390</t>
  </si>
  <si>
    <t>2025/02/17</t>
  </si>
  <si>
    <t>INV1391</t>
  </si>
  <si>
    <t>02-01-2025</t>
  </si>
  <si>
    <t>INV1392</t>
  </si>
  <si>
    <t>2024/06/07</t>
  </si>
  <si>
    <t>INV1393</t>
  </si>
  <si>
    <t>18-06-2024</t>
  </si>
  <si>
    <t>INV1394</t>
  </si>
  <si>
    <t>2024/07/23</t>
  </si>
  <si>
    <t>INV1395</t>
  </si>
  <si>
    <t>INV1396</t>
  </si>
  <si>
    <t>2024/02/02</t>
  </si>
  <si>
    <t>INV1397</t>
  </si>
  <si>
    <t>INV1398</t>
  </si>
  <si>
    <t>2024/07/25</t>
  </si>
  <si>
    <t>INV1399</t>
  </si>
  <si>
    <t>INV1400</t>
  </si>
  <si>
    <t>INV1401</t>
  </si>
  <si>
    <t>05-08-2024</t>
  </si>
  <si>
    <t>INV1402</t>
  </si>
  <si>
    <t>11/25/2024</t>
  </si>
  <si>
    <t>INV1403</t>
  </si>
  <si>
    <t>06-07-2024</t>
  </si>
  <si>
    <t>INV1404</t>
  </si>
  <si>
    <t>INV1405</t>
  </si>
  <si>
    <t>INV1406</t>
  </si>
  <si>
    <t>23-04-2024</t>
  </si>
  <si>
    <t>INV1407</t>
  </si>
  <si>
    <t>INV1408</t>
  </si>
  <si>
    <t>11/12/2024</t>
  </si>
  <si>
    <t>INV1409</t>
  </si>
  <si>
    <t>2025/04/09</t>
  </si>
  <si>
    <t>INV1410</t>
  </si>
  <si>
    <t>02/02/2025</t>
  </si>
  <si>
    <t>INV1411</t>
  </si>
  <si>
    <t>10-03-2024</t>
  </si>
  <si>
    <t>INV1412</t>
  </si>
  <si>
    <t>2024/09/20</t>
  </si>
  <si>
    <t>INV1413</t>
  </si>
  <si>
    <t>11-03-2025</t>
  </si>
  <si>
    <t>INV1414</t>
  </si>
  <si>
    <t>2024/09/11</t>
  </si>
  <si>
    <t>INV1415</t>
  </si>
  <si>
    <t>14-07-2024</t>
  </si>
  <si>
    <t>INV1416</t>
  </si>
  <si>
    <t>26-11-2024</t>
  </si>
  <si>
    <t>INV1417</t>
  </si>
  <si>
    <t>2025/06/05</t>
  </si>
  <si>
    <t>INV1418</t>
  </si>
  <si>
    <t>11/30/2024</t>
  </si>
  <si>
    <t>INV1419</t>
  </si>
  <si>
    <t>2024/05/12</t>
  </si>
  <si>
    <t>INV1420</t>
  </si>
  <si>
    <t>04/03/2024</t>
  </si>
  <si>
    <t>INV1421</t>
  </si>
  <si>
    <t>INV1422</t>
  </si>
  <si>
    <t>11-06-2024</t>
  </si>
  <si>
    <t>INV1423</t>
  </si>
  <si>
    <t>04/08/2024</t>
  </si>
  <si>
    <t>INV1424</t>
  </si>
  <si>
    <t>INV1425</t>
  </si>
  <si>
    <t>17-06-2024</t>
  </si>
  <si>
    <t>INV1426</t>
  </si>
  <si>
    <t>INV1427</t>
  </si>
  <si>
    <t>2025/01/25</t>
  </si>
  <si>
    <t>INV1428</t>
  </si>
  <si>
    <t>06/13/2025</t>
  </si>
  <si>
    <t>INV1429</t>
  </si>
  <si>
    <t>02/19/2025</t>
  </si>
  <si>
    <t>INV1430</t>
  </si>
  <si>
    <t>2025/06/11</t>
  </si>
  <si>
    <t>INV1431</t>
  </si>
  <si>
    <t>2024/07/06</t>
  </si>
  <si>
    <t>INV1432</t>
  </si>
  <si>
    <t>2024/08/12</t>
  </si>
  <si>
    <t>INV1433</t>
  </si>
  <si>
    <t>INV1434</t>
  </si>
  <si>
    <t>2024/09/25</t>
  </si>
  <si>
    <t>INV1435</t>
  </si>
  <si>
    <t>2025/03/17</t>
  </si>
  <si>
    <t>INV1436</t>
  </si>
  <si>
    <t>07/16/2024</t>
  </si>
  <si>
    <t>INV1437</t>
  </si>
  <si>
    <t>INV1438</t>
  </si>
  <si>
    <t>11/22/2024</t>
  </si>
  <si>
    <t>INV1439</t>
  </si>
  <si>
    <t>INV1440</t>
  </si>
  <si>
    <t>2024/01/30</t>
  </si>
  <si>
    <t>INV1441</t>
  </si>
  <si>
    <t>08/29/2024</t>
  </si>
  <si>
    <t>INV1442</t>
  </si>
  <si>
    <t>08/19/2024</t>
  </si>
  <si>
    <t>INV1443</t>
  </si>
  <si>
    <t>2024/02/10</t>
  </si>
  <si>
    <t>INV1444</t>
  </si>
  <si>
    <t>19-12-2024</t>
  </si>
  <si>
    <t>INV1445</t>
  </si>
  <si>
    <t>02/06/2024</t>
  </si>
  <si>
    <t>INV1446</t>
  </si>
  <si>
    <t>11/06/2024</t>
  </si>
  <si>
    <t>INV1447</t>
  </si>
  <si>
    <t>01-03-2024</t>
  </si>
  <si>
    <t>INV1448</t>
  </si>
  <si>
    <t>10/12/2024</t>
  </si>
  <si>
    <t>INV1449</t>
  </si>
  <si>
    <t>INV1450</t>
  </si>
  <si>
    <t>01/01/2024</t>
  </si>
  <si>
    <t>INV1451</t>
  </si>
  <si>
    <t>03-04-2025</t>
  </si>
  <si>
    <t>INV1452</t>
  </si>
  <si>
    <t>2024/12/02</t>
  </si>
  <si>
    <t>INV1453</t>
  </si>
  <si>
    <t>2024/05/17</t>
  </si>
  <si>
    <t>INV1454</t>
  </si>
  <si>
    <t>2024/06/24</t>
  </si>
  <si>
    <t>INV1455</t>
  </si>
  <si>
    <t>2025/02/24</t>
  </si>
  <si>
    <t>INV1456</t>
  </si>
  <si>
    <t>21-01-2024</t>
  </si>
  <si>
    <t>INV1457</t>
  </si>
  <si>
    <t>01/11/2024</t>
  </si>
  <si>
    <t>INV1458</t>
  </si>
  <si>
    <t>2024/12/10</t>
  </si>
  <si>
    <t>INV1459</t>
  </si>
  <si>
    <t>01/30/2024</t>
  </si>
  <si>
    <t>INV1460</t>
  </si>
  <si>
    <t>09/26/2024</t>
  </si>
  <si>
    <t>INV1461</t>
  </si>
  <si>
    <t>13-09-2024</t>
  </si>
  <si>
    <t>INV1462</t>
  </si>
  <si>
    <t>INV1463</t>
  </si>
  <si>
    <t>INV1464</t>
  </si>
  <si>
    <t>2024/10/08</t>
  </si>
  <si>
    <t>INV1465</t>
  </si>
  <si>
    <t>04/19/2025</t>
  </si>
  <si>
    <t>INV1466</t>
  </si>
  <si>
    <t>08-05-2024</t>
  </si>
  <si>
    <t>INV1467</t>
  </si>
  <si>
    <t>22-06-2025</t>
  </si>
  <si>
    <t>INV1468</t>
  </si>
  <si>
    <t>01-05-2024</t>
  </si>
  <si>
    <t>INV1469</t>
  </si>
  <si>
    <t>INV1470</t>
  </si>
  <si>
    <t>11-02-2025</t>
  </si>
  <si>
    <t>INV1471</t>
  </si>
  <si>
    <t>07-10-2024</t>
  </si>
  <si>
    <t>INV1472</t>
  </si>
  <si>
    <t>04/21/2025</t>
  </si>
  <si>
    <t>INV1473</t>
  </si>
  <si>
    <t>INV1474</t>
  </si>
  <si>
    <t>07-12-2024</t>
  </si>
  <si>
    <t>INV1475</t>
  </si>
  <si>
    <t>04-03-2024</t>
  </si>
  <si>
    <t>INV1476</t>
  </si>
  <si>
    <t>07-06-2025</t>
  </si>
  <si>
    <t>INV1477</t>
  </si>
  <si>
    <t>03/16/2024</t>
  </si>
  <si>
    <t>INV1478</t>
  </si>
  <si>
    <t>06/04/2025</t>
  </si>
  <si>
    <t>INV1479</t>
  </si>
  <si>
    <t>04/02/2024</t>
  </si>
  <si>
    <t>INV1480</t>
  </si>
  <si>
    <t>INV1481</t>
  </si>
  <si>
    <t>INV1482</t>
  </si>
  <si>
    <t>2024/02/26</t>
  </si>
  <si>
    <t>INV1483</t>
  </si>
  <si>
    <t>INV1484</t>
  </si>
  <si>
    <t>06/30/2024</t>
  </si>
  <si>
    <t>INV1485</t>
  </si>
  <si>
    <t>INV1486</t>
  </si>
  <si>
    <t>12-06-2024</t>
  </si>
  <si>
    <t>INV1487</t>
  </si>
  <si>
    <t>2024/05/19</t>
  </si>
  <si>
    <t>INV1488</t>
  </si>
  <si>
    <t>2025/04/29</t>
  </si>
  <si>
    <t>INV1489</t>
  </si>
  <si>
    <t>06-06-2024</t>
  </si>
  <si>
    <t>INV1490</t>
  </si>
  <si>
    <t>06/22/2024</t>
  </si>
  <si>
    <t>INV1491</t>
  </si>
  <si>
    <t>2024/12/23</t>
  </si>
  <si>
    <t>INV1492</t>
  </si>
  <si>
    <t>09-06-2025</t>
  </si>
  <si>
    <t>INV1493</t>
  </si>
  <si>
    <t>2025/06/08</t>
  </si>
  <si>
    <t>INV1494</t>
  </si>
  <si>
    <t>19-01-2024</t>
  </si>
  <si>
    <t>INV1495</t>
  </si>
  <si>
    <t>11/10/2024</t>
  </si>
  <si>
    <t>INV1496</t>
  </si>
  <si>
    <t>18-05-2024</t>
  </si>
  <si>
    <t>INV1497</t>
  </si>
  <si>
    <t>INV1498</t>
  </si>
  <si>
    <t>2024/10/05</t>
  </si>
  <si>
    <t>INV1499</t>
  </si>
  <si>
    <t>2024/05/28</t>
  </si>
  <si>
    <t>INV1500</t>
  </si>
  <si>
    <t>2025/01/26</t>
  </si>
  <si>
    <t>INV1501</t>
  </si>
  <si>
    <t>INV1502</t>
  </si>
  <si>
    <t>2025/05/25</t>
  </si>
  <si>
    <t>INV1503</t>
  </si>
  <si>
    <t>06/24/2025</t>
  </si>
  <si>
    <t>INV1504</t>
  </si>
  <si>
    <t>2024/07/24</t>
  </si>
  <si>
    <t>INV1505</t>
  </si>
  <si>
    <t>01/26/2024</t>
  </si>
  <si>
    <t>INV1506</t>
  </si>
  <si>
    <t>01/06/2025</t>
  </si>
  <si>
    <t>09-02-2025</t>
  </si>
  <si>
    <t>INV1508</t>
  </si>
  <si>
    <t>2024/03/30</t>
  </si>
  <si>
    <t>INV1509</t>
  </si>
  <si>
    <t>2024/04/02</t>
  </si>
  <si>
    <t>INV1510</t>
  </si>
  <si>
    <t>18-02-2025</t>
  </si>
  <si>
    <t>INV1511</t>
  </si>
  <si>
    <t>2024/11/15</t>
  </si>
  <si>
    <t>INV1512</t>
  </si>
  <si>
    <t>03/25/2025</t>
  </si>
  <si>
    <t>INV1513</t>
  </si>
  <si>
    <t>INV1514</t>
  </si>
  <si>
    <t>2025/05/10</t>
  </si>
  <si>
    <t>INV1515</t>
  </si>
  <si>
    <t>08/26/2024</t>
  </si>
  <si>
    <t>INV1516</t>
  </si>
  <si>
    <t>INV1517</t>
  </si>
  <si>
    <t>23-05-2024</t>
  </si>
  <si>
    <t>INV1518</t>
  </si>
  <si>
    <t>2025/05/06</t>
  </si>
  <si>
    <t>INV1519</t>
  </si>
  <si>
    <t>05/13/2024</t>
  </si>
  <si>
    <t>INV1520</t>
  </si>
  <si>
    <t>INV1521</t>
  </si>
  <si>
    <t>03/01/2024</t>
  </si>
  <si>
    <t>INV1522</t>
  </si>
  <si>
    <t>INV1523</t>
  </si>
  <si>
    <t>08-06-2024</t>
  </si>
  <si>
    <t>INV1524</t>
  </si>
  <si>
    <t>INV1525</t>
  </si>
  <si>
    <t>INV1526</t>
  </si>
  <si>
    <t>2025/06/20</t>
  </si>
  <si>
    <t>INV1527</t>
  </si>
  <si>
    <t>17-02-2024</t>
  </si>
  <si>
    <t>INV1528</t>
  </si>
  <si>
    <t>04/12/2024</t>
  </si>
  <si>
    <t>INV1529</t>
  </si>
  <si>
    <t>INV1530</t>
  </si>
  <si>
    <t>05/14/2025</t>
  </si>
  <si>
    <t>INV1531</t>
  </si>
  <si>
    <t>INV1532</t>
  </si>
  <si>
    <t>2024/11/25</t>
  </si>
  <si>
    <t>INV1533</t>
  </si>
  <si>
    <t>INV1534</t>
  </si>
  <si>
    <t>INV1535</t>
  </si>
  <si>
    <t>09/11/2024</t>
  </si>
  <si>
    <t>INV1536</t>
  </si>
  <si>
    <t>2024/02/12</t>
  </si>
  <si>
    <t>INV1537</t>
  </si>
  <si>
    <t>2024/02/09</t>
  </si>
  <si>
    <t>INV1538</t>
  </si>
  <si>
    <t>INV1539</t>
  </si>
  <si>
    <t>INV1540</t>
  </si>
  <si>
    <t>INV1541</t>
  </si>
  <si>
    <t>05/02/2025</t>
  </si>
  <si>
    <t>INV1542</t>
  </si>
  <si>
    <t>INV1543</t>
  </si>
  <si>
    <t>INV1544</t>
  </si>
  <si>
    <t>INV1545</t>
  </si>
  <si>
    <t>INV1546</t>
  </si>
  <si>
    <t>INV1547</t>
  </si>
  <si>
    <t>INV1548</t>
  </si>
  <si>
    <t>04/01/2025</t>
  </si>
  <si>
    <t>INV1549</t>
  </si>
  <si>
    <t>07-01-2024</t>
  </si>
  <si>
    <t>INV1550</t>
  </si>
  <si>
    <t>11/27/2024</t>
  </si>
  <si>
    <t>INV1551</t>
  </si>
  <si>
    <t>2025/01/07</t>
  </si>
  <si>
    <t>INV1552</t>
  </si>
  <si>
    <t>2024/08/09</t>
  </si>
  <si>
    <t>INV1553</t>
  </si>
  <si>
    <t>05/26/2024</t>
  </si>
  <si>
    <t>INV1554</t>
  </si>
  <si>
    <t>05/03/2025</t>
  </si>
  <si>
    <t>INV1555</t>
  </si>
  <si>
    <t>24-12-2024</t>
  </si>
  <si>
    <t>INV1556</t>
  </si>
  <si>
    <t>01/08/2024</t>
  </si>
  <si>
    <t>INV1557</t>
  </si>
  <si>
    <t>2025/05/08</t>
  </si>
  <si>
    <t>INV1558</t>
  </si>
  <si>
    <t>03/29/2025</t>
  </si>
  <si>
    <t>2024/01/14</t>
  </si>
  <si>
    <t>INV1560</t>
  </si>
  <si>
    <t>05/27/2024</t>
  </si>
  <si>
    <t>INV1561</t>
  </si>
  <si>
    <t>08/18/2024</t>
  </si>
  <si>
    <t>INV1562</t>
  </si>
  <si>
    <t>2025/01/24</t>
  </si>
  <si>
    <t>INV1563</t>
  </si>
  <si>
    <t>07/23/2024</t>
  </si>
  <si>
    <t>INV1564</t>
  </si>
  <si>
    <t>2024/02/20</t>
  </si>
  <si>
    <t>INV1565</t>
  </si>
  <si>
    <t>INV1566</t>
  </si>
  <si>
    <t>06/02/2025</t>
  </si>
  <si>
    <t>INV1567</t>
  </si>
  <si>
    <t>2025/03/09</t>
  </si>
  <si>
    <t>INV1568</t>
  </si>
  <si>
    <t>01/02/2025</t>
  </si>
  <si>
    <t>INV1569</t>
  </si>
  <si>
    <t>07/08/2024</t>
  </si>
  <si>
    <t>INV1570</t>
  </si>
  <si>
    <t>29-07-2024</t>
  </si>
  <si>
    <t>INV1571</t>
  </si>
  <si>
    <t>2024/07/30</t>
  </si>
  <si>
    <t>INV1572</t>
  </si>
  <si>
    <t>02/16/2025</t>
  </si>
  <si>
    <t>INV1573</t>
  </si>
  <si>
    <t>2024/04/26</t>
  </si>
  <si>
    <t>INV1574</t>
  </si>
  <si>
    <t>26-01-2024</t>
  </si>
  <si>
    <t>INV1575</t>
  </si>
  <si>
    <t>18-08-2024</t>
  </si>
  <si>
    <t>INV1576</t>
  </si>
  <si>
    <t>25-04-2024</t>
  </si>
  <si>
    <t>INV1577</t>
  </si>
  <si>
    <t>2025/06/09</t>
  </si>
  <si>
    <t>INV1578</t>
  </si>
  <si>
    <t>2024/12/08</t>
  </si>
  <si>
    <t>INV1579</t>
  </si>
  <si>
    <t>2024/05/13</t>
  </si>
  <si>
    <t>INV1580</t>
  </si>
  <si>
    <t>15-10-2024</t>
  </si>
  <si>
    <t>INV1581</t>
  </si>
  <si>
    <t>2024/08/27</t>
  </si>
  <si>
    <t>INV1582</t>
  </si>
  <si>
    <t>2024/09/24</t>
  </si>
  <si>
    <t>INV1583</t>
  </si>
  <si>
    <t>11-02-2024</t>
  </si>
  <si>
    <t>INV1584</t>
  </si>
  <si>
    <t>06-09-2024</t>
  </si>
  <si>
    <t>INV1585</t>
  </si>
  <si>
    <t>INV1586</t>
  </si>
  <si>
    <t>04/07/2024</t>
  </si>
  <si>
    <t>INV1587</t>
  </si>
  <si>
    <t>08-03-2024</t>
  </si>
  <si>
    <t>INV1588</t>
  </si>
  <si>
    <t>31-05-2025</t>
  </si>
  <si>
    <t>INV1589</t>
  </si>
  <si>
    <t>INV1590</t>
  </si>
  <si>
    <t>07/14/2024</t>
  </si>
  <si>
    <t>INV1591</t>
  </si>
  <si>
    <t>INV1592</t>
  </si>
  <si>
    <t>INV1593</t>
  </si>
  <si>
    <t>INV1594</t>
  </si>
  <si>
    <t>2025/01/19</t>
  </si>
  <si>
    <t>INV1595</t>
  </si>
  <si>
    <t>11/01/2024</t>
  </si>
  <si>
    <t>INV1596</t>
  </si>
  <si>
    <t>2025/06/06</t>
  </si>
  <si>
    <t>INV1597</t>
  </si>
  <si>
    <t>2024/11/01</t>
  </si>
  <si>
    <t>INV1598</t>
  </si>
  <si>
    <t>INV1599</t>
  </si>
  <si>
    <t>07-03-2025</t>
  </si>
  <si>
    <t>INV1600</t>
  </si>
  <si>
    <t>03/27/2025</t>
  </si>
  <si>
    <t>INV1601</t>
  </si>
  <si>
    <t>2024/08/22</t>
  </si>
  <si>
    <t>INV1602</t>
  </si>
  <si>
    <t>2025/05/26</t>
  </si>
  <si>
    <t>INV1603</t>
  </si>
  <si>
    <t>22-01-2025</t>
  </si>
  <si>
    <t>INV1604</t>
  </si>
  <si>
    <t>INV1605</t>
  </si>
  <si>
    <t>06/17/2025</t>
  </si>
  <si>
    <t>INV1606</t>
  </si>
  <si>
    <t>07-02-2025</t>
  </si>
  <si>
    <t>INV1607</t>
  </si>
  <si>
    <t>2024/03/07</t>
  </si>
  <si>
    <t>INV1608</t>
  </si>
  <si>
    <t>12/16/2024</t>
  </si>
  <si>
    <t>INV1609</t>
  </si>
  <si>
    <t>02/11/2025</t>
  </si>
  <si>
    <t>INV1610</t>
  </si>
  <si>
    <t>06/09/2024</t>
  </si>
  <si>
    <t>INV1611</t>
  </si>
  <si>
    <t>INV1612</t>
  </si>
  <si>
    <t>2024/01/20</t>
  </si>
  <si>
    <t>INV1613</t>
  </si>
  <si>
    <t>INV1614</t>
  </si>
  <si>
    <t>04/06/2024</t>
  </si>
  <si>
    <t>INV1615</t>
  </si>
  <si>
    <t>2024/04/24</t>
  </si>
  <si>
    <t>INV1616</t>
  </si>
  <si>
    <t>INV1617</t>
  </si>
  <si>
    <t>03/13/2025</t>
  </si>
  <si>
    <t>INV1618</t>
  </si>
  <si>
    <t>INV1619</t>
  </si>
  <si>
    <t>01-12-2024</t>
  </si>
  <si>
    <t>INV1620</t>
  </si>
  <si>
    <t>INV1621</t>
  </si>
  <si>
    <t>27-05-2024</t>
  </si>
  <si>
    <t>INV1622</t>
  </si>
  <si>
    <t>08-01-2025</t>
  </si>
  <si>
    <t>INV1623</t>
  </si>
  <si>
    <t>05/18/2025</t>
  </si>
  <si>
    <t>INV1624</t>
  </si>
  <si>
    <t>INV1625</t>
  </si>
  <si>
    <t>16-02-2025</t>
  </si>
  <si>
    <t>INV1626</t>
  </si>
  <si>
    <t>29-03-2025</t>
  </si>
  <si>
    <t>INV1627</t>
  </si>
  <si>
    <t>2024/03/24</t>
  </si>
  <si>
    <t>INV1628</t>
  </si>
  <si>
    <t>INV1629</t>
  </si>
  <si>
    <t>INV1630</t>
  </si>
  <si>
    <t>INV1631</t>
  </si>
  <si>
    <t>INV1632</t>
  </si>
  <si>
    <t>2025/06/21</t>
  </si>
  <si>
    <t>INV1633</t>
  </si>
  <si>
    <t>05/15/2024</t>
  </si>
  <si>
    <t>INV1634</t>
  </si>
  <si>
    <t>15-03-2025</t>
  </si>
  <si>
    <t>INV1635</t>
  </si>
  <si>
    <t>INV1636</t>
  </si>
  <si>
    <t>INV1637</t>
  </si>
  <si>
    <t>06/16/2024</t>
  </si>
  <si>
    <t>INV1638</t>
  </si>
  <si>
    <t>04/09/2024</t>
  </si>
  <si>
    <t>INV1639</t>
  </si>
  <si>
    <t>2024/03/14</t>
  </si>
  <si>
    <t>INV1640</t>
  </si>
  <si>
    <t>2024/12/07</t>
  </si>
  <si>
    <t>INV1641</t>
  </si>
  <si>
    <t>2024/09/29</t>
  </si>
  <si>
    <t>INV1642</t>
  </si>
  <si>
    <t>11/17/2024</t>
  </si>
  <si>
    <t>INV1643</t>
  </si>
  <si>
    <t>2024/02/05</t>
  </si>
  <si>
    <t>INV1644</t>
  </si>
  <si>
    <t>03/05/2025</t>
  </si>
  <si>
    <t>INV1645</t>
  </si>
  <si>
    <t>02/24/2025</t>
  </si>
  <si>
    <t>INV1646</t>
  </si>
  <si>
    <t>17-12-2024</t>
  </si>
  <si>
    <t>INV1647</t>
  </si>
  <si>
    <t>06/10/2024</t>
  </si>
  <si>
    <t>INV1648</t>
  </si>
  <si>
    <t>15-02-2024</t>
  </si>
  <si>
    <t>INV1649</t>
  </si>
  <si>
    <t>INV1650</t>
  </si>
  <si>
    <t>INV1651</t>
  </si>
  <si>
    <t>17-04-2025</t>
  </si>
  <si>
    <t>INV1652</t>
  </si>
  <si>
    <t>INV1653</t>
  </si>
  <si>
    <t>02/23/2024</t>
  </si>
  <si>
    <t>INV1654</t>
  </si>
  <si>
    <t>02/24/2024</t>
  </si>
  <si>
    <t>INV1655</t>
  </si>
  <si>
    <t>24-08-2024</t>
  </si>
  <si>
    <t>INV1656</t>
  </si>
  <si>
    <t>07/19/2024</t>
  </si>
  <si>
    <t>INV1657</t>
  </si>
  <si>
    <t>17-02-2025</t>
  </si>
  <si>
    <t>INV1658</t>
  </si>
  <si>
    <t>05/17/2024</t>
  </si>
  <si>
    <t>INV1660</t>
  </si>
  <si>
    <t>15-03-2024</t>
  </si>
  <si>
    <t>05-11-2024</t>
  </si>
  <si>
    <t>INV1662</t>
  </si>
  <si>
    <t>2024/11/07</t>
  </si>
  <si>
    <t>INV1663</t>
  </si>
  <si>
    <t>2024/08/15</t>
  </si>
  <si>
    <t>INV1664</t>
  </si>
  <si>
    <t>2025/01/09</t>
  </si>
  <si>
    <t>INV1665</t>
  </si>
  <si>
    <t>18-06-2025</t>
  </si>
  <si>
    <t>INV1666</t>
  </si>
  <si>
    <t>INV1667</t>
  </si>
  <si>
    <t>INV1668</t>
  </si>
  <si>
    <t>INV1669</t>
  </si>
  <si>
    <t>INV1670</t>
  </si>
  <si>
    <t>2024/02/19</t>
  </si>
  <si>
    <t>INV1671</t>
  </si>
  <si>
    <t>INV1672</t>
  </si>
  <si>
    <t>INV1673</t>
  </si>
  <si>
    <t>27-01-2025</t>
  </si>
  <si>
    <t>INV1674</t>
  </si>
  <si>
    <t>INV1675</t>
  </si>
  <si>
    <t>26-03-2024</t>
  </si>
  <si>
    <t>INV1676</t>
  </si>
  <si>
    <t>2025/05/19</t>
  </si>
  <si>
    <t>INV1677</t>
  </si>
  <si>
    <t>02/15/2025</t>
  </si>
  <si>
    <t>INV1678</t>
  </si>
  <si>
    <t>2024/04/04</t>
  </si>
  <si>
    <t>INV1679</t>
  </si>
  <si>
    <t>INV1680</t>
  </si>
  <si>
    <t>06/23/2024</t>
  </si>
  <si>
    <t>INV1681</t>
  </si>
  <si>
    <t>2025/03/31</t>
  </si>
  <si>
    <t>INV1682</t>
  </si>
  <si>
    <t>20-07-2024</t>
  </si>
  <si>
    <t>INV1683</t>
  </si>
  <si>
    <t>2024/04/27</t>
  </si>
  <si>
    <t>INV1684</t>
  </si>
  <si>
    <t>INV1685</t>
  </si>
  <si>
    <t>INV1686</t>
  </si>
  <si>
    <t>07/25/2024</t>
  </si>
  <si>
    <t>INV1687</t>
  </si>
  <si>
    <t>08-12-2024</t>
  </si>
  <si>
    <t>INV1688</t>
  </si>
  <si>
    <t>2025/05/23</t>
  </si>
  <si>
    <t>INV1689</t>
  </si>
  <si>
    <t>2024/03/23</t>
  </si>
  <si>
    <t>INV1690</t>
  </si>
  <si>
    <t>22-04-2024</t>
  </si>
  <si>
    <t>INV1691</t>
  </si>
  <si>
    <t>INV1692</t>
  </si>
  <si>
    <t>24-02-2025</t>
  </si>
  <si>
    <t>INV1693</t>
  </si>
  <si>
    <t>INV1694</t>
  </si>
  <si>
    <t>2024/02/01</t>
  </si>
  <si>
    <t>INV1695</t>
  </si>
  <si>
    <t>21-08-2024</t>
  </si>
  <si>
    <t>INV1696</t>
  </si>
  <si>
    <t>INV1697</t>
  </si>
  <si>
    <t>INV1698</t>
  </si>
  <si>
    <t>2025/03/29</t>
  </si>
  <si>
    <t>INV1699</t>
  </si>
  <si>
    <t>INV1700</t>
  </si>
  <si>
    <t>INV1701</t>
  </si>
  <si>
    <t>INV1702</t>
  </si>
  <si>
    <t>2024/10/03</t>
  </si>
  <si>
    <t>INV1703</t>
  </si>
  <si>
    <t>INV1704</t>
  </si>
  <si>
    <t>INV1705</t>
  </si>
  <si>
    <t>2024/02/29</t>
  </si>
  <si>
    <t>INV1706</t>
  </si>
  <si>
    <t>02-06-2025</t>
  </si>
  <si>
    <t>INV1707</t>
  </si>
  <si>
    <t>28-04-2024</t>
  </si>
  <si>
    <t>INV1708</t>
  </si>
  <si>
    <t>2024/09/30</t>
  </si>
  <si>
    <t>INV1709</t>
  </si>
  <si>
    <t>08/20/2024</t>
  </si>
  <si>
    <t>INV1710</t>
  </si>
  <si>
    <t>INV1711</t>
  </si>
  <si>
    <t>30-01-2025</t>
  </si>
  <si>
    <t>INV1712</t>
  </si>
  <si>
    <t>INV1713</t>
  </si>
  <si>
    <t>08/04/2024</t>
  </si>
  <si>
    <t>INV1714</t>
  </si>
  <si>
    <t>26-05-2025</t>
  </si>
  <si>
    <t>INV1715</t>
  </si>
  <si>
    <t>2024/06/18</t>
  </si>
  <si>
    <t>INV1716</t>
  </si>
  <si>
    <t>2024/01/12</t>
  </si>
  <si>
    <t>INV1717</t>
  </si>
  <si>
    <t>04/10/2024</t>
  </si>
  <si>
    <t>INV1718</t>
  </si>
  <si>
    <t>INV1719</t>
  </si>
  <si>
    <t>04/15/2024</t>
  </si>
  <si>
    <t>INV1720</t>
  </si>
  <si>
    <t>11-09-2024</t>
  </si>
  <si>
    <t>INV1721</t>
  </si>
  <si>
    <t>INV1722</t>
  </si>
  <si>
    <t>20-06-2024</t>
  </si>
  <si>
    <t>INV1723</t>
  </si>
  <si>
    <t>12/30/2024</t>
  </si>
  <si>
    <t>INV1724</t>
  </si>
  <si>
    <t>2024/01/06</t>
  </si>
  <si>
    <t>INV1725</t>
  </si>
  <si>
    <t>INV1726</t>
  </si>
  <si>
    <t>2025/01/12</t>
  </si>
  <si>
    <t>INV1727</t>
  </si>
  <si>
    <t>28-06-2024</t>
  </si>
  <si>
    <t>INV1728</t>
  </si>
  <si>
    <t>19-07-2024</t>
  </si>
  <si>
    <t>INV1729</t>
  </si>
  <si>
    <t>INV1730</t>
  </si>
  <si>
    <t>11/03/2024</t>
  </si>
  <si>
    <t>INV1731</t>
  </si>
  <si>
    <t>02-06-2024</t>
  </si>
  <si>
    <t>INV1732</t>
  </si>
  <si>
    <t>04/28/2025</t>
  </si>
  <si>
    <t>INV1733</t>
  </si>
  <si>
    <t>08/31/2024</t>
  </si>
  <si>
    <t>INV1734</t>
  </si>
  <si>
    <t>19-04-2024</t>
  </si>
  <si>
    <t>INV1735</t>
  </si>
  <si>
    <t>INV1736</t>
  </si>
  <si>
    <t>30-08-2024</t>
  </si>
  <si>
    <t>INV1737</t>
  </si>
  <si>
    <t>16-07-2024</t>
  </si>
  <si>
    <t>INV1738</t>
  </si>
  <si>
    <t>INV1739</t>
  </si>
  <si>
    <t>07/12/2024</t>
  </si>
  <si>
    <t>INV1740</t>
  </si>
  <si>
    <t>13-01-2024</t>
  </si>
  <si>
    <t>INV1741</t>
  </si>
  <si>
    <t>03/16/2025</t>
  </si>
  <si>
    <t>INV1742</t>
  </si>
  <si>
    <t>2025/05/05</t>
  </si>
  <si>
    <t>INV1743</t>
  </si>
  <si>
    <t>10-04-2024</t>
  </si>
  <si>
    <t>INV1744</t>
  </si>
  <si>
    <t>05-01-2024</t>
  </si>
  <si>
    <t>INV1745</t>
  </si>
  <si>
    <t>06/03/2024</t>
  </si>
  <si>
    <t>INV1746</t>
  </si>
  <si>
    <t>INV1747</t>
  </si>
  <si>
    <t>2024/01/02</t>
  </si>
  <si>
    <t>INV1748</t>
  </si>
  <si>
    <t>2025/06/07</t>
  </si>
  <si>
    <t>INV1749</t>
  </si>
  <si>
    <t>09/25/2024</t>
  </si>
  <si>
    <t>INV1750</t>
  </si>
  <si>
    <t>05/01/2025</t>
  </si>
  <si>
    <t>INV1751</t>
  </si>
  <si>
    <t>10-05-2025</t>
  </si>
  <si>
    <t>INV1752</t>
  </si>
  <si>
    <t>INV1753</t>
  </si>
  <si>
    <t>INV1754</t>
  </si>
  <si>
    <t>INV1755</t>
  </si>
  <si>
    <t>10-07-2024</t>
  </si>
  <si>
    <t>INV1756</t>
  </si>
  <si>
    <t>INV1757</t>
  </si>
  <si>
    <t>2024/02/27</t>
  </si>
  <si>
    <t>INV1758</t>
  </si>
  <si>
    <t>07-04-2025</t>
  </si>
  <si>
    <t>INV1759</t>
  </si>
  <si>
    <t>09/16/2024</t>
  </si>
  <si>
    <t>INV1760</t>
  </si>
  <si>
    <t>INV1761</t>
  </si>
  <si>
    <t>06/10/2025</t>
  </si>
  <si>
    <t>INV1762</t>
  </si>
  <si>
    <t>2025/04/25</t>
  </si>
  <si>
    <t>INV1763</t>
  </si>
  <si>
    <t>02/27/2024</t>
  </si>
  <si>
    <t>INV1764</t>
  </si>
  <si>
    <t>15-11-2024</t>
  </si>
  <si>
    <t>INV1765</t>
  </si>
  <si>
    <t>29-11-2024</t>
  </si>
  <si>
    <t>INV1766</t>
  </si>
  <si>
    <t>INV1767</t>
  </si>
  <si>
    <t>INV1768</t>
  </si>
  <si>
    <t>03-11-2024</t>
  </si>
  <si>
    <t>INV1769</t>
  </si>
  <si>
    <t>INV1770</t>
  </si>
  <si>
    <t>INV1771</t>
  </si>
  <si>
    <t>INV1772</t>
  </si>
  <si>
    <t>02/01/2025</t>
  </si>
  <si>
    <t>INV1773</t>
  </si>
  <si>
    <t>03-04-2024</t>
  </si>
  <si>
    <t>INV1774</t>
  </si>
  <si>
    <t>10/02/2024</t>
  </si>
  <si>
    <t>INV1775</t>
  </si>
  <si>
    <t>INV1776</t>
  </si>
  <si>
    <t>14-04-2024</t>
  </si>
  <si>
    <t>INV1777</t>
  </si>
  <si>
    <t>INV1778</t>
  </si>
  <si>
    <t>04-01-2024</t>
  </si>
  <si>
    <t>INV1779</t>
  </si>
  <si>
    <t>INV1780</t>
  </si>
  <si>
    <t>05/21/2025</t>
  </si>
  <si>
    <t>INV1781</t>
  </si>
  <si>
    <t>04/08/2025</t>
  </si>
  <si>
    <t>INV1782</t>
  </si>
  <si>
    <t>2024/03/12</t>
  </si>
  <si>
    <t>INV1783</t>
  </si>
  <si>
    <t>2024/05/22</t>
  </si>
  <si>
    <t>INV1784</t>
  </si>
  <si>
    <t>INV1785</t>
  </si>
  <si>
    <t>26-06-2024</t>
  </si>
  <si>
    <t>INV1786</t>
  </si>
  <si>
    <t>08/13/2024</t>
  </si>
  <si>
    <t>INV1787</t>
  </si>
  <si>
    <t>08-05-2025</t>
  </si>
  <si>
    <t>INV1788</t>
  </si>
  <si>
    <t>INV1789</t>
  </si>
  <si>
    <t>2024/03/01</t>
  </si>
  <si>
    <t>INV1790</t>
  </si>
  <si>
    <t>INV1791</t>
  </si>
  <si>
    <t>INV1792</t>
  </si>
  <si>
    <t>28-11-2024</t>
  </si>
  <si>
    <t>INV1793</t>
  </si>
  <si>
    <t>02/18/2025</t>
  </si>
  <si>
    <t>INV1794</t>
  </si>
  <si>
    <t>03/20/2024</t>
  </si>
  <si>
    <t>INV1795</t>
  </si>
  <si>
    <t>INV1796</t>
  </si>
  <si>
    <t>05/20/2025</t>
  </si>
  <si>
    <t>INV1797</t>
  </si>
  <si>
    <t>05/27/2025</t>
  </si>
  <si>
    <t>INV1798</t>
  </si>
  <si>
    <t>01/15/2025</t>
  </si>
  <si>
    <t>INV1799</t>
  </si>
  <si>
    <t>08/09/2024</t>
  </si>
  <si>
    <t>INV1800</t>
  </si>
  <si>
    <t>11/18/2024</t>
  </si>
  <si>
    <t>INV1801</t>
  </si>
  <si>
    <t>INV1802</t>
  </si>
  <si>
    <t>23-07-2024</t>
  </si>
  <si>
    <t>INV1803</t>
  </si>
  <si>
    <t>27-02-2024</t>
  </si>
  <si>
    <t>INV1804</t>
  </si>
  <si>
    <t>21-01-2025</t>
  </si>
  <si>
    <t>INV1805</t>
  </si>
  <si>
    <t>INV1806</t>
  </si>
  <si>
    <t>12/10/2024</t>
  </si>
  <si>
    <t>INV1807</t>
  </si>
  <si>
    <t>31-03-2025</t>
  </si>
  <si>
    <t>INV1808</t>
  </si>
  <si>
    <t>2024/10/25</t>
  </si>
  <si>
    <t>INV1809</t>
  </si>
  <si>
    <t>04-04-2024</t>
  </si>
  <si>
    <t>INV1810</t>
  </si>
  <si>
    <t>10/07/2024</t>
  </si>
  <si>
    <t>INV1811</t>
  </si>
  <si>
    <t>INV1812</t>
  </si>
  <si>
    <t>INV1813</t>
  </si>
  <si>
    <t>28-04-2025</t>
  </si>
  <si>
    <t>INV1814</t>
  </si>
  <si>
    <t>INV1815</t>
  </si>
  <si>
    <t>2025/03/01</t>
  </si>
  <si>
    <t>INV1816</t>
  </si>
  <si>
    <t>INV1818</t>
  </si>
  <si>
    <t>2025/05/11</t>
  </si>
  <si>
    <t>INV1819</t>
  </si>
  <si>
    <t>INV1820</t>
  </si>
  <si>
    <t>INV1821</t>
  </si>
  <si>
    <t>02-03-2025</t>
  </si>
  <si>
    <t>INV1822</t>
  </si>
  <si>
    <t>07/28/2024</t>
  </si>
  <si>
    <t>INV1823</t>
  </si>
  <si>
    <t>INV1824</t>
  </si>
  <si>
    <t>2024/07/11</t>
  </si>
  <si>
    <t>INV1825</t>
  </si>
  <si>
    <t>08/08/2024</t>
  </si>
  <si>
    <t>INV1826</t>
  </si>
  <si>
    <t>08/27/2024</t>
  </si>
  <si>
    <t>INV1827</t>
  </si>
  <si>
    <t>03-06-2025</t>
  </si>
  <si>
    <t>INV1828</t>
  </si>
  <si>
    <t>INV1829</t>
  </si>
  <si>
    <t>INV1830</t>
  </si>
  <si>
    <t>INV1831</t>
  </si>
  <si>
    <t>2024/05/24</t>
  </si>
  <si>
    <t>INV1832</t>
  </si>
  <si>
    <t>INV1833</t>
  </si>
  <si>
    <t>INV1834</t>
  </si>
  <si>
    <t>INV1835</t>
  </si>
  <si>
    <t>INV1836</t>
  </si>
  <si>
    <t>INV1837</t>
  </si>
  <si>
    <t>2024/03/31</t>
  </si>
  <si>
    <t>INV1838</t>
  </si>
  <si>
    <t>15-05-2025</t>
  </si>
  <si>
    <t>INV1839</t>
  </si>
  <si>
    <t>2025/04/28</t>
  </si>
  <si>
    <t>INV1840</t>
  </si>
  <si>
    <t>INV1841</t>
  </si>
  <si>
    <t>08-01-2024</t>
  </si>
  <si>
    <t>INV1842</t>
  </si>
  <si>
    <t>INV1843</t>
  </si>
  <si>
    <t>2024/08/26</t>
  </si>
  <si>
    <t>INV1844</t>
  </si>
  <si>
    <t>INV1845</t>
  </si>
  <si>
    <t>INV1846</t>
  </si>
  <si>
    <t>08/17/2024</t>
  </si>
  <si>
    <t>INV1847</t>
  </si>
  <si>
    <t>03-12-2024</t>
  </si>
  <si>
    <t>INV1848</t>
  </si>
  <si>
    <t>INV1849</t>
  </si>
  <si>
    <t>INV1850</t>
  </si>
  <si>
    <t>03/08/2025</t>
  </si>
  <si>
    <t>INV1851</t>
  </si>
  <si>
    <t>06-02-2025</t>
  </si>
  <si>
    <t>INV1852</t>
  </si>
  <si>
    <t>16-03-2024</t>
  </si>
  <si>
    <t>INV1853</t>
  </si>
  <si>
    <t>2025/03/08</t>
  </si>
  <si>
    <t>INV1854</t>
  </si>
  <si>
    <t>INV1855</t>
  </si>
  <si>
    <t>2025/06/18</t>
  </si>
  <si>
    <t>INV1856</t>
  </si>
  <si>
    <t>02-03-2024</t>
  </si>
  <si>
    <t>INV1857</t>
  </si>
  <si>
    <t>2024/05/10</t>
  </si>
  <si>
    <t>INV1858</t>
  </si>
  <si>
    <t>2024/10/16</t>
  </si>
  <si>
    <t>INV1859</t>
  </si>
  <si>
    <t>INV1860</t>
  </si>
  <si>
    <t>INV1861</t>
  </si>
  <si>
    <t>2024/12/20</t>
  </si>
  <si>
    <t>INV1862</t>
  </si>
  <si>
    <t>INV1863</t>
  </si>
  <si>
    <t>11/13/2024</t>
  </si>
  <si>
    <t>INV1864</t>
  </si>
  <si>
    <t>03/17/2024</t>
  </si>
  <si>
    <t>INV1865</t>
  </si>
  <si>
    <t>INV1866</t>
  </si>
  <si>
    <t>INV1867</t>
  </si>
  <si>
    <t>03-03-2025</t>
  </si>
  <si>
    <t>INV1868</t>
  </si>
  <si>
    <t>INV1869</t>
  </si>
  <si>
    <t>29-09-2024</t>
  </si>
  <si>
    <t>INV1870</t>
  </si>
  <si>
    <t>INV1871</t>
  </si>
  <si>
    <t>2025/04/08</t>
  </si>
  <si>
    <t>INV1872</t>
  </si>
  <si>
    <t>INV1873</t>
  </si>
  <si>
    <t>03/13/2024</t>
  </si>
  <si>
    <t>INV1874</t>
  </si>
  <si>
    <t>INV1875</t>
  </si>
  <si>
    <t>INV1876</t>
  </si>
  <si>
    <t>04-07-2024</t>
  </si>
  <si>
    <t>INV1877</t>
  </si>
  <si>
    <t>2024/04/06</t>
  </si>
  <si>
    <t>INV1878</t>
  </si>
  <si>
    <t>06/11/2025</t>
  </si>
  <si>
    <t>INV1880</t>
  </si>
  <si>
    <t>INV1881</t>
  </si>
  <si>
    <t>07/20/2024</t>
  </si>
  <si>
    <t>INV1882</t>
  </si>
  <si>
    <t>INV1883</t>
  </si>
  <si>
    <t>01/23/2024</t>
  </si>
  <si>
    <t>INV1884</t>
  </si>
  <si>
    <t>2024/06/17</t>
  </si>
  <si>
    <t>INV1885</t>
  </si>
  <si>
    <t>INV1886</t>
  </si>
  <si>
    <t>2025/02/28</t>
  </si>
  <si>
    <t>INV1887</t>
  </si>
  <si>
    <t>2024/01/21</t>
  </si>
  <si>
    <t>INV1888</t>
  </si>
  <si>
    <t>06/08/2024</t>
  </si>
  <si>
    <t>INV1889</t>
  </si>
  <si>
    <t>01/23/2025</t>
  </si>
  <si>
    <t>INV1890</t>
  </si>
  <si>
    <t>INV1891</t>
  </si>
  <si>
    <t>INV1892</t>
  </si>
  <si>
    <t>2024/11/13</t>
  </si>
  <si>
    <t>INV1893</t>
  </si>
  <si>
    <t>2024/09/07</t>
  </si>
  <si>
    <t>INV1894</t>
  </si>
  <si>
    <t>11/19/2024</t>
  </si>
  <si>
    <t>INV1895</t>
  </si>
  <si>
    <t>INV1896</t>
  </si>
  <si>
    <t>2025/01/03</t>
  </si>
  <si>
    <t>INV1897</t>
  </si>
  <si>
    <t>2024/11/04</t>
  </si>
  <si>
    <t>INV1898</t>
  </si>
  <si>
    <t>09/18/2024</t>
  </si>
  <si>
    <t>INV1899</t>
  </si>
  <si>
    <t>16-01-2024</t>
  </si>
  <si>
    <t>INV1900</t>
  </si>
  <si>
    <t>INV1901</t>
  </si>
  <si>
    <t>2024/11/28</t>
  </si>
  <si>
    <t>INV1902</t>
  </si>
  <si>
    <t>03/07/2024</t>
  </si>
  <si>
    <t>INV1903</t>
  </si>
  <si>
    <t>03/12/2024</t>
  </si>
  <si>
    <t>INV1904</t>
  </si>
  <si>
    <t>2024/09/12</t>
  </si>
  <si>
    <t>INV1905</t>
  </si>
  <si>
    <t>2025/03/12</t>
  </si>
  <si>
    <t>INV1906</t>
  </si>
  <si>
    <t>INV1907</t>
  </si>
  <si>
    <t>2025/04/14</t>
  </si>
  <si>
    <t>INV1908</t>
  </si>
  <si>
    <t>2024/09/10</t>
  </si>
  <si>
    <t>INV1909</t>
  </si>
  <si>
    <t>2025/04/02</t>
  </si>
  <si>
    <t>INV1910</t>
  </si>
  <si>
    <t>INV1911</t>
  </si>
  <si>
    <t>2024/10/28</t>
  </si>
  <si>
    <t>INV1912</t>
  </si>
  <si>
    <t>INV1913</t>
  </si>
  <si>
    <t>INV1914</t>
  </si>
  <si>
    <t>2024/07/04</t>
  </si>
  <si>
    <t>INV1915</t>
  </si>
  <si>
    <t>09-06-2024</t>
  </si>
  <si>
    <t>INV1916</t>
  </si>
  <si>
    <t>07-07-2024</t>
  </si>
  <si>
    <t>INV1917</t>
  </si>
  <si>
    <t>2024/08/05</t>
  </si>
  <si>
    <t>INV1918</t>
  </si>
  <si>
    <t>12/27/2024</t>
  </si>
  <si>
    <t>INV1919</t>
  </si>
  <si>
    <t>2024/11/27</t>
  </si>
  <si>
    <t>INV1920</t>
  </si>
  <si>
    <t>2024/04/13</t>
  </si>
  <si>
    <t>INV1921</t>
  </si>
  <si>
    <t>18-05-2025</t>
  </si>
  <si>
    <t>INV1922</t>
  </si>
  <si>
    <t>18-10-2024</t>
  </si>
  <si>
    <t>INV1923</t>
  </si>
  <si>
    <t>INV1924</t>
  </si>
  <si>
    <t>INV1925</t>
  </si>
  <si>
    <t>2024/12/11</t>
  </si>
  <si>
    <t>INV1926</t>
  </si>
  <si>
    <t>INV1927</t>
  </si>
  <si>
    <t>08-02-2024</t>
  </si>
  <si>
    <t>INV1928</t>
  </si>
  <si>
    <t>2024/12/24</t>
  </si>
  <si>
    <t>INV1929</t>
  </si>
  <si>
    <t>28-10-2024</t>
  </si>
  <si>
    <t>INV1930</t>
  </si>
  <si>
    <t>INV1931</t>
  </si>
  <si>
    <t>INV1932</t>
  </si>
  <si>
    <t>INV1933</t>
  </si>
  <si>
    <t>INV1934</t>
  </si>
  <si>
    <t>2024/05/31</t>
  </si>
  <si>
    <t>INV1935</t>
  </si>
  <si>
    <t>2024/11/17</t>
  </si>
  <si>
    <t>INV1936</t>
  </si>
  <si>
    <t>INV1937</t>
  </si>
  <si>
    <t>INV1938</t>
  </si>
  <si>
    <t>INV1939</t>
  </si>
  <si>
    <t>07/02/2024</t>
  </si>
  <si>
    <t>INV1940</t>
  </si>
  <si>
    <t>INV1941</t>
  </si>
  <si>
    <t>23-02-2024</t>
  </si>
  <si>
    <t>INV1942</t>
  </si>
  <si>
    <t>12-09-2024</t>
  </si>
  <si>
    <t>INV1943</t>
  </si>
  <si>
    <t>INV1944</t>
  </si>
  <si>
    <t>11/16/2024</t>
  </si>
  <si>
    <t>INV1945</t>
  </si>
  <si>
    <t>2024/05/21</t>
  </si>
  <si>
    <t>INV1946</t>
  </si>
  <si>
    <t>22-10-2024</t>
  </si>
  <si>
    <t>INV1947</t>
  </si>
  <si>
    <t>30-03-2024</t>
  </si>
  <si>
    <t>INV1948</t>
  </si>
  <si>
    <t>INV1949</t>
  </si>
  <si>
    <t>INV1950</t>
  </si>
  <si>
    <t>2024/11/30</t>
  </si>
  <si>
    <t>INV1951</t>
  </si>
  <si>
    <t>INV1952</t>
  </si>
  <si>
    <t>INV1953</t>
  </si>
  <si>
    <t>12/03/2024</t>
  </si>
  <si>
    <t>INV1954</t>
  </si>
  <si>
    <t>INV1955</t>
  </si>
  <si>
    <t>03/10/2025</t>
  </si>
  <si>
    <t>INV1956</t>
  </si>
  <si>
    <t>27-05-2025</t>
  </si>
  <si>
    <t>INV1957</t>
  </si>
  <si>
    <t>INV1958</t>
  </si>
  <si>
    <t>INV1959</t>
  </si>
  <si>
    <t>INV1960</t>
  </si>
  <si>
    <t>2025/03/04</t>
  </si>
  <si>
    <t>INV1961</t>
  </si>
  <si>
    <t>22-08-2024</t>
  </si>
  <si>
    <t>INV1962</t>
  </si>
  <si>
    <t>INV1963</t>
  </si>
  <si>
    <t>INV1964</t>
  </si>
  <si>
    <t>27-06-2024</t>
  </si>
  <si>
    <t>INV1965</t>
  </si>
  <si>
    <t>INV1966</t>
  </si>
  <si>
    <t>2024/09/01</t>
  </si>
  <si>
    <t>INV1967</t>
  </si>
  <si>
    <t>INV1968</t>
  </si>
  <si>
    <t>INV1969</t>
  </si>
  <si>
    <t>INV1970</t>
  </si>
  <si>
    <t>2024/04/22</t>
  </si>
  <si>
    <t>INV1972</t>
  </si>
  <si>
    <t>INV1973</t>
  </si>
  <si>
    <t>INV1974</t>
  </si>
  <si>
    <t>2025/01/17</t>
  </si>
  <si>
    <t>INV1975</t>
  </si>
  <si>
    <t>INV1976</t>
  </si>
  <si>
    <t>04/20/2025</t>
  </si>
  <si>
    <t>INV1977</t>
  </si>
  <si>
    <t>2024/10/06</t>
  </si>
  <si>
    <t>INV1978</t>
  </si>
  <si>
    <t>INV1979</t>
  </si>
  <si>
    <t>01/14/2025</t>
  </si>
  <si>
    <t>INV1980</t>
  </si>
  <si>
    <t>INV1981</t>
  </si>
  <si>
    <t>INV1982</t>
  </si>
  <si>
    <t>2024/04/19</t>
  </si>
  <si>
    <t>INV1983</t>
  </si>
  <si>
    <t>INV1984</t>
  </si>
  <si>
    <t>INV1985</t>
  </si>
  <si>
    <t>INV1986</t>
  </si>
  <si>
    <t>03-08-2024</t>
  </si>
  <si>
    <t>INV1987</t>
  </si>
  <si>
    <t>07-11-2024</t>
  </si>
  <si>
    <t>INV1988</t>
  </si>
  <si>
    <t>01-07-2024</t>
  </si>
  <si>
    <t>INV1990</t>
  </si>
  <si>
    <t>17-01-2025</t>
  </si>
  <si>
    <t>INV1991</t>
  </si>
  <si>
    <t>23-05-2025</t>
  </si>
  <si>
    <t>INV1992</t>
  </si>
  <si>
    <t>INV1993</t>
  </si>
  <si>
    <t>INV1994</t>
  </si>
  <si>
    <t>2025/01/31</t>
  </si>
  <si>
    <t>INV1995</t>
  </si>
  <si>
    <t>09-01-2024</t>
  </si>
  <si>
    <t>INV1996</t>
  </si>
  <si>
    <t>12/12/2024</t>
  </si>
  <si>
    <t>INV1997</t>
  </si>
  <si>
    <t>INV1998</t>
  </si>
  <si>
    <t>2024/03/13</t>
  </si>
  <si>
    <t>INV1999</t>
  </si>
  <si>
    <t>INV2000</t>
  </si>
  <si>
    <t>INV2001</t>
  </si>
  <si>
    <t>2024/05/07</t>
  </si>
  <si>
    <t>INV2002</t>
  </si>
  <si>
    <t>INV2003</t>
  </si>
  <si>
    <t>INV2004</t>
  </si>
  <si>
    <t>24-09-2024</t>
  </si>
  <si>
    <t>INV2005</t>
  </si>
  <si>
    <t>25-09-2024</t>
  </si>
  <si>
    <t>INV2006</t>
  </si>
  <si>
    <t>INV2007</t>
  </si>
  <si>
    <t>INV2008</t>
  </si>
  <si>
    <t>INV2009</t>
  </si>
  <si>
    <t>INV2010</t>
  </si>
  <si>
    <t>16-04-2025</t>
  </si>
  <si>
    <t>INV2011</t>
  </si>
  <si>
    <t>2025/02/19</t>
  </si>
  <si>
    <t>INV2012</t>
  </si>
  <si>
    <t>INV2013</t>
  </si>
  <si>
    <t>INV2014</t>
  </si>
  <si>
    <t>INV2015</t>
  </si>
  <si>
    <t>INV2016</t>
  </si>
  <si>
    <t>INV2017</t>
  </si>
  <si>
    <t>INV2018</t>
  </si>
  <si>
    <t>05/19/2024</t>
  </si>
  <si>
    <t>INV2019</t>
  </si>
  <si>
    <t>INV2020</t>
  </si>
  <si>
    <t>04/19/2024</t>
  </si>
  <si>
    <t>INV2021</t>
  </si>
  <si>
    <t>06/06/2024</t>
  </si>
  <si>
    <t>INV2022</t>
  </si>
  <si>
    <t>INV2023</t>
  </si>
  <si>
    <t>INV2024</t>
  </si>
  <si>
    <t>03/15/2025</t>
  </si>
  <si>
    <t>INV2025</t>
  </si>
  <si>
    <t>INV2026</t>
  </si>
  <si>
    <t>INV2027</t>
  </si>
  <si>
    <t>INV2028</t>
  </si>
  <si>
    <t>30-06-2024</t>
  </si>
  <si>
    <t>INV2029</t>
  </si>
  <si>
    <t>2024/09/18</t>
  </si>
  <si>
    <t>INV2030</t>
  </si>
  <si>
    <t>INV2031</t>
  </si>
  <si>
    <t>INV2032</t>
  </si>
  <si>
    <t>INV2033</t>
  </si>
  <si>
    <t>06/12/2025</t>
  </si>
  <si>
    <t>INV2034</t>
  </si>
  <si>
    <t>INV2035</t>
  </si>
  <si>
    <t>INV2036</t>
  </si>
  <si>
    <t>24-04-2024</t>
  </si>
  <si>
    <t>INV2037</t>
  </si>
  <si>
    <t>2024/03/06</t>
  </si>
  <si>
    <t>INV2038</t>
  </si>
  <si>
    <t>INV2039</t>
  </si>
  <si>
    <t>INV2040</t>
  </si>
  <si>
    <t>02/20/2024</t>
  </si>
  <si>
    <t>INV2041</t>
  </si>
  <si>
    <t>INV2042</t>
  </si>
  <si>
    <t>27-12-2024</t>
  </si>
  <si>
    <t>INV2043</t>
  </si>
  <si>
    <t>INV2044</t>
  </si>
  <si>
    <t>INV2045</t>
  </si>
  <si>
    <t>09/07/2024</t>
  </si>
  <si>
    <t>INV2046</t>
  </si>
  <si>
    <t>INV2047</t>
  </si>
  <si>
    <t>INV2048</t>
  </si>
  <si>
    <t>2025/03/22</t>
  </si>
  <si>
    <t>INV2049</t>
  </si>
  <si>
    <t>27-07-2024</t>
  </si>
  <si>
    <t>INV2050</t>
  </si>
  <si>
    <t>INV2051</t>
  </si>
  <si>
    <t>06/24/2024</t>
  </si>
  <si>
    <t>INV2052</t>
  </si>
  <si>
    <t>2024/09/08</t>
  </si>
  <si>
    <t>INV2053</t>
  </si>
  <si>
    <t>02/14/2025</t>
  </si>
  <si>
    <t>INV2054</t>
  </si>
  <si>
    <t>INV2055</t>
  </si>
  <si>
    <t>INV2056</t>
  </si>
  <si>
    <t>07/05/2024</t>
  </si>
  <si>
    <t>INV2057</t>
  </si>
  <si>
    <t>INV2058</t>
  </si>
  <si>
    <t>INV2059</t>
  </si>
  <si>
    <t>2024/12/30</t>
  </si>
  <si>
    <t>INV2060</t>
  </si>
  <si>
    <t>05/07/2025</t>
  </si>
  <si>
    <t>INV2061</t>
  </si>
  <si>
    <t>INV2062</t>
  </si>
  <si>
    <t>INV2063</t>
  </si>
  <si>
    <t>INV2064</t>
  </si>
  <si>
    <t>INV2065</t>
  </si>
  <si>
    <t>INV2066</t>
  </si>
  <si>
    <t>INV2067</t>
  </si>
  <si>
    <t>2025/03/27</t>
  </si>
  <si>
    <t>INV2068</t>
  </si>
  <si>
    <t>2024/04/21</t>
  </si>
  <si>
    <t>INV2069</t>
  </si>
  <si>
    <t>INV2070</t>
  </si>
  <si>
    <t>13-12-2024</t>
  </si>
  <si>
    <t>INV2071</t>
  </si>
  <si>
    <t>2024/07/28</t>
  </si>
  <si>
    <t>INV2072</t>
  </si>
  <si>
    <t>22-04-2025</t>
  </si>
  <si>
    <t>INV2073</t>
  </si>
  <si>
    <t>01/12/2024</t>
  </si>
  <si>
    <t>INV2074</t>
  </si>
  <si>
    <t>2025/05/18</t>
  </si>
  <si>
    <t>INV2075</t>
  </si>
  <si>
    <t>INV2076</t>
  </si>
  <si>
    <t>01/28/2024</t>
  </si>
  <si>
    <t>INV2077</t>
  </si>
  <si>
    <t>03/09/2025</t>
  </si>
  <si>
    <t>INV2078</t>
  </si>
  <si>
    <t>INV2079</t>
  </si>
  <si>
    <t>06/28/2024</t>
  </si>
  <si>
    <t>INV2080</t>
  </si>
  <si>
    <t>INV2081</t>
  </si>
  <si>
    <t>02/10/2025</t>
  </si>
  <si>
    <t>INV2082</t>
  </si>
  <si>
    <t>2025/06/23</t>
  </si>
  <si>
    <t>INV2083</t>
  </si>
  <si>
    <t>2024/06/10</t>
  </si>
  <si>
    <t>INV2084</t>
  </si>
  <si>
    <t>INV2085</t>
  </si>
  <si>
    <t>INV2086</t>
  </si>
  <si>
    <t>15-01-2025</t>
  </si>
  <si>
    <t>INV2087</t>
  </si>
  <si>
    <t>INV2088</t>
  </si>
  <si>
    <t>INV2089</t>
  </si>
  <si>
    <t>INV2090</t>
  </si>
  <si>
    <t>01/13/2024</t>
  </si>
  <si>
    <t>INV2091</t>
  </si>
  <si>
    <t>INV2092</t>
  </si>
  <si>
    <t>INV2093</t>
  </si>
  <si>
    <t>2024/01/17</t>
  </si>
  <si>
    <t>INV2094</t>
  </si>
  <si>
    <t>11/07/2024</t>
  </si>
  <si>
    <t>INV2095</t>
  </si>
  <si>
    <t>2025/02/02</t>
  </si>
  <si>
    <t>INV2096</t>
  </si>
  <si>
    <t>INV2097</t>
  </si>
  <si>
    <t>INV2098</t>
  </si>
  <si>
    <t>03/21/2025</t>
  </si>
  <si>
    <t>INV2099</t>
  </si>
  <si>
    <t>INV2100</t>
  </si>
  <si>
    <t>INV2101</t>
  </si>
  <si>
    <t>INV2102</t>
  </si>
  <si>
    <t>INV2103</t>
  </si>
  <si>
    <t>INV2104</t>
  </si>
  <si>
    <t>26-07-2024</t>
  </si>
  <si>
    <t>INV2105</t>
  </si>
  <si>
    <t>INV2106</t>
  </si>
  <si>
    <t>09/05/2024</t>
  </si>
  <si>
    <t>INV2107</t>
  </si>
  <si>
    <t>INV2108</t>
  </si>
  <si>
    <t>INV2109</t>
  </si>
  <si>
    <t>INV2110</t>
  </si>
  <si>
    <t>06/25/2024</t>
  </si>
  <si>
    <t>INV2111</t>
  </si>
  <si>
    <t>24-03-2024</t>
  </si>
  <si>
    <t>INV2112</t>
  </si>
  <si>
    <t>INV2113</t>
  </si>
  <si>
    <t>12/06/2024</t>
  </si>
  <si>
    <t>INV2114</t>
  </si>
  <si>
    <t>INV2115</t>
  </si>
  <si>
    <t>05/29/2025</t>
  </si>
  <si>
    <t>INV2116</t>
  </si>
  <si>
    <t>INV2117</t>
  </si>
  <si>
    <t>INV2118</t>
  </si>
  <si>
    <t>INV2119</t>
  </si>
  <si>
    <t>INV2120</t>
  </si>
  <si>
    <t>2025/05/09</t>
  </si>
  <si>
    <t>INV2121</t>
  </si>
  <si>
    <t>INV2122</t>
  </si>
  <si>
    <t>04-02-2025</t>
  </si>
  <si>
    <t>INV2123</t>
  </si>
  <si>
    <t>24-04-2025</t>
  </si>
  <si>
    <t>INV2124</t>
  </si>
  <si>
    <t>05/09/2025</t>
  </si>
  <si>
    <t>INV2125</t>
  </si>
  <si>
    <t>04/29/2025</t>
  </si>
  <si>
    <t>INV2126</t>
  </si>
  <si>
    <t>05/13/2025</t>
  </si>
  <si>
    <t>INV2127</t>
  </si>
  <si>
    <t>INV2128</t>
  </si>
  <si>
    <t>2025/02/13</t>
  </si>
  <si>
    <t>INV2129</t>
  </si>
  <si>
    <t>29-01-2025</t>
  </si>
  <si>
    <t>INV2130</t>
  </si>
  <si>
    <t>INV2131</t>
  </si>
  <si>
    <t>04/04/2025</t>
  </si>
  <si>
    <t>INV2132</t>
  </si>
  <si>
    <t>2024/12/17</t>
  </si>
  <si>
    <t>INV2133</t>
  </si>
  <si>
    <t>2024/10/31</t>
  </si>
  <si>
    <t>INV2134</t>
  </si>
  <si>
    <t>2024/08/30</t>
  </si>
  <si>
    <t>INV2135</t>
  </si>
  <si>
    <t>INV2136</t>
  </si>
  <si>
    <t>01/18/2024</t>
  </si>
  <si>
    <t>INV2137</t>
  </si>
  <si>
    <t>INV2138</t>
  </si>
  <si>
    <t>INV2139</t>
  </si>
  <si>
    <t>07/29/2024</t>
  </si>
  <si>
    <t>INV2140</t>
  </si>
  <si>
    <t>2024/01/23</t>
  </si>
  <si>
    <t>INV2141</t>
  </si>
  <si>
    <t>29-03-2024</t>
  </si>
  <si>
    <t>INV2142</t>
  </si>
  <si>
    <t>2024/11/18</t>
  </si>
  <si>
    <t>INV2143</t>
  </si>
  <si>
    <t>2025/04/27</t>
  </si>
  <si>
    <t>INV2144</t>
  </si>
  <si>
    <t>2024/09/06</t>
  </si>
  <si>
    <t>INV2145</t>
  </si>
  <si>
    <t>INV2146</t>
  </si>
  <si>
    <t>27-11-2024</t>
  </si>
  <si>
    <t>20-02-2024</t>
  </si>
  <si>
    <t>INV2148</t>
  </si>
  <si>
    <t>2024/04/10</t>
  </si>
  <si>
    <t>INV2149</t>
  </si>
  <si>
    <t>INV2150</t>
  </si>
  <si>
    <t>INV2151</t>
  </si>
  <si>
    <t>INV2152</t>
  </si>
  <si>
    <t>INV2154</t>
  </si>
  <si>
    <t>12-12-2024</t>
  </si>
  <si>
    <t>INV2155</t>
  </si>
  <si>
    <t>2024/01/19</t>
  </si>
  <si>
    <t>INV2156</t>
  </si>
  <si>
    <t>INV2157</t>
  </si>
  <si>
    <t>01/28/2025</t>
  </si>
  <si>
    <t>INV2158</t>
  </si>
  <si>
    <t>INV2159</t>
  </si>
  <si>
    <t>INV2160</t>
  </si>
  <si>
    <t>INV2161</t>
  </si>
  <si>
    <t>10/29/2024</t>
  </si>
  <si>
    <t>INV2162</t>
  </si>
  <si>
    <t>INV2163</t>
  </si>
  <si>
    <t>INV2164</t>
  </si>
  <si>
    <t>06/11/2024</t>
  </si>
  <si>
    <t>INV2165</t>
  </si>
  <si>
    <t>INV2166</t>
  </si>
  <si>
    <t>2024/08/25</t>
  </si>
  <si>
    <t>INV2167</t>
  </si>
  <si>
    <t>INV2168</t>
  </si>
  <si>
    <t>2024/04/30</t>
  </si>
  <si>
    <t>INV2169</t>
  </si>
  <si>
    <t>2024/10/10</t>
  </si>
  <si>
    <t>INV2170</t>
  </si>
  <si>
    <t>INV2171</t>
  </si>
  <si>
    <t>2024/05/09</t>
  </si>
  <si>
    <t>INV2172</t>
  </si>
  <si>
    <t>INV2173</t>
  </si>
  <si>
    <t>2024/01/11</t>
  </si>
  <si>
    <t>INV2174</t>
  </si>
  <si>
    <t>INV2175</t>
  </si>
  <si>
    <t>2024/07/03</t>
  </si>
  <si>
    <t>INV2176</t>
  </si>
  <si>
    <t>2024/10/18</t>
  </si>
  <si>
    <t>INV2177</t>
  </si>
  <si>
    <t>10/14/2024</t>
  </si>
  <si>
    <t>INV2178</t>
  </si>
  <si>
    <t>06/19/2025</t>
  </si>
  <si>
    <t>INV2179</t>
  </si>
  <si>
    <t>02/26/2024</t>
  </si>
  <si>
    <t>INV2180</t>
  </si>
  <si>
    <t>04/06/2025</t>
  </si>
  <si>
    <t>INV2181</t>
  </si>
  <si>
    <t>INV2183</t>
  </si>
  <si>
    <t>01/30/2025</t>
  </si>
  <si>
    <t>INV2184</t>
  </si>
  <si>
    <t>INV2185</t>
  </si>
  <si>
    <t>12/05/2024</t>
  </si>
  <si>
    <t>INV2186</t>
  </si>
  <si>
    <t>INV2187</t>
  </si>
  <si>
    <t>INV2188</t>
  </si>
  <si>
    <t>2024/01/05</t>
  </si>
  <si>
    <t>INV2189</t>
  </si>
  <si>
    <t>2024/03/16</t>
  </si>
  <si>
    <t>INV2190</t>
  </si>
  <si>
    <t>INV2191</t>
  </si>
  <si>
    <t>29-08-2024</t>
  </si>
  <si>
    <t>INV2192</t>
  </si>
  <si>
    <t>03/02/2024</t>
  </si>
  <si>
    <t>INV2193</t>
  </si>
  <si>
    <t>2024/06/23</t>
  </si>
  <si>
    <t>INV2194</t>
  </si>
  <si>
    <t>INV2195</t>
  </si>
  <si>
    <t>INV2196</t>
  </si>
  <si>
    <t>INV2197</t>
  </si>
  <si>
    <t>INV2198</t>
  </si>
  <si>
    <t>02/25/2024</t>
  </si>
  <si>
    <t>INV2199</t>
  </si>
  <si>
    <t>2024/10/19</t>
  </si>
  <si>
    <t>INV2200</t>
  </si>
  <si>
    <t>INV2201</t>
  </si>
  <si>
    <t>INV2202</t>
  </si>
  <si>
    <t>INV2203</t>
  </si>
  <si>
    <t>INV2204</t>
  </si>
  <si>
    <t>INV2205</t>
  </si>
  <si>
    <t>INV2206</t>
  </si>
  <si>
    <t>INV2207</t>
  </si>
  <si>
    <t>2025/02/15</t>
  </si>
  <si>
    <t>INV2208</t>
  </si>
  <si>
    <t>2025/02/18</t>
  </si>
  <si>
    <t>INV2209</t>
  </si>
  <si>
    <t>2025/01/08</t>
  </si>
  <si>
    <t>INV2210</t>
  </si>
  <si>
    <t>INV2211</t>
  </si>
  <si>
    <t>INV2212</t>
  </si>
  <si>
    <t>INV2213</t>
  </si>
  <si>
    <t>INV2214</t>
  </si>
  <si>
    <t>INV2215</t>
  </si>
  <si>
    <t>INV2216</t>
  </si>
  <si>
    <t>INV2217</t>
  </si>
  <si>
    <t>INV2218</t>
  </si>
  <si>
    <t>INV2219</t>
  </si>
  <si>
    <t>27-01-2024</t>
  </si>
  <si>
    <t>INV2220</t>
  </si>
  <si>
    <t>INV2221</t>
  </si>
  <si>
    <t>INV2222</t>
  </si>
  <si>
    <t>INV2223</t>
  </si>
  <si>
    <t>07-03-2024</t>
  </si>
  <si>
    <t>INV2224</t>
  </si>
  <si>
    <t>INV2225</t>
  </si>
  <si>
    <t>2024/01/03</t>
  </si>
  <si>
    <t>INV2226</t>
  </si>
  <si>
    <t>13-03-2025</t>
  </si>
  <si>
    <t>INV2227</t>
  </si>
  <si>
    <t>INV2228</t>
  </si>
  <si>
    <t>INV2229</t>
  </si>
  <si>
    <t>INV2230</t>
  </si>
  <si>
    <t>INV2231</t>
  </si>
  <si>
    <t>INV2232</t>
  </si>
  <si>
    <t>04/26/2025</t>
  </si>
  <si>
    <t>INV2233</t>
  </si>
  <si>
    <t>INV2234</t>
  </si>
  <si>
    <t>INV2235</t>
  </si>
  <si>
    <t>INV2236</t>
  </si>
  <si>
    <t>INV2237</t>
  </si>
  <si>
    <t>30-11-2024</t>
  </si>
  <si>
    <t>INV2238</t>
  </si>
  <si>
    <t>INV2239</t>
  </si>
  <si>
    <t>INV2240</t>
  </si>
  <si>
    <t>INV2241</t>
  </si>
  <si>
    <t>INV2242</t>
  </si>
  <si>
    <t>25-01-2024</t>
  </si>
  <si>
    <t>INV2243</t>
  </si>
  <si>
    <t>INV2244</t>
  </si>
  <si>
    <t>2024/02/14</t>
  </si>
  <si>
    <t>INV2245</t>
  </si>
  <si>
    <t>INV2246</t>
  </si>
  <si>
    <t>INV2247</t>
  </si>
  <si>
    <t>INV2248</t>
  </si>
  <si>
    <t>18-11-2024</t>
  </si>
  <si>
    <t>INV2249</t>
  </si>
  <si>
    <t>2025/05/28</t>
  </si>
  <si>
    <t>INV2250</t>
  </si>
  <si>
    <t>05/16/2025</t>
  </si>
  <si>
    <t>INV2251</t>
  </si>
  <si>
    <t>04-06-2025</t>
  </si>
  <si>
    <t>INV2252</t>
  </si>
  <si>
    <t>INV2253</t>
  </si>
  <si>
    <t>01/19/2025</t>
  </si>
  <si>
    <t>INV2254</t>
  </si>
  <si>
    <t>INV2255</t>
  </si>
  <si>
    <t>INV2256</t>
  </si>
  <si>
    <t>INV2257</t>
  </si>
  <si>
    <t>2024/02/17</t>
  </si>
  <si>
    <t>INV2258</t>
  </si>
  <si>
    <t>INV2259</t>
  </si>
  <si>
    <t>INV2260</t>
  </si>
  <si>
    <t>2025/04/13</t>
  </si>
  <si>
    <t>INV2261</t>
  </si>
  <si>
    <t>INV2262</t>
  </si>
  <si>
    <t>17-01-2024</t>
  </si>
  <si>
    <t>INV2263</t>
  </si>
  <si>
    <t>INV2264</t>
  </si>
  <si>
    <t>11-11-2024</t>
  </si>
  <si>
    <t>INV2265</t>
  </si>
  <si>
    <t>INV2266</t>
  </si>
  <si>
    <t>04/11/2025</t>
  </si>
  <si>
    <t>INV2267</t>
  </si>
  <si>
    <t>2025/02/03</t>
  </si>
  <si>
    <t>INV2268</t>
  </si>
  <si>
    <t>INV2269</t>
  </si>
  <si>
    <t>11-10-2024</t>
  </si>
  <si>
    <t>INV2270</t>
  </si>
  <si>
    <t>02/22/2024</t>
  </si>
  <si>
    <t>INV2271</t>
  </si>
  <si>
    <t>2024/09/09</t>
  </si>
  <si>
    <t>INV2272</t>
  </si>
  <si>
    <t>INV2273</t>
  </si>
  <si>
    <t>2024/12/28</t>
  </si>
  <si>
    <t>INV2274</t>
  </si>
  <si>
    <t>2024/12/05</t>
  </si>
  <si>
    <t>INV2275</t>
  </si>
  <si>
    <t>21-10-2024</t>
  </si>
  <si>
    <t>INV2276</t>
  </si>
  <si>
    <t>03/17/2025</t>
  </si>
  <si>
    <t>INV2277</t>
  </si>
  <si>
    <t>2024/08/07</t>
  </si>
  <si>
    <t>INV2278</t>
  </si>
  <si>
    <t>07-05-2024</t>
  </si>
  <si>
    <t>INV2279</t>
  </si>
  <si>
    <t>07/01/2024</t>
  </si>
  <si>
    <t>INV2280</t>
  </si>
  <si>
    <t>11-07-2024</t>
  </si>
  <si>
    <t>INV2281</t>
  </si>
  <si>
    <t>INV2282</t>
  </si>
  <si>
    <t>05-12-2024</t>
  </si>
  <si>
    <t>INV2283</t>
  </si>
  <si>
    <t>03-01-2024</t>
  </si>
  <si>
    <t>INV2284</t>
  </si>
  <si>
    <t>INV2285</t>
  </si>
  <si>
    <t>07/10/2024</t>
  </si>
  <si>
    <t>INV2286</t>
  </si>
  <si>
    <t>INV2287</t>
  </si>
  <si>
    <t>04/05/2025</t>
  </si>
  <si>
    <t>INV2288</t>
  </si>
  <si>
    <t>INV2289</t>
  </si>
  <si>
    <t>INV2290</t>
  </si>
  <si>
    <t>INV2291</t>
  </si>
  <si>
    <t>INV2292</t>
  </si>
  <si>
    <t>2024/10/26</t>
  </si>
  <si>
    <t>INV2293</t>
  </si>
  <si>
    <t>INV2294</t>
  </si>
  <si>
    <t>2025/03/16</t>
  </si>
  <si>
    <t>INV2295</t>
  </si>
  <si>
    <t>INV2296</t>
  </si>
  <si>
    <t>2024/05/25</t>
  </si>
  <si>
    <t>INV2297</t>
  </si>
  <si>
    <t>02/08/2024</t>
  </si>
  <si>
    <t>INV2298</t>
  </si>
  <si>
    <t>09-05-2024</t>
  </si>
  <si>
    <t>INV2299</t>
  </si>
  <si>
    <t>09/10/2024</t>
  </si>
  <si>
    <t>INV2300</t>
  </si>
  <si>
    <t>INV2301</t>
  </si>
  <si>
    <t>11/04/2024</t>
  </si>
  <si>
    <t>INV2302</t>
  </si>
  <si>
    <t>10-12-2024</t>
  </si>
  <si>
    <t>INV2303</t>
  </si>
  <si>
    <t>INV2304</t>
  </si>
  <si>
    <t>INV2305</t>
  </si>
  <si>
    <t>INV2306</t>
  </si>
  <si>
    <t>04/14/2025</t>
  </si>
  <si>
    <t>INV2307</t>
  </si>
  <si>
    <t>INV2308</t>
  </si>
  <si>
    <t>INV2309</t>
  </si>
  <si>
    <t>26-03-2025</t>
  </si>
  <si>
    <t>INV2310</t>
  </si>
  <si>
    <t>2025/04/04</t>
  </si>
  <si>
    <t>INV2311</t>
  </si>
  <si>
    <t>INV2312</t>
  </si>
  <si>
    <t>INV2313</t>
  </si>
  <si>
    <t>09/21/2024</t>
  </si>
  <si>
    <t>INV2314</t>
  </si>
  <si>
    <t>INV2315</t>
  </si>
  <si>
    <t>INV2316</t>
  </si>
  <si>
    <t>12-06-2025</t>
  </si>
  <si>
    <t>INV2317</t>
  </si>
  <si>
    <t>2024/06/21</t>
  </si>
  <si>
    <t>INV2318</t>
  </si>
  <si>
    <t>INV2319</t>
  </si>
  <si>
    <t>2024/01/10</t>
  </si>
  <si>
    <t>INV2320</t>
  </si>
  <si>
    <t>06-05-2024</t>
  </si>
  <si>
    <t>INV2321</t>
  </si>
  <si>
    <t>21-03-2025</t>
  </si>
  <si>
    <t>INV2322</t>
  </si>
  <si>
    <t>05/01/2024</t>
  </si>
  <si>
    <t>INV2323</t>
  </si>
  <si>
    <t>2025/05/16</t>
  </si>
  <si>
    <t>INV2325</t>
  </si>
  <si>
    <t>06-10-2024</t>
  </si>
  <si>
    <t>INV2326</t>
  </si>
  <si>
    <t>INV2327</t>
  </si>
  <si>
    <t>12-05-2024</t>
  </si>
  <si>
    <t>INV2328</t>
  </si>
  <si>
    <t>INV2329</t>
  </si>
  <si>
    <t>09/13/2024</t>
  </si>
  <si>
    <t>INV2330</t>
  </si>
  <si>
    <t>INV2331</t>
  </si>
  <si>
    <t>INV2332</t>
  </si>
  <si>
    <t>03/26/2024</t>
  </si>
  <si>
    <t>INV2333</t>
  </si>
  <si>
    <t>2025/03/03</t>
  </si>
  <si>
    <t>INV2334</t>
  </si>
  <si>
    <t>INV2335</t>
  </si>
  <si>
    <t>INV2336</t>
  </si>
  <si>
    <t>INV2337</t>
  </si>
  <si>
    <t>2024/10/17</t>
  </si>
  <si>
    <t>INV2338</t>
  </si>
  <si>
    <t>04/25/2024</t>
  </si>
  <si>
    <t>INV2339</t>
  </si>
  <si>
    <t>16-09-2024</t>
  </si>
  <si>
    <t>INV2340</t>
  </si>
  <si>
    <t>01/17/2025</t>
  </si>
  <si>
    <t>INV2341</t>
  </si>
  <si>
    <t>04/17/2025</t>
  </si>
  <si>
    <t>INV2342</t>
  </si>
  <si>
    <t>06-05-2025</t>
  </si>
  <si>
    <t>INV2343</t>
  </si>
  <si>
    <t>INV2344</t>
  </si>
  <si>
    <t>INV2345</t>
  </si>
  <si>
    <t>29-02-2024</t>
  </si>
  <si>
    <t>INV2346</t>
  </si>
  <si>
    <t>INV2347</t>
  </si>
  <si>
    <t>2024/02/15</t>
  </si>
  <si>
    <t>INV2348</t>
  </si>
  <si>
    <t>INV2349</t>
  </si>
  <si>
    <t>INV2350</t>
  </si>
  <si>
    <t>INV2351</t>
  </si>
  <si>
    <t>INV2352</t>
  </si>
  <si>
    <t>INV2353</t>
  </si>
  <si>
    <t>01/07/2024</t>
  </si>
  <si>
    <t>INV2354</t>
  </si>
  <si>
    <t>INV2355</t>
  </si>
  <si>
    <t>INV2356</t>
  </si>
  <si>
    <t>14-01-2024</t>
  </si>
  <si>
    <t>INV2357</t>
  </si>
  <si>
    <t>13-01-2025</t>
  </si>
  <si>
    <t>INV2358</t>
  </si>
  <si>
    <t>2024/06/08</t>
  </si>
  <si>
    <t>INV2359</t>
  </si>
  <si>
    <t>12/09/2024</t>
  </si>
  <si>
    <t>INV2360</t>
  </si>
  <si>
    <t>2024/01/22</t>
  </si>
  <si>
    <t>INV2361</t>
  </si>
  <si>
    <t>20-05-2025</t>
  </si>
  <si>
    <t>INV2362</t>
  </si>
  <si>
    <t>30-12-2024</t>
  </si>
  <si>
    <t>INV2363</t>
  </si>
  <si>
    <t>01/12/2025</t>
  </si>
  <si>
    <t>INV2364</t>
  </si>
  <si>
    <t>01/05/2025</t>
  </si>
  <si>
    <t>INV2365</t>
  </si>
  <si>
    <t>INV2366</t>
  </si>
  <si>
    <t>25-05-2024</t>
  </si>
  <si>
    <t>INV2367</t>
  </si>
  <si>
    <t>INV2368</t>
  </si>
  <si>
    <t>INV2369</t>
  </si>
  <si>
    <t>22-03-2024</t>
  </si>
  <si>
    <t>INV2370</t>
  </si>
  <si>
    <t>INV2371</t>
  </si>
  <si>
    <t>07-05-2025</t>
  </si>
  <si>
    <t>INV2372</t>
  </si>
  <si>
    <t>INV2373</t>
  </si>
  <si>
    <t>10/05/2024</t>
  </si>
  <si>
    <t>INV2374</t>
  </si>
  <si>
    <t>01-10-2024</t>
  </si>
  <si>
    <t>INV2375</t>
  </si>
  <si>
    <t>11-12-2024</t>
  </si>
  <si>
    <t>INV2376</t>
  </si>
  <si>
    <t>INV2377</t>
  </si>
  <si>
    <t>03/14/2024</t>
  </si>
  <si>
    <t>INV2378</t>
  </si>
  <si>
    <t>05/21/2024</t>
  </si>
  <si>
    <t>INV2379</t>
  </si>
  <si>
    <t>INV2380</t>
  </si>
  <si>
    <t>06-12-2024</t>
  </si>
  <si>
    <t>INV2381</t>
  </si>
  <si>
    <t>INV2382</t>
  </si>
  <si>
    <t>INV2383</t>
  </si>
  <si>
    <t>2025/03/14</t>
  </si>
  <si>
    <t>INV2384</t>
  </si>
  <si>
    <t>INV2385</t>
  </si>
  <si>
    <t>INV2386</t>
  </si>
  <si>
    <t>INV2387</t>
  </si>
  <si>
    <t>INV2388</t>
  </si>
  <si>
    <t>INV2389</t>
  </si>
  <si>
    <t>INV2390</t>
  </si>
  <si>
    <t>2024/01/25</t>
  </si>
  <si>
    <t>INV2391</t>
  </si>
  <si>
    <t>INV2392</t>
  </si>
  <si>
    <t>INV2393</t>
  </si>
  <si>
    <t>01/20/2025</t>
  </si>
  <si>
    <t>INV2394</t>
  </si>
  <si>
    <t>2024/05/01</t>
  </si>
  <si>
    <t>INV2395</t>
  </si>
  <si>
    <t>INV2396</t>
  </si>
  <si>
    <t>INV2397</t>
  </si>
  <si>
    <t>INV2398</t>
  </si>
  <si>
    <t>15-04-2024</t>
  </si>
  <si>
    <t>INV2399</t>
  </si>
  <si>
    <t>INV2400</t>
  </si>
  <si>
    <t>20-09-2024</t>
  </si>
  <si>
    <t>INV2401</t>
  </si>
  <si>
    <t>INV2402</t>
  </si>
  <si>
    <t>INV2403</t>
  </si>
  <si>
    <t>06-11-2024</t>
  </si>
  <si>
    <t>INV2404</t>
  </si>
  <si>
    <t>2024/11/05</t>
  </si>
  <si>
    <t>INV2405</t>
  </si>
  <si>
    <t>2024/04/03</t>
  </si>
  <si>
    <t>INV2406</t>
  </si>
  <si>
    <t>INV2407</t>
  </si>
  <si>
    <t>INV2408</t>
  </si>
  <si>
    <t>14-03-2024</t>
  </si>
  <si>
    <t>INV2409</t>
  </si>
  <si>
    <t>22-02-2024</t>
  </si>
  <si>
    <t>INV2410</t>
  </si>
  <si>
    <t>08/28/2024</t>
  </si>
  <si>
    <t>INV2411</t>
  </si>
  <si>
    <t>INV2412</t>
  </si>
  <si>
    <t>INV2413</t>
  </si>
  <si>
    <t>INV2414</t>
  </si>
  <si>
    <t>19-02-2024</t>
  </si>
  <si>
    <t>INV2416</t>
  </si>
  <si>
    <t>02/29/2024</t>
  </si>
  <si>
    <t>INV2417</t>
  </si>
  <si>
    <t>07/24/2024</t>
  </si>
  <si>
    <t>INV2418</t>
  </si>
  <si>
    <t>24-02-2024</t>
  </si>
  <si>
    <t>INV2419</t>
  </si>
  <si>
    <t>2025/04/03</t>
  </si>
  <si>
    <t>INV2420</t>
  </si>
  <si>
    <t>INV2421</t>
  </si>
  <si>
    <t>INV2422</t>
  </si>
  <si>
    <t>INV2423</t>
  </si>
  <si>
    <t>INV2424</t>
  </si>
  <si>
    <t>INV2425</t>
  </si>
  <si>
    <t>28-03-2025</t>
  </si>
  <si>
    <t>INV2426</t>
  </si>
  <si>
    <t>INV2427</t>
  </si>
  <si>
    <t>2024/10/27</t>
  </si>
  <si>
    <t>INV2428</t>
  </si>
  <si>
    <t>INV2429</t>
  </si>
  <si>
    <t>INV2430</t>
  </si>
  <si>
    <t>INV2431</t>
  </si>
  <si>
    <t>05/10/2025</t>
  </si>
  <si>
    <t>INV2432</t>
  </si>
  <si>
    <t>2024/12/16</t>
  </si>
  <si>
    <t>INV2433</t>
  </si>
  <si>
    <t>INV2434</t>
  </si>
  <si>
    <t>06/17/2024</t>
  </si>
  <si>
    <t>INV2435</t>
  </si>
  <si>
    <t>INV2436</t>
  </si>
  <si>
    <t>26-02-2024</t>
  </si>
  <si>
    <t>INV2437</t>
  </si>
  <si>
    <t>INV2438</t>
  </si>
  <si>
    <t>INV2439</t>
  </si>
  <si>
    <t>INV2440</t>
  </si>
  <si>
    <t>2025/04/20</t>
  </si>
  <si>
    <t>INV2441</t>
  </si>
  <si>
    <t>INV2442</t>
  </si>
  <si>
    <t>19-09-2024</t>
  </si>
  <si>
    <t>INV2444</t>
  </si>
  <si>
    <t>2024/02/11</t>
  </si>
  <si>
    <t>INV2445</t>
  </si>
  <si>
    <t>06/13/2024</t>
  </si>
  <si>
    <t>INV2446</t>
  </si>
  <si>
    <t>INV2447</t>
  </si>
  <si>
    <t>2024/08/14</t>
  </si>
  <si>
    <t>INV2448</t>
  </si>
  <si>
    <t>INV2449</t>
  </si>
  <si>
    <t>INV2450</t>
  </si>
  <si>
    <t>2025/03/23</t>
  </si>
  <si>
    <t>INV2451</t>
  </si>
  <si>
    <t>INV2452</t>
  </si>
  <si>
    <t>04/15/2025</t>
  </si>
  <si>
    <t>INV2453</t>
  </si>
  <si>
    <t>30-04-2025</t>
  </si>
  <si>
    <t>INV2454</t>
  </si>
  <si>
    <t>INV2455</t>
  </si>
  <si>
    <t>INV2456</t>
  </si>
  <si>
    <t>INV2457</t>
  </si>
  <si>
    <t>INV2458</t>
  </si>
  <si>
    <t>11/05/2024</t>
  </si>
  <si>
    <t>INV2459</t>
  </si>
  <si>
    <t>02-05-2025</t>
  </si>
  <si>
    <t>INV2460</t>
  </si>
  <si>
    <t>INV2461</t>
  </si>
  <si>
    <t>INV2462</t>
  </si>
  <si>
    <t>24-03-2025</t>
  </si>
  <si>
    <t>INV2463</t>
  </si>
  <si>
    <t>INV2464</t>
  </si>
  <si>
    <t>INV2465</t>
  </si>
  <si>
    <t>01-01-2025</t>
  </si>
  <si>
    <t>INV2466</t>
  </si>
  <si>
    <t>INV2467</t>
  </si>
  <si>
    <t>2024/05/29</t>
  </si>
  <si>
    <t>INV2468</t>
  </si>
  <si>
    <t>2025/02/05</t>
  </si>
  <si>
    <t>INV2469</t>
  </si>
  <si>
    <t>INV2470</t>
  </si>
  <si>
    <t>19-06-2024</t>
  </si>
  <si>
    <t>INV2471</t>
  </si>
  <si>
    <t>INV2472</t>
  </si>
  <si>
    <t>2024/06/30</t>
  </si>
  <si>
    <t>INV2473</t>
  </si>
  <si>
    <t>2024/07/27</t>
  </si>
  <si>
    <t>INV2474</t>
  </si>
  <si>
    <t>2025/03/13</t>
  </si>
  <si>
    <t>INV2475</t>
  </si>
  <si>
    <t>INV2476</t>
  </si>
  <si>
    <t>INV2477</t>
  </si>
  <si>
    <t>INV2478</t>
  </si>
  <si>
    <t>INV2479</t>
  </si>
  <si>
    <t>INV2480</t>
  </si>
  <si>
    <t>20-10-2024</t>
  </si>
  <si>
    <t>INV2481</t>
  </si>
  <si>
    <t>31-01-2025</t>
  </si>
  <si>
    <t>INV2482</t>
  </si>
  <si>
    <t>INV2483</t>
  </si>
  <si>
    <t>03/08/2024</t>
  </si>
  <si>
    <t>INV2484</t>
  </si>
  <si>
    <t>INV2485</t>
  </si>
  <si>
    <t>INV2486</t>
  </si>
  <si>
    <t>INV2487</t>
  </si>
  <si>
    <t>2024/03/02</t>
  </si>
  <si>
    <t>INV2488</t>
  </si>
  <si>
    <t>INV2489</t>
  </si>
  <si>
    <t>INV2490</t>
  </si>
  <si>
    <t>2024/09/23</t>
  </si>
  <si>
    <t>INV2491</t>
  </si>
  <si>
    <t>INV2492</t>
  </si>
  <si>
    <t>INV2493</t>
  </si>
  <si>
    <t>06/27/2024</t>
  </si>
  <si>
    <t>INV2494</t>
  </si>
  <si>
    <t>INV2495</t>
  </si>
  <si>
    <t>INV2496</t>
  </si>
  <si>
    <t>07-08-2024</t>
  </si>
  <si>
    <t>INV2497</t>
  </si>
  <si>
    <t>2024/07/15</t>
  </si>
  <si>
    <t>INV2498</t>
  </si>
  <si>
    <t>INV2499</t>
  </si>
  <si>
    <t>2024/07/07</t>
  </si>
  <si>
    <t>INV2500</t>
  </si>
  <si>
    <t>2024/04/11</t>
  </si>
  <si>
    <t>INV2501</t>
  </si>
  <si>
    <t>INV2502</t>
  </si>
  <si>
    <t>16-11-2024</t>
  </si>
  <si>
    <t>INV2503</t>
  </si>
  <si>
    <t>02/03/2025</t>
  </si>
  <si>
    <t>INV2504</t>
  </si>
  <si>
    <t>INV2505</t>
  </si>
  <si>
    <t>05/22/2024</t>
  </si>
  <si>
    <t>INV2506</t>
  </si>
  <si>
    <t>21-05-2025</t>
  </si>
  <si>
    <t>INV2507</t>
  </si>
  <si>
    <t>INV2508</t>
  </si>
  <si>
    <t>INV2509</t>
  </si>
  <si>
    <t>24-01-2025</t>
  </si>
  <si>
    <t>INV2510</t>
  </si>
  <si>
    <t>INV2511</t>
  </si>
  <si>
    <t>03/04/2025</t>
  </si>
  <si>
    <t>INV2512</t>
  </si>
  <si>
    <t>INV2513</t>
  </si>
  <si>
    <t>2024/03/28</t>
  </si>
  <si>
    <t>INV2514</t>
  </si>
  <si>
    <t>2025/06/16</t>
  </si>
  <si>
    <t>INV2515</t>
  </si>
  <si>
    <t>INV2516</t>
  </si>
  <si>
    <t>INV2517</t>
  </si>
  <si>
    <t>INV2518</t>
  </si>
  <si>
    <t>INV2519</t>
  </si>
  <si>
    <t>INV2520</t>
  </si>
  <si>
    <t>INV2521</t>
  </si>
  <si>
    <t>INV2522</t>
  </si>
  <si>
    <t>INV2523</t>
  </si>
  <si>
    <t>INV2524</t>
  </si>
  <si>
    <t>INV2525</t>
  </si>
  <si>
    <t>08/05/2024</t>
  </si>
  <si>
    <t>INV2526</t>
  </si>
  <si>
    <t>06-08-2024</t>
  </si>
  <si>
    <t>INV2527</t>
  </si>
  <si>
    <t>2024/08/29</t>
  </si>
  <si>
    <t>INV2528</t>
  </si>
  <si>
    <t>23-03-2025</t>
  </si>
  <si>
    <t>INV2529</t>
  </si>
  <si>
    <t>INV2530</t>
  </si>
  <si>
    <t>INV2531</t>
  </si>
  <si>
    <t>06/18/2024</t>
  </si>
  <si>
    <t>INV2532</t>
  </si>
  <si>
    <t>INV2533</t>
  </si>
  <si>
    <t>INV2534</t>
  </si>
  <si>
    <t>2024/09/22</t>
  </si>
  <si>
    <t>INV2535</t>
  </si>
  <si>
    <t>INV2536</t>
  </si>
  <si>
    <t>INV2537</t>
  </si>
  <si>
    <t>INV2538</t>
  </si>
  <si>
    <t>2025/06/22</t>
  </si>
  <si>
    <t>INV2539</t>
  </si>
  <si>
    <t>05-04-2024</t>
  </si>
  <si>
    <t>INV2540</t>
  </si>
  <si>
    <t>INV2541</t>
  </si>
  <si>
    <t>INV2542</t>
  </si>
  <si>
    <t>INV2543</t>
  </si>
  <si>
    <t>INV2544</t>
  </si>
  <si>
    <t>10/25/2024</t>
  </si>
  <si>
    <t>INV2545</t>
  </si>
  <si>
    <t>12-04-2025</t>
  </si>
  <si>
    <t>INV2546</t>
  </si>
  <si>
    <t>INV2547</t>
  </si>
  <si>
    <t>27-09-2024</t>
  </si>
  <si>
    <t>INV2548</t>
  </si>
  <si>
    <t>INV2549</t>
  </si>
  <si>
    <t>INV2550</t>
  </si>
  <si>
    <t>INV2551</t>
  </si>
  <si>
    <t>INV2552</t>
  </si>
  <si>
    <t>05/22/2025</t>
  </si>
  <si>
    <t>INV2553</t>
  </si>
  <si>
    <t>INV2554</t>
  </si>
  <si>
    <t>INV2555</t>
  </si>
  <si>
    <t>03/26/2025</t>
  </si>
  <si>
    <t>INV2556</t>
  </si>
  <si>
    <t>INV2557</t>
  </si>
  <si>
    <t>09/20/2024</t>
  </si>
  <si>
    <t>INV2558</t>
  </si>
  <si>
    <t>INV2559</t>
  </si>
  <si>
    <t>INV2560</t>
  </si>
  <si>
    <t>INV2561</t>
  </si>
  <si>
    <t>INV2562</t>
  </si>
  <si>
    <t>2024/06/26</t>
  </si>
  <si>
    <t>INV2563</t>
  </si>
  <si>
    <t>07/11/2024</t>
  </si>
  <si>
    <t>INV2564</t>
  </si>
  <si>
    <t>INV2565</t>
  </si>
  <si>
    <t>INV2566</t>
  </si>
  <si>
    <t>INV2567</t>
  </si>
  <si>
    <t>2024/07/19</t>
  </si>
  <si>
    <t>INV2568</t>
  </si>
  <si>
    <t>2024/08/11</t>
  </si>
  <si>
    <t>INV2569</t>
  </si>
  <si>
    <t>INV2570</t>
  </si>
  <si>
    <t>INV2571</t>
  </si>
  <si>
    <t>21-06-2024</t>
  </si>
  <si>
    <t>INV2572</t>
  </si>
  <si>
    <t>INV2573</t>
  </si>
  <si>
    <t>INV2574</t>
  </si>
  <si>
    <t>2024/10/13</t>
  </si>
  <si>
    <t>INV2575</t>
  </si>
  <si>
    <t>INV2576</t>
  </si>
  <si>
    <t>INV2577</t>
  </si>
  <si>
    <t>09-04-2025</t>
  </si>
  <si>
    <t>INV2578</t>
  </si>
  <si>
    <t>INV2579</t>
  </si>
  <si>
    <t>19-02-2025</t>
  </si>
  <si>
    <t>INV2580</t>
  </si>
  <si>
    <t>INV2581</t>
  </si>
  <si>
    <t>2024/11/09</t>
  </si>
  <si>
    <t>INV2582</t>
  </si>
  <si>
    <t>INV2583</t>
  </si>
  <si>
    <t>INV2584</t>
  </si>
  <si>
    <t>INV2585</t>
  </si>
  <si>
    <t>INV2586</t>
  </si>
  <si>
    <t>11/26/2024</t>
  </si>
  <si>
    <t>INV2587</t>
  </si>
  <si>
    <t>INV2588</t>
  </si>
  <si>
    <t>2025/01/14</t>
  </si>
  <si>
    <t>INV2589</t>
  </si>
  <si>
    <t>24-11-2024</t>
  </si>
  <si>
    <t>INV2590</t>
  </si>
  <si>
    <t>2025/02/22</t>
  </si>
  <si>
    <t>INV2591</t>
  </si>
  <si>
    <t>INV2592</t>
  </si>
  <si>
    <t>INV2593</t>
  </si>
  <si>
    <t>INV2594</t>
  </si>
  <si>
    <t>01/15/2024</t>
  </si>
  <si>
    <t>INV2595</t>
  </si>
  <si>
    <t>INV2596</t>
  </si>
  <si>
    <t>2024/08/28</t>
  </si>
  <si>
    <t>INV2597</t>
  </si>
  <si>
    <t>INV2598</t>
  </si>
  <si>
    <t>INV2599</t>
  </si>
  <si>
    <t>01/29/2024</t>
  </si>
  <si>
    <t>INV2601</t>
  </si>
  <si>
    <t>INV2602</t>
  </si>
  <si>
    <t>INV2603</t>
  </si>
  <si>
    <t>INV2604</t>
  </si>
  <si>
    <t>INV2605</t>
  </si>
  <si>
    <t>04-11-2024</t>
  </si>
  <si>
    <t>INV2606</t>
  </si>
  <si>
    <t>INV2607</t>
  </si>
  <si>
    <t>2025/02/01</t>
  </si>
  <si>
    <t>INV2608</t>
  </si>
  <si>
    <t>09/01/2024</t>
  </si>
  <si>
    <t>INV2609</t>
  </si>
  <si>
    <t>2024/03/18</t>
  </si>
  <si>
    <t>INV2610</t>
  </si>
  <si>
    <t>INV2611</t>
  </si>
  <si>
    <t>26-12-2024</t>
  </si>
  <si>
    <t>INV2612</t>
  </si>
  <si>
    <t>02/20/2025</t>
  </si>
  <si>
    <t>INV2613</t>
  </si>
  <si>
    <t>21-09-2024</t>
  </si>
  <si>
    <t>INV2614</t>
  </si>
  <si>
    <t>INV2615</t>
  </si>
  <si>
    <t>2024/08/17</t>
  </si>
  <si>
    <t>INV2616</t>
  </si>
  <si>
    <t>18-03-2025</t>
  </si>
  <si>
    <t>INV2617</t>
  </si>
  <si>
    <t>INV2618</t>
  </si>
  <si>
    <t>INV2619</t>
  </si>
  <si>
    <t>INV2620</t>
  </si>
  <si>
    <t>INV2621</t>
  </si>
  <si>
    <t>04-09-2024</t>
  </si>
  <si>
    <t>INV2622</t>
  </si>
  <si>
    <t>05/31/2025</t>
  </si>
  <si>
    <t>INV2623</t>
  </si>
  <si>
    <t>INV2624</t>
  </si>
  <si>
    <t>07/27/2024</t>
  </si>
  <si>
    <t>INV2625</t>
  </si>
  <si>
    <t>05/08/2024</t>
  </si>
  <si>
    <t>INV2626</t>
  </si>
  <si>
    <t>16-12-2024</t>
  </si>
  <si>
    <t>INV2627</t>
  </si>
  <si>
    <t>INV2628</t>
  </si>
  <si>
    <t>INV2629</t>
  </si>
  <si>
    <t>06/15/2025</t>
  </si>
  <si>
    <t>INV2630</t>
  </si>
  <si>
    <t>INV2631</t>
  </si>
  <si>
    <t>INV2632</t>
  </si>
  <si>
    <t>INV2633</t>
  </si>
  <si>
    <t>08-11-2024</t>
  </si>
  <si>
    <t>INV2634</t>
  </si>
  <si>
    <t>INV2635</t>
  </si>
  <si>
    <t>2024/06/01</t>
  </si>
  <si>
    <t>INV2636</t>
  </si>
  <si>
    <t>INV2637</t>
  </si>
  <si>
    <t>INV2638</t>
  </si>
  <si>
    <t>INV2639</t>
  </si>
  <si>
    <t>INV2640</t>
  </si>
  <si>
    <t>INV2641</t>
  </si>
  <si>
    <t>INV2642</t>
  </si>
  <si>
    <t>26-01-2025</t>
  </si>
  <si>
    <t>INV2643</t>
  </si>
  <si>
    <t>INV2644</t>
  </si>
  <si>
    <t>INV2645</t>
  </si>
  <si>
    <t>INV2646</t>
  </si>
  <si>
    <t>INV2647</t>
  </si>
  <si>
    <t>08/16/2024</t>
  </si>
  <si>
    <t>INV2648</t>
  </si>
  <si>
    <t>08-06-2025</t>
  </si>
  <si>
    <t>INV2649</t>
  </si>
  <si>
    <t>INV2650</t>
  </si>
  <si>
    <t>INV2651</t>
  </si>
  <si>
    <t>INV2652</t>
  </si>
  <si>
    <t>INV2653</t>
  </si>
  <si>
    <t>INV2654</t>
  </si>
  <si>
    <t>2024/11/08</t>
  </si>
  <si>
    <t>INV2655</t>
  </si>
  <si>
    <t>INV2656</t>
  </si>
  <si>
    <t>INV2657</t>
  </si>
  <si>
    <t>INV2658</t>
  </si>
  <si>
    <t>INV2659</t>
  </si>
  <si>
    <t>INV2660</t>
  </si>
  <si>
    <t>INV2661</t>
  </si>
  <si>
    <t>INV2662</t>
  </si>
  <si>
    <t>08/23/2024</t>
  </si>
  <si>
    <t>INV2663</t>
  </si>
  <si>
    <t>INV2664</t>
  </si>
  <si>
    <t>INV2665</t>
  </si>
  <si>
    <t>INV2666</t>
  </si>
  <si>
    <t>INV2667</t>
  </si>
  <si>
    <t>INV2668</t>
  </si>
  <si>
    <t>INV2669</t>
  </si>
  <si>
    <t>INV2670</t>
  </si>
  <si>
    <t>INV2671</t>
  </si>
  <si>
    <t>INV2672</t>
  </si>
  <si>
    <t>INV2673</t>
  </si>
  <si>
    <t>INV2674</t>
  </si>
  <si>
    <t>INV2675</t>
  </si>
  <si>
    <t>INV2676</t>
  </si>
  <si>
    <t>INV2677</t>
  </si>
  <si>
    <t>INV2678</t>
  </si>
  <si>
    <t>INV2679</t>
  </si>
  <si>
    <t>INV2680</t>
  </si>
  <si>
    <t>INV2681</t>
  </si>
  <si>
    <t>INV2682</t>
  </si>
  <si>
    <t>12-05-2025</t>
  </si>
  <si>
    <t>INV2683</t>
  </si>
  <si>
    <t>12/17/2024</t>
  </si>
  <si>
    <t>INV2684</t>
  </si>
  <si>
    <t>02/01/2024</t>
  </si>
  <si>
    <t>INV2685</t>
  </si>
  <si>
    <t>INV2686</t>
  </si>
  <si>
    <t>INV2687</t>
  </si>
  <si>
    <t>INV2688</t>
  </si>
  <si>
    <t>01-02-2024</t>
  </si>
  <si>
    <t>INV2689</t>
  </si>
  <si>
    <t>2024/10/22</t>
  </si>
  <si>
    <t>INV2690</t>
  </si>
  <si>
    <t>03/02/2025</t>
  </si>
  <si>
    <t>INV2691</t>
  </si>
  <si>
    <t>INV2692</t>
  </si>
  <si>
    <t>INV2693</t>
  </si>
  <si>
    <t>INV2694</t>
  </si>
  <si>
    <t>INV2695</t>
  </si>
  <si>
    <t>INV2696</t>
  </si>
  <si>
    <t>04/27/2024</t>
  </si>
  <si>
    <t>INV2697</t>
  </si>
  <si>
    <t>INV2698</t>
  </si>
  <si>
    <t>INV2699</t>
  </si>
  <si>
    <t>INV2700</t>
  </si>
  <si>
    <t>INV2701</t>
  </si>
  <si>
    <t>INV2702</t>
  </si>
  <si>
    <t>INV2703</t>
  </si>
  <si>
    <t>INV2704</t>
  </si>
  <si>
    <t>INV2705</t>
  </si>
  <si>
    <t>INV2706</t>
  </si>
  <si>
    <t>INV2707</t>
  </si>
  <si>
    <t>INV2708</t>
  </si>
  <si>
    <t>INV2709</t>
  </si>
  <si>
    <t>INV2710</t>
  </si>
  <si>
    <t>INV2711</t>
  </si>
  <si>
    <t>INV2712</t>
  </si>
  <si>
    <t>INV2713</t>
  </si>
  <si>
    <t>INV2714</t>
  </si>
  <si>
    <t>INV2716</t>
  </si>
  <si>
    <t>INV2717</t>
  </si>
  <si>
    <t>INV2718</t>
  </si>
  <si>
    <t>01/09/2024</t>
  </si>
  <si>
    <t>INV2719</t>
  </si>
  <si>
    <t>INV2720</t>
  </si>
  <si>
    <t>2024/01/07</t>
  </si>
  <si>
    <t>INV2721</t>
  </si>
  <si>
    <t>03-03-2024</t>
  </si>
  <si>
    <t>INV2722</t>
  </si>
  <si>
    <t>20-06-2025</t>
  </si>
  <si>
    <t>INV2723</t>
  </si>
  <si>
    <t>INV2724</t>
  </si>
  <si>
    <t>INV2725</t>
  </si>
  <si>
    <t>02/12/2024</t>
  </si>
  <si>
    <t>INV2726</t>
  </si>
  <si>
    <t>INV2727</t>
  </si>
  <si>
    <t>2024/01/16</t>
  </si>
  <si>
    <t>INV2728</t>
  </si>
  <si>
    <t>INV2729</t>
  </si>
  <si>
    <t>INV2730</t>
  </si>
  <si>
    <t>INV2731</t>
  </si>
  <si>
    <t>INV2732</t>
  </si>
  <si>
    <t>INV2733</t>
  </si>
  <si>
    <t>30-01-2024</t>
  </si>
  <si>
    <t>INV2734</t>
  </si>
  <si>
    <t>INV2735</t>
  </si>
  <si>
    <t>INV2736</t>
  </si>
  <si>
    <t>INV2737</t>
  </si>
  <si>
    <t>INV2738</t>
  </si>
  <si>
    <t>INV2739</t>
  </si>
  <si>
    <t>INV2740</t>
  </si>
  <si>
    <t>28-07-2024</t>
  </si>
  <si>
    <t>INV2741</t>
  </si>
  <si>
    <t>INV2742</t>
  </si>
  <si>
    <t>2024/05/08</t>
  </si>
  <si>
    <t>INV2743</t>
  </si>
  <si>
    <t>05/02/2024</t>
  </si>
  <si>
    <t>INV2744</t>
  </si>
  <si>
    <t>INV2745</t>
  </si>
  <si>
    <t>INV2746</t>
  </si>
  <si>
    <t>29-04-2025</t>
  </si>
  <si>
    <t>INV2747</t>
  </si>
  <si>
    <t>INV2748</t>
  </si>
  <si>
    <t>INV2749</t>
  </si>
  <si>
    <t>INV2750</t>
  </si>
  <si>
    <t>INV2751</t>
  </si>
  <si>
    <t>2024/05/02</t>
  </si>
  <si>
    <t>INV2752</t>
  </si>
  <si>
    <t>INV2753</t>
  </si>
  <si>
    <t>08-04-2025</t>
  </si>
  <si>
    <t>INV2754</t>
  </si>
  <si>
    <t>INV2755</t>
  </si>
  <si>
    <t>INV2756</t>
  </si>
  <si>
    <t>INV2757</t>
  </si>
  <si>
    <t>INV2758</t>
  </si>
  <si>
    <t>INV2759</t>
  </si>
  <si>
    <t>INV2760</t>
  </si>
  <si>
    <t>INV2761</t>
  </si>
  <si>
    <t>INV2762</t>
  </si>
  <si>
    <t>2024/02/25</t>
  </si>
  <si>
    <t>INV2763</t>
  </si>
  <si>
    <t>INV2764</t>
  </si>
  <si>
    <t>INV2765</t>
  </si>
  <si>
    <t>INV2766</t>
  </si>
  <si>
    <t>INV2767</t>
  </si>
  <si>
    <t>03-10-2024</t>
  </si>
  <si>
    <t>INV2768</t>
  </si>
  <si>
    <t>INV2769</t>
  </si>
  <si>
    <t>01/13/2025</t>
  </si>
  <si>
    <t>INV2770</t>
  </si>
  <si>
    <t>10-01-2024</t>
  </si>
  <si>
    <t>INV2771</t>
  </si>
  <si>
    <t>INV2772</t>
  </si>
  <si>
    <t>INV2773</t>
  </si>
  <si>
    <t>03-02-2024</t>
  </si>
  <si>
    <t>INV2774</t>
  </si>
  <si>
    <t>INV2775</t>
  </si>
  <si>
    <t>INV2776</t>
  </si>
  <si>
    <t>INV2777</t>
  </si>
  <si>
    <t>INV2778</t>
  </si>
  <si>
    <t>INV2779</t>
  </si>
  <si>
    <t>INV2780</t>
  </si>
  <si>
    <t>INV2781</t>
  </si>
  <si>
    <t>INV2782</t>
  </si>
  <si>
    <t>2024/05/05</t>
  </si>
  <si>
    <t>INV2783</t>
  </si>
  <si>
    <t>06-02-2024</t>
  </si>
  <si>
    <t>INV2784</t>
  </si>
  <si>
    <t>INV2785</t>
  </si>
  <si>
    <t>INV2786</t>
  </si>
  <si>
    <t>INV2787</t>
  </si>
  <si>
    <t>INV2788</t>
  </si>
  <si>
    <t>INV2789</t>
  </si>
  <si>
    <t>INV2790</t>
  </si>
  <si>
    <t>24-07-2024</t>
  </si>
  <si>
    <t>INV2791</t>
  </si>
  <si>
    <t>12-07-2024</t>
  </si>
  <si>
    <t>INV2792</t>
  </si>
  <si>
    <t>22-03-2025</t>
  </si>
  <si>
    <t>INV2793</t>
  </si>
  <si>
    <t>04-04-2025</t>
  </si>
  <si>
    <t>INV2794</t>
  </si>
  <si>
    <t>INV2795</t>
  </si>
  <si>
    <t>23-09-2024</t>
  </si>
  <si>
    <t>INV2796</t>
  </si>
  <si>
    <t>09/28/2024</t>
  </si>
  <si>
    <t>INV2797</t>
  </si>
  <si>
    <t>2024/07/01</t>
  </si>
  <si>
    <t>INV2798</t>
  </si>
  <si>
    <t>INV2799</t>
  </si>
  <si>
    <t>INV2800</t>
  </si>
  <si>
    <t>INV2801</t>
  </si>
  <si>
    <t>INV2802</t>
  </si>
  <si>
    <t>INV2803</t>
  </si>
  <si>
    <t>INV2804</t>
  </si>
  <si>
    <t>INV2805</t>
  </si>
  <si>
    <t>INV2806</t>
  </si>
  <si>
    <t>INV2807</t>
  </si>
  <si>
    <t>INV2808</t>
  </si>
  <si>
    <t>INV2809</t>
  </si>
  <si>
    <t>2024/03/04</t>
  </si>
  <si>
    <t>INV2810</t>
  </si>
  <si>
    <t>03/30/2024</t>
  </si>
  <si>
    <t>INV2811</t>
  </si>
  <si>
    <t>INV2812</t>
  </si>
  <si>
    <t>INV2813</t>
  </si>
  <si>
    <t>INV2814</t>
  </si>
  <si>
    <t>20-05-2024</t>
  </si>
  <si>
    <t>INV2815</t>
  </si>
  <si>
    <t>2024/11/03</t>
  </si>
  <si>
    <t>INV2816</t>
  </si>
  <si>
    <t>INV2817</t>
  </si>
  <si>
    <t>16-04-2024</t>
  </si>
  <si>
    <t>INV2818</t>
  </si>
  <si>
    <t>INV2819</t>
  </si>
  <si>
    <t>INV2820</t>
  </si>
  <si>
    <t>INV2821</t>
  </si>
  <si>
    <t>03/20/2025</t>
  </si>
  <si>
    <t>INV2822</t>
  </si>
  <si>
    <t>INV2823</t>
  </si>
  <si>
    <t>2024/02/08</t>
  </si>
  <si>
    <t>INV2824</t>
  </si>
  <si>
    <t>INV2825</t>
  </si>
  <si>
    <t>INV2826</t>
  </si>
  <si>
    <t>INV2827</t>
  </si>
  <si>
    <t>05-05-2025</t>
  </si>
  <si>
    <t>INV2828</t>
  </si>
  <si>
    <t>INV2829</t>
  </si>
  <si>
    <t>13-02-2024</t>
  </si>
  <si>
    <t>INV2830</t>
  </si>
  <si>
    <t>INV2831</t>
  </si>
  <si>
    <t>INV2832</t>
  </si>
  <si>
    <t>13-07-2024</t>
  </si>
  <si>
    <t>INV2833</t>
  </si>
  <si>
    <t>2025/05/01</t>
  </si>
  <si>
    <t>INV2834</t>
  </si>
  <si>
    <t>INV2835</t>
  </si>
  <si>
    <t>INV2836</t>
  </si>
  <si>
    <t>03/27/2024</t>
  </si>
  <si>
    <t>INV2837</t>
  </si>
  <si>
    <t>2025/06/04</t>
  </si>
  <si>
    <t>INV2838</t>
  </si>
  <si>
    <t>INV2839</t>
  </si>
  <si>
    <t>INV2840</t>
  </si>
  <si>
    <t>2025/02/11</t>
  </si>
  <si>
    <t>INV2841</t>
  </si>
  <si>
    <t>INV2842</t>
  </si>
  <si>
    <t>INV2843</t>
  </si>
  <si>
    <t>INV2844</t>
  </si>
  <si>
    <t>INV2845</t>
  </si>
  <si>
    <t>INV2846</t>
  </si>
  <si>
    <t>2025/01/20</t>
  </si>
  <si>
    <t>INV2847</t>
  </si>
  <si>
    <t>INV2848</t>
  </si>
  <si>
    <t>INV2849</t>
  </si>
  <si>
    <t>14-05-2025</t>
  </si>
  <si>
    <t>INV2850</t>
  </si>
  <si>
    <t>21-06-2025</t>
  </si>
  <si>
    <t>INV2851</t>
  </si>
  <si>
    <t>INV2852</t>
  </si>
  <si>
    <t>02-09-2024</t>
  </si>
  <si>
    <t>INV2853</t>
  </si>
  <si>
    <t>INV2854</t>
  </si>
  <si>
    <t>23-01-2024</t>
  </si>
  <si>
    <t>INV2855</t>
  </si>
  <si>
    <t>INV2856</t>
  </si>
  <si>
    <t>15-04-2025</t>
  </si>
  <si>
    <t>INV2857</t>
  </si>
  <si>
    <t>INV2858</t>
  </si>
  <si>
    <t>11-03-2024</t>
  </si>
  <si>
    <t>INV2859</t>
  </si>
  <si>
    <t>2024/04/14</t>
  </si>
  <si>
    <t>INV2860</t>
  </si>
  <si>
    <t>INV2861</t>
  </si>
  <si>
    <t>INV2862</t>
  </si>
  <si>
    <t>05/11/2025</t>
  </si>
  <si>
    <t>INV2863</t>
  </si>
  <si>
    <t>INV2864</t>
  </si>
  <si>
    <t>INV2865</t>
  </si>
  <si>
    <t>INV2866</t>
  </si>
  <si>
    <t>INV2867</t>
  </si>
  <si>
    <t>INV2868</t>
  </si>
  <si>
    <t>INV2869</t>
  </si>
  <si>
    <t>INV2870</t>
  </si>
  <si>
    <t>INV2871</t>
  </si>
  <si>
    <t>INV2872</t>
  </si>
  <si>
    <t>INV2873</t>
  </si>
  <si>
    <t>INV2874</t>
  </si>
  <si>
    <t>INV2875</t>
  </si>
  <si>
    <t>INV2876</t>
  </si>
  <si>
    <t>13-06-2025</t>
  </si>
  <si>
    <t>INV2877</t>
  </si>
  <si>
    <t>INV2878</t>
  </si>
  <si>
    <t>20-08-2024</t>
  </si>
  <si>
    <t>INV2879</t>
  </si>
  <si>
    <t>INV2880</t>
  </si>
  <si>
    <t>INV2881</t>
  </si>
  <si>
    <t>INV2882</t>
  </si>
  <si>
    <t>INV2883</t>
  </si>
  <si>
    <t>INV2884</t>
  </si>
  <si>
    <t>INV2885</t>
  </si>
  <si>
    <t>INV2886</t>
  </si>
  <si>
    <t>INV2887</t>
  </si>
  <si>
    <t>INV2888</t>
  </si>
  <si>
    <t>INV2889</t>
  </si>
  <si>
    <t>20-02-2025</t>
  </si>
  <si>
    <t>INV2890</t>
  </si>
  <si>
    <t>INV2891</t>
  </si>
  <si>
    <t>10/24/2024</t>
  </si>
  <si>
    <t>INV2892</t>
  </si>
  <si>
    <t>INV2893</t>
  </si>
  <si>
    <t>12-03-2025</t>
  </si>
  <si>
    <t>INV2894</t>
  </si>
  <si>
    <t>INV2895</t>
  </si>
  <si>
    <t>INV2896</t>
  </si>
  <si>
    <t>INV2897</t>
  </si>
  <si>
    <t>24-06-2024</t>
  </si>
  <si>
    <t>INV2898</t>
  </si>
  <si>
    <t>INV2899</t>
  </si>
  <si>
    <t>05/24/2025</t>
  </si>
  <si>
    <t>INV2900</t>
  </si>
  <si>
    <t>INV2901</t>
  </si>
  <si>
    <t>INV2902</t>
  </si>
  <si>
    <t>10/20/2024</t>
  </si>
  <si>
    <t>INV2903</t>
  </si>
  <si>
    <t>01/07/2025</t>
  </si>
  <si>
    <t>INV2904</t>
  </si>
  <si>
    <t>06-03-2024</t>
  </si>
  <si>
    <t>INV2905</t>
  </si>
  <si>
    <t>INV2906</t>
  </si>
  <si>
    <t>INV2907</t>
  </si>
  <si>
    <t>INV2908</t>
  </si>
  <si>
    <t>2025/05/21</t>
  </si>
  <si>
    <t>INV2909</t>
  </si>
  <si>
    <t>2024/10/04</t>
  </si>
  <si>
    <t>INV2910</t>
  </si>
  <si>
    <t>INV2911</t>
  </si>
  <si>
    <t>2025/01/02</t>
  </si>
  <si>
    <t>INV2912</t>
  </si>
  <si>
    <t>03/22/2025</t>
  </si>
  <si>
    <t>INV2913</t>
  </si>
  <si>
    <t>INV2914</t>
  </si>
  <si>
    <t>INV2915</t>
  </si>
  <si>
    <t>26-08-2024</t>
  </si>
  <si>
    <t>INV2916</t>
  </si>
  <si>
    <t>05/23/2025</t>
  </si>
  <si>
    <t>INV2917</t>
  </si>
  <si>
    <t>INV2918</t>
  </si>
  <si>
    <t>INV2919</t>
  </si>
  <si>
    <t>2024/12/25</t>
  </si>
  <si>
    <t>INV2920</t>
  </si>
  <si>
    <t>INV2921</t>
  </si>
  <si>
    <t>INV2922</t>
  </si>
  <si>
    <t>2024/01/13</t>
  </si>
  <si>
    <t>INV2923</t>
  </si>
  <si>
    <t>INV2924</t>
  </si>
  <si>
    <t>INV2925</t>
  </si>
  <si>
    <t>INV2926</t>
  </si>
  <si>
    <t>INV2927</t>
  </si>
  <si>
    <t>2024/09/17</t>
  </si>
  <si>
    <t>INV2928</t>
  </si>
  <si>
    <t>INV2929</t>
  </si>
  <si>
    <t>12/28/2024</t>
  </si>
  <si>
    <t>INV2930</t>
  </si>
  <si>
    <t>INV2931</t>
  </si>
  <si>
    <t>02/06/2025</t>
  </si>
  <si>
    <t>INV2933</t>
  </si>
  <si>
    <t>11-08-2024</t>
  </si>
  <si>
    <t>INV2934</t>
  </si>
  <si>
    <t>INV2935</t>
  </si>
  <si>
    <t>INV2936</t>
  </si>
  <si>
    <t>2024/06/25</t>
  </si>
  <si>
    <t>INV2937</t>
  </si>
  <si>
    <t>INV2938</t>
  </si>
  <si>
    <t>INV2939</t>
  </si>
  <si>
    <t>INV2940</t>
  </si>
  <si>
    <t>INV2941</t>
  </si>
  <si>
    <t>2024/06/02</t>
  </si>
  <si>
    <t>INV2942</t>
  </si>
  <si>
    <t>INV2943</t>
  </si>
  <si>
    <t>INV2944</t>
  </si>
  <si>
    <t>INV2945</t>
  </si>
  <si>
    <t>INV2946</t>
  </si>
  <si>
    <t>2024/06/05</t>
  </si>
  <si>
    <t>INV2947</t>
  </si>
  <si>
    <t>07/31/2024</t>
  </si>
  <si>
    <t>INV2948</t>
  </si>
  <si>
    <t>22-12-2024</t>
  </si>
  <si>
    <t>INV2949</t>
  </si>
  <si>
    <t>INV2950</t>
  </si>
  <si>
    <t>INV2951</t>
  </si>
  <si>
    <t>INV2952</t>
  </si>
  <si>
    <t>07/03/2024</t>
  </si>
  <si>
    <t>INV2953</t>
  </si>
  <si>
    <t>INV2954</t>
  </si>
  <si>
    <t>INV2955</t>
  </si>
  <si>
    <t>11/08/2024</t>
  </si>
  <si>
    <t>INV2956</t>
  </si>
  <si>
    <t>INV2957</t>
  </si>
  <si>
    <t>INV2958</t>
  </si>
  <si>
    <t>03/23/2024</t>
  </si>
  <si>
    <t>INV2959</t>
  </si>
  <si>
    <t>04-05-2024</t>
  </si>
  <si>
    <t>INV2960</t>
  </si>
  <si>
    <t>2025/03/20</t>
  </si>
  <si>
    <t>INV2961</t>
  </si>
  <si>
    <t>23-12-2024</t>
  </si>
  <si>
    <t>INV2962</t>
  </si>
  <si>
    <t>INV2963</t>
  </si>
  <si>
    <t>INV2964</t>
  </si>
  <si>
    <t>10/11/2024</t>
  </si>
  <si>
    <t>INV2965</t>
  </si>
  <si>
    <t>INV2966</t>
  </si>
  <si>
    <t>06-06-2025</t>
  </si>
  <si>
    <t>INV2967</t>
  </si>
  <si>
    <t>INV2968</t>
  </si>
  <si>
    <t>INV2969</t>
  </si>
  <si>
    <t>2024/02/16</t>
  </si>
  <si>
    <t>INV2970</t>
  </si>
  <si>
    <t>INV2971</t>
  </si>
  <si>
    <t>INV2972</t>
  </si>
  <si>
    <t>INV2973</t>
  </si>
  <si>
    <t>INV2974</t>
  </si>
  <si>
    <t>INV2975</t>
  </si>
  <si>
    <t>INV2976</t>
  </si>
  <si>
    <t>INV2977</t>
  </si>
  <si>
    <t>16-08-2024</t>
  </si>
  <si>
    <t>INV2978</t>
  </si>
  <si>
    <t>INV2979</t>
  </si>
  <si>
    <t>2024/07/17</t>
  </si>
  <si>
    <t>INV2980</t>
  </si>
  <si>
    <t>INV2981</t>
  </si>
  <si>
    <t>INV2982</t>
  </si>
  <si>
    <t>26-10-2024</t>
  </si>
  <si>
    <t>INV2983</t>
  </si>
  <si>
    <t>INV2984</t>
  </si>
  <si>
    <t>20-12-2024</t>
  </si>
  <si>
    <t>INV2985</t>
  </si>
  <si>
    <t>INV2986</t>
  </si>
  <si>
    <t>INV2987</t>
  </si>
  <si>
    <t>INV2988</t>
  </si>
  <si>
    <t>INV2989</t>
  </si>
  <si>
    <t>08/12/2024</t>
  </si>
  <si>
    <t>INV2990</t>
  </si>
  <si>
    <t>INV2991</t>
  </si>
  <si>
    <t>INV2992</t>
  </si>
  <si>
    <t>09-12-2024</t>
  </si>
  <si>
    <t>INV2993</t>
  </si>
  <si>
    <t>INV2994</t>
  </si>
  <si>
    <t>INV2995</t>
  </si>
  <si>
    <t>INV2996</t>
  </si>
  <si>
    <t>INV2997</t>
  </si>
  <si>
    <t>INV2998</t>
  </si>
  <si>
    <t>INV2999</t>
  </si>
  <si>
    <t>Kubota Mu4501</t>
  </si>
  <si>
    <t>Kubota Neostar</t>
  </si>
  <si>
    <t>Agri Motors Haryana</t>
  </si>
  <si>
    <t>Kisan Tractors Maharashtra</t>
  </si>
  <si>
    <t>Mahadev Motors West Bengal</t>
  </si>
  <si>
    <t>Shakti Agro Karnataka</t>
  </si>
  <si>
    <t>Kisan Tractors Haryana</t>
  </si>
  <si>
    <t>Mahadev Motors Maharashtra</t>
  </si>
  <si>
    <t>Shakti Agro West Bengal</t>
  </si>
  <si>
    <t>Agri Motors Uttar Pradesh</t>
  </si>
  <si>
    <t>Kisan Tractors West Bengal</t>
  </si>
  <si>
    <t>Green Field Maharashtra</t>
  </si>
  <si>
    <t>Green Field Haryana</t>
  </si>
  <si>
    <t>Shakti Agro Haryana</t>
  </si>
  <si>
    <t>Mahadev Motors Karnataka</t>
  </si>
  <si>
    <t>Agri Motors Maharashtra</t>
  </si>
  <si>
    <t>Shakti Agro Maharashtra</t>
  </si>
  <si>
    <t>Agri Motors West Bengal</t>
  </si>
  <si>
    <t>Mahadev Motors Haryana</t>
  </si>
  <si>
    <t>Green Field Karnataka</t>
  </si>
  <si>
    <t>Agri Motors Karnataka</t>
  </si>
  <si>
    <t>Green Field Uttar Pradesh</t>
  </si>
  <si>
    <t>Kisan Tractors Karnataka</t>
  </si>
  <si>
    <t>Green Field West Bengal</t>
  </si>
  <si>
    <t>Shakti Agro Uttar Pradesh</t>
  </si>
  <si>
    <t>Mahadev Motors Uttar Pradesh</t>
  </si>
  <si>
    <t>Kisan Tractors Uttar Pradesh</t>
  </si>
  <si>
    <t>Discount (%) Allotment Table</t>
  </si>
  <si>
    <t>Gross Amount</t>
  </si>
  <si>
    <t>Net Sales Amount</t>
  </si>
  <si>
    <t>Dealer Master Key</t>
  </si>
  <si>
    <t>Product Category Assignment</t>
  </si>
  <si>
    <t>Product Model</t>
  </si>
  <si>
    <t>Kubota</t>
  </si>
  <si>
    <t>Brand Name</t>
  </si>
  <si>
    <t>Row Labels</t>
  </si>
  <si>
    <t>Grand Total</t>
  </si>
  <si>
    <t>Sum of Net Sales Amount</t>
  </si>
  <si>
    <t xml:space="preserve">Orders Quantity By Dealers </t>
  </si>
  <si>
    <t>Quantity Sales By State</t>
  </si>
  <si>
    <t>Jan</t>
  </si>
  <si>
    <t>Feb</t>
  </si>
  <si>
    <t>Mar</t>
  </si>
  <si>
    <t>Apr</t>
  </si>
  <si>
    <t>Sales By Months</t>
  </si>
  <si>
    <t>Months</t>
  </si>
  <si>
    <t>Years</t>
  </si>
  <si>
    <t>Dealers Name</t>
  </si>
  <si>
    <t>Sum of Gross Amount</t>
  </si>
  <si>
    <t>Sum of Quantity</t>
  </si>
  <si>
    <t>Average of Discount %</t>
  </si>
  <si>
    <t>Tractor Model Name</t>
  </si>
  <si>
    <t>Model Name</t>
  </si>
  <si>
    <t>Total Orders</t>
  </si>
  <si>
    <t>Column Labels</t>
  </si>
  <si>
    <t>Count of Invoice ID</t>
  </si>
  <si>
    <t>2025</t>
  </si>
  <si>
    <t xml:space="preserve">Average Discount </t>
  </si>
  <si>
    <t>Gross Amount (Cr)</t>
  </si>
  <si>
    <t>Net Sales  (Cr)</t>
  </si>
  <si>
    <t>Sum of Net Sales  (Cr)</t>
  </si>
  <si>
    <t>Sum of Gross Amount (Cr)</t>
  </si>
  <si>
    <t>AOV</t>
  </si>
  <si>
    <t>Net Quantity Sold</t>
  </si>
  <si>
    <t>Executive  Sales Performance  Dashboard</t>
  </si>
  <si>
    <t>Shakti</t>
  </si>
  <si>
    <t>Kisan</t>
  </si>
  <si>
    <t>Agri</t>
  </si>
  <si>
    <t>Mahadev</t>
  </si>
  <si>
    <t>Escorts Tractors Sales Performance Dashboard</t>
  </si>
  <si>
    <t>Region Table</t>
  </si>
  <si>
    <t>Tractor Quantity  Purchased</t>
  </si>
  <si>
    <t>Discount Allotment</t>
  </si>
  <si>
    <t>City Name</t>
  </si>
  <si>
    <t>May</t>
  </si>
  <si>
    <t>Jun</t>
  </si>
  <si>
    <t>Jul</t>
  </si>
  <si>
    <t>Aug</t>
  </si>
  <si>
    <t>Sep</t>
  </si>
  <si>
    <t>Oct</t>
  </si>
  <si>
    <t>Nov</t>
  </si>
  <si>
    <t>Dec</t>
  </si>
  <si>
    <t>2024</t>
  </si>
  <si>
    <t>Percentage of Net sales</t>
  </si>
  <si>
    <t xml:space="preserve"> </t>
  </si>
  <si>
    <t>Farmtrac</t>
  </si>
  <si>
    <t>Powertrac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</si>
</sst>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14009]dd\-mm\-yyyy;@"/>
    <numFmt numFmtId="165" formatCode="\₹\ 00.0"/>
    <numFmt numFmtId="166" formatCode="\₹\ 00.0\ &quot;Cr&quot;"/>
    <numFmt numFmtId="167" formatCode="0.0"/>
    <numFmt numFmtId="168" formatCode="0.0\ &quot;%&quot;"/>
    <numFmt numFmtId="169" formatCode="0.0\ &quot;Cr&quot;"/>
    <numFmt numFmtId="170" formatCode="0.000"/>
    <numFmt numFmtId="171" formatCode="[$₹-4009]\ #,##0"/>
    <numFmt numFmtId="172" formatCode="&quot;₹&quot;\ #,##0.00"/>
    <numFmt numFmtId="173" formatCode="&quot;₹&quot;\ #,##0"/>
    <numFmt numFmtId="174" formatCode="0.00\ &quot;Cr&quot;"/>
  </numFmts>
  <fonts count="17" x14ac:knownFonts="1">
    <font>
      <sz val="11"/>
      <color theme="1"/>
      <name val="Calibri"/>
      <family val="2"/>
      <scheme val="minor"/>
    </font>
    <font>
      <sz val="8"/>
      <name val="Calibri"/>
      <family val="2"/>
      <scheme val="minor"/>
    </font>
    <font>
      <b/>
      <sz val="11"/>
      <color rgb="FF002060"/>
      <name val="Calibri"/>
      <family val="2"/>
      <scheme val="minor"/>
    </font>
    <font>
      <b/>
      <sz val="11"/>
      <color theme="1"/>
      <name val="Segoe UI"/>
      <family val="2"/>
    </font>
    <font>
      <b/>
      <sz val="16"/>
      <color theme="1"/>
      <name val="Calibri"/>
      <family val="2"/>
      <scheme val="minor"/>
    </font>
    <font>
      <b/>
      <sz val="14"/>
      <color theme="0"/>
      <name val="Segoe UI"/>
      <family val="2"/>
    </font>
    <font>
      <b/>
      <sz val="36"/>
      <color rgb="FF0070C0"/>
      <name val="Aptos Black"/>
      <family val="2"/>
    </font>
    <font>
      <b/>
      <sz val="11"/>
      <color theme="1"/>
      <name val="Calibri"/>
      <family val="2"/>
      <scheme val="minor"/>
    </font>
    <font>
      <sz val="12"/>
      <color theme="1"/>
      <name val="Calibri"/>
      <family val="2"/>
      <scheme val="minor"/>
    </font>
    <font>
      <b/>
      <sz val="26"/>
      <color rgb="FF0070C0"/>
      <name val="Aptos Black"/>
      <family val="2"/>
    </font>
    <font>
      <b/>
      <sz val="24"/>
      <color rgb="FF0070C0"/>
      <name val="Aptos Black"/>
      <family val="2"/>
    </font>
    <font>
      <b/>
      <sz val="16"/>
      <color theme="1"/>
      <name val="Segoe UI"/>
      <family val="2"/>
    </font>
    <font>
      <b/>
      <sz val="14"/>
      <color theme="1"/>
      <name val="Segoe UI"/>
      <family val="2"/>
    </font>
    <font>
      <b/>
      <sz val="24"/>
      <color rgb="FF0070C0"/>
      <name val="Segoe UI"/>
      <family val="2"/>
    </font>
    <font>
      <sz val="24"/>
      <color rgb="FF0070C0"/>
      <name val="Segoe UI"/>
      <family val="2"/>
    </font>
    <font>
      <b/>
      <sz val="11"/>
      <color rgb="FFC00000"/>
      <name val="Calibri"/>
      <family val="2"/>
      <scheme val="minor"/>
    </font>
    <font>
      <b/>
      <sz val="12"/>
      <color theme="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0070C0"/>
        <bgColor indexed="64"/>
      </patternFill>
    </fill>
    <fill>
      <patternFill patternType="solid">
        <fgColor theme="0"/>
        <bgColor indexed="64"/>
      </patternFill>
    </fill>
    <fill>
      <patternFill patternType="solid">
        <fgColor theme="0" tint="-4.9989318521683403E-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theme="0" tint="-0.249977111117893"/>
      </left>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style="medium">
        <color theme="0" tint="-0.499984740745262"/>
      </right>
      <top/>
      <bottom/>
      <diagonal/>
    </border>
    <border>
      <left style="thin">
        <color theme="1"/>
      </left>
      <right style="thin">
        <color theme="1"/>
      </right>
      <top style="thin">
        <color theme="1"/>
      </top>
      <bottom style="thin">
        <color theme="1"/>
      </bottom>
      <diagonal/>
    </border>
    <border>
      <left style="thin">
        <color theme="0" tint="-4.9989318521683403E-2"/>
      </left>
      <right style="thin">
        <color theme="0" tint="-0.249977111117893"/>
      </right>
      <top/>
      <bottom/>
      <diagonal/>
    </border>
    <border>
      <left style="thin">
        <color theme="0" tint="-0.249977111117893"/>
      </left>
      <right style="thin">
        <color theme="0" tint="-0.249977111117893"/>
      </right>
      <top/>
      <bottom style="thin">
        <color theme="0"/>
      </bottom>
      <diagonal/>
    </border>
    <border>
      <left/>
      <right/>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theme="1"/>
      </bottom>
      <diagonal/>
    </border>
    <border>
      <left style="medium">
        <color indexed="64"/>
      </left>
      <right/>
      <top style="medium">
        <color theme="1"/>
      </top>
      <bottom style="medium">
        <color indexed="64"/>
      </bottom>
      <diagonal/>
    </border>
    <border>
      <left/>
      <right style="medium">
        <color indexed="64"/>
      </right>
      <top style="medium">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theme="1"/>
      </left>
      <right style="thin">
        <color indexed="64"/>
      </right>
      <top style="medium">
        <color theme="1"/>
      </top>
      <bottom/>
      <diagonal/>
    </border>
    <border>
      <left style="thin">
        <color indexed="64"/>
      </left>
      <right style="medium">
        <color theme="1"/>
      </right>
      <top style="medium">
        <color theme="1"/>
      </top>
      <bottom/>
      <diagonal/>
    </border>
    <border>
      <left style="medium">
        <color indexed="64"/>
      </left>
      <right style="medium">
        <color indexed="64"/>
      </right>
      <top/>
      <bottom style="medium">
        <color indexed="64"/>
      </bottom>
      <diagonal/>
    </border>
    <border>
      <left/>
      <right/>
      <top/>
      <bottom style="thin">
        <color theme="0" tint="-4.9989318521683403E-2"/>
      </bottom>
      <diagonal/>
    </border>
    <border>
      <left style="thin">
        <color theme="0" tint="-4.9989318521683403E-2"/>
      </left>
      <right/>
      <top/>
      <bottom/>
      <diagonal/>
    </border>
    <border>
      <left style="thin">
        <color theme="0" tint="-4.9989318521683403E-2"/>
      </left>
      <right/>
      <top style="thin">
        <color theme="0" tint="-4.9989318521683403E-2"/>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0.249977111117893"/>
      </right>
      <top style="thin">
        <color theme="0"/>
      </top>
      <bottom/>
      <diagonal/>
    </border>
  </borders>
  <cellStyleXfs count="1">
    <xf numFmtId="0" fontId="0" fillId="0" borderId="0"/>
  </cellStyleXfs>
  <cellXfs count="113">
    <xf numFmtId="0" fontId="0" fillId="0" borderId="0" xfId="0"/>
    <xf numFmtId="164" fontId="0" fillId="0" borderId="0" xfId="0" applyNumberFormat="1"/>
    <xf numFmtId="0" fontId="0" fillId="0" borderId="1" xfId="0" applyBorder="1"/>
    <xf numFmtId="0" fontId="0" fillId="0" borderId="0" xfId="0"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1" xfId="0" pivotButton="1" applyBorder="1"/>
    <xf numFmtId="0" fontId="0" fillId="0" borderId="1" xfId="0" applyBorder="1" applyAlignment="1">
      <alignment horizontal="left"/>
    </xf>
    <xf numFmtId="0" fontId="0" fillId="0" borderId="1" xfId="0" applyBorder="1" applyAlignment="1">
      <alignment horizontal="center" vertical="center"/>
    </xf>
    <xf numFmtId="0" fontId="0" fillId="0" borderId="1" xfId="0" pivotButton="1" applyBorder="1" applyAlignment="1">
      <alignment horizontal="center" vertical="center"/>
    </xf>
    <xf numFmtId="165" fontId="0" fillId="0" borderId="1" xfId="0" applyNumberFormat="1" applyBorder="1" applyAlignment="1">
      <alignment horizontal="center" vertical="center"/>
    </xf>
    <xf numFmtId="0" fontId="0" fillId="0" borderId="0" xfId="0" applyAlignment="1">
      <alignment horizontal="left"/>
    </xf>
    <xf numFmtId="0" fontId="0" fillId="0" borderId="3" xfId="0" pivotButton="1" applyBorder="1"/>
    <xf numFmtId="0" fontId="0" fillId="0" borderId="3" xfId="0" pivotButton="1" applyBorder="1" applyAlignment="1">
      <alignment horizontal="center" vertical="center"/>
    </xf>
    <xf numFmtId="0" fontId="0" fillId="0" borderId="3" xfId="0" applyBorder="1" applyAlignment="1">
      <alignment horizontal="center" vertical="center"/>
    </xf>
    <xf numFmtId="0" fontId="0" fillId="0" borderId="1" xfId="0" pivotButton="1" applyBorder="1" applyAlignment="1">
      <alignment horizontal="left" vertical="top"/>
    </xf>
    <xf numFmtId="166" fontId="3" fillId="0" borderId="0" xfId="0" applyNumberFormat="1" applyFont="1" applyAlignment="1">
      <alignment horizontal="center" vertical="center" shrinkToFit="1"/>
    </xf>
    <xf numFmtId="0" fontId="8" fillId="0" borderId="1" xfId="0" applyFont="1" applyBorder="1" applyAlignment="1">
      <alignment horizontal="left" vertical="top"/>
    </xf>
    <xf numFmtId="165" fontId="8" fillId="0" borderId="1" xfId="0" applyNumberFormat="1" applyFont="1" applyBorder="1" applyAlignment="1">
      <alignment horizontal="center" vertical="center"/>
    </xf>
    <xf numFmtId="0" fontId="0" fillId="0" borderId="4" xfId="0" applyBorder="1" applyAlignment="1">
      <alignment horizontal="left"/>
    </xf>
    <xf numFmtId="165" fontId="0" fillId="0" borderId="4" xfId="0" applyNumberFormat="1" applyBorder="1" applyAlignment="1">
      <alignment horizontal="center" vertical="center"/>
    </xf>
    <xf numFmtId="0" fontId="0" fillId="0" borderId="4" xfId="0" applyBorder="1" applyAlignment="1">
      <alignment horizontal="center" vertical="center"/>
    </xf>
    <xf numFmtId="169" fontId="0" fillId="0" borderId="1" xfId="0" applyNumberFormat="1" applyBorder="1" applyAlignment="1">
      <alignment horizontal="center" vertical="center"/>
    </xf>
    <xf numFmtId="169" fontId="7" fillId="0" borderId="1" xfId="0" applyNumberFormat="1" applyFont="1" applyBorder="1" applyAlignment="1">
      <alignment horizontal="center" vertical="center"/>
    </xf>
    <xf numFmtId="0" fontId="7" fillId="0" borderId="1" xfId="0" applyFont="1" applyBorder="1"/>
    <xf numFmtId="0" fontId="7" fillId="0" borderId="1" xfId="0" applyFont="1" applyBorder="1" applyAlignment="1">
      <alignment horizontal="left"/>
    </xf>
    <xf numFmtId="0" fontId="7" fillId="0" borderId="1" xfId="0" pivotButton="1" applyFont="1" applyBorder="1"/>
    <xf numFmtId="0" fontId="10" fillId="4" borderId="0" xfId="0" applyFont="1" applyFill="1" applyAlignment="1">
      <alignment vertical="center"/>
    </xf>
    <xf numFmtId="0" fontId="6" fillId="4" borderId="0" xfId="0" applyFont="1" applyFill="1" applyAlignment="1">
      <alignment horizontal="center" vertical="center"/>
    </xf>
    <xf numFmtId="0" fontId="0" fillId="0" borderId="1" xfId="0" applyBorder="1" applyAlignment="1">
      <alignment horizontal="left" vertical="top"/>
    </xf>
    <xf numFmtId="0" fontId="0" fillId="0" borderId="5" xfId="0" applyBorder="1"/>
    <xf numFmtId="0" fontId="0" fillId="0" borderId="7" xfId="0" applyBorder="1"/>
    <xf numFmtId="0" fontId="6" fillId="4" borderId="7" xfId="0" applyFont="1" applyFill="1" applyBorder="1" applyAlignment="1">
      <alignment horizontal="center" vertical="center"/>
    </xf>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Border="1" applyAlignment="1">
      <alignment horizontal="center" vertical="center"/>
    </xf>
    <xf numFmtId="166" fontId="0" fillId="0" borderId="10" xfId="0" applyNumberFormat="1" applyBorder="1" applyAlignment="1">
      <alignment horizontal="center" vertical="center"/>
    </xf>
    <xf numFmtId="0" fontId="10" fillId="4" borderId="5" xfId="0" applyFont="1" applyFill="1" applyBorder="1" applyAlignment="1">
      <alignment vertical="center"/>
    </xf>
    <xf numFmtId="0" fontId="0" fillId="0" borderId="12" xfId="0" applyBorder="1"/>
    <xf numFmtId="0" fontId="2" fillId="2" borderId="14" xfId="0" applyFont="1" applyFill="1" applyBorder="1" applyAlignment="1">
      <alignment horizontal="center"/>
    </xf>
    <xf numFmtId="167" fontId="0" fillId="0" borderId="14" xfId="0" applyNumberFormat="1" applyBorder="1" applyAlignment="1">
      <alignment horizontal="center"/>
    </xf>
    <xf numFmtId="14" fontId="0" fillId="0" borderId="0" xfId="0" applyNumberFormat="1"/>
    <xf numFmtId="0" fontId="15" fillId="2" borderId="16" xfId="0" applyFont="1" applyFill="1" applyBorder="1"/>
    <xf numFmtId="0" fontId="0" fillId="4" borderId="2" xfId="0" applyFill="1" applyBorder="1" applyAlignment="1">
      <alignment horizontal="center" vertical="center"/>
    </xf>
    <xf numFmtId="0" fontId="0" fillId="4" borderId="1" xfId="0" applyFill="1" applyBorder="1" applyAlignment="1">
      <alignment horizontal="center" vertical="center"/>
    </xf>
    <xf numFmtId="0" fontId="0" fillId="4" borderId="18" xfId="0" applyFill="1" applyBorder="1" applyAlignment="1">
      <alignment horizontal="center" vertical="center"/>
    </xf>
    <xf numFmtId="0" fontId="0" fillId="4" borderId="3" xfId="0" applyFill="1" applyBorder="1" applyAlignment="1">
      <alignment horizontal="center" vertical="center"/>
    </xf>
    <xf numFmtId="0" fontId="15" fillId="2" borderId="14" xfId="0" applyFont="1" applyFill="1" applyBorder="1" applyAlignment="1">
      <alignment horizontal="center" vertical="center"/>
    </xf>
    <xf numFmtId="0" fontId="15" fillId="2" borderId="27" xfId="0" applyFont="1" applyFill="1" applyBorder="1" applyAlignment="1">
      <alignment vertical="center"/>
    </xf>
    <xf numFmtId="0" fontId="15" fillId="2" borderId="27" xfId="0" applyFont="1" applyFill="1" applyBorder="1" applyAlignment="1">
      <alignment horizontal="left" vertical="center" indent="1"/>
    </xf>
    <xf numFmtId="0" fontId="15" fillId="2" borderId="19" xfId="0" applyFont="1" applyFill="1" applyBorder="1"/>
    <xf numFmtId="0" fontId="15" fillId="2" borderId="22" xfId="0" applyFont="1" applyFill="1" applyBorder="1" applyAlignment="1">
      <alignment horizontal="center" vertical="center"/>
    </xf>
    <xf numFmtId="0" fontId="0" fillId="4" borderId="20" xfId="0" applyFill="1" applyBorder="1"/>
    <xf numFmtId="0" fontId="0" fillId="4" borderId="23" xfId="0" applyFill="1" applyBorder="1" applyAlignment="1">
      <alignment horizontal="left" indent="1"/>
    </xf>
    <xf numFmtId="0" fontId="0" fillId="4" borderId="21" xfId="0" applyFill="1" applyBorder="1"/>
    <xf numFmtId="0" fontId="0" fillId="4" borderId="24" xfId="0" applyFill="1" applyBorder="1" applyAlignment="1">
      <alignment horizontal="left" indent="1"/>
    </xf>
    <xf numFmtId="0" fontId="0" fillId="4" borderId="2" xfId="0" applyFill="1" applyBorder="1"/>
    <xf numFmtId="0" fontId="0" fillId="4" borderId="2" xfId="0" applyFill="1" applyBorder="1" applyAlignment="1">
      <alignment horizontal="left" indent="1"/>
    </xf>
    <xf numFmtId="0" fontId="0" fillId="4" borderId="1" xfId="0" applyFill="1" applyBorder="1"/>
    <xf numFmtId="0" fontId="0" fillId="4" borderId="1" xfId="0" applyFill="1" applyBorder="1" applyAlignment="1">
      <alignment horizontal="left" indent="1"/>
    </xf>
    <xf numFmtId="0" fontId="0" fillId="4" borderId="3" xfId="0" applyFill="1" applyBorder="1"/>
    <xf numFmtId="0" fontId="0" fillId="4" borderId="3" xfId="0" applyFill="1" applyBorder="1" applyAlignment="1">
      <alignment horizontal="left" indent="1"/>
    </xf>
    <xf numFmtId="0" fontId="0" fillId="0" borderId="1" xfId="0" pivotButton="1" applyBorder="1" applyAlignment="1">
      <alignment vertical="center"/>
    </xf>
    <xf numFmtId="0" fontId="0" fillId="0" borderId="1" xfId="0" applyBorder="1" applyAlignment="1">
      <alignment vertical="center"/>
    </xf>
    <xf numFmtId="0" fontId="0" fillId="0" borderId="29" xfId="0" applyBorder="1"/>
    <xf numFmtId="0" fontId="0" fillId="0" borderId="30" xfId="0" applyBorder="1"/>
    <xf numFmtId="170" fontId="0" fillId="0" borderId="1" xfId="0" applyNumberFormat="1" applyBorder="1"/>
    <xf numFmtId="166" fontId="0" fillId="0" borderId="1" xfId="0" applyNumberFormat="1" applyBorder="1" applyAlignment="1">
      <alignment horizontal="center" vertical="center"/>
    </xf>
    <xf numFmtId="10" fontId="0" fillId="0" borderId="1" xfId="0" applyNumberFormat="1" applyBorder="1"/>
    <xf numFmtId="172" fontId="0" fillId="0" borderId="0" xfId="0" applyNumberFormat="1" applyAlignment="1">
      <alignment horizontal="right"/>
    </xf>
    <xf numFmtId="173" fontId="0" fillId="0" borderId="0" xfId="0" applyNumberFormat="1" applyAlignment="1">
      <alignment horizontal="right"/>
    </xf>
    <xf numFmtId="173" fontId="0" fillId="0" borderId="0" xfId="0" applyNumberFormat="1"/>
    <xf numFmtId="174" fontId="0" fillId="0" borderId="0" xfId="0" applyNumberFormat="1" applyAlignment="1">
      <alignment horizontal="center"/>
    </xf>
    <xf numFmtId="174" fontId="0" fillId="0" borderId="0" xfId="0" applyNumberFormat="1" applyAlignment="1">
      <alignment horizontal="center" vertical="center"/>
    </xf>
    <xf numFmtId="1" fontId="0" fillId="0" borderId="0" xfId="0" applyNumberFormat="1" applyAlignment="1">
      <alignment horizontal="right"/>
    </xf>
    <xf numFmtId="2" fontId="0" fillId="0" borderId="0" xfId="0" applyNumberFormat="1" applyAlignment="1">
      <alignment horizontal="center"/>
    </xf>
    <xf numFmtId="0" fontId="13" fillId="0" borderId="0" xfId="0" applyFont="1" applyAlignment="1">
      <alignment horizontal="center" vertical="center"/>
    </xf>
    <xf numFmtId="0" fontId="14" fillId="0" borderId="0" xfId="0" applyFont="1" applyAlignment="1">
      <alignment horizontal="center" vertical="center"/>
    </xf>
    <xf numFmtId="0" fontId="14" fillId="0" borderId="28" xfId="0" applyFont="1" applyBorder="1" applyAlignment="1">
      <alignment horizontal="center" vertical="center"/>
    </xf>
    <xf numFmtId="166" fontId="12" fillId="0" borderId="0" xfId="0" applyNumberFormat="1" applyFont="1" applyAlignment="1">
      <alignment horizontal="center" vertical="center" shrinkToFit="1"/>
    </xf>
    <xf numFmtId="0" fontId="12" fillId="0" borderId="31" xfId="0" applyFont="1" applyBorder="1" applyAlignment="1">
      <alignment horizontal="center" vertical="center"/>
    </xf>
    <xf numFmtId="0" fontId="4" fillId="0" borderId="0" xfId="0" applyFont="1" applyAlignment="1">
      <alignment horizontal="center" vertical="center"/>
    </xf>
    <xf numFmtId="171" fontId="4" fillId="0" borderId="0" xfId="0" applyNumberFormat="1" applyFont="1" applyAlignment="1">
      <alignment horizontal="center" vertical="center"/>
    </xf>
    <xf numFmtId="168" fontId="11" fillId="0" borderId="0" xfId="0" applyNumberFormat="1" applyFont="1" applyAlignment="1">
      <alignment horizontal="center" vertical="center"/>
    </xf>
    <xf numFmtId="0" fontId="5" fillId="3" borderId="0" xfId="0" applyFont="1" applyFill="1" applyAlignment="1">
      <alignment horizontal="center" vertical="center" shrinkToFit="1"/>
    </xf>
    <xf numFmtId="0" fontId="5" fillId="3" borderId="32" xfId="0" applyFont="1" applyFill="1" applyBorder="1" applyAlignment="1">
      <alignment horizontal="center" vertical="center" shrinkToFit="1"/>
    </xf>
    <xf numFmtId="0" fontId="5" fillId="3" borderId="31" xfId="0" applyFont="1" applyFill="1" applyBorder="1" applyAlignment="1">
      <alignment horizontal="center" vertical="center" shrinkToFit="1"/>
    </xf>
    <xf numFmtId="0" fontId="16" fillId="2" borderId="15" xfId="0" applyFont="1" applyFill="1" applyBorder="1" applyAlignment="1">
      <alignment horizontal="center"/>
    </xf>
    <xf numFmtId="0" fontId="16" fillId="2" borderId="17" xfId="0" applyFont="1" applyFill="1" applyBorder="1" applyAlignment="1">
      <alignment horizontal="center"/>
    </xf>
    <xf numFmtId="0" fontId="16" fillId="2" borderId="25" xfId="0" applyFont="1" applyFill="1" applyBorder="1" applyAlignment="1">
      <alignment horizontal="center"/>
    </xf>
    <xf numFmtId="0" fontId="16" fillId="2" borderId="26" xfId="0" applyFont="1" applyFill="1" applyBorder="1" applyAlignment="1">
      <alignment horizontal="center"/>
    </xf>
    <xf numFmtId="0" fontId="2" fillId="2" borderId="25" xfId="0" applyFont="1" applyFill="1" applyBorder="1" applyAlignment="1">
      <alignment horizontal="center"/>
    </xf>
    <xf numFmtId="0" fontId="2" fillId="2" borderId="26" xfId="0" applyFont="1" applyFill="1" applyBorder="1" applyAlignment="1">
      <alignment horizontal="center"/>
    </xf>
    <xf numFmtId="0" fontId="9" fillId="4" borderId="0" xfId="0" applyFont="1" applyFill="1" applyAlignment="1">
      <alignment horizontal="center" vertical="center"/>
    </xf>
    <xf numFmtId="0" fontId="9" fillId="4" borderId="13" xfId="0" applyFont="1" applyFill="1" applyBorder="1" applyAlignment="1">
      <alignment horizontal="center" vertical="center"/>
    </xf>
    <xf numFmtId="168" fontId="11" fillId="5" borderId="7" xfId="0" applyNumberFormat="1" applyFont="1" applyFill="1" applyBorder="1" applyAlignment="1">
      <alignment horizontal="center" vertical="center"/>
    </xf>
    <xf numFmtId="168" fontId="11" fillId="5" borderId="6" xfId="0" applyNumberFormat="1" applyFont="1" applyFill="1" applyBorder="1" applyAlignment="1">
      <alignment horizontal="center" vertical="center"/>
    </xf>
    <xf numFmtId="0" fontId="11" fillId="5" borderId="7" xfId="0" applyFont="1" applyFill="1" applyBorder="1" applyAlignment="1">
      <alignment horizontal="center" vertical="center" shrinkToFit="1"/>
    </xf>
    <xf numFmtId="0" fontId="11" fillId="5" borderId="6" xfId="0" applyFont="1" applyFill="1" applyBorder="1" applyAlignment="1">
      <alignment horizontal="center" vertical="center" shrinkToFit="1"/>
    </xf>
    <xf numFmtId="0" fontId="11" fillId="5" borderId="5" xfId="0" applyFont="1" applyFill="1" applyBorder="1" applyAlignment="1">
      <alignment horizontal="center" vertical="center" shrinkToFit="1"/>
    </xf>
    <xf numFmtId="0" fontId="11" fillId="5" borderId="8" xfId="0" applyFont="1" applyFill="1" applyBorder="1" applyAlignment="1">
      <alignment horizontal="center" vertical="center" shrinkToFit="1"/>
    </xf>
    <xf numFmtId="171" fontId="11" fillId="5" borderId="5" xfId="0" applyNumberFormat="1" applyFont="1" applyFill="1" applyBorder="1" applyAlignment="1">
      <alignment horizontal="center" vertical="center" shrinkToFit="1"/>
    </xf>
    <xf numFmtId="171" fontId="11" fillId="5" borderId="8" xfId="0" applyNumberFormat="1" applyFont="1" applyFill="1" applyBorder="1" applyAlignment="1">
      <alignment horizontal="center" vertical="center" shrinkToFit="1"/>
    </xf>
    <xf numFmtId="166" fontId="11" fillId="5" borderId="7" xfId="0" applyNumberFormat="1" applyFont="1" applyFill="1" applyBorder="1" applyAlignment="1">
      <alignment horizontal="center" vertical="center" shrinkToFit="1"/>
    </xf>
    <xf numFmtId="166" fontId="11" fillId="5" borderId="6" xfId="0" applyNumberFormat="1" applyFont="1" applyFill="1" applyBorder="1" applyAlignment="1">
      <alignment horizontal="center" vertical="center" shrinkToFit="1"/>
    </xf>
    <xf numFmtId="0" fontId="5" fillId="3" borderId="7" xfId="0" applyFont="1" applyFill="1" applyBorder="1" applyAlignment="1">
      <alignment horizontal="center" vertical="center" shrinkToFit="1"/>
    </xf>
    <xf numFmtId="0" fontId="5" fillId="3" borderId="33" xfId="0" applyFont="1" applyFill="1" applyBorder="1" applyAlignment="1">
      <alignment horizontal="center" vertical="center" shrinkToFit="1"/>
    </xf>
    <xf numFmtId="0" fontId="5" fillId="3" borderId="11" xfId="0" applyFont="1" applyFill="1" applyBorder="1" applyAlignment="1">
      <alignment horizontal="center" vertical="center" shrinkToFit="1"/>
    </xf>
    <xf numFmtId="0" fontId="5" fillId="3" borderId="9" xfId="0" applyFont="1" applyFill="1" applyBorder="1" applyAlignment="1">
      <alignment horizontal="center" vertical="center" shrinkToFit="1"/>
    </xf>
    <xf numFmtId="0" fontId="5" fillId="3" borderId="5" xfId="0" applyFont="1" applyFill="1" applyBorder="1" applyAlignment="1">
      <alignment horizontal="center" vertical="center" shrinkToFit="1"/>
    </xf>
    <xf numFmtId="0" fontId="0" fillId="0" borderId="1" xfId="0" applyNumberFormat="1" applyBorder="1"/>
    <xf numFmtId="0" fontId="0" fillId="0" borderId="1" xfId="0" applyNumberFormat="1" applyBorder="1" applyAlignment="1">
      <alignment horizontal="center" vertical="center"/>
    </xf>
  </cellXfs>
  <cellStyles count="1">
    <cellStyle name="Normal" xfId="0" builtinId="0"/>
  </cellStyles>
  <dxfs count="1313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numFmt numFmtId="165" formatCode="\₹\ 00.0"/>
      <alignment horizontal="center" vertical="center"/>
    </dxf>
    <dxf>
      <alignment horizontal="center"/>
    </dxf>
    <dxf>
      <alignment vertical="center"/>
    </dxf>
    <dxf>
      <alignment horizontal="left"/>
    </dxf>
    <dxf>
      <alignment vertical="top"/>
    </dxf>
    <dxf>
      <alignment horizontal="left"/>
    </dxf>
    <dxf>
      <alignment vertical="top"/>
    </dxf>
    <dxf>
      <alignment vertical="top"/>
    </dxf>
    <dxf>
      <alignment vertical="top"/>
    </dxf>
    <dxf>
      <alignment horizontal="left"/>
    </dxf>
    <dxf>
      <alignment horizontal="left"/>
    </dxf>
    <dxf>
      <numFmt numFmtId="165" formatCode="\₹\ 00.0"/>
    </dxf>
    <dxf>
      <alignment horizontal="center"/>
    </dxf>
    <dxf>
      <alignment vertical="center"/>
    </dxf>
    <dxf>
      <font>
        <b val="0"/>
      </font>
    </dxf>
    <dxf>
      <font>
        <b val="0"/>
      </font>
    </dxf>
    <dxf>
      <font>
        <sz val="12"/>
      </font>
    </dxf>
    <dxf>
      <font>
        <sz val="1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dxf>
    <dxf>
      <alignment horizontal="center"/>
    </dxf>
    <dxf>
      <alignment vertical="center"/>
    </dxf>
    <dxf>
      <alignment horizontal="left"/>
    </dxf>
    <dxf>
      <alignment vertical="top"/>
    </dxf>
    <dxf>
      <alignment horizontal="left"/>
    </dxf>
    <dxf>
      <alignment vertical="top"/>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alignment horizontal="center" vertical="center"/>
    </dxf>
    <dxf>
      <alignment horizontal="center"/>
    </dxf>
    <dxf>
      <alignment vertical="center"/>
    </dxf>
    <dxf>
      <alignment horizontal="center"/>
    </dxf>
    <dxf>
      <alignment vertical="center"/>
    </dxf>
    <dxf>
      <alignment horizontal="left"/>
    </dxf>
    <dxf>
      <alignment vertical="top"/>
    </dxf>
    <dxf>
      <border>
        <top style="thin">
          <color indexed="64"/>
        </top>
      </border>
    </dxf>
    <dxf>
      <alignment horizontal="center"/>
    </dxf>
    <dxf>
      <alignment horizontal="center"/>
    </dxf>
    <dxf>
      <alignment vertic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numFmt numFmtId="165" formatCode="\₹\ 00.0"/>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7" formatCode="0.0"/>
    </dxf>
    <dxf>
      <font>
        <b/>
        <color rgb="FF002060"/>
      </font>
      <fill>
        <patternFill patternType="solid">
          <fgColor indexed="64"/>
          <bgColor rgb="FF92D050"/>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75" formatCode="0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horizontal="center"/>
    </dxf>
    <dxf>
      <alignment horizontal="center"/>
    </dxf>
    <dxf>
      <alignment horizontal="center"/>
    </dxf>
    <dxf>
      <alignment vertical="center"/>
    </dxf>
    <dxf>
      <alignment vertical="center"/>
    </dxf>
    <dxf>
      <alignment vertical="center"/>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font>
        <b/>
      </font>
    </dxf>
    <dxf>
      <font>
        <b/>
      </font>
    </dxf>
    <dxf>
      <font>
        <b/>
      </font>
    </dxf>
    <dxf>
      <numFmt numFmtId="169" formatCode="0.0\ &quot;Cr&quot;"/>
    </dxf>
    <dxf>
      <numFmt numFmtId="169" formatCode="0.0\ &quot;Cr&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vertical="center"/>
    </dxf>
    <dxf>
      <alignment horizontal="general"/>
    </dxf>
    <dxf>
      <alignment horizontal="general"/>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6" formatCode="\₹\ 00.0\ &quot;Cr&quot;"/>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vertical="cent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 00.0"/>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vertical="top"/>
    </dxf>
    <dxf>
      <alignment vertical="top"/>
    </dxf>
    <dxf>
      <alignment horizontal="center"/>
    </dxf>
    <dxf>
      <alignment horizontal="center"/>
    </dxf>
    <dxf>
      <alignment horizont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4" formatCode="0.00\ &quot;Cr&quot;"/>
      <alignment horizontal="center" vertical="center" textRotation="0" wrapText="0" indent="0" justifyLastLine="0" shrinkToFit="0" readingOrder="0"/>
    </dxf>
    <dxf>
      <numFmt numFmtId="174" formatCode="0.00\ &quot;Cr&quot;"/>
      <alignment horizontal="center" vertical="center"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74" formatCode="0.00\ &quot;Cr&quot;"/>
      <alignment horizontal="center" vertical="bottom" textRotation="0" wrapText="0" indent="0" justifyLastLine="0" shrinkToFit="0" readingOrder="0"/>
    </dxf>
    <dxf>
      <numFmt numFmtId="174" formatCode="0.00\ &quot;Cr&quot;"/>
      <alignment horizontal="center"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73" formatCode="&quot;₹&quot;\ #,##0"/>
    </dxf>
    <dxf>
      <numFmt numFmtId="173" formatCode="&quot;₹&quot;\ #,##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164" formatCode="[$-14009]dd\-mm\-yyyy;@"/>
    </dxf>
    <dxf>
      <numFmt numFmtId="164" formatCode="[$-14009]dd\-mm\-yyyy;@"/>
    </dxf>
    <dxf>
      <numFmt numFmtId="164" formatCode="[$-14009]dd\-mm\-yyyy;@"/>
      <alignment horizontal="center" vertical="center" textRotation="0" wrapText="0" indent="0" justifyLastLine="0" shrinkToFit="0" readingOrder="0"/>
    </dxf>
    <dxf>
      <numFmt numFmtId="164" formatCode="[$-14009]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dxf>
    <dxf>
      <fill>
        <patternFill patternType="solid">
          <fgColor indexed="64"/>
          <bgColor theme="0"/>
        </patternFill>
      </fill>
      <alignment horizontal="left" vertical="bottom" textRotation="0" wrapText="0" indent="1"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medium">
          <color theme="1"/>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1"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ill>
        <patternFill patternType="solid">
          <fgColor indexed="64"/>
          <bgColor theme="0"/>
        </patternFill>
      </fill>
    </dxf>
    <dxf>
      <border outline="0">
        <bottom style="medium">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border outline="0">
        <bottom style="thin">
          <color indexed="64"/>
        </bottom>
      </border>
    </dxf>
    <dxf>
      <fill>
        <patternFill patternType="solid">
          <fgColor indexed="64"/>
          <bgColor theme="0"/>
        </patternFill>
      </fill>
    </dxf>
    <dxf>
      <border outline="0">
        <bottom style="medium">
          <color indexed="64"/>
        </bottom>
      </border>
    </dxf>
    <dxf>
      <font>
        <strike val="0"/>
        <outline val="0"/>
        <shadow val="0"/>
        <u val="none"/>
        <vertAlign val="baseline"/>
        <sz val="11"/>
        <color rgb="FFC00000"/>
        <name val="Calibri"/>
        <family val="2"/>
        <scheme val="minor"/>
      </font>
    </dxf>
    <dxf>
      <font>
        <b/>
        <i val="0"/>
        <sz val="11"/>
        <color theme="0"/>
        <name val="Segoe UI"/>
        <family val="2"/>
        <scheme val="none"/>
      </font>
      <fill>
        <patternFill>
          <bgColor rgb="FF0070C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Segoe UI"/>
        <family val="2"/>
        <scheme val="none"/>
      </font>
      <fill>
        <patternFill>
          <bgColor theme="7"/>
        </patternFill>
      </fill>
    </dxf>
    <dxf>
      <font>
        <b/>
        <i val="0"/>
        <sz val="9"/>
        <name val="Aptos ExtraBold"/>
        <family val="2"/>
        <scheme val="none"/>
      </font>
      <fill>
        <patternFill>
          <fgColor theme="0" tint="-4.9989318521683403E-2"/>
          <bgColor theme="0"/>
        </patternFill>
      </fill>
    </dxf>
    <dxf>
      <font>
        <b/>
        <i val="0"/>
        <sz val="11"/>
        <color theme="0"/>
        <name val="Arial Nova"/>
        <family val="2"/>
        <scheme val="none"/>
      </font>
      <fill>
        <patternFill>
          <bgColor rgb="FF0070C0"/>
        </patternFill>
      </fill>
    </dxf>
    <dxf>
      <font>
        <b/>
        <i val="0"/>
        <sz val="9"/>
        <name val="Aptos ExtraBold"/>
        <family val="2"/>
        <scheme val="none"/>
      </font>
      <fill>
        <patternFill>
          <fgColor theme="0" tint="-4.9989318521683403E-2"/>
          <bgColor theme="0"/>
        </patternFill>
      </fill>
    </dxf>
  </dxfs>
  <tableStyles count="3" defaultTableStyle="TableStyleMedium9" defaultPivotStyle="PivotStyleLight16">
    <tableStyle name="Slicer Style 1" pivot="0" table="0" count="5" xr9:uid="{C201261B-1177-4BA3-BF51-FB4F38600B0B}">
      <tableStyleElement type="wholeTable" dxfId="13133"/>
      <tableStyleElement type="headerRow" dxfId="13132"/>
    </tableStyle>
    <tableStyle name="Slicer Style 1 2" pivot="0" table="0" count="5" xr9:uid="{CCFAC7D9-3538-4014-A6D2-A891C86D7523}">
      <tableStyleElement type="wholeTable" dxfId="13131"/>
      <tableStyleElement type="headerRow" dxfId="13130"/>
    </tableStyle>
    <tableStyle name="Timeline Style 1" pivot="0" table="0" count="8" xr9:uid="{1FA5503A-8832-4C22-984E-F997E1EA5EB9}">
      <tableStyleElement type="wholeTable" dxfId="13129"/>
      <tableStyleElement type="headerRow" dxfId="13128"/>
    </tableStyle>
  </tableStyles>
  <colors>
    <mruColors>
      <color rgb="FF920A14"/>
    </mruColors>
  </colors>
  <extLst>
    <ext xmlns:x14="http://schemas.microsoft.com/office/spreadsheetml/2009/9/main" uri="{46F421CA-312F-682f-3DD2-61675219B42D}">
      <x14:dxfs count="6">
        <dxf>
          <font>
            <b/>
            <i val="0"/>
            <sz val="10"/>
            <name val="Aptos ExtraBold"/>
            <family val="2"/>
            <scheme val="none"/>
          </font>
          <fill>
            <patternFill>
              <bgColor theme="9" tint="0.59996337778862885"/>
            </patternFill>
          </fill>
        </dxf>
        <dxf>
          <font>
            <b/>
            <i val="0"/>
            <sz val="11"/>
            <color theme="0"/>
            <name val="Segoe UI "/>
            <scheme val="none"/>
          </font>
          <fill>
            <patternFill>
              <bgColor theme="3" tint="0.39994506668294322"/>
            </patternFill>
          </fill>
        </dxf>
        <dxf>
          <font>
            <b val="0"/>
            <i val="0"/>
            <sz val="10"/>
            <name val="Aptos ExtraBold"/>
            <family val="2"/>
            <scheme val="none"/>
          </font>
          <fill>
            <patternFill>
              <bgColor theme="0"/>
            </patternFill>
          </fill>
        </dxf>
        <dxf>
          <font>
            <b/>
            <i val="0"/>
            <sz val="10"/>
            <name val="Aptos ExtraBold"/>
            <family val="2"/>
            <scheme val="none"/>
          </font>
          <fill>
            <patternFill>
              <bgColor theme="9" tint="0.59996337778862885"/>
            </patternFill>
          </fill>
        </dxf>
        <dxf>
          <font>
            <b/>
            <i val="0"/>
            <sz val="11"/>
            <color theme="0"/>
            <name val="Segoe UI "/>
            <scheme val="none"/>
          </font>
          <fill>
            <patternFill>
              <bgColor theme="3" tint="0.39994506668294322"/>
            </patternFill>
          </fill>
        </dxf>
        <dxf>
          <font>
            <b val="0"/>
            <i val="0"/>
            <sz val="10"/>
            <name val="Aptos ExtraBold"/>
            <family val="2"/>
            <scheme val="none"/>
          </font>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1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9" tint="0.59996337778862885"/>
            </patternFill>
          </fill>
        </dxf>
        <dxf>
          <fill>
            <patternFill patternType="solid">
              <fgColor theme="0"/>
              <bgColor theme="4" tint="-0.24994659260841701"/>
            </patternFill>
          </fill>
        </dxf>
        <dxf>
          <font>
            <b/>
            <i val="0"/>
            <sz val="9"/>
            <color theme="3" tint="0.39994506668294322"/>
            <name val="Segoe UI"/>
            <family val="2"/>
            <scheme val="none"/>
          </font>
        </dxf>
        <dxf>
          <font>
            <b val="0"/>
            <i val="0"/>
            <sz val="9"/>
            <color theme="1" tint="0.14996795556505021"/>
            <name val="Segoe UI"/>
            <family val="2"/>
            <scheme val="none"/>
          </font>
        </dxf>
        <dxf>
          <font>
            <b/>
            <i val="0"/>
            <sz val="9"/>
            <color rgb="FFC00000"/>
            <name val="Segoe UI"/>
            <family val="2"/>
            <scheme val="none"/>
          </font>
        </dxf>
        <dxf>
          <font>
            <b/>
            <i val="0"/>
            <sz val="10"/>
            <color rgb="FF00206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[Escorts_Kubota_Dynamic_MIS_Sales_Dashboard.xlsx]Brand Sales Report!Tractor Brand sales</c:name>
    <c:fmtId val="3"/>
  </c:pivotSource>
  <c:chart>
    <c:title>
      <c:tx>
        <c:rich>
          <a:bodyPr rot="0" spcFirstLastPara="1" vertOverflow="ellipsis" vert="horz" wrap="square" anchor="ctr" anchorCtr="1"/>
          <a:lstStyle/>
          <a:p>
            <a:pPr algn="ctr" rtl="0">
              <a:defRPr lang="en-US" sz="1800" b="1" i="0" u="none" strike="noStrike" kern="1200" spc="0" baseline="0">
                <a:solidFill>
                  <a:srgbClr val="7030A0"/>
                </a:solidFill>
                <a:latin typeface="+mn-lt"/>
                <a:ea typeface="+mn-ea"/>
                <a:cs typeface="+mn-cs"/>
              </a:defRPr>
            </a:pPr>
            <a:r>
              <a:rPr lang="en-US" sz="1800" b="1" i="0" u="none" strike="noStrike" kern="1200" spc="0" baseline="0">
                <a:solidFill>
                  <a:srgbClr val="7030A0"/>
                </a:solidFill>
                <a:latin typeface="+mn-lt"/>
                <a:ea typeface="+mn-ea"/>
                <a:cs typeface="+mn-cs"/>
              </a:rPr>
              <a:t>Net Sales by Brand &amp; Models</a:t>
            </a:r>
          </a:p>
        </c:rich>
      </c:tx>
      <c:layout>
        <c:manualLayout>
          <c:xMode val="edge"/>
          <c:yMode val="edge"/>
          <c:x val="0.17828611316980217"/>
          <c:y val="4.2466334429010703E-2"/>
        </c:manualLayout>
      </c:layout>
      <c:overlay val="0"/>
      <c:spPr>
        <a:solidFill>
          <a:schemeClr val="bg1"/>
        </a:solidFill>
        <a:ln>
          <a:noFill/>
        </a:ln>
        <a:effectLst/>
      </c:spPr>
      <c:txPr>
        <a:bodyPr rot="0" spcFirstLastPara="1" vertOverflow="ellipsis" vert="horz" wrap="square" anchor="ctr" anchorCtr="1"/>
        <a:lstStyle/>
        <a:p>
          <a:pPr algn="ctr" rtl="0">
            <a:defRPr lang="en-US" sz="18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14300">
            <a:solidFill>
              <a:schemeClr val="tx2">
                <a:lumMod val="60000"/>
                <a:lumOff val="40000"/>
              </a:schemeClr>
            </a:solidFill>
          </a:ln>
          <a:effectLst/>
        </c:spPr>
        <c:marker>
          <c:symbol val="none"/>
        </c:marker>
        <c:dLbl>
          <c:idx val="0"/>
          <c:numFmt formatCode="\ 00.0\ &quot;Cr&quot;" sourceLinked="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spc="5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w="114300">
            <a:solidFill>
              <a:schemeClr val="accent2">
                <a:lumMod val="75000"/>
              </a:schemeClr>
            </a:solidFill>
          </a:ln>
          <a:effectLst/>
        </c:spPr>
        <c:marker>
          <c:symbol val="none"/>
        </c:marker>
        <c:dLbl>
          <c:idx val="0"/>
          <c:numFmt formatCode="\ 00.0\ &quot;Cr&quot;" sourceLinked="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spc="5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w="114300" cap="rnd">
            <a:solidFill>
              <a:srgbClr val="92D050"/>
            </a:solidFill>
          </a:ln>
          <a:effectLst/>
        </c:spPr>
        <c:marker>
          <c:symbol val="none"/>
        </c:marker>
        <c:dLbl>
          <c:idx val="0"/>
          <c:numFmt formatCode="\ 00.0\ &quot;Cr&quot;" sourceLinked="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spc="5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9469533909273"/>
          <c:y val="0.19444437624899957"/>
          <c:w val="0.71933891895880941"/>
          <c:h val="0.67507728200641581"/>
        </c:manualLayout>
      </c:layout>
      <c:barChart>
        <c:barDir val="col"/>
        <c:grouping val="clustered"/>
        <c:varyColors val="0"/>
        <c:ser>
          <c:idx val="0"/>
          <c:order val="0"/>
          <c:tx>
            <c:strRef>
              <c:f>'Brand Sales Report'!$C$2:$C$3</c:f>
              <c:strCache>
                <c:ptCount val="1"/>
                <c:pt idx="0">
                  <c:v>Kubota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Sales Report'!$B$4:$B$9</c:f>
              <c:strCache>
                <c:ptCount val="5"/>
                <c:pt idx="0">
                  <c:v>Kubota Mu4501</c:v>
                </c:pt>
                <c:pt idx="1">
                  <c:v>Kubota Neostar</c:v>
                </c:pt>
                <c:pt idx="2">
                  <c:v>Farmtrac 60</c:v>
                </c:pt>
                <c:pt idx="3">
                  <c:v>Farmtrac 45</c:v>
                </c:pt>
                <c:pt idx="4">
                  <c:v>Powertrac 439</c:v>
                </c:pt>
              </c:strCache>
            </c:strRef>
          </c:cat>
          <c:val>
            <c:numRef>
              <c:f>'Brand Sales Report'!$C$4:$C$9</c:f>
              <c:numCache>
                <c:formatCode>\₹\ 00.0</c:formatCode>
                <c:ptCount val="5"/>
                <c:pt idx="0">
                  <c:v>770883468.33999956</c:v>
                </c:pt>
                <c:pt idx="1">
                  <c:v>692321520.29000032</c:v>
                </c:pt>
              </c:numCache>
            </c:numRef>
          </c:val>
          <c:extLst>
            <c:ext xmlns:c16="http://schemas.microsoft.com/office/drawing/2014/chart" uri="{C3380CC4-5D6E-409C-BE32-E72D297353CC}">
              <c16:uniqueId val="{00000000-9061-4088-938A-05176BBEA111}"/>
            </c:ext>
          </c:extLst>
        </c:ser>
        <c:ser>
          <c:idx val="1"/>
          <c:order val="1"/>
          <c:tx>
            <c:strRef>
              <c:f>'Brand Sales Report'!$D$2:$D$3</c:f>
              <c:strCache>
                <c:ptCount val="1"/>
                <c:pt idx="0">
                  <c:v>Farmtrac</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Sales Report'!$B$4:$B$9</c:f>
              <c:strCache>
                <c:ptCount val="5"/>
                <c:pt idx="0">
                  <c:v>Kubota Mu4501</c:v>
                </c:pt>
                <c:pt idx="1">
                  <c:v>Kubota Neostar</c:v>
                </c:pt>
                <c:pt idx="2">
                  <c:v>Farmtrac 60</c:v>
                </c:pt>
                <c:pt idx="3">
                  <c:v>Farmtrac 45</c:v>
                </c:pt>
                <c:pt idx="4">
                  <c:v>Powertrac 439</c:v>
                </c:pt>
              </c:strCache>
            </c:strRef>
          </c:cat>
          <c:val>
            <c:numRef>
              <c:f>'Brand Sales Report'!$D$4:$D$9</c:f>
              <c:numCache>
                <c:formatCode>\₹\ 00.0</c:formatCode>
                <c:ptCount val="5"/>
                <c:pt idx="2">
                  <c:v>704615800.59999943</c:v>
                </c:pt>
                <c:pt idx="3">
                  <c:v>754517490.90000045</c:v>
                </c:pt>
              </c:numCache>
            </c:numRef>
          </c:val>
          <c:extLst>
            <c:ext xmlns:c16="http://schemas.microsoft.com/office/drawing/2014/chart" uri="{C3380CC4-5D6E-409C-BE32-E72D297353CC}">
              <c16:uniqueId val="{00000009-75DA-489C-8494-98FF335255CE}"/>
            </c:ext>
          </c:extLst>
        </c:ser>
        <c:ser>
          <c:idx val="2"/>
          <c:order val="2"/>
          <c:tx>
            <c:strRef>
              <c:f>'Brand Sales Report'!$E$2:$E$3</c:f>
              <c:strCache>
                <c:ptCount val="1"/>
                <c:pt idx="0">
                  <c:v>Powertrac</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Sales Report'!$B$4:$B$9</c:f>
              <c:strCache>
                <c:ptCount val="5"/>
                <c:pt idx="0">
                  <c:v>Kubota Mu4501</c:v>
                </c:pt>
                <c:pt idx="1">
                  <c:v>Kubota Neostar</c:v>
                </c:pt>
                <c:pt idx="2">
                  <c:v>Farmtrac 60</c:v>
                </c:pt>
                <c:pt idx="3">
                  <c:v>Farmtrac 45</c:v>
                </c:pt>
                <c:pt idx="4">
                  <c:v>Powertrac 439</c:v>
                </c:pt>
              </c:strCache>
            </c:strRef>
          </c:cat>
          <c:val>
            <c:numRef>
              <c:f>'Brand Sales Report'!$E$4:$E$9</c:f>
              <c:numCache>
                <c:formatCode>\₹\ 00.0</c:formatCode>
                <c:ptCount val="5"/>
                <c:pt idx="4">
                  <c:v>855688604.07000089</c:v>
                </c:pt>
              </c:numCache>
            </c:numRef>
          </c:val>
          <c:extLst>
            <c:ext xmlns:c16="http://schemas.microsoft.com/office/drawing/2014/chart" uri="{C3380CC4-5D6E-409C-BE32-E72D297353CC}">
              <c16:uniqueId val="{0000000A-75DA-489C-8494-98FF335255CE}"/>
            </c:ext>
          </c:extLst>
        </c:ser>
        <c:dLbls>
          <c:showLegendKey val="0"/>
          <c:showVal val="0"/>
          <c:showCatName val="0"/>
          <c:showSerName val="0"/>
          <c:showPercent val="0"/>
          <c:showBubbleSize val="0"/>
        </c:dLbls>
        <c:gapWidth val="300"/>
        <c:overlap val="40"/>
        <c:axId val="688909632"/>
        <c:axId val="790544256"/>
      </c:barChart>
      <c:catAx>
        <c:axId val="68890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crossAx val="790544256"/>
        <c:crosses val="autoZero"/>
        <c:auto val="1"/>
        <c:lblAlgn val="ctr"/>
        <c:lblOffset val="1"/>
        <c:tickLblSkip val="1"/>
        <c:noMultiLvlLbl val="0"/>
      </c:catAx>
      <c:valAx>
        <c:axId val="790544256"/>
        <c:scaling>
          <c:orientation val="minMax"/>
        </c:scaling>
        <c:delete val="0"/>
        <c:axPos val="l"/>
        <c:majorGridlines>
          <c:spPr>
            <a:ln w="9525" cap="flat" cmpd="sng" algn="ctr">
              <a:noFill/>
              <a:round/>
            </a:ln>
            <a:effectLst/>
          </c:spPr>
        </c:majorGridlines>
        <c:numFmt formatCode="00\ &quot;Cr&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crossAx val="688909632"/>
        <c:crosses val="autoZero"/>
        <c:crossBetween val="between"/>
        <c:dispUnits>
          <c:builtInUnit val="tenMillions"/>
        </c:dispUnits>
      </c:valAx>
      <c:spPr>
        <a:noFill/>
        <a:ln>
          <a:noFill/>
        </a:ln>
        <a:effectLst/>
      </c:spPr>
    </c:plotArea>
    <c:legend>
      <c:legendPos val="r"/>
      <c:layout>
        <c:manualLayout>
          <c:xMode val="edge"/>
          <c:yMode val="edge"/>
          <c:x val="0.83674489544978681"/>
          <c:y val="4.1122608941141801E-2"/>
          <c:w val="0.16024992160346344"/>
          <c:h val="0.18426047795980316"/>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60000"/>
      </a:schemeClr>
    </a:solidFill>
    <a:ln w="9525" cap="flat" cmpd="sng" algn="ctr">
      <a:solidFill>
        <a:schemeClr val="bg1">
          <a:lumMod val="75000"/>
          <a:alpha val="60000"/>
        </a:schemeClr>
      </a:solidFill>
      <a:round/>
    </a:ln>
    <a:effectLst/>
  </c:spPr>
  <c:txPr>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[Escorts_Kubota_Dynamic_MIS_Sales_Dashboard.xlsx]Brand Sales Report!Quantity Sold</c:name>
    <c:fmtId val="14"/>
  </c:pivotSource>
  <c:chart>
    <c:title>
      <c:tx>
        <c:rich>
          <a:bodyPr rot="0" spcFirstLastPara="1" vertOverflow="ellipsis" vert="horz" wrap="square" anchor="ctr" anchorCtr="1"/>
          <a:lstStyle/>
          <a:p>
            <a:pPr algn="ctr" rtl="0">
              <a:defRPr lang="en-US" sz="1800" b="1" i="0" u="none" strike="noStrike" kern="1200" spc="0" baseline="0">
                <a:solidFill>
                  <a:srgbClr val="7030A0"/>
                </a:solidFill>
                <a:latin typeface="+mn-lt"/>
                <a:ea typeface="+mn-ea"/>
                <a:cs typeface="+mn-cs"/>
              </a:defRPr>
            </a:pPr>
            <a:r>
              <a:rPr lang="en-US" sz="1800" b="1" i="0" u="none" strike="noStrike" kern="1200" spc="0" baseline="0">
                <a:solidFill>
                  <a:srgbClr val="7030A0"/>
                </a:solidFill>
                <a:latin typeface="+mn-lt"/>
                <a:ea typeface="+mn-ea"/>
                <a:cs typeface="+mn-cs"/>
              </a:rPr>
              <a:t>Models Quantity sold by Region</a:t>
            </a:r>
          </a:p>
        </c:rich>
      </c:tx>
      <c:layout>
        <c:manualLayout>
          <c:xMode val="edge"/>
          <c:yMode val="edge"/>
          <c:x val="0.17470838707887765"/>
          <c:y val="5.9955917543534687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3355422156389"/>
          <c:y val="0.19196950736607055"/>
          <c:w val="0.67651399825021874"/>
          <c:h val="0.7319364246135901"/>
        </c:manualLayout>
      </c:layout>
      <c:barChart>
        <c:barDir val="bar"/>
        <c:grouping val="clustered"/>
        <c:varyColors val="0"/>
        <c:ser>
          <c:idx val="0"/>
          <c:order val="0"/>
          <c:tx>
            <c:strRef>
              <c:f>'Brand Sales Report'!$C$14:$C$15</c:f>
              <c:strCache>
                <c:ptCount val="1"/>
                <c:pt idx="0">
                  <c:v>North</c:v>
                </c:pt>
              </c:strCache>
            </c:strRef>
          </c:tx>
          <c:spPr>
            <a:solidFill>
              <a:schemeClr val="accent1"/>
            </a:solidFill>
            <a:ln>
              <a:noFill/>
            </a:ln>
            <a:effectLst/>
          </c:spPr>
          <c:invertIfNegative val="0"/>
          <c:cat>
            <c:strRef>
              <c:f>'Brand Sales Report'!$B$16:$B$21</c:f>
              <c:strCache>
                <c:ptCount val="5"/>
                <c:pt idx="0">
                  <c:v>Kubota Mu4501</c:v>
                </c:pt>
                <c:pt idx="1">
                  <c:v>Kubota Neostar</c:v>
                </c:pt>
                <c:pt idx="2">
                  <c:v>Farmtrac 60</c:v>
                </c:pt>
                <c:pt idx="3">
                  <c:v>Farmtrac 45</c:v>
                </c:pt>
                <c:pt idx="4">
                  <c:v>Powertrac 439</c:v>
                </c:pt>
              </c:strCache>
            </c:strRef>
          </c:cat>
          <c:val>
            <c:numRef>
              <c:f>'Brand Sales Report'!$C$16:$C$21</c:f>
              <c:numCache>
                <c:formatCode>General</c:formatCode>
                <c:ptCount val="5"/>
                <c:pt idx="0">
                  <c:v>651</c:v>
                </c:pt>
                <c:pt idx="1">
                  <c:v>694</c:v>
                </c:pt>
                <c:pt idx="2">
                  <c:v>708</c:v>
                </c:pt>
                <c:pt idx="3">
                  <c:v>745</c:v>
                </c:pt>
                <c:pt idx="4">
                  <c:v>764</c:v>
                </c:pt>
              </c:numCache>
            </c:numRef>
          </c:val>
          <c:extLst>
            <c:ext xmlns:c16="http://schemas.microsoft.com/office/drawing/2014/chart" uri="{C3380CC4-5D6E-409C-BE32-E72D297353CC}">
              <c16:uniqueId val="{00000000-F987-40BB-86FC-2F6547C1154E}"/>
            </c:ext>
          </c:extLst>
        </c:ser>
        <c:ser>
          <c:idx val="1"/>
          <c:order val="1"/>
          <c:tx>
            <c:strRef>
              <c:f>'Brand Sales Report'!$D$14:$D$15</c:f>
              <c:strCache>
                <c:ptCount val="1"/>
                <c:pt idx="0">
                  <c:v>East</c:v>
                </c:pt>
              </c:strCache>
            </c:strRef>
          </c:tx>
          <c:spPr>
            <a:solidFill>
              <a:schemeClr val="accent2"/>
            </a:solidFill>
            <a:ln>
              <a:noFill/>
            </a:ln>
            <a:effectLst/>
          </c:spPr>
          <c:invertIfNegative val="0"/>
          <c:cat>
            <c:strRef>
              <c:f>'Brand Sales Report'!$B$16:$B$21</c:f>
              <c:strCache>
                <c:ptCount val="5"/>
                <c:pt idx="0">
                  <c:v>Kubota Mu4501</c:v>
                </c:pt>
                <c:pt idx="1">
                  <c:v>Kubota Neostar</c:v>
                </c:pt>
                <c:pt idx="2">
                  <c:v>Farmtrac 60</c:v>
                </c:pt>
                <c:pt idx="3">
                  <c:v>Farmtrac 45</c:v>
                </c:pt>
                <c:pt idx="4">
                  <c:v>Powertrac 439</c:v>
                </c:pt>
              </c:strCache>
            </c:strRef>
          </c:cat>
          <c:val>
            <c:numRef>
              <c:f>'Brand Sales Report'!$D$16:$D$21</c:f>
              <c:numCache>
                <c:formatCode>General</c:formatCode>
                <c:ptCount val="5"/>
                <c:pt idx="0">
                  <c:v>371</c:v>
                </c:pt>
                <c:pt idx="1">
                  <c:v>289</c:v>
                </c:pt>
                <c:pt idx="2">
                  <c:v>340</c:v>
                </c:pt>
                <c:pt idx="3">
                  <c:v>330</c:v>
                </c:pt>
                <c:pt idx="4">
                  <c:v>517</c:v>
                </c:pt>
              </c:numCache>
            </c:numRef>
          </c:val>
          <c:extLst>
            <c:ext xmlns:c16="http://schemas.microsoft.com/office/drawing/2014/chart" uri="{C3380CC4-5D6E-409C-BE32-E72D297353CC}">
              <c16:uniqueId val="{00000010-F884-4EB9-B226-E6DB6E287B77}"/>
            </c:ext>
          </c:extLst>
        </c:ser>
        <c:ser>
          <c:idx val="2"/>
          <c:order val="2"/>
          <c:tx>
            <c:strRef>
              <c:f>'Brand Sales Report'!$E$14:$E$15</c:f>
              <c:strCache>
                <c:ptCount val="1"/>
                <c:pt idx="0">
                  <c:v>West</c:v>
                </c:pt>
              </c:strCache>
            </c:strRef>
          </c:tx>
          <c:spPr>
            <a:solidFill>
              <a:schemeClr val="accent3"/>
            </a:solidFill>
            <a:ln>
              <a:noFill/>
            </a:ln>
            <a:effectLst/>
          </c:spPr>
          <c:invertIfNegative val="0"/>
          <c:cat>
            <c:strRef>
              <c:f>'Brand Sales Report'!$B$16:$B$21</c:f>
              <c:strCache>
                <c:ptCount val="5"/>
                <c:pt idx="0">
                  <c:v>Kubota Mu4501</c:v>
                </c:pt>
                <c:pt idx="1">
                  <c:v>Kubota Neostar</c:v>
                </c:pt>
                <c:pt idx="2">
                  <c:v>Farmtrac 60</c:v>
                </c:pt>
                <c:pt idx="3">
                  <c:v>Farmtrac 45</c:v>
                </c:pt>
                <c:pt idx="4">
                  <c:v>Powertrac 439</c:v>
                </c:pt>
              </c:strCache>
            </c:strRef>
          </c:cat>
          <c:val>
            <c:numRef>
              <c:f>'Brand Sales Report'!$E$16:$E$21</c:f>
              <c:numCache>
                <c:formatCode>General</c:formatCode>
                <c:ptCount val="5"/>
                <c:pt idx="0">
                  <c:v>339</c:v>
                </c:pt>
                <c:pt idx="1">
                  <c:v>291</c:v>
                </c:pt>
                <c:pt idx="2">
                  <c:v>329</c:v>
                </c:pt>
                <c:pt idx="3">
                  <c:v>409</c:v>
                </c:pt>
                <c:pt idx="4">
                  <c:v>355</c:v>
                </c:pt>
              </c:numCache>
            </c:numRef>
          </c:val>
          <c:extLst>
            <c:ext xmlns:c16="http://schemas.microsoft.com/office/drawing/2014/chart" uri="{C3380CC4-5D6E-409C-BE32-E72D297353CC}">
              <c16:uniqueId val="{00000011-F884-4EB9-B226-E6DB6E287B77}"/>
            </c:ext>
          </c:extLst>
        </c:ser>
        <c:ser>
          <c:idx val="3"/>
          <c:order val="3"/>
          <c:tx>
            <c:strRef>
              <c:f>'Brand Sales Report'!$F$14:$F$15</c:f>
              <c:strCache>
                <c:ptCount val="1"/>
                <c:pt idx="0">
                  <c:v>South</c:v>
                </c:pt>
              </c:strCache>
            </c:strRef>
          </c:tx>
          <c:spPr>
            <a:solidFill>
              <a:schemeClr val="accent4"/>
            </a:solidFill>
            <a:ln>
              <a:noFill/>
            </a:ln>
            <a:effectLst/>
          </c:spPr>
          <c:invertIfNegative val="0"/>
          <c:cat>
            <c:strRef>
              <c:f>'Brand Sales Report'!$B$16:$B$21</c:f>
              <c:strCache>
                <c:ptCount val="5"/>
                <c:pt idx="0">
                  <c:v>Kubota Mu4501</c:v>
                </c:pt>
                <c:pt idx="1">
                  <c:v>Kubota Neostar</c:v>
                </c:pt>
                <c:pt idx="2">
                  <c:v>Farmtrac 60</c:v>
                </c:pt>
                <c:pt idx="3">
                  <c:v>Farmtrac 45</c:v>
                </c:pt>
                <c:pt idx="4">
                  <c:v>Powertrac 439</c:v>
                </c:pt>
              </c:strCache>
            </c:strRef>
          </c:cat>
          <c:val>
            <c:numRef>
              <c:f>'Brand Sales Report'!$F$16:$F$21</c:f>
              <c:numCache>
                <c:formatCode>General</c:formatCode>
                <c:ptCount val="5"/>
                <c:pt idx="0">
                  <c:v>397</c:v>
                </c:pt>
                <c:pt idx="1">
                  <c:v>350</c:v>
                </c:pt>
                <c:pt idx="2">
                  <c:v>277</c:v>
                </c:pt>
                <c:pt idx="3">
                  <c:v>283</c:v>
                </c:pt>
                <c:pt idx="4">
                  <c:v>280</c:v>
                </c:pt>
              </c:numCache>
            </c:numRef>
          </c:val>
          <c:extLst>
            <c:ext xmlns:c16="http://schemas.microsoft.com/office/drawing/2014/chart" uri="{C3380CC4-5D6E-409C-BE32-E72D297353CC}">
              <c16:uniqueId val="{00000012-F884-4EB9-B226-E6DB6E287B77}"/>
            </c:ext>
          </c:extLst>
        </c:ser>
        <c:dLbls>
          <c:showLegendKey val="0"/>
          <c:showVal val="0"/>
          <c:showCatName val="0"/>
          <c:showSerName val="0"/>
          <c:showPercent val="0"/>
          <c:showBubbleSize val="0"/>
        </c:dLbls>
        <c:gapWidth val="182"/>
        <c:axId val="1164929055"/>
        <c:axId val="1051807839"/>
      </c:barChart>
      <c:catAx>
        <c:axId val="116492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crossAx val="1051807839"/>
        <c:crosses val="autoZero"/>
        <c:auto val="1"/>
        <c:lblAlgn val="ctr"/>
        <c:lblOffset val="100"/>
        <c:noMultiLvlLbl val="0"/>
      </c:catAx>
      <c:valAx>
        <c:axId val="105180783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crossAx val="1164929055"/>
        <c:crosses val="autoZero"/>
        <c:crossBetween val="between"/>
      </c:valAx>
      <c:spPr>
        <a:noFill/>
        <a:ln>
          <a:noFill/>
        </a:ln>
        <a:effectLst/>
      </c:spPr>
    </c:plotArea>
    <c:legend>
      <c:legendPos val="r"/>
      <c:layout>
        <c:manualLayout>
          <c:xMode val="edge"/>
          <c:yMode val="edge"/>
          <c:x val="0.86857640788946"/>
          <c:y val="4.9218625078617191E-2"/>
          <c:w val="0.10071698609085611"/>
          <c:h val="0.24165911586308353"/>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lumMod val="95000"/>
        <a:alpha val="60000"/>
      </a:sysClr>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[Escorts_Kubota_Dynamic_MIS_Sales_Dashboard.xlsx]Brand Sales Report!Monthly Quantity Sold</c:name>
    <c:fmtId val="6"/>
  </c:pivotSource>
  <c:chart>
    <c:title>
      <c:tx>
        <c:rich>
          <a:bodyPr rot="0" spcFirstLastPara="1" vertOverflow="ellipsis" vert="horz" wrap="square" anchor="ctr" anchorCtr="1"/>
          <a:lstStyle/>
          <a:p>
            <a:pPr algn="ctr" rtl="0">
              <a:defRPr lang="en-US" sz="1800" b="1" i="0" u="none" strike="noStrike" kern="1200" spc="0" baseline="0">
                <a:solidFill>
                  <a:srgbClr val="7030A0"/>
                </a:solidFill>
                <a:latin typeface="+mn-lt"/>
                <a:ea typeface="+mn-ea"/>
                <a:cs typeface="+mn-cs"/>
              </a:defRPr>
            </a:pPr>
            <a:r>
              <a:rPr lang="en-US" sz="1800" b="1" i="0" u="none" strike="noStrike" kern="1200" spc="0" baseline="0">
                <a:solidFill>
                  <a:srgbClr val="7030A0"/>
                </a:solidFill>
                <a:latin typeface="+mn-lt"/>
                <a:ea typeface="+mn-ea"/>
                <a:cs typeface="+mn-cs"/>
              </a:rPr>
              <a:t>Tractor Brand's Quantity Sold</a:t>
            </a:r>
          </a:p>
        </c:rich>
      </c:tx>
      <c:layout>
        <c:manualLayout>
          <c:xMode val="edge"/>
          <c:yMode val="edge"/>
          <c:x val="0.19508942575933891"/>
          <c:y val="3.6840304052902478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50" baseline="0">
                  <a:solidFill>
                    <a:srgbClr val="002060"/>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3">
                      <a:lumMod val="50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50" baseline="0">
                  <a:solidFill>
                    <a:srgbClr val="002060"/>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3">
                      <a:lumMod val="50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50" baseline="0">
                  <a:solidFill>
                    <a:srgbClr val="002060"/>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50" baseline="0">
                  <a:solidFill>
                    <a:srgbClr val="002060"/>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3">
                      <a:lumMod val="50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3">
                      <a:lumMod val="50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50" baseline="0">
                  <a:solidFill>
                    <a:srgbClr val="002060"/>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50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3">
                      <a:lumMod val="50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circle"/>
          <c:size val="5"/>
          <c:spPr>
            <a:solidFill>
              <a:schemeClr val="accent1"/>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marker>
          <c:symbol val="circle"/>
          <c:size val="5"/>
          <c:spPr>
            <a:solidFill>
              <a:schemeClr val="accent1"/>
            </a:solidFill>
            <a:ln w="9525">
              <a:solidFill>
                <a:schemeClr val="accent1"/>
              </a:solidFill>
            </a:ln>
            <a:effectLst/>
          </c:spPr>
        </c:marker>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ln w="28575" cap="rnd">
            <a:solidFill>
              <a:schemeClr val="accent2"/>
            </a:solidFill>
            <a:round/>
          </a:ln>
          <a:effectLst/>
        </c:spPr>
        <c:marker>
          <c:symbol val="circle"/>
          <c:size val="5"/>
          <c:spPr>
            <a:solidFill>
              <a:schemeClr val="accent2"/>
            </a:solidFill>
            <a:ln w="9525" cap="rnd">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rgbClr val="92D050"/>
            </a:solidFill>
            <a:round/>
          </a:ln>
          <a:effectLst/>
        </c:spPr>
        <c:marker>
          <c:symbol val="circle"/>
          <c:size val="5"/>
          <c:spPr>
            <a:solidFill>
              <a:schemeClr val="accent3"/>
            </a:solidFill>
            <a:ln w="9525" cap="rnd">
              <a:solidFill>
                <a:srgbClr val="92D050"/>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rgbClr val="92D050"/>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chemeClr val="accent2"/>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58409011405377E-2"/>
          <c:y val="0.20624631012032588"/>
          <c:w val="0.74946280573595203"/>
          <c:h val="0.64520509033444728"/>
        </c:manualLayout>
      </c:layout>
      <c:lineChart>
        <c:grouping val="stacked"/>
        <c:varyColors val="0"/>
        <c:ser>
          <c:idx val="0"/>
          <c:order val="0"/>
          <c:tx>
            <c:strRef>
              <c:f>'Brand Sales Report'!$C$40:$C$41</c:f>
              <c:strCache>
                <c:ptCount val="1"/>
                <c:pt idx="0">
                  <c:v>Kubota</c:v>
                </c:pt>
              </c:strCache>
            </c:strRef>
          </c:tx>
          <c:spPr>
            <a:ln w="28575" cap="rnd">
              <a:solidFill>
                <a:schemeClr val="accent1"/>
              </a:solidFill>
              <a:round/>
            </a:ln>
            <a:effectLst/>
          </c:spPr>
          <c:marker>
            <c:symbol val="circle"/>
            <c:size val="5"/>
            <c:spPr>
              <a:solidFill>
                <a:schemeClr val="accent1"/>
              </a:solidFill>
              <a:ln w="9525">
                <a:solidFill>
                  <a:srgbClr val="00B0F0"/>
                </a:solidFill>
              </a:ln>
              <a:effectLst/>
            </c:spPr>
          </c:marker>
          <c:dPt>
            <c:idx val="11"/>
            <c:marker>
              <c:symbol val="circle"/>
              <c:size val="5"/>
              <c:spPr>
                <a:solidFill>
                  <a:schemeClr val="accent1"/>
                </a:solidFill>
                <a:ln w="9525">
                  <a:solidFill>
                    <a:srgbClr val="00B0F0"/>
                  </a:solidFill>
                </a:ln>
                <a:effectLst/>
              </c:spPr>
            </c:marker>
            <c:bubble3D val="0"/>
            <c:spPr>
              <a:ln w="28575" cap="rnd">
                <a:solidFill>
                  <a:schemeClr val="accent1"/>
                </a:solidFill>
                <a:round/>
              </a:ln>
              <a:effectLst/>
            </c:spPr>
            <c:extLst>
              <c:ext xmlns:c16="http://schemas.microsoft.com/office/drawing/2014/chart" uri="{C3380CC4-5D6E-409C-BE32-E72D297353CC}">
                <c16:uniqueId val="{00000000-DC0A-4153-8F99-6079BC9620CB}"/>
              </c:ext>
            </c:extLst>
          </c:dPt>
          <c:dLbls>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0A-4153-8F99-6079BC9620C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Sales Report'!$B$42:$B$54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'Brand Sales Report'!$C$42:$C$54</c:f>
              <c:numCache>
                <c:formatCode>General</c:formatCode>
                <c:ptCount val="12"/>
                <c:pt idx="0">
                  <c:v>435</c:v>
                </c:pt>
                <c:pt idx="1">
                  <c:v>433</c:v>
                </c:pt>
                <c:pt idx="2">
                  <c:v>332</c:v>
                </c:pt>
                <c:pt idx="3">
                  <c:v>289</c:v>
                </c:pt>
                <c:pt idx="4">
                  <c:v>446</c:v>
                </c:pt>
                <c:pt idx="5">
                  <c:v>271</c:v>
                </c:pt>
                <c:pt idx="6">
                  <c:v>117</c:v>
                </c:pt>
                <c:pt idx="7">
                  <c:v>221</c:v>
                </c:pt>
                <c:pt idx="8">
                  <c:v>201</c:v>
                </c:pt>
                <c:pt idx="9">
                  <c:v>199</c:v>
                </c:pt>
                <c:pt idx="10">
                  <c:v>241</c:v>
                </c:pt>
                <c:pt idx="11">
                  <c:v>197</c:v>
                </c:pt>
              </c:numCache>
            </c:numRef>
          </c:val>
          <c:smooth val="1"/>
          <c:extLst>
            <c:ext xmlns:c16="http://schemas.microsoft.com/office/drawing/2014/chart" uri="{C3380CC4-5D6E-409C-BE32-E72D297353CC}">
              <c16:uniqueId val="{00000001-DC0A-4153-8F99-6079BC9620CB}"/>
            </c:ext>
          </c:extLst>
        </c:ser>
        <c:ser>
          <c:idx val="1"/>
          <c:order val="1"/>
          <c:tx>
            <c:strRef>
              <c:f>'Brand Sales Report'!$D$40:$D$41</c:f>
              <c:strCache>
                <c:ptCount val="1"/>
                <c:pt idx="0">
                  <c:v>Farmtrac</c:v>
                </c:pt>
              </c:strCache>
            </c:strRef>
          </c:tx>
          <c:spPr>
            <a:ln w="28575" cap="rnd">
              <a:solidFill>
                <a:schemeClr val="accent2"/>
              </a:solidFill>
              <a:round/>
            </a:ln>
            <a:effectLst/>
          </c:spPr>
          <c:marker>
            <c:symbol val="circle"/>
            <c:size val="5"/>
            <c:spPr>
              <a:solidFill>
                <a:schemeClr val="accent2"/>
              </a:solidFill>
              <a:ln w="9525" cap="rnd">
                <a:solidFill>
                  <a:schemeClr val="accent2"/>
                </a:solidFill>
              </a:ln>
              <a:effectLst/>
            </c:spPr>
          </c:marker>
          <c:dPt>
            <c:idx val="11"/>
            <c:marker>
              <c:symbol val="circle"/>
              <c:size val="5"/>
              <c:spPr>
                <a:solidFill>
                  <a:schemeClr val="accent2"/>
                </a:solidFill>
                <a:ln w="9525" cap="rnd">
                  <a:solidFill>
                    <a:schemeClr val="accent2"/>
                  </a:solidFill>
                </a:ln>
                <a:effectLst/>
              </c:spPr>
            </c:marker>
            <c:bubble3D val="0"/>
            <c:spPr>
              <a:ln w="28575" cap="rnd">
                <a:solidFill>
                  <a:schemeClr val="accent2"/>
                </a:solidFill>
                <a:round/>
              </a:ln>
              <a:effectLst/>
            </c:spPr>
          </c:dPt>
          <c:dLbls>
            <c:dLbl>
              <c:idx val="11"/>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Sales Report'!$B$42:$B$54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'Brand Sales Report'!$D$42:$D$54</c:f>
              <c:numCache>
                <c:formatCode>General</c:formatCode>
                <c:ptCount val="12"/>
                <c:pt idx="0">
                  <c:v>375</c:v>
                </c:pt>
                <c:pt idx="1">
                  <c:v>341</c:v>
                </c:pt>
                <c:pt idx="2">
                  <c:v>370</c:v>
                </c:pt>
                <c:pt idx="3">
                  <c:v>322</c:v>
                </c:pt>
                <c:pt idx="4">
                  <c:v>318</c:v>
                </c:pt>
                <c:pt idx="5">
                  <c:v>309</c:v>
                </c:pt>
                <c:pt idx="6">
                  <c:v>244</c:v>
                </c:pt>
                <c:pt idx="7">
                  <c:v>201</c:v>
                </c:pt>
                <c:pt idx="8">
                  <c:v>229</c:v>
                </c:pt>
                <c:pt idx="9">
                  <c:v>262</c:v>
                </c:pt>
                <c:pt idx="10">
                  <c:v>231</c:v>
                </c:pt>
                <c:pt idx="11">
                  <c:v>219</c:v>
                </c:pt>
              </c:numCache>
            </c:numRef>
          </c:val>
          <c:smooth val="0"/>
          <c:extLst>
            <c:ext xmlns:c16="http://schemas.microsoft.com/office/drawing/2014/chart" uri="{C3380CC4-5D6E-409C-BE32-E72D297353CC}">
              <c16:uniqueId val="{0000000F-38F8-477A-A47B-D78B5E96F9CE}"/>
            </c:ext>
          </c:extLst>
        </c:ser>
        <c:ser>
          <c:idx val="2"/>
          <c:order val="2"/>
          <c:tx>
            <c:strRef>
              <c:f>'Brand Sales Report'!$E$40:$E$41</c:f>
              <c:strCache>
                <c:ptCount val="1"/>
                <c:pt idx="0">
                  <c:v>Powertrac</c:v>
                </c:pt>
              </c:strCache>
            </c:strRef>
          </c:tx>
          <c:spPr>
            <a:ln w="28575" cap="rnd">
              <a:solidFill>
                <a:srgbClr val="92D050"/>
              </a:solidFill>
              <a:round/>
            </a:ln>
            <a:effectLst/>
          </c:spPr>
          <c:marker>
            <c:symbol val="circle"/>
            <c:size val="5"/>
            <c:spPr>
              <a:solidFill>
                <a:schemeClr val="accent3"/>
              </a:solidFill>
              <a:ln w="9525" cap="rnd">
                <a:solidFill>
                  <a:srgbClr val="92D050"/>
                </a:solidFill>
              </a:ln>
              <a:effectLst/>
            </c:spPr>
          </c:marker>
          <c:dPt>
            <c:idx val="11"/>
            <c:marker>
              <c:symbol val="circle"/>
              <c:size val="5"/>
              <c:spPr>
                <a:solidFill>
                  <a:schemeClr val="accent3"/>
                </a:solidFill>
                <a:ln w="9525" cap="rnd">
                  <a:solidFill>
                    <a:srgbClr val="92D050"/>
                  </a:solidFill>
                </a:ln>
                <a:effectLst/>
              </c:spPr>
            </c:marker>
            <c:bubble3D val="0"/>
            <c:spPr>
              <a:ln w="28575" cap="rnd">
                <a:solidFill>
                  <a:srgbClr val="92D050"/>
                </a:solidFill>
                <a:round/>
              </a:ln>
              <a:effectLst/>
            </c:spPr>
          </c:dPt>
          <c:dLbls>
            <c:dLbl>
              <c:idx val="11"/>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Sales Report'!$B$42:$B$54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'Brand Sales Report'!$E$42:$E$54</c:f>
              <c:numCache>
                <c:formatCode>General</c:formatCode>
                <c:ptCount val="12"/>
                <c:pt idx="0">
                  <c:v>165</c:v>
                </c:pt>
                <c:pt idx="1">
                  <c:v>177</c:v>
                </c:pt>
                <c:pt idx="2">
                  <c:v>220</c:v>
                </c:pt>
                <c:pt idx="3">
                  <c:v>263</c:v>
                </c:pt>
                <c:pt idx="4">
                  <c:v>187</c:v>
                </c:pt>
                <c:pt idx="5">
                  <c:v>183</c:v>
                </c:pt>
                <c:pt idx="6">
                  <c:v>119</c:v>
                </c:pt>
                <c:pt idx="7">
                  <c:v>115</c:v>
                </c:pt>
                <c:pt idx="8">
                  <c:v>100</c:v>
                </c:pt>
                <c:pt idx="9">
                  <c:v>101</c:v>
                </c:pt>
                <c:pt idx="10">
                  <c:v>109</c:v>
                </c:pt>
                <c:pt idx="11">
                  <c:v>177</c:v>
                </c:pt>
              </c:numCache>
            </c:numRef>
          </c:val>
          <c:smooth val="0"/>
          <c:extLst>
            <c:ext xmlns:c16="http://schemas.microsoft.com/office/drawing/2014/chart" uri="{C3380CC4-5D6E-409C-BE32-E72D297353CC}">
              <c16:uniqueId val="{00000010-38F8-477A-A47B-D78B5E96F9CE}"/>
            </c:ext>
          </c:extLst>
        </c:ser>
        <c:dLbls>
          <c:showLegendKey val="0"/>
          <c:showVal val="0"/>
          <c:showCatName val="0"/>
          <c:showSerName val="0"/>
          <c:showPercent val="0"/>
          <c:showBubbleSize val="0"/>
        </c:dLbls>
        <c:marker val="1"/>
        <c:smooth val="0"/>
        <c:axId val="1169090895"/>
        <c:axId val="1051804479"/>
      </c:lineChart>
      <c:catAx>
        <c:axId val="116909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1000" b="1" i="0" u="none" strike="noStrike" kern="1200" spc="50" baseline="0">
                <a:solidFill>
                  <a:schemeClr val="tx1"/>
                </a:solidFill>
                <a:latin typeface="Segoe UI" panose="020B0502040204020203" pitchFamily="34" charset="0"/>
                <a:ea typeface="+mn-ea"/>
                <a:cs typeface="+mn-cs"/>
              </a:defRPr>
            </a:pPr>
            <a:endParaRPr lang="en-US"/>
          </a:p>
        </c:txPr>
        <c:crossAx val="1051804479"/>
        <c:crosses val="autoZero"/>
        <c:auto val="1"/>
        <c:lblAlgn val="ctr"/>
        <c:lblOffset val="100"/>
        <c:noMultiLvlLbl val="0"/>
      </c:catAx>
      <c:valAx>
        <c:axId val="10518044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Segoe UI" panose="020B0502040204020203" pitchFamily="34" charset="0"/>
                <a:ea typeface="+mn-ea"/>
                <a:cs typeface="+mn-cs"/>
              </a:defRPr>
            </a:pPr>
            <a:endParaRPr lang="en-US"/>
          </a:p>
        </c:txPr>
        <c:crossAx val="1169090895"/>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850" b="1" i="0" u="none" strike="noStrike" kern="1200" spc="60" baseline="0">
              <a:solidFill>
                <a:schemeClr val="tx1"/>
              </a:solidFill>
              <a:latin typeface="Segoe UI" panose="020B0502040204020203" pitchFamily="34"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[Escorts_Kubota_Dynamic_MIS_Sales_Dashboard.xlsx]Brand Sales Report!Modelwise sales</c:name>
    <c:fmtId val="4"/>
  </c:pivotSource>
  <c:chart>
    <c:title>
      <c:tx>
        <c:rich>
          <a:bodyPr rot="0" spcFirstLastPara="1" vertOverflow="ellipsis" vert="horz" wrap="square" anchor="ctr" anchorCtr="1"/>
          <a:lstStyle/>
          <a:p>
            <a:pPr algn="ctr" rtl="0">
              <a:defRPr lang="en-US" sz="1800" b="1" i="0" u="none" strike="noStrike" kern="1200" spc="0" baseline="0">
                <a:solidFill>
                  <a:srgbClr val="7030A0"/>
                </a:solidFill>
                <a:latin typeface="+mn-lt"/>
                <a:ea typeface="+mn-ea"/>
                <a:cs typeface="+mn-cs"/>
              </a:defRPr>
            </a:pPr>
            <a:r>
              <a:rPr lang="en-US" sz="1800" b="1" i="0" u="none" strike="noStrike" kern="1200" spc="0" baseline="0">
                <a:solidFill>
                  <a:srgbClr val="7030A0"/>
                </a:solidFill>
                <a:latin typeface="+mn-lt"/>
                <a:ea typeface="+mn-ea"/>
                <a:cs typeface="+mn-cs"/>
              </a:rPr>
              <a:t>Tractor Model Orders by Dealer</a:t>
            </a:r>
          </a:p>
        </c:rich>
      </c:tx>
      <c:layout>
        <c:manualLayout>
          <c:xMode val="edge"/>
          <c:yMode val="edge"/>
          <c:x val="0.20468160361147225"/>
          <c:y val="3.1578938643752275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7314085739283"/>
          <c:y val="0.17592592592592593"/>
          <c:w val="0.52506627296587927"/>
          <c:h val="0.73982283464566923"/>
        </c:manualLayout>
      </c:layout>
      <c:barChart>
        <c:barDir val="bar"/>
        <c:grouping val="stacked"/>
        <c:varyColors val="0"/>
        <c:ser>
          <c:idx val="0"/>
          <c:order val="0"/>
          <c:tx>
            <c:strRef>
              <c:f>'Brand Sales Report'!$C$57:$C$58</c:f>
              <c:strCache>
                <c:ptCount val="1"/>
                <c:pt idx="0">
                  <c:v>Green Field</c:v>
                </c:pt>
              </c:strCache>
            </c:strRef>
          </c:tx>
          <c:spPr>
            <a:solidFill>
              <a:schemeClr val="accent1"/>
            </a:solidFill>
            <a:ln>
              <a:noFill/>
            </a:ln>
            <a:effectLst/>
          </c:spPr>
          <c:invertIfNegative val="0"/>
          <c:cat>
            <c:strRef>
              <c:f>'Brand Sales Report'!$B$59:$B$64</c:f>
              <c:strCache>
                <c:ptCount val="5"/>
                <c:pt idx="0">
                  <c:v>Kubota Mu4501</c:v>
                </c:pt>
                <c:pt idx="1">
                  <c:v>Kubota Neostar</c:v>
                </c:pt>
                <c:pt idx="2">
                  <c:v>Farmtrac 60</c:v>
                </c:pt>
                <c:pt idx="3">
                  <c:v>Farmtrac 45</c:v>
                </c:pt>
                <c:pt idx="4">
                  <c:v>Powertrac 439</c:v>
                </c:pt>
              </c:strCache>
            </c:strRef>
          </c:cat>
          <c:val>
            <c:numRef>
              <c:f>'Brand Sales Report'!$C$59:$C$64</c:f>
              <c:numCache>
                <c:formatCode>General</c:formatCode>
                <c:ptCount val="5"/>
                <c:pt idx="0">
                  <c:v>388</c:v>
                </c:pt>
                <c:pt idx="1">
                  <c:v>326</c:v>
                </c:pt>
                <c:pt idx="2">
                  <c:v>324</c:v>
                </c:pt>
                <c:pt idx="3">
                  <c:v>368</c:v>
                </c:pt>
                <c:pt idx="4">
                  <c:v>391</c:v>
                </c:pt>
              </c:numCache>
            </c:numRef>
          </c:val>
          <c:extLst>
            <c:ext xmlns:c16="http://schemas.microsoft.com/office/drawing/2014/chart" uri="{C3380CC4-5D6E-409C-BE32-E72D297353CC}">
              <c16:uniqueId val="{00000000-329E-4919-8A89-AAF2E92ADC89}"/>
            </c:ext>
          </c:extLst>
        </c:ser>
        <c:ser>
          <c:idx val="1"/>
          <c:order val="1"/>
          <c:tx>
            <c:strRef>
              <c:f>'Brand Sales Report'!$D$57:$D$58</c:f>
              <c:strCache>
                <c:ptCount val="1"/>
                <c:pt idx="0">
                  <c:v>Kisan</c:v>
                </c:pt>
              </c:strCache>
            </c:strRef>
          </c:tx>
          <c:spPr>
            <a:solidFill>
              <a:schemeClr val="accent2"/>
            </a:solidFill>
            <a:ln>
              <a:noFill/>
            </a:ln>
            <a:effectLst/>
          </c:spPr>
          <c:invertIfNegative val="0"/>
          <c:cat>
            <c:strRef>
              <c:f>'Brand Sales Report'!$B$59:$B$64</c:f>
              <c:strCache>
                <c:ptCount val="5"/>
                <c:pt idx="0">
                  <c:v>Kubota Mu4501</c:v>
                </c:pt>
                <c:pt idx="1">
                  <c:v>Kubota Neostar</c:v>
                </c:pt>
                <c:pt idx="2">
                  <c:v>Farmtrac 60</c:v>
                </c:pt>
                <c:pt idx="3">
                  <c:v>Farmtrac 45</c:v>
                </c:pt>
                <c:pt idx="4">
                  <c:v>Powertrac 439</c:v>
                </c:pt>
              </c:strCache>
            </c:strRef>
          </c:cat>
          <c:val>
            <c:numRef>
              <c:f>'Brand Sales Report'!$D$59:$D$64</c:f>
              <c:numCache>
                <c:formatCode>General</c:formatCode>
                <c:ptCount val="5"/>
                <c:pt idx="0">
                  <c:v>361</c:v>
                </c:pt>
                <c:pt idx="1">
                  <c:v>388</c:v>
                </c:pt>
                <c:pt idx="2">
                  <c:v>290</c:v>
                </c:pt>
                <c:pt idx="3">
                  <c:v>391</c:v>
                </c:pt>
                <c:pt idx="4">
                  <c:v>340</c:v>
                </c:pt>
              </c:numCache>
            </c:numRef>
          </c:val>
          <c:extLst>
            <c:ext xmlns:c16="http://schemas.microsoft.com/office/drawing/2014/chart" uri="{C3380CC4-5D6E-409C-BE32-E72D297353CC}">
              <c16:uniqueId val="{00000031-74A3-49D1-AFD8-3F10CFD31868}"/>
            </c:ext>
          </c:extLst>
        </c:ser>
        <c:ser>
          <c:idx val="2"/>
          <c:order val="2"/>
          <c:tx>
            <c:strRef>
              <c:f>'Brand Sales Report'!$E$57:$E$58</c:f>
              <c:strCache>
                <c:ptCount val="1"/>
                <c:pt idx="0">
                  <c:v>Shakti</c:v>
                </c:pt>
              </c:strCache>
            </c:strRef>
          </c:tx>
          <c:spPr>
            <a:solidFill>
              <a:schemeClr val="accent3"/>
            </a:solidFill>
            <a:ln>
              <a:noFill/>
            </a:ln>
            <a:effectLst/>
          </c:spPr>
          <c:invertIfNegative val="0"/>
          <c:cat>
            <c:strRef>
              <c:f>'Brand Sales Report'!$B$59:$B$64</c:f>
              <c:strCache>
                <c:ptCount val="5"/>
                <c:pt idx="0">
                  <c:v>Kubota Mu4501</c:v>
                </c:pt>
                <c:pt idx="1">
                  <c:v>Kubota Neostar</c:v>
                </c:pt>
                <c:pt idx="2">
                  <c:v>Farmtrac 60</c:v>
                </c:pt>
                <c:pt idx="3">
                  <c:v>Farmtrac 45</c:v>
                </c:pt>
                <c:pt idx="4">
                  <c:v>Powertrac 439</c:v>
                </c:pt>
              </c:strCache>
            </c:strRef>
          </c:cat>
          <c:val>
            <c:numRef>
              <c:f>'Brand Sales Report'!$E$59:$E$64</c:f>
              <c:numCache>
                <c:formatCode>General</c:formatCode>
                <c:ptCount val="5"/>
                <c:pt idx="0">
                  <c:v>340</c:v>
                </c:pt>
                <c:pt idx="1">
                  <c:v>321</c:v>
                </c:pt>
                <c:pt idx="2">
                  <c:v>336</c:v>
                </c:pt>
                <c:pt idx="3">
                  <c:v>312</c:v>
                </c:pt>
                <c:pt idx="4">
                  <c:v>424</c:v>
                </c:pt>
              </c:numCache>
            </c:numRef>
          </c:val>
          <c:extLst>
            <c:ext xmlns:c16="http://schemas.microsoft.com/office/drawing/2014/chart" uri="{C3380CC4-5D6E-409C-BE32-E72D297353CC}">
              <c16:uniqueId val="{00000032-74A3-49D1-AFD8-3F10CFD31868}"/>
            </c:ext>
          </c:extLst>
        </c:ser>
        <c:ser>
          <c:idx val="3"/>
          <c:order val="3"/>
          <c:tx>
            <c:strRef>
              <c:f>'Brand Sales Report'!$F$57:$F$58</c:f>
              <c:strCache>
                <c:ptCount val="1"/>
                <c:pt idx="0">
                  <c:v>Mahadev</c:v>
                </c:pt>
              </c:strCache>
            </c:strRef>
          </c:tx>
          <c:spPr>
            <a:solidFill>
              <a:schemeClr val="accent4"/>
            </a:solidFill>
            <a:ln>
              <a:noFill/>
            </a:ln>
            <a:effectLst/>
          </c:spPr>
          <c:invertIfNegative val="0"/>
          <c:cat>
            <c:strRef>
              <c:f>'Brand Sales Report'!$B$59:$B$64</c:f>
              <c:strCache>
                <c:ptCount val="5"/>
                <c:pt idx="0">
                  <c:v>Kubota Mu4501</c:v>
                </c:pt>
                <c:pt idx="1">
                  <c:v>Kubota Neostar</c:v>
                </c:pt>
                <c:pt idx="2">
                  <c:v>Farmtrac 60</c:v>
                </c:pt>
                <c:pt idx="3">
                  <c:v>Farmtrac 45</c:v>
                </c:pt>
                <c:pt idx="4">
                  <c:v>Powertrac 439</c:v>
                </c:pt>
              </c:strCache>
            </c:strRef>
          </c:cat>
          <c:val>
            <c:numRef>
              <c:f>'Brand Sales Report'!$F$59:$F$64</c:f>
              <c:numCache>
                <c:formatCode>General</c:formatCode>
                <c:ptCount val="5"/>
                <c:pt idx="0">
                  <c:v>352</c:v>
                </c:pt>
                <c:pt idx="1">
                  <c:v>276</c:v>
                </c:pt>
                <c:pt idx="2">
                  <c:v>358</c:v>
                </c:pt>
                <c:pt idx="3">
                  <c:v>353</c:v>
                </c:pt>
                <c:pt idx="4">
                  <c:v>389</c:v>
                </c:pt>
              </c:numCache>
            </c:numRef>
          </c:val>
          <c:extLst>
            <c:ext xmlns:c16="http://schemas.microsoft.com/office/drawing/2014/chart" uri="{C3380CC4-5D6E-409C-BE32-E72D297353CC}">
              <c16:uniqueId val="{00000033-74A3-49D1-AFD8-3F10CFD31868}"/>
            </c:ext>
          </c:extLst>
        </c:ser>
        <c:ser>
          <c:idx val="4"/>
          <c:order val="4"/>
          <c:tx>
            <c:strRef>
              <c:f>'Brand Sales Report'!$G$57:$G$58</c:f>
              <c:strCache>
                <c:ptCount val="1"/>
                <c:pt idx="0">
                  <c:v>Agri</c:v>
                </c:pt>
              </c:strCache>
            </c:strRef>
          </c:tx>
          <c:spPr>
            <a:solidFill>
              <a:schemeClr val="accent5"/>
            </a:solidFill>
            <a:ln>
              <a:noFill/>
            </a:ln>
            <a:effectLst/>
          </c:spPr>
          <c:invertIfNegative val="0"/>
          <c:cat>
            <c:strRef>
              <c:f>'Brand Sales Report'!$B$59:$B$64</c:f>
              <c:strCache>
                <c:ptCount val="5"/>
                <c:pt idx="0">
                  <c:v>Kubota Mu4501</c:v>
                </c:pt>
                <c:pt idx="1">
                  <c:v>Kubota Neostar</c:v>
                </c:pt>
                <c:pt idx="2">
                  <c:v>Farmtrac 60</c:v>
                </c:pt>
                <c:pt idx="3">
                  <c:v>Farmtrac 45</c:v>
                </c:pt>
                <c:pt idx="4">
                  <c:v>Powertrac 439</c:v>
                </c:pt>
              </c:strCache>
            </c:strRef>
          </c:cat>
          <c:val>
            <c:numRef>
              <c:f>'Brand Sales Report'!$G$59:$G$64</c:f>
              <c:numCache>
                <c:formatCode>General</c:formatCode>
                <c:ptCount val="5"/>
                <c:pt idx="0">
                  <c:v>317</c:v>
                </c:pt>
                <c:pt idx="1">
                  <c:v>313</c:v>
                </c:pt>
                <c:pt idx="2">
                  <c:v>346</c:v>
                </c:pt>
                <c:pt idx="3">
                  <c:v>343</c:v>
                </c:pt>
                <c:pt idx="4">
                  <c:v>372</c:v>
                </c:pt>
              </c:numCache>
            </c:numRef>
          </c:val>
          <c:extLst>
            <c:ext xmlns:c16="http://schemas.microsoft.com/office/drawing/2014/chart" uri="{C3380CC4-5D6E-409C-BE32-E72D297353CC}">
              <c16:uniqueId val="{00000034-74A3-49D1-AFD8-3F10CFD31868}"/>
            </c:ext>
          </c:extLst>
        </c:ser>
        <c:dLbls>
          <c:showLegendKey val="0"/>
          <c:showVal val="0"/>
          <c:showCatName val="0"/>
          <c:showSerName val="0"/>
          <c:showPercent val="0"/>
          <c:showBubbleSize val="0"/>
        </c:dLbls>
        <c:gapWidth val="150"/>
        <c:overlap val="100"/>
        <c:axId val="903867711"/>
        <c:axId val="897500447"/>
      </c:barChart>
      <c:catAx>
        <c:axId val="90386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spc="50" baseline="0">
                <a:solidFill>
                  <a:schemeClr val="tx1"/>
                </a:solidFill>
                <a:latin typeface="Segoe UI" panose="020B0502040204020203" pitchFamily="34" charset="0"/>
                <a:ea typeface="+mn-ea"/>
                <a:cs typeface="+mn-cs"/>
              </a:defRPr>
            </a:pPr>
            <a:endParaRPr lang="en-US"/>
          </a:p>
        </c:txPr>
        <c:crossAx val="897500447"/>
        <c:crosses val="autoZero"/>
        <c:auto val="1"/>
        <c:lblAlgn val="ctr"/>
        <c:lblOffset val="100"/>
        <c:noMultiLvlLbl val="0"/>
      </c:catAx>
      <c:valAx>
        <c:axId val="89750044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spc="50" baseline="0">
                <a:solidFill>
                  <a:schemeClr val="tx1"/>
                </a:solidFill>
                <a:latin typeface="Segoe UI" panose="020B0502040204020203" pitchFamily="34" charset="0"/>
                <a:ea typeface="+mn-ea"/>
                <a:cs typeface="+mn-cs"/>
              </a:defRPr>
            </a:pPr>
            <a:endParaRPr lang="en-US"/>
          </a:p>
        </c:txPr>
        <c:crossAx val="903867711"/>
        <c:crosses val="autoZero"/>
        <c:crossBetween val="between"/>
      </c:valAx>
      <c:spPr>
        <a:noFill/>
        <a:ln>
          <a:noFill/>
        </a:ln>
        <a:effectLst/>
      </c:spPr>
    </c:plotArea>
    <c:legend>
      <c:legendPos val="r"/>
      <c:layout>
        <c:manualLayout>
          <c:xMode val="edge"/>
          <c:yMode val="edge"/>
          <c:x val="0.79608962227495328"/>
          <c:y val="0.11263861367250233"/>
          <c:w val="0.16013271843996515"/>
          <c:h val="0.29014911171457058"/>
        </c:manualLayout>
      </c:layout>
      <c:overlay val="0"/>
      <c:spPr>
        <a:noFill/>
        <a:ln>
          <a:noFill/>
        </a:ln>
        <a:effectLst/>
      </c:spPr>
      <c:txPr>
        <a:bodyPr rot="0" spcFirstLastPara="1" vertOverflow="ellipsis" vert="horz" wrap="square" anchor="ctr" anchorCtr="1"/>
        <a:lstStyle/>
        <a:p>
          <a:pPr>
            <a:defRPr sz="800" b="1" i="0" u="none" strike="noStrike" kern="1200" spc="80" baseline="0">
              <a:solidFill>
                <a:schemeClr val="tx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[Escorts_Kubota_Dynamic_MIS_Sales_Dashboard.xlsx]Executive Sales Report!Dealer's Performance</c:name>
    <c:fmtId val="3"/>
  </c:pivotSource>
  <c:chart>
    <c:title>
      <c:tx>
        <c:rich>
          <a:bodyPr rot="0" spcFirstLastPara="1" vertOverflow="ellipsis" vert="horz" wrap="square" anchor="ctr" anchorCtr="1"/>
          <a:lstStyle/>
          <a:p>
            <a:pPr algn="ctr" rtl="0">
              <a:defRPr lang="en-US" sz="1800" b="1" i="0" u="none" strike="noStrike" kern="1200" spc="50" baseline="0">
                <a:solidFill>
                  <a:srgbClr val="002060"/>
                </a:solidFill>
                <a:latin typeface="+mn-lt"/>
                <a:ea typeface="+mn-ea"/>
                <a:cs typeface="+mn-cs"/>
              </a:defRPr>
            </a:pPr>
            <a:r>
              <a:rPr lang="en-US" sz="1800" b="1" i="0" u="none" strike="noStrike" kern="1200" spc="50" baseline="0">
                <a:solidFill>
                  <a:srgbClr val="002060"/>
                </a:solidFill>
                <a:latin typeface="+mn-lt"/>
                <a:ea typeface="+mn-ea"/>
                <a:cs typeface="+mn-cs"/>
              </a:rPr>
              <a:t> Dealer's Order Quantity by State </a:t>
            </a:r>
          </a:p>
        </c:rich>
      </c:tx>
      <c:layout>
        <c:manualLayout>
          <c:xMode val="edge"/>
          <c:yMode val="edge"/>
          <c:x val="8.1961330767398907E-2"/>
          <c:y val="3.5998797090130583E-2"/>
        </c:manualLayout>
      </c:layout>
      <c:overlay val="0"/>
      <c:spPr>
        <a:solidFill>
          <a:schemeClr val="bg1">
            <a:lumMod val="95000"/>
          </a:schemeClr>
        </a:solidFill>
        <a:ln>
          <a:noFill/>
        </a:ln>
        <a:effectLst/>
      </c:spPr>
      <c:txPr>
        <a:bodyPr rot="0" spcFirstLastPara="1" vertOverflow="ellipsis" vert="horz" wrap="square" anchor="ctr" anchorCtr="1"/>
        <a:lstStyle/>
        <a:p>
          <a:pPr algn="ctr" rtl="0">
            <a:defRPr lang="en-US" sz="1800" b="1" i="0" u="none" strike="noStrike" kern="1200" spc="5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54831659139594"/>
          <c:y val="0.14430390937974857"/>
          <c:w val="0.585954752781636"/>
          <c:h val="0.75278587132862973"/>
        </c:manualLayout>
      </c:layout>
      <c:barChart>
        <c:barDir val="bar"/>
        <c:grouping val="clustered"/>
        <c:varyColors val="0"/>
        <c:ser>
          <c:idx val="0"/>
          <c:order val="0"/>
          <c:tx>
            <c:strRef>
              <c:f>'Executive Sales Report'!$C$12:$C$13</c:f>
              <c:strCache>
                <c:ptCount val="1"/>
                <c:pt idx="0">
                  <c:v>Haryana</c:v>
                </c:pt>
              </c:strCache>
            </c:strRef>
          </c:tx>
          <c:spPr>
            <a:solidFill>
              <a:srgbClr val="00B050"/>
            </a:solidFill>
            <a:ln>
              <a:noFill/>
            </a:ln>
            <a:effectLst/>
          </c:spPr>
          <c:invertIfNegative val="0"/>
          <c:cat>
            <c:strRef>
              <c:f>'Executive Sales Report'!$B$14:$B$19</c:f>
              <c:strCache>
                <c:ptCount val="5"/>
                <c:pt idx="0">
                  <c:v>Green Field</c:v>
                </c:pt>
                <c:pt idx="1">
                  <c:v>Shakti</c:v>
                </c:pt>
                <c:pt idx="2">
                  <c:v>Kisan</c:v>
                </c:pt>
                <c:pt idx="3">
                  <c:v>Mahadev</c:v>
                </c:pt>
                <c:pt idx="4">
                  <c:v>Agri</c:v>
                </c:pt>
              </c:strCache>
            </c:strRef>
          </c:cat>
          <c:val>
            <c:numRef>
              <c:f>'Executive Sales Report'!$C$14:$C$19</c:f>
              <c:numCache>
                <c:formatCode>General</c:formatCode>
                <c:ptCount val="5"/>
                <c:pt idx="0">
                  <c:v>392</c:v>
                </c:pt>
                <c:pt idx="1">
                  <c:v>287</c:v>
                </c:pt>
                <c:pt idx="2">
                  <c:v>328</c:v>
                </c:pt>
                <c:pt idx="3">
                  <c:v>343</c:v>
                </c:pt>
                <c:pt idx="4">
                  <c:v>403</c:v>
                </c:pt>
              </c:numCache>
            </c:numRef>
          </c:val>
          <c:extLst>
            <c:ext xmlns:c16="http://schemas.microsoft.com/office/drawing/2014/chart" uri="{C3380CC4-5D6E-409C-BE32-E72D297353CC}">
              <c16:uniqueId val="{00000000-996F-45C1-B0F3-2BB29BB57F38}"/>
            </c:ext>
          </c:extLst>
        </c:ser>
        <c:ser>
          <c:idx val="1"/>
          <c:order val="1"/>
          <c:tx>
            <c:strRef>
              <c:f>'Executive Sales Report'!$D$12:$D$13</c:f>
              <c:strCache>
                <c:ptCount val="1"/>
                <c:pt idx="0">
                  <c:v>Karnataka</c:v>
                </c:pt>
              </c:strCache>
            </c:strRef>
          </c:tx>
          <c:spPr>
            <a:solidFill>
              <a:schemeClr val="accent2"/>
            </a:solidFill>
            <a:ln>
              <a:noFill/>
            </a:ln>
            <a:effectLst/>
          </c:spPr>
          <c:invertIfNegative val="0"/>
          <c:cat>
            <c:strRef>
              <c:f>'Executive Sales Report'!$B$14:$B$19</c:f>
              <c:strCache>
                <c:ptCount val="5"/>
                <c:pt idx="0">
                  <c:v>Green Field</c:v>
                </c:pt>
                <c:pt idx="1">
                  <c:v>Shakti</c:v>
                </c:pt>
                <c:pt idx="2">
                  <c:v>Kisan</c:v>
                </c:pt>
                <c:pt idx="3">
                  <c:v>Mahadev</c:v>
                </c:pt>
                <c:pt idx="4">
                  <c:v>Agri</c:v>
                </c:pt>
              </c:strCache>
            </c:strRef>
          </c:cat>
          <c:val>
            <c:numRef>
              <c:f>'Executive Sales Report'!$D$14:$D$19</c:f>
              <c:numCache>
                <c:formatCode>General</c:formatCode>
                <c:ptCount val="5"/>
                <c:pt idx="0">
                  <c:v>290</c:v>
                </c:pt>
                <c:pt idx="1">
                  <c:v>329</c:v>
                </c:pt>
                <c:pt idx="2">
                  <c:v>348</c:v>
                </c:pt>
                <c:pt idx="3">
                  <c:v>318</c:v>
                </c:pt>
                <c:pt idx="4">
                  <c:v>302</c:v>
                </c:pt>
              </c:numCache>
            </c:numRef>
          </c:val>
          <c:extLst>
            <c:ext xmlns:c16="http://schemas.microsoft.com/office/drawing/2014/chart" uri="{C3380CC4-5D6E-409C-BE32-E72D297353CC}">
              <c16:uniqueId val="{00000012-05B4-4DBB-A6B8-12651B213F31}"/>
            </c:ext>
          </c:extLst>
        </c:ser>
        <c:ser>
          <c:idx val="2"/>
          <c:order val="2"/>
          <c:tx>
            <c:strRef>
              <c:f>'Executive Sales Report'!$E$12:$E$13</c:f>
              <c:strCache>
                <c:ptCount val="1"/>
                <c:pt idx="0">
                  <c:v>Maharashtra</c:v>
                </c:pt>
              </c:strCache>
            </c:strRef>
          </c:tx>
          <c:spPr>
            <a:solidFill>
              <a:schemeClr val="accent3"/>
            </a:solidFill>
            <a:ln>
              <a:noFill/>
            </a:ln>
            <a:effectLst/>
          </c:spPr>
          <c:invertIfNegative val="0"/>
          <c:cat>
            <c:strRef>
              <c:f>'Executive Sales Report'!$B$14:$B$19</c:f>
              <c:strCache>
                <c:ptCount val="5"/>
                <c:pt idx="0">
                  <c:v>Green Field</c:v>
                </c:pt>
                <c:pt idx="1">
                  <c:v>Shakti</c:v>
                </c:pt>
                <c:pt idx="2">
                  <c:v>Kisan</c:v>
                </c:pt>
                <c:pt idx="3">
                  <c:v>Mahadev</c:v>
                </c:pt>
                <c:pt idx="4">
                  <c:v>Agri</c:v>
                </c:pt>
              </c:strCache>
            </c:strRef>
          </c:cat>
          <c:val>
            <c:numRef>
              <c:f>'Executive Sales Report'!$E$14:$E$19</c:f>
              <c:numCache>
                <c:formatCode>General</c:formatCode>
                <c:ptCount val="5"/>
                <c:pt idx="0">
                  <c:v>329</c:v>
                </c:pt>
                <c:pt idx="1">
                  <c:v>382</c:v>
                </c:pt>
                <c:pt idx="2">
                  <c:v>344</c:v>
                </c:pt>
                <c:pt idx="3">
                  <c:v>334</c:v>
                </c:pt>
                <c:pt idx="4">
                  <c:v>334</c:v>
                </c:pt>
              </c:numCache>
            </c:numRef>
          </c:val>
          <c:extLst>
            <c:ext xmlns:c16="http://schemas.microsoft.com/office/drawing/2014/chart" uri="{C3380CC4-5D6E-409C-BE32-E72D297353CC}">
              <c16:uniqueId val="{00000016-05B4-4DBB-A6B8-12651B213F31}"/>
            </c:ext>
          </c:extLst>
        </c:ser>
        <c:ser>
          <c:idx val="3"/>
          <c:order val="3"/>
          <c:tx>
            <c:strRef>
              <c:f>'Executive Sales Report'!$F$12:$F$13</c:f>
              <c:strCache>
                <c:ptCount val="1"/>
                <c:pt idx="0">
                  <c:v>Uttar Pradesh</c:v>
                </c:pt>
              </c:strCache>
            </c:strRef>
          </c:tx>
          <c:spPr>
            <a:solidFill>
              <a:srgbClr val="7030A0"/>
            </a:solidFill>
            <a:ln>
              <a:noFill/>
            </a:ln>
            <a:effectLst/>
          </c:spPr>
          <c:invertIfNegative val="0"/>
          <c:cat>
            <c:strRef>
              <c:f>'Executive Sales Report'!$B$14:$B$19</c:f>
              <c:strCache>
                <c:ptCount val="5"/>
                <c:pt idx="0">
                  <c:v>Green Field</c:v>
                </c:pt>
                <c:pt idx="1">
                  <c:v>Shakti</c:v>
                </c:pt>
                <c:pt idx="2">
                  <c:v>Kisan</c:v>
                </c:pt>
                <c:pt idx="3">
                  <c:v>Mahadev</c:v>
                </c:pt>
                <c:pt idx="4">
                  <c:v>Agri</c:v>
                </c:pt>
              </c:strCache>
            </c:strRef>
          </c:cat>
          <c:val>
            <c:numRef>
              <c:f>'Executive Sales Report'!$F$14:$F$19</c:f>
              <c:numCache>
                <c:formatCode>General</c:formatCode>
                <c:ptCount val="5"/>
                <c:pt idx="0">
                  <c:v>390</c:v>
                </c:pt>
                <c:pt idx="1">
                  <c:v>353</c:v>
                </c:pt>
                <c:pt idx="2">
                  <c:v>391</c:v>
                </c:pt>
                <c:pt idx="3">
                  <c:v>367</c:v>
                </c:pt>
                <c:pt idx="4">
                  <c:v>308</c:v>
                </c:pt>
              </c:numCache>
            </c:numRef>
          </c:val>
          <c:extLst>
            <c:ext xmlns:c16="http://schemas.microsoft.com/office/drawing/2014/chart" uri="{C3380CC4-5D6E-409C-BE32-E72D297353CC}">
              <c16:uniqueId val="{00000017-05B4-4DBB-A6B8-12651B213F31}"/>
            </c:ext>
          </c:extLst>
        </c:ser>
        <c:ser>
          <c:idx val="4"/>
          <c:order val="4"/>
          <c:tx>
            <c:strRef>
              <c:f>'Executive Sales Report'!$G$12:$G$13</c:f>
              <c:strCache>
                <c:ptCount val="1"/>
                <c:pt idx="0">
                  <c:v>West Bengal</c:v>
                </c:pt>
              </c:strCache>
            </c:strRef>
          </c:tx>
          <c:spPr>
            <a:solidFill>
              <a:schemeClr val="accent5"/>
            </a:solidFill>
            <a:ln>
              <a:noFill/>
            </a:ln>
            <a:effectLst/>
          </c:spPr>
          <c:invertIfNegative val="0"/>
          <c:cat>
            <c:strRef>
              <c:f>'Executive Sales Report'!$B$14:$B$19</c:f>
              <c:strCache>
                <c:ptCount val="5"/>
                <c:pt idx="0">
                  <c:v>Green Field</c:v>
                </c:pt>
                <c:pt idx="1">
                  <c:v>Shakti</c:v>
                </c:pt>
                <c:pt idx="2">
                  <c:v>Kisan</c:v>
                </c:pt>
                <c:pt idx="3">
                  <c:v>Mahadev</c:v>
                </c:pt>
                <c:pt idx="4">
                  <c:v>Agri</c:v>
                </c:pt>
              </c:strCache>
            </c:strRef>
          </c:cat>
          <c:val>
            <c:numRef>
              <c:f>'Executive Sales Report'!$G$14:$G$19</c:f>
              <c:numCache>
                <c:formatCode>General</c:formatCode>
                <c:ptCount val="5"/>
                <c:pt idx="0">
                  <c:v>396</c:v>
                </c:pt>
                <c:pt idx="1">
                  <c:v>382</c:v>
                </c:pt>
                <c:pt idx="2">
                  <c:v>359</c:v>
                </c:pt>
                <c:pt idx="3">
                  <c:v>366</c:v>
                </c:pt>
                <c:pt idx="4">
                  <c:v>344</c:v>
                </c:pt>
              </c:numCache>
            </c:numRef>
          </c:val>
          <c:extLst>
            <c:ext xmlns:c16="http://schemas.microsoft.com/office/drawing/2014/chart" uri="{C3380CC4-5D6E-409C-BE32-E72D297353CC}">
              <c16:uniqueId val="{00000018-05B4-4DBB-A6B8-12651B213F31}"/>
            </c:ext>
          </c:extLst>
        </c:ser>
        <c:dLbls>
          <c:showLegendKey val="0"/>
          <c:showVal val="0"/>
          <c:showCatName val="0"/>
          <c:showSerName val="0"/>
          <c:showPercent val="0"/>
          <c:showBubbleSize val="0"/>
        </c:dLbls>
        <c:gapWidth val="182"/>
        <c:axId val="831033168"/>
        <c:axId val="673550688"/>
      </c:barChart>
      <c:catAx>
        <c:axId val="83103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Segoe UI" panose="020B0502040204020203" pitchFamily="34" charset="0"/>
                <a:ea typeface="+mn-ea"/>
                <a:cs typeface="+mn-cs"/>
              </a:defRPr>
            </a:pPr>
            <a:endParaRPr lang="en-US"/>
          </a:p>
        </c:txPr>
        <c:crossAx val="673550688"/>
        <c:crosses val="autoZero"/>
        <c:auto val="1"/>
        <c:lblAlgn val="ctr"/>
        <c:lblOffset val="100"/>
        <c:noMultiLvlLbl val="0"/>
      </c:catAx>
      <c:valAx>
        <c:axId val="67355068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Segoe UI" panose="020B0502040204020203" pitchFamily="34" charset="0"/>
                <a:ea typeface="+mn-ea"/>
                <a:cs typeface="+mn-cs"/>
              </a:defRPr>
            </a:pPr>
            <a:endParaRPr lang="en-US"/>
          </a:p>
        </c:txPr>
        <c:crossAx val="831033168"/>
        <c:crosses val="autoZero"/>
        <c:crossBetween val="between"/>
      </c:valAx>
      <c:spPr>
        <a:noFill/>
        <a:ln>
          <a:noFill/>
        </a:ln>
        <a:effectLst/>
      </c:spPr>
    </c:plotArea>
    <c:legend>
      <c:legendPos val="r"/>
      <c:layout>
        <c:manualLayout>
          <c:xMode val="edge"/>
          <c:yMode val="edge"/>
          <c:x val="0.77925129944533167"/>
          <c:y val="0.13029948887967949"/>
          <c:w val="0.21833271579846827"/>
          <c:h val="0.29014919187733113"/>
        </c:manualLayout>
      </c:layout>
      <c:overlay val="0"/>
      <c:spPr>
        <a:noFill/>
        <a:ln>
          <a:noFill/>
        </a:ln>
        <a:effectLst/>
      </c:spPr>
      <c:txPr>
        <a:bodyPr rot="0" spcFirstLastPara="1" vertOverflow="ellipsis" vert="horz" wrap="square" anchor="ctr" anchorCtr="1"/>
        <a:lstStyle/>
        <a:p>
          <a:pPr>
            <a:defRPr lang="en-US" sz="800" b="1" i="0" u="none" strike="noStrike" kern="1200" spc="100" baseline="0">
              <a:solidFill>
                <a:schemeClr val="tx1"/>
              </a:solidFill>
              <a:latin typeface="Segoe UI" panose="020B0502040204020203" pitchFamily="34" charset="0"/>
              <a:ea typeface="+mn-ea"/>
              <a:cs typeface="Assistant ExtraBold" panose="020F0502020204030204" pitchFamily="2" charset="-79"/>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60000"/>
      </a:schemeClr>
    </a:solidFill>
    <a:ln w="9525" cap="rnd" cmpd="sng" algn="ctr">
      <a:solidFill>
        <a:schemeClr val="bg1">
          <a:lumMod val="65000"/>
          <a:alpha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[Escorts_Kubota_Dynamic_MIS_Sales_Dashboard.xlsx]Executive Sales Report!Yearly Sales Trend</c:name>
    <c:fmtId val="2"/>
  </c:pivotSource>
  <c:chart>
    <c:title>
      <c:tx>
        <c:rich>
          <a:bodyPr rot="0" spcFirstLastPara="1" vertOverflow="ellipsis" vert="horz" wrap="square" anchor="ctr" anchorCtr="1"/>
          <a:lstStyle/>
          <a:p>
            <a:pPr algn="ctr" rtl="0">
              <a:defRPr lang="en-US" sz="1800" b="1" i="0" u="none" strike="noStrike" kern="1200" spc="50" baseline="0">
                <a:solidFill>
                  <a:srgbClr val="002060"/>
                </a:solidFill>
                <a:latin typeface="+mn-lt"/>
                <a:ea typeface="+mn-ea"/>
                <a:cs typeface="+mn-cs"/>
              </a:defRPr>
            </a:pPr>
            <a:r>
              <a:rPr lang="en-US" sz="1800" b="1" i="0" u="none" strike="noStrike" kern="1200" spc="50" baseline="0">
                <a:solidFill>
                  <a:srgbClr val="002060"/>
                </a:solidFill>
                <a:latin typeface="+mn-lt"/>
                <a:ea typeface="+mn-ea"/>
                <a:cs typeface="+mn-cs"/>
              </a:rPr>
              <a:t>Monthly Net Sales Trend</a:t>
            </a:r>
          </a:p>
          <a:p>
            <a:pPr algn="ctr" rtl="0">
              <a:defRPr lang="en-US" sz="1800" spc="50">
                <a:solidFill>
                  <a:srgbClr val="002060"/>
                </a:solidFill>
                <a:latin typeface="+mn-lt"/>
              </a:defRPr>
            </a:pPr>
            <a:r>
              <a:rPr lang="en-US" sz="1800" b="1" i="0" u="none" strike="noStrike" kern="1200" spc="50" baseline="0">
                <a:solidFill>
                  <a:srgbClr val="002060"/>
                </a:solidFill>
                <a:latin typeface="+mn-lt"/>
                <a:ea typeface="+mn-ea"/>
                <a:cs typeface="+mn-cs"/>
              </a:rPr>
              <a:t>(2024 - 2025)</a:t>
            </a:r>
          </a:p>
        </c:rich>
      </c:tx>
      <c:layout>
        <c:manualLayout>
          <c:xMode val="edge"/>
          <c:yMode val="edge"/>
          <c:x val="0.19839307845998772"/>
          <c:y val="1.5864978648913477E-2"/>
        </c:manualLayout>
      </c:layout>
      <c:overlay val="0"/>
      <c:spPr>
        <a:solidFill>
          <a:schemeClr val="bg1">
            <a:lumMod val="95000"/>
          </a:schemeClr>
        </a:solidFill>
        <a:ln>
          <a:noFill/>
        </a:ln>
        <a:effectLst/>
      </c:spPr>
      <c:txPr>
        <a:bodyPr rot="0" spcFirstLastPara="1" vertOverflow="ellipsis" vert="horz" wrap="square" anchor="ctr" anchorCtr="1"/>
        <a:lstStyle/>
        <a:p>
          <a:pPr algn="ctr" rtl="0">
            <a:defRPr lang="en-US" sz="1800" b="1" i="0" u="none" strike="noStrike" kern="1200" spc="5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 00.0\ &quot;Cr&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920A14"/>
            </a:solidFill>
            <a:round/>
          </a:ln>
          <a:effectLst/>
        </c:spPr>
        <c:marker>
          <c:symbol val="circle"/>
          <c:size val="5"/>
          <c:spPr>
            <a:solidFill>
              <a:schemeClr val="accent2"/>
            </a:solidFill>
            <a:ln w="9525" cap="rnd">
              <a:solidFill>
                <a:srgbClr val="920A14"/>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20A14">
                <a:alpha val="97000"/>
              </a:srgbClr>
            </a:solidFill>
            <a:round/>
          </a:ln>
          <a:effectLst/>
        </c:spP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 00.0\ &quot;Cr&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920A14"/>
            </a:solidFill>
            <a:round/>
          </a:ln>
          <a:effectLst/>
        </c:spPr>
        <c:marker>
          <c:symbol val="circle"/>
          <c:size val="5"/>
          <c:spPr>
            <a:solidFill>
              <a:schemeClr val="accent2"/>
            </a:solidFill>
            <a:ln w="9525" cap="rnd">
              <a:solidFill>
                <a:srgbClr val="920A14"/>
              </a:solidFill>
            </a:ln>
            <a:effectLst/>
          </c:spPr>
        </c:marker>
        <c:dLbl>
          <c:idx val="0"/>
          <c:numFmt formatCode="00.0\ &quot;Cr&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2804024496937"/>
          <c:y val="0.20370370370370369"/>
          <c:w val="0.6929052930883639"/>
          <c:h val="0.68889690871974341"/>
        </c:manualLayout>
      </c:layout>
      <c:lineChart>
        <c:grouping val="standard"/>
        <c:varyColors val="0"/>
        <c:ser>
          <c:idx val="0"/>
          <c:order val="0"/>
          <c:tx>
            <c:strRef>
              <c:f>'Executive Sales Report'!$C$22:$C$23</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D795-462A-B245-82E51391C05E}"/>
              </c:ext>
            </c:extLst>
          </c:dPt>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95-462A-B245-82E51391C05E}"/>
                </c:ext>
              </c:extLst>
            </c:dLbl>
            <c:numFmt formatCode="\ 00.0\ &quot;Cr&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Sales Report'!$B$24:$B$30</c:f>
              <c:strCache>
                <c:ptCount val="6"/>
                <c:pt idx="0">
                  <c:v>Jan</c:v>
                </c:pt>
                <c:pt idx="1">
                  <c:v>Feb</c:v>
                </c:pt>
                <c:pt idx="2">
                  <c:v>Mar</c:v>
                </c:pt>
                <c:pt idx="3">
                  <c:v>Apr</c:v>
                </c:pt>
                <c:pt idx="4">
                  <c:v>May</c:v>
                </c:pt>
                <c:pt idx="5">
                  <c:v>Jun</c:v>
                </c:pt>
              </c:strCache>
            </c:strRef>
          </c:cat>
          <c:val>
            <c:numRef>
              <c:f>'Executive Sales Report'!$C$24:$C$30</c:f>
              <c:numCache>
                <c:formatCode>\₹\ 00.0</c:formatCode>
                <c:ptCount val="6"/>
                <c:pt idx="0">
                  <c:v>228432040.04000002</c:v>
                </c:pt>
                <c:pt idx="1">
                  <c:v>223879956.17000002</c:v>
                </c:pt>
                <c:pt idx="2">
                  <c:v>244089451.48999995</c:v>
                </c:pt>
                <c:pt idx="3">
                  <c:v>171135898.24999988</c:v>
                </c:pt>
                <c:pt idx="4">
                  <c:v>197254824.68000007</c:v>
                </c:pt>
                <c:pt idx="5">
                  <c:v>188524104.69</c:v>
                </c:pt>
              </c:numCache>
            </c:numRef>
          </c:val>
          <c:smooth val="1"/>
          <c:extLst>
            <c:ext xmlns:c16="http://schemas.microsoft.com/office/drawing/2014/chart" uri="{C3380CC4-5D6E-409C-BE32-E72D297353CC}">
              <c16:uniqueId val="{00000000-D795-462A-B245-82E51391C05E}"/>
            </c:ext>
          </c:extLst>
        </c:ser>
        <c:ser>
          <c:idx val="1"/>
          <c:order val="1"/>
          <c:tx>
            <c:strRef>
              <c:f>'Executive Sales Report'!$D$22:$D$23</c:f>
              <c:strCache>
                <c:ptCount val="1"/>
                <c:pt idx="0">
                  <c:v>2025</c:v>
                </c:pt>
              </c:strCache>
            </c:strRef>
          </c:tx>
          <c:spPr>
            <a:ln w="28575" cap="rnd">
              <a:solidFill>
                <a:srgbClr val="920A14"/>
              </a:solidFill>
              <a:round/>
            </a:ln>
            <a:effectLst/>
          </c:spPr>
          <c:marker>
            <c:symbol val="circle"/>
            <c:size val="5"/>
            <c:spPr>
              <a:solidFill>
                <a:schemeClr val="accent2"/>
              </a:solidFill>
              <a:ln w="9525" cap="rnd">
                <a:solidFill>
                  <a:srgbClr val="920A14"/>
                </a:solidFill>
              </a:ln>
              <a:effectLst/>
            </c:spPr>
          </c:marker>
          <c:dPt>
            <c:idx val="5"/>
            <c:marker>
              <c:symbol val="circle"/>
              <c:size val="5"/>
              <c:spPr>
                <a:solidFill>
                  <a:schemeClr val="accent2"/>
                </a:solidFill>
                <a:ln w="9525" cap="rnd">
                  <a:solidFill>
                    <a:srgbClr val="920A14"/>
                  </a:solidFill>
                </a:ln>
                <a:effectLst/>
              </c:spPr>
            </c:marker>
            <c:bubble3D val="0"/>
            <c:spPr>
              <a:ln w="28575" cap="rnd">
                <a:solidFill>
                  <a:srgbClr val="920A14"/>
                </a:solidFill>
                <a:round/>
              </a:ln>
              <a:effectLst/>
            </c:spPr>
          </c:dPt>
          <c:dLbls>
            <c:dLbl>
              <c:idx val="5"/>
              <c:numFmt formatCode="00.0\ &quot;Cr&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Sales Report'!$B$24:$B$30</c:f>
              <c:strCache>
                <c:ptCount val="6"/>
                <c:pt idx="0">
                  <c:v>Jan</c:v>
                </c:pt>
                <c:pt idx="1">
                  <c:v>Feb</c:v>
                </c:pt>
                <c:pt idx="2">
                  <c:v>Mar</c:v>
                </c:pt>
                <c:pt idx="3">
                  <c:v>Apr</c:v>
                </c:pt>
                <c:pt idx="4">
                  <c:v>May</c:v>
                </c:pt>
                <c:pt idx="5">
                  <c:v>Jun</c:v>
                </c:pt>
              </c:strCache>
            </c:strRef>
          </c:cat>
          <c:val>
            <c:numRef>
              <c:f>'Executive Sales Report'!$D$24:$D$30</c:f>
              <c:numCache>
                <c:formatCode>\₹\ 00.0</c:formatCode>
                <c:ptCount val="6"/>
                <c:pt idx="0">
                  <c:v>168661529.2299999</c:v>
                </c:pt>
                <c:pt idx="1">
                  <c:v>194795477.89000002</c:v>
                </c:pt>
                <c:pt idx="2">
                  <c:v>176876182.38000003</c:v>
                </c:pt>
                <c:pt idx="3">
                  <c:v>202618891.91000018</c:v>
                </c:pt>
                <c:pt idx="4">
                  <c:v>203717917.96000007</c:v>
                </c:pt>
                <c:pt idx="5">
                  <c:v>137603762.84000006</c:v>
                </c:pt>
              </c:numCache>
            </c:numRef>
          </c:val>
          <c:smooth val="0"/>
          <c:extLst>
            <c:ext xmlns:c16="http://schemas.microsoft.com/office/drawing/2014/chart" uri="{C3380CC4-5D6E-409C-BE32-E72D297353CC}">
              <c16:uniqueId val="{00000004-1B02-4594-84A3-D08E58041B9B}"/>
            </c:ext>
          </c:extLst>
        </c:ser>
        <c:dLbls>
          <c:showLegendKey val="0"/>
          <c:showVal val="0"/>
          <c:showCatName val="0"/>
          <c:showSerName val="0"/>
          <c:showPercent val="0"/>
          <c:showBubbleSize val="0"/>
        </c:dLbls>
        <c:marker val="1"/>
        <c:smooth val="0"/>
        <c:axId val="831063328"/>
        <c:axId val="673530528"/>
      </c:lineChart>
      <c:catAx>
        <c:axId val="83106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spc="100" baseline="0">
                <a:solidFill>
                  <a:schemeClr val="tx1"/>
                </a:solidFill>
                <a:latin typeface="Segoe UI" panose="020B0502040204020203" pitchFamily="34" charset="0"/>
                <a:ea typeface="+mn-ea"/>
                <a:cs typeface="+mn-cs"/>
              </a:defRPr>
            </a:pPr>
            <a:endParaRPr lang="en-US"/>
          </a:p>
        </c:txPr>
        <c:crossAx val="673530528"/>
        <c:crosses val="autoZero"/>
        <c:auto val="1"/>
        <c:lblAlgn val="ctr"/>
        <c:lblOffset val="100"/>
        <c:noMultiLvlLbl val="0"/>
      </c:catAx>
      <c:valAx>
        <c:axId val="673530528"/>
        <c:scaling>
          <c:orientation val="minMax"/>
        </c:scaling>
        <c:delete val="0"/>
        <c:axPos val="l"/>
        <c:majorGridlines>
          <c:spPr>
            <a:ln w="9525" cap="flat" cmpd="sng" algn="ctr">
              <a:noFill/>
              <a:round/>
            </a:ln>
            <a:effectLst/>
          </c:spPr>
        </c:majorGridlines>
        <c:numFmt formatCode="00\ &quot;Cr&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mn-cs"/>
              </a:defRPr>
            </a:pPr>
            <a:endParaRPr lang="en-US"/>
          </a:p>
        </c:txPr>
        <c:crossAx val="831063328"/>
        <c:crosses val="autoZero"/>
        <c:crossBetween val="between"/>
        <c:dispUnits>
          <c:builtInUnit val="tenMillions"/>
        </c:dispUnits>
      </c:valAx>
      <c:spPr>
        <a:noFill/>
        <a:ln>
          <a:noFill/>
        </a:ln>
        <a:effectLst/>
      </c:spPr>
    </c:plotArea>
    <c:legend>
      <c:legendPos val="tr"/>
      <c:overlay val="0"/>
      <c:spPr>
        <a:noFill/>
        <a:ln>
          <a:noFill/>
        </a:ln>
        <a:effectLst/>
      </c:spPr>
      <c:txPr>
        <a:bodyPr rot="0" spcFirstLastPara="1" vertOverflow="ellipsis" vert="horz" wrap="square" anchor="ctr" anchorCtr="1"/>
        <a:lstStyle/>
        <a:p>
          <a:pPr>
            <a:defRPr sz="800" b="1" i="0" u="none" strike="noStrike" kern="1200" spc="50" baseline="0">
              <a:solidFill>
                <a:schemeClr val="tx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60000"/>
      </a:schemeClr>
    </a:solidFill>
    <a:ln w="9525" cap="rnd" cmpd="sng" algn="ctr">
      <a:solidFill>
        <a:schemeClr val="bg1">
          <a:lumMod val="50000"/>
          <a:alpha val="60000"/>
        </a:schemeClr>
      </a:solidFill>
      <a:round/>
    </a:ln>
    <a:effectLst/>
  </c:spPr>
  <c:txPr>
    <a:bodyPr/>
    <a:lstStyle/>
    <a:p>
      <a:pPr>
        <a:defRPr b="1" i="0" baseline="0">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[Escorts_Kubota_Dynamic_MIS_Sales_Dashboard.xlsx]Executive Sales Report!Region based sales</c:name>
    <c:fmtId val="2"/>
  </c:pivotSource>
  <c:chart>
    <c:title>
      <c:tx>
        <c:rich>
          <a:bodyPr rot="0" spcFirstLastPara="1" vertOverflow="ellipsis" vert="horz" wrap="square" anchor="ctr" anchorCtr="1"/>
          <a:lstStyle/>
          <a:p>
            <a:pPr algn="ctr" rtl="0">
              <a:defRPr lang="en-US" sz="1800" b="1" i="0" u="none" strike="noStrike" kern="1200" spc="50" baseline="0">
                <a:solidFill>
                  <a:srgbClr val="002060"/>
                </a:solidFill>
                <a:latin typeface="+mn-lt"/>
                <a:ea typeface="+mn-ea"/>
                <a:cs typeface="+mn-cs"/>
              </a:defRPr>
            </a:pPr>
            <a:r>
              <a:rPr lang="en-US" sz="1800" b="1" i="0" u="none" strike="noStrike" kern="1200" spc="50" baseline="0">
                <a:solidFill>
                  <a:srgbClr val="002060"/>
                </a:solidFill>
                <a:latin typeface="+mn-lt"/>
                <a:ea typeface="+mn-ea"/>
                <a:cs typeface="+mn-cs"/>
              </a:rPr>
              <a:t> Gross vs Net Sales by Region</a:t>
            </a:r>
          </a:p>
        </c:rich>
      </c:tx>
      <c:layout>
        <c:manualLayout>
          <c:xMode val="edge"/>
          <c:yMode val="edge"/>
          <c:x val="0.13741846316192505"/>
          <c:y val="2.0086689163854518E-2"/>
        </c:manualLayout>
      </c:layout>
      <c:overlay val="0"/>
      <c:spPr>
        <a:solidFill>
          <a:schemeClr val="bg1">
            <a:lumMod val="95000"/>
            <a:alpha val="60000"/>
          </a:schemeClr>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00.0\ " sourceLinked="0"/>
          <c:spPr>
            <a:noFill/>
            <a:ln>
              <a:noFill/>
            </a:ln>
            <a:effectLst/>
          </c:spPr>
          <c:txPr>
            <a:bodyPr rot="0" spcFirstLastPara="1" vertOverflow="overflow" horzOverflow="overflow" vert="horz" wrap="square" lIns="38100" tIns="19050" rIns="274320" bIns="19050" anchor="ctr" anchorCtr="1">
              <a:spAutoFit/>
            </a:bodyPr>
            <a:lstStyle/>
            <a:p>
              <a:pPr>
                <a:defRPr sz="900" b="1" i="0" u="none" strike="noStrike" kern="1200" spc="50" baseline="0">
                  <a:solidFill>
                    <a:schemeClr val="tx1"/>
                  </a:solidFill>
                  <a:latin typeface="Segoe UI" panose="020B0502040204020203" pitchFamily="34" charset="0"/>
                  <a:ea typeface="+mn-ea"/>
                  <a:cs typeface="Assistant ExtraBold" pitchFamily="2" charset="-79"/>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91440" tIns="19050" rIns="0" bIns="19050" anchor="t" anchorCtr="0">
              <a:spAutoFit/>
            </a:bodyPr>
            <a:lstStyle/>
            <a:p>
              <a:pPr>
                <a:defRPr sz="950" b="1" i="0" u="none" strike="noStrike" kern="1200" spc="100" baseline="0">
                  <a:solidFill>
                    <a:srgbClr val="002060"/>
                  </a:solidFill>
                  <a:latin typeface="+mn-lt"/>
                  <a:ea typeface="+mn-ea"/>
                  <a:cs typeface="Assistant ExtraBold" pitchFamily="2" charset="-79"/>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pivotFmt>
      <c:pivotFmt>
        <c:idx val="7"/>
      </c:pivotFmt>
      <c:pivotFmt>
        <c:idx val="8"/>
      </c:pivotFmt>
      <c:pivotFmt>
        <c:idx val="9"/>
      </c:pivotFmt>
    </c:pivotFmts>
    <c:plotArea>
      <c:layout>
        <c:manualLayout>
          <c:layoutTarget val="inner"/>
          <c:xMode val="edge"/>
          <c:yMode val="edge"/>
          <c:x val="0.13945283040915701"/>
          <c:y val="0.18419608549596386"/>
          <c:w val="0.70961224739578532"/>
          <c:h val="0.67350226400658386"/>
        </c:manualLayout>
      </c:layout>
      <c:barChart>
        <c:barDir val="col"/>
        <c:grouping val="clustered"/>
        <c:varyColors val="0"/>
        <c:ser>
          <c:idx val="0"/>
          <c:order val="0"/>
          <c:tx>
            <c:strRef>
              <c:f>'Executive Sales Report'!$C$33</c:f>
              <c:strCache>
                <c:ptCount val="1"/>
                <c:pt idx="0">
                  <c:v>Sum of Gross Amount</c:v>
                </c:pt>
              </c:strCache>
            </c:strRef>
          </c:tx>
          <c:spPr>
            <a:solidFill>
              <a:schemeClr val="accent1"/>
            </a:solidFill>
            <a:ln>
              <a:noFill/>
            </a:ln>
            <a:effectLst/>
          </c:spPr>
          <c:invertIfNegative val="0"/>
          <c:dLbls>
            <c:numFmt formatCode="\ 00.0\ " sourceLinked="0"/>
            <c:spPr>
              <a:noFill/>
              <a:ln>
                <a:noFill/>
              </a:ln>
              <a:effectLst/>
            </c:spPr>
            <c:txPr>
              <a:bodyPr rot="0" spcFirstLastPara="1" vertOverflow="overflow" horzOverflow="overflow" vert="horz" wrap="square" lIns="38100" tIns="19050" rIns="274320" bIns="19050" anchor="ctr" anchorCtr="1">
                <a:spAutoFit/>
              </a:bodyPr>
              <a:lstStyle/>
              <a:p>
                <a:pPr>
                  <a:defRPr sz="900" b="1" i="0" u="none" strike="noStrike" kern="1200" spc="50" baseline="0">
                    <a:solidFill>
                      <a:schemeClr val="tx1"/>
                    </a:solidFill>
                    <a:latin typeface="Segoe UI" panose="020B0502040204020203" pitchFamily="34" charset="0"/>
                    <a:ea typeface="+mn-ea"/>
                    <a:cs typeface="Assistant ExtraBold" pitchFamily="2" charset="-79"/>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'Executive Sales Report'!$B$34:$B$38</c:f>
              <c:strCache>
                <c:ptCount val="4"/>
                <c:pt idx="0">
                  <c:v>East</c:v>
                </c:pt>
                <c:pt idx="1">
                  <c:v>North</c:v>
                </c:pt>
                <c:pt idx="2">
                  <c:v>South</c:v>
                </c:pt>
                <c:pt idx="3">
                  <c:v>West</c:v>
                </c:pt>
              </c:strCache>
            </c:strRef>
          </c:cat>
          <c:val>
            <c:numRef>
              <c:f>'Executive Sales Report'!$C$34:$C$38</c:f>
              <c:numCache>
                <c:formatCode>\₹\ 00.0</c:formatCode>
                <c:ptCount val="4"/>
                <c:pt idx="0">
                  <c:v>859612610</c:v>
                </c:pt>
                <c:pt idx="1">
                  <c:v>1684832443</c:v>
                </c:pt>
                <c:pt idx="2">
                  <c:v>725339193</c:v>
                </c:pt>
                <c:pt idx="3">
                  <c:v>816612672</c:v>
                </c:pt>
              </c:numCache>
            </c:numRef>
          </c:val>
          <c:extLst>
            <c:ext xmlns:c16="http://schemas.microsoft.com/office/drawing/2014/chart" uri="{C3380CC4-5D6E-409C-BE32-E72D297353CC}">
              <c16:uniqueId val="{00000000-C260-46A3-9ABE-594707C5217A}"/>
            </c:ext>
          </c:extLst>
        </c:ser>
        <c:ser>
          <c:idx val="1"/>
          <c:order val="1"/>
          <c:tx>
            <c:strRef>
              <c:f>'Executive Sales Report'!$D$33</c:f>
              <c:strCache>
                <c:ptCount val="1"/>
                <c:pt idx="0">
                  <c:v>Sum of Net Sales Amount</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91440" tIns="19050" rIns="0" bIns="19050" anchor="t" anchorCtr="0">
                <a:spAutoFit/>
              </a:bodyPr>
              <a:lstStyle/>
              <a:p>
                <a:pPr>
                  <a:defRPr sz="950" b="1" i="0" u="none" strike="noStrike" kern="1200" spc="100" baseline="0">
                    <a:solidFill>
                      <a:srgbClr val="002060"/>
                    </a:solidFill>
                    <a:latin typeface="+mn-lt"/>
                    <a:ea typeface="+mn-ea"/>
                    <a:cs typeface="Assistant ExtraBold" pitchFamily="2" charset="-79"/>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'Executive Sales Report'!$B$34:$B$38</c:f>
              <c:strCache>
                <c:ptCount val="4"/>
                <c:pt idx="0">
                  <c:v>East</c:v>
                </c:pt>
                <c:pt idx="1">
                  <c:v>North</c:v>
                </c:pt>
                <c:pt idx="2">
                  <c:v>South</c:v>
                </c:pt>
                <c:pt idx="3">
                  <c:v>West</c:v>
                </c:pt>
              </c:strCache>
            </c:strRef>
          </c:cat>
          <c:val>
            <c:numRef>
              <c:f>'Executive Sales Report'!$D$34:$D$38</c:f>
              <c:numCache>
                <c:formatCode>\₹\ 00.0</c:formatCode>
                <c:ptCount val="4"/>
                <c:pt idx="0">
                  <c:v>793488412.72999942</c:v>
                </c:pt>
                <c:pt idx="1">
                  <c:v>1558800068.5900004</c:v>
                </c:pt>
                <c:pt idx="2">
                  <c:v>670727914.01999998</c:v>
                </c:pt>
                <c:pt idx="3">
                  <c:v>755010488.86000097</c:v>
                </c:pt>
              </c:numCache>
            </c:numRef>
          </c:val>
          <c:extLst>
            <c:ext xmlns:c16="http://schemas.microsoft.com/office/drawing/2014/chart" uri="{C3380CC4-5D6E-409C-BE32-E72D297353CC}">
              <c16:uniqueId val="{00000001-C260-46A3-9ABE-594707C5217A}"/>
            </c:ext>
          </c:extLst>
        </c:ser>
        <c:dLbls>
          <c:showLegendKey val="0"/>
          <c:showVal val="0"/>
          <c:showCatName val="0"/>
          <c:showSerName val="0"/>
          <c:showPercent val="0"/>
          <c:showBubbleSize val="0"/>
        </c:dLbls>
        <c:gapWidth val="219"/>
        <c:overlap val="-27"/>
        <c:axId val="726161312"/>
        <c:axId val="673532448"/>
      </c:barChart>
      <c:catAx>
        <c:axId val="72616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spc="100" baseline="0">
                <a:solidFill>
                  <a:schemeClr val="tx1"/>
                </a:solidFill>
                <a:latin typeface="Segoe UI" panose="020B0502040204020203" pitchFamily="34" charset="0"/>
                <a:ea typeface="+mn-ea"/>
                <a:cs typeface="Assistant ExtraBold" pitchFamily="2" charset="-79"/>
              </a:defRPr>
            </a:pPr>
            <a:endParaRPr lang="en-US"/>
          </a:p>
        </c:txPr>
        <c:crossAx val="673532448"/>
        <c:crosses val="autoZero"/>
        <c:auto val="1"/>
        <c:lblAlgn val="ctr"/>
        <c:lblOffset val="100"/>
        <c:noMultiLvlLbl val="0"/>
      </c:catAx>
      <c:valAx>
        <c:axId val="673532448"/>
        <c:scaling>
          <c:orientation val="minMax"/>
        </c:scaling>
        <c:delete val="0"/>
        <c:axPos val="l"/>
        <c:majorGridlines>
          <c:spPr>
            <a:ln w="9525" cap="flat" cmpd="sng" algn="ctr">
              <a:noFill/>
              <a:round/>
            </a:ln>
            <a:effectLst/>
          </c:spPr>
        </c:majorGridlines>
        <c:numFmt formatCode="00\ &quot;Cr&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Assistant ExtraBold" pitchFamily="2" charset="-79"/>
              </a:defRPr>
            </a:pPr>
            <a:endParaRPr lang="en-US"/>
          </a:p>
        </c:txPr>
        <c:crossAx val="726161312"/>
        <c:crosses val="autoZero"/>
        <c:crossBetween val="between"/>
        <c:dispUnits>
          <c:builtInUnit val="tenMillions"/>
        </c:dispUnits>
      </c:valAx>
      <c:spPr>
        <a:noFill/>
        <a:ln>
          <a:noFill/>
        </a:ln>
        <a:effectLst/>
      </c:spPr>
    </c:plotArea>
    <c:legend>
      <c:legendPos val="r"/>
      <c:layout>
        <c:manualLayout>
          <c:xMode val="edge"/>
          <c:yMode val="edge"/>
          <c:x val="0.76817594655320209"/>
          <c:y val="0.14228871391076117"/>
          <c:w val="0.22739849305123591"/>
          <c:h val="0.21575081726170151"/>
        </c:manualLayout>
      </c:layout>
      <c:overlay val="1"/>
      <c:spPr>
        <a:noFill/>
        <a:ln>
          <a:noFill/>
        </a:ln>
        <a:effectLst/>
      </c:spPr>
      <c:txPr>
        <a:bodyPr rot="0" spcFirstLastPara="1" vertOverflow="ellipsis" vert="horz" wrap="square" anchor="ctr" anchorCtr="1"/>
        <a:lstStyle/>
        <a:p>
          <a:pPr>
            <a:defRPr lang="en-US" sz="800" b="1" i="0" u="none" strike="noStrike" kern="1200" spc="100" baseline="0">
              <a:solidFill>
                <a:schemeClr val="tx1"/>
              </a:solidFill>
              <a:latin typeface="Segoe UI" panose="020B0502040204020203" pitchFamily="34" charset="0"/>
              <a:ea typeface="+mn-ea"/>
              <a:cs typeface="Assistant ExtraBold" pitchFamily="2" charset="-79"/>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60000"/>
      </a:schemeClr>
    </a:solidFill>
    <a:ln w="9525" cap="rnd" cmpd="sng" algn="ctr">
      <a:solidFill>
        <a:schemeClr val="bg1">
          <a:lumMod val="65000"/>
          <a:alpha val="60000"/>
        </a:schemeClr>
      </a:solidFill>
      <a:round/>
    </a:ln>
    <a:effectLst/>
  </c:spPr>
  <c:txPr>
    <a:bodyPr/>
    <a:lstStyle/>
    <a:p>
      <a:pPr>
        <a:defRPr sz="800" b="1" i="0" baseline="0">
          <a:solidFill>
            <a:schemeClr val="tx1">
              <a:lumMod val="85000"/>
              <a:lumOff val="15000"/>
            </a:schemeClr>
          </a:solidFill>
          <a:cs typeface="Assistant ExtraBold" pitchFamily="2" charset="-79"/>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[Escorts_Kubota_Dynamic_MIS_Sales_Dashboard.xlsx]Executive Sales Report!Sales by region and city (Cr)</c:name>
    <c:fmtId val="2"/>
  </c:pivotSource>
  <c:chart>
    <c:title>
      <c:tx>
        <c:rich>
          <a:bodyPr rot="0" spcFirstLastPara="1" vertOverflow="ellipsis" vert="horz" wrap="square" anchor="ctr" anchorCtr="1"/>
          <a:lstStyle/>
          <a:p>
            <a:pPr algn="ctr" rtl="0">
              <a:defRPr lang="en-US" sz="1800" b="1" i="0" u="none" strike="noStrike" kern="1200" spc="50" baseline="0">
                <a:solidFill>
                  <a:srgbClr val="002060"/>
                </a:solidFill>
                <a:latin typeface="+mn-lt"/>
                <a:ea typeface="+mn-ea"/>
                <a:cs typeface="+mn-cs"/>
              </a:defRPr>
            </a:pPr>
            <a:r>
              <a:rPr lang="en-US" sz="1800" b="1" i="0" u="none" strike="noStrike" kern="1200" spc="50" baseline="0">
                <a:solidFill>
                  <a:srgbClr val="002060"/>
                </a:solidFill>
                <a:latin typeface="+mn-lt"/>
                <a:ea typeface="+mn-ea"/>
                <a:cs typeface="+mn-cs"/>
              </a:rPr>
              <a:t>Net Sales by City</a:t>
            </a:r>
          </a:p>
        </c:rich>
      </c:tx>
      <c:layout>
        <c:manualLayout>
          <c:xMode val="edge"/>
          <c:yMode val="edge"/>
          <c:x val="0.28810114495849398"/>
          <c:y val="5.045717450466986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5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a:solidFill>
              <a:schemeClr val="tx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a:solidFill>
              <a:srgbClr val="920A14"/>
            </a:solidFill>
          </a:ln>
          <a:effectLst/>
        </c:spPr>
        <c:marker>
          <c:symbol val="none"/>
        </c:marker>
        <c:dLbl>
          <c:idx val="0"/>
          <c:spPr>
            <a:noFill/>
            <a:ln>
              <a:noFill/>
            </a:ln>
            <a:effectLst/>
          </c:spPr>
          <c:txPr>
            <a:bodyPr rot="0" spcFirstLastPara="1" vertOverflow="ellipsis"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8100">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810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810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8100">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81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25890438802011E-2"/>
          <c:y val="0.17662187042111724"/>
          <c:w val="0.61226146078877675"/>
          <c:h val="0.67779855493716867"/>
        </c:manualLayout>
      </c:layout>
      <c:barChart>
        <c:barDir val="bar"/>
        <c:grouping val="clustered"/>
        <c:varyColors val="0"/>
        <c:ser>
          <c:idx val="0"/>
          <c:order val="0"/>
          <c:tx>
            <c:strRef>
              <c:f>'Executive Sales Report'!$K$2:$K$3</c:f>
              <c:strCache>
                <c:ptCount val="1"/>
                <c:pt idx="0">
                  <c:v>East</c:v>
                </c:pt>
              </c:strCache>
            </c:strRef>
          </c:tx>
          <c:spPr>
            <a:solidFill>
              <a:schemeClr val="accent1"/>
            </a:solidFill>
            <a:ln w="3810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Sales Report'!$J$4:$J$9</c:f>
              <c:strCache>
                <c:ptCount val="5"/>
                <c:pt idx="0">
                  <c:v>Bengaluru</c:v>
                </c:pt>
                <c:pt idx="1">
                  <c:v>Gurugram</c:v>
                </c:pt>
                <c:pt idx="2">
                  <c:v>Kolkata</c:v>
                </c:pt>
                <c:pt idx="3">
                  <c:v>Lucknow</c:v>
                </c:pt>
                <c:pt idx="4">
                  <c:v>Pune</c:v>
                </c:pt>
              </c:strCache>
            </c:strRef>
          </c:cat>
          <c:val>
            <c:numRef>
              <c:f>'Executive Sales Report'!$K$4:$K$9</c:f>
              <c:numCache>
                <c:formatCode>0.0\ "Cr"</c:formatCode>
                <c:ptCount val="5"/>
                <c:pt idx="2">
                  <c:v>79.348841273000005</c:v>
                </c:pt>
              </c:numCache>
            </c:numRef>
          </c:val>
          <c:extLst>
            <c:ext xmlns:c16="http://schemas.microsoft.com/office/drawing/2014/chart" uri="{C3380CC4-5D6E-409C-BE32-E72D297353CC}">
              <c16:uniqueId val="{00000000-6CC6-46E7-95EF-10C89F4C1788}"/>
            </c:ext>
          </c:extLst>
        </c:ser>
        <c:ser>
          <c:idx val="1"/>
          <c:order val="1"/>
          <c:tx>
            <c:strRef>
              <c:f>'Executive Sales Report'!$L$2:$L$3</c:f>
              <c:strCache>
                <c:ptCount val="1"/>
                <c:pt idx="0">
                  <c:v>North</c:v>
                </c:pt>
              </c:strCache>
            </c:strRef>
          </c:tx>
          <c:spPr>
            <a:solidFill>
              <a:schemeClr val="accent2"/>
            </a:solidFill>
            <a:ln w="38100">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Sales Report'!$J$4:$J$9</c:f>
              <c:strCache>
                <c:ptCount val="5"/>
                <c:pt idx="0">
                  <c:v>Bengaluru</c:v>
                </c:pt>
                <c:pt idx="1">
                  <c:v>Gurugram</c:v>
                </c:pt>
                <c:pt idx="2">
                  <c:v>Kolkata</c:v>
                </c:pt>
                <c:pt idx="3">
                  <c:v>Lucknow</c:v>
                </c:pt>
                <c:pt idx="4">
                  <c:v>Pune</c:v>
                </c:pt>
              </c:strCache>
            </c:strRef>
          </c:cat>
          <c:val>
            <c:numRef>
              <c:f>'Executive Sales Report'!$L$4:$L$9</c:f>
              <c:numCache>
                <c:formatCode>0.0\ "Cr"</c:formatCode>
                <c:ptCount val="5"/>
                <c:pt idx="1">
                  <c:v>77.345771859000024</c:v>
                </c:pt>
                <c:pt idx="3">
                  <c:v>78.534235000000052</c:v>
                </c:pt>
              </c:numCache>
            </c:numRef>
          </c:val>
          <c:extLst>
            <c:ext xmlns:c16="http://schemas.microsoft.com/office/drawing/2014/chart" uri="{C3380CC4-5D6E-409C-BE32-E72D297353CC}">
              <c16:uniqueId val="{00000010-E818-430E-82D2-5AC714918A84}"/>
            </c:ext>
          </c:extLst>
        </c:ser>
        <c:ser>
          <c:idx val="2"/>
          <c:order val="2"/>
          <c:tx>
            <c:strRef>
              <c:f>'Executive Sales Report'!$M$2:$M$3</c:f>
              <c:strCache>
                <c:ptCount val="1"/>
                <c:pt idx="0">
                  <c:v>South</c:v>
                </c:pt>
              </c:strCache>
            </c:strRef>
          </c:tx>
          <c:spPr>
            <a:solidFill>
              <a:schemeClr val="accent3"/>
            </a:solidFill>
            <a:ln w="38100">
              <a:solidFill>
                <a:schemeClr val="accent3"/>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Sales Report'!$J$4:$J$9</c:f>
              <c:strCache>
                <c:ptCount val="5"/>
                <c:pt idx="0">
                  <c:v>Bengaluru</c:v>
                </c:pt>
                <c:pt idx="1">
                  <c:v>Gurugram</c:v>
                </c:pt>
                <c:pt idx="2">
                  <c:v>Kolkata</c:v>
                </c:pt>
                <c:pt idx="3">
                  <c:v>Lucknow</c:v>
                </c:pt>
                <c:pt idx="4">
                  <c:v>Pune</c:v>
                </c:pt>
              </c:strCache>
            </c:strRef>
          </c:cat>
          <c:val>
            <c:numRef>
              <c:f>'Executive Sales Report'!$M$4:$M$9</c:f>
              <c:numCache>
                <c:formatCode>0.0\ "Cr"</c:formatCode>
                <c:ptCount val="5"/>
                <c:pt idx="0">
                  <c:v>67.072791402000021</c:v>
                </c:pt>
              </c:numCache>
            </c:numRef>
          </c:val>
          <c:extLst>
            <c:ext xmlns:c16="http://schemas.microsoft.com/office/drawing/2014/chart" uri="{C3380CC4-5D6E-409C-BE32-E72D297353CC}">
              <c16:uniqueId val="{00000011-E818-430E-82D2-5AC714918A84}"/>
            </c:ext>
          </c:extLst>
        </c:ser>
        <c:ser>
          <c:idx val="3"/>
          <c:order val="3"/>
          <c:tx>
            <c:strRef>
              <c:f>'Executive Sales Report'!$N$2:$N$3</c:f>
              <c:strCache>
                <c:ptCount val="1"/>
                <c:pt idx="0">
                  <c:v>West</c:v>
                </c:pt>
              </c:strCache>
            </c:strRef>
          </c:tx>
          <c:spPr>
            <a:solidFill>
              <a:schemeClr val="accent4"/>
            </a:solidFill>
            <a:ln w="38100">
              <a:solidFill>
                <a:schemeClr val="accent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Sales Report'!$J$4:$J$9</c:f>
              <c:strCache>
                <c:ptCount val="5"/>
                <c:pt idx="0">
                  <c:v>Bengaluru</c:v>
                </c:pt>
                <c:pt idx="1">
                  <c:v>Gurugram</c:v>
                </c:pt>
                <c:pt idx="2">
                  <c:v>Kolkata</c:v>
                </c:pt>
                <c:pt idx="3">
                  <c:v>Lucknow</c:v>
                </c:pt>
                <c:pt idx="4">
                  <c:v>Pune</c:v>
                </c:pt>
              </c:strCache>
            </c:strRef>
          </c:cat>
          <c:val>
            <c:numRef>
              <c:f>'Executive Sales Report'!$N$4:$N$9</c:f>
              <c:numCache>
                <c:formatCode>0.0\ "Cr"</c:formatCode>
                <c:ptCount val="5"/>
                <c:pt idx="4">
                  <c:v>75.501048885999964</c:v>
                </c:pt>
              </c:numCache>
            </c:numRef>
          </c:val>
          <c:extLst>
            <c:ext xmlns:c16="http://schemas.microsoft.com/office/drawing/2014/chart" uri="{C3380CC4-5D6E-409C-BE32-E72D297353CC}">
              <c16:uniqueId val="{00000012-E818-430E-82D2-5AC714918A84}"/>
            </c:ext>
          </c:extLst>
        </c:ser>
        <c:dLbls>
          <c:showLegendKey val="0"/>
          <c:showVal val="0"/>
          <c:showCatName val="0"/>
          <c:showSerName val="0"/>
          <c:showPercent val="0"/>
          <c:showBubbleSize val="0"/>
        </c:dLbls>
        <c:gapWidth val="336"/>
        <c:overlap val="80"/>
        <c:axId val="767971023"/>
        <c:axId val="610426143"/>
      </c:barChart>
      <c:catAx>
        <c:axId val="76797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spc="50" baseline="0">
                <a:solidFill>
                  <a:schemeClr val="tx1"/>
                </a:solidFill>
                <a:latin typeface="Segoe UI" panose="020B0502040204020203" pitchFamily="34" charset="0"/>
                <a:ea typeface="+mn-ea"/>
                <a:cs typeface="+mn-cs"/>
              </a:defRPr>
            </a:pPr>
            <a:endParaRPr lang="en-US"/>
          </a:p>
        </c:txPr>
        <c:crossAx val="610426143"/>
        <c:crossesAt val="40"/>
        <c:auto val="1"/>
        <c:lblAlgn val="ctr"/>
        <c:lblOffset val="100"/>
        <c:noMultiLvlLbl val="0"/>
      </c:catAx>
      <c:valAx>
        <c:axId val="610426143"/>
        <c:scaling>
          <c:orientation val="minMax"/>
          <c:max val="80"/>
          <c:min val="0"/>
        </c:scaling>
        <c:delete val="0"/>
        <c:axPos val="b"/>
        <c:majorGridlines>
          <c:spPr>
            <a:ln w="9525" cap="flat" cmpd="sng" algn="ctr">
              <a:noFill/>
              <a:round/>
            </a:ln>
            <a:effectLst/>
          </c:spPr>
        </c:majorGridlines>
        <c:numFmt formatCode="0.0\ &quot;Cr&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chemeClr val="tx1"/>
                </a:solidFill>
                <a:latin typeface="Segoe UI" panose="020B0502040204020203" pitchFamily="34" charset="0"/>
                <a:ea typeface="+mn-ea"/>
                <a:cs typeface="+mn-cs"/>
              </a:defRPr>
            </a:pPr>
            <a:endParaRPr lang="en-US"/>
          </a:p>
        </c:txPr>
        <c:crossAx val="767971023"/>
        <c:crosses val="autoZero"/>
        <c:crossBetween val="between"/>
        <c:majorUnit val="20"/>
        <c:minorUnit val="2"/>
      </c:valAx>
      <c:spPr>
        <a:noFill/>
        <a:ln>
          <a:noFill/>
        </a:ln>
        <a:effectLst/>
      </c:spPr>
    </c:plotArea>
    <c:legend>
      <c:legendPos val="r"/>
      <c:layout>
        <c:manualLayout>
          <c:xMode val="edge"/>
          <c:yMode val="edge"/>
          <c:x val="0.83353700375595108"/>
          <c:y val="0.17269309108523284"/>
          <c:w val="0.12615464580783151"/>
          <c:h val="0.24208599969952274"/>
        </c:manualLayout>
      </c:layout>
      <c:overlay val="0"/>
      <c:spPr>
        <a:noFill/>
        <a:ln>
          <a:noFill/>
        </a:ln>
        <a:effectLst/>
      </c:spPr>
      <c:txPr>
        <a:bodyPr rot="0" spcFirstLastPara="1" vertOverflow="ellipsis" vert="horz" wrap="square" anchor="ctr" anchorCtr="1"/>
        <a:lstStyle/>
        <a:p>
          <a:pPr>
            <a:defRPr sz="850" b="1" i="0" u="none" strike="noStrike" kern="1200" spc="30" baseline="0">
              <a:solidFill>
                <a:schemeClr val="tx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60000"/>
      </a:schemeClr>
    </a:solidFill>
    <a:ln w="9525" cap="flat" cmpd="sng" algn="ctr">
      <a:solidFill>
        <a:schemeClr val="bg1">
          <a:lumMod val="65000"/>
          <a:alpha val="60000"/>
        </a:schemeClr>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image" Target="../media/image8.jpe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7.jpeg"/><Relationship Id="rId5" Type="http://schemas.openxmlformats.org/officeDocument/2006/relationships/image" Target="../media/image4.svg"/><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10.svg"/><Relationship Id="rId3" Type="http://schemas.openxmlformats.org/officeDocument/2006/relationships/chart" Target="../charts/chart7.xml"/><Relationship Id="rId7" Type="http://schemas.openxmlformats.org/officeDocument/2006/relationships/image" Target="../media/image9.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795338</xdr:colOff>
      <xdr:row>8</xdr:row>
      <xdr:rowOff>59531</xdr:rowOff>
    </xdr:from>
    <xdr:to>
      <xdr:col>8</xdr:col>
      <xdr:colOff>476251</xdr:colOff>
      <xdr:row>27</xdr:row>
      <xdr:rowOff>130969</xdr:rowOff>
    </xdr:to>
    <xdr:graphicFrame macro="">
      <xdr:nvGraphicFramePr>
        <xdr:cNvPr id="3" name="Chart 2">
          <a:extLst>
            <a:ext uri="{FF2B5EF4-FFF2-40B4-BE49-F238E27FC236}">
              <a16:creationId xmlns:a16="http://schemas.microsoft.com/office/drawing/2014/main" id="{7047E2C0-56C7-4DE3-A6A3-A5722B211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19050</xdr:colOff>
      <xdr:row>6</xdr:row>
      <xdr:rowOff>45244</xdr:rowOff>
    </xdr:from>
    <xdr:to>
      <xdr:col>4</xdr:col>
      <xdr:colOff>257174</xdr:colOff>
      <xdr:row>7</xdr:row>
      <xdr:rowOff>2380</xdr:rowOff>
    </xdr:to>
    <xdr:pic>
      <xdr:nvPicPr>
        <xdr:cNvPr id="9" name="Graphic 8" descr="Money with solid fill">
          <a:extLst>
            <a:ext uri="{FF2B5EF4-FFF2-40B4-BE49-F238E27FC236}">
              <a16:creationId xmlns:a16="http://schemas.microsoft.com/office/drawing/2014/main" id="{BFAC7226-4D5E-4ECD-820D-EB70D5F3B80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47850" y="1092994"/>
          <a:ext cx="238124" cy="364331"/>
        </a:xfrm>
        <a:prstGeom prst="rect">
          <a:avLst/>
        </a:prstGeom>
      </xdr:spPr>
    </xdr:pic>
    <xdr:clientData/>
  </xdr:twoCellAnchor>
  <xdr:twoCellAnchor editAs="oneCell">
    <xdr:from>
      <xdr:col>8</xdr:col>
      <xdr:colOff>30958</xdr:colOff>
      <xdr:row>5</xdr:row>
      <xdr:rowOff>219074</xdr:rowOff>
    </xdr:from>
    <xdr:to>
      <xdr:col>8</xdr:col>
      <xdr:colOff>381000</xdr:colOff>
      <xdr:row>8</xdr:row>
      <xdr:rowOff>11906</xdr:rowOff>
    </xdr:to>
    <xdr:pic>
      <xdr:nvPicPr>
        <xdr:cNvPr id="10" name="Graphic 9" descr="Delivery with solid fill">
          <a:extLst>
            <a:ext uri="{FF2B5EF4-FFF2-40B4-BE49-F238E27FC236}">
              <a16:creationId xmlns:a16="http://schemas.microsoft.com/office/drawing/2014/main" id="{CBFC65B1-4FA9-4045-9E7B-017212E5043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210302" y="1100137"/>
          <a:ext cx="350042" cy="435769"/>
        </a:xfrm>
        <a:prstGeom prst="rect">
          <a:avLst/>
        </a:prstGeom>
      </xdr:spPr>
    </xdr:pic>
    <xdr:clientData/>
  </xdr:twoCellAnchor>
  <xdr:twoCellAnchor editAs="oneCell">
    <xdr:from>
      <xdr:col>12</xdr:col>
      <xdr:colOff>107157</xdr:colOff>
      <xdr:row>6</xdr:row>
      <xdr:rowOff>42863</xdr:rowOff>
    </xdr:from>
    <xdr:to>
      <xdr:col>12</xdr:col>
      <xdr:colOff>361951</xdr:colOff>
      <xdr:row>6</xdr:row>
      <xdr:rowOff>388143</xdr:rowOff>
    </xdr:to>
    <xdr:pic>
      <xdr:nvPicPr>
        <xdr:cNvPr id="11" name="Graphic 10" descr="Tax with solid fill">
          <a:extLst>
            <a:ext uri="{FF2B5EF4-FFF2-40B4-BE49-F238E27FC236}">
              <a16:creationId xmlns:a16="http://schemas.microsoft.com/office/drawing/2014/main" id="{F5E90225-68D9-48D5-8BCF-F666756258B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403432" y="1090613"/>
          <a:ext cx="254794" cy="347662"/>
        </a:xfrm>
        <a:prstGeom prst="rect">
          <a:avLst/>
        </a:prstGeom>
      </xdr:spPr>
    </xdr:pic>
    <xdr:clientData/>
  </xdr:twoCellAnchor>
  <xdr:twoCellAnchor>
    <xdr:from>
      <xdr:col>8</xdr:col>
      <xdr:colOff>552789</xdr:colOff>
      <xdr:row>8</xdr:row>
      <xdr:rowOff>62741</xdr:rowOff>
    </xdr:from>
    <xdr:to>
      <xdr:col>13</xdr:col>
      <xdr:colOff>47625</xdr:colOff>
      <xdr:row>28</xdr:row>
      <xdr:rowOff>5101</xdr:rowOff>
    </xdr:to>
    <xdr:graphicFrame macro="">
      <xdr:nvGraphicFramePr>
        <xdr:cNvPr id="17" name="Chart 16">
          <a:extLst>
            <a:ext uri="{FF2B5EF4-FFF2-40B4-BE49-F238E27FC236}">
              <a16:creationId xmlns:a16="http://schemas.microsoft.com/office/drawing/2014/main" id="{D98E0BC1-B42C-4249-8B1A-5E17B348A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762002</xdr:colOff>
      <xdr:row>28</xdr:row>
      <xdr:rowOff>35719</xdr:rowOff>
    </xdr:from>
    <xdr:to>
      <xdr:col>8</xdr:col>
      <xdr:colOff>476250</xdr:colOff>
      <xdr:row>47</xdr:row>
      <xdr:rowOff>83344</xdr:rowOff>
    </xdr:to>
    <xdr:graphicFrame macro="">
      <xdr:nvGraphicFramePr>
        <xdr:cNvPr id="19" name="Chart 18">
          <a:extLst>
            <a:ext uri="{FF2B5EF4-FFF2-40B4-BE49-F238E27FC236}">
              <a16:creationId xmlns:a16="http://schemas.microsoft.com/office/drawing/2014/main" id="{AE1176F6-737A-43C0-A961-246FF1CFF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559592</xdr:colOff>
      <xdr:row>28</xdr:row>
      <xdr:rowOff>35718</xdr:rowOff>
    </xdr:from>
    <xdr:to>
      <xdr:col>13</xdr:col>
      <xdr:colOff>83343</xdr:colOff>
      <xdr:row>47</xdr:row>
      <xdr:rowOff>35719</xdr:rowOff>
    </xdr:to>
    <xdr:graphicFrame macro="">
      <xdr:nvGraphicFramePr>
        <xdr:cNvPr id="21" name="Chart 20">
          <a:extLst>
            <a:ext uri="{FF2B5EF4-FFF2-40B4-BE49-F238E27FC236}">
              <a16:creationId xmlns:a16="http://schemas.microsoft.com/office/drawing/2014/main" id="{1CB70ADF-050A-4672-9509-9660D0468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71438</xdr:colOff>
      <xdr:row>27</xdr:row>
      <xdr:rowOff>35718</xdr:rowOff>
    </xdr:from>
    <xdr:to>
      <xdr:col>3</xdr:col>
      <xdr:colOff>714377</xdr:colOff>
      <xdr:row>42</xdr:row>
      <xdr:rowOff>35718</xdr:rowOff>
    </xdr:to>
    <mc:AlternateContent xmlns:mc="http://schemas.openxmlformats.org/markup-compatibility/2006" xmlns:a14="http://schemas.microsoft.com/office/drawing/2010/main">
      <mc:Choice Requires="a14">
        <xdr:graphicFrame macro="">
          <xdr:nvGraphicFramePr>
            <xdr:cNvPr id="23" name="Tractor Model">
              <a:extLst>
                <a:ext uri="{FF2B5EF4-FFF2-40B4-BE49-F238E27FC236}">
                  <a16:creationId xmlns:a16="http://schemas.microsoft.com/office/drawing/2014/main" id="{DA0D064A-8E28-4443-EE30-7A3C7CC423C2}"/>
                </a:ext>
              </a:extLst>
            </xdr:cNvPr>
            <xdr:cNvGraphicFramePr/>
          </xdr:nvGraphicFramePr>
          <xdr:xfrm>
            <a:off x="0" y="0"/>
            <a:ext cx="0" cy="0"/>
          </xdr:xfrm>
          <a:graphic>
            <a:graphicData uri="http://schemas.microsoft.com/office/drawing/2010/slicer">
              <sle:slicer xmlns:sle="http://schemas.microsoft.com/office/drawing/2010/slicer" name="Tractor Model"/>
            </a:graphicData>
          </a:graphic>
        </xdr:graphicFrame>
      </mc:Choice>
      <mc:Fallback xmlns="">
        <xdr:sp macro="" textlink="">
          <xdr:nvSpPr>
            <xdr:cNvPr id="0" name=""/>
            <xdr:cNvSpPr>
              <a:spLocks noTextEdit="1"/>
            </xdr:cNvSpPr>
          </xdr:nvSpPr>
          <xdr:spPr>
            <a:xfrm>
              <a:off x="71438" y="5179218"/>
              <a:ext cx="2464595"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119063</xdr:colOff>
      <xdr:row>10</xdr:row>
      <xdr:rowOff>23814</xdr:rowOff>
    </xdr:from>
    <xdr:to>
      <xdr:col>3</xdr:col>
      <xdr:colOff>738188</xdr:colOff>
      <xdr:row>17</xdr:row>
      <xdr:rowOff>95250</xdr:rowOff>
    </xdr:to>
    <mc:AlternateContent xmlns:mc="http://schemas.openxmlformats.org/markup-compatibility/2006" xmlns:a14="http://schemas.microsoft.com/office/drawing/2010/main">
      <mc:Choice Requires="a14">
        <xdr:graphicFrame macro="">
          <xdr:nvGraphicFramePr>
            <xdr:cNvPr id="24" name="Brand Name">
              <a:extLst>
                <a:ext uri="{FF2B5EF4-FFF2-40B4-BE49-F238E27FC236}">
                  <a16:creationId xmlns:a16="http://schemas.microsoft.com/office/drawing/2014/main" id="{49CCE0C4-0E1C-B3F4-6598-F8B86F2F5BF0}"/>
                </a:ext>
              </a:extLst>
            </xdr:cNvPr>
            <xdr:cNvGraphicFramePr/>
          </xdr:nvGraphicFramePr>
          <xdr:xfrm>
            <a:off x="0" y="0"/>
            <a:ext cx="0" cy="0"/>
          </xdr:xfrm>
          <a:graphic>
            <a:graphicData uri="http://schemas.microsoft.com/office/drawing/2010/slicer">
              <sle:slicer xmlns:sle="http://schemas.microsoft.com/office/drawing/2010/slicer" name="Brand Name"/>
            </a:graphicData>
          </a:graphic>
        </xdr:graphicFrame>
      </mc:Choice>
      <mc:Fallback xmlns="">
        <xdr:sp macro="" textlink="">
          <xdr:nvSpPr>
            <xdr:cNvPr id="0" name=""/>
            <xdr:cNvSpPr>
              <a:spLocks noTextEdit="1"/>
            </xdr:cNvSpPr>
          </xdr:nvSpPr>
          <xdr:spPr>
            <a:xfrm>
              <a:off x="119063" y="1928814"/>
              <a:ext cx="2440781" cy="1404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1</xdr:row>
      <xdr:rowOff>119062</xdr:rowOff>
    </xdr:from>
    <xdr:to>
      <xdr:col>3</xdr:col>
      <xdr:colOff>738188</xdr:colOff>
      <xdr:row>8</xdr:row>
      <xdr:rowOff>154781</xdr:rowOff>
    </xdr:to>
    <mc:AlternateContent xmlns:mc="http://schemas.openxmlformats.org/markup-compatibility/2006" xmlns:tsle="http://schemas.microsoft.com/office/drawing/2012/timeslicer">
      <mc:Choice Requires="tsle">
        <xdr:graphicFrame macro="">
          <xdr:nvGraphicFramePr>
            <xdr:cNvPr id="25" name="Order Date 1">
              <a:extLst>
                <a:ext uri="{FF2B5EF4-FFF2-40B4-BE49-F238E27FC236}">
                  <a16:creationId xmlns:a16="http://schemas.microsoft.com/office/drawing/2014/main" id="{7707F17A-E3B8-69D4-B273-EB15C3D9E96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42875" y="309562"/>
              <a:ext cx="2416969" cy="13692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71438</xdr:colOff>
      <xdr:row>17</xdr:row>
      <xdr:rowOff>142873</xdr:rowOff>
    </xdr:from>
    <xdr:to>
      <xdr:col>3</xdr:col>
      <xdr:colOff>726281</xdr:colOff>
      <xdr:row>26</xdr:row>
      <xdr:rowOff>59531</xdr:rowOff>
    </xdr:to>
    <mc:AlternateContent xmlns:mc="http://schemas.openxmlformats.org/markup-compatibility/2006" xmlns:a14="http://schemas.microsoft.com/office/drawing/2010/main">
      <mc:Choice Requires="a14">
        <xdr:graphicFrame macro="">
          <xdr:nvGraphicFramePr>
            <xdr:cNvPr id="2" name="Dealer Name 1">
              <a:extLst>
                <a:ext uri="{FF2B5EF4-FFF2-40B4-BE49-F238E27FC236}">
                  <a16:creationId xmlns:a16="http://schemas.microsoft.com/office/drawing/2014/main" id="{2126BE34-5903-4F20-8724-47CB883C104B}"/>
                </a:ext>
              </a:extLst>
            </xdr:cNvPr>
            <xdr:cNvGraphicFramePr/>
          </xdr:nvGraphicFramePr>
          <xdr:xfrm>
            <a:off x="0" y="0"/>
            <a:ext cx="0" cy="0"/>
          </xdr:xfrm>
          <a:graphic>
            <a:graphicData uri="http://schemas.microsoft.com/office/drawing/2010/slicer">
              <sle:slicer xmlns:sle="http://schemas.microsoft.com/office/drawing/2010/slicer" name="Dealer Name 1"/>
            </a:graphicData>
          </a:graphic>
        </xdr:graphicFrame>
      </mc:Choice>
      <mc:Fallback xmlns="">
        <xdr:sp macro="" textlink="">
          <xdr:nvSpPr>
            <xdr:cNvPr id="0" name=""/>
            <xdr:cNvSpPr>
              <a:spLocks noTextEdit="1"/>
            </xdr:cNvSpPr>
          </xdr:nvSpPr>
          <xdr:spPr>
            <a:xfrm>
              <a:off x="71438" y="3381373"/>
              <a:ext cx="2476499" cy="1631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95251</xdr:colOff>
      <xdr:row>0</xdr:row>
      <xdr:rowOff>130969</xdr:rowOff>
    </xdr:from>
    <xdr:to>
      <xdr:col>16</xdr:col>
      <xdr:colOff>392907</xdr:colOff>
      <xdr:row>12</xdr:row>
      <xdr:rowOff>95250</xdr:rowOff>
    </xdr:to>
    <xdr:pic>
      <xdr:nvPicPr>
        <xdr:cNvPr id="4" name="Picture 3">
          <a:extLst>
            <a:ext uri="{FF2B5EF4-FFF2-40B4-BE49-F238E27FC236}">
              <a16:creationId xmlns:a16="http://schemas.microsoft.com/office/drawing/2014/main" id="{67FB2317-6C6F-0F2E-2BFC-C7197C50E0E9}"/>
            </a:ext>
          </a:extLst>
        </xdr:cNvPr>
        <xdr:cNvPicPr>
          <a:picLocks noChangeAspect="1"/>
        </xdr:cNvPicPr>
      </xdr:nvPicPr>
      <xdr:blipFill>
        <a:blip xmlns:r="http://schemas.openxmlformats.org/officeDocument/2006/relationships" r:embed="rId11"/>
        <a:stretch>
          <a:fillRect/>
        </a:stretch>
      </xdr:blipFill>
      <xdr:spPr>
        <a:xfrm>
          <a:off x="12751595" y="130969"/>
          <a:ext cx="2119312" cy="2250281"/>
        </a:xfrm>
        <a:prstGeom prst="rect">
          <a:avLst/>
        </a:prstGeom>
        <a:ln>
          <a:noFill/>
        </a:ln>
        <a:effectLst>
          <a:softEdge rad="112500"/>
        </a:effectLst>
      </xdr:spPr>
    </xdr:pic>
    <xdr:clientData/>
  </xdr:twoCellAnchor>
  <xdr:twoCellAnchor editAs="oneCell">
    <xdr:from>
      <xdr:col>4</xdr:col>
      <xdr:colOff>95250</xdr:colOff>
      <xdr:row>0</xdr:row>
      <xdr:rowOff>23813</xdr:rowOff>
    </xdr:from>
    <xdr:to>
      <xdr:col>4</xdr:col>
      <xdr:colOff>959890</xdr:colOff>
      <xdr:row>3</xdr:row>
      <xdr:rowOff>71438</xdr:rowOff>
    </xdr:to>
    <xdr:pic>
      <xdr:nvPicPr>
        <xdr:cNvPr id="5" name="Picture 4">
          <a:extLst>
            <a:ext uri="{FF2B5EF4-FFF2-40B4-BE49-F238E27FC236}">
              <a16:creationId xmlns:a16="http://schemas.microsoft.com/office/drawing/2014/main" id="{175C421C-A037-74D1-71E0-0DE21213FC3F}"/>
            </a:ext>
          </a:extLst>
        </xdr:cNvPr>
        <xdr:cNvPicPr>
          <a:picLocks noChangeAspect="1"/>
        </xdr:cNvPicPr>
      </xdr:nvPicPr>
      <xdr:blipFill>
        <a:blip xmlns:r="http://schemas.openxmlformats.org/officeDocument/2006/relationships" r:embed="rId12"/>
        <a:stretch>
          <a:fillRect/>
        </a:stretch>
      </xdr:blipFill>
      <xdr:spPr>
        <a:xfrm>
          <a:off x="3024188" y="23813"/>
          <a:ext cx="864640" cy="619125"/>
        </a:xfrm>
        <a:prstGeom prst="rect">
          <a:avLst/>
        </a:prstGeom>
        <a:ln>
          <a:noFill/>
        </a:ln>
        <a:effectLst>
          <a:softEdge rad="112500"/>
        </a:effectLst>
      </xdr:spPr>
    </xdr:pic>
    <xdr:clientData/>
  </xdr:twoCellAnchor>
  <xdr:twoCellAnchor>
    <xdr:from>
      <xdr:col>13</xdr:col>
      <xdr:colOff>178595</xdr:colOff>
      <xdr:row>13</xdr:row>
      <xdr:rowOff>142875</xdr:rowOff>
    </xdr:from>
    <xdr:to>
      <xdr:col>16</xdr:col>
      <xdr:colOff>381000</xdr:colOff>
      <xdr:row>46</xdr:row>
      <xdr:rowOff>142874</xdr:rowOff>
    </xdr:to>
    <xdr:sp macro="" textlink="">
      <xdr:nvSpPr>
        <xdr:cNvPr id="6" name="Rectangle: Rounded Corners 5">
          <a:extLst>
            <a:ext uri="{FF2B5EF4-FFF2-40B4-BE49-F238E27FC236}">
              <a16:creationId xmlns:a16="http://schemas.microsoft.com/office/drawing/2014/main" id="{270DAFA6-5356-1774-DFCB-4A144E07BEA5}"/>
            </a:ext>
          </a:extLst>
        </xdr:cNvPr>
        <xdr:cNvSpPr/>
      </xdr:nvSpPr>
      <xdr:spPr>
        <a:xfrm>
          <a:off x="12834939" y="2619375"/>
          <a:ext cx="2024061" cy="6286499"/>
        </a:xfrm>
        <a:prstGeom prst="roundRect">
          <a:avLst/>
        </a:prstGeom>
        <a:solidFill>
          <a:schemeClr val="tx2">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1000" b="1">
              <a:solidFill>
                <a:schemeClr val="tx2"/>
              </a:solidFill>
              <a:latin typeface="Segoe UI" panose="020B0502040204020203" pitchFamily="34" charset="0"/>
              <a:cs typeface="Segoe UI" panose="020B0502040204020203" pitchFamily="34" charset="0"/>
            </a:rPr>
            <a:t>Key Insights</a:t>
          </a:r>
        </a:p>
        <a:p>
          <a:pPr algn="l"/>
          <a:endParaRPr lang="en-US" sz="1000" b="1">
            <a:solidFill>
              <a:schemeClr val="tx2"/>
            </a:solidFill>
            <a:latin typeface="Segoe UI" panose="020B0502040204020203" pitchFamily="34" charset="0"/>
            <a:cs typeface="Segoe UI" panose="020B0502040204020203" pitchFamily="34" charset="0"/>
          </a:endParaRPr>
        </a:p>
        <a:p>
          <a:pPr algn="l"/>
          <a:r>
            <a:rPr lang="en-US" sz="1050" b="1">
              <a:solidFill>
                <a:schemeClr val="tx2"/>
              </a:solidFill>
              <a:latin typeface="Segoe UI" panose="020B0502040204020203" pitchFamily="34" charset="0"/>
              <a:cs typeface="Segoe UI" panose="020B0502040204020203" pitchFamily="34" charset="0"/>
            </a:rPr>
            <a:t>1. </a:t>
          </a:r>
          <a:r>
            <a:rPr lang="en-US" sz="1050" b="1" baseline="0">
              <a:solidFill>
                <a:schemeClr val="tx2"/>
              </a:solidFill>
              <a:latin typeface="Segoe UI" panose="020B0502040204020203" pitchFamily="34" charset="0"/>
              <a:cs typeface="Segoe UI" panose="020B0502040204020203" pitchFamily="34" charset="0"/>
            </a:rPr>
            <a:t>Powertrac 439 is the </a:t>
          </a:r>
        </a:p>
        <a:p>
          <a:pPr algn="l"/>
          <a:r>
            <a:rPr lang="en-US" sz="1050" b="1" baseline="0">
              <a:solidFill>
                <a:schemeClr val="tx2"/>
              </a:solidFill>
              <a:latin typeface="Segoe UI" panose="020B0502040204020203" pitchFamily="34" charset="0"/>
              <a:cs typeface="Segoe UI" panose="020B0502040204020203" pitchFamily="34" charset="0"/>
            </a:rPr>
            <a:t>    highest selling Tractor </a:t>
          </a:r>
        </a:p>
        <a:p>
          <a:pPr algn="l"/>
          <a:r>
            <a:rPr lang="en-US" sz="1050" b="1" baseline="0">
              <a:solidFill>
                <a:schemeClr val="tx2"/>
              </a:solidFill>
              <a:latin typeface="Segoe UI" panose="020B0502040204020203" pitchFamily="34" charset="0"/>
              <a:cs typeface="Segoe UI" panose="020B0502040204020203" pitchFamily="34" charset="0"/>
            </a:rPr>
            <a:t>    models with </a:t>
          </a:r>
          <a:r>
            <a:rPr lang="en-US" sz="1050" b="1">
              <a:solidFill>
                <a:srgbClr val="C00000"/>
              </a:solidFill>
              <a:latin typeface="Segoe UI" panose="020B0502040204020203" pitchFamily="34" charset="0"/>
              <a:cs typeface="Segoe UI" panose="020B0502040204020203" pitchFamily="34" charset="0"/>
            </a:rPr>
            <a:t>₹ </a:t>
          </a:r>
          <a:r>
            <a:rPr lang="en-US" sz="1050" b="1" baseline="0">
              <a:solidFill>
                <a:srgbClr val="C00000"/>
              </a:solidFill>
              <a:latin typeface="Segoe UI" panose="020B0502040204020203" pitchFamily="34" charset="0"/>
              <a:cs typeface="Segoe UI" panose="020B0502040204020203" pitchFamily="34" charset="0"/>
            </a:rPr>
            <a:t>85.6 Cr </a:t>
          </a:r>
        </a:p>
        <a:p>
          <a:pPr algn="l"/>
          <a:r>
            <a:rPr lang="en-US" sz="1050" b="1" baseline="0">
              <a:solidFill>
                <a:srgbClr val="C00000"/>
              </a:solidFill>
              <a:latin typeface="Segoe UI" panose="020B0502040204020203" pitchFamily="34" charset="0"/>
              <a:cs typeface="Segoe UI" panose="020B0502040204020203" pitchFamily="34" charset="0"/>
            </a:rPr>
            <a:t>    </a:t>
          </a:r>
          <a:r>
            <a:rPr lang="en-US" sz="1050" b="1" baseline="0">
              <a:solidFill>
                <a:schemeClr val="tx2"/>
              </a:solidFill>
              <a:latin typeface="Segoe UI" panose="020B0502040204020203" pitchFamily="34" charset="0"/>
              <a:cs typeface="Segoe UI" panose="020B0502040204020203" pitchFamily="34" charset="0"/>
            </a:rPr>
            <a:t>sales </a:t>
          </a:r>
        </a:p>
        <a:p>
          <a:pPr algn="l"/>
          <a:endParaRPr lang="en-US" sz="1050" b="1" baseline="0">
            <a:solidFill>
              <a:schemeClr val="tx2"/>
            </a:solidFill>
            <a:latin typeface="Segoe UI" panose="020B0502040204020203" pitchFamily="34" charset="0"/>
            <a:cs typeface="Segoe UI" panose="020B0502040204020203" pitchFamily="34" charset="0"/>
          </a:endParaRPr>
        </a:p>
        <a:p>
          <a:pPr algn="l"/>
          <a:r>
            <a:rPr lang="en-US" sz="1050" b="1" baseline="0">
              <a:solidFill>
                <a:schemeClr val="tx2"/>
              </a:solidFill>
              <a:latin typeface="Segoe UI" panose="020B0502040204020203" pitchFamily="34" charset="0"/>
              <a:cs typeface="Segoe UI" panose="020B0502040204020203" pitchFamily="34" charset="0"/>
            </a:rPr>
            <a:t>2. "Green Field" recorded </a:t>
          </a:r>
        </a:p>
        <a:p>
          <a:pPr algn="l"/>
          <a:r>
            <a:rPr lang="en-US" sz="1050" b="1" baseline="0">
              <a:solidFill>
                <a:schemeClr val="tx2"/>
              </a:solidFill>
              <a:latin typeface="Segoe UI" panose="020B0502040204020203" pitchFamily="34" charset="0"/>
              <a:cs typeface="Segoe UI" panose="020B0502040204020203" pitchFamily="34" charset="0"/>
            </a:rPr>
            <a:t>     the highest dealer  </a:t>
          </a:r>
        </a:p>
        <a:p>
          <a:pPr algn="l"/>
          <a:r>
            <a:rPr lang="en-US" sz="1050" b="1" baseline="0">
              <a:solidFill>
                <a:schemeClr val="tx2"/>
              </a:solidFill>
              <a:latin typeface="Segoe UI" panose="020B0502040204020203" pitchFamily="34" charset="0"/>
              <a:cs typeface="Segoe UI" panose="020B0502040204020203" pitchFamily="34" charset="0"/>
            </a:rPr>
            <a:t>     order quantity (</a:t>
          </a:r>
          <a:r>
            <a:rPr lang="en-US" sz="1050" b="1" baseline="0">
              <a:solidFill>
                <a:srgbClr val="C00000"/>
              </a:solidFill>
              <a:latin typeface="Segoe UI" panose="020B0502040204020203" pitchFamily="34" charset="0"/>
              <a:cs typeface="Segoe UI" panose="020B0502040204020203" pitchFamily="34" charset="0"/>
            </a:rPr>
            <a:t>1797</a:t>
          </a:r>
          <a:r>
            <a:rPr lang="en-US" sz="1050" b="1" baseline="0">
              <a:solidFill>
                <a:schemeClr val="tx2"/>
              </a:solidFill>
              <a:latin typeface="Segoe UI" panose="020B0502040204020203" pitchFamily="34" charset="0"/>
              <a:cs typeface="Segoe UI" panose="020B0502040204020203" pitchFamily="34" charset="0"/>
            </a:rPr>
            <a:t>) </a:t>
          </a:r>
        </a:p>
        <a:p>
          <a:pPr algn="l"/>
          <a:endParaRPr lang="en-US" sz="1050" b="1" baseline="0">
            <a:solidFill>
              <a:schemeClr val="tx2"/>
            </a:solidFill>
            <a:latin typeface="Segoe UI" panose="020B0502040204020203" pitchFamily="34" charset="0"/>
            <a:cs typeface="Segoe UI" panose="020B0502040204020203" pitchFamily="34" charset="0"/>
          </a:endParaRPr>
        </a:p>
        <a:p>
          <a:pPr algn="l"/>
          <a:r>
            <a:rPr lang="en-US" sz="1050" b="1" baseline="0">
              <a:solidFill>
                <a:schemeClr val="tx2"/>
              </a:solidFill>
              <a:latin typeface="Segoe UI" panose="020B0502040204020203" pitchFamily="34" charset="0"/>
              <a:cs typeface="Segoe UI" panose="020B0502040204020203" pitchFamily="34" charset="0"/>
            </a:rPr>
            <a:t>3. "North" region </a:t>
          </a:r>
        </a:p>
        <a:p>
          <a:pPr algn="l"/>
          <a:r>
            <a:rPr lang="en-US" sz="1050" b="1" baseline="0">
              <a:solidFill>
                <a:schemeClr val="tx2"/>
              </a:solidFill>
              <a:latin typeface="Segoe UI" panose="020B0502040204020203" pitchFamily="34" charset="0"/>
              <a:cs typeface="Segoe UI" panose="020B0502040204020203" pitchFamily="34" charset="0"/>
            </a:rPr>
            <a:t>    performs outstanding </a:t>
          </a:r>
        </a:p>
        <a:p>
          <a:pPr algn="l"/>
          <a:r>
            <a:rPr lang="en-US" sz="1050" b="1" baseline="0">
              <a:solidFill>
                <a:schemeClr val="tx2"/>
              </a:solidFill>
              <a:latin typeface="Segoe UI" panose="020B0502040204020203" pitchFamily="34" charset="0"/>
              <a:cs typeface="Segoe UI" panose="020B0502040204020203" pitchFamily="34" charset="0"/>
            </a:rPr>
            <a:t>    with total Orders </a:t>
          </a:r>
        </a:p>
        <a:p>
          <a:pPr algn="l"/>
          <a:r>
            <a:rPr lang="en-US" sz="1050" b="1" baseline="0">
              <a:solidFill>
                <a:schemeClr val="tx2"/>
              </a:solidFill>
              <a:latin typeface="Segoe UI" panose="020B0502040204020203" pitchFamily="34" charset="0"/>
              <a:cs typeface="Segoe UI" panose="020B0502040204020203" pitchFamily="34" charset="0"/>
            </a:rPr>
            <a:t>    of </a:t>
          </a:r>
          <a:r>
            <a:rPr lang="en-US" sz="900" b="1" i="0" u="none" strike="noStrike" kern="1200" baseline="0">
              <a:solidFill>
                <a:srgbClr val="C00000"/>
              </a:solidFill>
              <a:latin typeface="Segoe UI" panose="020B0502040204020203" pitchFamily="34" charset="0"/>
              <a:ea typeface="+mn-ea"/>
              <a:cs typeface="+mn-cs"/>
            </a:rPr>
            <a:t>827</a:t>
          </a:r>
        </a:p>
        <a:p>
          <a:pPr algn="l"/>
          <a:endParaRPr lang="en-US" sz="1050" b="1" baseline="0">
            <a:solidFill>
              <a:schemeClr val="tx2"/>
            </a:solidFill>
            <a:latin typeface="Segoe UI" panose="020B0502040204020203" pitchFamily="34" charset="0"/>
            <a:cs typeface="Segoe UI" panose="020B0502040204020203" pitchFamily="34" charset="0"/>
          </a:endParaRPr>
        </a:p>
        <a:p>
          <a:pPr algn="l"/>
          <a:r>
            <a:rPr lang="en-US" sz="1050" b="1" baseline="0">
              <a:solidFill>
                <a:schemeClr val="tx2"/>
              </a:solidFill>
              <a:latin typeface="Segoe UI" panose="020B0502040204020203" pitchFamily="34" charset="0"/>
              <a:cs typeface="Segoe UI" panose="020B0502040204020203" pitchFamily="34" charset="0"/>
            </a:rPr>
            <a:t>4. "North" region </a:t>
          </a:r>
        </a:p>
        <a:p>
          <a:pPr algn="l"/>
          <a:r>
            <a:rPr lang="en-US" sz="1050" b="1" baseline="0">
              <a:solidFill>
                <a:schemeClr val="tx2"/>
              </a:solidFill>
              <a:latin typeface="Segoe UI" panose="020B0502040204020203" pitchFamily="34" charset="0"/>
              <a:cs typeface="Segoe UI" panose="020B0502040204020203" pitchFamily="34" charset="0"/>
            </a:rPr>
            <a:t>     contributed the </a:t>
          </a:r>
        </a:p>
        <a:p>
          <a:pPr algn="l"/>
          <a:r>
            <a:rPr lang="en-US" sz="1050" b="1" baseline="0">
              <a:solidFill>
                <a:schemeClr val="tx2"/>
              </a:solidFill>
              <a:latin typeface="Segoe UI" panose="020B0502040204020203" pitchFamily="34" charset="0"/>
              <a:cs typeface="Segoe UI" panose="020B0502040204020203" pitchFamily="34" charset="0"/>
            </a:rPr>
            <a:t>     stongest market </a:t>
          </a:r>
        </a:p>
        <a:p>
          <a:pPr algn="l"/>
          <a:r>
            <a:rPr lang="en-US" sz="1050" b="1" baseline="0">
              <a:solidFill>
                <a:schemeClr val="tx2"/>
              </a:solidFill>
              <a:latin typeface="Segoe UI" panose="020B0502040204020203" pitchFamily="34" charset="0"/>
              <a:cs typeface="Segoe UI" panose="020B0502040204020203" pitchFamily="34" charset="0"/>
            </a:rPr>
            <a:t>     shares with </a:t>
          </a:r>
          <a:r>
            <a:rPr lang="en-US" sz="1050" b="1">
              <a:solidFill>
                <a:srgbClr val="C00000"/>
              </a:solidFill>
              <a:latin typeface="Segoe UI" panose="020B0502040204020203" pitchFamily="34" charset="0"/>
              <a:cs typeface="Segoe UI" panose="020B0502040204020203" pitchFamily="34" charset="0"/>
            </a:rPr>
            <a:t>₹ </a:t>
          </a:r>
          <a:r>
            <a:rPr lang="en-US" sz="900" b="1" i="0" u="none" strike="noStrike" kern="1200" baseline="0">
              <a:solidFill>
                <a:srgbClr val="C00000"/>
              </a:solidFill>
              <a:latin typeface="Segoe UI" panose="020B0502040204020203" pitchFamily="34" charset="0"/>
              <a:ea typeface="+mn-ea"/>
              <a:cs typeface="+mn-cs"/>
            </a:rPr>
            <a:t>155.9</a:t>
          </a:r>
          <a:r>
            <a:rPr lang="en-US" sz="1050" b="1" baseline="0">
              <a:solidFill>
                <a:srgbClr val="FF0000"/>
              </a:solidFill>
              <a:latin typeface="Segoe UI" panose="020B0502040204020203" pitchFamily="34" charset="0"/>
              <a:cs typeface="Segoe UI" panose="020B0502040204020203" pitchFamily="34" charset="0"/>
            </a:rPr>
            <a:t> </a:t>
          </a:r>
        </a:p>
        <a:p>
          <a:pPr algn="l"/>
          <a:r>
            <a:rPr lang="en-US" sz="1050" b="1" baseline="0">
              <a:solidFill>
                <a:srgbClr val="C00000"/>
              </a:solidFill>
              <a:latin typeface="Segoe UI" panose="020B0502040204020203" pitchFamily="34" charset="0"/>
              <a:cs typeface="Segoe UI" panose="020B0502040204020203" pitchFamily="34" charset="0"/>
            </a:rPr>
            <a:t>     Cr </a:t>
          </a:r>
          <a:r>
            <a:rPr lang="en-US" sz="1050" b="1" baseline="0">
              <a:solidFill>
                <a:schemeClr val="tx2"/>
              </a:solidFill>
              <a:latin typeface="Segoe UI" panose="020B0502040204020203" pitchFamily="34" charset="0"/>
              <a:cs typeface="Segoe UI" panose="020B0502040204020203" pitchFamily="34" charset="0"/>
            </a:rPr>
            <a:t>in</a:t>
          </a:r>
          <a:r>
            <a:rPr lang="en-US" sz="1050" b="1" baseline="0">
              <a:solidFill>
                <a:srgbClr val="C00000"/>
              </a:solidFill>
              <a:latin typeface="Segoe UI" panose="020B0502040204020203" pitchFamily="34" charset="0"/>
              <a:cs typeface="Segoe UI" panose="020B0502040204020203" pitchFamily="34" charset="0"/>
            </a:rPr>
            <a:t> </a:t>
          </a:r>
          <a:r>
            <a:rPr lang="en-US" sz="1050" b="1" baseline="0">
              <a:solidFill>
                <a:schemeClr val="tx2"/>
              </a:solidFill>
              <a:latin typeface="Segoe UI" panose="020B0502040204020203" pitchFamily="34" charset="0"/>
              <a:cs typeface="Segoe UI" panose="020B0502040204020203" pitchFamily="34" charset="0"/>
            </a:rPr>
            <a:t>sales</a:t>
          </a:r>
        </a:p>
        <a:p>
          <a:pPr algn="l"/>
          <a:r>
            <a:rPr lang="en-US" sz="1050" b="1" baseline="0">
              <a:solidFill>
                <a:schemeClr val="tx2"/>
              </a:solidFill>
              <a:latin typeface="Segoe UI" panose="020B0502040204020203" pitchFamily="34" charset="0"/>
              <a:cs typeface="Segoe UI" panose="020B0502040204020203" pitchFamily="34" charset="0"/>
            </a:rPr>
            <a:t>   </a:t>
          </a:r>
        </a:p>
        <a:p>
          <a:pPr algn="l"/>
          <a:r>
            <a:rPr lang="en-US" sz="1050" b="1" baseline="0">
              <a:solidFill>
                <a:schemeClr val="tx2"/>
              </a:solidFill>
              <a:latin typeface="Segoe UI" panose="020B0502040204020203" pitchFamily="34" charset="0"/>
              <a:cs typeface="Segoe UI" panose="020B0502040204020203" pitchFamily="34" charset="0"/>
            </a:rPr>
            <a:t>5. "South" Region is less </a:t>
          </a:r>
        </a:p>
        <a:p>
          <a:pPr algn="l"/>
          <a:r>
            <a:rPr lang="en-US" sz="1050" b="1" baseline="0">
              <a:solidFill>
                <a:schemeClr val="tx2"/>
              </a:solidFill>
              <a:latin typeface="Segoe UI" panose="020B0502040204020203" pitchFamily="34" charset="0"/>
              <a:cs typeface="Segoe UI" panose="020B0502040204020203" pitchFamily="34" charset="0"/>
            </a:rPr>
            <a:t>      contributed in sales  </a:t>
          </a:r>
        </a:p>
        <a:p>
          <a:pPr algn="l"/>
          <a:r>
            <a:rPr lang="en-US" sz="1050" b="1" baseline="0">
              <a:solidFill>
                <a:schemeClr val="tx2"/>
              </a:solidFill>
              <a:latin typeface="Segoe UI" panose="020B0502040204020203" pitchFamily="34" charset="0"/>
              <a:cs typeface="Segoe UI" panose="020B0502040204020203" pitchFamily="34" charset="0"/>
            </a:rPr>
            <a:t>      among all with only   </a:t>
          </a:r>
        </a:p>
        <a:p>
          <a:pPr algn="l"/>
          <a:r>
            <a:rPr lang="en-US" sz="1050" b="1" baseline="0">
              <a:solidFill>
                <a:schemeClr val="tx2"/>
              </a:solidFill>
              <a:latin typeface="Segoe UI" panose="020B0502040204020203" pitchFamily="34" charset="0"/>
              <a:cs typeface="Segoe UI" panose="020B0502040204020203" pitchFamily="34" charset="0"/>
            </a:rPr>
            <a:t>      </a:t>
          </a:r>
          <a:r>
            <a:rPr lang="en-US" sz="1050" b="1">
              <a:solidFill>
                <a:srgbClr val="C00000"/>
              </a:solidFill>
              <a:latin typeface="Segoe UI" panose="020B0502040204020203" pitchFamily="34" charset="0"/>
              <a:cs typeface="Segoe UI" panose="020B0502040204020203" pitchFamily="34" charset="0"/>
            </a:rPr>
            <a:t>₹ </a:t>
          </a:r>
          <a:r>
            <a:rPr lang="en-US" sz="1050" b="1" baseline="0">
              <a:solidFill>
                <a:srgbClr val="C00000"/>
              </a:solidFill>
              <a:latin typeface="Segoe UI" panose="020B0502040204020203" pitchFamily="34" charset="0"/>
              <a:cs typeface="Segoe UI" panose="020B0502040204020203" pitchFamily="34" charset="0"/>
            </a:rPr>
            <a:t>67.1 Cr </a:t>
          </a:r>
          <a:r>
            <a:rPr lang="en-US" sz="1050" b="1" baseline="0">
              <a:solidFill>
                <a:schemeClr val="tx2"/>
              </a:solidFill>
              <a:latin typeface="Segoe UI" panose="020B0502040204020203" pitchFamily="34" charset="0"/>
              <a:cs typeface="Segoe UI" panose="020B0502040204020203" pitchFamily="34" charset="0"/>
            </a:rPr>
            <a:t>sales </a:t>
          </a:r>
        </a:p>
        <a:p>
          <a:pPr algn="l"/>
          <a:r>
            <a:rPr lang="en-US" sz="1050" b="1" baseline="0">
              <a:solidFill>
                <a:schemeClr val="tx2"/>
              </a:solidFill>
              <a:latin typeface="Segoe UI" panose="020B0502040204020203" pitchFamily="34" charset="0"/>
              <a:cs typeface="Segoe UI" panose="020B0502040204020203" pitchFamily="34" charset="0"/>
            </a:rPr>
            <a:t>     </a:t>
          </a:r>
        </a:p>
        <a:p>
          <a:pPr algn="l"/>
          <a:r>
            <a:rPr lang="en-US" sz="1050" b="1" baseline="0">
              <a:solidFill>
                <a:schemeClr val="tx2"/>
              </a:solidFill>
              <a:latin typeface="Segoe UI" panose="020B0502040204020203" pitchFamily="34" charset="0"/>
              <a:cs typeface="Segoe UI" panose="020B0502040204020203" pitchFamily="34" charset="0"/>
            </a:rPr>
            <a:t>6. "Green field" and </a:t>
          </a:r>
        </a:p>
        <a:p>
          <a:pPr algn="l"/>
          <a:r>
            <a:rPr lang="en-US" sz="1050" b="1" baseline="0">
              <a:solidFill>
                <a:schemeClr val="tx2"/>
              </a:solidFill>
              <a:latin typeface="Segoe UI" panose="020B0502040204020203" pitchFamily="34" charset="0"/>
              <a:cs typeface="Segoe UI" panose="020B0502040204020203" pitchFamily="34" charset="0"/>
            </a:rPr>
            <a:t>     "Mahadev" together  </a:t>
          </a:r>
        </a:p>
        <a:p>
          <a:pPr algn="l"/>
          <a:r>
            <a:rPr lang="en-US" sz="1050" b="1" baseline="0">
              <a:solidFill>
                <a:schemeClr val="tx2"/>
              </a:solidFill>
              <a:latin typeface="Segoe UI" panose="020B0502040204020203" pitchFamily="34" charset="0"/>
              <a:cs typeface="Segoe UI" panose="020B0502040204020203" pitchFamily="34" charset="0"/>
            </a:rPr>
            <a:t>       contributed </a:t>
          </a:r>
          <a:r>
            <a:rPr lang="en-US" sz="1050" b="1" baseline="0">
              <a:solidFill>
                <a:srgbClr val="C00000"/>
              </a:solidFill>
              <a:latin typeface="Segoe UI" panose="020B0502040204020203" pitchFamily="34" charset="0"/>
              <a:cs typeface="Segoe UI" panose="020B0502040204020203" pitchFamily="34" charset="0"/>
            </a:rPr>
            <a:t>42%   </a:t>
          </a:r>
        </a:p>
        <a:p>
          <a:pPr algn="l"/>
          <a:r>
            <a:rPr lang="en-US" sz="1050" b="1" baseline="0">
              <a:solidFill>
                <a:srgbClr val="C00000"/>
              </a:solidFill>
              <a:latin typeface="Segoe UI" panose="020B0502040204020203" pitchFamily="34" charset="0"/>
              <a:cs typeface="Segoe UI" panose="020B0502040204020203" pitchFamily="34" charset="0"/>
            </a:rPr>
            <a:t>       </a:t>
          </a:r>
          <a:r>
            <a:rPr lang="en-US" sz="1050" b="1" baseline="0">
              <a:solidFill>
                <a:schemeClr val="tx2"/>
              </a:solidFill>
              <a:latin typeface="Segoe UI" panose="020B0502040204020203" pitchFamily="34" charset="0"/>
              <a:cs typeface="Segoe UI" panose="020B0502040204020203" pitchFamily="34" charset="0"/>
            </a:rPr>
            <a:t>sales in overall</a:t>
          </a:r>
          <a:endParaRPr lang="en-US" sz="1000" b="1">
            <a:solidFill>
              <a:schemeClr val="tx2"/>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119062</xdr:colOff>
      <xdr:row>43</xdr:row>
      <xdr:rowOff>28575</xdr:rowOff>
    </xdr:from>
    <xdr:to>
      <xdr:col>3</xdr:col>
      <xdr:colOff>619125</xdr:colOff>
      <xdr:row>48</xdr:row>
      <xdr:rowOff>95250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E87BE35B-E7AF-AD0F-EF77-05CEE26833F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062" y="8220075"/>
              <a:ext cx="2321719"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71438</xdr:colOff>
      <xdr:row>9</xdr:row>
      <xdr:rowOff>129222</xdr:rowOff>
    </xdr:from>
    <xdr:to>
      <xdr:col>3</xdr:col>
      <xdr:colOff>607218</xdr:colOff>
      <xdr:row>16</xdr:row>
      <xdr:rowOff>23812</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7CD29CFC-C17A-7636-F232-D37E1DB44B8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1438" y="2046128"/>
              <a:ext cx="2905124" cy="1228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674105</xdr:colOff>
      <xdr:row>7</xdr:row>
      <xdr:rowOff>47624</xdr:rowOff>
    </xdr:from>
    <xdr:to>
      <xdr:col>13</xdr:col>
      <xdr:colOff>130969</xdr:colOff>
      <xdr:row>25</xdr:row>
      <xdr:rowOff>142874</xdr:rowOff>
    </xdr:to>
    <xdr:graphicFrame macro="">
      <xdr:nvGraphicFramePr>
        <xdr:cNvPr id="19" name="Chart 18">
          <a:extLst>
            <a:ext uri="{FF2B5EF4-FFF2-40B4-BE49-F238E27FC236}">
              <a16:creationId xmlns:a16="http://schemas.microsoft.com/office/drawing/2014/main" id="{F22DCAA3-946C-43DF-B0B9-AFA867456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8467</xdr:colOff>
      <xdr:row>25</xdr:row>
      <xdr:rowOff>166687</xdr:rowOff>
    </xdr:from>
    <xdr:to>
      <xdr:col>8</xdr:col>
      <xdr:colOff>559595</xdr:colOff>
      <xdr:row>43</xdr:row>
      <xdr:rowOff>95251</xdr:rowOff>
    </xdr:to>
    <xdr:graphicFrame macro="">
      <xdr:nvGraphicFramePr>
        <xdr:cNvPr id="20" name="Chart 19">
          <a:extLst>
            <a:ext uri="{FF2B5EF4-FFF2-40B4-BE49-F238E27FC236}">
              <a16:creationId xmlns:a16="http://schemas.microsoft.com/office/drawing/2014/main" id="{982F1166-8708-4B03-89FC-71D4758DB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678657</xdr:colOff>
      <xdr:row>26</xdr:row>
      <xdr:rowOff>11905</xdr:rowOff>
    </xdr:from>
    <xdr:to>
      <xdr:col>13</xdr:col>
      <xdr:colOff>107156</xdr:colOff>
      <xdr:row>43</xdr:row>
      <xdr:rowOff>142874</xdr:rowOff>
    </xdr:to>
    <xdr:graphicFrame macro="">
      <xdr:nvGraphicFramePr>
        <xdr:cNvPr id="21" name="Chart 20">
          <a:extLst>
            <a:ext uri="{FF2B5EF4-FFF2-40B4-BE49-F238E27FC236}">
              <a16:creationId xmlns:a16="http://schemas.microsoft.com/office/drawing/2014/main" id="{2A414819-B51C-4772-AE14-D0E511A11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57148</xdr:colOff>
      <xdr:row>33</xdr:row>
      <xdr:rowOff>71438</xdr:rowOff>
    </xdr:from>
    <xdr:to>
      <xdr:col>3</xdr:col>
      <xdr:colOff>488156</xdr:colOff>
      <xdr:row>42</xdr:row>
      <xdr:rowOff>35717</xdr:rowOff>
    </xdr:to>
    <mc:AlternateContent xmlns:mc="http://schemas.openxmlformats.org/markup-compatibility/2006" xmlns:a14="http://schemas.microsoft.com/office/drawing/2010/main">
      <mc:Choice Requires="a14">
        <xdr:graphicFrame macro="">
          <xdr:nvGraphicFramePr>
            <xdr:cNvPr id="22" name="Dealer Name">
              <a:extLst>
                <a:ext uri="{FF2B5EF4-FFF2-40B4-BE49-F238E27FC236}">
                  <a16:creationId xmlns:a16="http://schemas.microsoft.com/office/drawing/2014/main" id="{173EF8F1-2EA1-1A47-C506-CE853149C06F}"/>
                </a:ext>
              </a:extLst>
            </xdr:cNvPr>
            <xdr:cNvGraphicFramePr/>
          </xdr:nvGraphicFramePr>
          <xdr:xfrm>
            <a:off x="0" y="0"/>
            <a:ext cx="0" cy="0"/>
          </xdr:xfrm>
          <a:graphic>
            <a:graphicData uri="http://schemas.microsoft.com/office/drawing/2010/slicer">
              <sle:slicer xmlns:sle="http://schemas.microsoft.com/office/drawing/2010/slicer" name="Dealer Name"/>
            </a:graphicData>
          </a:graphic>
        </xdr:graphicFrame>
      </mc:Choice>
      <mc:Fallback xmlns="">
        <xdr:sp macro="" textlink="">
          <xdr:nvSpPr>
            <xdr:cNvPr id="0" name=""/>
            <xdr:cNvSpPr>
              <a:spLocks noTextEdit="1"/>
            </xdr:cNvSpPr>
          </xdr:nvSpPr>
          <xdr:spPr>
            <a:xfrm>
              <a:off x="57148" y="6560344"/>
              <a:ext cx="2800352" cy="1678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130970</xdr:colOff>
      <xdr:row>2</xdr:row>
      <xdr:rowOff>178595</xdr:rowOff>
    </xdr:from>
    <xdr:to>
      <xdr:col>3</xdr:col>
      <xdr:colOff>571500</xdr:colOff>
      <xdr:row>8</xdr:row>
      <xdr:rowOff>214312</xdr:rowOff>
    </xdr:to>
    <mc:AlternateContent xmlns:mc="http://schemas.openxmlformats.org/markup-compatibility/2006" xmlns:tsle="http://schemas.microsoft.com/office/drawing/2012/timeslicer">
      <mc:Choice Requires="tsle">
        <xdr:graphicFrame macro="">
          <xdr:nvGraphicFramePr>
            <xdr:cNvPr id="23" name="Order Date">
              <a:extLst>
                <a:ext uri="{FF2B5EF4-FFF2-40B4-BE49-F238E27FC236}">
                  <a16:creationId xmlns:a16="http://schemas.microsoft.com/office/drawing/2014/main" id="{EF33FDD4-76BB-2019-3BE1-4F79FDF28B35}"/>
                </a:ext>
              </a:extLst>
            </xdr:cNvPr>
            <xdr:cNvGraphicFramePr>
              <a:graphicFrameLocks noChangeAspect="1"/>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0970" y="559595"/>
              <a:ext cx="2809874" cy="130968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107157</xdr:colOff>
      <xdr:row>25</xdr:row>
      <xdr:rowOff>136898</xdr:rowOff>
    </xdr:from>
    <xdr:to>
      <xdr:col>3</xdr:col>
      <xdr:colOff>547687</xdr:colOff>
      <xdr:row>32</xdr:row>
      <xdr:rowOff>11906</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588F00C1-70E3-F6CA-8F69-FEECAFE67F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157" y="5101804"/>
              <a:ext cx="2809874" cy="1208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119910</xdr:colOff>
      <xdr:row>16</xdr:row>
      <xdr:rowOff>128328</xdr:rowOff>
    </xdr:from>
    <xdr:to>
      <xdr:col>3</xdr:col>
      <xdr:colOff>607217</xdr:colOff>
      <xdr:row>24</xdr:row>
      <xdr:rowOff>166688</xdr:rowOff>
    </xdr:to>
    <mc:AlternateContent xmlns:mc="http://schemas.openxmlformats.org/markup-compatibility/2006" xmlns:a14="http://schemas.microsoft.com/office/drawing/2010/main">
      <mc:Choice Requires="a14">
        <xdr:graphicFrame macro="">
          <xdr:nvGraphicFramePr>
            <xdr:cNvPr id="25" name="State">
              <a:extLst>
                <a:ext uri="{FF2B5EF4-FFF2-40B4-BE49-F238E27FC236}">
                  <a16:creationId xmlns:a16="http://schemas.microsoft.com/office/drawing/2014/main" id="{DB29563F-790B-1C54-17D4-4D4F284D2F7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9910" y="3378734"/>
              <a:ext cx="2856651" cy="1562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xdr:colOff>
      <xdr:row>7</xdr:row>
      <xdr:rowOff>23813</xdr:rowOff>
    </xdr:from>
    <xdr:to>
      <xdr:col>8</xdr:col>
      <xdr:colOff>631030</xdr:colOff>
      <xdr:row>25</xdr:row>
      <xdr:rowOff>107157</xdr:rowOff>
    </xdr:to>
    <xdr:graphicFrame macro="">
      <xdr:nvGraphicFramePr>
        <xdr:cNvPr id="2" name="Chart 1">
          <a:extLst>
            <a:ext uri="{FF2B5EF4-FFF2-40B4-BE49-F238E27FC236}">
              <a16:creationId xmlns:a16="http://schemas.microsoft.com/office/drawing/2014/main" id="{0D785457-4CF0-4C63-86FD-B4EE3E6EA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0</xdr:colOff>
      <xdr:row>5</xdr:row>
      <xdr:rowOff>35719</xdr:rowOff>
    </xdr:from>
    <xdr:to>
      <xdr:col>4</xdr:col>
      <xdr:colOff>238124</xdr:colOff>
      <xdr:row>6</xdr:row>
      <xdr:rowOff>71438</xdr:rowOff>
    </xdr:to>
    <xdr:pic>
      <xdr:nvPicPr>
        <xdr:cNvPr id="4" name="Graphic 3" descr="Money with solid fill">
          <a:extLst>
            <a:ext uri="{FF2B5EF4-FFF2-40B4-BE49-F238E27FC236}">
              <a16:creationId xmlns:a16="http://schemas.microsoft.com/office/drawing/2014/main" id="{998B42D3-8119-FF39-A1AE-E4794FEE84E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24188" y="988219"/>
          <a:ext cx="238124" cy="333375"/>
        </a:xfrm>
        <a:prstGeom prst="rect">
          <a:avLst/>
        </a:prstGeom>
      </xdr:spPr>
    </xdr:pic>
    <xdr:clientData/>
  </xdr:twoCellAnchor>
  <xdr:twoCellAnchor editAs="oneCell">
    <xdr:from>
      <xdr:col>8</xdr:col>
      <xdr:colOff>47626</xdr:colOff>
      <xdr:row>5</xdr:row>
      <xdr:rowOff>59531</xdr:rowOff>
    </xdr:from>
    <xdr:to>
      <xdr:col>8</xdr:col>
      <xdr:colOff>392907</xdr:colOff>
      <xdr:row>6</xdr:row>
      <xdr:rowOff>107156</xdr:rowOff>
    </xdr:to>
    <xdr:pic>
      <xdr:nvPicPr>
        <xdr:cNvPr id="13" name="Graphic 12" descr="Delivery with solid fill">
          <a:extLst>
            <a:ext uri="{FF2B5EF4-FFF2-40B4-BE49-F238E27FC236}">
              <a16:creationId xmlns:a16="http://schemas.microsoft.com/office/drawing/2014/main" id="{38EB5F38-F9A1-3904-A088-FFCCD5B207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07970" y="1012031"/>
          <a:ext cx="345281" cy="345281"/>
        </a:xfrm>
        <a:prstGeom prst="rect">
          <a:avLst/>
        </a:prstGeom>
      </xdr:spPr>
    </xdr:pic>
    <xdr:clientData/>
  </xdr:twoCellAnchor>
  <xdr:twoCellAnchor editAs="oneCell">
    <xdr:from>
      <xdr:col>12</xdr:col>
      <xdr:colOff>107156</xdr:colOff>
      <xdr:row>5</xdr:row>
      <xdr:rowOff>71438</xdr:rowOff>
    </xdr:from>
    <xdr:to>
      <xdr:col>12</xdr:col>
      <xdr:colOff>428625</xdr:colOff>
      <xdr:row>6</xdr:row>
      <xdr:rowOff>95251</xdr:rowOff>
    </xdr:to>
    <xdr:pic>
      <xdr:nvPicPr>
        <xdr:cNvPr id="15" name="Graphic 14" descr="Tax with solid fill">
          <a:extLst>
            <a:ext uri="{FF2B5EF4-FFF2-40B4-BE49-F238E27FC236}">
              <a16:creationId xmlns:a16="http://schemas.microsoft.com/office/drawing/2014/main" id="{D2E8E232-0F47-05BE-50BC-8CA4262F9A5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941719" y="1023938"/>
          <a:ext cx="321469" cy="321469"/>
        </a:xfrm>
        <a:prstGeom prst="rect">
          <a:avLst/>
        </a:prstGeom>
      </xdr:spPr>
    </xdr:pic>
    <xdr:clientData/>
  </xdr:twoCellAnchor>
  <xdr:twoCellAnchor>
    <xdr:from>
      <xdr:col>13</xdr:col>
      <xdr:colOff>202408</xdr:colOff>
      <xdr:row>7</xdr:row>
      <xdr:rowOff>119062</xdr:rowOff>
    </xdr:from>
    <xdr:to>
      <xdr:col>17</xdr:col>
      <xdr:colOff>464344</xdr:colOff>
      <xdr:row>42</xdr:row>
      <xdr:rowOff>142876</xdr:rowOff>
    </xdr:to>
    <xdr:sp macro="" textlink="">
      <xdr:nvSpPr>
        <xdr:cNvPr id="16" name="Rectangle: Rounded Corners 15">
          <a:extLst>
            <a:ext uri="{FF2B5EF4-FFF2-40B4-BE49-F238E27FC236}">
              <a16:creationId xmlns:a16="http://schemas.microsoft.com/office/drawing/2014/main" id="{61B2F6D6-6797-9279-7B5C-E69053842505}"/>
            </a:ext>
          </a:extLst>
        </xdr:cNvPr>
        <xdr:cNvSpPr/>
      </xdr:nvSpPr>
      <xdr:spPr>
        <a:xfrm>
          <a:off x="11977689" y="1559718"/>
          <a:ext cx="2690811" cy="6786564"/>
        </a:xfrm>
        <a:prstGeom prst="roundRect">
          <a:avLst/>
        </a:prstGeom>
        <a:solidFill>
          <a:schemeClr val="tx2">
            <a:lumMod val="60000"/>
            <a:lumOff val="4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000" b="1">
              <a:solidFill>
                <a:schemeClr val="bg1"/>
              </a:solidFill>
              <a:latin typeface="Segoe UI" panose="020B0502040204020203" pitchFamily="34" charset="0"/>
              <a:cs typeface="Segoe UI" panose="020B0502040204020203" pitchFamily="34" charset="0"/>
            </a:rPr>
            <a:t>Key Insights</a:t>
          </a:r>
        </a:p>
        <a:p>
          <a:pPr algn="l"/>
          <a:endParaRPr lang="en-US" sz="2000" b="1">
            <a:solidFill>
              <a:schemeClr val="bg1"/>
            </a:solidFill>
            <a:latin typeface="Segoe UI" panose="020B0502040204020203" pitchFamily="34" charset="0"/>
            <a:cs typeface="Segoe UI" panose="020B0502040204020203" pitchFamily="34" charset="0"/>
          </a:endParaRPr>
        </a:p>
        <a:p>
          <a:pPr marL="0" indent="0" algn="l"/>
          <a:r>
            <a:rPr lang="en-US" sz="1600" b="1">
              <a:solidFill>
                <a:schemeClr val="bg1"/>
              </a:solidFill>
              <a:latin typeface="Segoe UI" panose="020B0502040204020203" pitchFamily="34" charset="0"/>
              <a:cs typeface="Segoe UI" panose="020B0502040204020203" pitchFamily="34" charset="0"/>
            </a:rPr>
            <a:t>1. </a:t>
          </a:r>
          <a:r>
            <a:rPr lang="en-US" sz="1400" b="1">
              <a:solidFill>
                <a:schemeClr val="bg1"/>
              </a:solidFill>
              <a:latin typeface="Segoe UI" panose="020B0502040204020203" pitchFamily="34" charset="0"/>
              <a:ea typeface="+mn-ea"/>
              <a:cs typeface="Segoe UI" panose="020B0502040204020203" pitchFamily="34" charset="0"/>
            </a:rPr>
            <a:t>North generates  </a:t>
          </a:r>
        </a:p>
        <a:p>
          <a:pPr marL="0" indent="0" algn="l"/>
          <a:r>
            <a:rPr lang="en-US" sz="1400" b="1">
              <a:solidFill>
                <a:schemeClr val="bg1"/>
              </a:solidFill>
              <a:latin typeface="Segoe UI" panose="020B0502040204020203" pitchFamily="34" charset="0"/>
              <a:ea typeface="+mn-ea"/>
              <a:cs typeface="Segoe UI" panose="020B0502040204020203" pitchFamily="34" charset="0"/>
            </a:rPr>
            <a:t>     highest revenue with </a:t>
          </a:r>
        </a:p>
        <a:p>
          <a:pPr marL="0" indent="0" algn="l"/>
          <a:r>
            <a:rPr lang="en-US" sz="1400" b="1">
              <a:solidFill>
                <a:schemeClr val="bg1"/>
              </a:solidFill>
              <a:latin typeface="Segoe UI" panose="020B0502040204020203" pitchFamily="34" charset="0"/>
              <a:ea typeface="+mn-ea"/>
              <a:cs typeface="Segoe UI" panose="020B0502040204020203" pitchFamily="34" charset="0"/>
            </a:rPr>
            <a:t>     </a:t>
          </a:r>
          <a:r>
            <a:rPr lang="hi-IN" sz="1400" b="1">
              <a:solidFill>
                <a:srgbClr val="002060"/>
              </a:solidFill>
              <a:latin typeface="Segoe UI" panose="020B0502040204020203" pitchFamily="34" charset="0"/>
              <a:ea typeface="+mn-ea"/>
              <a:cs typeface="Segoe UI" panose="020B0502040204020203" pitchFamily="34" charset="0"/>
            </a:rPr>
            <a:t>₹</a:t>
          </a:r>
          <a:r>
            <a:rPr lang="en-US" sz="1400" b="1">
              <a:solidFill>
                <a:srgbClr val="002060"/>
              </a:solidFill>
              <a:latin typeface="Segoe UI" panose="020B0502040204020203" pitchFamily="34" charset="0"/>
              <a:ea typeface="+mn-ea"/>
              <a:cs typeface="Segoe UI" panose="020B0502040204020203" pitchFamily="34" charset="0"/>
            </a:rPr>
            <a:t>155.9 Cr </a:t>
          </a:r>
          <a:r>
            <a:rPr lang="en-US" sz="1400" b="1">
              <a:solidFill>
                <a:schemeClr val="bg1"/>
              </a:solidFill>
              <a:latin typeface="Segoe UI" panose="020B0502040204020203" pitchFamily="34" charset="0"/>
              <a:ea typeface="+mn-ea"/>
              <a:cs typeface="Segoe UI" panose="020B0502040204020203" pitchFamily="34" charset="0"/>
            </a:rPr>
            <a:t>sales amount </a:t>
          </a:r>
        </a:p>
        <a:p>
          <a:pPr marL="0" indent="0" algn="l"/>
          <a:endParaRPr lang="en-US" sz="1400" b="1">
            <a:solidFill>
              <a:schemeClr val="bg1"/>
            </a:solidFill>
            <a:latin typeface="Segoe UI" panose="020B0502040204020203" pitchFamily="34" charset="0"/>
            <a:ea typeface="+mn-ea"/>
            <a:cs typeface="Segoe UI" panose="020B0502040204020203" pitchFamily="34" charset="0"/>
          </a:endParaRPr>
        </a:p>
        <a:p>
          <a:pPr marL="0" indent="0" algn="l"/>
          <a:r>
            <a:rPr lang="en-US" sz="1600" b="1" baseline="0">
              <a:solidFill>
                <a:schemeClr val="bg1"/>
              </a:solidFill>
              <a:latin typeface="Segoe UI" panose="020B0502040204020203" pitchFamily="34" charset="0"/>
              <a:cs typeface="Segoe UI" panose="020B0502040204020203" pitchFamily="34" charset="0"/>
            </a:rPr>
            <a:t>2. </a:t>
          </a:r>
          <a:r>
            <a:rPr lang="en-US" sz="1400" b="1">
              <a:solidFill>
                <a:schemeClr val="bg1"/>
              </a:solidFill>
              <a:latin typeface="Segoe UI" panose="020B0502040204020203" pitchFamily="34" charset="0"/>
              <a:ea typeface="+mn-ea"/>
              <a:cs typeface="Segoe UI" panose="020B0502040204020203" pitchFamily="34" charset="0"/>
            </a:rPr>
            <a:t>Kolkata is the top </a:t>
          </a:r>
        </a:p>
        <a:p>
          <a:pPr marL="0" indent="0" algn="l"/>
          <a:r>
            <a:rPr lang="en-US" sz="1400" b="1">
              <a:solidFill>
                <a:schemeClr val="bg1"/>
              </a:solidFill>
              <a:latin typeface="Segoe UI" panose="020B0502040204020203" pitchFamily="34" charset="0"/>
              <a:ea typeface="+mn-ea"/>
              <a:cs typeface="Segoe UI" panose="020B0502040204020203" pitchFamily="34" charset="0"/>
            </a:rPr>
            <a:t>     performing city among </a:t>
          </a:r>
        </a:p>
        <a:p>
          <a:pPr marL="0" indent="0" algn="l"/>
          <a:r>
            <a:rPr lang="en-US" sz="1400" b="1">
              <a:solidFill>
                <a:schemeClr val="bg1"/>
              </a:solidFill>
              <a:latin typeface="Segoe UI" panose="020B0502040204020203" pitchFamily="34" charset="0"/>
              <a:ea typeface="+mn-ea"/>
              <a:cs typeface="Segoe UI" panose="020B0502040204020203" pitchFamily="34" charset="0"/>
            </a:rPr>
            <a:t>     all with </a:t>
          </a:r>
          <a:r>
            <a:rPr lang="en-US" sz="1400" b="1">
              <a:solidFill>
                <a:srgbClr val="002060"/>
              </a:solidFill>
              <a:latin typeface="Segoe UI" panose="020B0502040204020203" pitchFamily="34" charset="0"/>
              <a:ea typeface="+mn-ea"/>
              <a:cs typeface="Segoe UI" panose="020B0502040204020203" pitchFamily="34" charset="0"/>
            </a:rPr>
            <a:t>₹79.3 Cr </a:t>
          </a:r>
          <a:r>
            <a:rPr lang="en-US" sz="1400" b="1">
              <a:solidFill>
                <a:schemeClr val="bg1"/>
              </a:solidFill>
              <a:latin typeface="Segoe UI" panose="020B0502040204020203" pitchFamily="34" charset="0"/>
              <a:ea typeface="+mn-ea"/>
              <a:cs typeface="Segoe UI" panose="020B0502040204020203" pitchFamily="34" charset="0"/>
            </a:rPr>
            <a:t>sales</a:t>
          </a:r>
        </a:p>
        <a:p>
          <a:pPr marL="0" indent="0" algn="l"/>
          <a:endParaRPr lang="en-US" sz="1400" b="1">
            <a:solidFill>
              <a:schemeClr val="bg1"/>
            </a:solidFill>
            <a:latin typeface="Segoe UI" panose="020B0502040204020203" pitchFamily="34" charset="0"/>
            <a:ea typeface="+mn-ea"/>
            <a:cs typeface="Segoe UI" panose="020B0502040204020203" pitchFamily="34" charset="0"/>
          </a:endParaRPr>
        </a:p>
        <a:p>
          <a:pPr marL="0" indent="0" algn="l"/>
          <a:r>
            <a:rPr lang="en-US" sz="1400" b="1" baseline="0">
              <a:solidFill>
                <a:schemeClr val="bg1"/>
              </a:solidFill>
              <a:latin typeface="Segoe UI" panose="020B0502040204020203" pitchFamily="34" charset="0"/>
              <a:cs typeface="Segoe UI" panose="020B0502040204020203" pitchFamily="34" charset="0"/>
            </a:rPr>
            <a:t>3.  </a:t>
          </a:r>
          <a:r>
            <a:rPr lang="en-US" sz="1400" b="1">
              <a:solidFill>
                <a:schemeClr val="bg1"/>
              </a:solidFill>
              <a:latin typeface="Segoe UI" panose="020B0502040204020203" pitchFamily="34" charset="0"/>
              <a:ea typeface="+mn-ea"/>
              <a:cs typeface="Segoe UI" panose="020B0502040204020203" pitchFamily="34" charset="0"/>
            </a:rPr>
            <a:t>Sales</a:t>
          </a:r>
          <a:r>
            <a:rPr lang="en-US" sz="1400" b="1" baseline="0">
              <a:solidFill>
                <a:schemeClr val="bg1"/>
              </a:solidFill>
              <a:latin typeface="Segoe UI" panose="020B0502040204020203" pitchFamily="34" charset="0"/>
              <a:ea typeface="+mn-ea"/>
              <a:cs typeface="Segoe UI" panose="020B0502040204020203" pitchFamily="34" charset="0"/>
            </a:rPr>
            <a:t> </a:t>
          </a:r>
          <a:r>
            <a:rPr lang="en-US" sz="1400" b="1">
              <a:solidFill>
                <a:schemeClr val="bg1"/>
              </a:solidFill>
              <a:latin typeface="Segoe UI" panose="020B0502040204020203" pitchFamily="34" charset="0"/>
              <a:ea typeface="+mn-ea"/>
              <a:cs typeface="Segoe UI" panose="020B0502040204020203" pitchFamily="34" charset="0"/>
            </a:rPr>
            <a:t>peaked in</a:t>
          </a:r>
          <a:r>
            <a:rPr lang="en-US" sz="1400" b="1" baseline="0">
              <a:solidFill>
                <a:schemeClr val="bg1"/>
              </a:solidFill>
              <a:latin typeface="Segoe UI" panose="020B0502040204020203" pitchFamily="34" charset="0"/>
              <a:ea typeface="+mn-ea"/>
              <a:cs typeface="Segoe UI" panose="020B0502040204020203" pitchFamily="34" charset="0"/>
            </a:rPr>
            <a:t> </a:t>
          </a:r>
        </a:p>
        <a:p>
          <a:pPr marL="0" indent="0" algn="l"/>
          <a:r>
            <a:rPr lang="en-US" sz="1400" b="1" baseline="0">
              <a:solidFill>
                <a:schemeClr val="bg1"/>
              </a:solidFill>
              <a:latin typeface="Segoe UI" panose="020B0502040204020203" pitchFamily="34" charset="0"/>
              <a:ea typeface="+mn-ea"/>
              <a:cs typeface="Segoe UI" panose="020B0502040204020203" pitchFamily="34" charset="0"/>
            </a:rPr>
            <a:t>     December </a:t>
          </a:r>
          <a:r>
            <a:rPr lang="en-US" sz="1400" b="1">
              <a:solidFill>
                <a:srgbClr val="002060"/>
              </a:solidFill>
              <a:latin typeface="Segoe UI" panose="020B0502040204020203" pitchFamily="34" charset="0"/>
              <a:ea typeface="+mn-ea"/>
              <a:cs typeface="Segoe UI" panose="020B0502040204020203" pitchFamily="34" charset="0"/>
            </a:rPr>
            <a:t>2024</a:t>
          </a:r>
        </a:p>
        <a:p>
          <a:pPr algn="l"/>
          <a:endParaRPr lang="en-US" sz="1400" b="1" baseline="0">
            <a:solidFill>
              <a:schemeClr val="bg1"/>
            </a:solidFill>
            <a:latin typeface="Segoe UI" panose="020B0502040204020203" pitchFamily="34" charset="0"/>
            <a:cs typeface="Segoe UI" panose="020B0502040204020203" pitchFamily="34" charset="0"/>
          </a:endParaRPr>
        </a:p>
        <a:p>
          <a:pPr marL="0" indent="0" algn="l"/>
          <a:r>
            <a:rPr lang="en-US" sz="1400" b="1" baseline="0">
              <a:solidFill>
                <a:schemeClr val="bg1"/>
              </a:solidFill>
              <a:latin typeface="Segoe UI" panose="020B0502040204020203" pitchFamily="34" charset="0"/>
              <a:cs typeface="Segoe UI" panose="020B0502040204020203" pitchFamily="34" charset="0"/>
            </a:rPr>
            <a:t>4.  </a:t>
          </a:r>
          <a:r>
            <a:rPr lang="en-US" sz="1400" b="1">
              <a:solidFill>
                <a:schemeClr val="bg1"/>
              </a:solidFill>
              <a:latin typeface="Segoe UI" panose="020B0502040204020203" pitchFamily="34" charset="0"/>
              <a:ea typeface="+mn-ea"/>
              <a:cs typeface="Segoe UI" panose="020B0502040204020203" pitchFamily="34" charset="0"/>
            </a:rPr>
            <a:t>Average order value </a:t>
          </a:r>
        </a:p>
        <a:p>
          <a:pPr marL="0" indent="0" algn="l"/>
          <a:r>
            <a:rPr lang="en-US" sz="1400" b="1">
              <a:solidFill>
                <a:schemeClr val="bg1"/>
              </a:solidFill>
              <a:latin typeface="Segoe UI" panose="020B0502040204020203" pitchFamily="34" charset="0"/>
              <a:ea typeface="+mn-ea"/>
              <a:cs typeface="Segoe UI" panose="020B0502040204020203" pitchFamily="34" charset="0"/>
            </a:rPr>
            <a:t>     is around </a:t>
          </a:r>
          <a:r>
            <a:rPr lang="en-US" sz="1400" b="1">
              <a:solidFill>
                <a:srgbClr val="002060"/>
              </a:solidFill>
              <a:latin typeface="Segoe UI" panose="020B0502040204020203" pitchFamily="34" charset="0"/>
              <a:ea typeface="+mn-ea"/>
              <a:cs typeface="Segoe UI" panose="020B0502040204020203" pitchFamily="34" charset="0"/>
            </a:rPr>
            <a:t>₹19 lakh </a:t>
          </a:r>
        </a:p>
        <a:p>
          <a:pPr marL="0" indent="0" algn="l"/>
          <a:r>
            <a:rPr lang="en-US" sz="1400" b="1">
              <a:solidFill>
                <a:schemeClr val="bg1"/>
              </a:solidFill>
              <a:latin typeface="Segoe UI" panose="020B0502040204020203" pitchFamily="34" charset="0"/>
              <a:ea typeface="+mn-ea"/>
              <a:cs typeface="Segoe UI" panose="020B0502040204020203" pitchFamily="34" charset="0"/>
            </a:rPr>
            <a:t>     which shows the higher   </a:t>
          </a:r>
        </a:p>
        <a:p>
          <a:pPr marL="0" indent="0" algn="l"/>
          <a:r>
            <a:rPr lang="en-US" sz="1400" b="1">
              <a:solidFill>
                <a:schemeClr val="bg1"/>
              </a:solidFill>
              <a:latin typeface="Segoe UI" panose="020B0502040204020203" pitchFamily="34" charset="0"/>
              <a:ea typeface="+mn-ea"/>
              <a:cs typeface="Segoe UI" panose="020B0502040204020203" pitchFamily="34" charset="0"/>
            </a:rPr>
            <a:t>     transcations per order</a:t>
          </a:r>
        </a:p>
        <a:p>
          <a:pPr algn="l"/>
          <a:endParaRPr lang="en-US" sz="1400" b="1">
            <a:solidFill>
              <a:schemeClr val="bg1"/>
            </a:solidFill>
            <a:latin typeface="Segoe UI" panose="020B0502040204020203" pitchFamily="34" charset="0"/>
            <a:ea typeface="+mn-ea"/>
            <a:cs typeface="Segoe UI" panose="020B0502040204020203" pitchFamily="34" charset="0"/>
          </a:endParaRPr>
        </a:p>
        <a:p>
          <a:pPr algn="l"/>
          <a:r>
            <a:rPr lang="en-US" sz="1400" b="1">
              <a:solidFill>
                <a:schemeClr val="bg1"/>
              </a:solidFill>
              <a:latin typeface="Segoe UI" panose="020B0502040204020203" pitchFamily="34" charset="0"/>
              <a:ea typeface="+mn-ea"/>
              <a:cs typeface="Segoe UI" panose="020B0502040204020203" pitchFamily="34" charset="0"/>
            </a:rPr>
            <a:t>5.  South</a:t>
          </a:r>
          <a:r>
            <a:rPr lang="en-US" sz="1400" b="1" baseline="0">
              <a:solidFill>
                <a:schemeClr val="bg1"/>
              </a:solidFill>
              <a:latin typeface="Segoe UI" panose="020B0502040204020203" pitchFamily="34" charset="0"/>
              <a:ea typeface="+mn-ea"/>
              <a:cs typeface="Segoe UI" panose="020B0502040204020203" pitchFamily="34" charset="0"/>
            </a:rPr>
            <a:t> region demands </a:t>
          </a:r>
        </a:p>
        <a:p>
          <a:pPr algn="l"/>
          <a:r>
            <a:rPr lang="en-US" sz="1400" b="1" baseline="0">
              <a:solidFill>
                <a:schemeClr val="bg1"/>
              </a:solidFill>
              <a:latin typeface="Segoe UI" panose="020B0502040204020203" pitchFamily="34" charset="0"/>
              <a:ea typeface="+mn-ea"/>
              <a:cs typeface="Segoe UI" panose="020B0502040204020203" pitchFamily="34" charset="0"/>
            </a:rPr>
            <a:t>     for future growth  </a:t>
          </a:r>
        </a:p>
        <a:p>
          <a:pPr algn="l"/>
          <a:r>
            <a:rPr lang="en-US" sz="1400" b="1" baseline="0">
              <a:solidFill>
                <a:schemeClr val="bg1"/>
              </a:solidFill>
              <a:latin typeface="Segoe UI" panose="020B0502040204020203" pitchFamily="34" charset="0"/>
              <a:ea typeface="+mn-ea"/>
              <a:cs typeface="Segoe UI" panose="020B0502040204020203" pitchFamily="34" charset="0"/>
            </a:rPr>
            <a:t>     opportunity.</a:t>
          </a:r>
        </a:p>
        <a:p>
          <a:pPr algn="l"/>
          <a:endParaRPr lang="en-US" sz="1400" b="1" baseline="0">
            <a:solidFill>
              <a:schemeClr val="bg1"/>
            </a:solidFill>
            <a:latin typeface="Segoe UI" panose="020B0502040204020203" pitchFamily="34" charset="0"/>
            <a:ea typeface="+mn-ea"/>
            <a:cs typeface="Segoe UI" panose="020B0502040204020203" pitchFamily="34" charset="0"/>
          </a:endParaRPr>
        </a:p>
        <a:p>
          <a:pPr algn="l"/>
          <a:r>
            <a:rPr lang="en-US" sz="1400" b="1" baseline="0">
              <a:solidFill>
                <a:schemeClr val="bg1"/>
              </a:solidFill>
              <a:latin typeface="Segoe UI" panose="020B0502040204020203" pitchFamily="34" charset="0"/>
              <a:ea typeface="+mn-ea"/>
              <a:cs typeface="Segoe UI" panose="020B0502040204020203" pitchFamily="34" charset="0"/>
            </a:rPr>
            <a:t>6.  Mahadev is the top </a:t>
          </a:r>
        </a:p>
        <a:p>
          <a:pPr algn="l"/>
          <a:r>
            <a:rPr lang="en-US" sz="1400" b="1" baseline="0">
              <a:solidFill>
                <a:schemeClr val="bg1"/>
              </a:solidFill>
              <a:latin typeface="Segoe UI" panose="020B0502040204020203" pitchFamily="34" charset="0"/>
              <a:ea typeface="+mn-ea"/>
              <a:cs typeface="Segoe UI" panose="020B0502040204020203" pitchFamily="34" charset="0"/>
            </a:rPr>
            <a:t>     dealer among all   </a:t>
          </a:r>
        </a:p>
        <a:p>
          <a:pPr algn="l"/>
          <a:r>
            <a:rPr lang="en-US" sz="1400" b="1" baseline="0">
              <a:solidFill>
                <a:schemeClr val="bg1"/>
              </a:solidFill>
              <a:latin typeface="Segoe UI" panose="020B0502040204020203" pitchFamily="34" charset="0"/>
              <a:ea typeface="+mn-ea"/>
              <a:cs typeface="Segoe UI" panose="020B0502040204020203" pitchFamily="34" charset="0"/>
            </a:rPr>
            <a:t>     contributing </a:t>
          </a:r>
          <a:r>
            <a:rPr lang="en-US" sz="1400" b="1" baseline="0">
              <a:solidFill>
                <a:srgbClr val="002060"/>
              </a:solidFill>
              <a:latin typeface="Segoe UI" panose="020B0502040204020203" pitchFamily="34" charset="0"/>
              <a:ea typeface="+mn-ea"/>
              <a:cs typeface="Segoe UI" panose="020B0502040204020203" pitchFamily="34" charset="0"/>
            </a:rPr>
            <a:t>21.04%</a:t>
          </a:r>
          <a:r>
            <a:rPr lang="en-US" sz="1400" b="1" baseline="0">
              <a:solidFill>
                <a:schemeClr val="bg1"/>
              </a:solidFill>
              <a:latin typeface="Segoe UI" panose="020B0502040204020203" pitchFamily="34" charset="0"/>
              <a:ea typeface="+mn-ea"/>
              <a:cs typeface="Segoe UI" panose="020B0502040204020203" pitchFamily="34" charset="0"/>
            </a:rPr>
            <a:t> of </a:t>
          </a:r>
        </a:p>
        <a:p>
          <a:pPr algn="l"/>
          <a:r>
            <a:rPr lang="en-US" sz="1400" b="1" baseline="0">
              <a:solidFill>
                <a:schemeClr val="bg1"/>
              </a:solidFill>
              <a:latin typeface="Segoe UI" panose="020B0502040204020203" pitchFamily="34" charset="0"/>
              <a:ea typeface="+mn-ea"/>
              <a:cs typeface="Segoe UI" panose="020B0502040204020203" pitchFamily="34" charset="0"/>
            </a:rPr>
            <a:t>     total sales by us</a:t>
          </a:r>
          <a:endParaRPr lang="en-US" sz="1400" b="1">
            <a:solidFill>
              <a:schemeClr val="bg1"/>
            </a:solidFill>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brat Gupta" refreshedDate="46255.452238773149" missingItemsLimit="0" createdVersion="8" refreshedVersion="8" minRefreshableVersion="3" recordCount="1979" xr:uid="{D1327B57-79F1-4930-B367-23356036AC0F}">
  <cacheSource type="worksheet">
    <worksheetSource name="Table1"/>
  </cacheSource>
  <cacheFields count="23">
    <cacheField name="Invoice ID" numFmtId="0">
      <sharedItems count="1979">
        <s v="INV1000"/>
        <s v="INV1001"/>
        <s v="INV1002"/>
        <s v="INV1003"/>
        <s v="INV1004"/>
        <s v="INV1005"/>
        <s v="INV1006"/>
        <s v="INV1007"/>
        <s v="INV1008"/>
        <s v="INV1009"/>
        <s v="INV1010"/>
        <s v="INV1011"/>
        <s v="INV1012"/>
        <s v="INV1013"/>
        <s v="INV1014"/>
        <s v="INV1015"/>
        <s v="INV1016"/>
        <s v="INV1017"/>
        <s v="INV1018"/>
        <s v="INV1019"/>
        <s v="INV1020"/>
        <s v="INV1021"/>
        <s v="INV1022"/>
        <s v="INV1023"/>
        <s v="INV1024"/>
        <s v="INV1025"/>
        <s v="INV1026"/>
        <s v="INV1027"/>
        <s v="INV1028"/>
        <s v="INV1029"/>
        <s v="INV1030"/>
        <s v="INV1031"/>
        <s v="INV1032"/>
        <s v="INV1033"/>
        <s v="INV1034"/>
        <s v="INV1035"/>
        <s v="INV1036"/>
        <s v="INV1037"/>
        <s v="INV1038"/>
        <s v="INV1039"/>
        <s v="INV1040"/>
        <s v="INV1042"/>
        <s v="INV1043"/>
        <s v="INV1044"/>
        <s v="INV1045"/>
        <s v="INV1046"/>
        <s v="INV1047"/>
        <s v="INV1048"/>
        <s v="INV1049"/>
        <s v="INV1050"/>
        <s v="INV1051"/>
        <s v="INV1052"/>
        <s v="INV1053"/>
        <s v="INV1054"/>
        <s v="INV1055"/>
        <s v="INV1056"/>
        <s v="INV1057"/>
        <s v="INV1058"/>
        <s v="INV1059"/>
        <s v="INV1060"/>
        <s v="INV1061"/>
        <s v="INV1062"/>
        <s v="INV1063"/>
        <s v="INV1064"/>
        <s v="INV1065"/>
        <s v="INV1066"/>
        <s v="INV1067"/>
        <s v="INV1068"/>
        <s v="INV1069"/>
        <s v="INV1070"/>
        <s v="INV1071"/>
        <s v="INV1072"/>
        <s v="INV1073"/>
        <s v="INV1074"/>
        <s v="INV1075"/>
        <s v="INV1076"/>
        <s v="INV1077"/>
        <s v="INV1078"/>
        <s v="INV1079"/>
        <s v="INV1080"/>
        <s v="INV1081"/>
        <s v="INV1082"/>
        <s v="INV1083"/>
        <s v="INV1084"/>
        <s v="INV1085"/>
        <s v="INV1086"/>
        <s v="INV1087"/>
        <s v="INV1088"/>
        <s v="INV1089"/>
        <s v="INV1090"/>
        <s v="INV1091"/>
        <s v="INV1092"/>
        <s v="INV1093"/>
        <s v="INV1094"/>
        <s v="INV1095"/>
        <s v="INV1096"/>
        <s v="INV1097"/>
        <s v="INV1098"/>
        <s v="INV1099"/>
        <s v="INV1100"/>
        <s v="INV1101"/>
        <s v="INV1102"/>
        <s v="INV1103"/>
        <s v="INV1104"/>
        <s v="INV1105"/>
        <s v="INV1106"/>
        <s v="INV1107"/>
        <s v="INV1108"/>
        <s v="INV1109"/>
        <s v="INV1110"/>
        <s v="INV1111"/>
        <s v="INV1112"/>
        <s v="INV1113"/>
        <s v="INV1114"/>
        <s v="INV1115"/>
        <s v="INV1116"/>
        <s v="INV1117"/>
        <s v="INV1118"/>
        <s v="INV1119"/>
        <s v="INV1120"/>
        <s v="INV1121"/>
        <s v="INV1122"/>
        <s v="INV1123"/>
        <s v="INV1124"/>
        <s v="INV1125"/>
        <s v="INV1126"/>
        <s v="INV1127"/>
        <s v="INV1128"/>
        <s v="INV1129"/>
        <s v="INV1130"/>
        <s v="INV1131"/>
        <s v="INV1132"/>
        <s v="INV1133"/>
        <s v="INV1134"/>
        <s v="INV1135"/>
        <s v="INV1136"/>
        <s v="INV1137"/>
        <s v="INV1138"/>
        <s v="INV1139"/>
        <s v="INV1140"/>
        <s v="INV1141"/>
        <s v="INV1142"/>
        <s v="INV1143"/>
        <s v="INV1144"/>
        <s v="INV1145"/>
        <s v="INV1146"/>
        <s v="INV1147"/>
        <s v="INV1148"/>
        <s v="INV1149"/>
        <s v="INV1150"/>
        <s v="INV1151"/>
        <s v="INV1152"/>
        <s v="INV1153"/>
        <s v="INV1154"/>
        <s v="INV1155"/>
        <s v="INV1156"/>
        <s v="INV1157"/>
        <s v="INV1158"/>
        <s v="INV1159"/>
        <s v="INV1160"/>
        <s v="INV1161"/>
        <s v="INV1162"/>
        <s v="INV1163"/>
        <s v="INV1164"/>
        <s v="INV1165"/>
        <s v="INV1166"/>
        <s v="INV1167"/>
        <s v="INV1168"/>
        <s v="INV1169"/>
        <s v="INV1170"/>
        <s v="INV1171"/>
        <s v="INV1172"/>
        <s v="INV1173"/>
        <s v="INV1174"/>
        <s v="INV1175"/>
        <s v="INV1176"/>
        <s v="INV1177"/>
        <s v="INV1178"/>
        <s v="INV1179"/>
        <s v="INV1180"/>
        <s v="INV1181"/>
        <s v="INV1182"/>
        <s v="INV1183"/>
        <s v="INV1184"/>
        <s v="INV1185"/>
        <s v="INV1186"/>
        <s v="INV1187"/>
        <s v="INV1188"/>
        <s v="INV1189"/>
        <s v="INV1190"/>
        <s v="INV1191"/>
        <s v="INV1192"/>
        <s v="INV1193"/>
        <s v="INV1194"/>
        <s v="INV1195"/>
        <s v="INV1196"/>
        <s v="INV1197"/>
        <s v="INV1198"/>
        <s v="INV1199"/>
        <s v="INV1200"/>
        <s v="INV1201"/>
        <s v="INV1202"/>
        <s v="INV1203"/>
        <s v="INV1204"/>
        <s v="INV1205"/>
        <s v="INV1206"/>
        <s v="INV1207"/>
        <s v="INV1208"/>
        <s v="INV1209"/>
        <s v="INV1210"/>
        <s v="INV1211"/>
        <s v="INV1212"/>
        <s v="INV1213"/>
        <s v="INV1214"/>
        <s v="INV1215"/>
        <s v="INV1216"/>
        <s v="INV1217"/>
        <s v="INV1218"/>
        <s v="INV1219"/>
        <s v="INV1220"/>
        <s v="INV1221"/>
        <s v="INV1222"/>
        <s v="INV1223"/>
        <s v="INV1224"/>
        <s v="INV1225"/>
        <s v="INV1226"/>
        <s v="INV1227"/>
        <s v="INV1228"/>
        <s v="INV1229"/>
        <s v="INV1230"/>
        <s v="INV1231"/>
        <s v="INV1232"/>
        <s v="INV1233"/>
        <s v="INV1234"/>
        <s v="INV1235"/>
        <s v="INV1236"/>
        <s v="INV1237"/>
        <s v="INV1238"/>
        <s v="INV1239"/>
        <s v="INV1240"/>
        <s v="INV1241"/>
        <s v="INV1242"/>
        <s v="INV1243"/>
        <s v="INV1244"/>
        <s v="INV1245"/>
        <s v="INV1246"/>
        <s v="INV1247"/>
        <s v="INV1248"/>
        <s v="INV1249"/>
        <s v="INV1250"/>
        <s v="INV1251"/>
        <s v="INV1252"/>
        <s v="INV1253"/>
        <s v="INV1254"/>
        <s v="INV1255"/>
        <s v="INV1256"/>
        <s v="INV1257"/>
        <s v="INV1258"/>
        <s v="INV1259"/>
        <s v="INV1260"/>
        <s v="INV1261"/>
        <s v="INV1262"/>
        <s v="INV1263"/>
        <s v="INV1264"/>
        <s v="INV1265"/>
        <s v="INV1267"/>
        <s v="INV1268"/>
        <s v="INV1269"/>
        <s v="INV1270"/>
        <s v="INV1271"/>
        <s v="INV1272"/>
        <s v="INV1273"/>
        <s v="INV1274"/>
        <s v="INV1275"/>
        <s v="INV1276"/>
        <s v="INV1277"/>
        <s v="INV1278"/>
        <s v="INV1279"/>
        <s v="INV1280"/>
        <s v="INV1281"/>
        <s v="INV1282"/>
        <s v="INV1283"/>
        <s v="INV1284"/>
        <s v="INV1285"/>
        <s v="INV1286"/>
        <s v="INV1287"/>
        <s v="INV1288"/>
        <s v="INV1289"/>
        <s v="INV1290"/>
        <s v="INV1291"/>
        <s v="INV1292"/>
        <s v="INV1293"/>
        <s v="INV1294"/>
        <s v="INV1295"/>
        <s v="INV1296"/>
        <s v="INV1297"/>
        <s v="INV1298"/>
        <s v="INV1299"/>
        <s v="INV1300"/>
        <s v="INV1301"/>
        <s v="INV1302"/>
        <s v="INV1303"/>
        <s v="INV1304"/>
        <s v="INV1305"/>
        <s v="INV1306"/>
        <s v="INV1307"/>
        <s v="INV1308"/>
        <s v="INV1309"/>
        <s v="INV1310"/>
        <s v="INV1311"/>
        <s v="INV1312"/>
        <s v="INV1313"/>
        <s v="INV1314"/>
        <s v="INV1315"/>
        <s v="INV1316"/>
        <s v="INV1317"/>
        <s v="INV1318"/>
        <s v="INV1319"/>
        <s v="INV1320"/>
        <s v="INV1321"/>
        <s v="INV1322"/>
        <s v="INV1323"/>
        <s v="INV1324"/>
        <s v="INV1325"/>
        <s v="INV1326"/>
        <s v="INV1327"/>
        <s v="INV1328"/>
        <s v="INV1329"/>
        <s v="INV1330"/>
        <s v="INV1331"/>
        <s v="INV1332"/>
        <s v="INV1333"/>
        <s v="INV1334"/>
        <s v="INV1335"/>
        <s v="INV1336"/>
        <s v="INV1337"/>
        <s v="INV1338"/>
        <s v="INV1339"/>
        <s v="INV1340"/>
        <s v="INV1341"/>
        <s v="INV1342"/>
        <s v="INV1343"/>
        <s v="INV1344"/>
        <s v="INV1345"/>
        <s v="INV1346"/>
        <s v="INV1347"/>
        <s v="INV1348"/>
        <s v="INV1349"/>
        <s v="INV1350"/>
        <s v="INV1351"/>
        <s v="INV1352"/>
        <s v="INV1353"/>
        <s v="INV1355"/>
        <s v="INV1356"/>
        <s v="INV1357"/>
        <s v="INV1358"/>
        <s v="INV1359"/>
        <s v="INV1360"/>
        <s v="INV1362"/>
        <s v="INV1363"/>
        <s v="INV1364"/>
        <s v="INV1365"/>
        <s v="INV1366"/>
        <s v="INV1367"/>
        <s v="INV1368"/>
        <s v="INV1369"/>
        <s v="INV1370"/>
        <s v="INV1371"/>
        <s v="INV1372"/>
        <s v="INV1373"/>
        <s v="INV1374"/>
        <s v="INV1375"/>
        <s v="INV1376"/>
        <s v="INV1377"/>
        <s v="INV1378"/>
        <s v="INV1379"/>
        <s v="INV1380"/>
        <s v="INV1381"/>
        <s v="INV1382"/>
        <s v="INV1383"/>
        <s v="INV1384"/>
        <s v="INV1385"/>
        <s v="INV1386"/>
        <s v="INV1387"/>
        <s v="INV1388"/>
        <s v="INV1389"/>
        <s v="INV1390"/>
        <s v="INV1391"/>
        <s v="INV1392"/>
        <s v="INV1393"/>
        <s v="INV1394"/>
        <s v="INV1395"/>
        <s v="INV1396"/>
        <s v="INV1397"/>
        <s v="INV1398"/>
        <s v="INV1399"/>
        <s v="INV1400"/>
        <s v="INV1401"/>
        <s v="INV1402"/>
        <s v="INV1403"/>
        <s v="INV1404"/>
        <s v="INV1405"/>
        <s v="INV1406"/>
        <s v="INV1407"/>
        <s v="INV1408"/>
        <s v="INV1409"/>
        <s v="INV1410"/>
        <s v="INV1411"/>
        <s v="INV1412"/>
        <s v="INV1413"/>
        <s v="INV1414"/>
        <s v="INV1415"/>
        <s v="INV1416"/>
        <s v="INV1417"/>
        <s v="INV1418"/>
        <s v="INV1419"/>
        <s v="INV1420"/>
        <s v="INV1421"/>
        <s v="INV1422"/>
        <s v="INV1423"/>
        <s v="INV1424"/>
        <s v="INV1425"/>
        <s v="INV1426"/>
        <s v="INV1427"/>
        <s v="INV1428"/>
        <s v="INV1429"/>
        <s v="INV1430"/>
        <s v="INV1431"/>
        <s v="INV1432"/>
        <s v="INV1433"/>
        <s v="INV1434"/>
        <s v="INV1435"/>
        <s v="INV1436"/>
        <s v="INV1437"/>
        <s v="INV1438"/>
        <s v="INV1439"/>
        <s v="INV1440"/>
        <s v="INV1441"/>
        <s v="INV1442"/>
        <s v="INV1443"/>
        <s v="INV1444"/>
        <s v="INV1445"/>
        <s v="INV1446"/>
        <s v="INV1447"/>
        <s v="INV1448"/>
        <s v="INV1449"/>
        <s v="INV1450"/>
        <s v="INV1451"/>
        <s v="INV1452"/>
        <s v="INV1453"/>
        <s v="INV1454"/>
        <s v="INV1455"/>
        <s v="INV1456"/>
        <s v="INV1457"/>
        <s v="INV1458"/>
        <s v="INV1459"/>
        <s v="INV1460"/>
        <s v="INV1461"/>
        <s v="INV1462"/>
        <s v="INV1463"/>
        <s v="INV1464"/>
        <s v="INV1465"/>
        <s v="INV1466"/>
        <s v="INV1467"/>
        <s v="INV1468"/>
        <s v="INV1469"/>
        <s v="INV1470"/>
        <s v="INV1471"/>
        <s v="INV1472"/>
        <s v="INV1473"/>
        <s v="INV1474"/>
        <s v="INV1475"/>
        <s v="INV1476"/>
        <s v="INV1477"/>
        <s v="INV1478"/>
        <s v="INV1479"/>
        <s v="INV1480"/>
        <s v="INV1481"/>
        <s v="INV1482"/>
        <s v="INV1483"/>
        <s v="INV1484"/>
        <s v="INV1485"/>
        <s v="INV1486"/>
        <s v="INV1487"/>
        <s v="INV1488"/>
        <s v="INV1489"/>
        <s v="INV1490"/>
        <s v="INV1491"/>
        <s v="INV1492"/>
        <s v="INV1493"/>
        <s v="INV1494"/>
        <s v="INV1495"/>
        <s v="INV1496"/>
        <s v="INV1497"/>
        <s v="INV1498"/>
        <s v="INV1499"/>
        <s v="INV1500"/>
        <s v="INV1501"/>
        <s v="INV1502"/>
        <s v="INV1503"/>
        <s v="INV1504"/>
        <s v="INV1505"/>
        <s v="INV1506"/>
        <s v="INV1508"/>
        <s v="INV1509"/>
        <s v="INV1510"/>
        <s v="INV1511"/>
        <s v="INV1512"/>
        <s v="INV1513"/>
        <s v="INV1514"/>
        <s v="INV1515"/>
        <s v="INV1516"/>
        <s v="INV1517"/>
        <s v="INV1518"/>
        <s v="INV1519"/>
        <s v="INV1520"/>
        <s v="INV1521"/>
        <s v="INV1522"/>
        <s v="INV1523"/>
        <s v="INV1524"/>
        <s v="INV1525"/>
        <s v="INV1526"/>
        <s v="INV1527"/>
        <s v="INV1528"/>
        <s v="INV1529"/>
        <s v="INV1530"/>
        <s v="INV1531"/>
        <s v="INV1532"/>
        <s v="INV1533"/>
        <s v="INV1534"/>
        <s v="INV1535"/>
        <s v="INV1536"/>
        <s v="INV1537"/>
        <s v="INV1538"/>
        <s v="INV1539"/>
        <s v="INV1540"/>
        <s v="INV1541"/>
        <s v="INV1542"/>
        <s v="INV1543"/>
        <s v="INV1544"/>
        <s v="INV1545"/>
        <s v="INV1546"/>
        <s v="INV1547"/>
        <s v="INV1548"/>
        <s v="INV1549"/>
        <s v="INV1550"/>
        <s v="INV1551"/>
        <s v="INV1552"/>
        <s v="INV1553"/>
        <s v="INV1554"/>
        <s v="INV1555"/>
        <s v="INV1556"/>
        <s v="INV1557"/>
        <s v="INV1558"/>
        <s v="INV1560"/>
        <s v="INV1561"/>
        <s v="INV1562"/>
        <s v="INV1563"/>
        <s v="INV1564"/>
        <s v="INV1565"/>
        <s v="INV1566"/>
        <s v="INV1567"/>
        <s v="INV1568"/>
        <s v="INV1569"/>
        <s v="INV1570"/>
        <s v="INV1571"/>
        <s v="INV1572"/>
        <s v="INV1573"/>
        <s v="INV1574"/>
        <s v="INV1575"/>
        <s v="INV1576"/>
        <s v="INV1577"/>
        <s v="INV1578"/>
        <s v="INV1579"/>
        <s v="INV1580"/>
        <s v="INV1581"/>
        <s v="INV1582"/>
        <s v="INV1583"/>
        <s v="INV1584"/>
        <s v="INV1585"/>
        <s v="INV1586"/>
        <s v="INV1587"/>
        <s v="INV1588"/>
        <s v="INV1589"/>
        <s v="INV1590"/>
        <s v="INV1591"/>
        <s v="INV1592"/>
        <s v="INV1593"/>
        <s v="INV1594"/>
        <s v="INV1595"/>
        <s v="INV1596"/>
        <s v="INV1597"/>
        <s v="INV1598"/>
        <s v="INV1599"/>
        <s v="INV1600"/>
        <s v="INV1601"/>
        <s v="INV1602"/>
        <s v="INV1603"/>
        <s v="INV1604"/>
        <s v="INV1605"/>
        <s v="INV1606"/>
        <s v="INV1607"/>
        <s v="INV1608"/>
        <s v="INV1609"/>
        <s v="INV1610"/>
        <s v="INV1611"/>
        <s v="INV1612"/>
        <s v="INV1613"/>
        <s v="INV1614"/>
        <s v="INV1615"/>
        <s v="INV1616"/>
        <s v="INV1617"/>
        <s v="INV1618"/>
        <s v="INV1619"/>
        <s v="INV1620"/>
        <s v="INV1621"/>
        <s v="INV1622"/>
        <s v="INV1623"/>
        <s v="INV1624"/>
        <s v="INV1625"/>
        <s v="INV1626"/>
        <s v="INV1627"/>
        <s v="INV1628"/>
        <s v="INV1629"/>
        <s v="INV1630"/>
        <s v="INV1631"/>
        <s v="INV1632"/>
        <s v="INV1633"/>
        <s v="INV1634"/>
        <s v="INV1635"/>
        <s v="INV1636"/>
        <s v="INV1637"/>
        <s v="INV1638"/>
        <s v="INV1639"/>
        <s v="INV1640"/>
        <s v="INV1641"/>
        <s v="INV1642"/>
        <s v="INV1643"/>
        <s v="INV1644"/>
        <s v="INV1645"/>
        <s v="INV1646"/>
        <s v="INV1647"/>
        <s v="INV1648"/>
        <s v="INV1649"/>
        <s v="INV1650"/>
        <s v="INV1651"/>
        <s v="INV1652"/>
        <s v="INV1653"/>
        <s v="INV1654"/>
        <s v="INV1655"/>
        <s v="INV1656"/>
        <s v="INV1657"/>
        <s v="INV1658"/>
        <s v="INV1660"/>
        <s v="INV1662"/>
        <s v="INV1663"/>
        <s v="INV1664"/>
        <s v="INV1665"/>
        <s v="INV1666"/>
        <s v="INV1667"/>
        <s v="INV1668"/>
        <s v="INV1669"/>
        <s v="INV1670"/>
        <s v="INV1671"/>
        <s v="INV1672"/>
        <s v="INV1673"/>
        <s v="INV1674"/>
        <s v="INV1675"/>
        <s v="INV1676"/>
        <s v="INV1677"/>
        <s v="INV1678"/>
        <s v="INV1679"/>
        <s v="INV1680"/>
        <s v="INV1681"/>
        <s v="INV1682"/>
        <s v="INV1683"/>
        <s v="INV1684"/>
        <s v="INV1685"/>
        <s v="INV1686"/>
        <s v="INV1687"/>
        <s v="INV1688"/>
        <s v="INV1689"/>
        <s v="INV1690"/>
        <s v="INV1691"/>
        <s v="INV1692"/>
        <s v="INV1693"/>
        <s v="INV1694"/>
        <s v="INV1695"/>
        <s v="INV1696"/>
        <s v="INV1697"/>
        <s v="INV1698"/>
        <s v="INV1699"/>
        <s v="INV1700"/>
        <s v="INV1701"/>
        <s v="INV1702"/>
        <s v="INV1703"/>
        <s v="INV1704"/>
        <s v="INV1705"/>
        <s v="INV1706"/>
        <s v="INV1707"/>
        <s v="INV1708"/>
        <s v="INV1709"/>
        <s v="INV1710"/>
        <s v="INV1711"/>
        <s v="INV1712"/>
        <s v="INV1713"/>
        <s v="INV1714"/>
        <s v="INV1715"/>
        <s v="INV1716"/>
        <s v="INV1717"/>
        <s v="INV1718"/>
        <s v="INV1719"/>
        <s v="INV1720"/>
        <s v="INV1721"/>
        <s v="INV1722"/>
        <s v="INV1723"/>
        <s v="INV1724"/>
        <s v="INV1725"/>
        <s v="INV1726"/>
        <s v="INV1727"/>
        <s v="INV1728"/>
        <s v="INV1729"/>
        <s v="INV1730"/>
        <s v="INV1731"/>
        <s v="INV1732"/>
        <s v="INV1733"/>
        <s v="INV1734"/>
        <s v="INV1735"/>
        <s v="INV1736"/>
        <s v="INV1737"/>
        <s v="INV1738"/>
        <s v="INV1739"/>
        <s v="INV1740"/>
        <s v="INV1741"/>
        <s v="INV1742"/>
        <s v="INV1743"/>
        <s v="INV1744"/>
        <s v="INV1745"/>
        <s v="INV1746"/>
        <s v="INV1747"/>
        <s v="INV1748"/>
        <s v="INV1749"/>
        <s v="INV1750"/>
        <s v="INV1751"/>
        <s v="INV1752"/>
        <s v="INV1753"/>
        <s v="INV1754"/>
        <s v="INV1755"/>
        <s v="INV1756"/>
        <s v="INV1757"/>
        <s v="INV1758"/>
        <s v="INV1759"/>
        <s v="INV1760"/>
        <s v="INV1761"/>
        <s v="INV1762"/>
        <s v="INV1763"/>
        <s v="INV1764"/>
        <s v="INV1765"/>
        <s v="INV1766"/>
        <s v="INV1767"/>
        <s v="INV1768"/>
        <s v="INV1769"/>
        <s v="INV1770"/>
        <s v="INV1771"/>
        <s v="INV1772"/>
        <s v="INV1773"/>
        <s v="INV1774"/>
        <s v="INV1775"/>
        <s v="INV1776"/>
        <s v="INV1777"/>
        <s v="INV1778"/>
        <s v="INV1779"/>
        <s v="INV1780"/>
        <s v="INV1781"/>
        <s v="INV1782"/>
        <s v="INV1783"/>
        <s v="INV1784"/>
        <s v="INV1785"/>
        <s v="INV1786"/>
        <s v="INV1787"/>
        <s v="INV1788"/>
        <s v="INV1789"/>
        <s v="INV1790"/>
        <s v="INV1791"/>
        <s v="INV1792"/>
        <s v="INV1793"/>
        <s v="INV1794"/>
        <s v="INV1795"/>
        <s v="INV1796"/>
        <s v="INV1797"/>
        <s v="INV1798"/>
        <s v="INV1799"/>
        <s v="INV1800"/>
        <s v="INV1801"/>
        <s v="INV1802"/>
        <s v="INV1803"/>
        <s v="INV1804"/>
        <s v="INV1805"/>
        <s v="INV1806"/>
        <s v="INV1807"/>
        <s v="INV1808"/>
        <s v="INV1809"/>
        <s v="INV1810"/>
        <s v="INV1811"/>
        <s v="INV1812"/>
        <s v="INV1813"/>
        <s v="INV1814"/>
        <s v="INV1815"/>
        <s v="INV1816"/>
        <s v="INV1818"/>
        <s v="INV1819"/>
        <s v="INV1820"/>
        <s v="INV1821"/>
        <s v="INV1822"/>
        <s v="INV1823"/>
        <s v="INV1824"/>
        <s v="INV1825"/>
        <s v="INV1826"/>
        <s v="INV1827"/>
        <s v="INV1828"/>
        <s v="INV1829"/>
        <s v="INV1830"/>
        <s v="INV1831"/>
        <s v="INV1832"/>
        <s v="INV1833"/>
        <s v="INV1834"/>
        <s v="INV1835"/>
        <s v="INV1836"/>
        <s v="INV1837"/>
        <s v="INV1838"/>
        <s v="INV1839"/>
        <s v="INV1840"/>
        <s v="INV1841"/>
        <s v="INV1842"/>
        <s v="INV1843"/>
        <s v="INV1844"/>
        <s v="INV1845"/>
        <s v="INV1846"/>
        <s v="INV1847"/>
        <s v="INV1848"/>
        <s v="INV1849"/>
        <s v="INV1850"/>
        <s v="INV1851"/>
        <s v="INV1852"/>
        <s v="INV1853"/>
        <s v="INV1854"/>
        <s v="INV1855"/>
        <s v="INV1856"/>
        <s v="INV1857"/>
        <s v="INV1858"/>
        <s v="INV1859"/>
        <s v="INV1860"/>
        <s v="INV1861"/>
        <s v="INV1862"/>
        <s v="INV1863"/>
        <s v="INV1864"/>
        <s v="INV1865"/>
        <s v="INV1866"/>
        <s v="INV1867"/>
        <s v="INV1868"/>
        <s v="INV1869"/>
        <s v="INV1870"/>
        <s v="INV1871"/>
        <s v="INV1872"/>
        <s v="INV1873"/>
        <s v="INV1874"/>
        <s v="INV1875"/>
        <s v="INV1876"/>
        <s v="INV1877"/>
        <s v="INV1878"/>
        <s v="INV1880"/>
        <s v="INV1881"/>
        <s v="INV1882"/>
        <s v="INV1883"/>
        <s v="INV1884"/>
        <s v="INV1885"/>
        <s v="INV1886"/>
        <s v="INV1887"/>
        <s v="INV1888"/>
        <s v="INV1889"/>
        <s v="INV1890"/>
        <s v="INV1891"/>
        <s v="INV1892"/>
        <s v="INV1893"/>
        <s v="INV1894"/>
        <s v="INV1895"/>
        <s v="INV1896"/>
        <s v="INV1897"/>
        <s v="INV1898"/>
        <s v="INV1899"/>
        <s v="INV1900"/>
        <s v="INV1901"/>
        <s v="INV1902"/>
        <s v="INV1903"/>
        <s v="INV1904"/>
        <s v="INV1905"/>
        <s v="INV1906"/>
        <s v="INV1907"/>
        <s v="INV1908"/>
        <s v="INV1909"/>
        <s v="INV1910"/>
        <s v="INV1911"/>
        <s v="INV1912"/>
        <s v="INV1913"/>
        <s v="INV1914"/>
        <s v="INV1915"/>
        <s v="INV1916"/>
        <s v="INV1917"/>
        <s v="INV1918"/>
        <s v="INV1919"/>
        <s v="INV1920"/>
        <s v="INV1921"/>
        <s v="INV1922"/>
        <s v="INV1923"/>
        <s v="INV1924"/>
        <s v="INV1925"/>
        <s v="INV1926"/>
        <s v="INV1927"/>
        <s v="INV1928"/>
        <s v="INV1929"/>
        <s v="INV1930"/>
        <s v="INV1931"/>
        <s v="INV1932"/>
        <s v="INV1933"/>
        <s v="INV1934"/>
        <s v="INV1935"/>
        <s v="INV1936"/>
        <s v="INV1937"/>
        <s v="INV1938"/>
        <s v="INV1939"/>
        <s v="INV1940"/>
        <s v="INV1941"/>
        <s v="INV1942"/>
        <s v="INV1943"/>
        <s v="INV1944"/>
        <s v="INV1945"/>
        <s v="INV1946"/>
        <s v="INV1947"/>
        <s v="INV1948"/>
        <s v="INV1949"/>
        <s v="INV1950"/>
        <s v="INV1951"/>
        <s v="INV1952"/>
        <s v="INV1953"/>
        <s v="INV1954"/>
        <s v="INV1955"/>
        <s v="INV1956"/>
        <s v="INV1957"/>
        <s v="INV1958"/>
        <s v="INV1959"/>
        <s v="INV1960"/>
        <s v="INV1961"/>
        <s v="INV1962"/>
        <s v="INV1963"/>
        <s v="INV1964"/>
        <s v="INV1965"/>
        <s v="INV1966"/>
        <s v="INV1967"/>
        <s v="INV1968"/>
        <s v="INV1969"/>
        <s v="INV1970"/>
        <s v="INV1972"/>
        <s v="INV1973"/>
        <s v="INV1974"/>
        <s v="INV1975"/>
        <s v="INV1976"/>
        <s v="INV1977"/>
        <s v="INV1978"/>
        <s v="INV1979"/>
        <s v="INV1980"/>
        <s v="INV1981"/>
        <s v="INV1982"/>
        <s v="INV1983"/>
        <s v="INV1984"/>
        <s v="INV1985"/>
        <s v="INV1986"/>
        <s v="INV1987"/>
        <s v="INV1988"/>
        <s v="INV1990"/>
        <s v="INV1991"/>
        <s v="INV1992"/>
        <s v="INV1993"/>
        <s v="INV1994"/>
        <s v="INV1995"/>
        <s v="INV1996"/>
        <s v="INV1997"/>
        <s v="INV1998"/>
        <s v="INV1999"/>
        <s v="INV2000"/>
        <s v="INV2001"/>
        <s v="INV2002"/>
        <s v="INV2003"/>
        <s v="INV2004"/>
        <s v="INV2005"/>
        <s v="INV2006"/>
        <s v="INV2007"/>
        <s v="INV2008"/>
        <s v="INV2009"/>
        <s v="INV2010"/>
        <s v="INV2011"/>
        <s v="INV2012"/>
        <s v="INV2013"/>
        <s v="INV2014"/>
        <s v="INV2015"/>
        <s v="INV2016"/>
        <s v="INV2017"/>
        <s v="INV2018"/>
        <s v="INV2019"/>
        <s v="INV2020"/>
        <s v="INV2021"/>
        <s v="INV2022"/>
        <s v="INV2023"/>
        <s v="INV2024"/>
        <s v="INV2025"/>
        <s v="INV2026"/>
        <s v="INV2027"/>
        <s v="INV2028"/>
        <s v="INV2029"/>
        <s v="INV2030"/>
        <s v="INV2031"/>
        <s v="INV2032"/>
        <s v="INV2033"/>
        <s v="INV2034"/>
        <s v="INV2035"/>
        <s v="INV2036"/>
        <s v="INV2037"/>
        <s v="INV2038"/>
        <s v="INV2039"/>
        <s v="INV2040"/>
        <s v="INV2041"/>
        <s v="INV2042"/>
        <s v="INV2043"/>
        <s v="INV2044"/>
        <s v="INV2045"/>
        <s v="INV2046"/>
        <s v="INV2047"/>
        <s v="INV2048"/>
        <s v="INV2049"/>
        <s v="INV2050"/>
        <s v="INV2051"/>
        <s v="INV2052"/>
        <s v="INV2053"/>
        <s v="INV2054"/>
        <s v="INV2055"/>
        <s v="INV2056"/>
        <s v="INV2057"/>
        <s v="INV2058"/>
        <s v="INV2059"/>
        <s v="INV2060"/>
        <s v="INV2061"/>
        <s v="INV2062"/>
        <s v="INV2063"/>
        <s v="INV2064"/>
        <s v="INV2065"/>
        <s v="INV2066"/>
        <s v="INV2067"/>
        <s v="INV2068"/>
        <s v="INV2069"/>
        <s v="INV2070"/>
        <s v="INV2071"/>
        <s v="INV2072"/>
        <s v="INV2073"/>
        <s v="INV2074"/>
        <s v="INV2075"/>
        <s v="INV2076"/>
        <s v="INV2077"/>
        <s v="INV2078"/>
        <s v="INV2079"/>
        <s v="INV2080"/>
        <s v="INV2081"/>
        <s v="INV2082"/>
        <s v="INV2083"/>
        <s v="INV2084"/>
        <s v="INV2085"/>
        <s v="INV2086"/>
        <s v="INV2087"/>
        <s v="INV2088"/>
        <s v="INV2089"/>
        <s v="INV2090"/>
        <s v="INV2091"/>
        <s v="INV2092"/>
        <s v="INV2093"/>
        <s v="INV2094"/>
        <s v="INV2095"/>
        <s v="INV2096"/>
        <s v="INV2097"/>
        <s v="INV2098"/>
        <s v="INV2099"/>
        <s v="INV2100"/>
        <s v="INV2101"/>
        <s v="INV2102"/>
        <s v="INV2103"/>
        <s v="INV2104"/>
        <s v="INV2105"/>
        <s v="INV2106"/>
        <s v="INV2107"/>
        <s v="INV2108"/>
        <s v="INV2109"/>
        <s v="INV2110"/>
        <s v="INV2111"/>
        <s v="INV2112"/>
        <s v="INV2113"/>
        <s v="INV2114"/>
        <s v="INV2115"/>
        <s v="INV2116"/>
        <s v="INV2117"/>
        <s v="INV2118"/>
        <s v="INV2119"/>
        <s v="INV2120"/>
        <s v="INV2121"/>
        <s v="INV2122"/>
        <s v="INV2123"/>
        <s v="INV2124"/>
        <s v="INV2125"/>
        <s v="INV2126"/>
        <s v="INV2127"/>
        <s v="INV2128"/>
        <s v="INV2129"/>
        <s v="INV2130"/>
        <s v="INV2131"/>
        <s v="INV2132"/>
        <s v="INV2133"/>
        <s v="INV2134"/>
        <s v="INV2135"/>
        <s v="INV2136"/>
        <s v="INV2137"/>
        <s v="INV2138"/>
        <s v="INV2139"/>
        <s v="INV2140"/>
        <s v="INV2141"/>
        <s v="INV2142"/>
        <s v="INV2143"/>
        <s v="INV2144"/>
        <s v="INV2145"/>
        <s v="INV2146"/>
        <s v="INV2148"/>
        <s v="INV2149"/>
        <s v="INV2150"/>
        <s v="INV2151"/>
        <s v="INV2152"/>
        <s v="INV2154"/>
        <s v="INV2155"/>
        <s v="INV2156"/>
        <s v="INV2157"/>
        <s v="INV2158"/>
        <s v="INV2159"/>
        <s v="INV2160"/>
        <s v="INV2161"/>
        <s v="INV2162"/>
        <s v="INV2163"/>
        <s v="INV2164"/>
        <s v="INV2165"/>
        <s v="INV2166"/>
        <s v="INV2167"/>
        <s v="INV2168"/>
        <s v="INV2169"/>
        <s v="INV2170"/>
        <s v="INV2171"/>
        <s v="INV2172"/>
        <s v="INV2173"/>
        <s v="INV2174"/>
        <s v="INV2175"/>
        <s v="INV2176"/>
        <s v="INV2177"/>
        <s v="INV2178"/>
        <s v="INV2179"/>
        <s v="INV2180"/>
        <s v="INV2181"/>
        <s v="INV2183"/>
        <s v="INV2184"/>
        <s v="INV2185"/>
        <s v="INV2186"/>
        <s v="INV2187"/>
        <s v="INV2188"/>
        <s v="INV2189"/>
        <s v="INV2190"/>
        <s v="INV2191"/>
        <s v="INV2192"/>
        <s v="INV2193"/>
        <s v="INV2194"/>
        <s v="INV2195"/>
        <s v="INV2196"/>
        <s v="INV2197"/>
        <s v="INV2198"/>
        <s v="INV2199"/>
        <s v="INV2200"/>
        <s v="INV2201"/>
        <s v="INV2202"/>
        <s v="INV2203"/>
        <s v="INV2204"/>
        <s v="INV2205"/>
        <s v="INV2206"/>
        <s v="INV2207"/>
        <s v="INV2208"/>
        <s v="INV2209"/>
        <s v="INV2210"/>
        <s v="INV2211"/>
        <s v="INV2212"/>
        <s v="INV2213"/>
        <s v="INV2214"/>
        <s v="INV2215"/>
        <s v="INV2216"/>
        <s v="INV2217"/>
        <s v="INV2218"/>
        <s v="INV2219"/>
        <s v="INV2220"/>
        <s v="INV2221"/>
        <s v="INV2222"/>
        <s v="INV2223"/>
        <s v="INV2224"/>
        <s v="INV2225"/>
        <s v="INV2226"/>
        <s v="INV2227"/>
        <s v="INV2228"/>
        <s v="INV2229"/>
        <s v="INV2230"/>
        <s v="INV2231"/>
        <s v="INV2232"/>
        <s v="INV2233"/>
        <s v="INV2234"/>
        <s v="INV2235"/>
        <s v="INV2236"/>
        <s v="INV2237"/>
        <s v="INV2238"/>
        <s v="INV2239"/>
        <s v="INV2240"/>
        <s v="INV2241"/>
        <s v="INV2242"/>
        <s v="INV2243"/>
        <s v="INV2244"/>
        <s v="INV2245"/>
        <s v="INV2246"/>
        <s v="INV2247"/>
        <s v="INV2248"/>
        <s v="INV2249"/>
        <s v="INV2250"/>
        <s v="INV2251"/>
        <s v="INV2252"/>
        <s v="INV2253"/>
        <s v="INV2254"/>
        <s v="INV2255"/>
        <s v="INV2256"/>
        <s v="INV2257"/>
        <s v="INV2258"/>
        <s v="INV2259"/>
        <s v="INV2260"/>
        <s v="INV2261"/>
        <s v="INV2262"/>
        <s v="INV2263"/>
        <s v="INV2264"/>
        <s v="INV2265"/>
        <s v="INV2266"/>
        <s v="INV2267"/>
        <s v="INV2268"/>
        <s v="INV2269"/>
        <s v="INV2270"/>
        <s v="INV2271"/>
        <s v="INV2272"/>
        <s v="INV2273"/>
        <s v="INV2274"/>
        <s v="INV2275"/>
        <s v="INV2276"/>
        <s v="INV2277"/>
        <s v="INV2278"/>
        <s v="INV2279"/>
        <s v="INV2280"/>
        <s v="INV2281"/>
        <s v="INV2282"/>
        <s v="INV2283"/>
        <s v="INV2284"/>
        <s v="INV2285"/>
        <s v="INV2286"/>
        <s v="INV2287"/>
        <s v="INV2288"/>
        <s v="INV2289"/>
        <s v="INV2290"/>
        <s v="INV2291"/>
        <s v="INV2292"/>
        <s v="INV2293"/>
        <s v="INV2294"/>
        <s v="INV2295"/>
        <s v="INV2296"/>
        <s v="INV2297"/>
        <s v="INV2298"/>
        <s v="INV2299"/>
        <s v="INV2300"/>
        <s v="INV2301"/>
        <s v="INV2302"/>
        <s v="INV2303"/>
        <s v="INV2304"/>
        <s v="INV2305"/>
        <s v="INV2306"/>
        <s v="INV2307"/>
        <s v="INV2308"/>
        <s v="INV2309"/>
        <s v="INV2310"/>
        <s v="INV2311"/>
        <s v="INV2312"/>
        <s v="INV2313"/>
        <s v="INV2314"/>
        <s v="INV2315"/>
        <s v="INV2316"/>
        <s v="INV2317"/>
        <s v="INV2318"/>
        <s v="INV2319"/>
        <s v="INV2320"/>
        <s v="INV2321"/>
        <s v="INV2322"/>
        <s v="INV2323"/>
        <s v="INV2325"/>
        <s v="INV2326"/>
        <s v="INV2327"/>
        <s v="INV2328"/>
        <s v="INV2329"/>
        <s v="INV2330"/>
        <s v="INV2331"/>
        <s v="INV2332"/>
        <s v="INV2333"/>
        <s v="INV2334"/>
        <s v="INV2335"/>
        <s v="INV2336"/>
        <s v="INV2337"/>
        <s v="INV2338"/>
        <s v="INV2339"/>
        <s v="INV2340"/>
        <s v="INV2341"/>
        <s v="INV2342"/>
        <s v="INV2343"/>
        <s v="INV2344"/>
        <s v="INV2345"/>
        <s v="INV2346"/>
        <s v="INV2347"/>
        <s v="INV2348"/>
        <s v="INV2349"/>
        <s v="INV2350"/>
        <s v="INV2351"/>
        <s v="INV2352"/>
        <s v="INV2353"/>
        <s v="INV2354"/>
        <s v="INV2355"/>
        <s v="INV2356"/>
        <s v="INV2357"/>
        <s v="INV2358"/>
        <s v="INV2359"/>
        <s v="INV2360"/>
        <s v="INV2361"/>
        <s v="INV2362"/>
        <s v="INV2363"/>
        <s v="INV2364"/>
        <s v="INV2365"/>
        <s v="INV2366"/>
        <s v="INV2367"/>
        <s v="INV2368"/>
        <s v="INV2369"/>
        <s v="INV2370"/>
        <s v="INV2371"/>
        <s v="INV2372"/>
        <s v="INV2373"/>
        <s v="INV2374"/>
        <s v="INV2375"/>
        <s v="INV2376"/>
        <s v="INV2377"/>
        <s v="INV2378"/>
        <s v="INV2379"/>
        <s v="INV2380"/>
        <s v="INV2381"/>
        <s v="INV2382"/>
        <s v="INV2383"/>
        <s v="INV2384"/>
        <s v="INV2385"/>
        <s v="INV2386"/>
        <s v="INV2387"/>
        <s v="INV2388"/>
        <s v="INV2389"/>
        <s v="INV2390"/>
        <s v="INV2391"/>
        <s v="INV2392"/>
        <s v="INV2393"/>
        <s v="INV2394"/>
        <s v="INV2395"/>
        <s v="INV2396"/>
        <s v="INV2397"/>
        <s v="INV2398"/>
        <s v="INV2399"/>
        <s v="INV2400"/>
        <s v="INV2401"/>
        <s v="INV2402"/>
        <s v="INV2403"/>
        <s v="INV2404"/>
        <s v="INV2405"/>
        <s v="INV2406"/>
        <s v="INV2407"/>
        <s v="INV2408"/>
        <s v="INV2409"/>
        <s v="INV2410"/>
        <s v="INV2411"/>
        <s v="INV2412"/>
        <s v="INV2413"/>
        <s v="INV2414"/>
        <s v="INV2416"/>
        <s v="INV2417"/>
        <s v="INV2418"/>
        <s v="INV2419"/>
        <s v="INV2420"/>
        <s v="INV2421"/>
        <s v="INV2422"/>
        <s v="INV2423"/>
        <s v="INV2424"/>
        <s v="INV2425"/>
        <s v="INV2426"/>
        <s v="INV2427"/>
        <s v="INV2428"/>
        <s v="INV2429"/>
        <s v="INV2430"/>
        <s v="INV2431"/>
        <s v="INV2432"/>
        <s v="INV2433"/>
        <s v="INV2434"/>
        <s v="INV2435"/>
        <s v="INV2436"/>
        <s v="INV2437"/>
        <s v="INV2438"/>
        <s v="INV2439"/>
        <s v="INV2440"/>
        <s v="INV2441"/>
        <s v="INV2442"/>
        <s v="INV2444"/>
        <s v="INV2445"/>
        <s v="INV2446"/>
        <s v="INV2447"/>
        <s v="INV2448"/>
        <s v="INV2449"/>
        <s v="INV2450"/>
        <s v="INV2451"/>
        <s v="INV2452"/>
        <s v="INV2453"/>
        <s v="INV2454"/>
        <s v="INV2455"/>
        <s v="INV2456"/>
        <s v="INV2457"/>
        <s v="INV2458"/>
        <s v="INV2459"/>
        <s v="INV2460"/>
        <s v="INV2461"/>
        <s v="INV2462"/>
        <s v="INV2463"/>
        <s v="INV2464"/>
        <s v="INV2465"/>
        <s v="INV2466"/>
        <s v="INV2467"/>
        <s v="INV2468"/>
        <s v="INV2469"/>
        <s v="INV2470"/>
        <s v="INV2471"/>
        <s v="INV2472"/>
        <s v="INV2473"/>
        <s v="INV2474"/>
        <s v="INV2475"/>
        <s v="INV2476"/>
        <s v="INV2477"/>
        <s v="INV2478"/>
        <s v="INV2479"/>
        <s v="INV2480"/>
        <s v="INV2481"/>
        <s v="INV2482"/>
        <s v="INV2483"/>
        <s v="INV2484"/>
        <s v="INV2485"/>
        <s v="INV2486"/>
        <s v="INV2487"/>
        <s v="INV2488"/>
        <s v="INV2489"/>
        <s v="INV2490"/>
        <s v="INV2491"/>
        <s v="INV2492"/>
        <s v="INV2493"/>
        <s v="INV2494"/>
        <s v="INV2495"/>
        <s v="INV2496"/>
        <s v="INV2497"/>
        <s v="INV2498"/>
        <s v="INV2499"/>
        <s v="INV2500"/>
        <s v="INV2501"/>
        <s v="INV2502"/>
        <s v="INV2503"/>
        <s v="INV2504"/>
        <s v="INV2505"/>
        <s v="INV2506"/>
        <s v="INV2507"/>
        <s v="INV2508"/>
        <s v="INV2509"/>
        <s v="INV2510"/>
        <s v="INV2511"/>
        <s v="INV2512"/>
        <s v="INV2513"/>
        <s v="INV2514"/>
        <s v="INV2515"/>
        <s v="INV2516"/>
        <s v="INV2517"/>
        <s v="INV2518"/>
        <s v="INV2519"/>
        <s v="INV2520"/>
        <s v="INV2521"/>
        <s v="INV2522"/>
        <s v="INV2523"/>
        <s v="INV2524"/>
        <s v="INV2525"/>
        <s v="INV2526"/>
        <s v="INV2527"/>
        <s v="INV2528"/>
        <s v="INV2529"/>
        <s v="INV2530"/>
        <s v="INV2531"/>
        <s v="INV2532"/>
        <s v="INV2533"/>
        <s v="INV2534"/>
        <s v="INV2535"/>
        <s v="INV2536"/>
        <s v="INV2537"/>
        <s v="INV2538"/>
        <s v="INV2539"/>
        <s v="INV2540"/>
        <s v="INV2541"/>
        <s v="INV2542"/>
        <s v="INV2543"/>
        <s v="INV2544"/>
        <s v="INV2545"/>
        <s v="INV2546"/>
        <s v="INV2547"/>
        <s v="INV2548"/>
        <s v="INV2549"/>
        <s v="INV2550"/>
        <s v="INV2551"/>
        <s v="INV2552"/>
        <s v="INV2553"/>
        <s v="INV2554"/>
        <s v="INV2555"/>
        <s v="INV2556"/>
        <s v="INV2557"/>
        <s v="INV2558"/>
        <s v="INV2559"/>
        <s v="INV2560"/>
        <s v="INV2561"/>
        <s v="INV2562"/>
        <s v="INV2563"/>
        <s v="INV2564"/>
        <s v="INV2565"/>
        <s v="INV2566"/>
        <s v="INV2567"/>
        <s v="INV2568"/>
        <s v="INV2569"/>
        <s v="INV2570"/>
        <s v="INV2571"/>
        <s v="INV2572"/>
        <s v="INV2573"/>
        <s v="INV2574"/>
        <s v="INV2575"/>
        <s v="INV2576"/>
        <s v="INV2577"/>
        <s v="INV2578"/>
        <s v="INV2579"/>
        <s v="INV2580"/>
        <s v="INV2581"/>
        <s v="INV2582"/>
        <s v="INV2583"/>
        <s v="INV2584"/>
        <s v="INV2585"/>
        <s v="INV2586"/>
        <s v="INV2587"/>
        <s v="INV2588"/>
        <s v="INV2589"/>
        <s v="INV2590"/>
        <s v="INV2591"/>
        <s v="INV2592"/>
        <s v="INV2593"/>
        <s v="INV2594"/>
        <s v="INV2595"/>
        <s v="INV2596"/>
        <s v="INV2597"/>
        <s v="INV2598"/>
        <s v="INV2599"/>
        <s v="INV2601"/>
        <s v="INV2602"/>
        <s v="INV2603"/>
        <s v="INV2604"/>
        <s v="INV2605"/>
        <s v="INV2606"/>
        <s v="INV2607"/>
        <s v="INV2608"/>
        <s v="INV2609"/>
        <s v="INV2610"/>
        <s v="INV2611"/>
        <s v="INV2612"/>
        <s v="INV2613"/>
        <s v="INV2614"/>
        <s v="INV2615"/>
        <s v="INV2616"/>
        <s v="INV2617"/>
        <s v="INV2618"/>
        <s v="INV2619"/>
        <s v="INV2620"/>
        <s v="INV2621"/>
        <s v="INV2622"/>
        <s v="INV2623"/>
        <s v="INV2624"/>
        <s v="INV2625"/>
        <s v="INV2626"/>
        <s v="INV2627"/>
        <s v="INV2628"/>
        <s v="INV2629"/>
        <s v="INV2630"/>
        <s v="INV2631"/>
        <s v="INV2632"/>
        <s v="INV2633"/>
        <s v="INV2634"/>
        <s v="INV2635"/>
        <s v="INV2636"/>
        <s v="INV2637"/>
        <s v="INV2638"/>
        <s v="INV2639"/>
        <s v="INV2640"/>
        <s v="INV2641"/>
        <s v="INV2642"/>
        <s v="INV2643"/>
        <s v="INV2644"/>
        <s v="INV2645"/>
        <s v="INV2646"/>
        <s v="INV2647"/>
        <s v="INV2648"/>
        <s v="INV2649"/>
        <s v="INV2650"/>
        <s v="INV2651"/>
        <s v="INV2652"/>
        <s v="INV2653"/>
        <s v="INV2654"/>
        <s v="INV2655"/>
        <s v="INV2656"/>
        <s v="INV2657"/>
        <s v="INV2658"/>
        <s v="INV2659"/>
        <s v="INV2660"/>
        <s v="INV2661"/>
        <s v="INV2662"/>
        <s v="INV2663"/>
        <s v="INV2664"/>
        <s v="INV2665"/>
        <s v="INV2666"/>
        <s v="INV2667"/>
        <s v="INV2668"/>
        <s v="INV2669"/>
        <s v="INV2670"/>
        <s v="INV2671"/>
        <s v="INV2672"/>
        <s v="INV2673"/>
        <s v="INV2674"/>
        <s v="INV2675"/>
        <s v="INV2676"/>
        <s v="INV2677"/>
        <s v="INV2678"/>
        <s v="INV2679"/>
        <s v="INV2680"/>
        <s v="INV2681"/>
        <s v="INV2682"/>
        <s v="INV2683"/>
        <s v="INV2684"/>
        <s v="INV2685"/>
        <s v="INV2686"/>
        <s v="INV2687"/>
        <s v="INV2688"/>
        <s v="INV2689"/>
        <s v="INV2690"/>
        <s v="INV2691"/>
        <s v="INV2692"/>
        <s v="INV2693"/>
        <s v="INV2694"/>
        <s v="INV2695"/>
        <s v="INV2696"/>
        <s v="INV2697"/>
        <s v="INV2698"/>
        <s v="INV2699"/>
        <s v="INV2700"/>
        <s v="INV2701"/>
        <s v="INV2702"/>
        <s v="INV2703"/>
        <s v="INV2704"/>
        <s v="INV2705"/>
        <s v="INV2706"/>
        <s v="INV2707"/>
        <s v="INV2708"/>
        <s v="INV2709"/>
        <s v="INV2710"/>
        <s v="INV2711"/>
        <s v="INV2712"/>
        <s v="INV2713"/>
        <s v="INV2714"/>
        <s v="INV2716"/>
        <s v="INV2717"/>
        <s v="INV2718"/>
        <s v="INV2719"/>
        <s v="INV2720"/>
        <s v="INV2721"/>
        <s v="INV2722"/>
        <s v="INV2723"/>
        <s v="INV2724"/>
        <s v="INV2725"/>
        <s v="INV2726"/>
        <s v="INV2727"/>
        <s v="INV2728"/>
        <s v="INV2729"/>
        <s v="INV2730"/>
        <s v="INV2731"/>
        <s v="INV2732"/>
        <s v="INV2733"/>
        <s v="INV2734"/>
        <s v="INV2735"/>
        <s v="INV2736"/>
        <s v="INV2737"/>
        <s v="INV2738"/>
        <s v="INV2739"/>
        <s v="INV2740"/>
        <s v="INV2741"/>
        <s v="INV2742"/>
        <s v="INV2743"/>
        <s v="INV2744"/>
        <s v="INV2745"/>
        <s v="INV2746"/>
        <s v="INV2747"/>
        <s v="INV2748"/>
        <s v="INV2749"/>
        <s v="INV2750"/>
        <s v="INV2751"/>
        <s v="INV2752"/>
        <s v="INV2753"/>
        <s v="INV2754"/>
        <s v="INV2755"/>
        <s v="INV2756"/>
        <s v="INV2757"/>
        <s v="INV2758"/>
        <s v="INV2759"/>
        <s v="INV2760"/>
        <s v="INV2761"/>
        <s v="INV2762"/>
        <s v="INV2763"/>
        <s v="INV2764"/>
        <s v="INV2765"/>
        <s v="INV2766"/>
        <s v="INV2767"/>
        <s v="INV2768"/>
        <s v="INV2769"/>
        <s v="INV2770"/>
        <s v="INV2771"/>
        <s v="INV2772"/>
        <s v="INV2773"/>
        <s v="INV2774"/>
        <s v="INV2775"/>
        <s v="INV2776"/>
        <s v="INV2777"/>
        <s v="INV2778"/>
        <s v="INV2779"/>
        <s v="INV2780"/>
        <s v="INV2781"/>
        <s v="INV2782"/>
        <s v="INV2783"/>
        <s v="INV2784"/>
        <s v="INV2785"/>
        <s v="INV2786"/>
        <s v="INV2787"/>
        <s v="INV2788"/>
        <s v="INV2789"/>
        <s v="INV2790"/>
        <s v="INV2791"/>
        <s v="INV2792"/>
        <s v="INV2793"/>
        <s v="INV2794"/>
        <s v="INV2795"/>
        <s v="INV2796"/>
        <s v="INV2797"/>
        <s v="INV2798"/>
        <s v="INV2799"/>
        <s v="INV2800"/>
        <s v="INV2801"/>
        <s v="INV2802"/>
        <s v="INV2803"/>
        <s v="INV2804"/>
        <s v="INV2805"/>
        <s v="INV2806"/>
        <s v="INV2807"/>
        <s v="INV2808"/>
        <s v="INV2809"/>
        <s v="INV2810"/>
        <s v="INV2811"/>
        <s v="INV2812"/>
        <s v="INV2813"/>
        <s v="INV2814"/>
        <s v="INV2815"/>
        <s v="INV2816"/>
        <s v="INV2817"/>
        <s v="INV2818"/>
        <s v="INV2819"/>
        <s v="INV2820"/>
        <s v="INV2821"/>
        <s v="INV2822"/>
        <s v="INV2823"/>
        <s v="INV2824"/>
        <s v="INV2825"/>
        <s v="INV2826"/>
        <s v="INV2827"/>
        <s v="INV2828"/>
        <s v="INV2829"/>
        <s v="INV2830"/>
        <s v="INV2831"/>
        <s v="INV2832"/>
        <s v="INV2833"/>
        <s v="INV2834"/>
        <s v="INV2835"/>
        <s v="INV2836"/>
        <s v="INV2837"/>
        <s v="INV2838"/>
        <s v="INV2839"/>
        <s v="INV2840"/>
        <s v="INV2841"/>
        <s v="INV2842"/>
        <s v="INV2843"/>
        <s v="INV2844"/>
        <s v="INV2845"/>
        <s v="INV2846"/>
        <s v="INV2847"/>
        <s v="INV2848"/>
        <s v="INV2849"/>
        <s v="INV2850"/>
        <s v="INV2851"/>
        <s v="INV2852"/>
        <s v="INV2853"/>
        <s v="INV2854"/>
        <s v="INV2855"/>
        <s v="INV2856"/>
        <s v="INV2857"/>
        <s v="INV2858"/>
        <s v="INV2859"/>
        <s v="INV2860"/>
        <s v="INV2861"/>
        <s v="INV2862"/>
        <s v="INV2863"/>
        <s v="INV2864"/>
        <s v="INV2865"/>
        <s v="INV2866"/>
        <s v="INV2867"/>
        <s v="INV2868"/>
        <s v="INV2869"/>
        <s v="INV2870"/>
        <s v="INV2871"/>
        <s v="INV2872"/>
        <s v="INV2873"/>
        <s v="INV2874"/>
        <s v="INV2875"/>
        <s v="INV2876"/>
        <s v="INV2877"/>
        <s v="INV2878"/>
        <s v="INV2879"/>
        <s v="INV2880"/>
        <s v="INV2881"/>
        <s v="INV2882"/>
        <s v="INV2883"/>
        <s v="INV2884"/>
        <s v="INV2885"/>
        <s v="INV2886"/>
        <s v="INV2887"/>
        <s v="INV2888"/>
        <s v="INV2889"/>
        <s v="INV2890"/>
        <s v="INV2891"/>
        <s v="INV2892"/>
        <s v="INV2893"/>
        <s v="INV2894"/>
        <s v="INV2895"/>
        <s v="INV2896"/>
        <s v="INV2897"/>
        <s v="INV2898"/>
        <s v="INV2899"/>
        <s v="INV2900"/>
        <s v="INV2901"/>
        <s v="INV2902"/>
        <s v="INV2903"/>
        <s v="INV2904"/>
        <s v="INV2905"/>
        <s v="INV2906"/>
        <s v="INV2907"/>
        <s v="INV2908"/>
        <s v="INV2909"/>
        <s v="INV2910"/>
        <s v="INV2911"/>
        <s v="INV2912"/>
        <s v="INV2913"/>
        <s v="INV2914"/>
        <s v="INV2915"/>
        <s v="INV2916"/>
        <s v="INV2917"/>
        <s v="INV2918"/>
        <s v="INV2919"/>
        <s v="INV2920"/>
        <s v="INV2921"/>
        <s v="INV2922"/>
        <s v="INV2923"/>
        <s v="INV2924"/>
        <s v="INV2925"/>
        <s v="INV2926"/>
        <s v="INV2927"/>
        <s v="INV2928"/>
        <s v="INV2929"/>
        <s v="INV2930"/>
        <s v="INV2931"/>
        <s v="INV2933"/>
        <s v="INV2934"/>
        <s v="INV2935"/>
        <s v="INV2936"/>
        <s v="INV2937"/>
        <s v="INV2938"/>
        <s v="INV2939"/>
        <s v="INV2940"/>
        <s v="INV2941"/>
        <s v="INV2942"/>
        <s v="INV2943"/>
        <s v="INV2944"/>
        <s v="INV2945"/>
        <s v="INV2946"/>
        <s v="INV2947"/>
        <s v="INV2948"/>
        <s v="INV2949"/>
        <s v="INV2950"/>
        <s v="INV2951"/>
        <s v="INV2952"/>
        <s v="INV2953"/>
        <s v="INV2954"/>
        <s v="INV2955"/>
        <s v="INV2956"/>
        <s v="INV2957"/>
        <s v="INV2958"/>
        <s v="INV2959"/>
        <s v="INV2960"/>
        <s v="INV2961"/>
        <s v="INV2962"/>
        <s v="INV2963"/>
        <s v="INV2964"/>
        <s v="INV2965"/>
        <s v="INV2966"/>
        <s v="INV2967"/>
        <s v="INV2968"/>
        <s v="INV2969"/>
        <s v="INV2970"/>
        <s v="INV2971"/>
        <s v="INV2972"/>
        <s v="INV2973"/>
        <s v="INV2974"/>
        <s v="INV2975"/>
        <s v="INV2976"/>
        <s v="INV2977"/>
        <s v="INV2978"/>
        <s v="INV2979"/>
        <s v="INV2980"/>
        <s v="INV2981"/>
        <s v="INV2982"/>
        <s v="INV2983"/>
        <s v="INV2984"/>
        <s v="INV2985"/>
        <s v="INV2986"/>
        <s v="INV2987"/>
        <s v="INV2988"/>
        <s v="INV2989"/>
        <s v="INV2990"/>
        <s v="INV2991"/>
        <s v="INV2992"/>
        <s v="INV2993"/>
        <s v="INV2994"/>
        <s v="INV2995"/>
        <s v="INV2996"/>
        <s v="INV2997"/>
        <s v="INV2998"/>
        <s v="INV2999"/>
      </sharedItems>
    </cacheField>
    <cacheField name="Order Date" numFmtId="164">
      <sharedItems containsSemiMixedTypes="0" containsNonDate="0" containsDate="1" containsString="0" minDate="2024-01-01T00:00:00" maxDate="2025-12-07T00:00:00" count="547">
        <d v="2024-04-23T00:00:00"/>
        <d v="2024-02-04T00:00:00"/>
        <d v="2024-12-31T00:00:00"/>
        <d v="2024-09-15T00:00:00"/>
        <d v="2025-05-28T00:00:00"/>
        <d v="2025-03-27T00:00:00"/>
        <d v="2024-10-09T00:00:00"/>
        <d v="2024-11-17T00:00:00"/>
        <d v="2024-11-09T00:00:00"/>
        <d v="2024-11-23T00:00:00"/>
        <d v="2024-02-07T00:00:00"/>
        <d v="2025-01-16T00:00:00"/>
        <d v="2024-09-19T00:00:00"/>
        <d v="2024-08-20T00:00:00"/>
        <d v="2024-07-09T00:00:00"/>
        <d v="2024-02-08T00:00:00"/>
        <d v="2024-08-14T00:00:00"/>
        <d v="2024-12-15T00:00:00"/>
        <d v="2024-06-22T00:00:00"/>
        <d v="2025-03-07T00:00:00"/>
        <d v="2024-02-06T00:00:00"/>
        <d v="2025-01-01T00:00:00"/>
        <d v="2024-12-18T00:00:00"/>
        <d v="2024-12-13T00:00:00"/>
        <d v="2024-01-29T00:00:00"/>
        <d v="2024-01-12T00:00:00"/>
        <d v="2025-04-20T00:00:00"/>
        <d v="2024-06-23T00:00:00"/>
        <d v="2025-01-14T00:00:00"/>
        <d v="2024-05-21T00:00:00"/>
        <d v="2024-04-11T00:00:00"/>
        <d v="2025-09-01T00:00:00"/>
        <d v="2024-12-25T00:00:00"/>
        <d v="2024-12-05T00:00:00"/>
        <d v="2024-09-08T00:00:00"/>
        <d v="2025-05-06T00:00:00"/>
        <d v="2024-03-25T00:00:00"/>
        <d v="2024-10-02T00:00:00"/>
        <d v="2025-04-12T00:00:00"/>
        <d v="2025-02-25T00:00:00"/>
        <d v="2025-01-25T00:00:00"/>
        <d v="2024-04-20T00:00:00"/>
        <d v="2024-07-05T00:00:00"/>
        <d v="2025-03-26T00:00:00"/>
        <d v="2024-12-27T00:00:00"/>
        <d v="2024-10-16T00:00:00"/>
        <d v="2025-01-06T00:00:00"/>
        <d v="2025-05-01T00:00:00"/>
        <d v="2024-03-26T00:00:00"/>
        <d v="2024-06-16T00:00:00"/>
        <d v="2025-01-21T00:00:00"/>
        <d v="2024-05-05T00:00:00"/>
        <d v="2024-07-02T00:00:00"/>
        <d v="2024-08-10T00:00:00"/>
        <d v="2025-04-10T00:00:00"/>
        <d v="2025-05-25T00:00:00"/>
        <d v="2024-08-21T00:00:00"/>
        <d v="2024-07-21T00:00:00"/>
        <d v="2025-01-04T00:00:00"/>
        <d v="2024-11-06T00:00:00"/>
        <d v="2024-10-17T00:00:00"/>
        <d v="2024-10-18T00:00:00"/>
        <d v="2025-02-08T00:00:00"/>
        <d v="2025-06-21T00:00:00"/>
        <d v="2024-02-12T00:00:00"/>
        <d v="2024-02-16T00:00:00"/>
        <d v="2025-06-14T00:00:00"/>
        <d v="2024-11-21T00:00:00"/>
        <d v="2024-01-27T00:00:00"/>
        <d v="2024-11-19T00:00:00"/>
        <d v="2025-04-25T00:00:00"/>
        <d v="2024-04-21T00:00:00"/>
        <d v="2024-09-23T00:00:00"/>
        <d v="2025-04-05T00:00:00"/>
        <d v="2024-10-23T00:00:00"/>
        <d v="2024-03-15T00:00:00"/>
        <d v="2024-02-14T00:00:00"/>
        <d v="2024-01-14T00:00:00"/>
        <d v="2024-11-14T00:00:00"/>
        <d v="2024-04-02T00:00:00"/>
        <d v="2025-03-28T00:00:00"/>
        <d v="2025-03-10T00:00:00"/>
        <d v="2024-05-29T00:00:00"/>
        <d v="2024-03-27T00:00:00"/>
        <d v="2024-04-07T00:00:00"/>
        <d v="2024-02-11T00:00:00"/>
        <d v="2024-04-29T00:00:00"/>
        <d v="2024-11-05T00:00:00"/>
        <d v="2025-04-11T00:00:00"/>
        <d v="2024-07-17T00:00:00"/>
        <d v="2025-04-15T00:00:00"/>
        <d v="2025-02-28T00:00:00"/>
        <d v="2025-05-27T00:00:00"/>
        <d v="2025-01-20T00:00:00"/>
        <d v="2024-05-20T00:00:00"/>
        <d v="2024-07-08T00:00:00"/>
        <d v="2024-12-03T00:00:00"/>
        <d v="2024-01-24T00:00:00"/>
        <d v="2025-05-22T00:00:00"/>
        <d v="2025-02-27T00:00:00"/>
        <d v="2024-02-25T00:00:00"/>
        <d v="2025-03-08T00:00:00"/>
        <d v="2025-04-14T00:00:00"/>
        <d v="2025-02-21T00:00:00"/>
        <d v="2024-12-19T00:00:00"/>
        <d v="2025-03-04T00:00:00"/>
        <d v="2025-05-15T00:00:00"/>
        <d v="2025-05-29T00:00:00"/>
        <d v="2025-04-30T00:00:00"/>
        <d v="2024-10-26T00:00:00"/>
        <d v="2024-05-30T00:00:00"/>
        <d v="2025-05-05T00:00:00"/>
        <d v="2024-11-10T00:00:00"/>
        <d v="2024-08-15T00:00:00"/>
        <d v="2025-02-22T00:00:00"/>
        <d v="2025-04-16T00:00:00"/>
        <d v="2024-09-28T00:00:00"/>
        <d v="2024-10-08T00:00:00"/>
        <d v="2024-10-31T00:00:00"/>
        <d v="2024-08-19T00:00:00"/>
        <d v="2024-10-01T00:00:00"/>
        <d v="2024-12-04T00:00:00"/>
        <d v="2025-05-24T00:00:00"/>
        <d v="2025-06-03T00:00:00"/>
        <d v="2025-03-19T00:00:00"/>
        <d v="2024-08-09T00:00:00"/>
        <d v="2025-03-06T00:00:00"/>
        <d v="2024-07-03T00:00:00"/>
        <d v="2024-01-11T00:00:00"/>
        <d v="2024-09-03T00:00:00"/>
        <d v="2024-02-01T00:00:00"/>
        <d v="2024-06-29T00:00:00"/>
        <d v="2024-06-03T00:00:00"/>
        <d v="2024-12-09T00:00:00"/>
        <d v="2024-12-21T00:00:00"/>
        <d v="2025-06-13T00:00:00"/>
        <d v="2024-11-22T00:00:00"/>
        <d v="2024-06-14T00:00:00"/>
        <d v="2024-07-15T00:00:00"/>
        <d v="2024-10-27T00:00:00"/>
        <d v="2025-04-07T00:00:00"/>
        <d v="2025-06-23T00:00:00"/>
        <d v="2024-09-17T00:00:00"/>
        <d v="2025-01-24T00:00:00"/>
        <d v="2024-05-10T00:00:00"/>
        <d v="2024-09-16T00:00:00"/>
        <d v="2024-09-10T00:00:00"/>
        <d v="2024-05-16T00:00:00"/>
        <d v="2024-04-13T00:00:00"/>
        <d v="2025-05-26T00:00:00"/>
        <d v="2024-07-18T00:00:00"/>
        <d v="2025-01-10T00:00:00"/>
        <d v="2025-02-14T00:00:00"/>
        <d v="2024-12-29T00:00:00"/>
        <d v="2024-05-25T00:00:00"/>
        <d v="2024-04-01T00:00:00"/>
        <d v="2024-07-31T00:00:00"/>
        <d v="2024-09-13T00:00:00"/>
        <d v="2024-09-05T00:00:00"/>
        <d v="2024-10-21T00:00:00"/>
        <d v="2024-06-05T00:00:00"/>
        <d v="2024-02-28T00:00:00"/>
        <d v="2024-05-14T00:00:00"/>
        <d v="2024-01-28T00:00:00"/>
        <d v="2024-03-10T00:00:00"/>
        <d v="2025-01-23T00:00:00"/>
        <d v="2025-06-24T00:00:00"/>
        <d v="2024-02-18T00:00:00"/>
        <d v="2025-05-03T00:00:00"/>
        <d v="2024-10-29T00:00:00"/>
        <d v="2025-03-15T00:00:00"/>
        <d v="2024-09-04T00:00:00"/>
        <d v="2025-12-04T00:00:00"/>
        <d v="2024-06-13T00:00:00"/>
        <d v="2024-06-19T00:00:00"/>
        <d v="2024-04-08T00:00:00"/>
        <d v="2024-04-17T00:00:00"/>
        <d v="2024-11-29T00:00:00"/>
        <d v="2025-04-01T00:00:00"/>
        <d v="2024-01-22T00:00:00"/>
        <d v="2024-01-21T00:00:00"/>
        <d v="2025-01-18T00:00:00"/>
        <d v="2024-09-02T00:00:00"/>
        <d v="2024-10-24T00:00:00"/>
        <d v="2024-10-13T00:00:00"/>
        <d v="2025-04-23T00:00:00"/>
        <d v="2025-01-03T00:00:00"/>
        <d v="2024-03-17T00:00:00"/>
        <d v="2025-02-04T00:00:00"/>
        <d v="2024-05-26T00:00:00"/>
        <d v="2024-08-04T00:00:00"/>
        <d v="2025-02-10T00:00:00"/>
        <d v="2024-01-01T00:00:00"/>
        <d v="2025-05-16T00:00:00"/>
        <d v="2024-10-05T00:00:00"/>
        <d v="2024-09-09T00:00:00"/>
        <d v="2024-08-16T00:00:00"/>
        <d v="2024-11-02T00:00:00"/>
        <d v="2024-02-22T00:00:00"/>
        <d v="2025-04-21T00:00:00"/>
        <d v="2024-11-26T00:00:00"/>
        <d v="2024-01-10T00:00:00"/>
        <d v="2024-09-11T00:00:00"/>
        <d v="2024-06-11T00:00:00"/>
        <d v="2024-10-03T00:00:00"/>
        <d v="2024-08-27T00:00:00"/>
        <d v="2024-04-16T00:00:00"/>
        <d v="2024-01-31T00:00:00"/>
        <d v="2024-03-20T00:00:00"/>
        <d v="2025-03-31T00:00:00"/>
        <d v="2024-07-12T00:00:00"/>
        <d v="2024-01-19T00:00:00"/>
        <d v="2024-07-07T00:00:00"/>
        <d v="2025-06-11T00:00:00"/>
        <d v="2024-04-12T00:00:00"/>
        <d v="2024-10-19T00:00:00"/>
        <d v="2025-02-13T00:00:00"/>
        <d v="2024-01-18T00:00:00"/>
        <d v="2024-03-28T00:00:00"/>
        <d v="2024-03-13T00:00:00"/>
        <d v="2025-11-01T00:00:00"/>
        <d v="2024-03-11T00:00:00"/>
        <d v="2024-05-28T00:00:00"/>
        <d v="2024-01-26T00:00:00"/>
        <d v="2025-09-02T00:00:00"/>
        <d v="2025-06-18T00:00:00"/>
        <d v="2024-05-03T00:00:00"/>
        <d v="2025-05-04T00:00:00"/>
        <d v="2025-01-28T00:00:00"/>
        <d v="2024-04-09T00:00:00"/>
        <d v="2024-03-23T00:00:00"/>
        <d v="2024-12-26T00:00:00"/>
        <d v="2025-06-05T00:00:00"/>
        <d v="2025-03-14T00:00:00"/>
        <d v="2025-03-09T00:00:00"/>
        <d v="2024-06-12T00:00:00"/>
        <d v="2025-02-26T00:00:00"/>
        <d v="2024-08-08T00:00:00"/>
        <d v="2024-02-10T00:00:00"/>
        <d v="2024-11-04T00:00:00"/>
        <d v="2024-04-24T00:00:00"/>
        <d v="2024-03-29T00:00:00"/>
        <d v="2024-08-12T00:00:00"/>
        <d v="2025-03-16T00:00:00"/>
        <d v="2025-06-19T00:00:00"/>
        <d v="2024-04-28T00:00:00"/>
        <d v="2024-10-11T00:00:00"/>
        <d v="2024-08-18T00:00:00"/>
        <d v="2024-05-22T00:00:00"/>
        <d v="2024-02-23T00:00:00"/>
        <d v="2024-06-20T00:00:00"/>
        <d v="2024-03-21T00:00:00"/>
        <d v="2025-09-04T00:00:00"/>
        <d v="2025-04-24T00:00:00"/>
        <d v="2025-02-23T00:00:00"/>
        <d v="2025-02-01T00:00:00"/>
        <d v="2024-06-15T00:00:00"/>
        <d v="2024-09-07T00:00:00"/>
        <d v="2024-11-12T00:00:00"/>
        <d v="2024-03-01T00:00:00"/>
        <d v="2024-01-20T00:00:00"/>
        <d v="2024-01-16T00:00:00"/>
        <d v="2025-05-31T00:00:00"/>
        <d v="2024-11-25T00:00:00"/>
        <d v="2025-04-02T00:00:00"/>
        <d v="2024-05-19T00:00:00"/>
        <d v="2024-06-26T00:00:00"/>
        <d v="2024-09-01T00:00:00"/>
        <d v="2024-02-02T00:00:00"/>
        <d v="2024-09-21T00:00:00"/>
        <d v="2025-06-16T00:00:00"/>
        <d v="2024-11-28T00:00:00"/>
        <d v="2025-04-26T00:00:00"/>
        <d v="2024-07-30T00:00:00"/>
        <d v="2025-10-04T00:00:00"/>
        <d v="2025-02-12T00:00:00"/>
        <d v="2024-05-02T00:00:00"/>
        <d v="2024-05-11T00:00:00"/>
        <d v="2025-02-17T00:00:00"/>
        <d v="2025-01-02T00:00:00"/>
        <d v="2024-06-07T00:00:00"/>
        <d v="2024-06-18T00:00:00"/>
        <d v="2024-07-23T00:00:00"/>
        <d v="2024-07-25T00:00:00"/>
        <d v="2024-08-05T00:00:00"/>
        <d v="2024-07-06T00:00:00"/>
        <d v="2024-12-11T00:00:00"/>
        <d v="2025-04-09T00:00:00"/>
        <d v="2025-02-02T00:00:00"/>
        <d v="2024-09-20T00:00:00"/>
        <d v="2025-03-11T00:00:00"/>
        <d v="2024-07-14T00:00:00"/>
        <d v="2024-11-30T00:00:00"/>
        <d v="2024-05-12T00:00:00"/>
        <d v="2024-03-04T00:00:00"/>
        <d v="2024-06-17T00:00:00"/>
        <d v="2025-02-19T00:00:00"/>
        <d v="2024-09-25T00:00:00"/>
        <d v="2025-03-17T00:00:00"/>
        <d v="2024-07-16T00:00:00"/>
        <d v="2024-01-30T00:00:00"/>
        <d v="2024-08-29T00:00:00"/>
        <d v="2024-06-02T00:00:00"/>
        <d v="2024-12-10T00:00:00"/>
        <d v="2025-04-03T00:00:00"/>
        <d v="2024-12-02T00:00:00"/>
        <d v="2024-05-17T00:00:00"/>
        <d v="2024-06-24T00:00:00"/>
        <d v="2025-02-24T00:00:00"/>
        <d v="2024-11-01T00:00:00"/>
        <d v="2024-09-26T00:00:00"/>
        <d v="2025-04-19T00:00:00"/>
        <d v="2024-05-08T00:00:00"/>
        <d v="2025-06-22T00:00:00"/>
        <d v="2024-05-01T00:00:00"/>
        <d v="2025-02-11T00:00:00"/>
        <d v="2024-10-07T00:00:00"/>
        <d v="2024-12-07T00:00:00"/>
        <d v="2025-06-07T00:00:00"/>
        <d v="2024-03-16T00:00:00"/>
        <d v="2025-04-06T00:00:00"/>
        <d v="2024-02-26T00:00:00"/>
        <d v="2024-06-30T00:00:00"/>
        <d v="2025-04-29T00:00:00"/>
        <d v="2024-06-06T00:00:00"/>
        <d v="2024-12-23T00:00:00"/>
        <d v="2025-06-09T00:00:00"/>
        <d v="2025-06-08T00:00:00"/>
        <d v="2024-05-18T00:00:00"/>
        <d v="2025-01-26T00:00:00"/>
        <d v="2024-07-24T00:00:00"/>
        <d v="2025-06-01T00:00:00"/>
        <d v="2024-03-30T00:00:00"/>
        <d v="2025-02-18T00:00:00"/>
        <d v="2024-11-15T00:00:00"/>
        <d v="2025-03-25T00:00:00"/>
        <d v="2025-05-10T00:00:00"/>
        <d v="2024-08-26T00:00:00"/>
        <d v="2024-05-23T00:00:00"/>
        <d v="2024-05-13T00:00:00"/>
        <d v="2024-01-03T00:00:00"/>
        <d v="2024-06-08T00:00:00"/>
        <d v="2025-06-20T00:00:00"/>
        <d v="2024-02-17T00:00:00"/>
        <d v="2025-05-14T00:00:00"/>
        <d v="2024-02-09T00:00:00"/>
        <d v="2025-02-05T00:00:00"/>
        <d v="2024-01-07T00:00:00"/>
        <d v="2024-11-27T00:00:00"/>
        <d v="2025-01-07T00:00:00"/>
        <d v="2025-03-05T00:00:00"/>
        <d v="2024-12-24T00:00:00"/>
        <d v="2024-08-01T00:00:00"/>
        <d v="2025-05-08T00:00:00"/>
        <d v="2025-03-29T00:00:00"/>
        <d v="2024-05-27T00:00:00"/>
        <d v="2024-02-20T00:00:00"/>
        <d v="2025-02-06T00:00:00"/>
        <d v="2024-08-07T00:00:00"/>
        <d v="2024-07-29T00:00:00"/>
        <d v="2025-02-16T00:00:00"/>
        <d v="2024-04-26T00:00:00"/>
        <d v="2024-04-25T00:00:00"/>
        <d v="2024-12-08T00:00:00"/>
        <d v="2024-10-15T00:00:00"/>
        <d v="2024-09-24T00:00:00"/>
        <d v="2024-09-06T00:00:00"/>
        <d v="2024-07-04T00:00:00"/>
        <d v="2024-03-08T00:00:00"/>
        <d v="2025-01-19T00:00:00"/>
        <d v="2025-06-06T00:00:00"/>
        <d v="2024-08-22T00:00:00"/>
        <d v="2025-01-22T00:00:00"/>
        <d v="2025-06-17T00:00:00"/>
        <d v="2025-02-07T00:00:00"/>
        <d v="2024-03-07T00:00:00"/>
        <d v="2024-12-16T00:00:00"/>
        <d v="2025-11-02T00:00:00"/>
        <d v="2024-06-04T00:00:00"/>
        <d v="2025-03-13T00:00:00"/>
        <d v="2024-12-01T00:00:00"/>
        <d v="2025-01-08T00:00:00"/>
        <d v="2025-05-18T00:00:00"/>
        <d v="2024-03-24T00:00:00"/>
        <d v="2024-05-15T00:00:00"/>
        <d v="2024-03-14T00:00:00"/>
        <d v="2024-09-29T00:00:00"/>
        <d v="2024-02-05T00:00:00"/>
        <d v="2024-12-17T00:00:00"/>
        <d v="2024-10-06T00:00:00"/>
        <d v="2024-02-15T00:00:00"/>
        <d v="2025-04-17T00:00:00"/>
        <d v="2024-02-24T00:00:00"/>
        <d v="2024-08-24T00:00:00"/>
        <d v="2024-07-19T00:00:00"/>
        <d v="2024-11-07T00:00:00"/>
        <d v="2025-01-09T00:00:00"/>
        <d v="2024-02-19T00:00:00"/>
        <d v="2025-01-27T00:00:00"/>
        <d v="2025-05-19T00:00:00"/>
        <d v="2025-02-15T00:00:00"/>
        <d v="2024-04-04T00:00:00"/>
        <d v="2024-07-20T00:00:00"/>
        <d v="2024-04-27T00:00:00"/>
        <d v="2025-05-23T00:00:00"/>
        <d v="2024-04-22T00:00:00"/>
        <d v="2024-02-29T00:00:00"/>
        <d v="2025-06-02T00:00:00"/>
        <d v="2024-09-30T00:00:00"/>
        <d v="2025-01-30T00:00:00"/>
        <d v="2024-10-04T00:00:00"/>
        <d v="2024-04-15T00:00:00"/>
        <d v="2024-12-30T00:00:00"/>
        <d v="2024-01-06T00:00:00"/>
        <d v="2025-01-12T00:00:00"/>
        <d v="2024-06-28T00:00:00"/>
        <d v="2025-04-28T00:00:00"/>
        <d v="2024-08-31T00:00:00"/>
        <d v="2024-04-19T00:00:00"/>
        <d v="2024-08-30T00:00:00"/>
        <d v="2024-01-13T00:00:00"/>
        <d v="2024-04-10T00:00:00"/>
        <d v="2024-01-05T00:00:00"/>
        <d v="2024-03-06T00:00:00"/>
        <d v="2024-01-02T00:00:00"/>
        <d v="2025-01-05T00:00:00"/>
        <d v="2024-07-10T00:00:00"/>
        <d v="2024-02-27T00:00:00"/>
        <d v="2025-10-06T00:00:00"/>
        <d v="2024-11-03T00:00:00"/>
        <d v="2024-04-03T00:00:00"/>
        <d v="2024-04-14T00:00:00"/>
        <d v="2024-01-04T00:00:00"/>
        <d v="2025-05-21T00:00:00"/>
        <d v="2025-08-04T00:00:00"/>
        <d v="2024-03-12T00:00:00"/>
        <d v="2024-08-13T00:00:00"/>
        <d v="2025-05-20T00:00:00"/>
        <d v="2025-01-15T00:00:00"/>
        <d v="2024-11-18T00:00:00"/>
        <d v="2024-10-12T00:00:00"/>
        <d v="2024-10-25T00:00:00"/>
        <d v="2025-03-01T00:00:00"/>
        <d v="2025-05-11T00:00:00"/>
        <d v="2025-03-02T00:00:00"/>
        <d v="2024-07-28T00:00:00"/>
        <d v="2024-07-11T00:00:00"/>
        <d v="2024-05-24T00:00:00"/>
        <d v="2024-03-31T00:00:00"/>
        <d v="2024-01-08T00:00:00"/>
        <d v="2024-08-17T00:00:00"/>
        <d v="2025-08-03T00:00:00"/>
        <d v="2024-03-02T00:00:00"/>
        <d v="2024-12-20T00:00:00"/>
        <d v="2024-11-13T00:00:00"/>
        <d v="2025-03-03T00:00:00"/>
        <d v="2025-04-08T00:00:00"/>
        <d v="2024-04-06T00:00:00"/>
        <d v="2024-01-23T00:00:00"/>
        <d v="2024-08-06T00:00:00"/>
        <d v="2024-09-18T00:00:00"/>
        <d v="2024-09-12T00:00:00"/>
        <d v="2025-03-12T00:00:00"/>
        <d v="2024-10-28T00:00:00"/>
        <d v="2024-06-09T00:00:00"/>
        <d v="2024-05-31T00:00:00"/>
        <d v="2024-11-16T00:00:00"/>
        <d v="2024-10-22T00:00:00"/>
        <d v="2025-10-03T00:00:00"/>
        <d v="2024-06-27T00:00:00"/>
        <d v="2025-01-17T00:00:00"/>
        <d v="2024-08-03T00:00:00"/>
        <d v="2025-01-31T00:00:00"/>
        <d v="2024-01-09T00:00:00"/>
        <d v="2024-12-12T00:00:00"/>
        <d v="2024-05-07T00:00:00"/>
        <d v="2025-12-06T00:00:00"/>
        <d v="2025-03-22T00:00:00"/>
        <d v="2024-07-27T00:00:00"/>
        <d v="2025-07-05T00:00:00"/>
        <d v="2025-04-22T00:00:00"/>
        <d v="2025-09-03T00:00:00"/>
        <d v="2025-10-02T00:00:00"/>
        <d v="2024-06-10T00:00:00"/>
        <d v="2024-01-17T00:00:00"/>
        <d v="2025-03-21T00:00:00"/>
        <d v="2024-07-26T00:00:00"/>
        <d v="2024-05-09T00:00:00"/>
        <d v="2024-06-25T00:00:00"/>
        <d v="2025-05-09T00:00:00"/>
        <d v="2025-09-05T00:00:00"/>
        <d v="2025-05-13T00:00:00"/>
        <d v="2025-01-29T00:00:00"/>
        <d v="2025-04-04T00:00:00"/>
        <d v="2025-04-27T00:00:00"/>
        <d v="2025-11-06T00:00:00"/>
        <d v="2024-08-25T00:00:00"/>
        <d v="2024-04-30T00:00:00"/>
        <d v="2024-10-10T00:00:00"/>
        <d v="2024-10-14T00:00:00"/>
        <d v="2025-06-04T00:00:00"/>
        <d v="2024-02-03T00:00:00"/>
        <d v="2024-01-25T00:00:00"/>
        <d v="2025-04-13T00:00:00"/>
        <d v="2024-11-11T00:00:00"/>
        <d v="2025-11-04T00:00:00"/>
        <d v="2025-02-03T00:00:00"/>
        <d v="2024-12-28T00:00:00"/>
        <d v="2024-08-02T00:00:00"/>
        <d v="2025-06-12T00:00:00"/>
        <d v="2024-06-21T00:00:00"/>
        <d v="2024-05-06T00:00:00"/>
        <d v="2024-07-01T00:00:00"/>
        <d v="2025-01-13T00:00:00"/>
        <d v="2025-12-01T00:00:00"/>
        <d v="2024-03-22T00:00:00"/>
        <d v="2025-05-07T00:00:00"/>
        <d v="2024-12-06T00:00:00"/>
        <d v="2024-08-28T00:00:00"/>
        <d v="2025-10-05T00:00:00"/>
        <d v="2025-03-23T00:00:00"/>
        <d v="2025-05-02T00:00:00"/>
        <d v="2025-03-24T00:00:00"/>
        <d v="2024-10-20T00:00:00"/>
        <d v="2025-02-09T00:00:00"/>
        <d v="2024-09-22T00:00:00"/>
        <d v="2024-04-05T00:00:00"/>
        <d v="2024-09-27T00:00:00"/>
        <d v="2024-08-11T00:00:00"/>
        <d v="2024-11-24T00:00:00"/>
        <d v="2024-01-15T00:00:00"/>
        <d v="2024-03-18T00:00:00"/>
        <d v="2025-02-20T00:00:00"/>
        <d v="2025-03-18T00:00:00"/>
        <d v="2025-06-15T00:00:00"/>
        <d v="2024-11-08T00:00:00"/>
        <d v="2024-06-01T00:00:00"/>
        <d v="2024-08-23T00:00:00"/>
        <d v="2025-05-12T00:00:00"/>
        <d v="2024-03-03T00:00:00"/>
        <d v="2025-03-20T00:00:00"/>
        <d v="2024-02-13T00:00:00"/>
        <d v="2024-07-13T00:00:00"/>
        <d v="2025-11-05T00:00:00"/>
        <d v="2025-07-01T00:00:00"/>
        <d v="2024-12-22T00:00:00"/>
        <d v="2024-05-04T00:00:00"/>
      </sharedItems>
      <fieldGroup par="22"/>
    </cacheField>
    <cacheField name="Sales Executive" numFmtId="0">
      <sharedItems count="5">
        <s v="Neha"/>
        <s v="Priya"/>
        <s v="Amit"/>
        <s v="Vikas"/>
        <s v="Rohit"/>
      </sharedItems>
    </cacheField>
    <cacheField name="Dealer Name" numFmtId="0">
      <sharedItems count="5">
        <s v="Shakti"/>
        <s v="Green Field"/>
        <s v="Kisan"/>
        <s v="Mahadev"/>
        <s v="Agri"/>
      </sharedItems>
    </cacheField>
    <cacheField name="State" numFmtId="0">
      <sharedItems count="5">
        <s v="Uttar Pradesh"/>
        <s v="Karnataka"/>
        <s v="Maharashtra"/>
        <s v="Haryana"/>
        <s v="West Bengal"/>
      </sharedItems>
    </cacheField>
    <cacheField name="Dealer Master Key" numFmtId="0">
      <sharedItems/>
    </cacheField>
    <cacheField name="City" numFmtId="0">
      <sharedItems count="5">
        <s v="Lucknow"/>
        <s v="Bengaluru"/>
        <s v="Pune"/>
        <s v="Gurugram"/>
        <s v="Kolkata"/>
      </sharedItems>
    </cacheField>
    <cacheField name="Region" numFmtId="0">
      <sharedItems count="4">
        <s v="North"/>
        <s v="South"/>
        <s v="West"/>
        <s v="East"/>
      </sharedItems>
    </cacheField>
    <cacheField name="Tractor Model" numFmtId="0">
      <sharedItems count="5">
        <s v="Farmtrac 60"/>
        <s v="Kubota Mu4501"/>
        <s v="Farmtrac 45"/>
        <s v="Powertrac 439"/>
        <s v="Kubota Neostar"/>
      </sharedItems>
    </cacheField>
    <cacheField name="Brand Name" numFmtId="0">
      <sharedItems count="3">
        <s v="Farmtrac"/>
        <s v="Kubota"/>
        <s v="Powertrac"/>
      </sharedItems>
    </cacheField>
    <cacheField name="Quantity" numFmtId="0">
      <sharedItems containsSemiMixedTypes="0" containsString="0" containsNumber="1" containsInteger="1" minValue="0" maxValue="8"/>
    </cacheField>
    <cacheField name="Unit Price" numFmtId="173">
      <sharedItems containsSemiMixedTypes="0" containsString="0" containsNumber="1" containsInteger="1" minValue="50322" maxValue="899332"/>
    </cacheField>
    <cacheField name="Discount %" numFmtId="0">
      <sharedItems containsSemiMixedTypes="0" containsString="0" containsNumber="1" containsInteger="1" minValue="0" maxValue="9"/>
    </cacheField>
    <cacheField name="Gross Amount" numFmtId="173">
      <sharedItems containsSemiMixedTypes="0" containsString="0" containsNumber="1" containsInteger="1" minValue="0" maxValue="7188016"/>
    </cacheField>
    <cacheField name="Gross Amount (Cr)" numFmtId="174">
      <sharedItems containsSemiMixedTypes="0" containsString="0" containsNumber="1" minValue="0" maxValue="0.71880160000000004"/>
    </cacheField>
    <cacheField name="Net Sales Amount" numFmtId="172">
      <sharedItems containsSemiMixedTypes="0" containsString="0" containsNumber="1" minValue="0" maxValue="6541094.5600000005"/>
    </cacheField>
    <cacheField name="Net Sales  (Cr)" numFmtId="174">
      <sharedItems containsSemiMixedTypes="0" containsString="0" containsNumber="1" minValue="0" maxValue="0.65410945600000003"/>
    </cacheField>
    <cacheField name="Payment Status" numFmtId="0">
      <sharedItems/>
    </cacheField>
    <cacheField name="Delivery Status" numFmtId="0">
      <sharedItems/>
    </cacheField>
    <cacheField name="GST Status" numFmtId="0">
      <sharedItems/>
    </cacheField>
    <cacheField name="Order Status" numFmtId="0">
      <sharedItems/>
    </cacheField>
    <cacheField name="Months (Order Date)" numFmtId="0" databaseField="0">
      <fieldGroup base="1">
        <rangePr groupBy="months" startDate="2024-01-01T00:00:00" endDate="2025-12-07T00:00:00"/>
        <groupItems count="14">
          <s v="&lt;01-01-2024"/>
          <s v="Jan"/>
          <s v="Feb"/>
          <s v="Mar"/>
          <s v="Apr"/>
          <s v="May"/>
          <s v="Jun"/>
          <s v="Jul"/>
          <s v="Aug"/>
          <s v="Sep"/>
          <s v="Oct"/>
          <s v="Nov"/>
          <s v="Dec"/>
          <s v="&gt;07-12-2025"/>
        </groupItems>
      </fieldGroup>
    </cacheField>
    <cacheField name="Years (Order Date)" numFmtId="0" databaseField="0">
      <fieldGroup base="1">
        <rangePr groupBy="years" startDate="2024-01-01T00:00:00" endDate="2025-12-07T00:00:00"/>
        <groupItems count="4">
          <s v="&lt;01-01-2024"/>
          <s v="2024"/>
          <s v="2025"/>
          <s v="&gt;07-12-2025"/>
        </groupItems>
      </fieldGroup>
    </cacheField>
  </cacheFields>
  <extLst>
    <ext xmlns:x14="http://schemas.microsoft.com/office/spreadsheetml/2009/9/main" uri="{725AE2AE-9491-48be-B2B4-4EB974FC3084}">
      <x14:pivotCacheDefinition pivotCacheId="471476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9">
  <r>
    <x v="0"/>
    <x v="0"/>
    <x v="0"/>
    <x v="0"/>
    <x v="0"/>
    <s v="Shakti Agro Uttar Pradesh"/>
    <x v="0"/>
    <x v="0"/>
    <x v="0"/>
    <x v="0"/>
    <n v="1"/>
    <n v="810386"/>
    <n v="3"/>
    <n v="810386"/>
    <n v="8.1038600000000002E-2"/>
    <n v="786074.41999999993"/>
    <n v="7.8607441999999986E-2"/>
    <s v="Partial"/>
    <s v="In Transit"/>
    <s v="Invalid"/>
    <s v="In Transit"/>
  </r>
  <r>
    <x v="1"/>
    <x v="1"/>
    <x v="1"/>
    <x v="0"/>
    <x v="1"/>
    <s v="Shakti Agro Karnataka"/>
    <x v="1"/>
    <x v="1"/>
    <x v="1"/>
    <x v="1"/>
    <n v="6"/>
    <n v="421642"/>
    <n v="8"/>
    <n v="2529852"/>
    <n v="0.25298520000000002"/>
    <n v="2327463.8400000003"/>
    <n v="0.23274638400000003"/>
    <s v="Partial"/>
    <s v="In Transit"/>
    <s v="Invalid"/>
    <s v="In Transit"/>
  </r>
  <r>
    <x v="2"/>
    <x v="2"/>
    <x v="2"/>
    <x v="1"/>
    <x v="2"/>
    <s v="Green Field Maharashtra"/>
    <x v="2"/>
    <x v="2"/>
    <x v="1"/>
    <x v="1"/>
    <n v="7"/>
    <n v="58962"/>
    <n v="9"/>
    <n v="412734"/>
    <n v="4.1273400000000002E-2"/>
    <n v="375587.94"/>
    <n v="3.7558794E-2"/>
    <s v="Pending"/>
    <s v="Pending"/>
    <s v="Invalid"/>
    <s v="Pending"/>
  </r>
  <r>
    <x v="3"/>
    <x v="3"/>
    <x v="1"/>
    <x v="1"/>
    <x v="3"/>
    <s v="Green Field Haryana"/>
    <x v="3"/>
    <x v="0"/>
    <x v="1"/>
    <x v="1"/>
    <n v="7"/>
    <n v="640018"/>
    <n v="9"/>
    <n v="4480126"/>
    <n v="0.44801259999999998"/>
    <n v="4076914.66"/>
    <n v="0.407691466"/>
    <s v="Partial"/>
    <s v="In Transit"/>
    <s v="Invalid"/>
    <s v="In Transit"/>
  </r>
  <r>
    <x v="4"/>
    <x v="4"/>
    <x v="0"/>
    <x v="0"/>
    <x v="3"/>
    <s v="Shakti Agro Haryana"/>
    <x v="3"/>
    <x v="0"/>
    <x v="2"/>
    <x v="0"/>
    <n v="2"/>
    <n v="736528"/>
    <n v="5"/>
    <n v="1473056"/>
    <n v="0.14730560000000001"/>
    <n v="1399403.2"/>
    <n v="0.13994032000000001"/>
    <s v="Paid"/>
    <s v="Delivered"/>
    <s v="Valid"/>
    <s v="Completed"/>
  </r>
  <r>
    <x v="5"/>
    <x v="5"/>
    <x v="2"/>
    <x v="1"/>
    <x v="0"/>
    <s v="Green Field Uttar Pradesh"/>
    <x v="0"/>
    <x v="0"/>
    <x v="3"/>
    <x v="2"/>
    <n v="3"/>
    <n v="446618"/>
    <n v="6"/>
    <n v="1339854"/>
    <n v="0.1339854"/>
    <n v="1259462.76"/>
    <n v="0.125946276"/>
    <s v="Pending"/>
    <s v="Pending"/>
    <s v="Valid"/>
    <s v="Pending"/>
  </r>
  <r>
    <x v="6"/>
    <x v="6"/>
    <x v="3"/>
    <x v="1"/>
    <x v="2"/>
    <s v="Green Field Maharashtra"/>
    <x v="2"/>
    <x v="2"/>
    <x v="3"/>
    <x v="2"/>
    <n v="4"/>
    <n v="636846"/>
    <n v="6"/>
    <n v="2547384"/>
    <n v="0.25473839999999998"/>
    <n v="2394540.96"/>
    <n v="0.23945409600000001"/>
    <s v="Partial"/>
    <s v="In Transit"/>
    <s v="Invalid"/>
    <s v="In Transit"/>
  </r>
  <r>
    <x v="7"/>
    <x v="7"/>
    <x v="0"/>
    <x v="2"/>
    <x v="4"/>
    <s v="Kisan Tractors West Bengal"/>
    <x v="4"/>
    <x v="3"/>
    <x v="2"/>
    <x v="0"/>
    <n v="4"/>
    <n v="87171"/>
    <n v="6"/>
    <n v="348684"/>
    <n v="3.4868400000000001E-2"/>
    <n v="327762.95999999996"/>
    <n v="3.2776295999999996E-2"/>
    <s v="Pending"/>
    <s v="Pending"/>
    <s v="Valid"/>
    <s v="Pending"/>
  </r>
  <r>
    <x v="8"/>
    <x v="8"/>
    <x v="4"/>
    <x v="2"/>
    <x v="3"/>
    <s v="Kisan Tractors Haryana"/>
    <x v="3"/>
    <x v="0"/>
    <x v="1"/>
    <x v="1"/>
    <n v="6"/>
    <n v="435799"/>
    <n v="8"/>
    <n v="2614794"/>
    <n v="0.26147939999999997"/>
    <n v="2405610.48"/>
    <n v="0.240561048"/>
    <s v="Paid"/>
    <s v="Delivered"/>
    <s v="Valid"/>
    <s v="Completed"/>
  </r>
  <r>
    <x v="9"/>
    <x v="9"/>
    <x v="1"/>
    <x v="3"/>
    <x v="1"/>
    <s v="Mahadev Motors Karnataka"/>
    <x v="1"/>
    <x v="1"/>
    <x v="2"/>
    <x v="0"/>
    <n v="3"/>
    <n v="91771"/>
    <n v="6"/>
    <n v="275313"/>
    <n v="2.7531300000000002E-2"/>
    <n v="258794.21999999997"/>
    <n v="2.5879421999999996E-2"/>
    <s v="Paid"/>
    <s v="Delivered"/>
    <s v="Invalid"/>
    <s v="Completed"/>
  </r>
  <r>
    <x v="10"/>
    <x v="10"/>
    <x v="0"/>
    <x v="3"/>
    <x v="0"/>
    <s v="Mahadev Motors Uttar Pradesh"/>
    <x v="0"/>
    <x v="0"/>
    <x v="3"/>
    <x v="2"/>
    <n v="1"/>
    <n v="366788"/>
    <n v="3"/>
    <n v="366788"/>
    <n v="3.6678799999999998E-2"/>
    <n v="355784.36"/>
    <n v="3.5578435999999998E-2"/>
    <s v="Partial"/>
    <s v="In Transit"/>
    <s v="Valid"/>
    <s v="In Transit"/>
  </r>
  <r>
    <x v="11"/>
    <x v="11"/>
    <x v="4"/>
    <x v="2"/>
    <x v="4"/>
    <s v="Kisan Tractors West Bengal"/>
    <x v="4"/>
    <x v="3"/>
    <x v="3"/>
    <x v="2"/>
    <n v="8"/>
    <n v="745852"/>
    <n v="9"/>
    <n v="5966816"/>
    <n v="0.59668160000000003"/>
    <n v="5429802.5600000005"/>
    <n v="0.54298025600000011"/>
    <s v="Paid"/>
    <s v="Delivered"/>
    <s v="Invalid"/>
    <s v="Completed"/>
  </r>
  <r>
    <x v="12"/>
    <x v="6"/>
    <x v="2"/>
    <x v="0"/>
    <x v="3"/>
    <s v="Shakti Agro Haryana"/>
    <x v="3"/>
    <x v="0"/>
    <x v="2"/>
    <x v="0"/>
    <n v="6"/>
    <n v="291408"/>
    <n v="8"/>
    <n v="1748448"/>
    <n v="0.17484479999999999"/>
    <n v="1608572.1600000001"/>
    <n v="0.16085721600000003"/>
    <s v="Partial"/>
    <s v="In Transit"/>
    <s v="Valid"/>
    <s v="In Transit"/>
  </r>
  <r>
    <x v="13"/>
    <x v="12"/>
    <x v="1"/>
    <x v="4"/>
    <x v="3"/>
    <s v="Agri Motors Haryana"/>
    <x v="3"/>
    <x v="0"/>
    <x v="4"/>
    <x v="1"/>
    <n v="8"/>
    <n v="426894"/>
    <n v="9"/>
    <n v="3415152"/>
    <n v="0.34151520000000002"/>
    <n v="3107788.3200000003"/>
    <n v="0.310778832"/>
    <s v="Paid"/>
    <s v="Delivered"/>
    <s v="Invalid"/>
    <s v="Completed"/>
  </r>
  <r>
    <x v="14"/>
    <x v="13"/>
    <x v="1"/>
    <x v="4"/>
    <x v="3"/>
    <s v="Agri Motors Haryana"/>
    <x v="3"/>
    <x v="0"/>
    <x v="3"/>
    <x v="2"/>
    <n v="2"/>
    <n v="514828"/>
    <n v="5"/>
    <n v="1029656"/>
    <n v="0.1029656"/>
    <n v="978173.2"/>
    <n v="9.7817319999999999E-2"/>
    <s v="Pending"/>
    <s v="Pending"/>
    <s v="Invalid"/>
    <s v="Pending"/>
  </r>
  <r>
    <x v="15"/>
    <x v="13"/>
    <x v="4"/>
    <x v="4"/>
    <x v="2"/>
    <s v="Agri Motors Maharashtra"/>
    <x v="2"/>
    <x v="2"/>
    <x v="0"/>
    <x v="0"/>
    <n v="8"/>
    <n v="248914"/>
    <n v="9"/>
    <n v="1991312"/>
    <n v="0.19913120000000001"/>
    <n v="1812093.9200000002"/>
    <n v="0.18120939200000002"/>
    <s v="Partial"/>
    <s v="In Transit"/>
    <s v="Invalid"/>
    <s v="In Transit"/>
  </r>
  <r>
    <x v="16"/>
    <x v="14"/>
    <x v="3"/>
    <x v="4"/>
    <x v="0"/>
    <s v="Agri Motors Uttar Pradesh"/>
    <x v="0"/>
    <x v="0"/>
    <x v="4"/>
    <x v="1"/>
    <n v="3"/>
    <n v="457291"/>
    <n v="6"/>
    <n v="1371873"/>
    <n v="0.13718730000000001"/>
    <n v="1289560.6199999999"/>
    <n v="0.12895606199999998"/>
    <s v="Pending"/>
    <s v="Pending"/>
    <s v="Valid"/>
    <s v="Pending"/>
  </r>
  <r>
    <x v="17"/>
    <x v="15"/>
    <x v="3"/>
    <x v="3"/>
    <x v="4"/>
    <s v="Mahadev Motors West Bengal"/>
    <x v="4"/>
    <x v="3"/>
    <x v="1"/>
    <x v="1"/>
    <n v="5"/>
    <n v="199563"/>
    <n v="7"/>
    <n v="997815"/>
    <n v="9.9781499999999995E-2"/>
    <n v="927967.95"/>
    <n v="9.2796795000000001E-2"/>
    <s v="Paid"/>
    <s v="Delivered"/>
    <s v="Valid"/>
    <s v="Completed"/>
  </r>
  <r>
    <x v="18"/>
    <x v="16"/>
    <x v="0"/>
    <x v="2"/>
    <x v="0"/>
    <s v="Kisan Tractors Uttar Pradesh"/>
    <x v="0"/>
    <x v="0"/>
    <x v="2"/>
    <x v="0"/>
    <n v="8"/>
    <n v="891147"/>
    <n v="9"/>
    <n v="7129176"/>
    <n v="0.71291760000000004"/>
    <n v="6487550.1600000001"/>
    <n v="0.64875501599999996"/>
    <s v="Paid"/>
    <s v="Delivered"/>
    <s v="Valid"/>
    <s v="Completed"/>
  </r>
  <r>
    <x v="19"/>
    <x v="17"/>
    <x v="2"/>
    <x v="0"/>
    <x v="2"/>
    <s v="Shakti Agro Maharashtra"/>
    <x v="2"/>
    <x v="2"/>
    <x v="3"/>
    <x v="2"/>
    <n v="6"/>
    <n v="55607"/>
    <n v="8"/>
    <n v="333642"/>
    <n v="3.3364199999999997E-2"/>
    <n v="306950.64"/>
    <n v="3.0695064000000001E-2"/>
    <s v="Paid"/>
    <s v="Delivered"/>
    <s v="Invalid"/>
    <s v="Completed"/>
  </r>
  <r>
    <x v="20"/>
    <x v="18"/>
    <x v="1"/>
    <x v="0"/>
    <x v="0"/>
    <s v="Shakti Agro Uttar Pradesh"/>
    <x v="0"/>
    <x v="0"/>
    <x v="3"/>
    <x v="2"/>
    <n v="6"/>
    <n v="95205"/>
    <n v="8"/>
    <n v="571230"/>
    <n v="5.7123E-2"/>
    <n v="525531.6"/>
    <n v="5.2553159999999995E-2"/>
    <s v="Paid"/>
    <s v="Delivered"/>
    <s v="Invalid"/>
    <s v="Completed"/>
  </r>
  <r>
    <x v="21"/>
    <x v="19"/>
    <x v="0"/>
    <x v="3"/>
    <x v="1"/>
    <s v="Mahadev Motors Karnataka"/>
    <x v="1"/>
    <x v="1"/>
    <x v="3"/>
    <x v="2"/>
    <n v="2"/>
    <n v="517234"/>
    <n v="5"/>
    <n v="1034468"/>
    <n v="0.10344680000000001"/>
    <n v="982744.6"/>
    <n v="9.8274459999999994E-2"/>
    <s v="Paid"/>
    <s v="Delivered"/>
    <s v="Valid"/>
    <s v="Completed"/>
  </r>
  <r>
    <x v="22"/>
    <x v="20"/>
    <x v="2"/>
    <x v="4"/>
    <x v="4"/>
    <s v="Agri Motors West Bengal"/>
    <x v="4"/>
    <x v="3"/>
    <x v="3"/>
    <x v="2"/>
    <n v="2"/>
    <n v="608383"/>
    <n v="5"/>
    <n v="1216766"/>
    <n v="0.1216766"/>
    <n v="1155927.7"/>
    <n v="0.11559277"/>
    <s v="Partial"/>
    <s v="In Transit"/>
    <s v="Invalid"/>
    <s v="In Transit"/>
  </r>
  <r>
    <x v="23"/>
    <x v="21"/>
    <x v="3"/>
    <x v="4"/>
    <x v="2"/>
    <s v="Agri Motors Maharashtra"/>
    <x v="2"/>
    <x v="2"/>
    <x v="1"/>
    <x v="1"/>
    <n v="7"/>
    <n v="446520"/>
    <n v="9"/>
    <n v="3125640"/>
    <n v="0.31256400000000001"/>
    <n v="2844332.4"/>
    <n v="0.28443323999999998"/>
    <s v="Partial"/>
    <s v="In Transit"/>
    <s v="Invalid"/>
    <s v="In Transit"/>
  </r>
  <r>
    <x v="24"/>
    <x v="22"/>
    <x v="1"/>
    <x v="3"/>
    <x v="3"/>
    <s v="Mahadev Motors Haryana"/>
    <x v="3"/>
    <x v="0"/>
    <x v="1"/>
    <x v="1"/>
    <n v="6"/>
    <n v="230452"/>
    <n v="8"/>
    <n v="1382712"/>
    <n v="0.13827120000000001"/>
    <n v="1272095.04"/>
    <n v="0.127209504"/>
    <s v="Pending"/>
    <s v="Pending"/>
    <s v="Valid"/>
    <s v="Pending"/>
  </r>
  <r>
    <x v="25"/>
    <x v="23"/>
    <x v="4"/>
    <x v="1"/>
    <x v="1"/>
    <s v="Green Field Karnataka"/>
    <x v="1"/>
    <x v="1"/>
    <x v="4"/>
    <x v="1"/>
    <n v="7"/>
    <n v="838859"/>
    <n v="9"/>
    <n v="5872013"/>
    <n v="0.58720130000000004"/>
    <n v="5343531.83"/>
    <n v="0.53435318300000001"/>
    <s v="Partial"/>
    <s v="In Transit"/>
    <s v="Invalid"/>
    <s v="In Transit"/>
  </r>
  <r>
    <x v="26"/>
    <x v="24"/>
    <x v="4"/>
    <x v="4"/>
    <x v="1"/>
    <s v="Agri Motors Karnataka"/>
    <x v="1"/>
    <x v="1"/>
    <x v="4"/>
    <x v="1"/>
    <n v="8"/>
    <n v="361121"/>
    <n v="9"/>
    <n v="2888968"/>
    <n v="0.28889680000000001"/>
    <n v="2628960.88"/>
    <n v="0.26289608799999997"/>
    <s v="Paid"/>
    <s v="Delivered"/>
    <s v="Invalid"/>
    <s v="Completed"/>
  </r>
  <r>
    <x v="27"/>
    <x v="25"/>
    <x v="1"/>
    <x v="1"/>
    <x v="0"/>
    <s v="Green Field Uttar Pradesh"/>
    <x v="0"/>
    <x v="0"/>
    <x v="4"/>
    <x v="1"/>
    <n v="2"/>
    <n v="568794"/>
    <n v="5"/>
    <n v="1137588"/>
    <n v="0.11375879999999999"/>
    <n v="1080708.5999999999"/>
    <n v="0.10807085999999999"/>
    <s v="Pending"/>
    <s v="Pending"/>
    <s v="Invalid"/>
    <s v="Pending"/>
  </r>
  <r>
    <x v="28"/>
    <x v="26"/>
    <x v="2"/>
    <x v="1"/>
    <x v="2"/>
    <s v="Green Field Maharashtra"/>
    <x v="2"/>
    <x v="2"/>
    <x v="3"/>
    <x v="2"/>
    <n v="7"/>
    <n v="778873"/>
    <n v="9"/>
    <n v="5452111"/>
    <n v="0.54521109999999995"/>
    <n v="4961421.01"/>
    <n v="0.496142101"/>
    <s v="Paid"/>
    <s v="Delivered"/>
    <s v="Invalid"/>
    <s v="Completed"/>
  </r>
  <r>
    <x v="29"/>
    <x v="27"/>
    <x v="2"/>
    <x v="3"/>
    <x v="4"/>
    <s v="Mahadev Motors West Bengal"/>
    <x v="4"/>
    <x v="3"/>
    <x v="3"/>
    <x v="2"/>
    <n v="7"/>
    <n v="827482"/>
    <n v="9"/>
    <n v="5792374"/>
    <n v="0.57923740000000001"/>
    <n v="5271060.34"/>
    <n v="0.527106034"/>
    <s v="Pending"/>
    <s v="Pending"/>
    <s v="Valid"/>
    <s v="Pending"/>
  </r>
  <r>
    <x v="30"/>
    <x v="28"/>
    <x v="2"/>
    <x v="1"/>
    <x v="1"/>
    <s v="Green Field Karnataka"/>
    <x v="1"/>
    <x v="1"/>
    <x v="4"/>
    <x v="1"/>
    <n v="3"/>
    <n v="335373"/>
    <n v="6"/>
    <n v="1006119"/>
    <n v="0.1006119"/>
    <n v="945751.86"/>
    <n v="9.4575186000000006E-2"/>
    <s v="Paid"/>
    <s v="Delivered"/>
    <s v="Invalid"/>
    <s v="Completed"/>
  </r>
  <r>
    <x v="31"/>
    <x v="29"/>
    <x v="2"/>
    <x v="1"/>
    <x v="2"/>
    <s v="Green Field Maharashtra"/>
    <x v="2"/>
    <x v="2"/>
    <x v="2"/>
    <x v="0"/>
    <n v="4"/>
    <n v="820940"/>
    <n v="6"/>
    <n v="3283760"/>
    <n v="0.328376"/>
    <n v="3086734.4"/>
    <n v="0.30867343999999997"/>
    <s v="Pending"/>
    <s v="Pending"/>
    <s v="Invalid"/>
    <s v="Pending"/>
  </r>
  <r>
    <x v="32"/>
    <x v="30"/>
    <x v="1"/>
    <x v="1"/>
    <x v="3"/>
    <s v="Green Field Haryana"/>
    <x v="3"/>
    <x v="0"/>
    <x v="0"/>
    <x v="0"/>
    <n v="4"/>
    <n v="607112"/>
    <n v="6"/>
    <n v="2428448"/>
    <n v="0.2428448"/>
    <n v="2282741.1199999996"/>
    <n v="0.22827411199999997"/>
    <s v="Pending"/>
    <s v="Pending"/>
    <s v="Valid"/>
    <s v="Pending"/>
  </r>
  <r>
    <x v="33"/>
    <x v="31"/>
    <x v="4"/>
    <x v="4"/>
    <x v="4"/>
    <s v="Agri Motors West Bengal"/>
    <x v="4"/>
    <x v="3"/>
    <x v="0"/>
    <x v="0"/>
    <n v="3"/>
    <n v="248682"/>
    <n v="6"/>
    <n v="746046"/>
    <n v="7.4604599999999993E-2"/>
    <n v="701283.24"/>
    <n v="7.0128324000000006E-2"/>
    <s v="Partial"/>
    <s v="In Transit"/>
    <s v="Valid"/>
    <s v="In Transit"/>
  </r>
  <r>
    <x v="34"/>
    <x v="32"/>
    <x v="2"/>
    <x v="2"/>
    <x v="4"/>
    <s v="Kisan Tractors West Bengal"/>
    <x v="4"/>
    <x v="3"/>
    <x v="0"/>
    <x v="0"/>
    <n v="7"/>
    <n v="109760"/>
    <n v="9"/>
    <n v="768320"/>
    <n v="7.6831999999999998E-2"/>
    <n v="699171.20000000007"/>
    <n v="6.9917120000000013E-2"/>
    <s v="Partial"/>
    <s v="In Transit"/>
    <s v="Invalid"/>
    <s v="In Transit"/>
  </r>
  <r>
    <x v="35"/>
    <x v="33"/>
    <x v="4"/>
    <x v="3"/>
    <x v="4"/>
    <s v="Mahadev Motors West Bengal"/>
    <x v="4"/>
    <x v="3"/>
    <x v="0"/>
    <x v="0"/>
    <n v="6"/>
    <n v="407592"/>
    <n v="8"/>
    <n v="2445552"/>
    <n v="0.2445552"/>
    <n v="2249907.8400000003"/>
    <n v="0.22499078400000003"/>
    <s v="Paid"/>
    <s v="Delivered"/>
    <s v="Invalid"/>
    <s v="Completed"/>
  </r>
  <r>
    <x v="36"/>
    <x v="34"/>
    <x v="3"/>
    <x v="0"/>
    <x v="1"/>
    <s v="Shakti Agro Karnataka"/>
    <x v="1"/>
    <x v="1"/>
    <x v="4"/>
    <x v="1"/>
    <n v="6"/>
    <n v="534447"/>
    <n v="8"/>
    <n v="3206682"/>
    <n v="0.32066820000000001"/>
    <n v="2950147.44"/>
    <n v="0.295014744"/>
    <s v="Pending"/>
    <s v="Pending"/>
    <s v="Valid"/>
    <s v="Pending"/>
  </r>
  <r>
    <x v="37"/>
    <x v="35"/>
    <x v="4"/>
    <x v="0"/>
    <x v="2"/>
    <s v="Shakti Agro Maharashtra"/>
    <x v="2"/>
    <x v="2"/>
    <x v="2"/>
    <x v="0"/>
    <n v="7"/>
    <n v="522733"/>
    <n v="9"/>
    <n v="3659131"/>
    <n v="0.36591309999999999"/>
    <n v="3329809.21"/>
    <n v="0.33298092099999999"/>
    <s v="Partial"/>
    <s v="In Transit"/>
    <s v="Valid"/>
    <s v="In Transit"/>
  </r>
  <r>
    <x v="38"/>
    <x v="36"/>
    <x v="4"/>
    <x v="4"/>
    <x v="3"/>
    <s v="Agri Motors Haryana"/>
    <x v="3"/>
    <x v="0"/>
    <x v="1"/>
    <x v="1"/>
    <n v="6"/>
    <n v="526486"/>
    <n v="8"/>
    <n v="3158916"/>
    <n v="0.31589159999999999"/>
    <n v="2906202.72"/>
    <n v="0.29062027200000001"/>
    <s v="Partial"/>
    <s v="In Transit"/>
    <s v="Invalid"/>
    <s v="In Transit"/>
  </r>
  <r>
    <x v="39"/>
    <x v="37"/>
    <x v="1"/>
    <x v="1"/>
    <x v="0"/>
    <s v="Green Field Uttar Pradesh"/>
    <x v="0"/>
    <x v="0"/>
    <x v="0"/>
    <x v="0"/>
    <n v="8"/>
    <n v="359112"/>
    <n v="9"/>
    <n v="2872896"/>
    <n v="0.28728959999999998"/>
    <n v="2614335.36"/>
    <n v="0.26143353599999997"/>
    <s v="Pending"/>
    <s v="Pending"/>
    <s v="Invalid"/>
    <s v="Pending"/>
  </r>
  <r>
    <x v="40"/>
    <x v="38"/>
    <x v="4"/>
    <x v="4"/>
    <x v="0"/>
    <s v="Agri Motors Uttar Pradesh"/>
    <x v="0"/>
    <x v="0"/>
    <x v="1"/>
    <x v="1"/>
    <n v="1"/>
    <n v="189012"/>
    <n v="3"/>
    <n v="189012"/>
    <n v="1.89012E-2"/>
    <n v="183341.63999999998"/>
    <n v="1.8334164E-2"/>
    <s v="Pending"/>
    <s v="Pending"/>
    <s v="Invalid"/>
    <s v="Pending"/>
  </r>
  <r>
    <x v="41"/>
    <x v="39"/>
    <x v="3"/>
    <x v="4"/>
    <x v="4"/>
    <s v="Agri Motors West Bengal"/>
    <x v="4"/>
    <x v="3"/>
    <x v="2"/>
    <x v="0"/>
    <n v="4"/>
    <n v="540148"/>
    <n v="6"/>
    <n v="2160592"/>
    <n v="0.21605920000000001"/>
    <n v="2030956.48"/>
    <n v="0.20309564799999999"/>
    <s v="Paid"/>
    <s v="Delivered"/>
    <s v="Invalid"/>
    <s v="Completed"/>
  </r>
  <r>
    <x v="42"/>
    <x v="40"/>
    <x v="2"/>
    <x v="2"/>
    <x v="1"/>
    <s v="Kisan Tractors Karnataka"/>
    <x v="1"/>
    <x v="1"/>
    <x v="2"/>
    <x v="0"/>
    <n v="3"/>
    <n v="531168"/>
    <n v="6"/>
    <n v="1593504"/>
    <n v="0.1593504"/>
    <n v="1497893.76"/>
    <n v="0.149789376"/>
    <s v="Paid"/>
    <s v="Delivered"/>
    <s v="Valid"/>
    <s v="Completed"/>
  </r>
  <r>
    <x v="43"/>
    <x v="41"/>
    <x v="1"/>
    <x v="3"/>
    <x v="4"/>
    <s v="Mahadev Motors West Bengal"/>
    <x v="4"/>
    <x v="3"/>
    <x v="3"/>
    <x v="2"/>
    <n v="5"/>
    <n v="736976"/>
    <n v="7"/>
    <n v="3684880"/>
    <n v="0.36848799999999998"/>
    <n v="3426938.4"/>
    <n v="0.34269383999999997"/>
    <s v="Pending"/>
    <s v="Pending"/>
    <s v="Invalid"/>
    <s v="Pending"/>
  </r>
  <r>
    <x v="44"/>
    <x v="42"/>
    <x v="1"/>
    <x v="0"/>
    <x v="4"/>
    <s v="Shakti Agro West Bengal"/>
    <x v="4"/>
    <x v="3"/>
    <x v="4"/>
    <x v="1"/>
    <n v="6"/>
    <n v="295428"/>
    <n v="8"/>
    <n v="1772568"/>
    <n v="0.17725679999999999"/>
    <n v="1630762.56"/>
    <n v="0.163076256"/>
    <s v="Paid"/>
    <s v="Delivered"/>
    <s v="Valid"/>
    <s v="Completed"/>
  </r>
  <r>
    <x v="45"/>
    <x v="43"/>
    <x v="0"/>
    <x v="2"/>
    <x v="4"/>
    <s v="Kisan Tractors West Bengal"/>
    <x v="4"/>
    <x v="3"/>
    <x v="1"/>
    <x v="1"/>
    <n v="2"/>
    <n v="452165"/>
    <n v="5"/>
    <n v="904330"/>
    <n v="9.0432999999999999E-2"/>
    <n v="859113.5"/>
    <n v="8.5911349999999997E-2"/>
    <s v="Partial"/>
    <s v="In Transit"/>
    <s v="Valid"/>
    <s v="In Transit"/>
  </r>
  <r>
    <x v="46"/>
    <x v="44"/>
    <x v="3"/>
    <x v="0"/>
    <x v="4"/>
    <s v="Shakti Agro West Bengal"/>
    <x v="4"/>
    <x v="3"/>
    <x v="4"/>
    <x v="1"/>
    <n v="8"/>
    <n v="363901"/>
    <n v="9"/>
    <n v="2911208"/>
    <n v="0.29112080000000001"/>
    <n v="2649199.2800000003"/>
    <n v="0.26491992800000003"/>
    <s v="Paid"/>
    <s v="Delivered"/>
    <s v="Invalid"/>
    <s v="Completed"/>
  </r>
  <r>
    <x v="47"/>
    <x v="45"/>
    <x v="2"/>
    <x v="1"/>
    <x v="1"/>
    <s v="Green Field Karnataka"/>
    <x v="1"/>
    <x v="1"/>
    <x v="4"/>
    <x v="1"/>
    <n v="7"/>
    <n v="359057"/>
    <n v="9"/>
    <n v="2513399"/>
    <n v="0.2513399"/>
    <n v="2287193.09"/>
    <n v="0.22871930899999998"/>
    <s v="Partial"/>
    <s v="In Transit"/>
    <s v="Invalid"/>
    <s v="In Transit"/>
  </r>
  <r>
    <x v="48"/>
    <x v="46"/>
    <x v="3"/>
    <x v="3"/>
    <x v="2"/>
    <s v="Mahadev Motors Maharashtra"/>
    <x v="2"/>
    <x v="2"/>
    <x v="0"/>
    <x v="0"/>
    <n v="6"/>
    <n v="641314"/>
    <n v="8"/>
    <n v="3847884"/>
    <n v="0.38478839999999997"/>
    <n v="3540053.2800000003"/>
    <n v="0.35400532800000001"/>
    <s v="Pending"/>
    <s v="Pending"/>
    <s v="Valid"/>
    <s v="Pending"/>
  </r>
  <r>
    <x v="49"/>
    <x v="47"/>
    <x v="0"/>
    <x v="4"/>
    <x v="2"/>
    <s v="Agri Motors Maharashtra"/>
    <x v="2"/>
    <x v="2"/>
    <x v="1"/>
    <x v="1"/>
    <n v="2"/>
    <n v="688255"/>
    <n v="5"/>
    <n v="1376510"/>
    <n v="0.137651"/>
    <n v="1307684.5"/>
    <n v="0.13076845000000001"/>
    <s v="Partial"/>
    <s v="In Transit"/>
    <s v="Valid"/>
    <s v="In Transit"/>
  </r>
  <r>
    <x v="50"/>
    <x v="48"/>
    <x v="0"/>
    <x v="2"/>
    <x v="4"/>
    <s v="Kisan Tractors West Bengal"/>
    <x v="4"/>
    <x v="3"/>
    <x v="3"/>
    <x v="2"/>
    <n v="8"/>
    <n v="642412"/>
    <n v="9"/>
    <n v="5139296"/>
    <n v="0.51392959999999999"/>
    <n v="4676759.3600000003"/>
    <n v="0.46767593600000001"/>
    <s v="Partial"/>
    <s v="In Transit"/>
    <s v="Invalid"/>
    <s v="In Transit"/>
  </r>
  <r>
    <x v="51"/>
    <x v="49"/>
    <x v="4"/>
    <x v="1"/>
    <x v="2"/>
    <s v="Green Field Maharashtra"/>
    <x v="2"/>
    <x v="2"/>
    <x v="2"/>
    <x v="0"/>
    <n v="6"/>
    <n v="231629"/>
    <n v="8"/>
    <n v="1389774"/>
    <n v="0.1389774"/>
    <n v="1278592.08"/>
    <n v="0.127859208"/>
    <s v="Paid"/>
    <s v="Delivered"/>
    <s v="Valid"/>
    <s v="Completed"/>
  </r>
  <r>
    <x v="52"/>
    <x v="50"/>
    <x v="1"/>
    <x v="4"/>
    <x v="0"/>
    <s v="Agri Motors Uttar Pradesh"/>
    <x v="0"/>
    <x v="0"/>
    <x v="3"/>
    <x v="2"/>
    <n v="1"/>
    <n v="523141"/>
    <n v="3"/>
    <n v="523141"/>
    <n v="5.2314100000000002E-2"/>
    <n v="507446.76999999996"/>
    <n v="5.0744676999999995E-2"/>
    <s v="Partial"/>
    <s v="In Transit"/>
    <s v="Invalid"/>
    <s v="In Transit"/>
  </r>
  <r>
    <x v="53"/>
    <x v="51"/>
    <x v="1"/>
    <x v="1"/>
    <x v="3"/>
    <s v="Green Field Haryana"/>
    <x v="3"/>
    <x v="0"/>
    <x v="4"/>
    <x v="1"/>
    <n v="5"/>
    <n v="893025"/>
    <n v="7"/>
    <n v="4465125"/>
    <n v="0.44651249999999998"/>
    <n v="4152566.2499999995"/>
    <n v="0.41525662499999993"/>
    <s v="Pending"/>
    <s v="Pending"/>
    <s v="Valid"/>
    <s v="Pending"/>
  </r>
  <r>
    <x v="54"/>
    <x v="52"/>
    <x v="3"/>
    <x v="4"/>
    <x v="4"/>
    <s v="Agri Motors West Bengal"/>
    <x v="4"/>
    <x v="3"/>
    <x v="0"/>
    <x v="0"/>
    <n v="1"/>
    <n v="651934"/>
    <n v="3"/>
    <n v="651934"/>
    <n v="6.5193399999999999E-2"/>
    <n v="632375.98"/>
    <n v="6.3237597999999992E-2"/>
    <s v="Pending"/>
    <s v="Pending"/>
    <s v="Invalid"/>
    <s v="Pending"/>
  </r>
  <r>
    <x v="55"/>
    <x v="53"/>
    <x v="1"/>
    <x v="3"/>
    <x v="1"/>
    <s v="Mahadev Motors Karnataka"/>
    <x v="1"/>
    <x v="1"/>
    <x v="4"/>
    <x v="1"/>
    <n v="8"/>
    <n v="293630"/>
    <n v="9"/>
    <n v="2349040"/>
    <n v="0.234904"/>
    <n v="2137626.4"/>
    <n v="0.21376264"/>
    <s v="Pending"/>
    <s v="Pending"/>
    <s v="Invalid"/>
    <s v="Pending"/>
  </r>
  <r>
    <x v="56"/>
    <x v="54"/>
    <x v="0"/>
    <x v="1"/>
    <x v="1"/>
    <s v="Green Field Karnataka"/>
    <x v="1"/>
    <x v="1"/>
    <x v="2"/>
    <x v="0"/>
    <n v="1"/>
    <n v="288354"/>
    <n v="3"/>
    <n v="288354"/>
    <n v="2.8835400000000001E-2"/>
    <n v="279703.38"/>
    <n v="2.7970338000000001E-2"/>
    <s v="Paid"/>
    <s v="Delivered"/>
    <s v="Invalid"/>
    <s v="Completed"/>
  </r>
  <r>
    <x v="57"/>
    <x v="55"/>
    <x v="3"/>
    <x v="4"/>
    <x v="4"/>
    <s v="Agri Motors West Bengal"/>
    <x v="4"/>
    <x v="3"/>
    <x v="3"/>
    <x v="2"/>
    <n v="7"/>
    <n v="407194"/>
    <n v="9"/>
    <n v="2850358"/>
    <n v="0.28503580000000001"/>
    <n v="2593825.7800000003"/>
    <n v="0.25938257800000003"/>
    <s v="Pending"/>
    <s v="Pending"/>
    <s v="Invalid"/>
    <s v="Pending"/>
  </r>
  <r>
    <x v="58"/>
    <x v="56"/>
    <x v="1"/>
    <x v="0"/>
    <x v="0"/>
    <s v="Shakti Agro Uttar Pradesh"/>
    <x v="0"/>
    <x v="0"/>
    <x v="3"/>
    <x v="2"/>
    <n v="5"/>
    <n v="501803"/>
    <n v="7"/>
    <n v="2509015"/>
    <n v="0.2509015"/>
    <n v="2333383.9499999997"/>
    <n v="0.23333839499999998"/>
    <s v="Paid"/>
    <s v="Delivered"/>
    <s v="Invalid"/>
    <s v="Completed"/>
  </r>
  <r>
    <x v="59"/>
    <x v="17"/>
    <x v="4"/>
    <x v="4"/>
    <x v="3"/>
    <s v="Agri Motors Haryana"/>
    <x v="3"/>
    <x v="0"/>
    <x v="0"/>
    <x v="0"/>
    <n v="0"/>
    <n v="652887"/>
    <n v="0"/>
    <n v="0"/>
    <n v="0"/>
    <n v="0"/>
    <n v="0"/>
    <s v="Partial"/>
    <s v="In Transit"/>
    <s v="Valid"/>
    <s v="In Transit"/>
  </r>
  <r>
    <x v="60"/>
    <x v="57"/>
    <x v="3"/>
    <x v="0"/>
    <x v="2"/>
    <s v="Shakti Agro Maharashtra"/>
    <x v="2"/>
    <x v="2"/>
    <x v="4"/>
    <x v="1"/>
    <n v="0"/>
    <n v="526133"/>
    <n v="0"/>
    <n v="0"/>
    <n v="0"/>
    <n v="0"/>
    <n v="0"/>
    <s v="Pending"/>
    <s v="Pending"/>
    <s v="Invalid"/>
    <s v="Pending"/>
  </r>
  <r>
    <x v="61"/>
    <x v="58"/>
    <x v="3"/>
    <x v="1"/>
    <x v="3"/>
    <s v="Green Field Haryana"/>
    <x v="3"/>
    <x v="0"/>
    <x v="3"/>
    <x v="2"/>
    <n v="5"/>
    <n v="711154"/>
    <n v="7"/>
    <n v="3555770"/>
    <n v="0.35557699999999998"/>
    <n v="3306866.0999999996"/>
    <n v="0.33068660999999994"/>
    <s v="Paid"/>
    <s v="Delivered"/>
    <s v="Valid"/>
    <s v="Completed"/>
  </r>
  <r>
    <x v="62"/>
    <x v="59"/>
    <x v="1"/>
    <x v="0"/>
    <x v="3"/>
    <s v="Shakti Agro Haryana"/>
    <x v="3"/>
    <x v="0"/>
    <x v="2"/>
    <x v="0"/>
    <n v="4"/>
    <n v="105885"/>
    <n v="6"/>
    <n v="423540"/>
    <n v="4.2354000000000003E-2"/>
    <n v="398127.6"/>
    <n v="3.9812759999999996E-2"/>
    <s v="Pending"/>
    <s v="Pending"/>
    <s v="Invalid"/>
    <s v="Pending"/>
  </r>
  <r>
    <x v="63"/>
    <x v="60"/>
    <x v="3"/>
    <x v="4"/>
    <x v="4"/>
    <s v="Agri Motors West Bengal"/>
    <x v="4"/>
    <x v="3"/>
    <x v="0"/>
    <x v="0"/>
    <n v="1"/>
    <n v="618459"/>
    <n v="3"/>
    <n v="618459"/>
    <n v="6.1845900000000002E-2"/>
    <n v="599905.23"/>
    <n v="5.9990522999999997E-2"/>
    <s v="Pending"/>
    <s v="Pending"/>
    <s v="Valid"/>
    <s v="Pending"/>
  </r>
  <r>
    <x v="64"/>
    <x v="61"/>
    <x v="1"/>
    <x v="4"/>
    <x v="4"/>
    <s v="Agri Motors West Bengal"/>
    <x v="4"/>
    <x v="3"/>
    <x v="2"/>
    <x v="0"/>
    <n v="6"/>
    <n v="74760"/>
    <n v="8"/>
    <n v="448560"/>
    <n v="4.4856E-2"/>
    <n v="412675.2"/>
    <n v="4.1267520000000002E-2"/>
    <s v="Pending"/>
    <s v="Pending"/>
    <s v="Invalid"/>
    <s v="Pending"/>
  </r>
  <r>
    <x v="65"/>
    <x v="62"/>
    <x v="0"/>
    <x v="3"/>
    <x v="1"/>
    <s v="Mahadev Motors Karnataka"/>
    <x v="1"/>
    <x v="1"/>
    <x v="2"/>
    <x v="0"/>
    <n v="5"/>
    <n v="50674"/>
    <n v="7"/>
    <n v="253370"/>
    <n v="2.5336999999999998E-2"/>
    <n v="235634.09999999998"/>
    <n v="2.3563409999999996E-2"/>
    <s v="Partial"/>
    <s v="In Transit"/>
    <s v="Invalid"/>
    <s v="In Transit"/>
  </r>
  <r>
    <x v="66"/>
    <x v="63"/>
    <x v="0"/>
    <x v="0"/>
    <x v="2"/>
    <s v="Shakti Agro Maharashtra"/>
    <x v="2"/>
    <x v="2"/>
    <x v="1"/>
    <x v="1"/>
    <n v="2"/>
    <n v="832128"/>
    <n v="5"/>
    <n v="1664256"/>
    <n v="0.16642560000000001"/>
    <n v="1581043.2"/>
    <n v="0.15810431999999999"/>
    <s v="Pending"/>
    <s v="Pending"/>
    <s v="Invalid"/>
    <s v="Pending"/>
  </r>
  <r>
    <x v="67"/>
    <x v="64"/>
    <x v="4"/>
    <x v="2"/>
    <x v="2"/>
    <s v="Kisan Tractors Maharashtra"/>
    <x v="2"/>
    <x v="2"/>
    <x v="1"/>
    <x v="1"/>
    <n v="4"/>
    <n v="866057"/>
    <n v="6"/>
    <n v="3464228"/>
    <n v="0.34642279999999998"/>
    <n v="3256374.32"/>
    <n v="0.325637432"/>
    <s v="Paid"/>
    <s v="Delivered"/>
    <s v="Invalid"/>
    <s v="Completed"/>
  </r>
  <r>
    <x v="68"/>
    <x v="65"/>
    <x v="0"/>
    <x v="2"/>
    <x v="2"/>
    <s v="Kisan Tractors Maharashtra"/>
    <x v="2"/>
    <x v="2"/>
    <x v="2"/>
    <x v="0"/>
    <n v="3"/>
    <n v="653046"/>
    <n v="6"/>
    <n v="1959138"/>
    <n v="0.1959138"/>
    <n v="1841589.72"/>
    <n v="0.184158972"/>
    <s v="Pending"/>
    <s v="Pending"/>
    <s v="Invalid"/>
    <s v="Pending"/>
  </r>
  <r>
    <x v="69"/>
    <x v="66"/>
    <x v="4"/>
    <x v="0"/>
    <x v="2"/>
    <s v="Shakti Agro Maharashtra"/>
    <x v="2"/>
    <x v="2"/>
    <x v="2"/>
    <x v="0"/>
    <n v="7"/>
    <n v="516456"/>
    <n v="9"/>
    <n v="3615192"/>
    <n v="0.36151919999999999"/>
    <n v="3289824.72"/>
    <n v="0.32898247200000003"/>
    <s v="Paid"/>
    <s v="Delivered"/>
    <s v="Valid"/>
    <s v="Completed"/>
  </r>
  <r>
    <x v="70"/>
    <x v="67"/>
    <x v="2"/>
    <x v="4"/>
    <x v="4"/>
    <s v="Agri Motors West Bengal"/>
    <x v="4"/>
    <x v="3"/>
    <x v="3"/>
    <x v="2"/>
    <n v="4"/>
    <n v="745689"/>
    <n v="6"/>
    <n v="2982756"/>
    <n v="0.29827559999999997"/>
    <n v="2803790.6399999997"/>
    <n v="0.28037906399999996"/>
    <s v="Partial"/>
    <s v="In Transit"/>
    <s v="Invalid"/>
    <s v="In Transit"/>
  </r>
  <r>
    <x v="71"/>
    <x v="68"/>
    <x v="4"/>
    <x v="2"/>
    <x v="3"/>
    <s v="Kisan Tractors Haryana"/>
    <x v="3"/>
    <x v="0"/>
    <x v="3"/>
    <x v="2"/>
    <n v="5"/>
    <n v="127757"/>
    <n v="7"/>
    <n v="638785"/>
    <n v="6.3878500000000005E-2"/>
    <n v="594070.04999999993"/>
    <n v="5.9407004999999992E-2"/>
    <s v="Pending"/>
    <s v="Pending"/>
    <s v="Invalid"/>
    <s v="Pending"/>
  </r>
  <r>
    <x v="72"/>
    <x v="69"/>
    <x v="4"/>
    <x v="3"/>
    <x v="4"/>
    <s v="Mahadev Motors West Bengal"/>
    <x v="4"/>
    <x v="3"/>
    <x v="0"/>
    <x v="0"/>
    <n v="8"/>
    <n v="260553"/>
    <n v="9"/>
    <n v="2084424"/>
    <n v="0.2084424"/>
    <n v="1896825.84"/>
    <n v="0.18968258400000002"/>
    <s v="Pending"/>
    <s v="Pending"/>
    <s v="Valid"/>
    <s v="Pending"/>
  </r>
  <r>
    <x v="73"/>
    <x v="70"/>
    <x v="2"/>
    <x v="4"/>
    <x v="0"/>
    <s v="Agri Motors Uttar Pradesh"/>
    <x v="0"/>
    <x v="0"/>
    <x v="1"/>
    <x v="1"/>
    <n v="2"/>
    <n v="420146"/>
    <n v="5"/>
    <n v="840292"/>
    <n v="8.4029199999999998E-2"/>
    <n v="798277.39999999991"/>
    <n v="7.9827739999999994E-2"/>
    <s v="Paid"/>
    <s v="Delivered"/>
    <s v="Invalid"/>
    <s v="Completed"/>
  </r>
  <r>
    <x v="74"/>
    <x v="71"/>
    <x v="4"/>
    <x v="4"/>
    <x v="0"/>
    <s v="Agri Motors Uttar Pradesh"/>
    <x v="0"/>
    <x v="0"/>
    <x v="0"/>
    <x v="0"/>
    <n v="8"/>
    <n v="267590"/>
    <n v="9"/>
    <n v="2140720"/>
    <n v="0.21407200000000001"/>
    <n v="1948055.2"/>
    <n v="0.19480551999999998"/>
    <s v="Paid"/>
    <s v="Delivered"/>
    <s v="Invalid"/>
    <s v="Completed"/>
  </r>
  <r>
    <x v="75"/>
    <x v="72"/>
    <x v="4"/>
    <x v="3"/>
    <x v="4"/>
    <s v="Mahadev Motors West Bengal"/>
    <x v="4"/>
    <x v="3"/>
    <x v="1"/>
    <x v="1"/>
    <n v="8"/>
    <n v="100872"/>
    <n v="9"/>
    <n v="806976"/>
    <n v="8.0697599999999994E-2"/>
    <n v="734348.16"/>
    <n v="7.3434816E-2"/>
    <s v="Partial"/>
    <s v="In Transit"/>
    <s v="Invalid"/>
    <s v="In Transit"/>
  </r>
  <r>
    <x v="76"/>
    <x v="73"/>
    <x v="4"/>
    <x v="1"/>
    <x v="3"/>
    <s v="Green Field Haryana"/>
    <x v="3"/>
    <x v="0"/>
    <x v="2"/>
    <x v="0"/>
    <n v="6"/>
    <n v="103288"/>
    <n v="8"/>
    <n v="619728"/>
    <n v="6.1972800000000001E-2"/>
    <n v="570149.76"/>
    <n v="5.7014976000000002E-2"/>
    <s v="Partial"/>
    <s v="In Transit"/>
    <s v="Invalid"/>
    <s v="In Transit"/>
  </r>
  <r>
    <x v="77"/>
    <x v="74"/>
    <x v="0"/>
    <x v="3"/>
    <x v="3"/>
    <s v="Mahadev Motors Haryana"/>
    <x v="3"/>
    <x v="0"/>
    <x v="0"/>
    <x v="0"/>
    <n v="5"/>
    <n v="804507"/>
    <n v="7"/>
    <n v="4022535"/>
    <n v="0.40225349999999999"/>
    <n v="3740957.55"/>
    <n v="0.37409575499999997"/>
    <s v="Partial"/>
    <s v="In Transit"/>
    <s v="Invalid"/>
    <s v="In Transit"/>
  </r>
  <r>
    <x v="78"/>
    <x v="0"/>
    <x v="4"/>
    <x v="0"/>
    <x v="0"/>
    <s v="Shakti Agro Uttar Pradesh"/>
    <x v="0"/>
    <x v="0"/>
    <x v="1"/>
    <x v="1"/>
    <n v="0"/>
    <n v="171346"/>
    <n v="0"/>
    <n v="0"/>
    <n v="0"/>
    <n v="0"/>
    <n v="0"/>
    <s v="Pending"/>
    <s v="Pending"/>
    <s v="Invalid"/>
    <s v="Pending"/>
  </r>
  <r>
    <x v="79"/>
    <x v="75"/>
    <x v="1"/>
    <x v="4"/>
    <x v="2"/>
    <s v="Agri Motors Maharashtra"/>
    <x v="2"/>
    <x v="2"/>
    <x v="4"/>
    <x v="1"/>
    <n v="2"/>
    <n v="854924"/>
    <n v="5"/>
    <n v="1709848"/>
    <n v="0.17098479999999999"/>
    <n v="1624355.5999999999"/>
    <n v="0.16243555999999998"/>
    <s v="Partial"/>
    <s v="In Transit"/>
    <s v="Invalid"/>
    <s v="In Transit"/>
  </r>
  <r>
    <x v="80"/>
    <x v="76"/>
    <x v="0"/>
    <x v="3"/>
    <x v="1"/>
    <s v="Mahadev Motors Karnataka"/>
    <x v="1"/>
    <x v="1"/>
    <x v="0"/>
    <x v="0"/>
    <n v="5"/>
    <n v="258706"/>
    <n v="7"/>
    <n v="1293530"/>
    <n v="0.129353"/>
    <n v="1202982.8999999999"/>
    <n v="0.12029828999999999"/>
    <s v="Paid"/>
    <s v="Delivered"/>
    <s v="Invalid"/>
    <s v="Completed"/>
  </r>
  <r>
    <x v="81"/>
    <x v="77"/>
    <x v="3"/>
    <x v="1"/>
    <x v="3"/>
    <s v="Green Field Haryana"/>
    <x v="3"/>
    <x v="0"/>
    <x v="3"/>
    <x v="2"/>
    <n v="3"/>
    <n v="512291"/>
    <n v="6"/>
    <n v="1536873"/>
    <n v="0.1536873"/>
    <n v="1444660.6199999999"/>
    <n v="0.14446606199999998"/>
    <s v="Paid"/>
    <s v="Delivered"/>
    <s v="Invalid"/>
    <s v="Completed"/>
  </r>
  <r>
    <x v="82"/>
    <x v="78"/>
    <x v="0"/>
    <x v="2"/>
    <x v="4"/>
    <s v="Kisan Tractors West Bengal"/>
    <x v="4"/>
    <x v="3"/>
    <x v="2"/>
    <x v="0"/>
    <n v="8"/>
    <n v="173310"/>
    <n v="9"/>
    <n v="1386480"/>
    <n v="0.13864799999999999"/>
    <n v="1261696.8"/>
    <n v="0.12616968000000001"/>
    <s v="Paid"/>
    <s v="Delivered"/>
    <s v="Invalid"/>
    <s v="Completed"/>
  </r>
  <r>
    <x v="83"/>
    <x v="79"/>
    <x v="0"/>
    <x v="1"/>
    <x v="4"/>
    <s v="Green Field West Bengal"/>
    <x v="4"/>
    <x v="3"/>
    <x v="1"/>
    <x v="1"/>
    <n v="6"/>
    <n v="237351"/>
    <n v="8"/>
    <n v="1424106"/>
    <n v="0.1424106"/>
    <n v="1310177.52"/>
    <n v="0.13101775200000002"/>
    <s v="Partial"/>
    <s v="In Transit"/>
    <s v="Valid"/>
    <s v="In Transit"/>
  </r>
  <r>
    <x v="84"/>
    <x v="80"/>
    <x v="1"/>
    <x v="0"/>
    <x v="0"/>
    <s v="Shakti Agro Uttar Pradesh"/>
    <x v="0"/>
    <x v="0"/>
    <x v="2"/>
    <x v="0"/>
    <n v="7"/>
    <n v="210905"/>
    <n v="9"/>
    <n v="1476335"/>
    <n v="0.1476335"/>
    <n v="1343464.85"/>
    <n v="0.13434648500000002"/>
    <s v="Paid"/>
    <s v="Delivered"/>
    <s v="Invalid"/>
    <s v="Completed"/>
  </r>
  <r>
    <x v="85"/>
    <x v="81"/>
    <x v="2"/>
    <x v="2"/>
    <x v="3"/>
    <s v="Kisan Tractors Haryana"/>
    <x v="3"/>
    <x v="0"/>
    <x v="2"/>
    <x v="0"/>
    <n v="8"/>
    <n v="384905"/>
    <n v="9"/>
    <n v="3079240"/>
    <n v="0.30792399999999998"/>
    <n v="2802108.4"/>
    <n v="0.28021084000000002"/>
    <s v="Paid"/>
    <s v="Delivered"/>
    <s v="Valid"/>
    <s v="Completed"/>
  </r>
  <r>
    <x v="86"/>
    <x v="82"/>
    <x v="1"/>
    <x v="1"/>
    <x v="1"/>
    <s v="Green Field Karnataka"/>
    <x v="1"/>
    <x v="1"/>
    <x v="4"/>
    <x v="1"/>
    <n v="5"/>
    <n v="632224"/>
    <n v="7"/>
    <n v="3161120"/>
    <n v="0.316112"/>
    <n v="2939841.5999999996"/>
    <n v="0.29398415999999994"/>
    <s v="Partial"/>
    <s v="In Transit"/>
    <s v="Invalid"/>
    <s v="In Transit"/>
  </r>
  <r>
    <x v="87"/>
    <x v="83"/>
    <x v="4"/>
    <x v="1"/>
    <x v="4"/>
    <s v="Green Field West Bengal"/>
    <x v="4"/>
    <x v="3"/>
    <x v="4"/>
    <x v="1"/>
    <n v="7"/>
    <n v="557033"/>
    <n v="9"/>
    <n v="3899231"/>
    <n v="0.38992310000000002"/>
    <n v="3548300.21"/>
    <n v="0.354830021"/>
    <s v="Partial"/>
    <s v="In Transit"/>
    <s v="Valid"/>
    <s v="In Transit"/>
  </r>
  <r>
    <x v="88"/>
    <x v="37"/>
    <x v="4"/>
    <x v="4"/>
    <x v="2"/>
    <s v="Agri Motors Maharashtra"/>
    <x v="2"/>
    <x v="2"/>
    <x v="1"/>
    <x v="1"/>
    <n v="3"/>
    <n v="733204"/>
    <n v="6"/>
    <n v="2199612"/>
    <n v="0.2199612"/>
    <n v="2067635.2799999998"/>
    <n v="0.20676352799999997"/>
    <s v="Partial"/>
    <s v="In Transit"/>
    <s v="Valid"/>
    <s v="In Transit"/>
  </r>
  <r>
    <x v="89"/>
    <x v="84"/>
    <x v="0"/>
    <x v="4"/>
    <x v="2"/>
    <s v="Agri Motors Maharashtra"/>
    <x v="2"/>
    <x v="2"/>
    <x v="2"/>
    <x v="0"/>
    <n v="4"/>
    <n v="345454"/>
    <n v="6"/>
    <n v="1381816"/>
    <n v="0.13818159999999999"/>
    <n v="1298907.04"/>
    <n v="0.129890704"/>
    <s v="Pending"/>
    <s v="Pending"/>
    <s v="Valid"/>
    <s v="Pending"/>
  </r>
  <r>
    <x v="90"/>
    <x v="85"/>
    <x v="1"/>
    <x v="1"/>
    <x v="2"/>
    <s v="Green Field Maharashtra"/>
    <x v="2"/>
    <x v="2"/>
    <x v="4"/>
    <x v="1"/>
    <n v="5"/>
    <n v="583573"/>
    <n v="7"/>
    <n v="2917865"/>
    <n v="0.2917865"/>
    <n v="2713614.4499999997"/>
    <n v="0.27136144499999998"/>
    <s v="Partial"/>
    <s v="In Transit"/>
    <s v="Invalid"/>
    <s v="In Transit"/>
  </r>
  <r>
    <x v="91"/>
    <x v="86"/>
    <x v="1"/>
    <x v="2"/>
    <x v="0"/>
    <s v="Kisan Tractors Uttar Pradesh"/>
    <x v="0"/>
    <x v="0"/>
    <x v="2"/>
    <x v="0"/>
    <n v="8"/>
    <n v="228203"/>
    <n v="9"/>
    <n v="1825624"/>
    <n v="0.18256240000000001"/>
    <n v="1661317.84"/>
    <n v="0.166131784"/>
    <s v="Pending"/>
    <s v="Pending"/>
    <s v="Valid"/>
    <s v="Pending"/>
  </r>
  <r>
    <x v="92"/>
    <x v="87"/>
    <x v="3"/>
    <x v="1"/>
    <x v="0"/>
    <s v="Green Field Uttar Pradesh"/>
    <x v="0"/>
    <x v="0"/>
    <x v="0"/>
    <x v="0"/>
    <n v="6"/>
    <n v="640024"/>
    <n v="8"/>
    <n v="3840144"/>
    <n v="0.38401439999999998"/>
    <n v="3532932.48"/>
    <n v="0.353293248"/>
    <s v="Pending"/>
    <s v="Pending"/>
    <s v="Valid"/>
    <s v="Pending"/>
  </r>
  <r>
    <x v="93"/>
    <x v="78"/>
    <x v="1"/>
    <x v="2"/>
    <x v="1"/>
    <s v="Kisan Tractors Karnataka"/>
    <x v="1"/>
    <x v="1"/>
    <x v="1"/>
    <x v="1"/>
    <n v="8"/>
    <n v="690561"/>
    <n v="9"/>
    <n v="5524488"/>
    <n v="0.55244879999999996"/>
    <n v="5027284.08"/>
    <n v="0.50272840799999996"/>
    <s v="Partial"/>
    <s v="In Transit"/>
    <s v="Invalid"/>
    <s v="In Transit"/>
  </r>
  <r>
    <x v="94"/>
    <x v="88"/>
    <x v="3"/>
    <x v="3"/>
    <x v="1"/>
    <s v="Mahadev Motors Karnataka"/>
    <x v="1"/>
    <x v="1"/>
    <x v="3"/>
    <x v="2"/>
    <n v="2"/>
    <n v="689097"/>
    <n v="5"/>
    <n v="1378194"/>
    <n v="0.13781940000000001"/>
    <n v="1309284.3"/>
    <n v="0.13092843000000001"/>
    <s v="Pending"/>
    <s v="Pending"/>
    <s v="Invalid"/>
    <s v="Pending"/>
  </r>
  <r>
    <x v="95"/>
    <x v="89"/>
    <x v="4"/>
    <x v="1"/>
    <x v="2"/>
    <s v="Green Field Maharashtra"/>
    <x v="2"/>
    <x v="2"/>
    <x v="1"/>
    <x v="1"/>
    <n v="1"/>
    <n v="260229"/>
    <n v="3"/>
    <n v="260229"/>
    <n v="2.6022900000000002E-2"/>
    <n v="252422.13"/>
    <n v="2.5242212999999999E-2"/>
    <s v="Pending"/>
    <s v="Pending"/>
    <s v="Invalid"/>
    <s v="Pending"/>
  </r>
  <r>
    <x v="96"/>
    <x v="90"/>
    <x v="2"/>
    <x v="4"/>
    <x v="3"/>
    <s v="Agri Motors Haryana"/>
    <x v="3"/>
    <x v="0"/>
    <x v="2"/>
    <x v="0"/>
    <n v="4"/>
    <n v="740417"/>
    <n v="6"/>
    <n v="2961668"/>
    <n v="0.29616680000000001"/>
    <n v="2783967.92"/>
    <n v="0.278396792"/>
    <s v="Pending"/>
    <s v="Pending"/>
    <s v="Valid"/>
    <s v="Pending"/>
  </r>
  <r>
    <x v="97"/>
    <x v="91"/>
    <x v="0"/>
    <x v="4"/>
    <x v="3"/>
    <s v="Agri Motors Haryana"/>
    <x v="3"/>
    <x v="0"/>
    <x v="3"/>
    <x v="2"/>
    <n v="3"/>
    <n v="534614"/>
    <n v="6"/>
    <n v="1603842"/>
    <n v="0.1603842"/>
    <n v="1507611.48"/>
    <n v="0.15076114800000001"/>
    <s v="Pending"/>
    <s v="Pending"/>
    <s v="Invalid"/>
    <s v="Pending"/>
  </r>
  <r>
    <x v="98"/>
    <x v="92"/>
    <x v="1"/>
    <x v="3"/>
    <x v="2"/>
    <s v="Mahadev Motors Maharashtra"/>
    <x v="2"/>
    <x v="2"/>
    <x v="0"/>
    <x v="0"/>
    <n v="1"/>
    <n v="318448"/>
    <n v="3"/>
    <n v="318448"/>
    <n v="3.1844799999999999E-2"/>
    <n v="308894.56"/>
    <n v="3.0889455999999999E-2"/>
    <s v="Partial"/>
    <s v="In Transit"/>
    <s v="Invalid"/>
    <s v="In Transit"/>
  </r>
  <r>
    <x v="99"/>
    <x v="93"/>
    <x v="0"/>
    <x v="0"/>
    <x v="4"/>
    <s v="Shakti Agro West Bengal"/>
    <x v="4"/>
    <x v="3"/>
    <x v="4"/>
    <x v="1"/>
    <n v="8"/>
    <n v="293552"/>
    <n v="9"/>
    <n v="2348416"/>
    <n v="0.23484160000000001"/>
    <n v="2137058.56"/>
    <n v="0.213705856"/>
    <s v="Partial"/>
    <s v="In Transit"/>
    <s v="Invalid"/>
    <s v="In Transit"/>
  </r>
  <r>
    <x v="100"/>
    <x v="94"/>
    <x v="3"/>
    <x v="0"/>
    <x v="3"/>
    <s v="Shakti Agro Haryana"/>
    <x v="3"/>
    <x v="0"/>
    <x v="0"/>
    <x v="0"/>
    <n v="5"/>
    <n v="836285"/>
    <n v="7"/>
    <n v="4181425"/>
    <n v="0.41814249999999997"/>
    <n v="3888725.2499999995"/>
    <n v="0.38887252499999997"/>
    <s v="Paid"/>
    <s v="Delivered"/>
    <s v="Invalid"/>
    <s v="Completed"/>
  </r>
  <r>
    <x v="101"/>
    <x v="66"/>
    <x v="4"/>
    <x v="3"/>
    <x v="1"/>
    <s v="Mahadev Motors Karnataka"/>
    <x v="1"/>
    <x v="1"/>
    <x v="3"/>
    <x v="2"/>
    <n v="2"/>
    <n v="418035"/>
    <n v="5"/>
    <n v="836070"/>
    <n v="8.3607000000000001E-2"/>
    <n v="794266.5"/>
    <n v="7.9426650000000001E-2"/>
    <s v="Pending"/>
    <s v="Pending"/>
    <s v="Invalid"/>
    <s v="Pending"/>
  </r>
  <r>
    <x v="102"/>
    <x v="95"/>
    <x v="2"/>
    <x v="0"/>
    <x v="0"/>
    <s v="Shakti Agro Uttar Pradesh"/>
    <x v="0"/>
    <x v="0"/>
    <x v="0"/>
    <x v="0"/>
    <n v="3"/>
    <n v="366258"/>
    <n v="6"/>
    <n v="1098774"/>
    <n v="0.1098774"/>
    <n v="1032847.5599999999"/>
    <n v="0.10328475599999999"/>
    <s v="Pending"/>
    <s v="Pending"/>
    <s v="Invalid"/>
    <s v="Pending"/>
  </r>
  <r>
    <x v="103"/>
    <x v="96"/>
    <x v="1"/>
    <x v="3"/>
    <x v="0"/>
    <s v="Mahadev Motors Uttar Pradesh"/>
    <x v="0"/>
    <x v="0"/>
    <x v="4"/>
    <x v="1"/>
    <n v="7"/>
    <n v="246449"/>
    <n v="9"/>
    <n v="1725143"/>
    <n v="0.17251430000000001"/>
    <n v="1569880.1300000001"/>
    <n v="0.15698801300000001"/>
    <s v="Partial"/>
    <s v="In Transit"/>
    <s v="Valid"/>
    <s v="In Transit"/>
  </r>
  <r>
    <x v="104"/>
    <x v="97"/>
    <x v="3"/>
    <x v="3"/>
    <x v="4"/>
    <s v="Mahadev Motors West Bengal"/>
    <x v="4"/>
    <x v="3"/>
    <x v="0"/>
    <x v="0"/>
    <n v="5"/>
    <n v="617288"/>
    <n v="7"/>
    <n v="3086440"/>
    <n v="0.30864399999999997"/>
    <n v="2870389.1999999997"/>
    <n v="0.28703891999999998"/>
    <s v="Partial"/>
    <s v="In Transit"/>
    <s v="Invalid"/>
    <s v="In Transit"/>
  </r>
  <r>
    <x v="105"/>
    <x v="98"/>
    <x v="3"/>
    <x v="1"/>
    <x v="0"/>
    <s v="Green Field Uttar Pradesh"/>
    <x v="0"/>
    <x v="0"/>
    <x v="2"/>
    <x v="0"/>
    <n v="6"/>
    <n v="290458"/>
    <n v="8"/>
    <n v="1742748"/>
    <n v="0.17427480000000001"/>
    <n v="1603328.1600000001"/>
    <n v="0.16033281600000002"/>
    <s v="Paid"/>
    <s v="Delivered"/>
    <s v="Invalid"/>
    <s v="Completed"/>
  </r>
  <r>
    <x v="106"/>
    <x v="99"/>
    <x v="1"/>
    <x v="4"/>
    <x v="2"/>
    <s v="Agri Motors Maharashtra"/>
    <x v="2"/>
    <x v="2"/>
    <x v="4"/>
    <x v="1"/>
    <n v="6"/>
    <n v="751757"/>
    <n v="8"/>
    <n v="4510542"/>
    <n v="0.45105420000000002"/>
    <n v="4149698.64"/>
    <n v="0.41496986400000002"/>
    <s v="Partial"/>
    <s v="In Transit"/>
    <s v="Invalid"/>
    <s v="In Transit"/>
  </r>
  <r>
    <x v="107"/>
    <x v="100"/>
    <x v="4"/>
    <x v="3"/>
    <x v="1"/>
    <s v="Mahadev Motors Karnataka"/>
    <x v="1"/>
    <x v="1"/>
    <x v="2"/>
    <x v="0"/>
    <n v="5"/>
    <n v="650612"/>
    <n v="7"/>
    <n v="3253060"/>
    <n v="0.32530599999999998"/>
    <n v="3025345.8"/>
    <n v="0.30253458"/>
    <s v="Paid"/>
    <s v="Delivered"/>
    <s v="Valid"/>
    <s v="Completed"/>
  </r>
  <r>
    <x v="108"/>
    <x v="101"/>
    <x v="3"/>
    <x v="1"/>
    <x v="2"/>
    <s v="Green Field Maharashtra"/>
    <x v="2"/>
    <x v="2"/>
    <x v="3"/>
    <x v="2"/>
    <n v="1"/>
    <n v="291438"/>
    <n v="3"/>
    <n v="291438"/>
    <n v="2.9143800000000001E-2"/>
    <n v="282694.86"/>
    <n v="2.8269486E-2"/>
    <s v="Pending"/>
    <s v="Pending"/>
    <s v="Invalid"/>
    <s v="Pending"/>
  </r>
  <r>
    <x v="109"/>
    <x v="5"/>
    <x v="4"/>
    <x v="2"/>
    <x v="4"/>
    <s v="Kisan Tractors West Bengal"/>
    <x v="4"/>
    <x v="3"/>
    <x v="3"/>
    <x v="2"/>
    <n v="6"/>
    <n v="604370"/>
    <n v="8"/>
    <n v="3626220"/>
    <n v="0.362622"/>
    <n v="3336122.4000000004"/>
    <n v="0.33361224000000006"/>
    <s v="Paid"/>
    <s v="Delivered"/>
    <s v="Valid"/>
    <s v="Completed"/>
  </r>
  <r>
    <x v="110"/>
    <x v="102"/>
    <x v="1"/>
    <x v="4"/>
    <x v="1"/>
    <s v="Agri Motors Karnataka"/>
    <x v="1"/>
    <x v="1"/>
    <x v="4"/>
    <x v="1"/>
    <n v="7"/>
    <n v="888419"/>
    <n v="9"/>
    <n v="6218933"/>
    <n v="0.62189329999999998"/>
    <n v="5659229.0300000003"/>
    <n v="0.56592290300000003"/>
    <s v="Pending"/>
    <s v="Pending"/>
    <s v="Invalid"/>
    <s v="Pending"/>
  </r>
  <r>
    <x v="111"/>
    <x v="103"/>
    <x v="2"/>
    <x v="1"/>
    <x v="3"/>
    <s v="Green Field Haryana"/>
    <x v="3"/>
    <x v="0"/>
    <x v="1"/>
    <x v="1"/>
    <n v="2"/>
    <n v="821983"/>
    <n v="5"/>
    <n v="1643966"/>
    <n v="0.1643966"/>
    <n v="1561767.7"/>
    <n v="0.15617676999999999"/>
    <s v="Pending"/>
    <s v="Pending"/>
    <s v="Invalid"/>
    <s v="Pending"/>
  </r>
  <r>
    <x v="112"/>
    <x v="104"/>
    <x v="0"/>
    <x v="0"/>
    <x v="3"/>
    <s v="Shakti Agro Haryana"/>
    <x v="3"/>
    <x v="0"/>
    <x v="0"/>
    <x v="0"/>
    <n v="3"/>
    <n v="798025"/>
    <n v="6"/>
    <n v="2394075"/>
    <n v="0.2394075"/>
    <n v="2250430.5"/>
    <n v="0.22504304999999999"/>
    <s v="Pending"/>
    <s v="Pending"/>
    <s v="Valid"/>
    <s v="Pending"/>
  </r>
  <r>
    <x v="113"/>
    <x v="105"/>
    <x v="1"/>
    <x v="3"/>
    <x v="2"/>
    <s v="Mahadev Motors Maharashtra"/>
    <x v="2"/>
    <x v="2"/>
    <x v="2"/>
    <x v="0"/>
    <n v="3"/>
    <n v="275399"/>
    <n v="6"/>
    <n v="826197"/>
    <n v="8.2619700000000004E-2"/>
    <n v="776625.17999999993"/>
    <n v="7.7662518E-2"/>
    <s v="Partial"/>
    <s v="In Transit"/>
    <s v="Valid"/>
    <s v="In Transit"/>
  </r>
  <r>
    <x v="114"/>
    <x v="106"/>
    <x v="4"/>
    <x v="1"/>
    <x v="3"/>
    <s v="Green Field Haryana"/>
    <x v="3"/>
    <x v="0"/>
    <x v="2"/>
    <x v="0"/>
    <n v="5"/>
    <n v="341478"/>
    <n v="7"/>
    <n v="1707390"/>
    <n v="0.170739"/>
    <n v="1587872.7"/>
    <n v="0.15878727000000001"/>
    <s v="Paid"/>
    <s v="Delivered"/>
    <s v="Invalid"/>
    <s v="Completed"/>
  </r>
  <r>
    <x v="115"/>
    <x v="107"/>
    <x v="2"/>
    <x v="3"/>
    <x v="0"/>
    <s v="Mahadev Motors Uttar Pradesh"/>
    <x v="0"/>
    <x v="0"/>
    <x v="1"/>
    <x v="1"/>
    <n v="5"/>
    <n v="465071"/>
    <n v="7"/>
    <n v="2325355"/>
    <n v="0.23253550000000001"/>
    <n v="2162580.15"/>
    <n v="0.216258015"/>
    <s v="Partial"/>
    <s v="In Transit"/>
    <s v="Invalid"/>
    <s v="In Transit"/>
  </r>
  <r>
    <x v="116"/>
    <x v="108"/>
    <x v="3"/>
    <x v="1"/>
    <x v="0"/>
    <s v="Green Field Uttar Pradesh"/>
    <x v="0"/>
    <x v="0"/>
    <x v="3"/>
    <x v="2"/>
    <n v="7"/>
    <n v="627405"/>
    <n v="9"/>
    <n v="4391835"/>
    <n v="0.4391835"/>
    <n v="3996569.85"/>
    <n v="0.39965698500000002"/>
    <s v="Paid"/>
    <s v="Delivered"/>
    <s v="Invalid"/>
    <s v="Completed"/>
  </r>
  <r>
    <x v="117"/>
    <x v="109"/>
    <x v="0"/>
    <x v="3"/>
    <x v="4"/>
    <s v="Mahadev Motors West Bengal"/>
    <x v="4"/>
    <x v="3"/>
    <x v="1"/>
    <x v="1"/>
    <n v="1"/>
    <n v="130049"/>
    <n v="3"/>
    <n v="130049"/>
    <n v="1.30049E-2"/>
    <n v="126147.53"/>
    <n v="1.2614752999999999E-2"/>
    <s v="Paid"/>
    <s v="Delivered"/>
    <s v="Valid"/>
    <s v="Completed"/>
  </r>
  <r>
    <x v="118"/>
    <x v="110"/>
    <x v="0"/>
    <x v="1"/>
    <x v="4"/>
    <s v="Green Field West Bengal"/>
    <x v="4"/>
    <x v="3"/>
    <x v="3"/>
    <x v="2"/>
    <n v="1"/>
    <n v="875064"/>
    <n v="3"/>
    <n v="875064"/>
    <n v="8.7506399999999998E-2"/>
    <n v="848812.08"/>
    <n v="8.4881208E-2"/>
    <s v="Partial"/>
    <s v="In Transit"/>
    <s v="Invalid"/>
    <s v="In Transit"/>
  </r>
  <r>
    <x v="119"/>
    <x v="111"/>
    <x v="1"/>
    <x v="0"/>
    <x v="1"/>
    <s v="Shakti Agro Karnataka"/>
    <x v="1"/>
    <x v="1"/>
    <x v="0"/>
    <x v="0"/>
    <n v="8"/>
    <n v="493144"/>
    <n v="9"/>
    <n v="3945152"/>
    <n v="0.39451520000000001"/>
    <n v="3590088.3200000003"/>
    <n v="0.35900883200000006"/>
    <s v="Paid"/>
    <s v="Delivered"/>
    <s v="Valid"/>
    <s v="Completed"/>
  </r>
  <r>
    <x v="120"/>
    <x v="76"/>
    <x v="2"/>
    <x v="1"/>
    <x v="3"/>
    <s v="Green Field Haryana"/>
    <x v="3"/>
    <x v="0"/>
    <x v="4"/>
    <x v="1"/>
    <n v="6"/>
    <n v="693771"/>
    <n v="8"/>
    <n v="4162626"/>
    <n v="0.41626259999999998"/>
    <n v="3829615.9200000004"/>
    <n v="0.38296159200000002"/>
    <s v="Paid"/>
    <s v="Delivered"/>
    <s v="Valid"/>
    <s v="Completed"/>
  </r>
  <r>
    <x v="121"/>
    <x v="112"/>
    <x v="2"/>
    <x v="4"/>
    <x v="1"/>
    <s v="Agri Motors Karnataka"/>
    <x v="1"/>
    <x v="1"/>
    <x v="0"/>
    <x v="0"/>
    <n v="1"/>
    <n v="535232"/>
    <n v="3"/>
    <n v="535232"/>
    <n v="5.35232E-2"/>
    <n v="519175.04"/>
    <n v="5.1917503999999996E-2"/>
    <s v="Pending"/>
    <s v="Pending"/>
    <s v="Valid"/>
    <s v="Pending"/>
  </r>
  <r>
    <x v="122"/>
    <x v="113"/>
    <x v="4"/>
    <x v="3"/>
    <x v="3"/>
    <s v="Mahadev Motors Haryana"/>
    <x v="3"/>
    <x v="0"/>
    <x v="2"/>
    <x v="0"/>
    <n v="5"/>
    <n v="740850"/>
    <n v="7"/>
    <n v="3704250"/>
    <n v="0.370425"/>
    <n v="3444952.5"/>
    <n v="0.34449524999999998"/>
    <s v="Pending"/>
    <s v="Pending"/>
    <s v="Invalid"/>
    <s v="Pending"/>
  </r>
  <r>
    <x v="123"/>
    <x v="114"/>
    <x v="4"/>
    <x v="1"/>
    <x v="3"/>
    <s v="Green Field Haryana"/>
    <x v="3"/>
    <x v="0"/>
    <x v="0"/>
    <x v="0"/>
    <n v="4"/>
    <n v="620378"/>
    <n v="6"/>
    <n v="2481512"/>
    <n v="0.24815119999999999"/>
    <n v="2332621.2799999998"/>
    <n v="0.23326212799999999"/>
    <s v="Partial"/>
    <s v="In Transit"/>
    <s v="Invalid"/>
    <s v="In Transit"/>
  </r>
  <r>
    <x v="124"/>
    <x v="115"/>
    <x v="4"/>
    <x v="1"/>
    <x v="2"/>
    <s v="Green Field Maharashtra"/>
    <x v="2"/>
    <x v="2"/>
    <x v="0"/>
    <x v="0"/>
    <n v="2"/>
    <n v="448402"/>
    <n v="5"/>
    <n v="896804"/>
    <n v="8.9680399999999993E-2"/>
    <n v="851963.79999999993"/>
    <n v="8.5196379999999988E-2"/>
    <s v="Paid"/>
    <s v="Delivered"/>
    <s v="Invalid"/>
    <s v="Completed"/>
  </r>
  <r>
    <x v="125"/>
    <x v="116"/>
    <x v="4"/>
    <x v="4"/>
    <x v="0"/>
    <s v="Agri Motors Uttar Pradesh"/>
    <x v="0"/>
    <x v="0"/>
    <x v="2"/>
    <x v="0"/>
    <n v="7"/>
    <n v="204374"/>
    <n v="9"/>
    <n v="1430618"/>
    <n v="0.14306179999999999"/>
    <n v="1301862.3800000001"/>
    <n v="0.13018623800000001"/>
    <s v="Paid"/>
    <s v="Delivered"/>
    <s v="Valid"/>
    <s v="Completed"/>
  </r>
  <r>
    <x v="126"/>
    <x v="117"/>
    <x v="4"/>
    <x v="2"/>
    <x v="4"/>
    <s v="Kisan Tractors West Bengal"/>
    <x v="4"/>
    <x v="3"/>
    <x v="2"/>
    <x v="0"/>
    <n v="5"/>
    <n v="288705"/>
    <n v="7"/>
    <n v="1443525"/>
    <n v="0.14435249999999999"/>
    <n v="1342478.25"/>
    <n v="0.13424782499999999"/>
    <s v="Pending"/>
    <s v="Pending"/>
    <s v="Invalid"/>
    <s v="Pending"/>
  </r>
  <r>
    <x v="127"/>
    <x v="118"/>
    <x v="4"/>
    <x v="1"/>
    <x v="4"/>
    <s v="Green Field West Bengal"/>
    <x v="4"/>
    <x v="3"/>
    <x v="2"/>
    <x v="0"/>
    <n v="3"/>
    <n v="880839"/>
    <n v="6"/>
    <n v="2642517"/>
    <n v="0.26425169999999998"/>
    <n v="2483965.98"/>
    <n v="0.248396598"/>
    <s v="Paid"/>
    <s v="Delivered"/>
    <s v="Valid"/>
    <s v="Completed"/>
  </r>
  <r>
    <x v="128"/>
    <x v="119"/>
    <x v="1"/>
    <x v="4"/>
    <x v="0"/>
    <s v="Agri Motors Uttar Pradesh"/>
    <x v="0"/>
    <x v="0"/>
    <x v="3"/>
    <x v="2"/>
    <n v="2"/>
    <n v="115561"/>
    <n v="5"/>
    <n v="231122"/>
    <n v="2.3112199999999999E-2"/>
    <n v="219565.9"/>
    <n v="2.1956589999999998E-2"/>
    <s v="Pending"/>
    <s v="Pending"/>
    <s v="Invalid"/>
    <s v="Pending"/>
  </r>
  <r>
    <x v="129"/>
    <x v="120"/>
    <x v="3"/>
    <x v="4"/>
    <x v="3"/>
    <s v="Agri Motors Haryana"/>
    <x v="3"/>
    <x v="0"/>
    <x v="4"/>
    <x v="1"/>
    <n v="8"/>
    <n v="359954"/>
    <n v="9"/>
    <n v="2879632"/>
    <n v="0.28796319999999997"/>
    <n v="2620465.12"/>
    <n v="0.26204651200000001"/>
    <s v="Paid"/>
    <s v="Delivered"/>
    <s v="Invalid"/>
    <s v="Completed"/>
  </r>
  <r>
    <x v="130"/>
    <x v="121"/>
    <x v="0"/>
    <x v="1"/>
    <x v="3"/>
    <s v="Green Field Haryana"/>
    <x v="3"/>
    <x v="0"/>
    <x v="4"/>
    <x v="1"/>
    <n v="0"/>
    <n v="669206"/>
    <n v="0"/>
    <n v="0"/>
    <n v="0"/>
    <n v="0"/>
    <n v="0"/>
    <s v="Partial"/>
    <s v="In Transit"/>
    <s v="Invalid"/>
    <s v="In Transit"/>
  </r>
  <r>
    <x v="131"/>
    <x v="122"/>
    <x v="3"/>
    <x v="3"/>
    <x v="1"/>
    <s v="Mahadev Motors Karnataka"/>
    <x v="1"/>
    <x v="1"/>
    <x v="1"/>
    <x v="1"/>
    <n v="4"/>
    <n v="281476"/>
    <n v="6"/>
    <n v="1125904"/>
    <n v="0.11259039999999999"/>
    <n v="1058349.76"/>
    <n v="0.105834976"/>
    <s v="Paid"/>
    <s v="Delivered"/>
    <s v="Invalid"/>
    <s v="Completed"/>
  </r>
  <r>
    <x v="132"/>
    <x v="123"/>
    <x v="1"/>
    <x v="4"/>
    <x v="0"/>
    <s v="Agri Motors Uttar Pradesh"/>
    <x v="0"/>
    <x v="0"/>
    <x v="1"/>
    <x v="1"/>
    <n v="0"/>
    <n v="213484"/>
    <n v="0"/>
    <n v="0"/>
    <n v="0"/>
    <n v="0"/>
    <n v="0"/>
    <s v="Paid"/>
    <s v="Delivered"/>
    <s v="Invalid"/>
    <s v="Completed"/>
  </r>
  <r>
    <x v="133"/>
    <x v="124"/>
    <x v="4"/>
    <x v="1"/>
    <x v="3"/>
    <s v="Green Field Haryana"/>
    <x v="3"/>
    <x v="0"/>
    <x v="4"/>
    <x v="1"/>
    <n v="8"/>
    <n v="352004"/>
    <n v="9"/>
    <n v="2816032"/>
    <n v="0.2816032"/>
    <n v="2562589.12"/>
    <n v="0.25625891200000001"/>
    <s v="Paid"/>
    <s v="Delivered"/>
    <s v="Invalid"/>
    <s v="Completed"/>
  </r>
  <r>
    <x v="134"/>
    <x v="125"/>
    <x v="4"/>
    <x v="0"/>
    <x v="1"/>
    <s v="Shakti Agro Karnataka"/>
    <x v="1"/>
    <x v="1"/>
    <x v="4"/>
    <x v="1"/>
    <n v="6"/>
    <n v="148730"/>
    <n v="8"/>
    <n v="892380"/>
    <n v="8.9237999999999998E-2"/>
    <n v="820989.60000000009"/>
    <n v="8.2098960000000012E-2"/>
    <s v="Pending"/>
    <s v="Pending"/>
    <s v="Valid"/>
    <s v="Pending"/>
  </r>
  <r>
    <x v="135"/>
    <x v="122"/>
    <x v="3"/>
    <x v="2"/>
    <x v="2"/>
    <s v="Kisan Tractors Maharashtra"/>
    <x v="2"/>
    <x v="2"/>
    <x v="1"/>
    <x v="1"/>
    <n v="6"/>
    <n v="843696"/>
    <n v="8"/>
    <n v="5062176"/>
    <n v="0.50621760000000005"/>
    <n v="4657201.92"/>
    <n v="0.46572019199999998"/>
    <s v="Paid"/>
    <s v="Delivered"/>
    <s v="Valid"/>
    <s v="Completed"/>
  </r>
  <r>
    <x v="136"/>
    <x v="126"/>
    <x v="3"/>
    <x v="3"/>
    <x v="0"/>
    <s v="Mahadev Motors Uttar Pradesh"/>
    <x v="0"/>
    <x v="0"/>
    <x v="2"/>
    <x v="0"/>
    <n v="1"/>
    <n v="200488"/>
    <n v="3"/>
    <n v="200488"/>
    <n v="2.0048799999999999E-2"/>
    <n v="194473.36"/>
    <n v="1.9447335999999999E-2"/>
    <s v="Paid"/>
    <s v="Delivered"/>
    <s v="Invalid"/>
    <s v="Completed"/>
  </r>
  <r>
    <x v="137"/>
    <x v="127"/>
    <x v="4"/>
    <x v="2"/>
    <x v="0"/>
    <s v="Kisan Tractors Uttar Pradesh"/>
    <x v="0"/>
    <x v="0"/>
    <x v="3"/>
    <x v="2"/>
    <n v="3"/>
    <n v="618174"/>
    <n v="6"/>
    <n v="1854522"/>
    <n v="0.18545220000000001"/>
    <n v="1743250.68"/>
    <n v="0.174325068"/>
    <s v="Pending"/>
    <s v="Pending"/>
    <s v="Invalid"/>
    <s v="Pending"/>
  </r>
  <r>
    <x v="138"/>
    <x v="128"/>
    <x v="4"/>
    <x v="3"/>
    <x v="1"/>
    <s v="Mahadev Motors Karnataka"/>
    <x v="1"/>
    <x v="1"/>
    <x v="0"/>
    <x v="0"/>
    <n v="6"/>
    <n v="253106"/>
    <n v="8"/>
    <n v="1518636"/>
    <n v="0.15186359999999999"/>
    <n v="1397145.12"/>
    <n v="0.13971451200000001"/>
    <s v="Pending"/>
    <s v="Pending"/>
    <s v="Invalid"/>
    <s v="Pending"/>
  </r>
  <r>
    <x v="139"/>
    <x v="129"/>
    <x v="3"/>
    <x v="4"/>
    <x v="3"/>
    <s v="Agri Motors Haryana"/>
    <x v="3"/>
    <x v="0"/>
    <x v="2"/>
    <x v="0"/>
    <n v="4"/>
    <n v="579418"/>
    <n v="6"/>
    <n v="2317672"/>
    <n v="0.23176720000000001"/>
    <n v="2178611.6799999997"/>
    <n v="0.21786116799999997"/>
    <s v="Paid"/>
    <s v="Delivered"/>
    <s v="Valid"/>
    <s v="Completed"/>
  </r>
  <r>
    <x v="140"/>
    <x v="6"/>
    <x v="2"/>
    <x v="0"/>
    <x v="1"/>
    <s v="Shakti Agro Karnataka"/>
    <x v="1"/>
    <x v="1"/>
    <x v="0"/>
    <x v="0"/>
    <n v="2"/>
    <n v="629796"/>
    <n v="5"/>
    <n v="1259592"/>
    <n v="0.12595919999999999"/>
    <n v="1196612.3999999999"/>
    <n v="0.11966123999999999"/>
    <s v="Partial"/>
    <s v="In Transit"/>
    <s v="Invalid"/>
    <s v="In Transit"/>
  </r>
  <r>
    <x v="141"/>
    <x v="130"/>
    <x v="0"/>
    <x v="4"/>
    <x v="4"/>
    <s v="Agri Motors West Bengal"/>
    <x v="4"/>
    <x v="3"/>
    <x v="3"/>
    <x v="2"/>
    <n v="7"/>
    <n v="715073"/>
    <n v="9"/>
    <n v="5005511"/>
    <n v="0.50055110000000003"/>
    <n v="4555015.01"/>
    <n v="0.45550150099999998"/>
    <s v="Pending"/>
    <s v="Pending"/>
    <s v="Valid"/>
    <s v="Pending"/>
  </r>
  <r>
    <x v="142"/>
    <x v="131"/>
    <x v="2"/>
    <x v="4"/>
    <x v="4"/>
    <s v="Agri Motors West Bengal"/>
    <x v="4"/>
    <x v="3"/>
    <x v="0"/>
    <x v="0"/>
    <n v="1"/>
    <n v="152656"/>
    <n v="3"/>
    <n v="152656"/>
    <n v="1.5265600000000001E-2"/>
    <n v="148076.32"/>
    <n v="1.4807632000000001E-2"/>
    <s v="Pending"/>
    <s v="Pending"/>
    <s v="Invalid"/>
    <s v="Pending"/>
  </r>
  <r>
    <x v="143"/>
    <x v="132"/>
    <x v="4"/>
    <x v="2"/>
    <x v="3"/>
    <s v="Kisan Tractors Haryana"/>
    <x v="3"/>
    <x v="0"/>
    <x v="4"/>
    <x v="1"/>
    <n v="7"/>
    <n v="695570"/>
    <n v="9"/>
    <n v="4868990"/>
    <n v="0.48689900000000003"/>
    <n v="4430780.9000000004"/>
    <n v="0.44307809000000004"/>
    <s v="Partial"/>
    <s v="In Transit"/>
    <s v="Invalid"/>
    <s v="In Transit"/>
  </r>
  <r>
    <x v="144"/>
    <x v="133"/>
    <x v="0"/>
    <x v="2"/>
    <x v="3"/>
    <s v="Kisan Tractors Haryana"/>
    <x v="3"/>
    <x v="0"/>
    <x v="0"/>
    <x v="0"/>
    <n v="3"/>
    <n v="193437"/>
    <n v="6"/>
    <n v="580311"/>
    <n v="5.8031100000000002E-2"/>
    <n v="545492.34"/>
    <n v="5.4549233999999995E-2"/>
    <s v="Pending"/>
    <s v="Pending"/>
    <s v="Invalid"/>
    <s v="Pending"/>
  </r>
  <r>
    <x v="145"/>
    <x v="134"/>
    <x v="0"/>
    <x v="4"/>
    <x v="4"/>
    <s v="Agri Motors West Bengal"/>
    <x v="4"/>
    <x v="3"/>
    <x v="3"/>
    <x v="2"/>
    <n v="4"/>
    <n v="217139"/>
    <n v="6"/>
    <n v="868556"/>
    <n v="8.6855600000000005E-2"/>
    <n v="816442.6399999999"/>
    <n v="8.1644263999999994E-2"/>
    <s v="Pending"/>
    <s v="Pending"/>
    <s v="Valid"/>
    <s v="Pending"/>
  </r>
  <r>
    <x v="146"/>
    <x v="73"/>
    <x v="0"/>
    <x v="4"/>
    <x v="3"/>
    <s v="Agri Motors Haryana"/>
    <x v="3"/>
    <x v="0"/>
    <x v="3"/>
    <x v="2"/>
    <n v="3"/>
    <n v="649830"/>
    <n v="6"/>
    <n v="1949490"/>
    <n v="0.19494900000000001"/>
    <n v="1832520.5999999999"/>
    <n v="0.18325205999999999"/>
    <s v="Paid"/>
    <s v="Delivered"/>
    <s v="Invalid"/>
    <s v="Completed"/>
  </r>
  <r>
    <x v="147"/>
    <x v="12"/>
    <x v="3"/>
    <x v="2"/>
    <x v="2"/>
    <s v="Kisan Tractors Maharashtra"/>
    <x v="2"/>
    <x v="2"/>
    <x v="2"/>
    <x v="0"/>
    <n v="6"/>
    <n v="521408"/>
    <n v="8"/>
    <n v="3128448"/>
    <n v="0.31284479999999998"/>
    <n v="2878172.16"/>
    <n v="0.28781721600000004"/>
    <s v="Partial"/>
    <s v="In Transit"/>
    <s v="Invalid"/>
    <s v="In Transit"/>
  </r>
  <r>
    <x v="148"/>
    <x v="135"/>
    <x v="4"/>
    <x v="1"/>
    <x v="4"/>
    <s v="Green Field West Bengal"/>
    <x v="4"/>
    <x v="3"/>
    <x v="3"/>
    <x v="2"/>
    <n v="4"/>
    <n v="898539"/>
    <n v="6"/>
    <n v="3594156"/>
    <n v="0.3594156"/>
    <n v="3378506.6399999997"/>
    <n v="0.33785066399999997"/>
    <s v="Pending"/>
    <s v="Pending"/>
    <s v="Valid"/>
    <s v="Pending"/>
  </r>
  <r>
    <x v="149"/>
    <x v="136"/>
    <x v="2"/>
    <x v="2"/>
    <x v="1"/>
    <s v="Kisan Tractors Karnataka"/>
    <x v="1"/>
    <x v="1"/>
    <x v="4"/>
    <x v="1"/>
    <n v="1"/>
    <n v="383637"/>
    <n v="3"/>
    <n v="383637"/>
    <n v="3.8363700000000001E-2"/>
    <n v="372127.89"/>
    <n v="3.7212789000000003E-2"/>
    <s v="Paid"/>
    <s v="Delivered"/>
    <s v="Valid"/>
    <s v="Completed"/>
  </r>
  <r>
    <x v="150"/>
    <x v="137"/>
    <x v="3"/>
    <x v="4"/>
    <x v="2"/>
    <s v="Agri Motors Maharashtra"/>
    <x v="2"/>
    <x v="2"/>
    <x v="2"/>
    <x v="0"/>
    <n v="3"/>
    <n v="83777"/>
    <n v="6"/>
    <n v="251331"/>
    <n v="2.5133099999999998E-2"/>
    <n v="236251.13999999998"/>
    <n v="2.3625113999999999E-2"/>
    <s v="Pending"/>
    <s v="Pending"/>
    <s v="Invalid"/>
    <s v="Pending"/>
  </r>
  <r>
    <x v="151"/>
    <x v="138"/>
    <x v="2"/>
    <x v="3"/>
    <x v="2"/>
    <s v="Mahadev Motors Maharashtra"/>
    <x v="2"/>
    <x v="2"/>
    <x v="0"/>
    <x v="0"/>
    <n v="6"/>
    <n v="818583"/>
    <n v="8"/>
    <n v="4911498"/>
    <n v="0.49114980000000003"/>
    <n v="4518578.16"/>
    <n v="0.45185781600000002"/>
    <s v="Pending"/>
    <s v="Pending"/>
    <s v="Valid"/>
    <s v="Pending"/>
  </r>
  <r>
    <x v="152"/>
    <x v="139"/>
    <x v="3"/>
    <x v="3"/>
    <x v="0"/>
    <s v="Mahadev Motors Uttar Pradesh"/>
    <x v="0"/>
    <x v="0"/>
    <x v="3"/>
    <x v="2"/>
    <n v="8"/>
    <n v="98867"/>
    <n v="9"/>
    <n v="790936"/>
    <n v="7.90936E-2"/>
    <n v="719751.76"/>
    <n v="7.1975176000000002E-2"/>
    <s v="Partial"/>
    <s v="In Transit"/>
    <s v="Invalid"/>
    <s v="In Transit"/>
  </r>
  <r>
    <x v="153"/>
    <x v="140"/>
    <x v="2"/>
    <x v="3"/>
    <x v="3"/>
    <s v="Mahadev Motors Haryana"/>
    <x v="3"/>
    <x v="0"/>
    <x v="3"/>
    <x v="2"/>
    <n v="4"/>
    <n v="752299"/>
    <n v="6"/>
    <n v="3009196"/>
    <n v="0.30091960000000001"/>
    <n v="2828644.2399999998"/>
    <n v="0.282864424"/>
    <s v="Pending"/>
    <s v="Pending"/>
    <s v="Invalid"/>
    <s v="Pending"/>
  </r>
  <r>
    <x v="154"/>
    <x v="141"/>
    <x v="0"/>
    <x v="2"/>
    <x v="4"/>
    <s v="Kisan Tractors West Bengal"/>
    <x v="4"/>
    <x v="3"/>
    <x v="2"/>
    <x v="0"/>
    <n v="2"/>
    <n v="177474"/>
    <n v="5"/>
    <n v="354948"/>
    <n v="3.54948E-2"/>
    <n v="337200.6"/>
    <n v="3.3720059999999996E-2"/>
    <s v="Paid"/>
    <s v="Delivered"/>
    <s v="Invalid"/>
    <s v="Completed"/>
  </r>
  <r>
    <x v="155"/>
    <x v="142"/>
    <x v="4"/>
    <x v="3"/>
    <x v="3"/>
    <s v="Mahadev Motors Haryana"/>
    <x v="3"/>
    <x v="0"/>
    <x v="0"/>
    <x v="0"/>
    <n v="2"/>
    <n v="175255"/>
    <n v="5"/>
    <n v="350510"/>
    <n v="3.5050999999999999E-2"/>
    <n v="332984.5"/>
    <n v="3.329845E-2"/>
    <s v="Partial"/>
    <s v="In Transit"/>
    <s v="Invalid"/>
    <s v="In Transit"/>
  </r>
  <r>
    <x v="156"/>
    <x v="57"/>
    <x v="4"/>
    <x v="1"/>
    <x v="3"/>
    <s v="Green Field Haryana"/>
    <x v="3"/>
    <x v="0"/>
    <x v="2"/>
    <x v="0"/>
    <n v="6"/>
    <n v="621324"/>
    <n v="8"/>
    <n v="3727944"/>
    <n v="0.37279440000000003"/>
    <n v="3429708.48"/>
    <n v="0.34297084799999999"/>
    <s v="Paid"/>
    <s v="Delivered"/>
    <s v="Invalid"/>
    <s v="Completed"/>
  </r>
  <r>
    <x v="157"/>
    <x v="90"/>
    <x v="2"/>
    <x v="2"/>
    <x v="1"/>
    <s v="Kisan Tractors Karnataka"/>
    <x v="1"/>
    <x v="1"/>
    <x v="3"/>
    <x v="2"/>
    <n v="5"/>
    <n v="401357"/>
    <n v="7"/>
    <n v="2006785"/>
    <n v="0.20067850000000001"/>
    <n v="1866310.0499999998"/>
    <n v="0.18663100499999999"/>
    <s v="Partial"/>
    <s v="In Transit"/>
    <s v="Invalid"/>
    <s v="In Transit"/>
  </r>
  <r>
    <x v="158"/>
    <x v="143"/>
    <x v="3"/>
    <x v="4"/>
    <x v="1"/>
    <s v="Agri Motors Karnataka"/>
    <x v="1"/>
    <x v="1"/>
    <x v="3"/>
    <x v="2"/>
    <n v="4"/>
    <n v="177542"/>
    <n v="6"/>
    <n v="710168"/>
    <n v="7.1016800000000005E-2"/>
    <n v="667557.91999999993"/>
    <n v="6.6755791999999994E-2"/>
    <s v="Partial"/>
    <s v="In Transit"/>
    <s v="Valid"/>
    <s v="In Transit"/>
  </r>
  <r>
    <x v="159"/>
    <x v="144"/>
    <x v="1"/>
    <x v="3"/>
    <x v="0"/>
    <s v="Mahadev Motors Uttar Pradesh"/>
    <x v="0"/>
    <x v="0"/>
    <x v="4"/>
    <x v="1"/>
    <n v="6"/>
    <n v="682346"/>
    <n v="8"/>
    <n v="4094076"/>
    <n v="0.40940759999999998"/>
    <n v="3766549.9200000004"/>
    <n v="0.37665499200000002"/>
    <s v="Paid"/>
    <s v="Delivered"/>
    <s v="Valid"/>
    <s v="Completed"/>
  </r>
  <r>
    <x v="160"/>
    <x v="145"/>
    <x v="4"/>
    <x v="2"/>
    <x v="2"/>
    <s v="Kisan Tractors Maharashtra"/>
    <x v="2"/>
    <x v="2"/>
    <x v="0"/>
    <x v="0"/>
    <n v="2"/>
    <n v="685783"/>
    <n v="5"/>
    <n v="1371566"/>
    <n v="0.13715659999999999"/>
    <n v="1302987.7"/>
    <n v="0.13029877000000001"/>
    <s v="Paid"/>
    <s v="Delivered"/>
    <s v="Valid"/>
    <s v="Completed"/>
  </r>
  <r>
    <x v="161"/>
    <x v="50"/>
    <x v="3"/>
    <x v="0"/>
    <x v="2"/>
    <s v="Shakti Agro Maharashtra"/>
    <x v="2"/>
    <x v="2"/>
    <x v="0"/>
    <x v="0"/>
    <n v="4"/>
    <n v="267219"/>
    <n v="6"/>
    <n v="1068876"/>
    <n v="0.1068876"/>
    <n v="1004743.44"/>
    <n v="0.10047434399999999"/>
    <s v="Pending"/>
    <s v="Pending"/>
    <s v="Invalid"/>
    <s v="Pending"/>
  </r>
  <r>
    <x v="162"/>
    <x v="146"/>
    <x v="3"/>
    <x v="0"/>
    <x v="3"/>
    <s v="Shakti Agro Haryana"/>
    <x v="3"/>
    <x v="0"/>
    <x v="0"/>
    <x v="0"/>
    <n v="3"/>
    <n v="219751"/>
    <n v="6"/>
    <n v="659253"/>
    <n v="6.5925300000000006E-2"/>
    <n v="619697.81999999995"/>
    <n v="6.1969781999999994E-2"/>
    <s v="Pending"/>
    <s v="Pending"/>
    <s v="Invalid"/>
    <s v="Pending"/>
  </r>
  <r>
    <x v="163"/>
    <x v="147"/>
    <x v="3"/>
    <x v="2"/>
    <x v="0"/>
    <s v="Kisan Tractors Uttar Pradesh"/>
    <x v="0"/>
    <x v="0"/>
    <x v="3"/>
    <x v="2"/>
    <n v="6"/>
    <n v="452836"/>
    <n v="8"/>
    <n v="2717016"/>
    <n v="0.27170159999999999"/>
    <n v="2499654.7200000002"/>
    <n v="0.24996547200000002"/>
    <s v="Partial"/>
    <s v="In Transit"/>
    <s v="Valid"/>
    <s v="In Transit"/>
  </r>
  <r>
    <x v="164"/>
    <x v="148"/>
    <x v="2"/>
    <x v="0"/>
    <x v="3"/>
    <s v="Shakti Agro Haryana"/>
    <x v="3"/>
    <x v="0"/>
    <x v="0"/>
    <x v="0"/>
    <n v="4"/>
    <n v="485480"/>
    <n v="6"/>
    <n v="1941920"/>
    <n v="0.194192"/>
    <n v="1825404.7999999998"/>
    <n v="0.18254047999999998"/>
    <s v="Pending"/>
    <s v="Pending"/>
    <s v="Invalid"/>
    <s v="Pending"/>
  </r>
  <r>
    <x v="165"/>
    <x v="149"/>
    <x v="0"/>
    <x v="2"/>
    <x v="4"/>
    <s v="Kisan Tractors West Bengal"/>
    <x v="4"/>
    <x v="3"/>
    <x v="3"/>
    <x v="2"/>
    <n v="3"/>
    <n v="471957"/>
    <n v="6"/>
    <n v="1415871"/>
    <n v="0.14158709999999999"/>
    <n v="1330918.74"/>
    <n v="0.133091874"/>
    <s v="Paid"/>
    <s v="Delivered"/>
    <s v="Invalid"/>
    <s v="Completed"/>
  </r>
  <r>
    <x v="166"/>
    <x v="93"/>
    <x v="2"/>
    <x v="3"/>
    <x v="4"/>
    <s v="Mahadev Motors West Bengal"/>
    <x v="4"/>
    <x v="3"/>
    <x v="2"/>
    <x v="0"/>
    <n v="8"/>
    <n v="878285"/>
    <n v="9"/>
    <n v="7026280"/>
    <n v="0.70262800000000003"/>
    <n v="6393914.7999999998"/>
    <n v="0.63939148000000001"/>
    <s v="Pending"/>
    <s v="Pending"/>
    <s v="Invalid"/>
    <s v="Pending"/>
  </r>
  <r>
    <x v="167"/>
    <x v="22"/>
    <x v="2"/>
    <x v="3"/>
    <x v="2"/>
    <s v="Mahadev Motors Maharashtra"/>
    <x v="2"/>
    <x v="2"/>
    <x v="3"/>
    <x v="2"/>
    <n v="4"/>
    <n v="657524"/>
    <n v="6"/>
    <n v="2630096"/>
    <n v="0.26300960000000001"/>
    <n v="2472290.2399999998"/>
    <n v="0.24722902399999996"/>
    <s v="Pending"/>
    <s v="Pending"/>
    <s v="Valid"/>
    <s v="Pending"/>
  </r>
  <r>
    <x v="168"/>
    <x v="150"/>
    <x v="1"/>
    <x v="4"/>
    <x v="4"/>
    <s v="Agri Motors West Bengal"/>
    <x v="4"/>
    <x v="3"/>
    <x v="2"/>
    <x v="0"/>
    <n v="5"/>
    <n v="861732"/>
    <n v="7"/>
    <n v="4308660"/>
    <n v="0.43086600000000003"/>
    <n v="4007053.8"/>
    <n v="0.40070538"/>
    <s v="Partial"/>
    <s v="In Transit"/>
    <s v="Valid"/>
    <s v="In Transit"/>
  </r>
  <r>
    <x v="169"/>
    <x v="114"/>
    <x v="1"/>
    <x v="4"/>
    <x v="1"/>
    <s v="Agri Motors Karnataka"/>
    <x v="1"/>
    <x v="1"/>
    <x v="0"/>
    <x v="0"/>
    <n v="7"/>
    <n v="431444"/>
    <n v="9"/>
    <n v="3020108"/>
    <n v="0.30201080000000002"/>
    <n v="2748298.2800000003"/>
    <n v="0.27482982800000005"/>
    <s v="Partial"/>
    <s v="In Transit"/>
    <s v="Valid"/>
    <s v="In Transit"/>
  </r>
  <r>
    <x v="170"/>
    <x v="151"/>
    <x v="1"/>
    <x v="3"/>
    <x v="1"/>
    <s v="Mahadev Motors Karnataka"/>
    <x v="1"/>
    <x v="1"/>
    <x v="1"/>
    <x v="1"/>
    <n v="1"/>
    <n v="781237"/>
    <n v="3"/>
    <n v="781237"/>
    <n v="7.8123700000000004E-2"/>
    <n v="757799.89"/>
    <n v="7.5779989000000006E-2"/>
    <s v="Pending"/>
    <s v="Pending"/>
    <s v="Invalid"/>
    <s v="Pending"/>
  </r>
  <r>
    <x v="171"/>
    <x v="97"/>
    <x v="0"/>
    <x v="0"/>
    <x v="1"/>
    <s v="Shakti Agro Karnataka"/>
    <x v="1"/>
    <x v="1"/>
    <x v="2"/>
    <x v="0"/>
    <n v="1"/>
    <n v="477881"/>
    <n v="3"/>
    <n v="477881"/>
    <n v="4.77881E-2"/>
    <n v="463544.57"/>
    <n v="4.6354457000000002E-2"/>
    <s v="Pending"/>
    <s v="Pending"/>
    <s v="Invalid"/>
    <s v="Pending"/>
  </r>
  <r>
    <x v="172"/>
    <x v="152"/>
    <x v="1"/>
    <x v="1"/>
    <x v="3"/>
    <s v="Green Field Haryana"/>
    <x v="3"/>
    <x v="0"/>
    <x v="0"/>
    <x v="0"/>
    <n v="1"/>
    <n v="592548"/>
    <n v="3"/>
    <n v="592548"/>
    <n v="5.9254800000000003E-2"/>
    <n v="574771.55999999994"/>
    <n v="5.7477155999999995E-2"/>
    <s v="Partial"/>
    <s v="In Transit"/>
    <s v="Invalid"/>
    <s v="In Transit"/>
  </r>
  <r>
    <x v="173"/>
    <x v="81"/>
    <x v="3"/>
    <x v="4"/>
    <x v="2"/>
    <s v="Agri Motors Maharashtra"/>
    <x v="2"/>
    <x v="2"/>
    <x v="3"/>
    <x v="2"/>
    <n v="6"/>
    <n v="618828"/>
    <n v="8"/>
    <n v="3712968"/>
    <n v="0.37129679999999998"/>
    <n v="3415930.56"/>
    <n v="0.34159305600000001"/>
    <s v="Partial"/>
    <s v="In Transit"/>
    <s v="Invalid"/>
    <s v="In Transit"/>
  </r>
  <r>
    <x v="174"/>
    <x v="153"/>
    <x v="3"/>
    <x v="2"/>
    <x v="4"/>
    <s v="Kisan Tractors West Bengal"/>
    <x v="4"/>
    <x v="3"/>
    <x v="2"/>
    <x v="0"/>
    <n v="5"/>
    <n v="235104"/>
    <n v="7"/>
    <n v="1175520"/>
    <n v="0.117552"/>
    <n v="1093233.5999999999"/>
    <n v="0.10932335999999998"/>
    <s v="Paid"/>
    <s v="Delivered"/>
    <s v="Invalid"/>
    <s v="Completed"/>
  </r>
  <r>
    <x v="175"/>
    <x v="154"/>
    <x v="0"/>
    <x v="3"/>
    <x v="4"/>
    <s v="Mahadev Motors West Bengal"/>
    <x v="4"/>
    <x v="3"/>
    <x v="4"/>
    <x v="1"/>
    <n v="5"/>
    <n v="279132"/>
    <n v="7"/>
    <n v="1395660"/>
    <n v="0.139566"/>
    <n v="1297963.7999999998"/>
    <n v="0.12979637999999999"/>
    <s v="Pending"/>
    <s v="Pending"/>
    <s v="Valid"/>
    <s v="Pending"/>
  </r>
  <r>
    <x v="176"/>
    <x v="66"/>
    <x v="3"/>
    <x v="0"/>
    <x v="1"/>
    <s v="Shakti Agro Karnataka"/>
    <x v="1"/>
    <x v="1"/>
    <x v="2"/>
    <x v="0"/>
    <n v="4"/>
    <n v="845154"/>
    <n v="6"/>
    <n v="3380616"/>
    <n v="0.33806160000000002"/>
    <n v="3177779.04"/>
    <n v="0.317777904"/>
    <s v="Pending"/>
    <s v="Pending"/>
    <s v="Valid"/>
    <s v="Pending"/>
  </r>
  <r>
    <x v="177"/>
    <x v="155"/>
    <x v="1"/>
    <x v="1"/>
    <x v="0"/>
    <s v="Green Field Uttar Pradesh"/>
    <x v="0"/>
    <x v="0"/>
    <x v="2"/>
    <x v="0"/>
    <n v="1"/>
    <n v="762543"/>
    <n v="3"/>
    <n v="762543"/>
    <n v="7.6254299999999997E-2"/>
    <n v="739666.71"/>
    <n v="7.3966670999999998E-2"/>
    <s v="Pending"/>
    <s v="Pending"/>
    <s v="Invalid"/>
    <s v="Pending"/>
  </r>
  <r>
    <x v="178"/>
    <x v="156"/>
    <x v="4"/>
    <x v="1"/>
    <x v="4"/>
    <s v="Green Field West Bengal"/>
    <x v="4"/>
    <x v="3"/>
    <x v="3"/>
    <x v="2"/>
    <n v="0"/>
    <n v="114973"/>
    <n v="0"/>
    <n v="0"/>
    <n v="0"/>
    <n v="0"/>
    <n v="0"/>
    <s v="Pending"/>
    <s v="Pending"/>
    <s v="Invalid"/>
    <s v="Pending"/>
  </r>
  <r>
    <x v="179"/>
    <x v="157"/>
    <x v="3"/>
    <x v="3"/>
    <x v="2"/>
    <s v="Mahadev Motors Maharashtra"/>
    <x v="2"/>
    <x v="2"/>
    <x v="4"/>
    <x v="1"/>
    <n v="1"/>
    <n v="114691"/>
    <n v="3"/>
    <n v="114691"/>
    <n v="1.1469099999999999E-2"/>
    <n v="111250.27"/>
    <n v="1.1125027000000001E-2"/>
    <s v="Partial"/>
    <s v="In Transit"/>
    <s v="Invalid"/>
    <s v="In Transit"/>
  </r>
  <r>
    <x v="180"/>
    <x v="158"/>
    <x v="3"/>
    <x v="4"/>
    <x v="0"/>
    <s v="Agri Motors Uttar Pradesh"/>
    <x v="0"/>
    <x v="0"/>
    <x v="2"/>
    <x v="0"/>
    <n v="2"/>
    <n v="542640"/>
    <n v="5"/>
    <n v="1085280"/>
    <n v="0.108528"/>
    <n v="1031016"/>
    <n v="0.1031016"/>
    <s v="Pending"/>
    <s v="Pending"/>
    <s v="Valid"/>
    <s v="Pending"/>
  </r>
  <r>
    <x v="181"/>
    <x v="159"/>
    <x v="2"/>
    <x v="4"/>
    <x v="4"/>
    <s v="Agri Motors West Bengal"/>
    <x v="4"/>
    <x v="3"/>
    <x v="3"/>
    <x v="2"/>
    <n v="4"/>
    <n v="750761"/>
    <n v="6"/>
    <n v="3003044"/>
    <n v="0.30030440000000003"/>
    <n v="2822861.36"/>
    <n v="0.28228613599999997"/>
    <s v="Partial"/>
    <s v="In Transit"/>
    <s v="Invalid"/>
    <s v="In Transit"/>
  </r>
  <r>
    <x v="182"/>
    <x v="160"/>
    <x v="0"/>
    <x v="3"/>
    <x v="3"/>
    <s v="Mahadev Motors Haryana"/>
    <x v="3"/>
    <x v="0"/>
    <x v="3"/>
    <x v="2"/>
    <n v="6"/>
    <n v="463790"/>
    <n v="8"/>
    <n v="2782740"/>
    <n v="0.27827400000000002"/>
    <n v="2560120.8000000003"/>
    <n v="0.25601208000000003"/>
    <s v="Pending"/>
    <s v="Pending"/>
    <s v="Valid"/>
    <s v="Pending"/>
  </r>
  <r>
    <x v="183"/>
    <x v="161"/>
    <x v="2"/>
    <x v="3"/>
    <x v="2"/>
    <s v="Mahadev Motors Maharashtra"/>
    <x v="2"/>
    <x v="2"/>
    <x v="4"/>
    <x v="1"/>
    <n v="2"/>
    <n v="584772"/>
    <n v="5"/>
    <n v="1169544"/>
    <n v="0.1169544"/>
    <n v="1111066.8"/>
    <n v="0.11110668"/>
    <s v="Partial"/>
    <s v="In Transit"/>
    <s v="Invalid"/>
    <s v="In Transit"/>
  </r>
  <r>
    <x v="184"/>
    <x v="162"/>
    <x v="0"/>
    <x v="4"/>
    <x v="0"/>
    <s v="Agri Motors Uttar Pradesh"/>
    <x v="0"/>
    <x v="0"/>
    <x v="0"/>
    <x v="0"/>
    <n v="7"/>
    <n v="182637"/>
    <n v="9"/>
    <n v="1278459"/>
    <n v="0.12784590000000001"/>
    <n v="1163397.69"/>
    <n v="0.116339769"/>
    <s v="Partial"/>
    <s v="In Transit"/>
    <s v="Invalid"/>
    <s v="In Transit"/>
  </r>
  <r>
    <x v="185"/>
    <x v="163"/>
    <x v="3"/>
    <x v="0"/>
    <x v="1"/>
    <s v="Shakti Agro Karnataka"/>
    <x v="1"/>
    <x v="1"/>
    <x v="1"/>
    <x v="1"/>
    <n v="6"/>
    <n v="807251"/>
    <n v="8"/>
    <n v="4843506"/>
    <n v="0.48435060000000002"/>
    <n v="4456025.5200000005"/>
    <n v="0.44560255200000004"/>
    <s v="Paid"/>
    <s v="Delivered"/>
    <s v="Valid"/>
    <s v="Completed"/>
  </r>
  <r>
    <x v="186"/>
    <x v="62"/>
    <x v="3"/>
    <x v="3"/>
    <x v="0"/>
    <s v="Mahadev Motors Uttar Pradesh"/>
    <x v="0"/>
    <x v="0"/>
    <x v="3"/>
    <x v="2"/>
    <n v="8"/>
    <n v="203294"/>
    <n v="9"/>
    <n v="1626352"/>
    <n v="0.16263520000000001"/>
    <n v="1479980.32"/>
    <n v="0.147998032"/>
    <s v="Paid"/>
    <s v="Delivered"/>
    <s v="Invalid"/>
    <s v="Completed"/>
  </r>
  <r>
    <x v="187"/>
    <x v="164"/>
    <x v="1"/>
    <x v="0"/>
    <x v="4"/>
    <s v="Shakti Agro West Bengal"/>
    <x v="4"/>
    <x v="3"/>
    <x v="0"/>
    <x v="0"/>
    <n v="2"/>
    <n v="233579"/>
    <n v="5"/>
    <n v="467158"/>
    <n v="4.6715800000000002E-2"/>
    <n v="443800.1"/>
    <n v="4.4380009999999998E-2"/>
    <s v="Pending"/>
    <s v="Pending"/>
    <s v="Invalid"/>
    <s v="Pending"/>
  </r>
  <r>
    <x v="188"/>
    <x v="165"/>
    <x v="4"/>
    <x v="1"/>
    <x v="0"/>
    <s v="Green Field Uttar Pradesh"/>
    <x v="0"/>
    <x v="0"/>
    <x v="2"/>
    <x v="0"/>
    <n v="1"/>
    <n v="432778"/>
    <n v="3"/>
    <n v="432778"/>
    <n v="4.3277799999999998E-2"/>
    <n v="419794.66"/>
    <n v="4.1979466E-2"/>
    <s v="Partial"/>
    <s v="In Transit"/>
    <s v="Invalid"/>
    <s v="In Transit"/>
  </r>
  <r>
    <x v="189"/>
    <x v="166"/>
    <x v="4"/>
    <x v="2"/>
    <x v="2"/>
    <s v="Kisan Tractors Maharashtra"/>
    <x v="2"/>
    <x v="2"/>
    <x v="0"/>
    <x v="0"/>
    <n v="8"/>
    <n v="435619"/>
    <n v="9"/>
    <n v="3484952"/>
    <n v="0.3484952"/>
    <n v="3171306.3200000003"/>
    <n v="0.31713063200000002"/>
    <s v="Pending"/>
    <s v="Pending"/>
    <s v="Invalid"/>
    <s v="Pending"/>
  </r>
  <r>
    <x v="190"/>
    <x v="121"/>
    <x v="3"/>
    <x v="2"/>
    <x v="4"/>
    <s v="Kisan Tractors West Bengal"/>
    <x v="4"/>
    <x v="3"/>
    <x v="3"/>
    <x v="2"/>
    <n v="2"/>
    <n v="609532"/>
    <n v="5"/>
    <n v="1219064"/>
    <n v="0.1219064"/>
    <n v="1158110.8"/>
    <n v="0.11581108000000001"/>
    <s v="Paid"/>
    <s v="Delivered"/>
    <s v="Invalid"/>
    <s v="Completed"/>
  </r>
  <r>
    <x v="191"/>
    <x v="167"/>
    <x v="4"/>
    <x v="2"/>
    <x v="2"/>
    <s v="Kisan Tractors Maharashtra"/>
    <x v="2"/>
    <x v="2"/>
    <x v="1"/>
    <x v="1"/>
    <n v="5"/>
    <n v="348791"/>
    <n v="7"/>
    <n v="1743955"/>
    <n v="0.17439550000000001"/>
    <n v="1621878.15"/>
    <n v="0.16218781499999999"/>
    <s v="Pending"/>
    <s v="Pending"/>
    <s v="Invalid"/>
    <s v="Pending"/>
  </r>
  <r>
    <x v="192"/>
    <x v="39"/>
    <x v="3"/>
    <x v="1"/>
    <x v="0"/>
    <s v="Green Field Uttar Pradesh"/>
    <x v="0"/>
    <x v="0"/>
    <x v="2"/>
    <x v="0"/>
    <n v="3"/>
    <n v="688400"/>
    <n v="6"/>
    <n v="2065200"/>
    <n v="0.20652000000000001"/>
    <n v="1941288"/>
    <n v="0.19412879999999999"/>
    <s v="Partial"/>
    <s v="In Transit"/>
    <s v="Valid"/>
    <s v="In Transit"/>
  </r>
  <r>
    <x v="193"/>
    <x v="168"/>
    <x v="4"/>
    <x v="1"/>
    <x v="2"/>
    <s v="Green Field Maharashtra"/>
    <x v="2"/>
    <x v="2"/>
    <x v="1"/>
    <x v="1"/>
    <n v="7"/>
    <n v="77536"/>
    <n v="9"/>
    <n v="542752"/>
    <n v="5.4275200000000003E-2"/>
    <n v="493904.32"/>
    <n v="4.9390431999999998E-2"/>
    <s v="Pending"/>
    <s v="Pending"/>
    <s v="Invalid"/>
    <s v="Pending"/>
  </r>
  <r>
    <x v="194"/>
    <x v="51"/>
    <x v="3"/>
    <x v="2"/>
    <x v="3"/>
    <s v="Kisan Tractors Haryana"/>
    <x v="3"/>
    <x v="0"/>
    <x v="1"/>
    <x v="1"/>
    <n v="2"/>
    <n v="474469"/>
    <n v="5"/>
    <n v="948938"/>
    <n v="9.48938E-2"/>
    <n v="901491.1"/>
    <n v="9.0149110000000005E-2"/>
    <s v="Paid"/>
    <s v="Delivered"/>
    <s v="Invalid"/>
    <s v="Completed"/>
  </r>
  <r>
    <x v="195"/>
    <x v="169"/>
    <x v="3"/>
    <x v="4"/>
    <x v="2"/>
    <s v="Agri Motors Maharashtra"/>
    <x v="2"/>
    <x v="2"/>
    <x v="4"/>
    <x v="1"/>
    <n v="5"/>
    <n v="849005"/>
    <n v="7"/>
    <n v="4245025"/>
    <n v="0.4245025"/>
    <n v="3947873.2499999995"/>
    <n v="0.39478732499999997"/>
    <s v="Partial"/>
    <s v="In Transit"/>
    <s v="Invalid"/>
    <s v="In Transit"/>
  </r>
  <r>
    <x v="196"/>
    <x v="55"/>
    <x v="3"/>
    <x v="3"/>
    <x v="3"/>
    <s v="Mahadev Motors Haryana"/>
    <x v="3"/>
    <x v="0"/>
    <x v="3"/>
    <x v="2"/>
    <n v="7"/>
    <n v="142194"/>
    <n v="9"/>
    <n v="995358"/>
    <n v="9.9535799999999994E-2"/>
    <n v="905775.78"/>
    <n v="9.0577578000000006E-2"/>
    <s v="Paid"/>
    <s v="Delivered"/>
    <s v="Invalid"/>
    <s v="Completed"/>
  </r>
  <r>
    <x v="197"/>
    <x v="170"/>
    <x v="3"/>
    <x v="4"/>
    <x v="2"/>
    <s v="Agri Motors Maharashtra"/>
    <x v="2"/>
    <x v="2"/>
    <x v="1"/>
    <x v="1"/>
    <n v="8"/>
    <n v="115488"/>
    <n v="9"/>
    <n v="923904"/>
    <n v="9.2390399999999998E-2"/>
    <n v="840752.64000000001"/>
    <n v="8.4075263999999997E-2"/>
    <s v="Pending"/>
    <s v="Pending"/>
    <s v="Valid"/>
    <s v="Pending"/>
  </r>
  <r>
    <x v="198"/>
    <x v="171"/>
    <x v="1"/>
    <x v="4"/>
    <x v="3"/>
    <s v="Agri Motors Haryana"/>
    <x v="3"/>
    <x v="0"/>
    <x v="4"/>
    <x v="1"/>
    <n v="3"/>
    <n v="224624"/>
    <n v="6"/>
    <n v="673872"/>
    <n v="6.7387199999999994E-2"/>
    <n v="633439.67999999993"/>
    <n v="6.3343967999999987E-2"/>
    <s v="Paid"/>
    <s v="Delivered"/>
    <s v="Invalid"/>
    <s v="Completed"/>
  </r>
  <r>
    <x v="199"/>
    <x v="172"/>
    <x v="2"/>
    <x v="3"/>
    <x v="2"/>
    <s v="Mahadev Motors Maharashtra"/>
    <x v="2"/>
    <x v="2"/>
    <x v="3"/>
    <x v="2"/>
    <n v="4"/>
    <n v="768723"/>
    <n v="6"/>
    <n v="3074892"/>
    <n v="0.30748920000000002"/>
    <n v="2890398.48"/>
    <n v="0.28903984799999999"/>
    <s v="Partial"/>
    <s v="In Transit"/>
    <s v="Invalid"/>
    <s v="In Transit"/>
  </r>
  <r>
    <x v="200"/>
    <x v="75"/>
    <x v="4"/>
    <x v="2"/>
    <x v="1"/>
    <s v="Kisan Tractors Karnataka"/>
    <x v="1"/>
    <x v="1"/>
    <x v="2"/>
    <x v="0"/>
    <n v="6"/>
    <n v="312094"/>
    <n v="8"/>
    <n v="1872564"/>
    <n v="0.18725639999999999"/>
    <n v="1722758.8800000001"/>
    <n v="0.17227588800000002"/>
    <s v="Pending"/>
    <s v="Pending"/>
    <s v="Invalid"/>
    <s v="Pending"/>
  </r>
  <r>
    <x v="201"/>
    <x v="173"/>
    <x v="0"/>
    <x v="0"/>
    <x v="1"/>
    <s v="Shakti Agro Karnataka"/>
    <x v="1"/>
    <x v="1"/>
    <x v="1"/>
    <x v="1"/>
    <n v="2"/>
    <n v="72133"/>
    <n v="5"/>
    <n v="144266"/>
    <n v="1.4426599999999999E-2"/>
    <n v="137052.69999999998"/>
    <n v="1.3705269999999999E-2"/>
    <s v="Partial"/>
    <s v="In Transit"/>
    <s v="Valid"/>
    <s v="In Transit"/>
  </r>
  <r>
    <x v="202"/>
    <x v="0"/>
    <x v="4"/>
    <x v="0"/>
    <x v="2"/>
    <s v="Shakti Agro Maharashtra"/>
    <x v="2"/>
    <x v="2"/>
    <x v="4"/>
    <x v="1"/>
    <n v="7"/>
    <n v="305252"/>
    <n v="9"/>
    <n v="2136764"/>
    <n v="0.21367639999999999"/>
    <n v="1944455.24"/>
    <n v="0.19444552400000001"/>
    <s v="Partial"/>
    <s v="In Transit"/>
    <s v="Invalid"/>
    <s v="In Transit"/>
  </r>
  <r>
    <x v="203"/>
    <x v="174"/>
    <x v="2"/>
    <x v="0"/>
    <x v="4"/>
    <s v="Shakti Agro West Bengal"/>
    <x v="4"/>
    <x v="3"/>
    <x v="1"/>
    <x v="1"/>
    <n v="6"/>
    <n v="103219"/>
    <n v="8"/>
    <n v="619314"/>
    <n v="6.1931399999999998E-2"/>
    <n v="569768.88"/>
    <n v="5.6976888000000003E-2"/>
    <s v="Pending"/>
    <s v="Pending"/>
    <s v="Valid"/>
    <s v="Pending"/>
  </r>
  <r>
    <x v="204"/>
    <x v="37"/>
    <x v="1"/>
    <x v="1"/>
    <x v="0"/>
    <s v="Green Field Uttar Pradesh"/>
    <x v="0"/>
    <x v="0"/>
    <x v="0"/>
    <x v="0"/>
    <n v="4"/>
    <n v="819004"/>
    <n v="6"/>
    <n v="3276016"/>
    <n v="0.32760159999999999"/>
    <n v="3079455.04"/>
    <n v="0.30794550399999998"/>
    <s v="Paid"/>
    <s v="Delivered"/>
    <s v="Invalid"/>
    <s v="Completed"/>
  </r>
  <r>
    <x v="205"/>
    <x v="85"/>
    <x v="4"/>
    <x v="4"/>
    <x v="3"/>
    <s v="Agri Motors Haryana"/>
    <x v="3"/>
    <x v="0"/>
    <x v="1"/>
    <x v="1"/>
    <n v="8"/>
    <n v="200434"/>
    <n v="9"/>
    <n v="1603472"/>
    <n v="0.1603472"/>
    <n v="1459159.52"/>
    <n v="0.14591595200000002"/>
    <s v="Pending"/>
    <s v="Pending"/>
    <s v="Valid"/>
    <s v="Pending"/>
  </r>
  <r>
    <x v="206"/>
    <x v="175"/>
    <x v="2"/>
    <x v="2"/>
    <x v="2"/>
    <s v="Kisan Tractors Maharashtra"/>
    <x v="2"/>
    <x v="2"/>
    <x v="0"/>
    <x v="0"/>
    <n v="3"/>
    <n v="729227"/>
    <n v="6"/>
    <n v="2187681"/>
    <n v="0.21876809999999999"/>
    <n v="2056420.14"/>
    <n v="0.20564201399999998"/>
    <s v="Partial"/>
    <s v="In Transit"/>
    <s v="Invalid"/>
    <s v="In Transit"/>
  </r>
  <r>
    <x v="207"/>
    <x v="176"/>
    <x v="2"/>
    <x v="4"/>
    <x v="3"/>
    <s v="Agri Motors Haryana"/>
    <x v="3"/>
    <x v="0"/>
    <x v="3"/>
    <x v="2"/>
    <n v="3"/>
    <n v="871002"/>
    <n v="6"/>
    <n v="2613006"/>
    <n v="0.26130059999999999"/>
    <n v="2456225.6399999997"/>
    <n v="0.24562256399999996"/>
    <s v="Pending"/>
    <s v="Pending"/>
    <s v="Invalid"/>
    <s v="Pending"/>
  </r>
  <r>
    <x v="208"/>
    <x v="138"/>
    <x v="3"/>
    <x v="0"/>
    <x v="1"/>
    <s v="Shakti Agro Karnataka"/>
    <x v="1"/>
    <x v="1"/>
    <x v="0"/>
    <x v="0"/>
    <n v="1"/>
    <n v="180059"/>
    <n v="3"/>
    <n v="180059"/>
    <n v="1.8005899999999998E-2"/>
    <n v="174657.22999999998"/>
    <n v="1.7465722999999999E-2"/>
    <s v="Paid"/>
    <s v="Delivered"/>
    <s v="Valid"/>
    <s v="Completed"/>
  </r>
  <r>
    <x v="209"/>
    <x v="177"/>
    <x v="1"/>
    <x v="2"/>
    <x v="4"/>
    <s v="Kisan Tractors West Bengal"/>
    <x v="4"/>
    <x v="3"/>
    <x v="2"/>
    <x v="0"/>
    <n v="7"/>
    <n v="696108"/>
    <n v="9"/>
    <n v="4872756"/>
    <n v="0.48727559999999998"/>
    <n v="4434207.96"/>
    <n v="0.44342079600000001"/>
    <s v="Paid"/>
    <s v="Delivered"/>
    <s v="Invalid"/>
    <s v="Completed"/>
  </r>
  <r>
    <x v="210"/>
    <x v="129"/>
    <x v="1"/>
    <x v="0"/>
    <x v="3"/>
    <s v="Shakti Agro Haryana"/>
    <x v="3"/>
    <x v="0"/>
    <x v="4"/>
    <x v="1"/>
    <n v="1"/>
    <n v="596346"/>
    <n v="3"/>
    <n v="596346"/>
    <n v="5.9634600000000003E-2"/>
    <n v="578455.62"/>
    <n v="5.7845561999999996E-2"/>
    <s v="Pending"/>
    <s v="Pending"/>
    <s v="Valid"/>
    <s v="Pending"/>
  </r>
  <r>
    <x v="211"/>
    <x v="178"/>
    <x v="1"/>
    <x v="1"/>
    <x v="1"/>
    <s v="Green Field Karnataka"/>
    <x v="1"/>
    <x v="1"/>
    <x v="3"/>
    <x v="2"/>
    <n v="4"/>
    <n v="120527"/>
    <n v="6"/>
    <n v="482108"/>
    <n v="4.8210799999999998E-2"/>
    <n v="453181.51999999996"/>
    <n v="4.5318151999999993E-2"/>
    <s v="Partial"/>
    <s v="In Transit"/>
    <s v="Invalid"/>
    <s v="In Transit"/>
  </r>
  <r>
    <x v="212"/>
    <x v="4"/>
    <x v="0"/>
    <x v="2"/>
    <x v="2"/>
    <s v="Kisan Tractors Maharashtra"/>
    <x v="2"/>
    <x v="2"/>
    <x v="2"/>
    <x v="0"/>
    <n v="7"/>
    <n v="181851"/>
    <n v="9"/>
    <n v="1272957"/>
    <n v="0.12729570000000001"/>
    <n v="1158390.8700000001"/>
    <n v="0.11583908700000001"/>
    <s v="Pending"/>
    <s v="Pending"/>
    <s v="Valid"/>
    <s v="Pending"/>
  </r>
  <r>
    <x v="213"/>
    <x v="179"/>
    <x v="1"/>
    <x v="2"/>
    <x v="0"/>
    <s v="Kisan Tractors Uttar Pradesh"/>
    <x v="0"/>
    <x v="0"/>
    <x v="4"/>
    <x v="1"/>
    <n v="7"/>
    <n v="238365"/>
    <n v="9"/>
    <n v="1668555"/>
    <n v="0.16685549999999999"/>
    <n v="1518385.05"/>
    <n v="0.15183850500000001"/>
    <s v="Pending"/>
    <s v="Pending"/>
    <s v="Invalid"/>
    <s v="Pending"/>
  </r>
  <r>
    <x v="214"/>
    <x v="180"/>
    <x v="0"/>
    <x v="0"/>
    <x v="0"/>
    <s v="Shakti Agro Uttar Pradesh"/>
    <x v="0"/>
    <x v="0"/>
    <x v="0"/>
    <x v="0"/>
    <n v="7"/>
    <n v="307599"/>
    <n v="9"/>
    <n v="2153193"/>
    <n v="0.21531929999999999"/>
    <n v="1959405.6300000001"/>
    <n v="0.19594056300000001"/>
    <s v="Pending"/>
    <s v="Pending"/>
    <s v="Valid"/>
    <s v="Pending"/>
  </r>
  <r>
    <x v="215"/>
    <x v="181"/>
    <x v="3"/>
    <x v="4"/>
    <x v="4"/>
    <s v="Agri Motors West Bengal"/>
    <x v="4"/>
    <x v="3"/>
    <x v="2"/>
    <x v="0"/>
    <n v="2"/>
    <n v="364443"/>
    <n v="5"/>
    <n v="728886"/>
    <n v="7.2888599999999998E-2"/>
    <n v="692441.7"/>
    <n v="6.9244169999999994E-2"/>
    <s v="Pending"/>
    <s v="Pending"/>
    <s v="Valid"/>
    <s v="Pending"/>
  </r>
  <r>
    <x v="216"/>
    <x v="182"/>
    <x v="3"/>
    <x v="3"/>
    <x v="1"/>
    <s v="Mahadev Motors Karnataka"/>
    <x v="1"/>
    <x v="1"/>
    <x v="3"/>
    <x v="2"/>
    <n v="4"/>
    <n v="361198"/>
    <n v="6"/>
    <n v="1444792"/>
    <n v="0.1444792"/>
    <n v="1358104.48"/>
    <n v="0.135810448"/>
    <s v="Pending"/>
    <s v="Pending"/>
    <s v="Valid"/>
    <s v="Pending"/>
  </r>
  <r>
    <x v="217"/>
    <x v="183"/>
    <x v="2"/>
    <x v="0"/>
    <x v="2"/>
    <s v="Shakti Agro Maharashtra"/>
    <x v="2"/>
    <x v="2"/>
    <x v="3"/>
    <x v="2"/>
    <n v="6"/>
    <n v="125124"/>
    <n v="8"/>
    <n v="750744"/>
    <n v="7.5074399999999999E-2"/>
    <n v="690684.48"/>
    <n v="6.9068448000000005E-2"/>
    <s v="Paid"/>
    <s v="Delivered"/>
    <s v="Invalid"/>
    <s v="Completed"/>
  </r>
  <r>
    <x v="218"/>
    <x v="11"/>
    <x v="0"/>
    <x v="4"/>
    <x v="3"/>
    <s v="Agri Motors Haryana"/>
    <x v="3"/>
    <x v="0"/>
    <x v="0"/>
    <x v="0"/>
    <n v="1"/>
    <n v="573828"/>
    <n v="3"/>
    <n v="573828"/>
    <n v="5.7382799999999998E-2"/>
    <n v="556613.16"/>
    <n v="5.5661316000000002E-2"/>
    <s v="Paid"/>
    <s v="Delivered"/>
    <s v="Invalid"/>
    <s v="Completed"/>
  </r>
  <r>
    <x v="219"/>
    <x v="68"/>
    <x v="4"/>
    <x v="3"/>
    <x v="2"/>
    <s v="Mahadev Motors Maharashtra"/>
    <x v="2"/>
    <x v="2"/>
    <x v="2"/>
    <x v="0"/>
    <n v="4"/>
    <n v="89230"/>
    <n v="6"/>
    <n v="356920"/>
    <n v="3.5692000000000002E-2"/>
    <n v="335504.8"/>
    <n v="3.3550480000000001E-2"/>
    <s v="Paid"/>
    <s v="Delivered"/>
    <s v="Valid"/>
    <s v="Completed"/>
  </r>
  <r>
    <x v="220"/>
    <x v="184"/>
    <x v="3"/>
    <x v="3"/>
    <x v="0"/>
    <s v="Mahadev Motors Uttar Pradesh"/>
    <x v="0"/>
    <x v="0"/>
    <x v="3"/>
    <x v="2"/>
    <n v="0"/>
    <n v="74453"/>
    <n v="0"/>
    <n v="0"/>
    <n v="0"/>
    <n v="0"/>
    <n v="0"/>
    <s v="Partial"/>
    <s v="In Transit"/>
    <s v="Invalid"/>
    <s v="In Transit"/>
  </r>
  <r>
    <x v="221"/>
    <x v="185"/>
    <x v="4"/>
    <x v="0"/>
    <x v="2"/>
    <s v="Shakti Agro Maharashtra"/>
    <x v="2"/>
    <x v="2"/>
    <x v="2"/>
    <x v="0"/>
    <n v="8"/>
    <n v="308499"/>
    <n v="9"/>
    <n v="2467992"/>
    <n v="0.2467992"/>
    <n v="2245872.7200000002"/>
    <n v="0.22458727200000003"/>
    <s v="Pending"/>
    <s v="Pending"/>
    <s v="Invalid"/>
    <s v="Pending"/>
  </r>
  <r>
    <x v="222"/>
    <x v="67"/>
    <x v="0"/>
    <x v="1"/>
    <x v="4"/>
    <s v="Green Field West Bengal"/>
    <x v="4"/>
    <x v="3"/>
    <x v="4"/>
    <x v="1"/>
    <n v="7"/>
    <n v="745772"/>
    <n v="9"/>
    <n v="5220404"/>
    <n v="0.52204039999999996"/>
    <n v="4750567.6400000006"/>
    <n v="0.47505676400000008"/>
    <s v="Paid"/>
    <s v="Delivered"/>
    <s v="Invalid"/>
    <s v="Completed"/>
  </r>
  <r>
    <x v="223"/>
    <x v="186"/>
    <x v="4"/>
    <x v="3"/>
    <x v="2"/>
    <s v="Mahadev Motors Maharashtra"/>
    <x v="2"/>
    <x v="2"/>
    <x v="3"/>
    <x v="2"/>
    <n v="4"/>
    <n v="862208"/>
    <n v="6"/>
    <n v="3448832"/>
    <n v="0.3448832"/>
    <n v="3241902.0799999996"/>
    <n v="0.32419020799999998"/>
    <s v="Paid"/>
    <s v="Delivered"/>
    <s v="Valid"/>
    <s v="Completed"/>
  </r>
  <r>
    <x v="224"/>
    <x v="187"/>
    <x v="0"/>
    <x v="2"/>
    <x v="0"/>
    <s v="Kisan Tractors Uttar Pradesh"/>
    <x v="0"/>
    <x v="0"/>
    <x v="2"/>
    <x v="0"/>
    <n v="8"/>
    <n v="871600"/>
    <n v="9"/>
    <n v="6972800"/>
    <n v="0.69728000000000001"/>
    <n v="6345248"/>
    <n v="0.6345248"/>
    <s v="Paid"/>
    <s v="Delivered"/>
    <s v="Invalid"/>
    <s v="Completed"/>
  </r>
  <r>
    <x v="225"/>
    <x v="188"/>
    <x v="4"/>
    <x v="3"/>
    <x v="4"/>
    <s v="Mahadev Motors West Bengal"/>
    <x v="4"/>
    <x v="3"/>
    <x v="3"/>
    <x v="2"/>
    <n v="2"/>
    <n v="148940"/>
    <n v="5"/>
    <n v="297880"/>
    <n v="2.9787999999999999E-2"/>
    <n v="282986"/>
    <n v="2.82986E-2"/>
    <s v="Paid"/>
    <s v="Delivered"/>
    <s v="Invalid"/>
    <s v="Completed"/>
  </r>
  <r>
    <x v="226"/>
    <x v="189"/>
    <x v="3"/>
    <x v="0"/>
    <x v="0"/>
    <s v="Shakti Agro Uttar Pradesh"/>
    <x v="0"/>
    <x v="0"/>
    <x v="4"/>
    <x v="1"/>
    <n v="1"/>
    <n v="61667"/>
    <n v="3"/>
    <n v="61667"/>
    <n v="6.1666999999999998E-3"/>
    <n v="59816.99"/>
    <n v="5.981699E-3"/>
    <s v="Partial"/>
    <s v="In Transit"/>
    <s v="Valid"/>
    <s v="In Transit"/>
  </r>
  <r>
    <x v="227"/>
    <x v="88"/>
    <x v="1"/>
    <x v="3"/>
    <x v="0"/>
    <s v="Mahadev Motors Uttar Pradesh"/>
    <x v="0"/>
    <x v="0"/>
    <x v="3"/>
    <x v="2"/>
    <n v="4"/>
    <n v="815888"/>
    <n v="6"/>
    <n v="3263552"/>
    <n v="0.32635520000000001"/>
    <n v="3067738.88"/>
    <n v="0.30677388799999999"/>
    <s v="Partial"/>
    <s v="In Transit"/>
    <s v="Invalid"/>
    <s v="In Transit"/>
  </r>
  <r>
    <x v="228"/>
    <x v="190"/>
    <x v="2"/>
    <x v="4"/>
    <x v="1"/>
    <s v="Agri Motors Karnataka"/>
    <x v="1"/>
    <x v="1"/>
    <x v="4"/>
    <x v="1"/>
    <n v="1"/>
    <n v="711676"/>
    <n v="3"/>
    <n v="711676"/>
    <n v="7.1167599999999998E-2"/>
    <n v="690325.72"/>
    <n v="6.9032572E-2"/>
    <s v="Pending"/>
    <s v="Pending"/>
    <s v="Invalid"/>
    <s v="Pending"/>
  </r>
  <r>
    <x v="229"/>
    <x v="46"/>
    <x v="4"/>
    <x v="1"/>
    <x v="0"/>
    <s v="Green Field Uttar Pradesh"/>
    <x v="0"/>
    <x v="0"/>
    <x v="3"/>
    <x v="2"/>
    <n v="6"/>
    <n v="579062"/>
    <n v="8"/>
    <n v="3474372"/>
    <n v="0.3474372"/>
    <n v="3196422.24"/>
    <n v="0.31964222400000003"/>
    <s v="Paid"/>
    <s v="Delivered"/>
    <s v="Invalid"/>
    <s v="Completed"/>
  </r>
  <r>
    <x v="230"/>
    <x v="2"/>
    <x v="3"/>
    <x v="1"/>
    <x v="2"/>
    <s v="Green Field Maharashtra"/>
    <x v="2"/>
    <x v="2"/>
    <x v="1"/>
    <x v="1"/>
    <n v="1"/>
    <n v="134636"/>
    <n v="3"/>
    <n v="134636"/>
    <n v="1.3463599999999999E-2"/>
    <n v="130596.92"/>
    <n v="1.3059691999999999E-2"/>
    <s v="Partial"/>
    <s v="In Transit"/>
    <s v="Invalid"/>
    <s v="In Transit"/>
  </r>
  <r>
    <x v="231"/>
    <x v="191"/>
    <x v="3"/>
    <x v="3"/>
    <x v="1"/>
    <s v="Mahadev Motors Karnataka"/>
    <x v="1"/>
    <x v="1"/>
    <x v="1"/>
    <x v="1"/>
    <n v="6"/>
    <n v="122620"/>
    <n v="8"/>
    <n v="735720"/>
    <n v="7.3571999999999999E-2"/>
    <n v="676862.4"/>
    <n v="6.7686240000000009E-2"/>
    <s v="Partial"/>
    <s v="In Transit"/>
    <s v="Invalid"/>
    <s v="In Transit"/>
  </r>
  <r>
    <x v="232"/>
    <x v="192"/>
    <x v="1"/>
    <x v="4"/>
    <x v="1"/>
    <s v="Agri Motors Karnataka"/>
    <x v="1"/>
    <x v="1"/>
    <x v="1"/>
    <x v="1"/>
    <n v="5"/>
    <n v="537490"/>
    <n v="7"/>
    <n v="2687450"/>
    <n v="0.26874500000000001"/>
    <n v="2499328.5"/>
    <n v="0.24993285000000001"/>
    <s v="Pending"/>
    <s v="Pending"/>
    <s v="Invalid"/>
    <s v="Pending"/>
  </r>
  <r>
    <x v="233"/>
    <x v="193"/>
    <x v="2"/>
    <x v="2"/>
    <x v="2"/>
    <s v="Kisan Tractors Maharashtra"/>
    <x v="2"/>
    <x v="2"/>
    <x v="2"/>
    <x v="0"/>
    <n v="7"/>
    <n v="493566"/>
    <n v="9"/>
    <n v="3454962"/>
    <n v="0.34549619999999998"/>
    <n v="3144015.42"/>
    <n v="0.31440154199999998"/>
    <s v="Paid"/>
    <s v="Delivered"/>
    <s v="Invalid"/>
    <s v="Completed"/>
  </r>
  <r>
    <x v="234"/>
    <x v="36"/>
    <x v="1"/>
    <x v="0"/>
    <x v="1"/>
    <s v="Shakti Agro Karnataka"/>
    <x v="1"/>
    <x v="1"/>
    <x v="4"/>
    <x v="1"/>
    <n v="2"/>
    <n v="177146"/>
    <n v="5"/>
    <n v="354292"/>
    <n v="3.5429200000000001E-2"/>
    <n v="336577.39999999997"/>
    <n v="3.3657739999999998E-2"/>
    <s v="Partial"/>
    <s v="In Transit"/>
    <s v="Invalid"/>
    <s v="In Transit"/>
  </r>
  <r>
    <x v="235"/>
    <x v="194"/>
    <x v="1"/>
    <x v="2"/>
    <x v="1"/>
    <s v="Kisan Tractors Karnataka"/>
    <x v="1"/>
    <x v="1"/>
    <x v="4"/>
    <x v="1"/>
    <n v="3"/>
    <n v="848878"/>
    <n v="6"/>
    <n v="2546634"/>
    <n v="0.25466339999999998"/>
    <n v="2393835.96"/>
    <n v="0.239383596"/>
    <s v="Pending"/>
    <s v="Pending"/>
    <s v="Invalid"/>
    <s v="Pending"/>
  </r>
  <r>
    <x v="236"/>
    <x v="102"/>
    <x v="4"/>
    <x v="0"/>
    <x v="3"/>
    <s v="Shakti Agro Haryana"/>
    <x v="3"/>
    <x v="0"/>
    <x v="3"/>
    <x v="2"/>
    <n v="4"/>
    <n v="482242"/>
    <n v="6"/>
    <n v="1928968"/>
    <n v="0.19289680000000001"/>
    <n v="1813229.92"/>
    <n v="0.18132299199999999"/>
    <s v="Pending"/>
    <s v="Pending"/>
    <s v="Invalid"/>
    <s v="Pending"/>
  </r>
  <r>
    <x v="237"/>
    <x v="195"/>
    <x v="2"/>
    <x v="2"/>
    <x v="0"/>
    <s v="Kisan Tractors Uttar Pradesh"/>
    <x v="0"/>
    <x v="0"/>
    <x v="1"/>
    <x v="1"/>
    <n v="1"/>
    <n v="288299"/>
    <n v="3"/>
    <n v="288299"/>
    <n v="2.8829899999999999E-2"/>
    <n v="279650.02999999997"/>
    <n v="2.7965002999999999E-2"/>
    <s v="Pending"/>
    <s v="Pending"/>
    <s v="Valid"/>
    <s v="Pending"/>
  </r>
  <r>
    <x v="238"/>
    <x v="196"/>
    <x v="3"/>
    <x v="3"/>
    <x v="2"/>
    <s v="Mahadev Motors Maharashtra"/>
    <x v="2"/>
    <x v="2"/>
    <x v="1"/>
    <x v="1"/>
    <n v="0"/>
    <n v="531361"/>
    <n v="0"/>
    <n v="0"/>
    <n v="0"/>
    <n v="0"/>
    <n v="0"/>
    <s v="Paid"/>
    <s v="Delivered"/>
    <s v="Invalid"/>
    <s v="Completed"/>
  </r>
  <r>
    <x v="239"/>
    <x v="66"/>
    <x v="0"/>
    <x v="1"/>
    <x v="3"/>
    <s v="Green Field Haryana"/>
    <x v="3"/>
    <x v="0"/>
    <x v="2"/>
    <x v="0"/>
    <n v="5"/>
    <n v="851114"/>
    <n v="7"/>
    <n v="4255570"/>
    <n v="0.42555700000000002"/>
    <n v="3957680.0999999996"/>
    <n v="0.39576800999999995"/>
    <s v="Partial"/>
    <s v="In Transit"/>
    <s v="Invalid"/>
    <s v="In Transit"/>
  </r>
  <r>
    <x v="240"/>
    <x v="85"/>
    <x v="0"/>
    <x v="4"/>
    <x v="1"/>
    <s v="Agri Motors Karnataka"/>
    <x v="1"/>
    <x v="1"/>
    <x v="2"/>
    <x v="0"/>
    <n v="1"/>
    <n v="705027"/>
    <n v="3"/>
    <n v="705027"/>
    <n v="7.0502700000000001E-2"/>
    <n v="683876.19"/>
    <n v="6.8387618999999997E-2"/>
    <s v="Pending"/>
    <s v="Pending"/>
    <s v="Invalid"/>
    <s v="Pending"/>
  </r>
  <r>
    <x v="241"/>
    <x v="197"/>
    <x v="2"/>
    <x v="3"/>
    <x v="3"/>
    <s v="Mahadev Motors Haryana"/>
    <x v="3"/>
    <x v="0"/>
    <x v="2"/>
    <x v="0"/>
    <n v="8"/>
    <n v="696026"/>
    <n v="9"/>
    <n v="5568208"/>
    <n v="0.5568208"/>
    <n v="5067069.28"/>
    <n v="0.50670692800000006"/>
    <s v="Paid"/>
    <s v="Delivered"/>
    <s v="Valid"/>
    <s v="Completed"/>
  </r>
  <r>
    <x v="242"/>
    <x v="198"/>
    <x v="2"/>
    <x v="1"/>
    <x v="1"/>
    <s v="Green Field Karnataka"/>
    <x v="1"/>
    <x v="1"/>
    <x v="1"/>
    <x v="1"/>
    <n v="4"/>
    <n v="87480"/>
    <n v="6"/>
    <n v="349920"/>
    <n v="3.4992000000000002E-2"/>
    <n v="328924.79999999999"/>
    <n v="3.2892480000000002E-2"/>
    <s v="Paid"/>
    <s v="Delivered"/>
    <s v="Invalid"/>
    <s v="Completed"/>
  </r>
  <r>
    <x v="243"/>
    <x v="199"/>
    <x v="2"/>
    <x v="1"/>
    <x v="1"/>
    <s v="Green Field Karnataka"/>
    <x v="1"/>
    <x v="1"/>
    <x v="3"/>
    <x v="2"/>
    <n v="1"/>
    <n v="171431"/>
    <n v="3"/>
    <n v="171431"/>
    <n v="1.7143100000000001E-2"/>
    <n v="166288.07"/>
    <n v="1.6628807000000002E-2"/>
    <s v="Partial"/>
    <s v="In Transit"/>
    <s v="Valid"/>
    <s v="In Transit"/>
  </r>
  <r>
    <x v="244"/>
    <x v="200"/>
    <x v="2"/>
    <x v="4"/>
    <x v="1"/>
    <s v="Agri Motors Karnataka"/>
    <x v="1"/>
    <x v="1"/>
    <x v="3"/>
    <x v="2"/>
    <n v="6"/>
    <n v="567146"/>
    <n v="8"/>
    <n v="3402876"/>
    <n v="0.34028760000000002"/>
    <n v="3130645.92"/>
    <n v="0.31306459199999997"/>
    <s v="Paid"/>
    <s v="Delivered"/>
    <s v="Invalid"/>
    <s v="Completed"/>
  </r>
  <r>
    <x v="245"/>
    <x v="99"/>
    <x v="3"/>
    <x v="2"/>
    <x v="1"/>
    <s v="Kisan Tractors Karnataka"/>
    <x v="1"/>
    <x v="1"/>
    <x v="1"/>
    <x v="1"/>
    <n v="6"/>
    <n v="393181"/>
    <n v="8"/>
    <n v="2359086"/>
    <n v="0.2359086"/>
    <n v="2170359.12"/>
    <n v="0.217035912"/>
    <s v="Pending"/>
    <s v="Pending"/>
    <s v="Invalid"/>
    <s v="Pending"/>
  </r>
  <r>
    <x v="246"/>
    <x v="201"/>
    <x v="2"/>
    <x v="4"/>
    <x v="1"/>
    <s v="Agri Motors Karnataka"/>
    <x v="1"/>
    <x v="1"/>
    <x v="1"/>
    <x v="1"/>
    <n v="6"/>
    <n v="424369"/>
    <n v="8"/>
    <n v="2546214"/>
    <n v="0.2546214"/>
    <n v="2342516.88"/>
    <n v="0.23425168799999999"/>
    <s v="Partial"/>
    <s v="In Transit"/>
    <s v="Invalid"/>
    <s v="In Transit"/>
  </r>
  <r>
    <x v="247"/>
    <x v="137"/>
    <x v="3"/>
    <x v="4"/>
    <x v="2"/>
    <s v="Agri Motors Maharashtra"/>
    <x v="2"/>
    <x v="2"/>
    <x v="3"/>
    <x v="2"/>
    <n v="6"/>
    <n v="527495"/>
    <n v="8"/>
    <n v="3164970"/>
    <n v="0.31649699999999997"/>
    <n v="2911772.4"/>
    <n v="0.29117724"/>
    <s v="Pending"/>
    <s v="Pending"/>
    <s v="Valid"/>
    <s v="Pending"/>
  </r>
  <r>
    <x v="248"/>
    <x v="180"/>
    <x v="0"/>
    <x v="1"/>
    <x v="1"/>
    <s v="Green Field Karnataka"/>
    <x v="1"/>
    <x v="1"/>
    <x v="1"/>
    <x v="1"/>
    <n v="6"/>
    <n v="830380"/>
    <n v="8"/>
    <n v="4982280"/>
    <n v="0.498228"/>
    <n v="4583697.6000000006"/>
    <n v="0.45836976000000007"/>
    <s v="Pending"/>
    <s v="Pending"/>
    <s v="Invalid"/>
    <s v="Pending"/>
  </r>
  <r>
    <x v="249"/>
    <x v="202"/>
    <x v="3"/>
    <x v="0"/>
    <x v="0"/>
    <s v="Shakti Agro Uttar Pradesh"/>
    <x v="0"/>
    <x v="0"/>
    <x v="0"/>
    <x v="0"/>
    <n v="3"/>
    <n v="259751"/>
    <n v="6"/>
    <n v="779253"/>
    <n v="7.7925300000000003E-2"/>
    <n v="732497.82"/>
    <n v="7.3249781999999999E-2"/>
    <s v="Partial"/>
    <s v="In Transit"/>
    <s v="Invalid"/>
    <s v="In Transit"/>
  </r>
  <r>
    <x v="250"/>
    <x v="203"/>
    <x v="0"/>
    <x v="4"/>
    <x v="4"/>
    <s v="Agri Motors West Bengal"/>
    <x v="4"/>
    <x v="3"/>
    <x v="0"/>
    <x v="0"/>
    <n v="2"/>
    <n v="857769"/>
    <n v="5"/>
    <n v="1715538"/>
    <n v="0.17155380000000001"/>
    <n v="1629761.0999999999"/>
    <n v="0.16297610999999998"/>
    <s v="Paid"/>
    <s v="Delivered"/>
    <s v="Invalid"/>
    <s v="Completed"/>
  </r>
  <r>
    <x v="251"/>
    <x v="204"/>
    <x v="3"/>
    <x v="0"/>
    <x v="1"/>
    <s v="Shakti Agro Karnataka"/>
    <x v="1"/>
    <x v="1"/>
    <x v="3"/>
    <x v="2"/>
    <n v="1"/>
    <n v="217396"/>
    <n v="3"/>
    <n v="217396"/>
    <n v="2.1739600000000001E-2"/>
    <n v="210874.12"/>
    <n v="2.1087412E-2"/>
    <s v="Pending"/>
    <s v="Pending"/>
    <s v="Invalid"/>
    <s v="Pending"/>
  </r>
  <r>
    <x v="252"/>
    <x v="205"/>
    <x v="0"/>
    <x v="0"/>
    <x v="1"/>
    <s v="Shakti Agro Karnataka"/>
    <x v="1"/>
    <x v="1"/>
    <x v="3"/>
    <x v="2"/>
    <n v="2"/>
    <n v="431835"/>
    <n v="5"/>
    <n v="863670"/>
    <n v="8.6366999999999999E-2"/>
    <n v="820486.5"/>
    <n v="8.2048650000000001E-2"/>
    <s v="Paid"/>
    <s v="Delivered"/>
    <s v="Invalid"/>
    <s v="Completed"/>
  </r>
  <r>
    <x v="253"/>
    <x v="206"/>
    <x v="3"/>
    <x v="1"/>
    <x v="2"/>
    <s v="Green Field Maharashtra"/>
    <x v="2"/>
    <x v="2"/>
    <x v="3"/>
    <x v="2"/>
    <n v="6"/>
    <n v="881441"/>
    <n v="8"/>
    <n v="5288646"/>
    <n v="0.52886460000000002"/>
    <n v="4865554.32"/>
    <n v="0.48655543200000001"/>
    <s v="Pending"/>
    <s v="Pending"/>
    <s v="Valid"/>
    <s v="Pending"/>
  </r>
  <r>
    <x v="254"/>
    <x v="207"/>
    <x v="1"/>
    <x v="3"/>
    <x v="0"/>
    <s v="Mahadev Motors Uttar Pradesh"/>
    <x v="0"/>
    <x v="0"/>
    <x v="1"/>
    <x v="1"/>
    <n v="2"/>
    <n v="98333"/>
    <n v="5"/>
    <n v="196666"/>
    <n v="1.9666599999999999E-2"/>
    <n v="186832.69999999998"/>
    <n v="1.8683269999999998E-2"/>
    <s v="Pending"/>
    <s v="Pending"/>
    <s v="Invalid"/>
    <s v="Pending"/>
  </r>
  <r>
    <x v="255"/>
    <x v="208"/>
    <x v="3"/>
    <x v="3"/>
    <x v="0"/>
    <s v="Mahadev Motors Uttar Pradesh"/>
    <x v="0"/>
    <x v="0"/>
    <x v="3"/>
    <x v="2"/>
    <n v="7"/>
    <n v="591718"/>
    <n v="9"/>
    <n v="4142026"/>
    <n v="0.41420259999999998"/>
    <n v="3769243.66"/>
    <n v="0.37692436600000001"/>
    <s v="Pending"/>
    <s v="Pending"/>
    <s v="Invalid"/>
    <s v="Pending"/>
  </r>
  <r>
    <x v="256"/>
    <x v="142"/>
    <x v="4"/>
    <x v="2"/>
    <x v="2"/>
    <s v="Kisan Tractors Maharashtra"/>
    <x v="2"/>
    <x v="2"/>
    <x v="3"/>
    <x v="2"/>
    <n v="3"/>
    <n v="532442"/>
    <n v="6"/>
    <n v="1597326"/>
    <n v="0.1597326"/>
    <n v="1501486.44"/>
    <n v="0.150148644"/>
    <s v="Partial"/>
    <s v="In Transit"/>
    <s v="Invalid"/>
    <s v="In Transit"/>
  </r>
  <r>
    <x v="257"/>
    <x v="120"/>
    <x v="3"/>
    <x v="1"/>
    <x v="3"/>
    <s v="Green Field Haryana"/>
    <x v="3"/>
    <x v="0"/>
    <x v="4"/>
    <x v="1"/>
    <n v="8"/>
    <n v="356359"/>
    <n v="9"/>
    <n v="2850872"/>
    <n v="0.28508719999999999"/>
    <n v="2594293.52"/>
    <n v="0.259429352"/>
    <s v="Partial"/>
    <s v="In Transit"/>
    <s v="Valid"/>
    <s v="In Transit"/>
  </r>
  <r>
    <x v="258"/>
    <x v="209"/>
    <x v="0"/>
    <x v="1"/>
    <x v="4"/>
    <s v="Green Field West Bengal"/>
    <x v="4"/>
    <x v="3"/>
    <x v="2"/>
    <x v="0"/>
    <n v="5"/>
    <n v="636217"/>
    <n v="7"/>
    <n v="3181085"/>
    <n v="0.31810850000000002"/>
    <n v="2958409.05"/>
    <n v="0.29584090499999999"/>
    <s v="Partial"/>
    <s v="In Transit"/>
    <s v="Invalid"/>
    <s v="In Transit"/>
  </r>
  <r>
    <x v="259"/>
    <x v="210"/>
    <x v="1"/>
    <x v="0"/>
    <x v="1"/>
    <s v="Shakti Agro Karnataka"/>
    <x v="1"/>
    <x v="1"/>
    <x v="2"/>
    <x v="0"/>
    <n v="1"/>
    <n v="521202"/>
    <n v="3"/>
    <n v="521202"/>
    <n v="5.2120199999999998E-2"/>
    <n v="505565.94"/>
    <n v="5.0556594000000003E-2"/>
    <s v="Partial"/>
    <s v="In Transit"/>
    <s v="Invalid"/>
    <s v="In Transit"/>
  </r>
  <r>
    <x v="260"/>
    <x v="211"/>
    <x v="0"/>
    <x v="4"/>
    <x v="0"/>
    <s v="Agri Motors Uttar Pradesh"/>
    <x v="0"/>
    <x v="0"/>
    <x v="4"/>
    <x v="1"/>
    <n v="4"/>
    <n v="380978"/>
    <n v="6"/>
    <n v="1523912"/>
    <n v="0.1523912"/>
    <n v="1432477.28"/>
    <n v="0.14324772799999999"/>
    <s v="Partial"/>
    <s v="In Transit"/>
    <s v="Invalid"/>
    <s v="In Transit"/>
  </r>
  <r>
    <x v="261"/>
    <x v="150"/>
    <x v="4"/>
    <x v="4"/>
    <x v="2"/>
    <s v="Agri Motors Maharashtra"/>
    <x v="2"/>
    <x v="2"/>
    <x v="2"/>
    <x v="0"/>
    <n v="2"/>
    <n v="848838"/>
    <n v="5"/>
    <n v="1697676"/>
    <n v="0.16976759999999999"/>
    <n v="1612792.2"/>
    <n v="0.16127922"/>
    <s v="Partial"/>
    <s v="In Transit"/>
    <s v="Invalid"/>
    <s v="In Transit"/>
  </r>
  <r>
    <x v="262"/>
    <x v="128"/>
    <x v="0"/>
    <x v="4"/>
    <x v="0"/>
    <s v="Agri Motors Uttar Pradesh"/>
    <x v="0"/>
    <x v="0"/>
    <x v="0"/>
    <x v="0"/>
    <n v="8"/>
    <n v="624130"/>
    <n v="9"/>
    <n v="4993040"/>
    <n v="0.49930400000000003"/>
    <n v="4543666.4000000004"/>
    <n v="0.45436664000000004"/>
    <s v="Partial"/>
    <s v="In Transit"/>
    <s v="Valid"/>
    <s v="In Transit"/>
  </r>
  <r>
    <x v="263"/>
    <x v="212"/>
    <x v="2"/>
    <x v="1"/>
    <x v="0"/>
    <s v="Green Field Uttar Pradesh"/>
    <x v="0"/>
    <x v="0"/>
    <x v="2"/>
    <x v="0"/>
    <n v="2"/>
    <n v="348196"/>
    <n v="5"/>
    <n v="696392"/>
    <n v="6.9639199999999998E-2"/>
    <n v="661572.4"/>
    <n v="6.6157240000000006E-2"/>
    <s v="Paid"/>
    <s v="Delivered"/>
    <s v="Valid"/>
    <s v="Completed"/>
  </r>
  <r>
    <x v="264"/>
    <x v="213"/>
    <x v="3"/>
    <x v="3"/>
    <x v="0"/>
    <s v="Mahadev Motors Uttar Pradesh"/>
    <x v="0"/>
    <x v="0"/>
    <x v="2"/>
    <x v="0"/>
    <n v="0"/>
    <n v="716647"/>
    <n v="0"/>
    <n v="0"/>
    <n v="0"/>
    <n v="0"/>
    <n v="0"/>
    <s v="Pending"/>
    <s v="Pending"/>
    <s v="Valid"/>
    <s v="Pending"/>
  </r>
  <r>
    <x v="265"/>
    <x v="214"/>
    <x v="1"/>
    <x v="0"/>
    <x v="3"/>
    <s v="Shakti Agro Haryana"/>
    <x v="3"/>
    <x v="0"/>
    <x v="1"/>
    <x v="1"/>
    <n v="1"/>
    <n v="661173"/>
    <n v="3"/>
    <n v="661173"/>
    <n v="6.6117300000000004E-2"/>
    <n v="641337.80999999994"/>
    <n v="6.4133781000000001E-2"/>
    <s v="Paid"/>
    <s v="Delivered"/>
    <s v="Invalid"/>
    <s v="Completed"/>
  </r>
  <r>
    <x v="266"/>
    <x v="191"/>
    <x v="3"/>
    <x v="2"/>
    <x v="4"/>
    <s v="Kisan Tractors West Bengal"/>
    <x v="4"/>
    <x v="3"/>
    <x v="1"/>
    <x v="1"/>
    <n v="1"/>
    <n v="318100"/>
    <n v="3"/>
    <n v="318100"/>
    <n v="3.1809999999999998E-2"/>
    <n v="308557"/>
    <n v="3.08557E-2"/>
    <s v="Paid"/>
    <s v="Delivered"/>
    <s v="Valid"/>
    <s v="Completed"/>
  </r>
  <r>
    <x v="267"/>
    <x v="11"/>
    <x v="2"/>
    <x v="3"/>
    <x v="4"/>
    <s v="Mahadev Motors West Bengal"/>
    <x v="4"/>
    <x v="3"/>
    <x v="1"/>
    <x v="1"/>
    <n v="4"/>
    <n v="584592"/>
    <n v="6"/>
    <n v="2338368"/>
    <n v="0.23383680000000001"/>
    <n v="2198065.92"/>
    <n v="0.219806592"/>
    <s v="Paid"/>
    <s v="Delivered"/>
    <s v="Invalid"/>
    <s v="Completed"/>
  </r>
  <r>
    <x v="268"/>
    <x v="215"/>
    <x v="2"/>
    <x v="0"/>
    <x v="2"/>
    <s v="Shakti Agro Maharashtra"/>
    <x v="2"/>
    <x v="2"/>
    <x v="1"/>
    <x v="1"/>
    <n v="3"/>
    <n v="488816"/>
    <n v="6"/>
    <n v="1466448"/>
    <n v="0.14664479999999999"/>
    <n v="1378461.1199999999"/>
    <n v="0.13784611199999999"/>
    <s v="Partial"/>
    <s v="In Transit"/>
    <s v="Valid"/>
    <s v="In Transit"/>
  </r>
  <r>
    <x v="269"/>
    <x v="99"/>
    <x v="0"/>
    <x v="3"/>
    <x v="1"/>
    <s v="Mahadev Motors Karnataka"/>
    <x v="1"/>
    <x v="1"/>
    <x v="4"/>
    <x v="1"/>
    <n v="5"/>
    <n v="136361"/>
    <n v="7"/>
    <n v="681805"/>
    <n v="6.8180500000000005E-2"/>
    <n v="634078.64999999991"/>
    <n v="6.3407864999999994E-2"/>
    <s v="Partial"/>
    <s v="In Transit"/>
    <s v="Invalid"/>
    <s v="In Transit"/>
  </r>
  <r>
    <x v="270"/>
    <x v="216"/>
    <x v="0"/>
    <x v="3"/>
    <x v="4"/>
    <s v="Mahadev Motors West Bengal"/>
    <x v="4"/>
    <x v="3"/>
    <x v="3"/>
    <x v="2"/>
    <n v="5"/>
    <n v="577434"/>
    <n v="7"/>
    <n v="2887170"/>
    <n v="0.288717"/>
    <n v="2685068.0999999996"/>
    <n v="0.26850680999999998"/>
    <s v="Pending"/>
    <s v="Pending"/>
    <s v="Invalid"/>
    <s v="Pending"/>
  </r>
  <r>
    <x v="271"/>
    <x v="217"/>
    <x v="3"/>
    <x v="1"/>
    <x v="3"/>
    <s v="Green Field Haryana"/>
    <x v="3"/>
    <x v="0"/>
    <x v="1"/>
    <x v="1"/>
    <n v="1"/>
    <n v="116943"/>
    <n v="3"/>
    <n v="116943"/>
    <n v="1.1694299999999999E-2"/>
    <n v="113434.70999999999"/>
    <n v="1.1343470999999999E-2"/>
    <s v="Paid"/>
    <s v="Delivered"/>
    <s v="Invalid"/>
    <s v="Completed"/>
  </r>
  <r>
    <x v="272"/>
    <x v="144"/>
    <x v="1"/>
    <x v="2"/>
    <x v="0"/>
    <s v="Kisan Tractors Uttar Pradesh"/>
    <x v="0"/>
    <x v="0"/>
    <x v="0"/>
    <x v="0"/>
    <n v="0"/>
    <n v="429094"/>
    <n v="0"/>
    <n v="0"/>
    <n v="0"/>
    <n v="0"/>
    <n v="0"/>
    <s v="Pending"/>
    <s v="Pending"/>
    <s v="Invalid"/>
    <s v="Pending"/>
  </r>
  <r>
    <x v="273"/>
    <x v="218"/>
    <x v="1"/>
    <x v="3"/>
    <x v="0"/>
    <s v="Mahadev Motors Uttar Pradesh"/>
    <x v="0"/>
    <x v="0"/>
    <x v="2"/>
    <x v="0"/>
    <n v="4"/>
    <n v="626790"/>
    <n v="6"/>
    <n v="2507160"/>
    <n v="0.25071599999999999"/>
    <n v="2356730.4"/>
    <n v="0.23567304"/>
    <s v="Paid"/>
    <s v="Delivered"/>
    <s v="Invalid"/>
    <s v="Completed"/>
  </r>
  <r>
    <x v="274"/>
    <x v="219"/>
    <x v="0"/>
    <x v="1"/>
    <x v="0"/>
    <s v="Green Field Uttar Pradesh"/>
    <x v="0"/>
    <x v="0"/>
    <x v="0"/>
    <x v="0"/>
    <n v="6"/>
    <n v="794165"/>
    <n v="8"/>
    <n v="4764990"/>
    <n v="0.47649900000000001"/>
    <n v="4383790.8"/>
    <n v="0.43837907999999998"/>
    <s v="Paid"/>
    <s v="Delivered"/>
    <s v="Valid"/>
    <s v="Completed"/>
  </r>
  <r>
    <x v="275"/>
    <x v="88"/>
    <x v="0"/>
    <x v="4"/>
    <x v="3"/>
    <s v="Agri Motors Haryana"/>
    <x v="3"/>
    <x v="0"/>
    <x v="0"/>
    <x v="0"/>
    <n v="5"/>
    <n v="177570"/>
    <n v="7"/>
    <n v="887850"/>
    <n v="8.8785000000000003E-2"/>
    <n v="825700.5"/>
    <n v="8.2570050000000006E-2"/>
    <s v="Pending"/>
    <s v="Pending"/>
    <s v="Valid"/>
    <s v="Pending"/>
  </r>
  <r>
    <x v="276"/>
    <x v="220"/>
    <x v="2"/>
    <x v="2"/>
    <x v="4"/>
    <s v="Kisan Tractors West Bengal"/>
    <x v="4"/>
    <x v="3"/>
    <x v="4"/>
    <x v="1"/>
    <n v="2"/>
    <n v="501140"/>
    <n v="5"/>
    <n v="1002280"/>
    <n v="0.100228"/>
    <n v="952166"/>
    <n v="9.5216599999999998E-2"/>
    <s v="Partial"/>
    <s v="In Transit"/>
    <s v="Valid"/>
    <s v="In Transit"/>
  </r>
  <r>
    <x v="277"/>
    <x v="189"/>
    <x v="2"/>
    <x v="1"/>
    <x v="0"/>
    <s v="Green Field Uttar Pradesh"/>
    <x v="0"/>
    <x v="0"/>
    <x v="2"/>
    <x v="0"/>
    <n v="3"/>
    <n v="205653"/>
    <n v="6"/>
    <n v="616959"/>
    <n v="6.1695899999999998E-2"/>
    <n v="579941.46"/>
    <n v="5.7994145999999996E-2"/>
    <s v="Paid"/>
    <s v="Delivered"/>
    <s v="Invalid"/>
    <s v="Completed"/>
  </r>
  <r>
    <x v="278"/>
    <x v="192"/>
    <x v="1"/>
    <x v="2"/>
    <x v="2"/>
    <s v="Kisan Tractors Maharashtra"/>
    <x v="2"/>
    <x v="2"/>
    <x v="2"/>
    <x v="0"/>
    <n v="8"/>
    <n v="564393"/>
    <n v="9"/>
    <n v="4515144"/>
    <n v="0.45151439999999998"/>
    <n v="4108781.04"/>
    <n v="0.41087810400000002"/>
    <s v="Paid"/>
    <s v="Delivered"/>
    <s v="Invalid"/>
    <s v="Completed"/>
  </r>
  <r>
    <x v="279"/>
    <x v="221"/>
    <x v="0"/>
    <x v="3"/>
    <x v="2"/>
    <s v="Mahadev Motors Maharashtra"/>
    <x v="2"/>
    <x v="2"/>
    <x v="1"/>
    <x v="1"/>
    <n v="6"/>
    <n v="303400"/>
    <n v="8"/>
    <n v="1820400"/>
    <n v="0.18204000000000001"/>
    <n v="1674768"/>
    <n v="0.16747680000000001"/>
    <s v="Pending"/>
    <s v="Pending"/>
    <s v="Invalid"/>
    <s v="Pending"/>
  </r>
  <r>
    <x v="280"/>
    <x v="222"/>
    <x v="2"/>
    <x v="1"/>
    <x v="1"/>
    <s v="Green Field Karnataka"/>
    <x v="1"/>
    <x v="1"/>
    <x v="0"/>
    <x v="0"/>
    <n v="6"/>
    <n v="308437"/>
    <n v="8"/>
    <n v="1850622"/>
    <n v="0.18506220000000001"/>
    <n v="1702572.24"/>
    <n v="0.17025722400000001"/>
    <s v="Partial"/>
    <s v="In Transit"/>
    <s v="Valid"/>
    <s v="In Transit"/>
  </r>
  <r>
    <x v="281"/>
    <x v="147"/>
    <x v="1"/>
    <x v="3"/>
    <x v="0"/>
    <s v="Mahadev Motors Uttar Pradesh"/>
    <x v="0"/>
    <x v="0"/>
    <x v="3"/>
    <x v="2"/>
    <n v="4"/>
    <n v="289347"/>
    <n v="6"/>
    <n v="1157388"/>
    <n v="0.1157388"/>
    <n v="1087944.72"/>
    <n v="0.108794472"/>
    <s v="Pending"/>
    <s v="Pending"/>
    <s v="Invalid"/>
    <s v="Pending"/>
  </r>
  <r>
    <x v="282"/>
    <x v="223"/>
    <x v="4"/>
    <x v="3"/>
    <x v="0"/>
    <s v="Mahadev Motors Uttar Pradesh"/>
    <x v="0"/>
    <x v="0"/>
    <x v="2"/>
    <x v="0"/>
    <n v="1"/>
    <n v="637421"/>
    <n v="3"/>
    <n v="637421"/>
    <n v="6.3742099999999996E-2"/>
    <n v="618298.37"/>
    <n v="6.1829836999999999E-2"/>
    <s v="Paid"/>
    <s v="Delivered"/>
    <s v="Invalid"/>
    <s v="Completed"/>
  </r>
  <r>
    <x v="283"/>
    <x v="103"/>
    <x v="1"/>
    <x v="4"/>
    <x v="0"/>
    <s v="Agri Motors Uttar Pradesh"/>
    <x v="0"/>
    <x v="0"/>
    <x v="0"/>
    <x v="0"/>
    <n v="1"/>
    <n v="356683"/>
    <n v="3"/>
    <n v="356683"/>
    <n v="3.56683E-2"/>
    <n v="345982.51"/>
    <n v="3.4598251000000003E-2"/>
    <s v="Partial"/>
    <s v="In Transit"/>
    <s v="Valid"/>
    <s v="In Transit"/>
  </r>
  <r>
    <x v="284"/>
    <x v="224"/>
    <x v="3"/>
    <x v="1"/>
    <x v="1"/>
    <s v="Green Field Karnataka"/>
    <x v="1"/>
    <x v="1"/>
    <x v="1"/>
    <x v="1"/>
    <n v="6"/>
    <n v="888244"/>
    <n v="8"/>
    <n v="5329464"/>
    <n v="0.53294640000000004"/>
    <n v="4903106.88"/>
    <n v="0.49031068799999999"/>
    <s v="Paid"/>
    <s v="Delivered"/>
    <s v="Valid"/>
    <s v="Completed"/>
  </r>
  <r>
    <x v="285"/>
    <x v="225"/>
    <x v="1"/>
    <x v="2"/>
    <x v="1"/>
    <s v="Kisan Tractors Karnataka"/>
    <x v="1"/>
    <x v="1"/>
    <x v="3"/>
    <x v="2"/>
    <n v="2"/>
    <n v="254001"/>
    <n v="5"/>
    <n v="508002"/>
    <n v="5.0800199999999997E-2"/>
    <n v="482601.89999999997"/>
    <n v="4.8260189999999994E-2"/>
    <s v="Partial"/>
    <s v="In Transit"/>
    <s v="Invalid"/>
    <s v="In Transit"/>
  </r>
  <r>
    <x v="286"/>
    <x v="226"/>
    <x v="1"/>
    <x v="3"/>
    <x v="0"/>
    <s v="Mahadev Motors Uttar Pradesh"/>
    <x v="0"/>
    <x v="0"/>
    <x v="3"/>
    <x v="2"/>
    <n v="3"/>
    <n v="702698"/>
    <n v="6"/>
    <n v="2108094"/>
    <n v="0.21080940000000001"/>
    <n v="1981608.3599999999"/>
    <n v="0.19816083599999998"/>
    <s v="Partial"/>
    <s v="In Transit"/>
    <s v="Invalid"/>
    <s v="In Transit"/>
  </r>
  <r>
    <x v="287"/>
    <x v="227"/>
    <x v="3"/>
    <x v="4"/>
    <x v="3"/>
    <s v="Agri Motors Haryana"/>
    <x v="3"/>
    <x v="0"/>
    <x v="3"/>
    <x v="2"/>
    <n v="3"/>
    <n v="689288"/>
    <n v="6"/>
    <n v="2067864"/>
    <n v="0.20678640000000001"/>
    <n v="1943792.16"/>
    <n v="0.19437921599999999"/>
    <s v="Pending"/>
    <s v="Pending"/>
    <s v="Invalid"/>
    <s v="Pending"/>
  </r>
  <r>
    <x v="288"/>
    <x v="103"/>
    <x v="0"/>
    <x v="0"/>
    <x v="4"/>
    <s v="Shakti Agro West Bengal"/>
    <x v="4"/>
    <x v="3"/>
    <x v="3"/>
    <x v="2"/>
    <n v="6"/>
    <n v="170014"/>
    <n v="8"/>
    <n v="1020084"/>
    <n v="0.1020084"/>
    <n v="938477.28"/>
    <n v="9.3847728000000005E-2"/>
    <s v="Partial"/>
    <s v="In Transit"/>
    <s v="Invalid"/>
    <s v="In Transit"/>
  </r>
  <r>
    <x v="289"/>
    <x v="228"/>
    <x v="2"/>
    <x v="0"/>
    <x v="2"/>
    <s v="Shakti Agro Maharashtra"/>
    <x v="2"/>
    <x v="2"/>
    <x v="0"/>
    <x v="0"/>
    <n v="2"/>
    <n v="747006"/>
    <n v="5"/>
    <n v="1494012"/>
    <n v="0.14940120000000001"/>
    <n v="1419311.4"/>
    <n v="0.14193113999999998"/>
    <s v="Pending"/>
    <s v="Pending"/>
    <s v="Invalid"/>
    <s v="Pending"/>
  </r>
  <r>
    <x v="290"/>
    <x v="182"/>
    <x v="4"/>
    <x v="3"/>
    <x v="4"/>
    <s v="Mahadev Motors West Bengal"/>
    <x v="4"/>
    <x v="3"/>
    <x v="4"/>
    <x v="1"/>
    <n v="4"/>
    <n v="247075"/>
    <n v="6"/>
    <n v="988300"/>
    <n v="9.8830000000000001E-2"/>
    <n v="929002"/>
    <n v="9.2900200000000002E-2"/>
    <s v="Partial"/>
    <s v="In Transit"/>
    <s v="Invalid"/>
    <s v="In Transit"/>
  </r>
  <r>
    <x v="291"/>
    <x v="118"/>
    <x v="1"/>
    <x v="0"/>
    <x v="2"/>
    <s v="Shakti Agro Maharashtra"/>
    <x v="2"/>
    <x v="2"/>
    <x v="1"/>
    <x v="1"/>
    <n v="3"/>
    <n v="51705"/>
    <n v="6"/>
    <n v="155115"/>
    <n v="1.5511499999999999E-2"/>
    <n v="145808.1"/>
    <n v="1.4580810000000001E-2"/>
    <s v="Pending"/>
    <s v="Pending"/>
    <s v="Valid"/>
    <s v="Pending"/>
  </r>
  <r>
    <x v="292"/>
    <x v="148"/>
    <x v="0"/>
    <x v="1"/>
    <x v="3"/>
    <s v="Green Field Haryana"/>
    <x v="3"/>
    <x v="0"/>
    <x v="4"/>
    <x v="1"/>
    <n v="6"/>
    <n v="126314"/>
    <n v="8"/>
    <n v="757884"/>
    <n v="7.5788400000000006E-2"/>
    <n v="697253.28"/>
    <n v="6.9725328000000003E-2"/>
    <s v="Pending"/>
    <s v="Pending"/>
    <s v="Valid"/>
    <s v="Pending"/>
  </r>
  <r>
    <x v="293"/>
    <x v="86"/>
    <x v="4"/>
    <x v="4"/>
    <x v="0"/>
    <s v="Agri Motors Uttar Pradesh"/>
    <x v="0"/>
    <x v="0"/>
    <x v="4"/>
    <x v="1"/>
    <n v="7"/>
    <n v="269822"/>
    <n v="9"/>
    <n v="1888754"/>
    <n v="0.1888754"/>
    <n v="1718766.1400000001"/>
    <n v="0.17187661400000001"/>
    <s v="Pending"/>
    <s v="Pending"/>
    <s v="Invalid"/>
    <s v="Pending"/>
  </r>
  <r>
    <x v="294"/>
    <x v="41"/>
    <x v="2"/>
    <x v="4"/>
    <x v="4"/>
    <s v="Agri Motors West Bengal"/>
    <x v="4"/>
    <x v="3"/>
    <x v="0"/>
    <x v="0"/>
    <n v="4"/>
    <n v="469142"/>
    <n v="6"/>
    <n v="1876568"/>
    <n v="0.18765680000000001"/>
    <n v="1763973.92"/>
    <n v="0.17639739199999999"/>
    <s v="Pending"/>
    <s v="Pending"/>
    <s v="Invalid"/>
    <s v="Pending"/>
  </r>
  <r>
    <x v="295"/>
    <x v="69"/>
    <x v="3"/>
    <x v="3"/>
    <x v="4"/>
    <s v="Mahadev Motors West Bengal"/>
    <x v="4"/>
    <x v="3"/>
    <x v="0"/>
    <x v="0"/>
    <n v="1"/>
    <n v="666537"/>
    <n v="3"/>
    <n v="666537"/>
    <n v="6.6653699999999996E-2"/>
    <n v="646540.89"/>
    <n v="6.4654088999999998E-2"/>
    <s v="Paid"/>
    <s v="Delivered"/>
    <s v="Invalid"/>
    <s v="Completed"/>
  </r>
  <r>
    <x v="296"/>
    <x v="229"/>
    <x v="1"/>
    <x v="2"/>
    <x v="1"/>
    <s v="Kisan Tractors Karnataka"/>
    <x v="1"/>
    <x v="1"/>
    <x v="1"/>
    <x v="1"/>
    <n v="1"/>
    <n v="183525"/>
    <n v="3"/>
    <n v="183525"/>
    <n v="1.8352500000000001E-2"/>
    <n v="178019.25"/>
    <n v="1.7801925E-2"/>
    <s v="Partial"/>
    <s v="In Transit"/>
    <s v="Valid"/>
    <s v="In Transit"/>
  </r>
  <r>
    <x v="297"/>
    <x v="230"/>
    <x v="3"/>
    <x v="3"/>
    <x v="1"/>
    <s v="Mahadev Motors Karnataka"/>
    <x v="1"/>
    <x v="1"/>
    <x v="3"/>
    <x v="2"/>
    <n v="3"/>
    <n v="410312"/>
    <n v="6"/>
    <n v="1230936"/>
    <n v="0.1230936"/>
    <n v="1157079.8399999999"/>
    <n v="0.11570798399999999"/>
    <s v="Pending"/>
    <s v="Pending"/>
    <s v="Invalid"/>
    <s v="Pending"/>
  </r>
  <r>
    <x v="298"/>
    <x v="231"/>
    <x v="1"/>
    <x v="0"/>
    <x v="0"/>
    <s v="Shakti Agro Uttar Pradesh"/>
    <x v="0"/>
    <x v="0"/>
    <x v="0"/>
    <x v="0"/>
    <n v="1"/>
    <n v="467479"/>
    <n v="3"/>
    <n v="467479"/>
    <n v="4.6747900000000002E-2"/>
    <n v="453454.63"/>
    <n v="4.5345463000000003E-2"/>
    <s v="Partial"/>
    <s v="In Transit"/>
    <s v="Valid"/>
    <s v="In Transit"/>
  </r>
  <r>
    <x v="299"/>
    <x v="232"/>
    <x v="3"/>
    <x v="3"/>
    <x v="4"/>
    <s v="Mahadev Motors West Bengal"/>
    <x v="4"/>
    <x v="3"/>
    <x v="2"/>
    <x v="0"/>
    <n v="6"/>
    <n v="792871"/>
    <n v="8"/>
    <n v="4757226"/>
    <n v="0.4757226"/>
    <n v="4376647.92"/>
    <n v="0.43766479199999997"/>
    <s v="Partial"/>
    <s v="In Transit"/>
    <s v="Invalid"/>
    <s v="In Transit"/>
  </r>
  <r>
    <x v="300"/>
    <x v="110"/>
    <x v="3"/>
    <x v="2"/>
    <x v="4"/>
    <s v="Kisan Tractors West Bengal"/>
    <x v="4"/>
    <x v="3"/>
    <x v="1"/>
    <x v="1"/>
    <n v="5"/>
    <n v="216896"/>
    <n v="7"/>
    <n v="1084480"/>
    <n v="0.108448"/>
    <n v="1008566.3999999999"/>
    <n v="0.10085664"/>
    <s v="Paid"/>
    <s v="Delivered"/>
    <s v="Valid"/>
    <s v="Completed"/>
  </r>
  <r>
    <x v="301"/>
    <x v="233"/>
    <x v="0"/>
    <x v="2"/>
    <x v="2"/>
    <s v="Kisan Tractors Maharashtra"/>
    <x v="2"/>
    <x v="2"/>
    <x v="3"/>
    <x v="2"/>
    <n v="8"/>
    <n v="812277"/>
    <n v="9"/>
    <n v="6498216"/>
    <n v="0.6498216"/>
    <n v="5913376.5600000005"/>
    <n v="0.5913376560000001"/>
    <s v="Partial"/>
    <s v="In Transit"/>
    <s v="Invalid"/>
    <s v="In Transit"/>
  </r>
  <r>
    <x v="302"/>
    <x v="234"/>
    <x v="2"/>
    <x v="3"/>
    <x v="2"/>
    <s v="Mahadev Motors Maharashtra"/>
    <x v="2"/>
    <x v="2"/>
    <x v="2"/>
    <x v="0"/>
    <n v="3"/>
    <n v="225224"/>
    <n v="6"/>
    <n v="675672"/>
    <n v="6.7567199999999994E-2"/>
    <n v="635131.67999999993"/>
    <n v="6.3513167999999995E-2"/>
    <s v="Paid"/>
    <s v="Delivered"/>
    <s v="Invalid"/>
    <s v="Completed"/>
  </r>
  <r>
    <x v="303"/>
    <x v="235"/>
    <x v="0"/>
    <x v="1"/>
    <x v="0"/>
    <s v="Green Field Uttar Pradesh"/>
    <x v="0"/>
    <x v="0"/>
    <x v="2"/>
    <x v="0"/>
    <n v="7"/>
    <n v="705908"/>
    <n v="9"/>
    <n v="4941356"/>
    <n v="0.49413560000000001"/>
    <n v="4496633.96"/>
    <n v="0.44966339599999999"/>
    <s v="Pending"/>
    <s v="Pending"/>
    <s v="Invalid"/>
    <s v="Pending"/>
  </r>
  <r>
    <x v="304"/>
    <x v="236"/>
    <x v="0"/>
    <x v="2"/>
    <x v="2"/>
    <s v="Kisan Tractors Maharashtra"/>
    <x v="2"/>
    <x v="2"/>
    <x v="0"/>
    <x v="0"/>
    <n v="2"/>
    <n v="451942"/>
    <n v="5"/>
    <n v="903884"/>
    <n v="9.0388399999999994E-2"/>
    <n v="858689.79999999993"/>
    <n v="8.5868979999999998E-2"/>
    <s v="Partial"/>
    <s v="In Transit"/>
    <s v="Invalid"/>
    <s v="In Transit"/>
  </r>
  <r>
    <x v="305"/>
    <x v="237"/>
    <x v="3"/>
    <x v="1"/>
    <x v="0"/>
    <s v="Green Field Uttar Pradesh"/>
    <x v="0"/>
    <x v="0"/>
    <x v="4"/>
    <x v="1"/>
    <n v="2"/>
    <n v="768976"/>
    <n v="5"/>
    <n v="1537952"/>
    <n v="0.15379519999999999"/>
    <n v="1461054.4"/>
    <n v="0.14610544"/>
    <s v="Paid"/>
    <s v="Delivered"/>
    <s v="Invalid"/>
    <s v="Completed"/>
  </r>
  <r>
    <x v="306"/>
    <x v="17"/>
    <x v="2"/>
    <x v="3"/>
    <x v="3"/>
    <s v="Mahadev Motors Haryana"/>
    <x v="3"/>
    <x v="0"/>
    <x v="0"/>
    <x v="0"/>
    <n v="4"/>
    <n v="879039"/>
    <n v="6"/>
    <n v="3516156"/>
    <n v="0.35161559999999997"/>
    <n v="3305186.6399999997"/>
    <n v="0.33051866399999996"/>
    <s v="Paid"/>
    <s v="Delivered"/>
    <s v="Invalid"/>
    <s v="Completed"/>
  </r>
  <r>
    <x v="307"/>
    <x v="238"/>
    <x v="4"/>
    <x v="2"/>
    <x v="4"/>
    <s v="Kisan Tractors West Bengal"/>
    <x v="4"/>
    <x v="3"/>
    <x v="1"/>
    <x v="1"/>
    <n v="2"/>
    <n v="699336"/>
    <n v="5"/>
    <n v="1398672"/>
    <n v="0.1398672"/>
    <n v="1328738.3999999999"/>
    <n v="0.13287383999999999"/>
    <s v="Pending"/>
    <s v="Pending"/>
    <s v="Valid"/>
    <s v="Pending"/>
  </r>
  <r>
    <x v="308"/>
    <x v="89"/>
    <x v="4"/>
    <x v="3"/>
    <x v="0"/>
    <s v="Mahadev Motors Uttar Pradesh"/>
    <x v="0"/>
    <x v="0"/>
    <x v="1"/>
    <x v="1"/>
    <n v="3"/>
    <n v="717501"/>
    <n v="6"/>
    <n v="2152503"/>
    <n v="0.21525030000000001"/>
    <n v="2023352.8199999998"/>
    <n v="0.20233528199999998"/>
    <s v="Pending"/>
    <s v="Pending"/>
    <s v="Invalid"/>
    <s v="Pending"/>
  </r>
  <r>
    <x v="309"/>
    <x v="194"/>
    <x v="3"/>
    <x v="2"/>
    <x v="0"/>
    <s v="Kisan Tractors Uttar Pradesh"/>
    <x v="0"/>
    <x v="0"/>
    <x v="1"/>
    <x v="1"/>
    <n v="3"/>
    <n v="541769"/>
    <n v="6"/>
    <n v="1625307"/>
    <n v="0.1625307"/>
    <n v="1527788.5799999998"/>
    <n v="0.15277885799999999"/>
    <s v="Paid"/>
    <s v="Delivered"/>
    <s v="Invalid"/>
    <s v="Completed"/>
  </r>
  <r>
    <x v="310"/>
    <x v="153"/>
    <x v="1"/>
    <x v="3"/>
    <x v="1"/>
    <s v="Mahadev Motors Karnataka"/>
    <x v="1"/>
    <x v="1"/>
    <x v="2"/>
    <x v="0"/>
    <n v="1"/>
    <n v="792032"/>
    <n v="3"/>
    <n v="792032"/>
    <n v="7.9203200000000001E-2"/>
    <n v="768271.03999999992"/>
    <n v="7.6827103999999993E-2"/>
    <s v="Paid"/>
    <s v="Delivered"/>
    <s v="Invalid"/>
    <s v="Completed"/>
  </r>
  <r>
    <x v="311"/>
    <x v="239"/>
    <x v="4"/>
    <x v="0"/>
    <x v="2"/>
    <s v="Shakti Agro Maharashtra"/>
    <x v="2"/>
    <x v="2"/>
    <x v="4"/>
    <x v="1"/>
    <n v="5"/>
    <n v="606236"/>
    <n v="7"/>
    <n v="3031180"/>
    <n v="0.303118"/>
    <n v="2818997.4"/>
    <n v="0.28189974000000001"/>
    <s v="Partial"/>
    <s v="In Transit"/>
    <s v="Invalid"/>
    <s v="In Transit"/>
  </r>
  <r>
    <x v="312"/>
    <x v="57"/>
    <x v="0"/>
    <x v="0"/>
    <x v="2"/>
    <s v="Shakti Agro Maharashtra"/>
    <x v="2"/>
    <x v="2"/>
    <x v="0"/>
    <x v="0"/>
    <n v="6"/>
    <n v="634475"/>
    <n v="8"/>
    <n v="3806850"/>
    <n v="0.380685"/>
    <n v="3502302"/>
    <n v="0.35023019999999999"/>
    <s v="Pending"/>
    <s v="Pending"/>
    <s v="Invalid"/>
    <s v="Pending"/>
  </r>
  <r>
    <x v="313"/>
    <x v="240"/>
    <x v="2"/>
    <x v="2"/>
    <x v="4"/>
    <s v="Kisan Tractors West Bengal"/>
    <x v="4"/>
    <x v="3"/>
    <x v="3"/>
    <x v="2"/>
    <n v="7"/>
    <n v="231062"/>
    <n v="9"/>
    <n v="1617434"/>
    <n v="0.16174340000000001"/>
    <n v="1471864.94"/>
    <n v="0.147186494"/>
    <s v="Paid"/>
    <s v="Delivered"/>
    <s v="Valid"/>
    <s v="Completed"/>
  </r>
  <r>
    <x v="314"/>
    <x v="102"/>
    <x v="2"/>
    <x v="4"/>
    <x v="1"/>
    <s v="Agri Motors Karnataka"/>
    <x v="1"/>
    <x v="1"/>
    <x v="1"/>
    <x v="1"/>
    <n v="4"/>
    <n v="617795"/>
    <n v="6"/>
    <n v="2471180"/>
    <n v="0.247118"/>
    <n v="2322909.1999999997"/>
    <n v="0.23229091999999998"/>
    <s v="Pending"/>
    <s v="Pending"/>
    <s v="Invalid"/>
    <s v="Pending"/>
  </r>
  <r>
    <x v="315"/>
    <x v="168"/>
    <x v="1"/>
    <x v="0"/>
    <x v="2"/>
    <s v="Shakti Agro Maharashtra"/>
    <x v="2"/>
    <x v="2"/>
    <x v="1"/>
    <x v="1"/>
    <n v="8"/>
    <n v="790234"/>
    <n v="9"/>
    <n v="6321872"/>
    <n v="0.63218719999999995"/>
    <n v="5752903.5200000005"/>
    <n v="0.575290352"/>
    <s v="Pending"/>
    <s v="Pending"/>
    <s v="Valid"/>
    <s v="Pending"/>
  </r>
  <r>
    <x v="316"/>
    <x v="241"/>
    <x v="3"/>
    <x v="3"/>
    <x v="2"/>
    <s v="Mahadev Motors Maharashtra"/>
    <x v="2"/>
    <x v="2"/>
    <x v="1"/>
    <x v="1"/>
    <n v="3"/>
    <n v="878674"/>
    <n v="6"/>
    <n v="2636022"/>
    <n v="0.26360220000000001"/>
    <n v="2477860.6799999997"/>
    <n v="0.24778606799999997"/>
    <s v="Paid"/>
    <s v="Delivered"/>
    <s v="Valid"/>
    <s v="Completed"/>
  </r>
  <r>
    <x v="317"/>
    <x v="242"/>
    <x v="1"/>
    <x v="4"/>
    <x v="4"/>
    <s v="Agri Motors West Bengal"/>
    <x v="4"/>
    <x v="3"/>
    <x v="1"/>
    <x v="1"/>
    <n v="5"/>
    <n v="586666"/>
    <n v="7"/>
    <n v="2933330"/>
    <n v="0.29333300000000001"/>
    <n v="2727996.9"/>
    <n v="0.27279968999999998"/>
    <s v="Paid"/>
    <s v="Delivered"/>
    <s v="Invalid"/>
    <s v="Completed"/>
  </r>
  <r>
    <x v="318"/>
    <x v="243"/>
    <x v="1"/>
    <x v="0"/>
    <x v="3"/>
    <s v="Shakti Agro Haryana"/>
    <x v="3"/>
    <x v="0"/>
    <x v="2"/>
    <x v="0"/>
    <n v="6"/>
    <n v="835465"/>
    <n v="8"/>
    <n v="5012790"/>
    <n v="0.50127900000000003"/>
    <n v="4611766.8"/>
    <n v="0.46117668000000001"/>
    <s v="Paid"/>
    <s v="Delivered"/>
    <s v="Valid"/>
    <s v="Completed"/>
  </r>
  <r>
    <x v="319"/>
    <x v="176"/>
    <x v="3"/>
    <x v="1"/>
    <x v="1"/>
    <s v="Green Field Karnataka"/>
    <x v="1"/>
    <x v="1"/>
    <x v="0"/>
    <x v="0"/>
    <n v="6"/>
    <n v="491860"/>
    <n v="8"/>
    <n v="2951160"/>
    <n v="0.29511599999999999"/>
    <n v="2715067.2"/>
    <n v="0.27150672000000003"/>
    <s v="Partial"/>
    <s v="In Transit"/>
    <s v="Invalid"/>
    <s v="In Transit"/>
  </r>
  <r>
    <x v="320"/>
    <x v="244"/>
    <x v="4"/>
    <x v="3"/>
    <x v="3"/>
    <s v="Mahadev Motors Haryana"/>
    <x v="3"/>
    <x v="0"/>
    <x v="2"/>
    <x v="0"/>
    <n v="3"/>
    <n v="397411"/>
    <n v="6"/>
    <n v="1192233"/>
    <n v="0.1192233"/>
    <n v="1120699.02"/>
    <n v="0.112069902"/>
    <s v="Pending"/>
    <s v="Pending"/>
    <s v="Invalid"/>
    <s v="Pending"/>
  </r>
  <r>
    <x v="321"/>
    <x v="245"/>
    <x v="2"/>
    <x v="1"/>
    <x v="1"/>
    <s v="Green Field Karnataka"/>
    <x v="1"/>
    <x v="1"/>
    <x v="2"/>
    <x v="0"/>
    <n v="4"/>
    <n v="113202"/>
    <n v="6"/>
    <n v="452808"/>
    <n v="4.5280800000000003E-2"/>
    <n v="425639.51999999996"/>
    <n v="4.2563951999999995E-2"/>
    <s v="Pending"/>
    <s v="Pending"/>
    <s v="Valid"/>
    <s v="Pending"/>
  </r>
  <r>
    <x v="322"/>
    <x v="236"/>
    <x v="2"/>
    <x v="4"/>
    <x v="4"/>
    <s v="Agri Motors West Bengal"/>
    <x v="4"/>
    <x v="3"/>
    <x v="0"/>
    <x v="0"/>
    <n v="2"/>
    <n v="483377"/>
    <n v="5"/>
    <n v="966754"/>
    <n v="9.6675399999999995E-2"/>
    <n v="918416.29999999993"/>
    <n v="9.1841629999999994E-2"/>
    <s v="Paid"/>
    <s v="Delivered"/>
    <s v="Invalid"/>
    <s v="Completed"/>
  </r>
  <r>
    <x v="323"/>
    <x v="246"/>
    <x v="3"/>
    <x v="2"/>
    <x v="3"/>
    <s v="Kisan Tractors Haryana"/>
    <x v="3"/>
    <x v="0"/>
    <x v="0"/>
    <x v="0"/>
    <n v="8"/>
    <n v="873525"/>
    <n v="9"/>
    <n v="6988200"/>
    <n v="0.69882"/>
    <n v="6359262"/>
    <n v="0.6359262"/>
    <s v="Partial"/>
    <s v="In Transit"/>
    <s v="Valid"/>
    <s v="In Transit"/>
  </r>
  <r>
    <x v="324"/>
    <x v="247"/>
    <x v="0"/>
    <x v="3"/>
    <x v="2"/>
    <s v="Mahadev Motors Maharashtra"/>
    <x v="2"/>
    <x v="2"/>
    <x v="3"/>
    <x v="2"/>
    <n v="1"/>
    <n v="861669"/>
    <n v="3"/>
    <n v="861669"/>
    <n v="8.6166900000000005E-2"/>
    <n v="835818.92999999993"/>
    <n v="8.358189299999999E-2"/>
    <s v="Partial"/>
    <s v="In Transit"/>
    <s v="Invalid"/>
    <s v="In Transit"/>
  </r>
  <r>
    <x v="325"/>
    <x v="231"/>
    <x v="0"/>
    <x v="1"/>
    <x v="0"/>
    <s v="Green Field Uttar Pradesh"/>
    <x v="0"/>
    <x v="0"/>
    <x v="0"/>
    <x v="0"/>
    <n v="5"/>
    <n v="546362"/>
    <n v="7"/>
    <n v="2731810"/>
    <n v="0.27318100000000001"/>
    <n v="2540583.2999999998"/>
    <n v="0.25405833"/>
    <s v="Pending"/>
    <s v="Pending"/>
    <s v="Invalid"/>
    <s v="Pending"/>
  </r>
  <r>
    <x v="326"/>
    <x v="104"/>
    <x v="3"/>
    <x v="1"/>
    <x v="2"/>
    <s v="Green Field Maharashtra"/>
    <x v="2"/>
    <x v="2"/>
    <x v="2"/>
    <x v="0"/>
    <n v="8"/>
    <n v="865659"/>
    <n v="9"/>
    <n v="6925272"/>
    <n v="0.69252720000000001"/>
    <n v="6301997.5200000005"/>
    <n v="0.630199752"/>
    <s v="Pending"/>
    <s v="Pending"/>
    <s v="Invalid"/>
    <s v="Pending"/>
  </r>
  <r>
    <x v="327"/>
    <x v="136"/>
    <x v="1"/>
    <x v="1"/>
    <x v="3"/>
    <s v="Green Field Haryana"/>
    <x v="3"/>
    <x v="0"/>
    <x v="4"/>
    <x v="1"/>
    <n v="5"/>
    <n v="573127"/>
    <n v="7"/>
    <n v="2865635"/>
    <n v="0.28656350000000003"/>
    <n v="2665040.5499999998"/>
    <n v="0.26650405499999996"/>
    <s v="Paid"/>
    <s v="Delivered"/>
    <s v="Invalid"/>
    <s v="Completed"/>
  </r>
  <r>
    <x v="328"/>
    <x v="248"/>
    <x v="1"/>
    <x v="3"/>
    <x v="4"/>
    <s v="Mahadev Motors West Bengal"/>
    <x v="4"/>
    <x v="3"/>
    <x v="0"/>
    <x v="0"/>
    <n v="4"/>
    <n v="195445"/>
    <n v="6"/>
    <n v="781780"/>
    <n v="7.8177999999999997E-2"/>
    <n v="734873.2"/>
    <n v="7.3487319999999995E-2"/>
    <s v="Paid"/>
    <s v="Delivered"/>
    <s v="Valid"/>
    <s v="Completed"/>
  </r>
  <r>
    <x v="329"/>
    <x v="249"/>
    <x v="0"/>
    <x v="3"/>
    <x v="4"/>
    <s v="Mahadev Motors West Bengal"/>
    <x v="4"/>
    <x v="3"/>
    <x v="1"/>
    <x v="1"/>
    <n v="3"/>
    <n v="818237"/>
    <n v="6"/>
    <n v="2454711"/>
    <n v="0.2454711"/>
    <n v="2307428.34"/>
    <n v="0.23074283399999998"/>
    <s v="Pending"/>
    <s v="Pending"/>
    <s v="Valid"/>
    <s v="Pending"/>
  </r>
  <r>
    <x v="330"/>
    <x v="11"/>
    <x v="2"/>
    <x v="1"/>
    <x v="1"/>
    <s v="Green Field Karnataka"/>
    <x v="1"/>
    <x v="1"/>
    <x v="0"/>
    <x v="0"/>
    <n v="3"/>
    <n v="635701"/>
    <n v="6"/>
    <n v="1907103"/>
    <n v="0.1907103"/>
    <n v="1792676.8199999998"/>
    <n v="0.17926768199999998"/>
    <s v="Pending"/>
    <s v="Pending"/>
    <s v="Invalid"/>
    <s v="Pending"/>
  </r>
  <r>
    <x v="331"/>
    <x v="250"/>
    <x v="1"/>
    <x v="3"/>
    <x v="1"/>
    <s v="Mahadev Motors Karnataka"/>
    <x v="1"/>
    <x v="1"/>
    <x v="1"/>
    <x v="1"/>
    <n v="1"/>
    <n v="470420"/>
    <n v="3"/>
    <n v="470420"/>
    <n v="4.7042E-2"/>
    <n v="456307.39999999997"/>
    <n v="4.5630739999999996E-2"/>
    <s v="Paid"/>
    <s v="Delivered"/>
    <s v="Invalid"/>
    <s v="Completed"/>
  </r>
  <r>
    <x v="332"/>
    <x v="251"/>
    <x v="4"/>
    <x v="2"/>
    <x v="4"/>
    <s v="Kisan Tractors West Bengal"/>
    <x v="4"/>
    <x v="3"/>
    <x v="1"/>
    <x v="1"/>
    <n v="2"/>
    <n v="453544"/>
    <n v="5"/>
    <n v="907088"/>
    <n v="9.0708800000000006E-2"/>
    <n v="861733.6"/>
    <n v="8.6173360000000004E-2"/>
    <s v="Paid"/>
    <s v="Delivered"/>
    <s v="Valid"/>
    <s v="Completed"/>
  </r>
  <r>
    <x v="333"/>
    <x v="241"/>
    <x v="4"/>
    <x v="4"/>
    <x v="1"/>
    <s v="Agri Motors Karnataka"/>
    <x v="1"/>
    <x v="1"/>
    <x v="3"/>
    <x v="2"/>
    <n v="1"/>
    <n v="418575"/>
    <n v="3"/>
    <n v="418575"/>
    <n v="4.1857499999999999E-2"/>
    <n v="406017.75"/>
    <n v="4.0601775E-2"/>
    <s v="Pending"/>
    <s v="Pending"/>
    <s v="Invalid"/>
    <s v="Pending"/>
  </r>
  <r>
    <x v="334"/>
    <x v="216"/>
    <x v="3"/>
    <x v="0"/>
    <x v="1"/>
    <s v="Shakti Agro Karnataka"/>
    <x v="1"/>
    <x v="1"/>
    <x v="2"/>
    <x v="0"/>
    <n v="5"/>
    <n v="454484"/>
    <n v="7"/>
    <n v="2272420"/>
    <n v="0.227242"/>
    <n v="2113350.5999999996"/>
    <n v="0.21133505999999996"/>
    <s v="Partial"/>
    <s v="In Transit"/>
    <s v="Valid"/>
    <s v="In Transit"/>
  </r>
  <r>
    <x v="335"/>
    <x v="252"/>
    <x v="2"/>
    <x v="3"/>
    <x v="0"/>
    <s v="Mahadev Motors Uttar Pradesh"/>
    <x v="0"/>
    <x v="0"/>
    <x v="3"/>
    <x v="2"/>
    <n v="3"/>
    <n v="57904"/>
    <n v="6"/>
    <n v="173712"/>
    <n v="1.73712E-2"/>
    <n v="163289.28"/>
    <n v="1.6328927999999999E-2"/>
    <s v="Partial"/>
    <s v="In Transit"/>
    <s v="Invalid"/>
    <s v="In Transit"/>
  </r>
  <r>
    <x v="336"/>
    <x v="253"/>
    <x v="1"/>
    <x v="1"/>
    <x v="3"/>
    <s v="Green Field Haryana"/>
    <x v="3"/>
    <x v="0"/>
    <x v="3"/>
    <x v="2"/>
    <n v="7"/>
    <n v="226450"/>
    <n v="9"/>
    <n v="1585150"/>
    <n v="0.15851499999999999"/>
    <n v="1442486.5"/>
    <n v="0.14424865000000001"/>
    <s v="Pending"/>
    <s v="Pending"/>
    <s v="Invalid"/>
    <s v="Pending"/>
  </r>
  <r>
    <x v="337"/>
    <x v="136"/>
    <x v="1"/>
    <x v="2"/>
    <x v="1"/>
    <s v="Kisan Tractors Karnataka"/>
    <x v="1"/>
    <x v="1"/>
    <x v="2"/>
    <x v="0"/>
    <n v="4"/>
    <n v="200818"/>
    <n v="6"/>
    <n v="803272"/>
    <n v="8.0327200000000001E-2"/>
    <n v="755075.67999999993"/>
    <n v="7.5507567999999997E-2"/>
    <s v="Paid"/>
    <s v="Delivered"/>
    <s v="Invalid"/>
    <s v="Completed"/>
  </r>
  <r>
    <x v="338"/>
    <x v="161"/>
    <x v="0"/>
    <x v="4"/>
    <x v="2"/>
    <s v="Agri Motors Maharashtra"/>
    <x v="2"/>
    <x v="2"/>
    <x v="0"/>
    <x v="0"/>
    <n v="1"/>
    <n v="659131"/>
    <n v="3"/>
    <n v="659131"/>
    <n v="6.5913100000000002E-2"/>
    <n v="639357.06999999995"/>
    <n v="6.3935706999999994E-2"/>
    <s v="Paid"/>
    <s v="Delivered"/>
    <s v="Invalid"/>
    <s v="Completed"/>
  </r>
  <r>
    <x v="339"/>
    <x v="147"/>
    <x v="3"/>
    <x v="0"/>
    <x v="1"/>
    <s v="Shakti Agro Karnataka"/>
    <x v="1"/>
    <x v="1"/>
    <x v="0"/>
    <x v="0"/>
    <n v="4"/>
    <n v="529345"/>
    <n v="6"/>
    <n v="2117380"/>
    <n v="0.21173800000000001"/>
    <n v="1990337.2"/>
    <n v="0.19903372"/>
    <s v="Paid"/>
    <s v="Delivered"/>
    <s v="Invalid"/>
    <s v="Completed"/>
  </r>
  <r>
    <x v="340"/>
    <x v="254"/>
    <x v="1"/>
    <x v="0"/>
    <x v="4"/>
    <s v="Shakti Agro West Bengal"/>
    <x v="4"/>
    <x v="3"/>
    <x v="1"/>
    <x v="1"/>
    <n v="5"/>
    <n v="294203"/>
    <n v="7"/>
    <n v="1471015"/>
    <n v="0.1471015"/>
    <n v="1368043.95"/>
    <n v="0.136804395"/>
    <s v="Partial"/>
    <s v="In Transit"/>
    <s v="Invalid"/>
    <s v="In Transit"/>
  </r>
  <r>
    <x v="341"/>
    <x v="255"/>
    <x v="0"/>
    <x v="1"/>
    <x v="2"/>
    <s v="Green Field Maharashtra"/>
    <x v="2"/>
    <x v="2"/>
    <x v="2"/>
    <x v="0"/>
    <n v="5"/>
    <n v="243628"/>
    <n v="7"/>
    <n v="1218140"/>
    <n v="0.12181400000000001"/>
    <n v="1132870.2"/>
    <n v="0.11328702"/>
    <s v="Partial"/>
    <s v="In Transit"/>
    <s v="Invalid"/>
    <s v="In Transit"/>
  </r>
  <r>
    <x v="342"/>
    <x v="256"/>
    <x v="1"/>
    <x v="4"/>
    <x v="0"/>
    <s v="Agri Motors Uttar Pradesh"/>
    <x v="0"/>
    <x v="0"/>
    <x v="1"/>
    <x v="1"/>
    <n v="3"/>
    <n v="182819"/>
    <n v="6"/>
    <n v="548457"/>
    <n v="5.4845699999999997E-2"/>
    <n v="515549.57999999996"/>
    <n v="5.1554957999999998E-2"/>
    <s v="Paid"/>
    <s v="Delivered"/>
    <s v="Valid"/>
    <s v="Completed"/>
  </r>
  <r>
    <x v="343"/>
    <x v="24"/>
    <x v="1"/>
    <x v="4"/>
    <x v="3"/>
    <s v="Agri Motors Haryana"/>
    <x v="3"/>
    <x v="0"/>
    <x v="2"/>
    <x v="0"/>
    <n v="7"/>
    <n v="554583"/>
    <n v="9"/>
    <n v="3882081"/>
    <n v="0.3882081"/>
    <n v="3532693.71"/>
    <n v="0.353269371"/>
    <s v="Paid"/>
    <s v="Delivered"/>
    <s v="Invalid"/>
    <s v="Completed"/>
  </r>
  <r>
    <x v="344"/>
    <x v="257"/>
    <x v="3"/>
    <x v="3"/>
    <x v="0"/>
    <s v="Mahadev Motors Uttar Pradesh"/>
    <x v="0"/>
    <x v="0"/>
    <x v="4"/>
    <x v="1"/>
    <n v="4"/>
    <n v="816526"/>
    <n v="6"/>
    <n v="3266104"/>
    <n v="0.32661040000000002"/>
    <n v="3070137.76"/>
    <n v="0.30701377599999996"/>
    <s v="Pending"/>
    <s v="Pending"/>
    <s v="Valid"/>
    <s v="Pending"/>
  </r>
  <r>
    <x v="345"/>
    <x v="258"/>
    <x v="1"/>
    <x v="1"/>
    <x v="2"/>
    <s v="Green Field Maharashtra"/>
    <x v="2"/>
    <x v="2"/>
    <x v="4"/>
    <x v="1"/>
    <n v="5"/>
    <n v="344508"/>
    <n v="7"/>
    <n v="1722540"/>
    <n v="0.17225399999999999"/>
    <n v="1601962.2"/>
    <n v="0.16019622"/>
    <s v="Pending"/>
    <s v="Pending"/>
    <s v="Invalid"/>
    <s v="Pending"/>
  </r>
  <r>
    <x v="346"/>
    <x v="259"/>
    <x v="2"/>
    <x v="4"/>
    <x v="4"/>
    <s v="Agri Motors West Bengal"/>
    <x v="4"/>
    <x v="3"/>
    <x v="2"/>
    <x v="0"/>
    <n v="6"/>
    <n v="723145"/>
    <n v="8"/>
    <n v="4338870"/>
    <n v="0.43388700000000002"/>
    <n v="3991760.4000000004"/>
    <n v="0.39917604000000001"/>
    <s v="Paid"/>
    <s v="Delivered"/>
    <s v="Invalid"/>
    <s v="Completed"/>
  </r>
  <r>
    <x v="347"/>
    <x v="150"/>
    <x v="2"/>
    <x v="1"/>
    <x v="4"/>
    <s v="Green Field West Bengal"/>
    <x v="4"/>
    <x v="3"/>
    <x v="3"/>
    <x v="2"/>
    <n v="4"/>
    <n v="342530"/>
    <n v="6"/>
    <n v="1370120"/>
    <n v="0.13701199999999999"/>
    <n v="1287912.7999999998"/>
    <n v="0.12879127999999998"/>
    <s v="Partial"/>
    <s v="In Transit"/>
    <s v="Valid"/>
    <s v="In Transit"/>
  </r>
  <r>
    <x v="348"/>
    <x v="18"/>
    <x v="4"/>
    <x v="1"/>
    <x v="3"/>
    <s v="Green Field Haryana"/>
    <x v="3"/>
    <x v="0"/>
    <x v="0"/>
    <x v="0"/>
    <n v="1"/>
    <n v="126793"/>
    <n v="3"/>
    <n v="126793"/>
    <n v="1.2679299999999999E-2"/>
    <n v="122989.20999999999"/>
    <n v="1.2298920999999999E-2"/>
    <s v="Pending"/>
    <s v="Pending"/>
    <s v="Valid"/>
    <s v="Pending"/>
  </r>
  <r>
    <x v="349"/>
    <x v="155"/>
    <x v="2"/>
    <x v="2"/>
    <x v="3"/>
    <s v="Kisan Tractors Haryana"/>
    <x v="3"/>
    <x v="0"/>
    <x v="3"/>
    <x v="2"/>
    <n v="1"/>
    <n v="251731"/>
    <n v="3"/>
    <n v="251731"/>
    <n v="2.51731E-2"/>
    <n v="244179.07"/>
    <n v="2.4417906999999999E-2"/>
    <s v="Partial"/>
    <s v="In Transit"/>
    <s v="Invalid"/>
    <s v="In Transit"/>
  </r>
  <r>
    <x v="350"/>
    <x v="36"/>
    <x v="3"/>
    <x v="0"/>
    <x v="4"/>
    <s v="Shakti Agro West Bengal"/>
    <x v="4"/>
    <x v="3"/>
    <x v="4"/>
    <x v="1"/>
    <n v="8"/>
    <n v="264680"/>
    <n v="9"/>
    <n v="2117440"/>
    <n v="0.21174399999999999"/>
    <n v="1926870.4000000001"/>
    <n v="0.19268704"/>
    <s v="Pending"/>
    <s v="Pending"/>
    <s v="Valid"/>
    <s v="Pending"/>
  </r>
  <r>
    <x v="351"/>
    <x v="260"/>
    <x v="1"/>
    <x v="2"/>
    <x v="0"/>
    <s v="Kisan Tractors Uttar Pradesh"/>
    <x v="0"/>
    <x v="0"/>
    <x v="0"/>
    <x v="0"/>
    <n v="5"/>
    <n v="853338"/>
    <n v="7"/>
    <n v="4266690"/>
    <n v="0.42666900000000002"/>
    <n v="3968021.6999999997"/>
    <n v="0.39680216999999995"/>
    <s v="Pending"/>
    <s v="Pending"/>
    <s v="Valid"/>
    <s v="Pending"/>
  </r>
  <r>
    <x v="352"/>
    <x v="261"/>
    <x v="0"/>
    <x v="3"/>
    <x v="1"/>
    <s v="Mahadev Motors Karnataka"/>
    <x v="1"/>
    <x v="1"/>
    <x v="1"/>
    <x v="1"/>
    <n v="4"/>
    <n v="405463"/>
    <n v="6"/>
    <n v="1621852"/>
    <n v="0.1621852"/>
    <n v="1524540.88"/>
    <n v="0.15245408799999999"/>
    <s v="Partial"/>
    <s v="In Transit"/>
    <s v="Invalid"/>
    <s v="In Transit"/>
  </r>
  <r>
    <x v="353"/>
    <x v="262"/>
    <x v="3"/>
    <x v="2"/>
    <x v="0"/>
    <s v="Kisan Tractors Uttar Pradesh"/>
    <x v="0"/>
    <x v="0"/>
    <x v="4"/>
    <x v="1"/>
    <n v="1"/>
    <n v="547511"/>
    <n v="3"/>
    <n v="547511"/>
    <n v="5.4751099999999997E-2"/>
    <n v="531085.67000000004"/>
    <n v="5.3108567000000002E-2"/>
    <s v="Partial"/>
    <s v="In Transit"/>
    <s v="Invalid"/>
    <s v="In Transit"/>
  </r>
  <r>
    <x v="354"/>
    <x v="263"/>
    <x v="2"/>
    <x v="4"/>
    <x v="0"/>
    <s v="Agri Motors Uttar Pradesh"/>
    <x v="0"/>
    <x v="0"/>
    <x v="3"/>
    <x v="2"/>
    <n v="3"/>
    <n v="693120"/>
    <n v="6"/>
    <n v="2079360"/>
    <n v="0.20793600000000001"/>
    <n v="1954598.4"/>
    <n v="0.19545984"/>
    <s v="Partial"/>
    <s v="In Transit"/>
    <s v="Invalid"/>
    <s v="In Transit"/>
  </r>
  <r>
    <x v="355"/>
    <x v="181"/>
    <x v="4"/>
    <x v="3"/>
    <x v="2"/>
    <s v="Mahadev Motors Maharashtra"/>
    <x v="2"/>
    <x v="2"/>
    <x v="4"/>
    <x v="1"/>
    <n v="4"/>
    <n v="423177"/>
    <n v="6"/>
    <n v="1692708"/>
    <n v="0.1692708"/>
    <n v="1591145.52"/>
    <n v="0.15911455199999999"/>
    <s v="Pending"/>
    <s v="Pending"/>
    <s v="Invalid"/>
    <s v="Pending"/>
  </r>
  <r>
    <x v="356"/>
    <x v="264"/>
    <x v="0"/>
    <x v="4"/>
    <x v="1"/>
    <s v="Agri Motors Karnataka"/>
    <x v="1"/>
    <x v="1"/>
    <x v="1"/>
    <x v="1"/>
    <n v="2"/>
    <n v="875208"/>
    <n v="5"/>
    <n v="1750416"/>
    <n v="0.17504159999999999"/>
    <n v="1662895.2"/>
    <n v="0.16628952"/>
    <s v="Paid"/>
    <s v="Delivered"/>
    <s v="Invalid"/>
    <s v="Completed"/>
  </r>
  <r>
    <x v="357"/>
    <x v="188"/>
    <x v="2"/>
    <x v="3"/>
    <x v="4"/>
    <s v="Mahadev Motors West Bengal"/>
    <x v="4"/>
    <x v="3"/>
    <x v="0"/>
    <x v="0"/>
    <n v="4"/>
    <n v="102444"/>
    <n v="6"/>
    <n v="409776"/>
    <n v="4.0977600000000003E-2"/>
    <n v="385189.44"/>
    <n v="3.8518943999999999E-2"/>
    <s v="Partial"/>
    <s v="In Transit"/>
    <s v="Invalid"/>
    <s v="In Transit"/>
  </r>
  <r>
    <x v="358"/>
    <x v="81"/>
    <x v="0"/>
    <x v="4"/>
    <x v="4"/>
    <s v="Agri Motors West Bengal"/>
    <x v="4"/>
    <x v="3"/>
    <x v="0"/>
    <x v="0"/>
    <n v="6"/>
    <n v="128455"/>
    <n v="8"/>
    <n v="770730"/>
    <n v="7.7073000000000003E-2"/>
    <n v="709071.6"/>
    <n v="7.0907159999999997E-2"/>
    <s v="Pending"/>
    <s v="Pending"/>
    <s v="Invalid"/>
    <s v="Pending"/>
  </r>
  <r>
    <x v="359"/>
    <x v="265"/>
    <x v="4"/>
    <x v="4"/>
    <x v="2"/>
    <s v="Agri Motors Maharashtra"/>
    <x v="2"/>
    <x v="2"/>
    <x v="3"/>
    <x v="2"/>
    <n v="8"/>
    <n v="725092"/>
    <n v="9"/>
    <n v="5800736"/>
    <n v="0.58007359999999997"/>
    <n v="5278669.76"/>
    <n v="0.52786697599999999"/>
    <s v="Pending"/>
    <s v="Pending"/>
    <s v="Invalid"/>
    <s v="Pending"/>
  </r>
  <r>
    <x v="360"/>
    <x v="266"/>
    <x v="2"/>
    <x v="3"/>
    <x v="0"/>
    <s v="Mahadev Motors Uttar Pradesh"/>
    <x v="0"/>
    <x v="0"/>
    <x v="4"/>
    <x v="1"/>
    <n v="5"/>
    <n v="618678"/>
    <n v="7"/>
    <n v="3093390"/>
    <n v="0.30933899999999998"/>
    <n v="2876852.6999999997"/>
    <n v="0.28768526999999999"/>
    <s v="Partial"/>
    <s v="In Transit"/>
    <s v="Valid"/>
    <s v="In Transit"/>
  </r>
  <r>
    <x v="361"/>
    <x v="267"/>
    <x v="2"/>
    <x v="3"/>
    <x v="1"/>
    <s v="Mahadev Motors Karnataka"/>
    <x v="1"/>
    <x v="1"/>
    <x v="4"/>
    <x v="1"/>
    <n v="0"/>
    <n v="634001"/>
    <n v="0"/>
    <n v="0"/>
    <n v="0"/>
    <n v="0"/>
    <n v="0"/>
    <s v="Pending"/>
    <s v="Pending"/>
    <s v="Invalid"/>
    <s v="Pending"/>
  </r>
  <r>
    <x v="362"/>
    <x v="190"/>
    <x v="1"/>
    <x v="3"/>
    <x v="2"/>
    <s v="Mahadev Motors Maharashtra"/>
    <x v="2"/>
    <x v="2"/>
    <x v="3"/>
    <x v="2"/>
    <n v="1"/>
    <n v="328109"/>
    <n v="3"/>
    <n v="328109"/>
    <n v="3.2810899999999997E-2"/>
    <n v="318265.73"/>
    <n v="3.1826572999999997E-2"/>
    <s v="Paid"/>
    <s v="Delivered"/>
    <s v="Invalid"/>
    <s v="Completed"/>
  </r>
  <r>
    <x v="363"/>
    <x v="268"/>
    <x v="1"/>
    <x v="4"/>
    <x v="3"/>
    <s v="Agri Motors Haryana"/>
    <x v="3"/>
    <x v="0"/>
    <x v="0"/>
    <x v="0"/>
    <n v="1"/>
    <n v="372606"/>
    <n v="3"/>
    <n v="372606"/>
    <n v="3.7260599999999998E-2"/>
    <n v="361427.82"/>
    <n v="3.6142781999999998E-2"/>
    <s v="Partial"/>
    <s v="In Transit"/>
    <s v="Invalid"/>
    <s v="In Transit"/>
  </r>
  <r>
    <x v="364"/>
    <x v="269"/>
    <x v="2"/>
    <x v="2"/>
    <x v="3"/>
    <s v="Kisan Tractors Haryana"/>
    <x v="3"/>
    <x v="0"/>
    <x v="4"/>
    <x v="1"/>
    <n v="1"/>
    <n v="162109"/>
    <n v="3"/>
    <n v="162109"/>
    <n v="1.62109E-2"/>
    <n v="157245.72999999998"/>
    <n v="1.5724572999999999E-2"/>
    <s v="Partial"/>
    <s v="In Transit"/>
    <s v="Invalid"/>
    <s v="In Transit"/>
  </r>
  <r>
    <x v="365"/>
    <x v="270"/>
    <x v="3"/>
    <x v="2"/>
    <x v="0"/>
    <s v="Kisan Tractors Uttar Pradesh"/>
    <x v="0"/>
    <x v="0"/>
    <x v="0"/>
    <x v="0"/>
    <n v="8"/>
    <n v="793445"/>
    <n v="9"/>
    <n v="6347560"/>
    <n v="0.63475599999999999"/>
    <n v="5776279.6000000006"/>
    <n v="0.57762796000000005"/>
    <s v="Partial"/>
    <s v="In Transit"/>
    <s v="Invalid"/>
    <s v="In Transit"/>
  </r>
  <r>
    <x v="366"/>
    <x v="271"/>
    <x v="4"/>
    <x v="0"/>
    <x v="4"/>
    <s v="Shakti Agro West Bengal"/>
    <x v="4"/>
    <x v="3"/>
    <x v="1"/>
    <x v="1"/>
    <n v="2"/>
    <n v="88874"/>
    <n v="5"/>
    <n v="177748"/>
    <n v="1.77748E-2"/>
    <n v="168860.6"/>
    <n v="1.6886060000000001E-2"/>
    <s v="Partial"/>
    <s v="In Transit"/>
    <s v="Invalid"/>
    <s v="In Transit"/>
  </r>
  <r>
    <x v="367"/>
    <x v="272"/>
    <x v="0"/>
    <x v="3"/>
    <x v="4"/>
    <s v="Mahadev Motors West Bengal"/>
    <x v="4"/>
    <x v="3"/>
    <x v="2"/>
    <x v="0"/>
    <n v="5"/>
    <n v="497323"/>
    <n v="7"/>
    <n v="2486615"/>
    <n v="0.24866150000000001"/>
    <n v="2312551.9499999997"/>
    <n v="0.23125519499999997"/>
    <s v="Pending"/>
    <s v="Pending"/>
    <s v="Valid"/>
    <s v="Pending"/>
  </r>
  <r>
    <x v="368"/>
    <x v="273"/>
    <x v="1"/>
    <x v="3"/>
    <x v="3"/>
    <s v="Mahadev Motors Haryana"/>
    <x v="3"/>
    <x v="0"/>
    <x v="0"/>
    <x v="0"/>
    <n v="1"/>
    <n v="893259"/>
    <n v="3"/>
    <n v="893259"/>
    <n v="8.93259E-2"/>
    <n v="866461.23"/>
    <n v="8.6646122999999992E-2"/>
    <s v="Paid"/>
    <s v="Delivered"/>
    <s v="Invalid"/>
    <s v="Completed"/>
  </r>
  <r>
    <x v="369"/>
    <x v="5"/>
    <x v="3"/>
    <x v="4"/>
    <x v="4"/>
    <s v="Agri Motors West Bengal"/>
    <x v="4"/>
    <x v="3"/>
    <x v="4"/>
    <x v="1"/>
    <n v="2"/>
    <n v="481827"/>
    <n v="5"/>
    <n v="963654"/>
    <n v="9.6365400000000004E-2"/>
    <n v="915471.29999999993"/>
    <n v="9.154712999999999E-2"/>
    <s v="Paid"/>
    <s v="Delivered"/>
    <s v="Invalid"/>
    <s v="Completed"/>
  </r>
  <r>
    <x v="370"/>
    <x v="61"/>
    <x v="1"/>
    <x v="1"/>
    <x v="4"/>
    <s v="Green Field West Bengal"/>
    <x v="4"/>
    <x v="3"/>
    <x v="0"/>
    <x v="0"/>
    <n v="6"/>
    <n v="299647"/>
    <n v="8"/>
    <n v="1797882"/>
    <n v="0.17978820000000001"/>
    <n v="1654051.4400000002"/>
    <n v="0.165405144"/>
    <s v="Paid"/>
    <s v="Delivered"/>
    <s v="Invalid"/>
    <s v="Completed"/>
  </r>
  <r>
    <x v="371"/>
    <x v="195"/>
    <x v="2"/>
    <x v="1"/>
    <x v="4"/>
    <s v="Green Field West Bengal"/>
    <x v="4"/>
    <x v="3"/>
    <x v="0"/>
    <x v="0"/>
    <n v="3"/>
    <n v="872775"/>
    <n v="6"/>
    <n v="2618325"/>
    <n v="0.26183250000000002"/>
    <n v="2461225.5"/>
    <n v="0.24612255"/>
    <s v="Paid"/>
    <s v="Delivered"/>
    <s v="Invalid"/>
    <s v="Completed"/>
  </r>
  <r>
    <x v="372"/>
    <x v="240"/>
    <x v="2"/>
    <x v="1"/>
    <x v="0"/>
    <s v="Green Field Uttar Pradesh"/>
    <x v="0"/>
    <x v="0"/>
    <x v="2"/>
    <x v="0"/>
    <n v="2"/>
    <n v="229255"/>
    <n v="5"/>
    <n v="458510"/>
    <n v="4.5851000000000003E-2"/>
    <n v="435584.5"/>
    <n v="4.3558449999999999E-2"/>
    <s v="Pending"/>
    <s v="Pending"/>
    <s v="Invalid"/>
    <s v="Pending"/>
  </r>
  <r>
    <x v="373"/>
    <x v="274"/>
    <x v="3"/>
    <x v="4"/>
    <x v="1"/>
    <s v="Agri Motors Karnataka"/>
    <x v="1"/>
    <x v="1"/>
    <x v="3"/>
    <x v="2"/>
    <n v="3"/>
    <n v="467882"/>
    <n v="6"/>
    <n v="1403646"/>
    <n v="0.14036460000000001"/>
    <n v="1319427.24"/>
    <n v="0.13194272400000001"/>
    <s v="Partial"/>
    <s v="In Transit"/>
    <s v="Invalid"/>
    <s v="In Transit"/>
  </r>
  <r>
    <x v="374"/>
    <x v="133"/>
    <x v="4"/>
    <x v="4"/>
    <x v="0"/>
    <s v="Agri Motors Uttar Pradesh"/>
    <x v="0"/>
    <x v="0"/>
    <x v="0"/>
    <x v="0"/>
    <n v="7"/>
    <n v="98443"/>
    <n v="9"/>
    <n v="689101"/>
    <n v="6.8910100000000002E-2"/>
    <n v="627081.91"/>
    <n v="6.2708190999999996E-2"/>
    <s v="Pending"/>
    <s v="Pending"/>
    <s v="Invalid"/>
    <s v="Pending"/>
  </r>
  <r>
    <x v="375"/>
    <x v="184"/>
    <x v="1"/>
    <x v="1"/>
    <x v="3"/>
    <s v="Green Field Haryana"/>
    <x v="3"/>
    <x v="0"/>
    <x v="3"/>
    <x v="2"/>
    <n v="4"/>
    <n v="90562"/>
    <n v="6"/>
    <n v="362248"/>
    <n v="3.6224800000000001E-2"/>
    <n v="340513.12"/>
    <n v="3.4051312E-2"/>
    <s v="Pending"/>
    <s v="Pending"/>
    <s v="Invalid"/>
    <s v="Pending"/>
  </r>
  <r>
    <x v="376"/>
    <x v="275"/>
    <x v="3"/>
    <x v="3"/>
    <x v="4"/>
    <s v="Mahadev Motors West Bengal"/>
    <x v="4"/>
    <x v="3"/>
    <x v="3"/>
    <x v="2"/>
    <n v="1"/>
    <n v="438161"/>
    <n v="3"/>
    <n v="438161"/>
    <n v="4.3816099999999997E-2"/>
    <n v="425016.17"/>
    <n v="4.2501616999999998E-2"/>
    <s v="Paid"/>
    <s v="Delivered"/>
    <s v="Invalid"/>
    <s v="Completed"/>
  </r>
  <r>
    <x v="377"/>
    <x v="54"/>
    <x v="2"/>
    <x v="3"/>
    <x v="4"/>
    <s v="Mahadev Motors West Bengal"/>
    <x v="4"/>
    <x v="3"/>
    <x v="2"/>
    <x v="0"/>
    <n v="7"/>
    <n v="798776"/>
    <n v="9"/>
    <n v="5591432"/>
    <n v="0.55914319999999995"/>
    <n v="5088203.12"/>
    <n v="0.508820312"/>
    <s v="Partial"/>
    <s v="In Transit"/>
    <s v="Invalid"/>
    <s v="In Transit"/>
  </r>
  <r>
    <x v="378"/>
    <x v="146"/>
    <x v="3"/>
    <x v="0"/>
    <x v="0"/>
    <s v="Shakti Agro Uttar Pradesh"/>
    <x v="0"/>
    <x v="0"/>
    <x v="3"/>
    <x v="2"/>
    <n v="5"/>
    <n v="309154"/>
    <n v="7"/>
    <n v="1545770"/>
    <n v="0.15457699999999999"/>
    <n v="1437566.0999999999"/>
    <n v="0.14375660999999998"/>
    <s v="Paid"/>
    <s v="Delivered"/>
    <s v="Invalid"/>
    <s v="Completed"/>
  </r>
  <r>
    <x v="379"/>
    <x v="129"/>
    <x v="2"/>
    <x v="1"/>
    <x v="2"/>
    <s v="Green Field Maharashtra"/>
    <x v="2"/>
    <x v="2"/>
    <x v="3"/>
    <x v="2"/>
    <n v="2"/>
    <n v="547095"/>
    <n v="5"/>
    <n v="1094190"/>
    <n v="0.109419"/>
    <n v="1039480.5"/>
    <n v="0.10394805"/>
    <s v="Paid"/>
    <s v="Delivered"/>
    <s v="Valid"/>
    <s v="Completed"/>
  </r>
  <r>
    <x v="380"/>
    <x v="57"/>
    <x v="3"/>
    <x v="3"/>
    <x v="3"/>
    <s v="Mahadev Motors Haryana"/>
    <x v="3"/>
    <x v="0"/>
    <x v="4"/>
    <x v="1"/>
    <n v="5"/>
    <n v="105345"/>
    <n v="7"/>
    <n v="526725"/>
    <n v="5.2672499999999997E-2"/>
    <n v="489854.24999999994"/>
    <n v="4.8985424999999992E-2"/>
    <s v="Pending"/>
    <s v="Pending"/>
    <s v="Invalid"/>
    <s v="Pending"/>
  </r>
  <r>
    <x v="381"/>
    <x v="261"/>
    <x v="1"/>
    <x v="0"/>
    <x v="3"/>
    <s v="Shakti Agro Haryana"/>
    <x v="3"/>
    <x v="0"/>
    <x v="4"/>
    <x v="1"/>
    <n v="4"/>
    <n v="833623"/>
    <n v="6"/>
    <n v="3334492"/>
    <n v="0.3334492"/>
    <n v="3134422.48"/>
    <n v="0.31344224799999998"/>
    <s v="Paid"/>
    <s v="Delivered"/>
    <s v="Invalid"/>
    <s v="Completed"/>
  </r>
  <r>
    <x v="382"/>
    <x v="276"/>
    <x v="2"/>
    <x v="4"/>
    <x v="1"/>
    <s v="Agri Motors Karnataka"/>
    <x v="1"/>
    <x v="1"/>
    <x v="2"/>
    <x v="0"/>
    <n v="4"/>
    <n v="99187"/>
    <n v="6"/>
    <n v="396748"/>
    <n v="3.9674800000000003E-2"/>
    <n v="372943.12"/>
    <n v="3.7294311999999996E-2"/>
    <s v="Paid"/>
    <s v="Delivered"/>
    <s v="Invalid"/>
    <s v="Completed"/>
  </r>
  <r>
    <x v="383"/>
    <x v="277"/>
    <x v="0"/>
    <x v="2"/>
    <x v="1"/>
    <s v="Kisan Tractors Karnataka"/>
    <x v="1"/>
    <x v="1"/>
    <x v="3"/>
    <x v="2"/>
    <n v="1"/>
    <n v="351592"/>
    <n v="3"/>
    <n v="351592"/>
    <n v="3.5159200000000002E-2"/>
    <n v="341044.24"/>
    <n v="3.4104424000000001E-2"/>
    <s v="Partial"/>
    <s v="In Transit"/>
    <s v="Invalid"/>
    <s v="In Transit"/>
  </r>
  <r>
    <x v="384"/>
    <x v="60"/>
    <x v="1"/>
    <x v="2"/>
    <x v="1"/>
    <s v="Kisan Tractors Karnataka"/>
    <x v="1"/>
    <x v="1"/>
    <x v="1"/>
    <x v="1"/>
    <n v="8"/>
    <n v="837900"/>
    <n v="9"/>
    <n v="6703200"/>
    <n v="0.67032000000000003"/>
    <n v="6099912"/>
    <n v="0.60999119999999996"/>
    <s v="Partial"/>
    <s v="In Transit"/>
    <s v="Invalid"/>
    <s v="In Transit"/>
  </r>
  <r>
    <x v="385"/>
    <x v="68"/>
    <x v="3"/>
    <x v="1"/>
    <x v="4"/>
    <s v="Green Field West Bengal"/>
    <x v="4"/>
    <x v="3"/>
    <x v="1"/>
    <x v="1"/>
    <n v="4"/>
    <n v="460050"/>
    <n v="6"/>
    <n v="1840200"/>
    <n v="0.18401999999999999"/>
    <n v="1729788"/>
    <n v="0.17297879999999999"/>
    <s v="Paid"/>
    <s v="Delivered"/>
    <s v="Valid"/>
    <s v="Completed"/>
  </r>
  <r>
    <x v="386"/>
    <x v="278"/>
    <x v="1"/>
    <x v="4"/>
    <x v="1"/>
    <s v="Agri Motors Karnataka"/>
    <x v="1"/>
    <x v="1"/>
    <x v="4"/>
    <x v="1"/>
    <n v="6"/>
    <n v="493186"/>
    <n v="8"/>
    <n v="2959116"/>
    <n v="0.2959116"/>
    <n v="2722386.72"/>
    <n v="0.27223867200000001"/>
    <s v="Partial"/>
    <s v="In Transit"/>
    <s v="Valid"/>
    <s v="In Transit"/>
  </r>
  <r>
    <x v="387"/>
    <x v="279"/>
    <x v="0"/>
    <x v="1"/>
    <x v="3"/>
    <s v="Green Field Haryana"/>
    <x v="3"/>
    <x v="0"/>
    <x v="4"/>
    <x v="1"/>
    <n v="7"/>
    <n v="139129"/>
    <n v="9"/>
    <n v="973903"/>
    <n v="9.7390299999999999E-2"/>
    <n v="886251.73"/>
    <n v="8.8625173000000002E-2"/>
    <s v="Partial"/>
    <s v="In Transit"/>
    <s v="Invalid"/>
    <s v="In Transit"/>
  </r>
  <r>
    <x v="388"/>
    <x v="280"/>
    <x v="4"/>
    <x v="1"/>
    <x v="3"/>
    <s v="Green Field Haryana"/>
    <x v="3"/>
    <x v="0"/>
    <x v="3"/>
    <x v="2"/>
    <n v="4"/>
    <n v="479807"/>
    <n v="6"/>
    <n v="1919228"/>
    <n v="0.1919228"/>
    <n v="1804074.3199999998"/>
    <n v="0.18040743199999998"/>
    <s v="Pending"/>
    <s v="Pending"/>
    <s v="Valid"/>
    <s v="Pending"/>
  </r>
  <r>
    <x v="389"/>
    <x v="281"/>
    <x v="4"/>
    <x v="2"/>
    <x v="0"/>
    <s v="Kisan Tractors Uttar Pradesh"/>
    <x v="0"/>
    <x v="0"/>
    <x v="4"/>
    <x v="1"/>
    <n v="7"/>
    <n v="114065"/>
    <n v="9"/>
    <n v="798455"/>
    <n v="7.98455E-2"/>
    <n v="726594.05"/>
    <n v="7.265940500000001E-2"/>
    <s v="Paid"/>
    <s v="Delivered"/>
    <s v="Valid"/>
    <s v="Completed"/>
  </r>
  <r>
    <x v="390"/>
    <x v="282"/>
    <x v="0"/>
    <x v="3"/>
    <x v="0"/>
    <s v="Mahadev Motors Uttar Pradesh"/>
    <x v="0"/>
    <x v="0"/>
    <x v="3"/>
    <x v="2"/>
    <n v="6"/>
    <n v="465239"/>
    <n v="8"/>
    <n v="2791434"/>
    <n v="0.27914339999999999"/>
    <n v="2568119.2800000003"/>
    <n v="0.25681192800000002"/>
    <s v="Pending"/>
    <s v="Pending"/>
    <s v="Invalid"/>
    <s v="Pending"/>
  </r>
  <r>
    <x v="391"/>
    <x v="119"/>
    <x v="0"/>
    <x v="4"/>
    <x v="4"/>
    <s v="Agri Motors West Bengal"/>
    <x v="4"/>
    <x v="3"/>
    <x v="3"/>
    <x v="2"/>
    <n v="7"/>
    <n v="501856"/>
    <n v="9"/>
    <n v="3512992"/>
    <n v="0.35129919999999998"/>
    <n v="3196822.72"/>
    <n v="0.31968227200000005"/>
    <s v="Paid"/>
    <s v="Delivered"/>
    <s v="Valid"/>
    <s v="Completed"/>
  </r>
  <r>
    <x v="392"/>
    <x v="268"/>
    <x v="4"/>
    <x v="3"/>
    <x v="3"/>
    <s v="Mahadev Motors Haryana"/>
    <x v="3"/>
    <x v="0"/>
    <x v="1"/>
    <x v="1"/>
    <n v="8"/>
    <n v="235344"/>
    <n v="9"/>
    <n v="1882752"/>
    <n v="0.1882752"/>
    <n v="1713304.32"/>
    <n v="0.171330432"/>
    <s v="Paid"/>
    <s v="Delivered"/>
    <s v="Invalid"/>
    <s v="Completed"/>
  </r>
  <r>
    <x v="393"/>
    <x v="77"/>
    <x v="4"/>
    <x v="3"/>
    <x v="3"/>
    <s v="Mahadev Motors Haryana"/>
    <x v="3"/>
    <x v="0"/>
    <x v="1"/>
    <x v="1"/>
    <n v="3"/>
    <n v="200562"/>
    <n v="6"/>
    <n v="601686"/>
    <n v="6.0168600000000003E-2"/>
    <n v="565584.84"/>
    <n v="5.6558483999999999E-2"/>
    <s v="Pending"/>
    <s v="Pending"/>
    <s v="Invalid"/>
    <s v="Pending"/>
  </r>
  <r>
    <x v="394"/>
    <x v="283"/>
    <x v="3"/>
    <x v="1"/>
    <x v="3"/>
    <s v="Green Field Haryana"/>
    <x v="3"/>
    <x v="0"/>
    <x v="0"/>
    <x v="0"/>
    <n v="2"/>
    <n v="695438"/>
    <n v="5"/>
    <n v="1390876"/>
    <n v="0.13908760000000001"/>
    <n v="1321332.2"/>
    <n v="0.13213322"/>
    <s v="Partial"/>
    <s v="In Transit"/>
    <s v="Valid"/>
    <s v="In Transit"/>
  </r>
  <r>
    <x v="395"/>
    <x v="101"/>
    <x v="0"/>
    <x v="3"/>
    <x v="3"/>
    <s v="Mahadev Motors Haryana"/>
    <x v="3"/>
    <x v="0"/>
    <x v="2"/>
    <x v="0"/>
    <n v="4"/>
    <n v="459194"/>
    <n v="6"/>
    <n v="1836776"/>
    <n v="0.1836776"/>
    <n v="1726569.44"/>
    <n v="0.17265694400000001"/>
    <s v="Partial"/>
    <s v="In Transit"/>
    <s v="Valid"/>
    <s v="In Transit"/>
  </r>
  <r>
    <x v="396"/>
    <x v="180"/>
    <x v="0"/>
    <x v="3"/>
    <x v="0"/>
    <s v="Mahadev Motors Uttar Pradesh"/>
    <x v="0"/>
    <x v="0"/>
    <x v="2"/>
    <x v="0"/>
    <n v="3"/>
    <n v="144168"/>
    <n v="6"/>
    <n v="432504"/>
    <n v="4.3250400000000001E-2"/>
    <n v="406553.75999999995"/>
    <n v="4.0655375999999993E-2"/>
    <s v="Paid"/>
    <s v="Delivered"/>
    <s v="Valid"/>
    <s v="Completed"/>
  </r>
  <r>
    <x v="397"/>
    <x v="284"/>
    <x v="2"/>
    <x v="1"/>
    <x v="1"/>
    <s v="Green Field Karnataka"/>
    <x v="1"/>
    <x v="1"/>
    <x v="0"/>
    <x v="0"/>
    <n v="2"/>
    <n v="349341"/>
    <n v="5"/>
    <n v="698682"/>
    <n v="6.9868200000000005E-2"/>
    <n v="663747.9"/>
    <n v="6.6374790000000003E-2"/>
    <s v="Partial"/>
    <s v="In Transit"/>
    <s v="Invalid"/>
    <s v="In Transit"/>
  </r>
  <r>
    <x v="398"/>
    <x v="263"/>
    <x v="3"/>
    <x v="2"/>
    <x v="0"/>
    <s v="Kisan Tractors Uttar Pradesh"/>
    <x v="0"/>
    <x v="0"/>
    <x v="0"/>
    <x v="0"/>
    <n v="1"/>
    <n v="576989"/>
    <n v="3"/>
    <n v="576989"/>
    <n v="5.7698899999999997E-2"/>
    <n v="559679.32999999996"/>
    <n v="5.5967932999999997E-2"/>
    <s v="Partial"/>
    <s v="In Transit"/>
    <s v="Invalid"/>
    <s v="In Transit"/>
  </r>
  <r>
    <x v="399"/>
    <x v="285"/>
    <x v="1"/>
    <x v="4"/>
    <x v="2"/>
    <s v="Agri Motors Maharashtra"/>
    <x v="2"/>
    <x v="2"/>
    <x v="3"/>
    <x v="2"/>
    <n v="1"/>
    <n v="305133"/>
    <n v="3"/>
    <n v="305133"/>
    <n v="3.05133E-2"/>
    <n v="295979.01"/>
    <n v="2.9597900999999999E-2"/>
    <s v="Pending"/>
    <s v="Pending"/>
    <s v="Invalid"/>
    <s v="Pending"/>
  </r>
  <r>
    <x v="400"/>
    <x v="75"/>
    <x v="1"/>
    <x v="1"/>
    <x v="0"/>
    <s v="Green Field Uttar Pradesh"/>
    <x v="0"/>
    <x v="0"/>
    <x v="1"/>
    <x v="1"/>
    <n v="7"/>
    <n v="831211"/>
    <n v="9"/>
    <n v="5818477"/>
    <n v="0.58184769999999997"/>
    <n v="5294814.07"/>
    <n v="0.52948140700000002"/>
    <s v="Pending"/>
    <s v="Pending"/>
    <s v="Invalid"/>
    <s v="Pending"/>
  </r>
  <r>
    <x v="401"/>
    <x v="76"/>
    <x v="1"/>
    <x v="0"/>
    <x v="2"/>
    <s v="Shakti Agro Maharashtra"/>
    <x v="2"/>
    <x v="2"/>
    <x v="0"/>
    <x v="0"/>
    <n v="6"/>
    <n v="223908"/>
    <n v="8"/>
    <n v="1343448"/>
    <n v="0.13434479999999999"/>
    <n v="1235972.1600000001"/>
    <n v="0.12359721600000001"/>
    <s v="Partial"/>
    <s v="In Transit"/>
    <s v="Invalid"/>
    <s v="In Transit"/>
  </r>
  <r>
    <x v="402"/>
    <x v="0"/>
    <x v="2"/>
    <x v="0"/>
    <x v="2"/>
    <s v="Shakti Agro Maharashtra"/>
    <x v="2"/>
    <x v="2"/>
    <x v="0"/>
    <x v="0"/>
    <n v="5"/>
    <n v="359979"/>
    <n v="7"/>
    <n v="1799895"/>
    <n v="0.1799895"/>
    <n v="1673902.3499999999"/>
    <n v="0.167390235"/>
    <s v="Pending"/>
    <s v="Pending"/>
    <s v="Invalid"/>
    <s v="Pending"/>
  </r>
  <r>
    <x v="403"/>
    <x v="73"/>
    <x v="0"/>
    <x v="2"/>
    <x v="4"/>
    <s v="Kisan Tractors West Bengal"/>
    <x v="4"/>
    <x v="3"/>
    <x v="4"/>
    <x v="1"/>
    <n v="6"/>
    <n v="858308"/>
    <n v="8"/>
    <n v="5149848"/>
    <n v="0.51498480000000002"/>
    <n v="4737860.16"/>
    <n v="0.47378601600000003"/>
    <s v="Partial"/>
    <s v="In Transit"/>
    <s v="Invalid"/>
    <s v="In Transit"/>
  </r>
  <r>
    <x v="404"/>
    <x v="286"/>
    <x v="2"/>
    <x v="0"/>
    <x v="4"/>
    <s v="Shakti Agro West Bengal"/>
    <x v="4"/>
    <x v="3"/>
    <x v="3"/>
    <x v="2"/>
    <n v="7"/>
    <n v="636398"/>
    <n v="9"/>
    <n v="4454786"/>
    <n v="0.4454786"/>
    <n v="4053855.2600000002"/>
    <n v="0.40538552600000005"/>
    <s v="Pending"/>
    <s v="Pending"/>
    <s v="Valid"/>
    <s v="Pending"/>
  </r>
  <r>
    <x v="405"/>
    <x v="287"/>
    <x v="2"/>
    <x v="3"/>
    <x v="2"/>
    <s v="Mahadev Motors Maharashtra"/>
    <x v="2"/>
    <x v="2"/>
    <x v="4"/>
    <x v="1"/>
    <n v="3"/>
    <n v="776263"/>
    <n v="6"/>
    <n v="2328789"/>
    <n v="0.2328789"/>
    <n v="2189061.6599999997"/>
    <n v="0.21890616599999996"/>
    <s v="Pending"/>
    <s v="Pending"/>
    <s v="Invalid"/>
    <s v="Pending"/>
  </r>
  <r>
    <x v="406"/>
    <x v="288"/>
    <x v="0"/>
    <x v="1"/>
    <x v="0"/>
    <s v="Green Field Uttar Pradesh"/>
    <x v="0"/>
    <x v="0"/>
    <x v="1"/>
    <x v="1"/>
    <n v="2"/>
    <n v="535365"/>
    <n v="5"/>
    <n v="1070730"/>
    <n v="0.107073"/>
    <n v="1017193.5"/>
    <n v="0.10171935"/>
    <s v="Paid"/>
    <s v="Delivered"/>
    <s v="Valid"/>
    <s v="Completed"/>
  </r>
  <r>
    <x v="407"/>
    <x v="164"/>
    <x v="3"/>
    <x v="1"/>
    <x v="3"/>
    <s v="Green Field Haryana"/>
    <x v="3"/>
    <x v="0"/>
    <x v="3"/>
    <x v="2"/>
    <n v="4"/>
    <n v="553847"/>
    <n v="6"/>
    <n v="2215388"/>
    <n v="0.22153880000000001"/>
    <n v="2082464.72"/>
    <n v="0.20824647199999999"/>
    <s v="Partial"/>
    <s v="In Transit"/>
    <s v="Invalid"/>
    <s v="In Transit"/>
  </r>
  <r>
    <x v="408"/>
    <x v="289"/>
    <x v="1"/>
    <x v="1"/>
    <x v="3"/>
    <s v="Green Field Haryana"/>
    <x v="3"/>
    <x v="0"/>
    <x v="1"/>
    <x v="1"/>
    <n v="8"/>
    <n v="131305"/>
    <n v="9"/>
    <n v="1050440"/>
    <n v="0.105044"/>
    <n v="955900.4"/>
    <n v="9.5590040000000001E-2"/>
    <s v="Pending"/>
    <s v="Pending"/>
    <s v="Valid"/>
    <s v="Pending"/>
  </r>
  <r>
    <x v="409"/>
    <x v="290"/>
    <x v="4"/>
    <x v="0"/>
    <x v="3"/>
    <s v="Shakti Agro Haryana"/>
    <x v="3"/>
    <x v="0"/>
    <x v="2"/>
    <x v="0"/>
    <n v="6"/>
    <n v="617549"/>
    <n v="8"/>
    <n v="3705294"/>
    <n v="0.37052940000000001"/>
    <n v="3408870.48"/>
    <n v="0.34088704800000003"/>
    <s v="Paid"/>
    <s v="Delivered"/>
    <s v="Invalid"/>
    <s v="Completed"/>
  </r>
  <r>
    <x v="410"/>
    <x v="202"/>
    <x v="4"/>
    <x v="2"/>
    <x v="3"/>
    <s v="Kisan Tractors Haryana"/>
    <x v="3"/>
    <x v="0"/>
    <x v="2"/>
    <x v="0"/>
    <n v="7"/>
    <n v="251145"/>
    <n v="9"/>
    <n v="1758015"/>
    <n v="0.1758015"/>
    <n v="1599793.6500000001"/>
    <n v="0.15997936500000001"/>
    <s v="Partial"/>
    <s v="In Transit"/>
    <s v="Invalid"/>
    <s v="In Transit"/>
  </r>
  <r>
    <x v="411"/>
    <x v="291"/>
    <x v="0"/>
    <x v="4"/>
    <x v="2"/>
    <s v="Agri Motors Maharashtra"/>
    <x v="2"/>
    <x v="2"/>
    <x v="0"/>
    <x v="0"/>
    <n v="5"/>
    <n v="874226"/>
    <n v="7"/>
    <n v="4371130"/>
    <n v="0.43711299999999997"/>
    <n v="4065150.9"/>
    <n v="0.40651508999999997"/>
    <s v="Partial"/>
    <s v="In Transit"/>
    <s v="Invalid"/>
    <s v="In Transit"/>
  </r>
  <r>
    <x v="412"/>
    <x v="200"/>
    <x v="0"/>
    <x v="4"/>
    <x v="2"/>
    <s v="Agri Motors Maharashtra"/>
    <x v="2"/>
    <x v="2"/>
    <x v="0"/>
    <x v="0"/>
    <n v="1"/>
    <n v="270182"/>
    <n v="3"/>
    <n v="270182"/>
    <n v="2.7018199999999999E-2"/>
    <n v="262076.53999999998"/>
    <n v="2.6207653999999997E-2"/>
    <s v="Pending"/>
    <s v="Pending"/>
    <s v="Invalid"/>
    <s v="Pending"/>
  </r>
  <r>
    <x v="413"/>
    <x v="232"/>
    <x v="4"/>
    <x v="3"/>
    <x v="1"/>
    <s v="Mahadev Motors Karnataka"/>
    <x v="1"/>
    <x v="1"/>
    <x v="3"/>
    <x v="2"/>
    <n v="1"/>
    <n v="305277"/>
    <n v="3"/>
    <n v="305277"/>
    <n v="3.0527700000000001E-2"/>
    <n v="296118.69"/>
    <n v="2.9611868999999999E-2"/>
    <s v="Partial"/>
    <s v="In Transit"/>
    <s v="Invalid"/>
    <s v="In Transit"/>
  </r>
  <r>
    <x v="414"/>
    <x v="292"/>
    <x v="4"/>
    <x v="4"/>
    <x v="0"/>
    <s v="Agri Motors Uttar Pradesh"/>
    <x v="0"/>
    <x v="0"/>
    <x v="2"/>
    <x v="0"/>
    <n v="3"/>
    <n v="301403"/>
    <n v="6"/>
    <n v="904209"/>
    <n v="9.0420899999999998E-2"/>
    <n v="849956.46"/>
    <n v="8.4995645999999994E-2"/>
    <s v="Partial"/>
    <s v="In Transit"/>
    <s v="Invalid"/>
    <s v="In Transit"/>
  </r>
  <r>
    <x v="415"/>
    <x v="293"/>
    <x v="2"/>
    <x v="1"/>
    <x v="0"/>
    <s v="Green Field Uttar Pradesh"/>
    <x v="0"/>
    <x v="0"/>
    <x v="1"/>
    <x v="1"/>
    <n v="2"/>
    <n v="407833"/>
    <n v="5"/>
    <n v="815666"/>
    <n v="8.1566600000000003E-2"/>
    <n v="774882.7"/>
    <n v="7.7488269999999998E-2"/>
    <s v="Paid"/>
    <s v="Delivered"/>
    <s v="Invalid"/>
    <s v="Completed"/>
  </r>
  <r>
    <x v="416"/>
    <x v="294"/>
    <x v="3"/>
    <x v="4"/>
    <x v="1"/>
    <s v="Agri Motors Karnataka"/>
    <x v="1"/>
    <x v="1"/>
    <x v="1"/>
    <x v="1"/>
    <n v="3"/>
    <n v="858064"/>
    <n v="6"/>
    <n v="2574192"/>
    <n v="0.25741920000000001"/>
    <n v="2419740.48"/>
    <n v="0.241974048"/>
    <s v="Paid"/>
    <s v="Delivered"/>
    <s v="Valid"/>
    <s v="Completed"/>
  </r>
  <r>
    <x v="417"/>
    <x v="138"/>
    <x v="4"/>
    <x v="4"/>
    <x v="3"/>
    <s v="Agri Motors Haryana"/>
    <x v="3"/>
    <x v="0"/>
    <x v="3"/>
    <x v="2"/>
    <n v="8"/>
    <n v="552535"/>
    <n v="9"/>
    <n v="4420280"/>
    <n v="0.44202799999999998"/>
    <n v="4022454.8000000003"/>
    <n v="0.40224548000000004"/>
    <s v="Pending"/>
    <s v="Pending"/>
    <s v="Invalid"/>
    <s v="Pending"/>
  </r>
  <r>
    <x v="418"/>
    <x v="203"/>
    <x v="4"/>
    <x v="4"/>
    <x v="1"/>
    <s v="Agri Motors Karnataka"/>
    <x v="1"/>
    <x v="1"/>
    <x v="3"/>
    <x v="2"/>
    <n v="5"/>
    <n v="353509"/>
    <n v="7"/>
    <n v="1767545"/>
    <n v="0.17675450000000001"/>
    <n v="1643816.8499999999"/>
    <n v="0.164381685"/>
    <s v="Pending"/>
    <s v="Pending"/>
    <s v="Invalid"/>
    <s v="Pending"/>
  </r>
  <r>
    <x v="419"/>
    <x v="190"/>
    <x v="1"/>
    <x v="0"/>
    <x v="0"/>
    <s v="Shakti Agro Uttar Pradesh"/>
    <x v="0"/>
    <x v="0"/>
    <x v="0"/>
    <x v="0"/>
    <n v="5"/>
    <n v="717410"/>
    <n v="7"/>
    <n v="3587050"/>
    <n v="0.358705"/>
    <n v="3335956.5"/>
    <n v="0.33359565000000002"/>
    <s v="Pending"/>
    <s v="Pending"/>
    <s v="Valid"/>
    <s v="Pending"/>
  </r>
  <r>
    <x v="420"/>
    <x v="2"/>
    <x v="0"/>
    <x v="3"/>
    <x v="4"/>
    <s v="Mahadev Motors West Bengal"/>
    <x v="4"/>
    <x v="3"/>
    <x v="3"/>
    <x v="2"/>
    <n v="7"/>
    <n v="229631"/>
    <n v="9"/>
    <n v="1607417"/>
    <n v="0.16074169999999999"/>
    <n v="1462749.47"/>
    <n v="0.14627494699999999"/>
    <s v="Partial"/>
    <s v="In Transit"/>
    <s v="Invalid"/>
    <s v="In Transit"/>
  </r>
  <r>
    <x v="421"/>
    <x v="295"/>
    <x v="0"/>
    <x v="2"/>
    <x v="1"/>
    <s v="Kisan Tractors Karnataka"/>
    <x v="1"/>
    <x v="1"/>
    <x v="3"/>
    <x v="2"/>
    <n v="1"/>
    <n v="640970"/>
    <n v="3"/>
    <n v="640970"/>
    <n v="6.4097000000000001E-2"/>
    <n v="621740.9"/>
    <n v="6.2174090000000001E-2"/>
    <s v="Partial"/>
    <s v="In Transit"/>
    <s v="Invalid"/>
    <s v="In Transit"/>
  </r>
  <r>
    <x v="422"/>
    <x v="79"/>
    <x v="0"/>
    <x v="3"/>
    <x v="2"/>
    <s v="Mahadev Motors Maharashtra"/>
    <x v="2"/>
    <x v="2"/>
    <x v="4"/>
    <x v="1"/>
    <n v="2"/>
    <n v="307955"/>
    <n v="5"/>
    <n v="615910"/>
    <n v="6.1591E-2"/>
    <n v="585114.5"/>
    <n v="5.851145E-2"/>
    <s v="Paid"/>
    <s v="Delivered"/>
    <s v="Invalid"/>
    <s v="Completed"/>
  </r>
  <r>
    <x v="423"/>
    <x v="40"/>
    <x v="0"/>
    <x v="0"/>
    <x v="2"/>
    <s v="Shakti Agro Maharashtra"/>
    <x v="2"/>
    <x v="2"/>
    <x v="2"/>
    <x v="0"/>
    <n v="2"/>
    <n v="268267"/>
    <n v="5"/>
    <n v="536534"/>
    <n v="5.3653399999999997E-2"/>
    <n v="509707.3"/>
    <n v="5.0970729999999999E-2"/>
    <s v="Partial"/>
    <s v="In Transit"/>
    <s v="Invalid"/>
    <s v="In Transit"/>
  </r>
  <r>
    <x v="424"/>
    <x v="135"/>
    <x v="3"/>
    <x v="3"/>
    <x v="1"/>
    <s v="Mahadev Motors Karnataka"/>
    <x v="1"/>
    <x v="1"/>
    <x v="0"/>
    <x v="0"/>
    <n v="6"/>
    <n v="755092"/>
    <n v="8"/>
    <n v="4530552"/>
    <n v="0.45305519999999999"/>
    <n v="4168107.8400000003"/>
    <n v="0.41681078400000005"/>
    <s v="Paid"/>
    <s v="Delivered"/>
    <s v="Valid"/>
    <s v="Completed"/>
  </r>
  <r>
    <x v="425"/>
    <x v="296"/>
    <x v="4"/>
    <x v="2"/>
    <x v="3"/>
    <s v="Kisan Tractors Haryana"/>
    <x v="3"/>
    <x v="0"/>
    <x v="4"/>
    <x v="1"/>
    <n v="7"/>
    <n v="534998"/>
    <n v="9"/>
    <n v="3744986"/>
    <n v="0.37449860000000001"/>
    <n v="3407937.2600000002"/>
    <n v="0.34079372600000002"/>
    <s v="Pending"/>
    <s v="Pending"/>
    <s v="Invalid"/>
    <s v="Pending"/>
  </r>
  <r>
    <x v="426"/>
    <x v="213"/>
    <x v="2"/>
    <x v="3"/>
    <x v="0"/>
    <s v="Mahadev Motors Uttar Pradesh"/>
    <x v="0"/>
    <x v="0"/>
    <x v="3"/>
    <x v="2"/>
    <n v="2"/>
    <n v="201163"/>
    <n v="5"/>
    <n v="402326"/>
    <n v="4.02326E-2"/>
    <n v="382209.69999999995"/>
    <n v="3.8220969999999993E-2"/>
    <s v="Paid"/>
    <s v="Delivered"/>
    <s v="Invalid"/>
    <s v="Completed"/>
  </r>
  <r>
    <x v="427"/>
    <x v="285"/>
    <x v="0"/>
    <x v="1"/>
    <x v="3"/>
    <s v="Green Field Haryana"/>
    <x v="3"/>
    <x v="0"/>
    <x v="0"/>
    <x v="0"/>
    <n v="5"/>
    <n v="540370"/>
    <n v="7"/>
    <n v="2701850"/>
    <n v="0.27018500000000001"/>
    <n v="2512720.5"/>
    <n v="0.25127205000000002"/>
    <s v="Paid"/>
    <s v="Delivered"/>
    <s v="Invalid"/>
    <s v="Completed"/>
  </r>
  <r>
    <x v="428"/>
    <x v="242"/>
    <x v="4"/>
    <x v="2"/>
    <x v="2"/>
    <s v="Kisan Tractors Maharashtra"/>
    <x v="2"/>
    <x v="2"/>
    <x v="2"/>
    <x v="0"/>
    <n v="7"/>
    <n v="412820"/>
    <n v="9"/>
    <n v="2889740"/>
    <n v="0.28897400000000001"/>
    <n v="2629663.4"/>
    <n v="0.26296633999999997"/>
    <s v="Paid"/>
    <s v="Delivered"/>
    <s v="Invalid"/>
    <s v="Completed"/>
  </r>
  <r>
    <x v="429"/>
    <x v="185"/>
    <x v="1"/>
    <x v="1"/>
    <x v="3"/>
    <s v="Green Field Haryana"/>
    <x v="3"/>
    <x v="0"/>
    <x v="3"/>
    <x v="2"/>
    <n v="6"/>
    <n v="867867"/>
    <n v="8"/>
    <n v="5207202"/>
    <n v="0.52072019999999997"/>
    <n v="4790625.84"/>
    <n v="0.47906258399999996"/>
    <s v="Partial"/>
    <s v="In Transit"/>
    <s v="Valid"/>
    <s v="In Transit"/>
  </r>
  <r>
    <x v="430"/>
    <x v="297"/>
    <x v="4"/>
    <x v="3"/>
    <x v="3"/>
    <s v="Mahadev Motors Haryana"/>
    <x v="3"/>
    <x v="0"/>
    <x v="0"/>
    <x v="0"/>
    <n v="5"/>
    <n v="139560"/>
    <n v="7"/>
    <n v="697800"/>
    <n v="6.9779999999999995E-2"/>
    <n v="648954"/>
    <n v="6.4895400000000006E-2"/>
    <s v="Partial"/>
    <s v="In Transit"/>
    <s v="Invalid"/>
    <s v="In Transit"/>
  </r>
  <r>
    <x v="431"/>
    <x v="298"/>
    <x v="1"/>
    <x v="4"/>
    <x v="3"/>
    <s v="Agri Motors Haryana"/>
    <x v="3"/>
    <x v="0"/>
    <x v="1"/>
    <x v="1"/>
    <n v="6"/>
    <n v="831245"/>
    <n v="8"/>
    <n v="4987470"/>
    <n v="0.498747"/>
    <n v="4588472.4000000004"/>
    <n v="0.45884724000000005"/>
    <s v="Paid"/>
    <s v="Delivered"/>
    <s v="Valid"/>
    <s v="Completed"/>
  </r>
  <r>
    <x v="432"/>
    <x v="299"/>
    <x v="4"/>
    <x v="4"/>
    <x v="1"/>
    <s v="Agri Motors Karnataka"/>
    <x v="1"/>
    <x v="1"/>
    <x v="2"/>
    <x v="0"/>
    <n v="2"/>
    <n v="838592"/>
    <n v="5"/>
    <n v="1677184"/>
    <n v="0.16771839999999999"/>
    <n v="1593324.7999999998"/>
    <n v="0.15933247999999997"/>
    <s v="Paid"/>
    <s v="Delivered"/>
    <s v="Invalid"/>
    <s v="Completed"/>
  </r>
  <r>
    <x v="433"/>
    <x v="279"/>
    <x v="0"/>
    <x v="1"/>
    <x v="2"/>
    <s v="Green Field Maharashtra"/>
    <x v="2"/>
    <x v="2"/>
    <x v="1"/>
    <x v="1"/>
    <n v="5"/>
    <n v="590984"/>
    <n v="7"/>
    <n v="2954920"/>
    <n v="0.29549199999999998"/>
    <n v="2748075.5999999996"/>
    <n v="0.27480755999999995"/>
    <s v="Partial"/>
    <s v="In Transit"/>
    <s v="Invalid"/>
    <s v="In Transit"/>
  </r>
  <r>
    <x v="434"/>
    <x v="136"/>
    <x v="2"/>
    <x v="4"/>
    <x v="2"/>
    <s v="Agri Motors Maharashtra"/>
    <x v="2"/>
    <x v="2"/>
    <x v="1"/>
    <x v="1"/>
    <n v="7"/>
    <n v="523967"/>
    <n v="9"/>
    <n v="3667769"/>
    <n v="0.36677690000000002"/>
    <n v="3337669.79"/>
    <n v="0.33376697900000002"/>
    <s v="Pending"/>
    <s v="Pending"/>
    <s v="Invalid"/>
    <s v="Pending"/>
  </r>
  <r>
    <x v="435"/>
    <x v="117"/>
    <x v="4"/>
    <x v="0"/>
    <x v="0"/>
    <s v="Shakti Agro Uttar Pradesh"/>
    <x v="0"/>
    <x v="0"/>
    <x v="0"/>
    <x v="0"/>
    <n v="1"/>
    <n v="770331"/>
    <n v="3"/>
    <n v="770331"/>
    <n v="7.7033099999999993E-2"/>
    <n v="747221.07"/>
    <n v="7.4722106999999996E-2"/>
    <s v="Pending"/>
    <s v="Pending"/>
    <s v="Invalid"/>
    <s v="Pending"/>
  </r>
  <r>
    <x v="436"/>
    <x v="300"/>
    <x v="4"/>
    <x v="4"/>
    <x v="2"/>
    <s v="Agri Motors Maharashtra"/>
    <x v="2"/>
    <x v="2"/>
    <x v="2"/>
    <x v="0"/>
    <n v="7"/>
    <n v="298636"/>
    <n v="9"/>
    <n v="2090452"/>
    <n v="0.20904519999999999"/>
    <n v="1902311.32"/>
    <n v="0.190231132"/>
    <s v="Pending"/>
    <s v="Pending"/>
    <s v="Valid"/>
    <s v="Pending"/>
  </r>
  <r>
    <x v="437"/>
    <x v="301"/>
    <x v="1"/>
    <x v="1"/>
    <x v="1"/>
    <s v="Green Field Karnataka"/>
    <x v="1"/>
    <x v="1"/>
    <x v="0"/>
    <x v="0"/>
    <n v="4"/>
    <n v="53426"/>
    <n v="6"/>
    <n v="213704"/>
    <n v="2.1370400000000001E-2"/>
    <n v="200881.75999999998"/>
    <n v="2.0088175999999999E-2"/>
    <s v="Pending"/>
    <s v="Pending"/>
    <s v="Invalid"/>
    <s v="Pending"/>
  </r>
  <r>
    <x v="438"/>
    <x v="119"/>
    <x v="1"/>
    <x v="1"/>
    <x v="0"/>
    <s v="Green Field Uttar Pradesh"/>
    <x v="0"/>
    <x v="0"/>
    <x v="4"/>
    <x v="1"/>
    <n v="6"/>
    <n v="802919"/>
    <n v="8"/>
    <n v="4817514"/>
    <n v="0.4817514"/>
    <n v="4432112.88"/>
    <n v="0.44321128799999998"/>
    <s v="Paid"/>
    <s v="Delivered"/>
    <s v="Valid"/>
    <s v="Completed"/>
  </r>
  <r>
    <x v="439"/>
    <x v="238"/>
    <x v="4"/>
    <x v="3"/>
    <x v="1"/>
    <s v="Mahadev Motors Karnataka"/>
    <x v="1"/>
    <x v="1"/>
    <x v="1"/>
    <x v="1"/>
    <n v="6"/>
    <n v="426940"/>
    <n v="8"/>
    <n v="2561640"/>
    <n v="0.256164"/>
    <n v="2356708.8000000003"/>
    <n v="0.23567088000000003"/>
    <s v="Pending"/>
    <s v="Pending"/>
    <s v="Invalid"/>
    <s v="Pending"/>
  </r>
  <r>
    <x v="440"/>
    <x v="104"/>
    <x v="4"/>
    <x v="2"/>
    <x v="1"/>
    <s v="Kisan Tractors Karnataka"/>
    <x v="1"/>
    <x v="1"/>
    <x v="4"/>
    <x v="1"/>
    <n v="5"/>
    <n v="288241"/>
    <n v="7"/>
    <n v="1441205"/>
    <n v="0.14412050000000001"/>
    <n v="1340320.6499999999"/>
    <n v="0.13403206499999998"/>
    <s v="Partial"/>
    <s v="In Transit"/>
    <s v="Valid"/>
    <s v="In Transit"/>
  </r>
  <r>
    <x v="441"/>
    <x v="302"/>
    <x v="2"/>
    <x v="4"/>
    <x v="2"/>
    <s v="Agri Motors Maharashtra"/>
    <x v="2"/>
    <x v="2"/>
    <x v="2"/>
    <x v="0"/>
    <n v="0"/>
    <n v="821405"/>
    <n v="0"/>
    <n v="0"/>
    <n v="0"/>
    <n v="0"/>
    <n v="0"/>
    <s v="Pending"/>
    <s v="Pending"/>
    <s v="Invalid"/>
    <s v="Pending"/>
  </r>
  <r>
    <x v="442"/>
    <x v="203"/>
    <x v="1"/>
    <x v="1"/>
    <x v="2"/>
    <s v="Green Field Maharashtra"/>
    <x v="2"/>
    <x v="2"/>
    <x v="4"/>
    <x v="1"/>
    <n v="4"/>
    <n v="430852"/>
    <n v="6"/>
    <n v="1723408"/>
    <n v="0.17234079999999999"/>
    <n v="1620003.52"/>
    <n v="0.16200035200000001"/>
    <s v="Paid"/>
    <s v="Delivered"/>
    <s v="Valid"/>
    <s v="Completed"/>
  </r>
  <r>
    <x v="443"/>
    <x v="259"/>
    <x v="2"/>
    <x v="3"/>
    <x v="0"/>
    <s v="Mahadev Motors Uttar Pradesh"/>
    <x v="0"/>
    <x v="0"/>
    <x v="0"/>
    <x v="0"/>
    <n v="2"/>
    <n v="347042"/>
    <n v="5"/>
    <n v="694084"/>
    <n v="6.9408399999999995E-2"/>
    <n v="659379.79999999993"/>
    <n v="6.5937979999999993E-2"/>
    <s v="Paid"/>
    <s v="Delivered"/>
    <s v="Invalid"/>
    <s v="Completed"/>
  </r>
  <r>
    <x v="444"/>
    <x v="303"/>
    <x v="3"/>
    <x v="4"/>
    <x v="1"/>
    <s v="Agri Motors Karnataka"/>
    <x v="1"/>
    <x v="1"/>
    <x v="2"/>
    <x v="0"/>
    <n v="7"/>
    <n v="264705"/>
    <n v="9"/>
    <n v="1852935"/>
    <n v="0.1852935"/>
    <n v="1686170.85"/>
    <n v="0.168617085"/>
    <s v="Paid"/>
    <s v="Delivered"/>
    <s v="Valid"/>
    <s v="Completed"/>
  </r>
  <r>
    <x v="445"/>
    <x v="256"/>
    <x v="4"/>
    <x v="3"/>
    <x v="3"/>
    <s v="Mahadev Motors Haryana"/>
    <x v="3"/>
    <x v="0"/>
    <x v="3"/>
    <x v="2"/>
    <n v="8"/>
    <n v="145011"/>
    <n v="9"/>
    <n v="1160088"/>
    <n v="0.1160088"/>
    <n v="1055680.08"/>
    <n v="0.105568008"/>
    <s v="Paid"/>
    <s v="Delivered"/>
    <s v="Invalid"/>
    <s v="Completed"/>
  </r>
  <r>
    <x v="446"/>
    <x v="192"/>
    <x v="0"/>
    <x v="2"/>
    <x v="4"/>
    <s v="Kisan Tractors West Bengal"/>
    <x v="4"/>
    <x v="3"/>
    <x v="2"/>
    <x v="0"/>
    <n v="2"/>
    <n v="96489"/>
    <n v="5"/>
    <n v="192978"/>
    <n v="1.92978E-2"/>
    <n v="183329.1"/>
    <n v="1.8332910000000001E-2"/>
    <s v="Pending"/>
    <s v="Pending"/>
    <s v="Invalid"/>
    <s v="Pending"/>
  </r>
  <r>
    <x v="447"/>
    <x v="304"/>
    <x v="0"/>
    <x v="0"/>
    <x v="0"/>
    <s v="Shakti Agro Uttar Pradesh"/>
    <x v="0"/>
    <x v="0"/>
    <x v="4"/>
    <x v="1"/>
    <n v="7"/>
    <n v="628780"/>
    <n v="9"/>
    <n v="4401460"/>
    <n v="0.44014599999999998"/>
    <n v="4005328.6"/>
    <n v="0.40053285999999999"/>
    <s v="Pending"/>
    <s v="Pending"/>
    <s v="Invalid"/>
    <s v="Pending"/>
  </r>
  <r>
    <x v="448"/>
    <x v="305"/>
    <x v="3"/>
    <x v="2"/>
    <x v="4"/>
    <s v="Kisan Tractors West Bengal"/>
    <x v="4"/>
    <x v="3"/>
    <x v="3"/>
    <x v="2"/>
    <n v="1"/>
    <n v="213350"/>
    <n v="3"/>
    <n v="213350"/>
    <n v="2.1335E-2"/>
    <n v="206949.5"/>
    <n v="2.069495E-2"/>
    <s v="Paid"/>
    <s v="Delivered"/>
    <s v="Valid"/>
    <s v="Completed"/>
  </r>
  <r>
    <x v="449"/>
    <x v="306"/>
    <x v="1"/>
    <x v="2"/>
    <x v="0"/>
    <s v="Kisan Tractors Uttar Pradesh"/>
    <x v="0"/>
    <x v="0"/>
    <x v="3"/>
    <x v="2"/>
    <n v="6"/>
    <n v="56254"/>
    <n v="8"/>
    <n v="337524"/>
    <n v="3.3752400000000002E-2"/>
    <n v="310522.08"/>
    <n v="3.1052208000000001E-2"/>
    <s v="Paid"/>
    <s v="Delivered"/>
    <s v="Invalid"/>
    <s v="Completed"/>
  </r>
  <r>
    <x v="450"/>
    <x v="307"/>
    <x v="1"/>
    <x v="2"/>
    <x v="1"/>
    <s v="Kisan Tractors Karnataka"/>
    <x v="1"/>
    <x v="1"/>
    <x v="4"/>
    <x v="1"/>
    <n v="3"/>
    <n v="862954"/>
    <n v="6"/>
    <n v="2588862"/>
    <n v="0.25888620000000001"/>
    <n v="2433530.2799999998"/>
    <n v="0.24335302799999997"/>
    <s v="Pending"/>
    <s v="Pending"/>
    <s v="Invalid"/>
    <s v="Pending"/>
  </r>
  <r>
    <x v="451"/>
    <x v="308"/>
    <x v="2"/>
    <x v="3"/>
    <x v="0"/>
    <s v="Mahadev Motors Uttar Pradesh"/>
    <x v="0"/>
    <x v="0"/>
    <x v="3"/>
    <x v="2"/>
    <n v="5"/>
    <n v="788109"/>
    <n v="7"/>
    <n v="3940545"/>
    <n v="0.39405449999999997"/>
    <n v="3664706.8499999996"/>
    <n v="0.36647068499999996"/>
    <s v="Paid"/>
    <s v="Delivered"/>
    <s v="Invalid"/>
    <s v="Completed"/>
  </r>
  <r>
    <x v="452"/>
    <x v="180"/>
    <x v="1"/>
    <x v="3"/>
    <x v="1"/>
    <s v="Mahadev Motors Karnataka"/>
    <x v="1"/>
    <x v="1"/>
    <x v="3"/>
    <x v="2"/>
    <n v="3"/>
    <n v="810472"/>
    <n v="6"/>
    <n v="2431416"/>
    <n v="0.24314160000000001"/>
    <n v="2285531.04"/>
    <n v="0.22855310400000001"/>
    <s v="Pending"/>
    <s v="Pending"/>
    <s v="Invalid"/>
    <s v="Pending"/>
  </r>
  <r>
    <x v="453"/>
    <x v="309"/>
    <x v="1"/>
    <x v="0"/>
    <x v="0"/>
    <s v="Shakti Agro Uttar Pradesh"/>
    <x v="0"/>
    <x v="0"/>
    <x v="3"/>
    <x v="2"/>
    <n v="6"/>
    <n v="869470"/>
    <n v="8"/>
    <n v="5216820"/>
    <n v="0.52168199999999998"/>
    <n v="4799474.4000000004"/>
    <n v="0.47994744000000006"/>
    <s v="Partial"/>
    <s v="In Transit"/>
    <s v="Invalid"/>
    <s v="In Transit"/>
  </r>
  <r>
    <x v="454"/>
    <x v="303"/>
    <x v="2"/>
    <x v="4"/>
    <x v="3"/>
    <s v="Agri Motors Haryana"/>
    <x v="3"/>
    <x v="0"/>
    <x v="1"/>
    <x v="1"/>
    <n v="7"/>
    <n v="311295"/>
    <n v="9"/>
    <n v="2179065"/>
    <n v="0.2179065"/>
    <n v="1982949.1500000001"/>
    <n v="0.19829491500000002"/>
    <s v="Partial"/>
    <s v="In Transit"/>
    <s v="Valid"/>
    <s v="In Transit"/>
  </r>
  <r>
    <x v="455"/>
    <x v="300"/>
    <x v="0"/>
    <x v="1"/>
    <x v="0"/>
    <s v="Green Field Uttar Pradesh"/>
    <x v="0"/>
    <x v="0"/>
    <x v="3"/>
    <x v="2"/>
    <n v="1"/>
    <n v="151624"/>
    <n v="3"/>
    <n v="151624"/>
    <n v="1.5162399999999999E-2"/>
    <n v="147075.28"/>
    <n v="1.4707527999999999E-2"/>
    <s v="Pending"/>
    <s v="Pending"/>
    <s v="Valid"/>
    <s v="Pending"/>
  </r>
  <r>
    <x v="456"/>
    <x v="310"/>
    <x v="0"/>
    <x v="3"/>
    <x v="0"/>
    <s v="Mahadev Motors Uttar Pradesh"/>
    <x v="0"/>
    <x v="0"/>
    <x v="2"/>
    <x v="0"/>
    <n v="5"/>
    <n v="318972"/>
    <n v="7"/>
    <n v="1594860"/>
    <n v="0.15948599999999999"/>
    <n v="1483219.7999999998"/>
    <n v="0.14832197999999999"/>
    <s v="Pending"/>
    <s v="Pending"/>
    <s v="Invalid"/>
    <s v="Pending"/>
  </r>
  <r>
    <x v="457"/>
    <x v="157"/>
    <x v="4"/>
    <x v="4"/>
    <x v="3"/>
    <s v="Agri Motors Haryana"/>
    <x v="3"/>
    <x v="0"/>
    <x v="0"/>
    <x v="0"/>
    <n v="6"/>
    <n v="383952"/>
    <n v="8"/>
    <n v="2303712"/>
    <n v="0.2303712"/>
    <n v="2119415.04"/>
    <n v="0.211941504"/>
    <s v="Paid"/>
    <s v="Delivered"/>
    <s v="Valid"/>
    <s v="Completed"/>
  </r>
  <r>
    <x v="458"/>
    <x v="109"/>
    <x v="4"/>
    <x v="4"/>
    <x v="2"/>
    <s v="Agri Motors Maharashtra"/>
    <x v="2"/>
    <x v="2"/>
    <x v="1"/>
    <x v="1"/>
    <n v="1"/>
    <n v="746341"/>
    <n v="3"/>
    <n v="746341"/>
    <n v="7.4634099999999995E-2"/>
    <n v="723950.77"/>
    <n v="7.2395077000000002E-2"/>
    <s v="Partial"/>
    <s v="In Transit"/>
    <s v="Invalid"/>
    <s v="In Transit"/>
  </r>
  <r>
    <x v="459"/>
    <x v="176"/>
    <x v="1"/>
    <x v="1"/>
    <x v="3"/>
    <s v="Green Field Haryana"/>
    <x v="3"/>
    <x v="0"/>
    <x v="0"/>
    <x v="0"/>
    <n v="2"/>
    <n v="298827"/>
    <n v="5"/>
    <n v="597654"/>
    <n v="5.9765400000000003E-2"/>
    <n v="567771.29999999993"/>
    <n v="5.6777129999999995E-2"/>
    <s v="Partial"/>
    <s v="In Transit"/>
    <s v="Invalid"/>
    <s v="In Transit"/>
  </r>
  <r>
    <x v="460"/>
    <x v="117"/>
    <x v="4"/>
    <x v="0"/>
    <x v="0"/>
    <s v="Shakti Agro Uttar Pradesh"/>
    <x v="0"/>
    <x v="0"/>
    <x v="0"/>
    <x v="0"/>
    <n v="8"/>
    <n v="196286"/>
    <n v="9"/>
    <n v="1570288"/>
    <n v="0.1570288"/>
    <n v="1428962.08"/>
    <n v="0.142896208"/>
    <s v="Partial"/>
    <s v="In Transit"/>
    <s v="Invalid"/>
    <s v="In Transit"/>
  </r>
  <r>
    <x v="461"/>
    <x v="311"/>
    <x v="3"/>
    <x v="1"/>
    <x v="4"/>
    <s v="Green Field West Bengal"/>
    <x v="4"/>
    <x v="3"/>
    <x v="0"/>
    <x v="0"/>
    <n v="4"/>
    <n v="481997"/>
    <n v="6"/>
    <n v="1927988"/>
    <n v="0.19279879999999999"/>
    <n v="1812308.72"/>
    <n v="0.18123087199999999"/>
    <s v="Partial"/>
    <s v="In Transit"/>
    <s v="Invalid"/>
    <s v="In Transit"/>
  </r>
  <r>
    <x v="462"/>
    <x v="312"/>
    <x v="2"/>
    <x v="0"/>
    <x v="0"/>
    <s v="Shakti Agro Uttar Pradesh"/>
    <x v="0"/>
    <x v="0"/>
    <x v="3"/>
    <x v="2"/>
    <n v="6"/>
    <n v="89238"/>
    <n v="8"/>
    <n v="535428"/>
    <n v="5.3542800000000002E-2"/>
    <n v="492593.76"/>
    <n v="4.9259376000000001E-2"/>
    <s v="Partial"/>
    <s v="In Transit"/>
    <s v="Invalid"/>
    <s v="In Transit"/>
  </r>
  <r>
    <x v="463"/>
    <x v="313"/>
    <x v="2"/>
    <x v="1"/>
    <x v="1"/>
    <s v="Green Field Karnataka"/>
    <x v="1"/>
    <x v="1"/>
    <x v="3"/>
    <x v="2"/>
    <n v="5"/>
    <n v="288123"/>
    <n v="7"/>
    <n v="1440615"/>
    <n v="0.14406150000000001"/>
    <n v="1339771.95"/>
    <n v="0.13397719499999999"/>
    <s v="Partial"/>
    <s v="In Transit"/>
    <s v="Invalid"/>
    <s v="In Transit"/>
  </r>
  <r>
    <x v="464"/>
    <x v="314"/>
    <x v="0"/>
    <x v="1"/>
    <x v="0"/>
    <s v="Green Field Uttar Pradesh"/>
    <x v="0"/>
    <x v="0"/>
    <x v="3"/>
    <x v="2"/>
    <n v="7"/>
    <n v="808270"/>
    <n v="9"/>
    <n v="5657890"/>
    <n v="0.56578899999999999"/>
    <n v="5148679.9000000004"/>
    <n v="0.51486799000000005"/>
    <s v="Paid"/>
    <s v="Delivered"/>
    <s v="Invalid"/>
    <s v="Completed"/>
  </r>
  <r>
    <x v="465"/>
    <x v="84"/>
    <x v="1"/>
    <x v="0"/>
    <x v="2"/>
    <s v="Shakti Agro Maharashtra"/>
    <x v="2"/>
    <x v="2"/>
    <x v="0"/>
    <x v="0"/>
    <n v="2"/>
    <n v="88695"/>
    <n v="5"/>
    <n v="177390"/>
    <n v="1.7739000000000001E-2"/>
    <n v="168520.5"/>
    <n v="1.685205E-2"/>
    <s v="Pending"/>
    <s v="Pending"/>
    <s v="Valid"/>
    <s v="Pending"/>
  </r>
  <r>
    <x v="466"/>
    <x v="315"/>
    <x v="3"/>
    <x v="0"/>
    <x v="2"/>
    <s v="Shakti Agro Maharashtra"/>
    <x v="2"/>
    <x v="2"/>
    <x v="4"/>
    <x v="1"/>
    <n v="4"/>
    <n v="569409"/>
    <n v="6"/>
    <n v="2277636"/>
    <n v="0.22776360000000001"/>
    <n v="2140977.84"/>
    <n v="0.21409778399999999"/>
    <s v="Partial"/>
    <s v="In Transit"/>
    <s v="Valid"/>
    <s v="In Transit"/>
  </r>
  <r>
    <x v="467"/>
    <x v="316"/>
    <x v="0"/>
    <x v="0"/>
    <x v="0"/>
    <s v="Shakti Agro Uttar Pradesh"/>
    <x v="0"/>
    <x v="0"/>
    <x v="3"/>
    <x v="2"/>
    <n v="2"/>
    <n v="737767"/>
    <n v="5"/>
    <n v="1475534"/>
    <n v="0.1475534"/>
    <n v="1401757.3"/>
    <n v="0.14017573"/>
    <s v="Partial"/>
    <s v="In Transit"/>
    <s v="Invalid"/>
    <s v="In Transit"/>
  </r>
  <r>
    <x v="468"/>
    <x v="199"/>
    <x v="0"/>
    <x v="4"/>
    <x v="1"/>
    <s v="Agri Motors Karnataka"/>
    <x v="1"/>
    <x v="1"/>
    <x v="3"/>
    <x v="2"/>
    <n v="7"/>
    <n v="541731"/>
    <n v="9"/>
    <n v="3792117"/>
    <n v="0.37921169999999998"/>
    <n v="3450826.47"/>
    <n v="0.34508264700000002"/>
    <s v="Pending"/>
    <s v="Pending"/>
    <s v="Valid"/>
    <s v="Pending"/>
  </r>
  <r>
    <x v="469"/>
    <x v="70"/>
    <x v="0"/>
    <x v="3"/>
    <x v="0"/>
    <s v="Mahadev Motors Uttar Pradesh"/>
    <x v="0"/>
    <x v="0"/>
    <x v="0"/>
    <x v="0"/>
    <n v="1"/>
    <n v="703073"/>
    <n v="3"/>
    <n v="703073"/>
    <n v="7.0307300000000003E-2"/>
    <n v="681980.80999999994"/>
    <n v="6.8198080999999994E-2"/>
    <s v="Partial"/>
    <s v="In Transit"/>
    <s v="Valid"/>
    <s v="In Transit"/>
  </r>
  <r>
    <x v="470"/>
    <x v="317"/>
    <x v="3"/>
    <x v="2"/>
    <x v="2"/>
    <s v="Kisan Tractors Maharashtra"/>
    <x v="2"/>
    <x v="2"/>
    <x v="1"/>
    <x v="1"/>
    <n v="4"/>
    <n v="253411"/>
    <n v="6"/>
    <n v="1013644"/>
    <n v="0.10136439999999999"/>
    <n v="952825.36"/>
    <n v="9.5282536000000001E-2"/>
    <s v="Paid"/>
    <s v="Delivered"/>
    <s v="Valid"/>
    <s v="Completed"/>
  </r>
  <r>
    <x v="471"/>
    <x v="294"/>
    <x v="0"/>
    <x v="2"/>
    <x v="4"/>
    <s v="Kisan Tractors West Bengal"/>
    <x v="4"/>
    <x v="3"/>
    <x v="2"/>
    <x v="0"/>
    <n v="1"/>
    <n v="74797"/>
    <n v="3"/>
    <n v="74797"/>
    <n v="7.4796999999999997E-3"/>
    <n v="72553.09"/>
    <n v="7.2553089999999997E-3"/>
    <s v="Partial"/>
    <s v="In Transit"/>
    <s v="Invalid"/>
    <s v="In Transit"/>
  </r>
  <r>
    <x v="472"/>
    <x v="318"/>
    <x v="3"/>
    <x v="0"/>
    <x v="0"/>
    <s v="Shakti Agro Uttar Pradesh"/>
    <x v="0"/>
    <x v="0"/>
    <x v="3"/>
    <x v="2"/>
    <n v="6"/>
    <n v="227295"/>
    <n v="8"/>
    <n v="1363770"/>
    <n v="0.136377"/>
    <n v="1254668.4000000001"/>
    <n v="0.12546684000000002"/>
    <s v="Partial"/>
    <s v="In Transit"/>
    <s v="Invalid"/>
    <s v="In Transit"/>
  </r>
  <r>
    <x v="473"/>
    <x v="319"/>
    <x v="4"/>
    <x v="1"/>
    <x v="0"/>
    <s v="Green Field Uttar Pradesh"/>
    <x v="0"/>
    <x v="0"/>
    <x v="0"/>
    <x v="0"/>
    <n v="1"/>
    <n v="670230"/>
    <n v="3"/>
    <n v="670230"/>
    <n v="6.7022999999999999E-2"/>
    <n v="650123.1"/>
    <n v="6.5012310000000004E-2"/>
    <s v="Paid"/>
    <s v="Delivered"/>
    <s v="Invalid"/>
    <s v="Completed"/>
  </r>
  <r>
    <x v="474"/>
    <x v="320"/>
    <x v="3"/>
    <x v="0"/>
    <x v="0"/>
    <s v="Shakti Agro Uttar Pradesh"/>
    <x v="0"/>
    <x v="0"/>
    <x v="3"/>
    <x v="2"/>
    <n v="2"/>
    <n v="103121"/>
    <n v="5"/>
    <n v="206242"/>
    <n v="2.0624199999999999E-2"/>
    <n v="195929.9"/>
    <n v="1.9592990000000001E-2"/>
    <s v="Paid"/>
    <s v="Delivered"/>
    <s v="Invalid"/>
    <s v="Completed"/>
  </r>
  <r>
    <x v="475"/>
    <x v="1"/>
    <x v="3"/>
    <x v="1"/>
    <x v="4"/>
    <s v="Green Field West Bengal"/>
    <x v="4"/>
    <x v="3"/>
    <x v="2"/>
    <x v="0"/>
    <n v="8"/>
    <n v="814848"/>
    <n v="9"/>
    <n v="6518784"/>
    <n v="0.65187839999999997"/>
    <n v="5932093.4400000004"/>
    <n v="0.59320934400000003"/>
    <s v="Pending"/>
    <s v="Pending"/>
    <s v="Invalid"/>
    <s v="Pending"/>
  </r>
  <r>
    <x v="476"/>
    <x v="37"/>
    <x v="2"/>
    <x v="0"/>
    <x v="2"/>
    <s v="Shakti Agro Maharashtra"/>
    <x v="2"/>
    <x v="2"/>
    <x v="2"/>
    <x v="0"/>
    <n v="5"/>
    <n v="561001"/>
    <n v="7"/>
    <n v="2805005"/>
    <n v="0.28050049999999999"/>
    <n v="2608654.65"/>
    <n v="0.26086546499999996"/>
    <s v="Paid"/>
    <s v="Delivered"/>
    <s v="Invalid"/>
    <s v="Completed"/>
  </r>
  <r>
    <x v="477"/>
    <x v="52"/>
    <x v="2"/>
    <x v="2"/>
    <x v="4"/>
    <s v="Kisan Tractors West Bengal"/>
    <x v="4"/>
    <x v="3"/>
    <x v="3"/>
    <x v="2"/>
    <n v="7"/>
    <n v="316096"/>
    <n v="9"/>
    <n v="2212672"/>
    <n v="0.2212672"/>
    <n v="2013531.52"/>
    <n v="0.20135315200000001"/>
    <s v="Paid"/>
    <s v="Delivered"/>
    <s v="Invalid"/>
    <s v="Completed"/>
  </r>
  <r>
    <x v="478"/>
    <x v="321"/>
    <x v="0"/>
    <x v="3"/>
    <x v="0"/>
    <s v="Mahadev Motors Uttar Pradesh"/>
    <x v="0"/>
    <x v="0"/>
    <x v="2"/>
    <x v="0"/>
    <n v="2"/>
    <n v="649333"/>
    <n v="5"/>
    <n v="1298666"/>
    <n v="0.1298666"/>
    <n v="1233732.7"/>
    <n v="0.12337326999999999"/>
    <s v="Paid"/>
    <s v="Delivered"/>
    <s v="Valid"/>
    <s v="Completed"/>
  </r>
  <r>
    <x v="479"/>
    <x v="39"/>
    <x v="3"/>
    <x v="0"/>
    <x v="1"/>
    <s v="Shakti Agro Karnataka"/>
    <x v="1"/>
    <x v="1"/>
    <x v="0"/>
    <x v="0"/>
    <n v="8"/>
    <n v="576963"/>
    <n v="9"/>
    <n v="4615704"/>
    <n v="0.46157039999999999"/>
    <n v="4200290.6400000006"/>
    <n v="0.42002906400000006"/>
    <s v="Partial"/>
    <s v="In Transit"/>
    <s v="Invalid"/>
    <s v="In Transit"/>
  </r>
  <r>
    <x v="480"/>
    <x v="322"/>
    <x v="3"/>
    <x v="0"/>
    <x v="4"/>
    <s v="Shakti Agro West Bengal"/>
    <x v="4"/>
    <x v="3"/>
    <x v="3"/>
    <x v="2"/>
    <n v="3"/>
    <n v="244917"/>
    <n v="6"/>
    <n v="734751"/>
    <n v="7.3475100000000002E-2"/>
    <n v="690665.94"/>
    <n v="6.9066593999999995E-2"/>
    <s v="Pending"/>
    <s v="Pending"/>
    <s v="Invalid"/>
    <s v="Pending"/>
  </r>
  <r>
    <x v="481"/>
    <x v="162"/>
    <x v="3"/>
    <x v="3"/>
    <x v="0"/>
    <s v="Mahadev Motors Uttar Pradesh"/>
    <x v="0"/>
    <x v="0"/>
    <x v="0"/>
    <x v="0"/>
    <n v="1"/>
    <n v="352203"/>
    <n v="3"/>
    <n v="352203"/>
    <n v="3.5220300000000003E-2"/>
    <n v="341636.91"/>
    <n v="3.4163690999999996E-2"/>
    <s v="Pending"/>
    <s v="Pending"/>
    <s v="Invalid"/>
    <s v="Pending"/>
  </r>
  <r>
    <x v="482"/>
    <x v="235"/>
    <x v="1"/>
    <x v="2"/>
    <x v="3"/>
    <s v="Kisan Tractors Haryana"/>
    <x v="3"/>
    <x v="0"/>
    <x v="0"/>
    <x v="0"/>
    <n v="1"/>
    <n v="92558"/>
    <n v="3"/>
    <n v="92558"/>
    <n v="9.2557999999999998E-3"/>
    <n v="89781.26"/>
    <n v="8.9781259999999995E-3"/>
    <s v="Paid"/>
    <s v="Delivered"/>
    <s v="Valid"/>
    <s v="Completed"/>
  </r>
  <r>
    <x v="483"/>
    <x v="265"/>
    <x v="0"/>
    <x v="4"/>
    <x v="2"/>
    <s v="Agri Motors Maharashtra"/>
    <x v="2"/>
    <x v="2"/>
    <x v="3"/>
    <x v="2"/>
    <n v="1"/>
    <n v="704399"/>
    <n v="3"/>
    <n v="704399"/>
    <n v="7.04399E-2"/>
    <n v="683267.03"/>
    <n v="6.8326703000000003E-2"/>
    <s v="Partial"/>
    <s v="In Transit"/>
    <s v="Valid"/>
    <s v="In Transit"/>
  </r>
  <r>
    <x v="484"/>
    <x v="323"/>
    <x v="3"/>
    <x v="1"/>
    <x v="4"/>
    <s v="Green Field West Bengal"/>
    <x v="4"/>
    <x v="3"/>
    <x v="1"/>
    <x v="1"/>
    <n v="7"/>
    <n v="248882"/>
    <n v="9"/>
    <n v="1742174"/>
    <n v="0.17421739999999999"/>
    <n v="1585378.34"/>
    <n v="0.15853783400000002"/>
    <s v="Pending"/>
    <s v="Pending"/>
    <s v="Invalid"/>
    <s v="Pending"/>
  </r>
  <r>
    <x v="485"/>
    <x v="324"/>
    <x v="2"/>
    <x v="1"/>
    <x v="4"/>
    <s v="Green Field West Bengal"/>
    <x v="4"/>
    <x v="3"/>
    <x v="0"/>
    <x v="0"/>
    <n v="7"/>
    <n v="160083"/>
    <n v="9"/>
    <n v="1120581"/>
    <n v="0.11205809999999999"/>
    <n v="1019728.7100000001"/>
    <n v="0.10197287100000001"/>
    <s v="Paid"/>
    <s v="Delivered"/>
    <s v="Invalid"/>
    <s v="Completed"/>
  </r>
  <r>
    <x v="486"/>
    <x v="18"/>
    <x v="0"/>
    <x v="0"/>
    <x v="3"/>
    <s v="Shakti Agro Haryana"/>
    <x v="3"/>
    <x v="0"/>
    <x v="2"/>
    <x v="0"/>
    <n v="6"/>
    <n v="89734"/>
    <n v="8"/>
    <n v="538404"/>
    <n v="5.3840399999999997E-2"/>
    <n v="495331.68"/>
    <n v="4.9533168000000002E-2"/>
    <s v="Pending"/>
    <s v="Pending"/>
    <s v="Invalid"/>
    <s v="Pending"/>
  </r>
  <r>
    <x v="487"/>
    <x v="325"/>
    <x v="1"/>
    <x v="3"/>
    <x v="2"/>
    <s v="Mahadev Motors Maharashtra"/>
    <x v="2"/>
    <x v="2"/>
    <x v="0"/>
    <x v="0"/>
    <n v="5"/>
    <n v="884996"/>
    <n v="7"/>
    <n v="4424980"/>
    <n v="0.442498"/>
    <n v="4115231.4"/>
    <n v="0.41152314000000001"/>
    <s v="Paid"/>
    <s v="Delivered"/>
    <s v="Invalid"/>
    <s v="Completed"/>
  </r>
  <r>
    <x v="488"/>
    <x v="326"/>
    <x v="3"/>
    <x v="0"/>
    <x v="4"/>
    <s v="Shakti Agro West Bengal"/>
    <x v="4"/>
    <x v="3"/>
    <x v="1"/>
    <x v="1"/>
    <n v="6"/>
    <n v="298062"/>
    <n v="8"/>
    <n v="1788372"/>
    <n v="0.1788372"/>
    <n v="1645302.24"/>
    <n v="0.164530224"/>
    <s v="Paid"/>
    <s v="Delivered"/>
    <s v="Valid"/>
    <s v="Completed"/>
  </r>
  <r>
    <x v="489"/>
    <x v="327"/>
    <x v="1"/>
    <x v="0"/>
    <x v="4"/>
    <s v="Shakti Agro West Bengal"/>
    <x v="4"/>
    <x v="3"/>
    <x v="3"/>
    <x v="2"/>
    <n v="5"/>
    <n v="314814"/>
    <n v="7"/>
    <n v="1574070"/>
    <n v="0.15740699999999999"/>
    <n v="1463885.0999999999"/>
    <n v="0.14638851"/>
    <s v="Partial"/>
    <s v="In Transit"/>
    <s v="Invalid"/>
    <s v="In Transit"/>
  </r>
  <r>
    <x v="490"/>
    <x v="211"/>
    <x v="0"/>
    <x v="0"/>
    <x v="4"/>
    <s v="Shakti Agro West Bengal"/>
    <x v="4"/>
    <x v="3"/>
    <x v="0"/>
    <x v="0"/>
    <n v="8"/>
    <n v="182530"/>
    <n v="9"/>
    <n v="1460240"/>
    <n v="0.14602399999999999"/>
    <n v="1328818.4000000001"/>
    <n v="0.13288184"/>
    <s v="Partial"/>
    <s v="In Transit"/>
    <s v="Invalid"/>
    <s v="In Transit"/>
  </r>
  <r>
    <x v="491"/>
    <x v="246"/>
    <x v="1"/>
    <x v="1"/>
    <x v="1"/>
    <s v="Green Field Karnataka"/>
    <x v="1"/>
    <x v="1"/>
    <x v="2"/>
    <x v="0"/>
    <n v="4"/>
    <n v="224659"/>
    <n v="6"/>
    <n v="898636"/>
    <n v="8.9863600000000002E-2"/>
    <n v="844717.84"/>
    <n v="8.4471783999999994E-2"/>
    <s v="Pending"/>
    <s v="Pending"/>
    <s v="Valid"/>
    <s v="Pending"/>
  </r>
  <r>
    <x v="492"/>
    <x v="328"/>
    <x v="2"/>
    <x v="0"/>
    <x v="3"/>
    <s v="Shakti Agro Haryana"/>
    <x v="3"/>
    <x v="0"/>
    <x v="4"/>
    <x v="1"/>
    <n v="6"/>
    <n v="629744"/>
    <n v="8"/>
    <n v="3778464"/>
    <n v="0.37784640000000003"/>
    <n v="3476186.8800000004"/>
    <n v="0.34761868800000001"/>
    <s v="Paid"/>
    <s v="Delivered"/>
    <s v="Invalid"/>
    <s v="Completed"/>
  </r>
  <r>
    <x v="493"/>
    <x v="119"/>
    <x v="0"/>
    <x v="4"/>
    <x v="3"/>
    <s v="Agri Motors Haryana"/>
    <x v="3"/>
    <x v="0"/>
    <x v="3"/>
    <x v="2"/>
    <n v="2"/>
    <n v="616190"/>
    <n v="5"/>
    <n v="1232380"/>
    <n v="0.123238"/>
    <n v="1170761"/>
    <n v="0.1170761"/>
    <s v="Pending"/>
    <s v="Pending"/>
    <s v="Invalid"/>
    <s v="Pending"/>
  </r>
  <r>
    <x v="494"/>
    <x v="194"/>
    <x v="2"/>
    <x v="4"/>
    <x v="1"/>
    <s v="Agri Motors Karnataka"/>
    <x v="1"/>
    <x v="1"/>
    <x v="1"/>
    <x v="1"/>
    <n v="5"/>
    <n v="670557"/>
    <n v="7"/>
    <n v="3352785"/>
    <n v="0.33527849999999998"/>
    <n v="3118090.05"/>
    <n v="0.31180900499999997"/>
    <s v="Partial"/>
    <s v="In Transit"/>
    <s v="Invalid"/>
    <s v="In Transit"/>
  </r>
  <r>
    <x v="495"/>
    <x v="222"/>
    <x v="1"/>
    <x v="2"/>
    <x v="4"/>
    <s v="Kisan Tractors West Bengal"/>
    <x v="4"/>
    <x v="3"/>
    <x v="3"/>
    <x v="2"/>
    <n v="6"/>
    <n v="348137"/>
    <n v="8"/>
    <n v="2088822"/>
    <n v="0.20888219999999999"/>
    <n v="1921716.24"/>
    <n v="0.19217162399999999"/>
    <s v="Partial"/>
    <s v="In Transit"/>
    <s v="Invalid"/>
    <s v="In Transit"/>
  </r>
  <r>
    <x v="496"/>
    <x v="329"/>
    <x v="0"/>
    <x v="2"/>
    <x v="4"/>
    <s v="Kisan Tractors West Bengal"/>
    <x v="4"/>
    <x v="3"/>
    <x v="3"/>
    <x v="2"/>
    <n v="8"/>
    <n v="263341"/>
    <n v="9"/>
    <n v="2106728"/>
    <n v="0.21067279999999999"/>
    <n v="1917122.48"/>
    <n v="0.191712248"/>
    <s v="Pending"/>
    <s v="Pending"/>
    <s v="Invalid"/>
    <s v="Pending"/>
  </r>
  <r>
    <x v="497"/>
    <x v="68"/>
    <x v="3"/>
    <x v="3"/>
    <x v="4"/>
    <s v="Mahadev Motors West Bengal"/>
    <x v="4"/>
    <x v="3"/>
    <x v="3"/>
    <x v="2"/>
    <n v="3"/>
    <n v="60901"/>
    <n v="6"/>
    <n v="182703"/>
    <n v="1.82703E-2"/>
    <n v="171740.81999999998"/>
    <n v="1.7174081999999997E-2"/>
    <s v="Pending"/>
    <s v="Pending"/>
    <s v="Valid"/>
    <s v="Pending"/>
  </r>
  <r>
    <x v="498"/>
    <x v="55"/>
    <x v="0"/>
    <x v="4"/>
    <x v="2"/>
    <s v="Agri Motors Maharashtra"/>
    <x v="2"/>
    <x v="2"/>
    <x v="4"/>
    <x v="1"/>
    <n v="2"/>
    <n v="332735"/>
    <n v="5"/>
    <n v="665470"/>
    <n v="6.6546999999999995E-2"/>
    <n v="632196.5"/>
    <n v="6.3219650000000002E-2"/>
    <s v="Pending"/>
    <s v="Pending"/>
    <s v="Invalid"/>
    <s v="Pending"/>
  </r>
  <r>
    <x v="499"/>
    <x v="166"/>
    <x v="1"/>
    <x v="2"/>
    <x v="2"/>
    <s v="Kisan Tractors Maharashtra"/>
    <x v="2"/>
    <x v="2"/>
    <x v="0"/>
    <x v="0"/>
    <n v="1"/>
    <n v="595381"/>
    <n v="3"/>
    <n v="595381"/>
    <n v="5.9538099999999997E-2"/>
    <n v="577519.56999999995"/>
    <n v="5.7751956999999993E-2"/>
    <s v="Pending"/>
    <s v="Pending"/>
    <s v="Valid"/>
    <s v="Pending"/>
  </r>
  <r>
    <x v="500"/>
    <x v="330"/>
    <x v="0"/>
    <x v="3"/>
    <x v="2"/>
    <s v="Mahadev Motors Maharashtra"/>
    <x v="2"/>
    <x v="2"/>
    <x v="3"/>
    <x v="2"/>
    <n v="8"/>
    <n v="671742"/>
    <n v="9"/>
    <n v="5373936"/>
    <n v="0.53739360000000003"/>
    <n v="4890281.76"/>
    <n v="0.48902817599999998"/>
    <s v="Paid"/>
    <s v="Delivered"/>
    <s v="Invalid"/>
    <s v="Completed"/>
  </r>
  <r>
    <x v="501"/>
    <x v="223"/>
    <x v="0"/>
    <x v="0"/>
    <x v="3"/>
    <s v="Shakti Agro Haryana"/>
    <x v="3"/>
    <x v="0"/>
    <x v="2"/>
    <x v="0"/>
    <n v="7"/>
    <n v="491563"/>
    <n v="9"/>
    <n v="3440941"/>
    <n v="0.34409410000000001"/>
    <n v="3131256.31"/>
    <n v="0.31312563100000002"/>
    <s v="Paid"/>
    <s v="Delivered"/>
    <s v="Valid"/>
    <s v="Completed"/>
  </r>
  <r>
    <x v="502"/>
    <x v="331"/>
    <x v="4"/>
    <x v="3"/>
    <x v="2"/>
    <s v="Mahadev Motors Maharashtra"/>
    <x v="2"/>
    <x v="2"/>
    <x v="0"/>
    <x v="0"/>
    <n v="8"/>
    <n v="180808"/>
    <n v="9"/>
    <n v="1446464"/>
    <n v="0.14464640000000001"/>
    <n v="1316282.24"/>
    <n v="0.13162822399999999"/>
    <s v="Pending"/>
    <s v="Pending"/>
    <s v="Invalid"/>
    <s v="Pending"/>
  </r>
  <r>
    <x v="503"/>
    <x v="332"/>
    <x v="1"/>
    <x v="0"/>
    <x v="2"/>
    <s v="Shakti Agro Maharashtra"/>
    <x v="2"/>
    <x v="2"/>
    <x v="0"/>
    <x v="0"/>
    <n v="8"/>
    <n v="274821"/>
    <n v="9"/>
    <n v="2198568"/>
    <n v="0.21985679999999999"/>
    <n v="2000696.8800000001"/>
    <n v="0.20006968800000002"/>
    <s v="Paid"/>
    <s v="Delivered"/>
    <s v="Invalid"/>
    <s v="Completed"/>
  </r>
  <r>
    <x v="504"/>
    <x v="79"/>
    <x v="3"/>
    <x v="4"/>
    <x v="3"/>
    <s v="Agri Motors Haryana"/>
    <x v="3"/>
    <x v="0"/>
    <x v="4"/>
    <x v="1"/>
    <n v="5"/>
    <n v="245660"/>
    <n v="7"/>
    <n v="1228300"/>
    <n v="0.12282999999999999"/>
    <n v="1142319"/>
    <n v="0.1142319"/>
    <s v="Pending"/>
    <s v="Pending"/>
    <s v="Invalid"/>
    <s v="Pending"/>
  </r>
  <r>
    <x v="505"/>
    <x v="333"/>
    <x v="0"/>
    <x v="0"/>
    <x v="2"/>
    <s v="Shakti Agro Maharashtra"/>
    <x v="2"/>
    <x v="2"/>
    <x v="0"/>
    <x v="0"/>
    <n v="3"/>
    <n v="894402"/>
    <n v="6"/>
    <n v="2683206"/>
    <n v="0.26832060000000002"/>
    <n v="2522213.6399999997"/>
    <n v="0.25222136399999995"/>
    <s v="Partial"/>
    <s v="In Transit"/>
    <s v="Invalid"/>
    <s v="In Transit"/>
  </r>
  <r>
    <x v="506"/>
    <x v="334"/>
    <x v="2"/>
    <x v="1"/>
    <x v="2"/>
    <s v="Green Field Maharashtra"/>
    <x v="2"/>
    <x v="2"/>
    <x v="3"/>
    <x v="2"/>
    <n v="5"/>
    <n v="839598"/>
    <n v="7"/>
    <n v="4197990"/>
    <n v="0.41979899999999998"/>
    <n v="3904130.6999999997"/>
    <n v="0.39041306999999997"/>
    <s v="Partial"/>
    <s v="In Transit"/>
    <s v="Invalid"/>
    <s v="In Transit"/>
  </r>
  <r>
    <x v="507"/>
    <x v="335"/>
    <x v="0"/>
    <x v="3"/>
    <x v="0"/>
    <s v="Mahadev Motors Uttar Pradesh"/>
    <x v="0"/>
    <x v="0"/>
    <x v="1"/>
    <x v="1"/>
    <n v="6"/>
    <n v="885190"/>
    <n v="8"/>
    <n v="5311140"/>
    <n v="0.53111399999999998"/>
    <n v="4886248.8"/>
    <n v="0.48862487999999998"/>
    <s v="Pending"/>
    <s v="Pending"/>
    <s v="Invalid"/>
    <s v="Pending"/>
  </r>
  <r>
    <x v="508"/>
    <x v="58"/>
    <x v="3"/>
    <x v="1"/>
    <x v="1"/>
    <s v="Green Field Karnataka"/>
    <x v="1"/>
    <x v="1"/>
    <x v="4"/>
    <x v="1"/>
    <n v="7"/>
    <n v="329519"/>
    <n v="9"/>
    <n v="2306633"/>
    <n v="0.23066329999999999"/>
    <n v="2099036.0300000003"/>
    <n v="0.20990360300000002"/>
    <s v="Paid"/>
    <s v="Delivered"/>
    <s v="Invalid"/>
    <s v="Completed"/>
  </r>
  <r>
    <x v="509"/>
    <x v="336"/>
    <x v="3"/>
    <x v="0"/>
    <x v="4"/>
    <s v="Shakti Agro West Bengal"/>
    <x v="4"/>
    <x v="3"/>
    <x v="3"/>
    <x v="2"/>
    <n v="7"/>
    <n v="122089"/>
    <n v="9"/>
    <n v="854623"/>
    <n v="8.5462300000000005E-2"/>
    <n v="777706.93"/>
    <n v="7.7770693000000002E-2"/>
    <s v="Pending"/>
    <s v="Pending"/>
    <s v="Valid"/>
    <s v="Pending"/>
  </r>
  <r>
    <x v="510"/>
    <x v="337"/>
    <x v="1"/>
    <x v="2"/>
    <x v="3"/>
    <s v="Kisan Tractors Haryana"/>
    <x v="3"/>
    <x v="0"/>
    <x v="2"/>
    <x v="0"/>
    <n v="4"/>
    <n v="312291"/>
    <n v="6"/>
    <n v="1249164"/>
    <n v="0.1249164"/>
    <n v="1174214.1599999999"/>
    <n v="0.11742141599999999"/>
    <s v="Partial"/>
    <s v="In Transit"/>
    <s v="Invalid"/>
    <s v="In Transit"/>
  </r>
  <r>
    <x v="511"/>
    <x v="69"/>
    <x v="2"/>
    <x v="4"/>
    <x v="1"/>
    <s v="Agri Motors Karnataka"/>
    <x v="1"/>
    <x v="1"/>
    <x v="1"/>
    <x v="1"/>
    <n v="5"/>
    <n v="69333"/>
    <n v="7"/>
    <n v="346665"/>
    <n v="3.4666500000000003E-2"/>
    <n v="322398.44999999995"/>
    <n v="3.2239844999999996E-2"/>
    <s v="Paid"/>
    <s v="Delivered"/>
    <s v="Invalid"/>
    <s v="Completed"/>
  </r>
  <r>
    <x v="512"/>
    <x v="338"/>
    <x v="4"/>
    <x v="3"/>
    <x v="2"/>
    <s v="Mahadev Motors Maharashtra"/>
    <x v="2"/>
    <x v="2"/>
    <x v="0"/>
    <x v="0"/>
    <n v="5"/>
    <n v="603055"/>
    <n v="7"/>
    <n v="3015275"/>
    <n v="0.3015275"/>
    <n v="2804205.75"/>
    <n v="0.28042057500000001"/>
    <s v="Pending"/>
    <s v="Pending"/>
    <s v="Invalid"/>
    <s v="Pending"/>
  </r>
  <r>
    <x v="513"/>
    <x v="35"/>
    <x v="4"/>
    <x v="3"/>
    <x v="0"/>
    <s v="Mahadev Motors Uttar Pradesh"/>
    <x v="0"/>
    <x v="0"/>
    <x v="2"/>
    <x v="0"/>
    <n v="8"/>
    <n v="824610"/>
    <n v="9"/>
    <n v="6596880"/>
    <n v="0.65968800000000005"/>
    <n v="6003160.7999999998"/>
    <n v="0.60031608000000003"/>
    <s v="Partial"/>
    <s v="In Transit"/>
    <s v="Valid"/>
    <s v="In Transit"/>
  </r>
  <r>
    <x v="514"/>
    <x v="339"/>
    <x v="0"/>
    <x v="1"/>
    <x v="3"/>
    <s v="Green Field Haryana"/>
    <x v="3"/>
    <x v="0"/>
    <x v="3"/>
    <x v="2"/>
    <n v="6"/>
    <n v="728531"/>
    <n v="8"/>
    <n v="4371186"/>
    <n v="0.43711860000000002"/>
    <n v="4021491.12"/>
    <n v="0.40214911200000003"/>
    <s v="Pending"/>
    <s v="Pending"/>
    <s v="Invalid"/>
    <s v="Pending"/>
  </r>
  <r>
    <x v="515"/>
    <x v="59"/>
    <x v="1"/>
    <x v="1"/>
    <x v="2"/>
    <s v="Green Field Maharashtra"/>
    <x v="2"/>
    <x v="2"/>
    <x v="1"/>
    <x v="1"/>
    <n v="2"/>
    <n v="373945"/>
    <n v="5"/>
    <n v="747890"/>
    <n v="7.4788999999999994E-2"/>
    <n v="710495.5"/>
    <n v="7.1049550000000003E-2"/>
    <s v="Pending"/>
    <s v="Pending"/>
    <s v="Valid"/>
    <s v="Pending"/>
  </r>
  <r>
    <x v="516"/>
    <x v="340"/>
    <x v="1"/>
    <x v="1"/>
    <x v="3"/>
    <s v="Green Field Haryana"/>
    <x v="3"/>
    <x v="0"/>
    <x v="0"/>
    <x v="0"/>
    <n v="2"/>
    <n v="208060"/>
    <n v="5"/>
    <n v="416120"/>
    <n v="4.1612000000000003E-2"/>
    <n v="395314"/>
    <n v="3.9531400000000001E-2"/>
    <s v="Partial"/>
    <s v="In Transit"/>
    <s v="Valid"/>
    <s v="In Transit"/>
  </r>
  <r>
    <x v="517"/>
    <x v="36"/>
    <x v="4"/>
    <x v="1"/>
    <x v="4"/>
    <s v="Green Field West Bengal"/>
    <x v="4"/>
    <x v="3"/>
    <x v="3"/>
    <x v="2"/>
    <n v="2"/>
    <n v="203861"/>
    <n v="5"/>
    <n v="407722"/>
    <n v="4.0772200000000001E-2"/>
    <n v="387335.89999999997"/>
    <n v="3.8733589999999998E-2"/>
    <s v="Paid"/>
    <s v="Delivered"/>
    <s v="Invalid"/>
    <s v="Completed"/>
  </r>
  <r>
    <x v="518"/>
    <x v="341"/>
    <x v="3"/>
    <x v="3"/>
    <x v="0"/>
    <s v="Mahadev Motors Uttar Pradesh"/>
    <x v="0"/>
    <x v="0"/>
    <x v="1"/>
    <x v="1"/>
    <n v="4"/>
    <n v="565966"/>
    <n v="6"/>
    <n v="2263864"/>
    <n v="0.22638639999999999"/>
    <n v="2128032.1599999997"/>
    <n v="0.21280321599999996"/>
    <s v="Pending"/>
    <s v="Pending"/>
    <s v="Invalid"/>
    <s v="Pending"/>
  </r>
  <r>
    <x v="519"/>
    <x v="163"/>
    <x v="2"/>
    <x v="3"/>
    <x v="2"/>
    <s v="Mahadev Motors Maharashtra"/>
    <x v="2"/>
    <x v="2"/>
    <x v="1"/>
    <x v="1"/>
    <n v="6"/>
    <n v="861670"/>
    <n v="8"/>
    <n v="5170020"/>
    <n v="0.51700199999999996"/>
    <n v="4756418.4000000004"/>
    <n v="0.47564184000000004"/>
    <s v="Partial"/>
    <s v="In Transit"/>
    <s v="Invalid"/>
    <s v="In Transit"/>
  </r>
  <r>
    <x v="520"/>
    <x v="221"/>
    <x v="0"/>
    <x v="4"/>
    <x v="1"/>
    <s v="Agri Motors Karnataka"/>
    <x v="1"/>
    <x v="1"/>
    <x v="3"/>
    <x v="2"/>
    <n v="1"/>
    <n v="679712"/>
    <n v="3"/>
    <n v="679712"/>
    <n v="6.7971199999999996E-2"/>
    <n v="659320.64"/>
    <n v="6.5932063999999999E-2"/>
    <s v="Partial"/>
    <s v="In Transit"/>
    <s v="Invalid"/>
    <s v="In Transit"/>
  </r>
  <r>
    <x v="521"/>
    <x v="342"/>
    <x v="4"/>
    <x v="1"/>
    <x v="1"/>
    <s v="Green Field Karnataka"/>
    <x v="1"/>
    <x v="1"/>
    <x v="1"/>
    <x v="1"/>
    <n v="8"/>
    <n v="422524"/>
    <n v="9"/>
    <n v="3380192"/>
    <n v="0.33801920000000002"/>
    <n v="3075974.72"/>
    <n v="0.30759747200000004"/>
    <s v="Pending"/>
    <s v="Pending"/>
    <s v="Invalid"/>
    <s v="Pending"/>
  </r>
  <r>
    <x v="522"/>
    <x v="343"/>
    <x v="2"/>
    <x v="4"/>
    <x v="4"/>
    <s v="Agri Motors West Bengal"/>
    <x v="4"/>
    <x v="3"/>
    <x v="1"/>
    <x v="1"/>
    <n v="7"/>
    <n v="834400"/>
    <n v="9"/>
    <n v="5840800"/>
    <n v="0.58408000000000004"/>
    <n v="5315128"/>
    <n v="0.53151280000000001"/>
    <s v="Paid"/>
    <s v="Delivered"/>
    <s v="Invalid"/>
    <s v="Completed"/>
  </r>
  <r>
    <x v="523"/>
    <x v="121"/>
    <x v="3"/>
    <x v="4"/>
    <x v="3"/>
    <s v="Agri Motors Haryana"/>
    <x v="3"/>
    <x v="0"/>
    <x v="0"/>
    <x v="0"/>
    <n v="8"/>
    <n v="734008"/>
    <n v="9"/>
    <n v="5872064"/>
    <n v="0.58720640000000002"/>
    <n v="5343578.24"/>
    <n v="0.53435782399999998"/>
    <s v="Pending"/>
    <s v="Pending"/>
    <s v="Invalid"/>
    <s v="Pending"/>
  </r>
  <r>
    <x v="524"/>
    <x v="198"/>
    <x v="2"/>
    <x v="2"/>
    <x v="0"/>
    <s v="Kisan Tractors Uttar Pradesh"/>
    <x v="0"/>
    <x v="0"/>
    <x v="0"/>
    <x v="0"/>
    <n v="4"/>
    <n v="368284"/>
    <n v="6"/>
    <n v="1473136"/>
    <n v="0.14731359999999999"/>
    <n v="1384747.8399999999"/>
    <n v="0.13847478399999999"/>
    <s v="Paid"/>
    <s v="Delivered"/>
    <s v="Invalid"/>
    <s v="Completed"/>
  </r>
  <r>
    <x v="525"/>
    <x v="344"/>
    <x v="2"/>
    <x v="3"/>
    <x v="3"/>
    <s v="Mahadev Motors Haryana"/>
    <x v="3"/>
    <x v="0"/>
    <x v="3"/>
    <x v="2"/>
    <n v="2"/>
    <n v="362436"/>
    <n v="5"/>
    <n v="724872"/>
    <n v="7.2487200000000002E-2"/>
    <n v="688628.4"/>
    <n v="6.8862840000000008E-2"/>
    <s v="Pending"/>
    <s v="Pending"/>
    <s v="Invalid"/>
    <s v="Pending"/>
  </r>
  <r>
    <x v="526"/>
    <x v="307"/>
    <x v="1"/>
    <x v="3"/>
    <x v="1"/>
    <s v="Mahadev Motors Karnataka"/>
    <x v="1"/>
    <x v="1"/>
    <x v="2"/>
    <x v="0"/>
    <n v="6"/>
    <n v="227635"/>
    <n v="8"/>
    <n v="1365810"/>
    <n v="0.13658100000000001"/>
    <n v="1256545.2"/>
    <n v="0.12565451999999999"/>
    <s v="Paid"/>
    <s v="Delivered"/>
    <s v="Invalid"/>
    <s v="Completed"/>
  </r>
  <r>
    <x v="527"/>
    <x v="263"/>
    <x v="0"/>
    <x v="0"/>
    <x v="1"/>
    <s v="Shakti Agro Karnataka"/>
    <x v="1"/>
    <x v="1"/>
    <x v="4"/>
    <x v="1"/>
    <n v="6"/>
    <n v="527755"/>
    <n v="8"/>
    <n v="3166530"/>
    <n v="0.31665300000000002"/>
    <n v="2913207.6"/>
    <n v="0.29132076000000001"/>
    <s v="Pending"/>
    <s v="Pending"/>
    <s v="Valid"/>
    <s v="Pending"/>
  </r>
  <r>
    <x v="528"/>
    <x v="231"/>
    <x v="4"/>
    <x v="0"/>
    <x v="3"/>
    <s v="Shakti Agro Haryana"/>
    <x v="3"/>
    <x v="0"/>
    <x v="3"/>
    <x v="2"/>
    <n v="6"/>
    <n v="329220"/>
    <n v="8"/>
    <n v="1975320"/>
    <n v="0.19753200000000001"/>
    <n v="1817294.4000000001"/>
    <n v="0.18172944000000002"/>
    <s v="Paid"/>
    <s v="Delivered"/>
    <s v="Invalid"/>
    <s v="Completed"/>
  </r>
  <r>
    <x v="529"/>
    <x v="294"/>
    <x v="3"/>
    <x v="2"/>
    <x v="1"/>
    <s v="Kisan Tractors Karnataka"/>
    <x v="1"/>
    <x v="1"/>
    <x v="3"/>
    <x v="2"/>
    <n v="5"/>
    <n v="406770"/>
    <n v="7"/>
    <n v="2033850"/>
    <n v="0.20338500000000001"/>
    <n v="1891480.4999999998"/>
    <n v="0.18914804999999998"/>
    <s v="Paid"/>
    <s v="Delivered"/>
    <s v="Invalid"/>
    <s v="Completed"/>
  </r>
  <r>
    <x v="530"/>
    <x v="8"/>
    <x v="2"/>
    <x v="2"/>
    <x v="0"/>
    <s v="Kisan Tractors Uttar Pradesh"/>
    <x v="0"/>
    <x v="0"/>
    <x v="2"/>
    <x v="0"/>
    <n v="3"/>
    <n v="439793"/>
    <n v="6"/>
    <n v="1319379"/>
    <n v="0.1319379"/>
    <n v="1240216.26"/>
    <n v="0.124021626"/>
    <s v="Partial"/>
    <s v="In Transit"/>
    <s v="Invalid"/>
    <s v="In Transit"/>
  </r>
  <r>
    <x v="531"/>
    <x v="64"/>
    <x v="1"/>
    <x v="2"/>
    <x v="2"/>
    <s v="Kisan Tractors Maharashtra"/>
    <x v="2"/>
    <x v="2"/>
    <x v="4"/>
    <x v="1"/>
    <n v="6"/>
    <n v="66207"/>
    <n v="8"/>
    <n v="397242"/>
    <n v="3.9724200000000001E-2"/>
    <n v="365462.64"/>
    <n v="3.6546264000000002E-2"/>
    <s v="Partial"/>
    <s v="In Transit"/>
    <s v="Valid"/>
    <s v="In Transit"/>
  </r>
  <r>
    <x v="532"/>
    <x v="345"/>
    <x v="1"/>
    <x v="3"/>
    <x v="2"/>
    <s v="Mahadev Motors Maharashtra"/>
    <x v="2"/>
    <x v="2"/>
    <x v="3"/>
    <x v="2"/>
    <n v="2"/>
    <n v="680802"/>
    <n v="5"/>
    <n v="1361604"/>
    <n v="0.13616039999999999"/>
    <n v="1293523.8"/>
    <n v="0.12935238000000002"/>
    <s v="Partial"/>
    <s v="In Transit"/>
    <s v="Invalid"/>
    <s v="In Transit"/>
  </r>
  <r>
    <x v="533"/>
    <x v="179"/>
    <x v="1"/>
    <x v="3"/>
    <x v="2"/>
    <s v="Mahadev Motors Maharashtra"/>
    <x v="2"/>
    <x v="2"/>
    <x v="4"/>
    <x v="1"/>
    <n v="2"/>
    <n v="322720"/>
    <n v="5"/>
    <n v="645440"/>
    <n v="6.4544000000000004E-2"/>
    <n v="613168"/>
    <n v="6.1316799999999998E-2"/>
    <s v="Partial"/>
    <s v="In Transit"/>
    <s v="Valid"/>
    <s v="In Transit"/>
  </r>
  <r>
    <x v="534"/>
    <x v="121"/>
    <x v="2"/>
    <x v="4"/>
    <x v="3"/>
    <s v="Agri Motors Haryana"/>
    <x v="3"/>
    <x v="0"/>
    <x v="2"/>
    <x v="0"/>
    <n v="3"/>
    <n v="849359"/>
    <n v="6"/>
    <n v="2548077"/>
    <n v="0.25480770000000003"/>
    <n v="2395192.38"/>
    <n v="0.239519238"/>
    <s v="Paid"/>
    <s v="Delivered"/>
    <s v="Invalid"/>
    <s v="Completed"/>
  </r>
  <r>
    <x v="535"/>
    <x v="169"/>
    <x v="2"/>
    <x v="1"/>
    <x v="4"/>
    <s v="Green Field West Bengal"/>
    <x v="4"/>
    <x v="3"/>
    <x v="4"/>
    <x v="1"/>
    <n v="8"/>
    <n v="822964"/>
    <n v="9"/>
    <n v="6583712"/>
    <n v="0.65837120000000005"/>
    <n v="5991177.9199999999"/>
    <n v="0.59911779200000004"/>
    <s v="Partial"/>
    <s v="In Transit"/>
    <s v="Invalid"/>
    <s v="In Transit"/>
  </r>
  <r>
    <x v="536"/>
    <x v="346"/>
    <x v="1"/>
    <x v="0"/>
    <x v="4"/>
    <s v="Shakti Agro West Bengal"/>
    <x v="4"/>
    <x v="3"/>
    <x v="4"/>
    <x v="1"/>
    <n v="3"/>
    <n v="376804"/>
    <n v="6"/>
    <n v="1130412"/>
    <n v="0.11304119999999999"/>
    <n v="1062587.28"/>
    <n v="0.106258728"/>
    <s v="Pending"/>
    <s v="Pending"/>
    <s v="Valid"/>
    <s v="Pending"/>
  </r>
  <r>
    <x v="537"/>
    <x v="31"/>
    <x v="2"/>
    <x v="0"/>
    <x v="2"/>
    <s v="Shakti Agro Maharashtra"/>
    <x v="2"/>
    <x v="2"/>
    <x v="1"/>
    <x v="1"/>
    <n v="1"/>
    <n v="454599"/>
    <n v="3"/>
    <n v="454599"/>
    <n v="4.5459899999999998E-2"/>
    <n v="440961.02999999997"/>
    <n v="4.4096102999999998E-2"/>
    <s v="Pending"/>
    <s v="Pending"/>
    <s v="Invalid"/>
    <s v="Pending"/>
  </r>
  <r>
    <x v="538"/>
    <x v="120"/>
    <x v="0"/>
    <x v="2"/>
    <x v="0"/>
    <s v="Kisan Tractors Uttar Pradesh"/>
    <x v="0"/>
    <x v="0"/>
    <x v="0"/>
    <x v="0"/>
    <n v="5"/>
    <n v="139366"/>
    <n v="7"/>
    <n v="696830"/>
    <n v="6.9682999999999995E-2"/>
    <n v="648051.89999999991"/>
    <n v="6.4805189999999985E-2"/>
    <s v="Paid"/>
    <s v="Delivered"/>
    <s v="Invalid"/>
    <s v="Completed"/>
  </r>
  <r>
    <x v="539"/>
    <x v="129"/>
    <x v="1"/>
    <x v="4"/>
    <x v="2"/>
    <s v="Agri Motors Maharashtra"/>
    <x v="2"/>
    <x v="2"/>
    <x v="4"/>
    <x v="1"/>
    <n v="7"/>
    <n v="692359"/>
    <n v="9"/>
    <n v="4846513"/>
    <n v="0.48465130000000001"/>
    <n v="4410326.83"/>
    <n v="0.44103268299999998"/>
    <s v="Pending"/>
    <s v="Pending"/>
    <s v="Invalid"/>
    <s v="Pending"/>
  </r>
  <r>
    <x v="540"/>
    <x v="337"/>
    <x v="1"/>
    <x v="1"/>
    <x v="2"/>
    <s v="Green Field Maharashtra"/>
    <x v="2"/>
    <x v="2"/>
    <x v="2"/>
    <x v="0"/>
    <n v="5"/>
    <n v="569989"/>
    <n v="7"/>
    <n v="2849945"/>
    <n v="0.28499449999999998"/>
    <n v="2650448.8499999996"/>
    <n v="0.26504488499999995"/>
    <s v="Partial"/>
    <s v="In Transit"/>
    <s v="Invalid"/>
    <s v="In Transit"/>
  </r>
  <r>
    <x v="541"/>
    <x v="66"/>
    <x v="3"/>
    <x v="3"/>
    <x v="3"/>
    <s v="Mahadev Motors Haryana"/>
    <x v="3"/>
    <x v="0"/>
    <x v="4"/>
    <x v="1"/>
    <n v="6"/>
    <n v="425526"/>
    <n v="8"/>
    <n v="2553156"/>
    <n v="0.25531559999999998"/>
    <n v="2348903.52"/>
    <n v="0.234890352"/>
    <s v="Partial"/>
    <s v="In Transit"/>
    <s v="Invalid"/>
    <s v="In Transit"/>
  </r>
  <r>
    <x v="542"/>
    <x v="300"/>
    <x v="3"/>
    <x v="1"/>
    <x v="4"/>
    <s v="Green Field West Bengal"/>
    <x v="4"/>
    <x v="3"/>
    <x v="3"/>
    <x v="2"/>
    <n v="2"/>
    <n v="235733"/>
    <n v="5"/>
    <n v="471466"/>
    <n v="4.7146599999999997E-2"/>
    <n v="447892.69999999995"/>
    <n v="4.4789269999999992E-2"/>
    <s v="Partial"/>
    <s v="In Transit"/>
    <s v="Invalid"/>
    <s v="In Transit"/>
  </r>
  <r>
    <x v="543"/>
    <x v="58"/>
    <x v="2"/>
    <x v="4"/>
    <x v="2"/>
    <s v="Agri Motors Maharashtra"/>
    <x v="2"/>
    <x v="2"/>
    <x v="3"/>
    <x v="2"/>
    <n v="1"/>
    <n v="854757"/>
    <n v="3"/>
    <n v="854757"/>
    <n v="8.5475700000000002E-2"/>
    <n v="829114.28999999992"/>
    <n v="8.2911428999999995E-2"/>
    <s v="Pending"/>
    <s v="Pending"/>
    <s v="Invalid"/>
    <s v="Pending"/>
  </r>
  <r>
    <x v="544"/>
    <x v="347"/>
    <x v="4"/>
    <x v="2"/>
    <x v="1"/>
    <s v="Kisan Tractors Karnataka"/>
    <x v="1"/>
    <x v="1"/>
    <x v="4"/>
    <x v="1"/>
    <n v="8"/>
    <n v="506225"/>
    <n v="9"/>
    <n v="4049800"/>
    <n v="0.40498000000000001"/>
    <n v="3685318"/>
    <n v="0.36853180000000002"/>
    <s v="Paid"/>
    <s v="Delivered"/>
    <s v="Valid"/>
    <s v="Completed"/>
  </r>
  <r>
    <x v="545"/>
    <x v="348"/>
    <x v="3"/>
    <x v="3"/>
    <x v="2"/>
    <s v="Mahadev Motors Maharashtra"/>
    <x v="2"/>
    <x v="2"/>
    <x v="3"/>
    <x v="2"/>
    <n v="2"/>
    <n v="611309"/>
    <n v="5"/>
    <n v="1222618"/>
    <n v="0.1222618"/>
    <n v="1161487.0999999999"/>
    <n v="0.11614870999999999"/>
    <s v="Partial"/>
    <s v="In Transit"/>
    <s v="Invalid"/>
    <s v="In Transit"/>
  </r>
  <r>
    <x v="546"/>
    <x v="349"/>
    <x v="1"/>
    <x v="4"/>
    <x v="1"/>
    <s v="Agri Motors Karnataka"/>
    <x v="1"/>
    <x v="1"/>
    <x v="2"/>
    <x v="0"/>
    <n v="0"/>
    <n v="865433"/>
    <n v="0"/>
    <n v="0"/>
    <n v="0"/>
    <n v="0"/>
    <n v="0"/>
    <s v="Partial"/>
    <s v="In Transit"/>
    <s v="Invalid"/>
    <s v="In Transit"/>
  </r>
  <r>
    <x v="547"/>
    <x v="125"/>
    <x v="3"/>
    <x v="1"/>
    <x v="4"/>
    <s v="Green Field West Bengal"/>
    <x v="4"/>
    <x v="3"/>
    <x v="4"/>
    <x v="1"/>
    <n v="5"/>
    <n v="621337"/>
    <n v="7"/>
    <n v="3106685"/>
    <n v="0.31066850000000001"/>
    <n v="2889217.05"/>
    <n v="0.28892170499999997"/>
    <s v="Paid"/>
    <s v="Delivered"/>
    <s v="Valid"/>
    <s v="Completed"/>
  </r>
  <r>
    <x v="548"/>
    <x v="189"/>
    <x v="3"/>
    <x v="2"/>
    <x v="1"/>
    <s v="Kisan Tractors Karnataka"/>
    <x v="1"/>
    <x v="1"/>
    <x v="0"/>
    <x v="0"/>
    <n v="5"/>
    <n v="825129"/>
    <n v="7"/>
    <n v="4125645"/>
    <n v="0.4125645"/>
    <n v="3836849.8499999996"/>
    <n v="0.38368498499999998"/>
    <s v="Partial"/>
    <s v="In Transit"/>
    <s v="Valid"/>
    <s v="In Transit"/>
  </r>
  <r>
    <x v="549"/>
    <x v="350"/>
    <x v="1"/>
    <x v="4"/>
    <x v="0"/>
    <s v="Agri Motors Uttar Pradesh"/>
    <x v="0"/>
    <x v="0"/>
    <x v="1"/>
    <x v="1"/>
    <n v="4"/>
    <n v="74815"/>
    <n v="6"/>
    <n v="299260"/>
    <n v="2.9926000000000001E-2"/>
    <n v="281304.39999999997"/>
    <n v="2.8130439999999996E-2"/>
    <s v="Paid"/>
    <s v="Delivered"/>
    <s v="Valid"/>
    <s v="Completed"/>
  </r>
  <r>
    <x v="550"/>
    <x v="351"/>
    <x v="3"/>
    <x v="3"/>
    <x v="3"/>
    <s v="Mahadev Motors Haryana"/>
    <x v="3"/>
    <x v="0"/>
    <x v="4"/>
    <x v="1"/>
    <n v="8"/>
    <n v="521715"/>
    <n v="9"/>
    <n v="4173720"/>
    <n v="0.41737200000000002"/>
    <n v="3798085.2"/>
    <n v="0.37980852000000004"/>
    <s v="Pending"/>
    <s v="Pending"/>
    <s v="Valid"/>
    <s v="Pending"/>
  </r>
  <r>
    <x v="551"/>
    <x v="352"/>
    <x v="1"/>
    <x v="2"/>
    <x v="0"/>
    <s v="Kisan Tractors Uttar Pradesh"/>
    <x v="0"/>
    <x v="0"/>
    <x v="0"/>
    <x v="0"/>
    <n v="3"/>
    <n v="727124"/>
    <n v="6"/>
    <n v="2181372"/>
    <n v="0.2181372"/>
    <n v="2050489.68"/>
    <n v="0.205048968"/>
    <s v="Paid"/>
    <s v="Delivered"/>
    <s v="Invalid"/>
    <s v="Completed"/>
  </r>
  <r>
    <x v="552"/>
    <x v="353"/>
    <x v="3"/>
    <x v="3"/>
    <x v="0"/>
    <s v="Mahadev Motors Uttar Pradesh"/>
    <x v="0"/>
    <x v="0"/>
    <x v="2"/>
    <x v="0"/>
    <n v="6"/>
    <n v="201106"/>
    <n v="8"/>
    <n v="1206636"/>
    <n v="0.1206636"/>
    <n v="1110105.1200000001"/>
    <n v="0.11101051200000001"/>
    <s v="Partial"/>
    <s v="In Transit"/>
    <s v="Valid"/>
    <s v="In Transit"/>
  </r>
  <r>
    <x v="553"/>
    <x v="354"/>
    <x v="4"/>
    <x v="3"/>
    <x v="3"/>
    <s v="Mahadev Motors Haryana"/>
    <x v="3"/>
    <x v="0"/>
    <x v="0"/>
    <x v="0"/>
    <n v="4"/>
    <n v="564337"/>
    <n v="6"/>
    <n v="2257348"/>
    <n v="0.22573480000000001"/>
    <n v="2121907.12"/>
    <n v="0.212190712"/>
    <s v="Pending"/>
    <s v="Pending"/>
    <s v="Invalid"/>
    <s v="Pending"/>
  </r>
  <r>
    <x v="554"/>
    <x v="355"/>
    <x v="4"/>
    <x v="0"/>
    <x v="4"/>
    <s v="Shakti Agro West Bengal"/>
    <x v="4"/>
    <x v="3"/>
    <x v="2"/>
    <x v="0"/>
    <n v="2"/>
    <n v="107307"/>
    <n v="5"/>
    <n v="214614"/>
    <n v="2.1461399999999999E-2"/>
    <n v="203883.3"/>
    <n v="2.038833E-2"/>
    <s v="Paid"/>
    <s v="Delivered"/>
    <s v="Invalid"/>
    <s v="Completed"/>
  </r>
  <r>
    <x v="555"/>
    <x v="247"/>
    <x v="4"/>
    <x v="1"/>
    <x v="3"/>
    <s v="Green Field Haryana"/>
    <x v="3"/>
    <x v="0"/>
    <x v="2"/>
    <x v="0"/>
    <n v="1"/>
    <n v="800724"/>
    <n v="3"/>
    <n v="800724"/>
    <n v="8.0072400000000002E-2"/>
    <n v="776702.28"/>
    <n v="7.7670228000000008E-2"/>
    <s v="Partial"/>
    <s v="In Transit"/>
    <s v="Valid"/>
    <s v="In Transit"/>
  </r>
  <r>
    <x v="556"/>
    <x v="143"/>
    <x v="0"/>
    <x v="3"/>
    <x v="3"/>
    <s v="Mahadev Motors Haryana"/>
    <x v="3"/>
    <x v="0"/>
    <x v="0"/>
    <x v="0"/>
    <n v="8"/>
    <n v="63832"/>
    <n v="9"/>
    <n v="510656"/>
    <n v="5.1065600000000003E-2"/>
    <n v="464696.96"/>
    <n v="4.6469696000000005E-2"/>
    <s v="Paid"/>
    <s v="Delivered"/>
    <s v="Invalid"/>
    <s v="Completed"/>
  </r>
  <r>
    <x v="557"/>
    <x v="282"/>
    <x v="3"/>
    <x v="2"/>
    <x v="0"/>
    <s v="Kisan Tractors Uttar Pradesh"/>
    <x v="0"/>
    <x v="0"/>
    <x v="0"/>
    <x v="0"/>
    <n v="6"/>
    <n v="853205"/>
    <n v="8"/>
    <n v="5119230"/>
    <n v="0.51192300000000002"/>
    <n v="4709691.6000000006"/>
    <n v="0.47096916000000005"/>
    <s v="Pending"/>
    <s v="Pending"/>
    <s v="Invalid"/>
    <s v="Pending"/>
  </r>
  <r>
    <x v="558"/>
    <x v="356"/>
    <x v="0"/>
    <x v="3"/>
    <x v="2"/>
    <s v="Mahadev Motors Maharashtra"/>
    <x v="2"/>
    <x v="2"/>
    <x v="0"/>
    <x v="0"/>
    <n v="4"/>
    <n v="337690"/>
    <n v="6"/>
    <n v="1350760"/>
    <n v="0.135076"/>
    <n v="1269714.3999999999"/>
    <n v="0.12697143999999999"/>
    <s v="Paid"/>
    <s v="Delivered"/>
    <s v="Invalid"/>
    <s v="Completed"/>
  </r>
  <r>
    <x v="559"/>
    <x v="250"/>
    <x v="1"/>
    <x v="3"/>
    <x v="4"/>
    <s v="Mahadev Motors West Bengal"/>
    <x v="4"/>
    <x v="3"/>
    <x v="1"/>
    <x v="1"/>
    <n v="7"/>
    <n v="455620"/>
    <n v="9"/>
    <n v="3189340"/>
    <n v="0.318934"/>
    <n v="2902299.4"/>
    <n v="0.29022993999999996"/>
    <s v="Paid"/>
    <s v="Delivered"/>
    <s v="Invalid"/>
    <s v="Completed"/>
  </r>
  <r>
    <x v="560"/>
    <x v="357"/>
    <x v="2"/>
    <x v="3"/>
    <x v="4"/>
    <s v="Mahadev Motors West Bengal"/>
    <x v="4"/>
    <x v="3"/>
    <x v="1"/>
    <x v="1"/>
    <n v="7"/>
    <n v="739171"/>
    <n v="9"/>
    <n v="5174197"/>
    <n v="0.51741970000000004"/>
    <n v="4708519.2700000005"/>
    <n v="0.47085192700000006"/>
    <s v="Paid"/>
    <s v="Delivered"/>
    <s v="Invalid"/>
    <s v="Completed"/>
  </r>
  <r>
    <x v="561"/>
    <x v="234"/>
    <x v="2"/>
    <x v="2"/>
    <x v="1"/>
    <s v="Kisan Tractors Karnataka"/>
    <x v="1"/>
    <x v="1"/>
    <x v="3"/>
    <x v="2"/>
    <n v="3"/>
    <n v="885586"/>
    <n v="6"/>
    <n v="2656758"/>
    <n v="0.26567580000000002"/>
    <n v="2497352.52"/>
    <n v="0.24973525199999999"/>
    <s v="Partial"/>
    <s v="In Transit"/>
    <s v="Invalid"/>
    <s v="In Transit"/>
  </r>
  <r>
    <x v="562"/>
    <x v="255"/>
    <x v="2"/>
    <x v="3"/>
    <x v="2"/>
    <s v="Mahadev Motors Maharashtra"/>
    <x v="2"/>
    <x v="2"/>
    <x v="1"/>
    <x v="1"/>
    <n v="7"/>
    <n v="336646"/>
    <n v="9"/>
    <n v="2356522"/>
    <n v="0.23565220000000001"/>
    <n v="2144435.02"/>
    <n v="0.21444350200000001"/>
    <s v="Pending"/>
    <s v="Pending"/>
    <s v="Invalid"/>
    <s v="Pending"/>
  </r>
  <r>
    <x v="563"/>
    <x v="358"/>
    <x v="4"/>
    <x v="4"/>
    <x v="1"/>
    <s v="Agri Motors Karnataka"/>
    <x v="1"/>
    <x v="1"/>
    <x v="2"/>
    <x v="0"/>
    <n v="6"/>
    <n v="318456"/>
    <n v="8"/>
    <n v="1910736"/>
    <n v="0.19107360000000001"/>
    <n v="1757877.12"/>
    <n v="0.17578771200000001"/>
    <s v="Paid"/>
    <s v="Delivered"/>
    <s v="Valid"/>
    <s v="Completed"/>
  </r>
  <r>
    <x v="564"/>
    <x v="359"/>
    <x v="3"/>
    <x v="1"/>
    <x v="4"/>
    <s v="Green Field West Bengal"/>
    <x v="4"/>
    <x v="3"/>
    <x v="4"/>
    <x v="1"/>
    <n v="6"/>
    <n v="300400"/>
    <n v="8"/>
    <n v="1802400"/>
    <n v="0.18024000000000001"/>
    <n v="1658208"/>
    <n v="0.16582079999999999"/>
    <s v="Pending"/>
    <s v="Pending"/>
    <s v="Invalid"/>
    <s v="Pending"/>
  </r>
  <r>
    <x v="565"/>
    <x v="273"/>
    <x v="3"/>
    <x v="0"/>
    <x v="3"/>
    <s v="Shakti Agro Haryana"/>
    <x v="3"/>
    <x v="0"/>
    <x v="3"/>
    <x v="2"/>
    <n v="6"/>
    <n v="91530"/>
    <n v="8"/>
    <n v="549180"/>
    <n v="5.4918000000000002E-2"/>
    <n v="505245.60000000003"/>
    <n v="5.0524560000000003E-2"/>
    <s v="Partial"/>
    <s v="In Transit"/>
    <s v="Invalid"/>
    <s v="In Transit"/>
  </r>
  <r>
    <x v="566"/>
    <x v="360"/>
    <x v="2"/>
    <x v="1"/>
    <x v="1"/>
    <s v="Green Field Karnataka"/>
    <x v="1"/>
    <x v="1"/>
    <x v="4"/>
    <x v="1"/>
    <n v="4"/>
    <n v="327255"/>
    <n v="6"/>
    <n v="1309020"/>
    <n v="0.13090199999999999"/>
    <n v="1230478.8"/>
    <n v="0.12304788"/>
    <s v="Partial"/>
    <s v="In Transit"/>
    <s v="Invalid"/>
    <s v="In Transit"/>
  </r>
  <r>
    <x v="567"/>
    <x v="361"/>
    <x v="2"/>
    <x v="0"/>
    <x v="1"/>
    <s v="Shakti Agro Karnataka"/>
    <x v="1"/>
    <x v="1"/>
    <x v="2"/>
    <x v="0"/>
    <n v="7"/>
    <n v="461932"/>
    <n v="9"/>
    <n v="3233524"/>
    <n v="0.32335239999999998"/>
    <n v="2942506.8400000003"/>
    <n v="0.29425068400000004"/>
    <s v="Partial"/>
    <s v="In Transit"/>
    <s v="Invalid"/>
    <s v="In Transit"/>
  </r>
  <r>
    <x v="568"/>
    <x v="223"/>
    <x v="1"/>
    <x v="2"/>
    <x v="3"/>
    <s v="Kisan Tractors Haryana"/>
    <x v="3"/>
    <x v="0"/>
    <x v="4"/>
    <x v="1"/>
    <n v="4"/>
    <n v="704092"/>
    <n v="6"/>
    <n v="2816368"/>
    <n v="0.28163680000000002"/>
    <n v="2647385.92"/>
    <n v="0.26473859199999999"/>
    <s v="Paid"/>
    <s v="Delivered"/>
    <s v="Invalid"/>
    <s v="Completed"/>
  </r>
  <r>
    <x v="569"/>
    <x v="247"/>
    <x v="4"/>
    <x v="1"/>
    <x v="2"/>
    <s v="Green Field Maharashtra"/>
    <x v="2"/>
    <x v="2"/>
    <x v="2"/>
    <x v="0"/>
    <n v="2"/>
    <n v="336625"/>
    <n v="5"/>
    <n v="673250"/>
    <n v="6.7324999999999996E-2"/>
    <n v="639587.5"/>
    <n v="6.3958749999999995E-2"/>
    <s v="Pending"/>
    <s v="Pending"/>
    <s v="Valid"/>
    <s v="Pending"/>
  </r>
  <r>
    <x v="570"/>
    <x v="362"/>
    <x v="0"/>
    <x v="2"/>
    <x v="0"/>
    <s v="Kisan Tractors Uttar Pradesh"/>
    <x v="0"/>
    <x v="0"/>
    <x v="2"/>
    <x v="0"/>
    <n v="6"/>
    <n v="758500"/>
    <n v="8"/>
    <n v="4551000"/>
    <n v="0.4551"/>
    <n v="4186920"/>
    <n v="0.41869200000000001"/>
    <s v="Partial"/>
    <s v="In Transit"/>
    <s v="Valid"/>
    <s v="In Transit"/>
  </r>
  <r>
    <x v="571"/>
    <x v="326"/>
    <x v="3"/>
    <x v="3"/>
    <x v="2"/>
    <s v="Mahadev Motors Maharashtra"/>
    <x v="2"/>
    <x v="2"/>
    <x v="2"/>
    <x v="0"/>
    <n v="2"/>
    <n v="670889"/>
    <n v="5"/>
    <n v="1341778"/>
    <n v="0.13417780000000001"/>
    <n v="1274689.0999999999"/>
    <n v="0.12746890999999999"/>
    <s v="Pending"/>
    <s v="Pending"/>
    <s v="Invalid"/>
    <s v="Pending"/>
  </r>
  <r>
    <x v="572"/>
    <x v="363"/>
    <x v="4"/>
    <x v="2"/>
    <x v="0"/>
    <s v="Kisan Tractors Uttar Pradesh"/>
    <x v="0"/>
    <x v="0"/>
    <x v="1"/>
    <x v="1"/>
    <n v="8"/>
    <n v="802676"/>
    <n v="9"/>
    <n v="6421408"/>
    <n v="0.64214079999999996"/>
    <n v="5843481.2800000003"/>
    <n v="0.58434812800000002"/>
    <s v="Pending"/>
    <s v="Pending"/>
    <s v="Invalid"/>
    <s v="Pending"/>
  </r>
  <r>
    <x v="573"/>
    <x v="339"/>
    <x v="4"/>
    <x v="4"/>
    <x v="4"/>
    <s v="Agri Motors West Bengal"/>
    <x v="4"/>
    <x v="3"/>
    <x v="0"/>
    <x v="0"/>
    <n v="4"/>
    <n v="879961"/>
    <n v="6"/>
    <n v="3519844"/>
    <n v="0.35198439999999998"/>
    <n v="3308653.36"/>
    <n v="0.33086533600000001"/>
    <s v="Partial"/>
    <s v="In Transit"/>
    <s v="Invalid"/>
    <s v="In Transit"/>
  </r>
  <r>
    <x v="574"/>
    <x v="364"/>
    <x v="2"/>
    <x v="1"/>
    <x v="0"/>
    <s v="Green Field Uttar Pradesh"/>
    <x v="0"/>
    <x v="0"/>
    <x v="0"/>
    <x v="0"/>
    <n v="3"/>
    <n v="101402"/>
    <n v="6"/>
    <n v="304206"/>
    <n v="3.0420599999999999E-2"/>
    <n v="285953.63999999996"/>
    <n v="2.8595363999999995E-2"/>
    <s v="Paid"/>
    <s v="Delivered"/>
    <s v="Invalid"/>
    <s v="Completed"/>
  </r>
  <r>
    <x v="575"/>
    <x v="205"/>
    <x v="1"/>
    <x v="1"/>
    <x v="3"/>
    <s v="Green Field Haryana"/>
    <x v="3"/>
    <x v="0"/>
    <x v="2"/>
    <x v="0"/>
    <n v="3"/>
    <n v="79569"/>
    <n v="6"/>
    <n v="238707"/>
    <n v="2.3870700000000002E-2"/>
    <n v="224384.58"/>
    <n v="2.2438457999999998E-2"/>
    <s v="Paid"/>
    <s v="Delivered"/>
    <s v="Invalid"/>
    <s v="Completed"/>
  </r>
  <r>
    <x v="576"/>
    <x v="365"/>
    <x v="4"/>
    <x v="3"/>
    <x v="3"/>
    <s v="Mahadev Motors Haryana"/>
    <x v="3"/>
    <x v="0"/>
    <x v="1"/>
    <x v="1"/>
    <n v="1"/>
    <n v="278439"/>
    <n v="3"/>
    <n v="278439"/>
    <n v="2.7843900000000001E-2"/>
    <n v="270085.83"/>
    <n v="2.7008583000000003E-2"/>
    <s v="Partial"/>
    <s v="In Transit"/>
    <s v="Valid"/>
    <s v="In Transit"/>
  </r>
  <r>
    <x v="577"/>
    <x v="85"/>
    <x v="1"/>
    <x v="4"/>
    <x v="1"/>
    <s v="Agri Motors Karnataka"/>
    <x v="1"/>
    <x v="1"/>
    <x v="4"/>
    <x v="1"/>
    <n v="7"/>
    <n v="325158"/>
    <n v="9"/>
    <n v="2276106"/>
    <n v="0.2276106"/>
    <n v="2071256.46"/>
    <n v="0.207125646"/>
    <s v="Partial"/>
    <s v="In Transit"/>
    <s v="Invalid"/>
    <s v="In Transit"/>
  </r>
  <r>
    <x v="578"/>
    <x v="366"/>
    <x v="3"/>
    <x v="2"/>
    <x v="4"/>
    <s v="Kisan Tractors West Bengal"/>
    <x v="4"/>
    <x v="3"/>
    <x v="4"/>
    <x v="1"/>
    <n v="7"/>
    <n v="848157"/>
    <n v="9"/>
    <n v="5937099"/>
    <n v="0.59370990000000001"/>
    <n v="5402760.0899999999"/>
    <n v="0.54027600899999995"/>
    <s v="Pending"/>
    <s v="Pending"/>
    <s v="Invalid"/>
    <s v="Pending"/>
  </r>
  <r>
    <x v="579"/>
    <x v="205"/>
    <x v="0"/>
    <x v="0"/>
    <x v="0"/>
    <s v="Shakti Agro Uttar Pradesh"/>
    <x v="0"/>
    <x v="0"/>
    <x v="4"/>
    <x v="1"/>
    <n v="6"/>
    <n v="136309"/>
    <n v="8"/>
    <n v="817854"/>
    <n v="8.1785399999999994E-2"/>
    <n v="752425.68"/>
    <n v="7.524256800000001E-2"/>
    <s v="Partial"/>
    <s v="In Transit"/>
    <s v="Valid"/>
    <s v="In Transit"/>
  </r>
  <r>
    <x v="580"/>
    <x v="367"/>
    <x v="4"/>
    <x v="4"/>
    <x v="4"/>
    <s v="Agri Motors West Bengal"/>
    <x v="4"/>
    <x v="3"/>
    <x v="1"/>
    <x v="1"/>
    <n v="5"/>
    <n v="585668"/>
    <n v="7"/>
    <n v="2928340"/>
    <n v="0.29283399999999998"/>
    <n v="2723356.1999999997"/>
    <n v="0.27233561999999994"/>
    <s v="Paid"/>
    <s v="Delivered"/>
    <s v="Invalid"/>
    <s v="Completed"/>
  </r>
  <r>
    <x v="581"/>
    <x v="368"/>
    <x v="2"/>
    <x v="1"/>
    <x v="4"/>
    <s v="Green Field West Bengal"/>
    <x v="4"/>
    <x v="3"/>
    <x v="0"/>
    <x v="0"/>
    <n v="7"/>
    <n v="392575"/>
    <n v="9"/>
    <n v="2748025"/>
    <n v="0.27480250000000001"/>
    <n v="2500702.75"/>
    <n v="0.25007027500000001"/>
    <s v="Partial"/>
    <s v="In Transit"/>
    <s v="Valid"/>
    <s v="In Transit"/>
  </r>
  <r>
    <x v="582"/>
    <x v="262"/>
    <x v="4"/>
    <x v="0"/>
    <x v="1"/>
    <s v="Shakti Agro Karnataka"/>
    <x v="1"/>
    <x v="1"/>
    <x v="1"/>
    <x v="1"/>
    <n v="1"/>
    <n v="786564"/>
    <n v="3"/>
    <n v="786564"/>
    <n v="7.8656400000000001E-2"/>
    <n v="762967.08"/>
    <n v="7.6296707999999991E-2"/>
    <s v="Partial"/>
    <s v="In Transit"/>
    <s v="Valid"/>
    <s v="In Transit"/>
  </r>
  <r>
    <x v="583"/>
    <x v="60"/>
    <x v="2"/>
    <x v="0"/>
    <x v="0"/>
    <s v="Shakti Agro Uttar Pradesh"/>
    <x v="0"/>
    <x v="0"/>
    <x v="1"/>
    <x v="1"/>
    <n v="7"/>
    <n v="487369"/>
    <n v="9"/>
    <n v="3411583"/>
    <n v="0.34115830000000003"/>
    <n v="3104540.5300000003"/>
    <n v="0.31045405300000001"/>
    <s v="Partial"/>
    <s v="In Transit"/>
    <s v="Valid"/>
    <s v="In Transit"/>
  </r>
  <r>
    <x v="584"/>
    <x v="291"/>
    <x v="4"/>
    <x v="0"/>
    <x v="1"/>
    <s v="Shakti Agro Karnataka"/>
    <x v="1"/>
    <x v="1"/>
    <x v="4"/>
    <x v="1"/>
    <n v="1"/>
    <n v="698197"/>
    <n v="3"/>
    <n v="698197"/>
    <n v="6.9819699999999998E-2"/>
    <n v="677251.09"/>
    <n v="6.7725108999999992E-2"/>
    <s v="Paid"/>
    <s v="Delivered"/>
    <s v="Invalid"/>
    <s v="Completed"/>
  </r>
  <r>
    <x v="585"/>
    <x v="238"/>
    <x v="4"/>
    <x v="4"/>
    <x v="3"/>
    <s v="Agri Motors Haryana"/>
    <x v="3"/>
    <x v="0"/>
    <x v="4"/>
    <x v="1"/>
    <n v="4"/>
    <n v="768147"/>
    <n v="6"/>
    <n v="3072588"/>
    <n v="0.3072588"/>
    <n v="2888232.7199999997"/>
    <n v="0.28882327199999996"/>
    <s v="Partial"/>
    <s v="In Transit"/>
    <s v="Valid"/>
    <s v="In Transit"/>
  </r>
  <r>
    <x v="586"/>
    <x v="133"/>
    <x v="1"/>
    <x v="0"/>
    <x v="4"/>
    <s v="Shakti Agro West Bengal"/>
    <x v="4"/>
    <x v="3"/>
    <x v="3"/>
    <x v="2"/>
    <n v="6"/>
    <n v="476582"/>
    <n v="8"/>
    <n v="2859492"/>
    <n v="0.28594920000000001"/>
    <n v="2630732.64"/>
    <n v="0.26307326400000003"/>
    <s v="Pending"/>
    <s v="Pending"/>
    <s v="Valid"/>
    <s v="Pending"/>
  </r>
  <r>
    <x v="587"/>
    <x v="96"/>
    <x v="3"/>
    <x v="3"/>
    <x v="2"/>
    <s v="Mahadev Motors Maharashtra"/>
    <x v="2"/>
    <x v="2"/>
    <x v="3"/>
    <x v="2"/>
    <n v="2"/>
    <n v="530301"/>
    <n v="5"/>
    <n v="1060602"/>
    <n v="0.10606019999999999"/>
    <n v="1007571.8999999999"/>
    <n v="0.10075719"/>
    <s v="Paid"/>
    <s v="Delivered"/>
    <s v="Invalid"/>
    <s v="Completed"/>
  </r>
  <r>
    <x v="588"/>
    <x v="369"/>
    <x v="0"/>
    <x v="4"/>
    <x v="3"/>
    <s v="Agri Motors Haryana"/>
    <x v="3"/>
    <x v="0"/>
    <x v="1"/>
    <x v="1"/>
    <n v="8"/>
    <n v="126662"/>
    <n v="9"/>
    <n v="1013296"/>
    <n v="0.10132960000000001"/>
    <n v="922099.36"/>
    <n v="9.2209935999999992E-2"/>
    <s v="Pending"/>
    <s v="Pending"/>
    <s v="Invalid"/>
    <s v="Pending"/>
  </r>
  <r>
    <x v="589"/>
    <x v="128"/>
    <x v="0"/>
    <x v="1"/>
    <x v="4"/>
    <s v="Green Field West Bengal"/>
    <x v="4"/>
    <x v="3"/>
    <x v="1"/>
    <x v="1"/>
    <n v="5"/>
    <n v="354894"/>
    <n v="7"/>
    <n v="1774470"/>
    <n v="0.17744699999999999"/>
    <n v="1650257.0999999999"/>
    <n v="0.16502570999999999"/>
    <s v="Paid"/>
    <s v="Delivered"/>
    <s v="Invalid"/>
    <s v="Completed"/>
  </r>
  <r>
    <x v="590"/>
    <x v="370"/>
    <x v="4"/>
    <x v="1"/>
    <x v="3"/>
    <s v="Green Field Haryana"/>
    <x v="3"/>
    <x v="0"/>
    <x v="0"/>
    <x v="0"/>
    <n v="4"/>
    <n v="712726"/>
    <n v="6"/>
    <n v="2850904"/>
    <n v="0.28509040000000002"/>
    <n v="2679849.7599999998"/>
    <n v="0.26798497599999999"/>
    <s v="Paid"/>
    <s v="Delivered"/>
    <s v="Valid"/>
    <s v="Completed"/>
  </r>
  <r>
    <x v="591"/>
    <x v="309"/>
    <x v="0"/>
    <x v="0"/>
    <x v="2"/>
    <s v="Shakti Agro Maharashtra"/>
    <x v="2"/>
    <x v="2"/>
    <x v="4"/>
    <x v="1"/>
    <n v="2"/>
    <n v="246600"/>
    <n v="5"/>
    <n v="493200"/>
    <n v="4.9320000000000003E-2"/>
    <n v="468540"/>
    <n v="4.6854E-2"/>
    <s v="Paid"/>
    <s v="Delivered"/>
    <s v="Invalid"/>
    <s v="Completed"/>
  </r>
  <r>
    <x v="592"/>
    <x v="87"/>
    <x v="2"/>
    <x v="2"/>
    <x v="3"/>
    <s v="Kisan Tractors Haryana"/>
    <x v="3"/>
    <x v="0"/>
    <x v="2"/>
    <x v="0"/>
    <n v="2"/>
    <n v="94588"/>
    <n v="5"/>
    <n v="189176"/>
    <n v="1.89176E-2"/>
    <n v="179717.19999999998"/>
    <n v="1.7971719999999997E-2"/>
    <s v="Pending"/>
    <s v="Pending"/>
    <s v="Invalid"/>
    <s v="Pending"/>
  </r>
  <r>
    <x v="593"/>
    <x v="19"/>
    <x v="1"/>
    <x v="4"/>
    <x v="1"/>
    <s v="Agri Motors Karnataka"/>
    <x v="1"/>
    <x v="1"/>
    <x v="4"/>
    <x v="1"/>
    <n v="7"/>
    <n v="437436"/>
    <n v="9"/>
    <n v="3062052"/>
    <n v="0.30620520000000001"/>
    <n v="2786467.3200000003"/>
    <n v="0.27864673200000001"/>
    <s v="Partial"/>
    <s v="In Transit"/>
    <s v="Valid"/>
    <s v="In Transit"/>
  </r>
  <r>
    <x v="594"/>
    <x v="5"/>
    <x v="2"/>
    <x v="1"/>
    <x v="4"/>
    <s v="Green Field West Bengal"/>
    <x v="4"/>
    <x v="3"/>
    <x v="3"/>
    <x v="2"/>
    <n v="2"/>
    <n v="525392"/>
    <n v="5"/>
    <n v="1050784"/>
    <n v="0.1050784"/>
    <n v="998244.79999999993"/>
    <n v="9.9824479999999993E-2"/>
    <s v="Partial"/>
    <s v="In Transit"/>
    <s v="Invalid"/>
    <s v="In Transit"/>
  </r>
  <r>
    <x v="595"/>
    <x v="371"/>
    <x v="2"/>
    <x v="3"/>
    <x v="2"/>
    <s v="Mahadev Motors Maharashtra"/>
    <x v="2"/>
    <x v="2"/>
    <x v="1"/>
    <x v="1"/>
    <n v="6"/>
    <n v="485400"/>
    <n v="8"/>
    <n v="2912400"/>
    <n v="0.29124"/>
    <n v="2679408"/>
    <n v="0.26794079999999998"/>
    <s v="Partial"/>
    <s v="In Transit"/>
    <s v="Invalid"/>
    <s v="In Transit"/>
  </r>
  <r>
    <x v="596"/>
    <x v="149"/>
    <x v="4"/>
    <x v="0"/>
    <x v="2"/>
    <s v="Shakti Agro Maharashtra"/>
    <x v="2"/>
    <x v="2"/>
    <x v="3"/>
    <x v="2"/>
    <n v="8"/>
    <n v="202193"/>
    <n v="9"/>
    <n v="1617544"/>
    <n v="0.16175439999999999"/>
    <n v="1471965.04"/>
    <n v="0.14719650400000001"/>
    <s v="Pending"/>
    <s v="Pending"/>
    <s v="Invalid"/>
    <s v="Pending"/>
  </r>
  <r>
    <x v="597"/>
    <x v="372"/>
    <x v="1"/>
    <x v="3"/>
    <x v="4"/>
    <s v="Mahadev Motors West Bengal"/>
    <x v="4"/>
    <x v="3"/>
    <x v="1"/>
    <x v="1"/>
    <n v="7"/>
    <n v="72887"/>
    <n v="9"/>
    <n v="510209"/>
    <n v="5.1020900000000001E-2"/>
    <n v="464290.19"/>
    <n v="4.6429019000000002E-2"/>
    <s v="Partial"/>
    <s v="In Transit"/>
    <s v="Invalid"/>
    <s v="In Transit"/>
  </r>
  <r>
    <x v="598"/>
    <x v="273"/>
    <x v="2"/>
    <x v="0"/>
    <x v="4"/>
    <s v="Shakti Agro West Bengal"/>
    <x v="4"/>
    <x v="3"/>
    <x v="3"/>
    <x v="2"/>
    <n v="8"/>
    <n v="107569"/>
    <n v="9"/>
    <n v="860552"/>
    <n v="8.6055199999999998E-2"/>
    <n v="783102.32000000007"/>
    <n v="7.8310232000000007E-2"/>
    <s v="Pending"/>
    <s v="Pending"/>
    <s v="Invalid"/>
    <s v="Pending"/>
  </r>
  <r>
    <x v="599"/>
    <x v="373"/>
    <x v="2"/>
    <x v="0"/>
    <x v="1"/>
    <s v="Shakti Agro Karnataka"/>
    <x v="1"/>
    <x v="1"/>
    <x v="4"/>
    <x v="1"/>
    <n v="6"/>
    <n v="823664"/>
    <n v="8"/>
    <n v="4941984"/>
    <n v="0.49419839999999998"/>
    <n v="4546625.28"/>
    <n v="0.45466252800000001"/>
    <s v="Pending"/>
    <s v="Pending"/>
    <s v="Valid"/>
    <s v="Pending"/>
  </r>
  <r>
    <x v="600"/>
    <x v="374"/>
    <x v="4"/>
    <x v="4"/>
    <x v="3"/>
    <s v="Agri Motors Haryana"/>
    <x v="3"/>
    <x v="0"/>
    <x v="4"/>
    <x v="1"/>
    <n v="5"/>
    <n v="267405"/>
    <n v="7"/>
    <n v="1337025"/>
    <n v="0.1337025"/>
    <n v="1243433.25"/>
    <n v="0.124343325"/>
    <s v="Paid"/>
    <s v="Delivered"/>
    <s v="Invalid"/>
    <s v="Completed"/>
  </r>
  <r>
    <x v="601"/>
    <x v="375"/>
    <x v="1"/>
    <x v="2"/>
    <x v="0"/>
    <s v="Kisan Tractors Uttar Pradesh"/>
    <x v="0"/>
    <x v="0"/>
    <x v="2"/>
    <x v="0"/>
    <n v="6"/>
    <n v="805869"/>
    <n v="8"/>
    <n v="4835214"/>
    <n v="0.48352139999999999"/>
    <n v="4448396.88"/>
    <n v="0.44483968800000001"/>
    <s v="Pending"/>
    <s v="Pending"/>
    <s v="Invalid"/>
    <s v="Pending"/>
  </r>
  <r>
    <x v="602"/>
    <x v="376"/>
    <x v="3"/>
    <x v="1"/>
    <x v="1"/>
    <s v="Green Field Karnataka"/>
    <x v="1"/>
    <x v="1"/>
    <x v="4"/>
    <x v="1"/>
    <n v="3"/>
    <n v="434938"/>
    <n v="6"/>
    <n v="1304814"/>
    <n v="0.1304814"/>
    <n v="1226525.1599999999"/>
    <n v="0.12265251599999999"/>
    <s v="Pending"/>
    <s v="Pending"/>
    <s v="Invalid"/>
    <s v="Pending"/>
  </r>
  <r>
    <x v="603"/>
    <x v="377"/>
    <x v="4"/>
    <x v="1"/>
    <x v="1"/>
    <s v="Green Field Karnataka"/>
    <x v="1"/>
    <x v="1"/>
    <x v="4"/>
    <x v="1"/>
    <n v="3"/>
    <n v="183106"/>
    <n v="6"/>
    <n v="549318"/>
    <n v="5.4931800000000003E-2"/>
    <n v="516358.92"/>
    <n v="5.1635891999999996E-2"/>
    <s v="Paid"/>
    <s v="Delivered"/>
    <s v="Invalid"/>
    <s v="Completed"/>
  </r>
  <r>
    <x v="604"/>
    <x v="366"/>
    <x v="4"/>
    <x v="1"/>
    <x v="0"/>
    <s v="Green Field Uttar Pradesh"/>
    <x v="0"/>
    <x v="0"/>
    <x v="3"/>
    <x v="2"/>
    <n v="8"/>
    <n v="732398"/>
    <n v="9"/>
    <n v="5859184"/>
    <n v="0.58591839999999995"/>
    <n v="5331857.4400000004"/>
    <n v="0.53318574400000007"/>
    <s v="Partial"/>
    <s v="In Transit"/>
    <s v="Invalid"/>
    <s v="In Transit"/>
  </r>
  <r>
    <x v="605"/>
    <x v="273"/>
    <x v="2"/>
    <x v="3"/>
    <x v="1"/>
    <s v="Mahadev Motors Karnataka"/>
    <x v="1"/>
    <x v="1"/>
    <x v="1"/>
    <x v="1"/>
    <n v="6"/>
    <n v="146762"/>
    <n v="8"/>
    <n v="880572"/>
    <n v="8.8057200000000002E-2"/>
    <n v="810126.24"/>
    <n v="8.1012624000000005E-2"/>
    <s v="Pending"/>
    <s v="Pending"/>
    <s v="Invalid"/>
    <s v="Pending"/>
  </r>
  <r>
    <x v="606"/>
    <x v="260"/>
    <x v="3"/>
    <x v="4"/>
    <x v="2"/>
    <s v="Agri Motors Maharashtra"/>
    <x v="2"/>
    <x v="2"/>
    <x v="3"/>
    <x v="2"/>
    <n v="5"/>
    <n v="192200"/>
    <n v="7"/>
    <n v="961000"/>
    <n v="9.6100000000000005E-2"/>
    <n v="893729.99999999988"/>
    <n v="8.9372999999999994E-2"/>
    <s v="Pending"/>
    <s v="Pending"/>
    <s v="Invalid"/>
    <s v="Pending"/>
  </r>
  <r>
    <x v="607"/>
    <x v="121"/>
    <x v="2"/>
    <x v="3"/>
    <x v="4"/>
    <s v="Mahadev Motors West Bengal"/>
    <x v="4"/>
    <x v="3"/>
    <x v="2"/>
    <x v="0"/>
    <n v="4"/>
    <n v="163068"/>
    <n v="6"/>
    <n v="652272"/>
    <n v="6.5227199999999999E-2"/>
    <n v="613135.67999999993"/>
    <n v="6.1313567999999992E-2"/>
    <s v="Pending"/>
    <s v="Pending"/>
    <s v="Valid"/>
    <s v="Pending"/>
  </r>
  <r>
    <x v="608"/>
    <x v="378"/>
    <x v="4"/>
    <x v="3"/>
    <x v="3"/>
    <s v="Mahadev Motors Haryana"/>
    <x v="3"/>
    <x v="0"/>
    <x v="3"/>
    <x v="2"/>
    <n v="2"/>
    <n v="307948"/>
    <n v="5"/>
    <n v="615896"/>
    <n v="6.1589600000000001E-2"/>
    <n v="585101.19999999995"/>
    <n v="5.8510119999999999E-2"/>
    <s v="Pending"/>
    <s v="Pending"/>
    <s v="Invalid"/>
    <s v="Pending"/>
  </r>
  <r>
    <x v="609"/>
    <x v="240"/>
    <x v="1"/>
    <x v="3"/>
    <x v="0"/>
    <s v="Mahadev Motors Uttar Pradesh"/>
    <x v="0"/>
    <x v="0"/>
    <x v="0"/>
    <x v="0"/>
    <n v="1"/>
    <n v="851895"/>
    <n v="3"/>
    <n v="851895"/>
    <n v="8.5189500000000001E-2"/>
    <n v="826338.15"/>
    <n v="8.2633814999999999E-2"/>
    <s v="Paid"/>
    <s v="Delivered"/>
    <s v="Invalid"/>
    <s v="Completed"/>
  </r>
  <r>
    <x v="610"/>
    <x v="303"/>
    <x v="4"/>
    <x v="1"/>
    <x v="0"/>
    <s v="Green Field Uttar Pradesh"/>
    <x v="0"/>
    <x v="0"/>
    <x v="3"/>
    <x v="2"/>
    <n v="2"/>
    <n v="286575"/>
    <n v="5"/>
    <n v="573150"/>
    <n v="5.7314999999999998E-2"/>
    <n v="544492.5"/>
    <n v="5.4449249999999998E-2"/>
    <s v="Paid"/>
    <s v="Delivered"/>
    <s v="Invalid"/>
    <s v="Completed"/>
  </r>
  <r>
    <x v="611"/>
    <x v="379"/>
    <x v="0"/>
    <x v="4"/>
    <x v="0"/>
    <s v="Agri Motors Uttar Pradesh"/>
    <x v="0"/>
    <x v="0"/>
    <x v="3"/>
    <x v="2"/>
    <n v="7"/>
    <n v="582468"/>
    <n v="9"/>
    <n v="4077276"/>
    <n v="0.40772760000000002"/>
    <n v="3710321.16"/>
    <n v="0.37103211600000002"/>
    <s v="Pending"/>
    <s v="Pending"/>
    <s v="Invalid"/>
    <s v="Pending"/>
  </r>
  <r>
    <x v="612"/>
    <x v="115"/>
    <x v="1"/>
    <x v="2"/>
    <x v="2"/>
    <s v="Kisan Tractors Maharashtra"/>
    <x v="2"/>
    <x v="2"/>
    <x v="4"/>
    <x v="1"/>
    <n v="3"/>
    <n v="60374"/>
    <n v="6"/>
    <n v="181122"/>
    <n v="1.8112199999999998E-2"/>
    <n v="170254.68"/>
    <n v="1.7025467999999998E-2"/>
    <s v="Pending"/>
    <s v="Pending"/>
    <s v="Invalid"/>
    <s v="Pending"/>
  </r>
  <r>
    <x v="613"/>
    <x v="380"/>
    <x v="4"/>
    <x v="2"/>
    <x v="4"/>
    <s v="Kisan Tractors West Bengal"/>
    <x v="4"/>
    <x v="3"/>
    <x v="1"/>
    <x v="1"/>
    <n v="5"/>
    <n v="761405"/>
    <n v="7"/>
    <n v="3807025"/>
    <n v="0.3807025"/>
    <n v="3540533.2499999995"/>
    <n v="0.35405332499999997"/>
    <s v="Pending"/>
    <s v="Pending"/>
    <s v="Invalid"/>
    <s v="Pending"/>
  </r>
  <r>
    <x v="614"/>
    <x v="231"/>
    <x v="3"/>
    <x v="4"/>
    <x v="2"/>
    <s v="Agri Motors Maharashtra"/>
    <x v="2"/>
    <x v="2"/>
    <x v="1"/>
    <x v="1"/>
    <n v="8"/>
    <n v="422496"/>
    <n v="9"/>
    <n v="3379968"/>
    <n v="0.33799679999999999"/>
    <n v="3075770.88"/>
    <n v="0.307577088"/>
    <s v="Partial"/>
    <s v="In Transit"/>
    <s v="Invalid"/>
    <s v="In Transit"/>
  </r>
  <r>
    <x v="615"/>
    <x v="355"/>
    <x v="3"/>
    <x v="3"/>
    <x v="3"/>
    <s v="Mahadev Motors Haryana"/>
    <x v="3"/>
    <x v="0"/>
    <x v="1"/>
    <x v="1"/>
    <n v="2"/>
    <n v="878357"/>
    <n v="5"/>
    <n v="1756714"/>
    <n v="0.17567140000000001"/>
    <n v="1668878.2999999998"/>
    <n v="0.16688782999999999"/>
    <s v="Pending"/>
    <s v="Pending"/>
    <s v="Invalid"/>
    <s v="Pending"/>
  </r>
  <r>
    <x v="616"/>
    <x v="381"/>
    <x v="0"/>
    <x v="0"/>
    <x v="3"/>
    <s v="Shakti Agro Haryana"/>
    <x v="3"/>
    <x v="0"/>
    <x v="4"/>
    <x v="1"/>
    <n v="2"/>
    <n v="109354"/>
    <n v="5"/>
    <n v="218708"/>
    <n v="2.1870799999999999E-2"/>
    <n v="207772.59999999998"/>
    <n v="2.0777259999999999E-2"/>
    <s v="Paid"/>
    <s v="Delivered"/>
    <s v="Invalid"/>
    <s v="Completed"/>
  </r>
  <r>
    <x v="617"/>
    <x v="382"/>
    <x v="4"/>
    <x v="4"/>
    <x v="0"/>
    <s v="Agri Motors Uttar Pradesh"/>
    <x v="0"/>
    <x v="0"/>
    <x v="2"/>
    <x v="0"/>
    <n v="1"/>
    <n v="717146"/>
    <n v="3"/>
    <n v="717146"/>
    <n v="7.1714600000000003E-2"/>
    <n v="695631.62"/>
    <n v="6.9563161999999998E-2"/>
    <s v="Pending"/>
    <s v="Pending"/>
    <s v="Valid"/>
    <s v="Pending"/>
  </r>
  <r>
    <x v="618"/>
    <x v="236"/>
    <x v="2"/>
    <x v="0"/>
    <x v="3"/>
    <s v="Shakti Agro Haryana"/>
    <x v="3"/>
    <x v="0"/>
    <x v="1"/>
    <x v="1"/>
    <n v="2"/>
    <n v="581904"/>
    <n v="5"/>
    <n v="1163808"/>
    <n v="0.11638080000000001"/>
    <n v="1105617.5999999999"/>
    <n v="0.11056175999999998"/>
    <s v="Partial"/>
    <s v="In Transit"/>
    <s v="Invalid"/>
    <s v="In Transit"/>
  </r>
  <r>
    <x v="619"/>
    <x v="360"/>
    <x v="3"/>
    <x v="4"/>
    <x v="1"/>
    <s v="Agri Motors Karnataka"/>
    <x v="1"/>
    <x v="1"/>
    <x v="2"/>
    <x v="0"/>
    <n v="7"/>
    <n v="96654"/>
    <n v="9"/>
    <n v="676578"/>
    <n v="6.7657800000000004E-2"/>
    <n v="615685.98"/>
    <n v="6.1568597999999995E-2"/>
    <s v="Paid"/>
    <s v="Delivered"/>
    <s v="Invalid"/>
    <s v="Completed"/>
  </r>
  <r>
    <x v="620"/>
    <x v="354"/>
    <x v="1"/>
    <x v="2"/>
    <x v="0"/>
    <s v="Kisan Tractors Uttar Pradesh"/>
    <x v="0"/>
    <x v="0"/>
    <x v="2"/>
    <x v="0"/>
    <n v="7"/>
    <n v="354469"/>
    <n v="9"/>
    <n v="2481283"/>
    <n v="0.2481283"/>
    <n v="2257967.5300000003"/>
    <n v="0.22579675300000002"/>
    <s v="Paid"/>
    <s v="Delivered"/>
    <s v="Invalid"/>
    <s v="Completed"/>
  </r>
  <r>
    <x v="621"/>
    <x v="383"/>
    <x v="4"/>
    <x v="3"/>
    <x v="1"/>
    <s v="Mahadev Motors Karnataka"/>
    <x v="1"/>
    <x v="1"/>
    <x v="1"/>
    <x v="1"/>
    <n v="6"/>
    <n v="576005"/>
    <n v="8"/>
    <n v="3456030"/>
    <n v="0.34560299999999999"/>
    <n v="3179547.6"/>
    <n v="0.31795476"/>
    <s v="Paid"/>
    <s v="Delivered"/>
    <s v="Valid"/>
    <s v="Completed"/>
  </r>
  <r>
    <x v="622"/>
    <x v="203"/>
    <x v="4"/>
    <x v="2"/>
    <x v="4"/>
    <s v="Kisan Tractors West Bengal"/>
    <x v="4"/>
    <x v="3"/>
    <x v="1"/>
    <x v="1"/>
    <n v="7"/>
    <n v="289206"/>
    <n v="9"/>
    <n v="2024442"/>
    <n v="0.20244419999999999"/>
    <n v="1842242.22"/>
    <n v="0.18422422199999999"/>
    <s v="Paid"/>
    <s v="Delivered"/>
    <s v="Invalid"/>
    <s v="Completed"/>
  </r>
  <r>
    <x v="623"/>
    <x v="44"/>
    <x v="0"/>
    <x v="1"/>
    <x v="3"/>
    <s v="Green Field Haryana"/>
    <x v="3"/>
    <x v="0"/>
    <x v="2"/>
    <x v="0"/>
    <n v="5"/>
    <n v="657948"/>
    <n v="7"/>
    <n v="3289740"/>
    <n v="0.32897399999999999"/>
    <n v="3059458.1999999997"/>
    <n v="0.30594581999999998"/>
    <s v="Paid"/>
    <s v="Delivered"/>
    <s v="Invalid"/>
    <s v="Completed"/>
  </r>
  <r>
    <x v="624"/>
    <x v="221"/>
    <x v="0"/>
    <x v="2"/>
    <x v="1"/>
    <s v="Kisan Tractors Karnataka"/>
    <x v="1"/>
    <x v="1"/>
    <x v="0"/>
    <x v="0"/>
    <n v="1"/>
    <n v="273792"/>
    <n v="3"/>
    <n v="273792"/>
    <n v="2.7379199999999999E-2"/>
    <n v="265578.23999999999"/>
    <n v="2.6557824000000001E-2"/>
    <s v="Paid"/>
    <s v="Delivered"/>
    <s v="Valid"/>
    <s v="Completed"/>
  </r>
  <r>
    <x v="625"/>
    <x v="273"/>
    <x v="3"/>
    <x v="3"/>
    <x v="0"/>
    <s v="Mahadev Motors Uttar Pradesh"/>
    <x v="0"/>
    <x v="0"/>
    <x v="4"/>
    <x v="1"/>
    <n v="2"/>
    <n v="387531"/>
    <n v="5"/>
    <n v="775062"/>
    <n v="7.7506199999999997E-2"/>
    <n v="736308.9"/>
    <n v="7.3630890000000004E-2"/>
    <s v="Partial"/>
    <s v="In Transit"/>
    <s v="Invalid"/>
    <s v="In Transit"/>
  </r>
  <r>
    <x v="626"/>
    <x v="63"/>
    <x v="2"/>
    <x v="0"/>
    <x v="2"/>
    <s v="Shakti Agro Maharashtra"/>
    <x v="2"/>
    <x v="2"/>
    <x v="1"/>
    <x v="1"/>
    <n v="4"/>
    <n v="734034"/>
    <n v="6"/>
    <n v="2936136"/>
    <n v="0.29361359999999997"/>
    <n v="2759967.84"/>
    <n v="0.275996784"/>
    <s v="Paid"/>
    <s v="Delivered"/>
    <s v="Invalid"/>
    <s v="Completed"/>
  </r>
  <r>
    <x v="627"/>
    <x v="384"/>
    <x v="0"/>
    <x v="0"/>
    <x v="0"/>
    <s v="Shakti Agro Uttar Pradesh"/>
    <x v="0"/>
    <x v="0"/>
    <x v="4"/>
    <x v="1"/>
    <n v="5"/>
    <n v="554548"/>
    <n v="7"/>
    <n v="2772740"/>
    <n v="0.27727400000000002"/>
    <n v="2578648.1999999997"/>
    <n v="0.25786481999999999"/>
    <s v="Partial"/>
    <s v="In Transit"/>
    <s v="Invalid"/>
    <s v="In Transit"/>
  </r>
  <r>
    <x v="628"/>
    <x v="170"/>
    <x v="4"/>
    <x v="3"/>
    <x v="4"/>
    <s v="Mahadev Motors West Bengal"/>
    <x v="4"/>
    <x v="3"/>
    <x v="2"/>
    <x v="0"/>
    <n v="0"/>
    <n v="623179"/>
    <n v="0"/>
    <n v="0"/>
    <n v="0"/>
    <n v="0"/>
    <n v="0"/>
    <s v="Paid"/>
    <s v="Delivered"/>
    <s v="Invalid"/>
    <s v="Completed"/>
  </r>
  <r>
    <x v="629"/>
    <x v="174"/>
    <x v="4"/>
    <x v="4"/>
    <x v="1"/>
    <s v="Agri Motors Karnataka"/>
    <x v="1"/>
    <x v="1"/>
    <x v="0"/>
    <x v="0"/>
    <n v="5"/>
    <n v="856212"/>
    <n v="7"/>
    <n v="4281060"/>
    <n v="0.42810599999999999"/>
    <n v="3981385.8"/>
    <n v="0.39813857999999996"/>
    <s v="Paid"/>
    <s v="Delivered"/>
    <s v="Invalid"/>
    <s v="Completed"/>
  </r>
  <r>
    <x v="630"/>
    <x v="203"/>
    <x v="4"/>
    <x v="1"/>
    <x v="4"/>
    <s v="Green Field West Bengal"/>
    <x v="4"/>
    <x v="3"/>
    <x v="2"/>
    <x v="0"/>
    <n v="6"/>
    <n v="458279"/>
    <n v="8"/>
    <n v="2749674"/>
    <n v="0.27496739999999997"/>
    <n v="2529700.08"/>
    <n v="0.25297000800000002"/>
    <s v="Paid"/>
    <s v="Delivered"/>
    <s v="Invalid"/>
    <s v="Completed"/>
  </r>
  <r>
    <x v="631"/>
    <x v="49"/>
    <x v="4"/>
    <x v="2"/>
    <x v="1"/>
    <s v="Kisan Tractors Karnataka"/>
    <x v="1"/>
    <x v="1"/>
    <x v="1"/>
    <x v="1"/>
    <n v="5"/>
    <n v="239600"/>
    <n v="7"/>
    <n v="1198000"/>
    <n v="0.1198"/>
    <n v="1114140"/>
    <n v="0.111414"/>
    <s v="Partial"/>
    <s v="In Transit"/>
    <s v="Valid"/>
    <s v="In Transit"/>
  </r>
  <r>
    <x v="632"/>
    <x v="171"/>
    <x v="0"/>
    <x v="3"/>
    <x v="4"/>
    <s v="Mahadev Motors West Bengal"/>
    <x v="4"/>
    <x v="3"/>
    <x v="0"/>
    <x v="0"/>
    <n v="2"/>
    <n v="612480"/>
    <n v="5"/>
    <n v="1224960"/>
    <n v="0.12249599999999999"/>
    <n v="1163712"/>
    <n v="0.11637119999999999"/>
    <s v="Partial"/>
    <s v="In Transit"/>
    <s v="Invalid"/>
    <s v="In Transit"/>
  </r>
  <r>
    <x v="633"/>
    <x v="385"/>
    <x v="4"/>
    <x v="4"/>
    <x v="1"/>
    <s v="Agri Motors Karnataka"/>
    <x v="1"/>
    <x v="1"/>
    <x v="4"/>
    <x v="1"/>
    <n v="2"/>
    <n v="187509"/>
    <n v="5"/>
    <n v="375018"/>
    <n v="3.7501800000000002E-2"/>
    <n v="356267.1"/>
    <n v="3.5626709999999999E-2"/>
    <s v="Paid"/>
    <s v="Delivered"/>
    <s v="Valid"/>
    <s v="Completed"/>
  </r>
  <r>
    <x v="634"/>
    <x v="317"/>
    <x v="2"/>
    <x v="3"/>
    <x v="3"/>
    <s v="Mahadev Motors Haryana"/>
    <x v="3"/>
    <x v="0"/>
    <x v="2"/>
    <x v="0"/>
    <n v="4"/>
    <n v="352901"/>
    <n v="6"/>
    <n v="1411604"/>
    <n v="0.14116039999999999"/>
    <n v="1326907.76"/>
    <n v="0.13269077600000001"/>
    <s v="Paid"/>
    <s v="Delivered"/>
    <s v="Invalid"/>
    <s v="Completed"/>
  </r>
  <r>
    <x v="635"/>
    <x v="386"/>
    <x v="3"/>
    <x v="4"/>
    <x v="0"/>
    <s v="Agri Motors Uttar Pradesh"/>
    <x v="0"/>
    <x v="0"/>
    <x v="3"/>
    <x v="2"/>
    <n v="5"/>
    <n v="712329"/>
    <n v="7"/>
    <n v="3561645"/>
    <n v="0.35616449999999999"/>
    <n v="3312329.8499999996"/>
    <n v="0.33123298499999998"/>
    <s v="Pending"/>
    <s v="Pending"/>
    <s v="Invalid"/>
    <s v="Pending"/>
  </r>
  <r>
    <x v="636"/>
    <x v="7"/>
    <x v="0"/>
    <x v="2"/>
    <x v="4"/>
    <s v="Kisan Tractors West Bengal"/>
    <x v="4"/>
    <x v="3"/>
    <x v="4"/>
    <x v="1"/>
    <n v="8"/>
    <n v="428946"/>
    <n v="9"/>
    <n v="3431568"/>
    <n v="0.34315679999999998"/>
    <n v="3122726.88"/>
    <n v="0.31227268799999996"/>
    <s v="Partial"/>
    <s v="In Transit"/>
    <s v="Valid"/>
    <s v="In Transit"/>
  </r>
  <r>
    <x v="637"/>
    <x v="387"/>
    <x v="4"/>
    <x v="1"/>
    <x v="4"/>
    <s v="Green Field West Bengal"/>
    <x v="4"/>
    <x v="3"/>
    <x v="0"/>
    <x v="0"/>
    <n v="3"/>
    <n v="410280"/>
    <n v="6"/>
    <n v="1230840"/>
    <n v="0.123084"/>
    <n v="1156989.5999999999"/>
    <n v="0.11569895999999999"/>
    <s v="Paid"/>
    <s v="Delivered"/>
    <s v="Invalid"/>
    <s v="Completed"/>
  </r>
  <r>
    <x v="638"/>
    <x v="168"/>
    <x v="0"/>
    <x v="4"/>
    <x v="2"/>
    <s v="Agri Motors Maharashtra"/>
    <x v="2"/>
    <x v="2"/>
    <x v="4"/>
    <x v="1"/>
    <n v="3"/>
    <n v="459493"/>
    <n v="6"/>
    <n v="1378479"/>
    <n v="0.1378479"/>
    <n v="1295770.26"/>
    <n v="0.12957702600000001"/>
    <s v="Paid"/>
    <s v="Delivered"/>
    <s v="Valid"/>
    <s v="Completed"/>
  </r>
  <r>
    <x v="639"/>
    <x v="308"/>
    <x v="0"/>
    <x v="1"/>
    <x v="3"/>
    <s v="Green Field Haryana"/>
    <x v="3"/>
    <x v="0"/>
    <x v="4"/>
    <x v="1"/>
    <n v="5"/>
    <n v="140263"/>
    <n v="7"/>
    <n v="701315"/>
    <n v="7.0131499999999999E-2"/>
    <n v="652222.94999999995"/>
    <n v="6.5222295E-2"/>
    <s v="Partial"/>
    <s v="In Transit"/>
    <s v="Valid"/>
    <s v="In Transit"/>
  </r>
  <r>
    <x v="640"/>
    <x v="388"/>
    <x v="1"/>
    <x v="1"/>
    <x v="0"/>
    <s v="Green Field Uttar Pradesh"/>
    <x v="0"/>
    <x v="0"/>
    <x v="4"/>
    <x v="1"/>
    <n v="6"/>
    <n v="857063"/>
    <n v="8"/>
    <n v="5142378"/>
    <n v="0.51423779999999997"/>
    <n v="4730987.76"/>
    <n v="0.473098776"/>
    <s v="Paid"/>
    <s v="Delivered"/>
    <s v="Invalid"/>
    <s v="Completed"/>
  </r>
  <r>
    <x v="641"/>
    <x v="389"/>
    <x v="0"/>
    <x v="4"/>
    <x v="3"/>
    <s v="Agri Motors Haryana"/>
    <x v="3"/>
    <x v="0"/>
    <x v="3"/>
    <x v="2"/>
    <n v="6"/>
    <n v="303642"/>
    <n v="8"/>
    <n v="1821852"/>
    <n v="0.18218519999999999"/>
    <n v="1676103.84"/>
    <n v="0.167610384"/>
    <s v="Pending"/>
    <s v="Pending"/>
    <s v="Invalid"/>
    <s v="Pending"/>
  </r>
  <r>
    <x v="642"/>
    <x v="390"/>
    <x v="1"/>
    <x v="1"/>
    <x v="0"/>
    <s v="Green Field Uttar Pradesh"/>
    <x v="0"/>
    <x v="0"/>
    <x v="3"/>
    <x v="2"/>
    <n v="2"/>
    <n v="200141"/>
    <n v="5"/>
    <n v="400282"/>
    <n v="4.00282E-2"/>
    <n v="380267.89999999997"/>
    <n v="3.8026789999999998E-2"/>
    <s v="Paid"/>
    <s v="Delivered"/>
    <s v="Invalid"/>
    <s v="Completed"/>
  </r>
  <r>
    <x v="643"/>
    <x v="22"/>
    <x v="4"/>
    <x v="1"/>
    <x v="2"/>
    <s v="Green Field Maharashtra"/>
    <x v="2"/>
    <x v="2"/>
    <x v="2"/>
    <x v="0"/>
    <n v="4"/>
    <n v="592977"/>
    <n v="6"/>
    <n v="2371908"/>
    <n v="0.23719080000000001"/>
    <n v="2229593.52"/>
    <n v="0.222959352"/>
    <s v="Partial"/>
    <s v="In Transit"/>
    <s v="Invalid"/>
    <s v="In Transit"/>
  </r>
  <r>
    <x v="644"/>
    <x v="387"/>
    <x v="4"/>
    <x v="4"/>
    <x v="0"/>
    <s v="Agri Motors Uttar Pradesh"/>
    <x v="0"/>
    <x v="0"/>
    <x v="1"/>
    <x v="1"/>
    <n v="6"/>
    <n v="150253"/>
    <n v="8"/>
    <n v="901518"/>
    <n v="9.0151800000000004E-2"/>
    <n v="829396.56"/>
    <n v="8.2939656E-2"/>
    <s v="Pending"/>
    <s v="Pending"/>
    <s v="Invalid"/>
    <s v="Pending"/>
  </r>
  <r>
    <x v="645"/>
    <x v="391"/>
    <x v="0"/>
    <x v="4"/>
    <x v="3"/>
    <s v="Agri Motors Haryana"/>
    <x v="3"/>
    <x v="0"/>
    <x v="3"/>
    <x v="2"/>
    <n v="3"/>
    <n v="735427"/>
    <n v="6"/>
    <n v="2206281"/>
    <n v="0.22062809999999999"/>
    <n v="2073904.14"/>
    <n v="0.207390414"/>
    <s v="Pending"/>
    <s v="Pending"/>
    <s v="Valid"/>
    <s v="Pending"/>
  </r>
  <r>
    <x v="646"/>
    <x v="166"/>
    <x v="2"/>
    <x v="3"/>
    <x v="3"/>
    <s v="Mahadev Motors Haryana"/>
    <x v="3"/>
    <x v="0"/>
    <x v="4"/>
    <x v="1"/>
    <n v="8"/>
    <n v="559556"/>
    <n v="9"/>
    <n v="4476448"/>
    <n v="0.44764480000000001"/>
    <n v="4073567.68"/>
    <n v="0.40735676800000004"/>
    <s v="Pending"/>
    <s v="Pending"/>
    <s v="Invalid"/>
    <s v="Pending"/>
  </r>
  <r>
    <x v="647"/>
    <x v="249"/>
    <x v="0"/>
    <x v="2"/>
    <x v="0"/>
    <s v="Kisan Tractors Uttar Pradesh"/>
    <x v="0"/>
    <x v="0"/>
    <x v="0"/>
    <x v="0"/>
    <n v="3"/>
    <n v="843349"/>
    <n v="6"/>
    <n v="2530047"/>
    <n v="0.25300470000000003"/>
    <n v="2378244.1799999997"/>
    <n v="0.23782441799999998"/>
    <s v="Pending"/>
    <s v="Pending"/>
    <s v="Valid"/>
    <s v="Pending"/>
  </r>
  <r>
    <x v="648"/>
    <x v="392"/>
    <x v="0"/>
    <x v="4"/>
    <x v="1"/>
    <s v="Agri Motors Karnataka"/>
    <x v="1"/>
    <x v="1"/>
    <x v="4"/>
    <x v="1"/>
    <n v="5"/>
    <n v="486667"/>
    <n v="7"/>
    <n v="2433335"/>
    <n v="0.24333350000000001"/>
    <n v="2263001.5499999998"/>
    <n v="0.22630015499999998"/>
    <s v="Pending"/>
    <s v="Pending"/>
    <s v="Invalid"/>
    <s v="Pending"/>
  </r>
  <r>
    <x v="649"/>
    <x v="393"/>
    <x v="0"/>
    <x v="4"/>
    <x v="2"/>
    <s v="Agri Motors Maharashtra"/>
    <x v="2"/>
    <x v="2"/>
    <x v="1"/>
    <x v="1"/>
    <n v="4"/>
    <n v="136959"/>
    <n v="6"/>
    <n v="547836"/>
    <n v="5.4783600000000002E-2"/>
    <n v="514965.83999999997"/>
    <n v="5.1496583999999998E-2"/>
    <s v="Pending"/>
    <s v="Pending"/>
    <s v="Invalid"/>
    <s v="Pending"/>
  </r>
  <r>
    <x v="650"/>
    <x v="394"/>
    <x v="3"/>
    <x v="3"/>
    <x v="0"/>
    <s v="Mahadev Motors Uttar Pradesh"/>
    <x v="0"/>
    <x v="0"/>
    <x v="2"/>
    <x v="0"/>
    <n v="5"/>
    <n v="252919"/>
    <n v="7"/>
    <n v="1264595"/>
    <n v="0.1264595"/>
    <n v="1176073.3499999999"/>
    <n v="0.11760733499999998"/>
    <s v="Partial"/>
    <s v="In Transit"/>
    <s v="Invalid"/>
    <s v="In Transit"/>
  </r>
  <r>
    <x v="651"/>
    <x v="278"/>
    <x v="0"/>
    <x v="0"/>
    <x v="2"/>
    <s v="Shakti Agro Maharashtra"/>
    <x v="2"/>
    <x v="2"/>
    <x v="0"/>
    <x v="0"/>
    <n v="5"/>
    <n v="688430"/>
    <n v="7"/>
    <n v="3442150"/>
    <n v="0.34421499999999999"/>
    <n v="3201199.5"/>
    <n v="0.32011994999999999"/>
    <s v="Paid"/>
    <s v="Delivered"/>
    <s v="Invalid"/>
    <s v="Completed"/>
  </r>
  <r>
    <x v="652"/>
    <x v="67"/>
    <x v="4"/>
    <x v="3"/>
    <x v="1"/>
    <s v="Mahadev Motors Karnataka"/>
    <x v="1"/>
    <x v="1"/>
    <x v="2"/>
    <x v="0"/>
    <n v="4"/>
    <n v="879916"/>
    <n v="6"/>
    <n v="3519664"/>
    <n v="0.35196640000000001"/>
    <n v="3308484.1599999997"/>
    <n v="0.33084841599999998"/>
    <s v="Paid"/>
    <s v="Delivered"/>
    <s v="Invalid"/>
    <s v="Completed"/>
  </r>
  <r>
    <x v="653"/>
    <x v="75"/>
    <x v="1"/>
    <x v="1"/>
    <x v="0"/>
    <s v="Green Field Uttar Pradesh"/>
    <x v="0"/>
    <x v="0"/>
    <x v="0"/>
    <x v="0"/>
    <n v="2"/>
    <n v="760758"/>
    <n v="5"/>
    <n v="1521516"/>
    <n v="0.1521516"/>
    <n v="1445440.2"/>
    <n v="0.14454402"/>
    <s v="Partial"/>
    <s v="In Transit"/>
    <s v="Invalid"/>
    <s v="In Transit"/>
  </r>
  <r>
    <x v="654"/>
    <x v="395"/>
    <x v="0"/>
    <x v="1"/>
    <x v="0"/>
    <s v="Green Field Uttar Pradesh"/>
    <x v="0"/>
    <x v="0"/>
    <x v="1"/>
    <x v="1"/>
    <n v="6"/>
    <n v="342824"/>
    <n v="8"/>
    <n v="2056944"/>
    <n v="0.2056944"/>
    <n v="1892388.48"/>
    <n v="0.18923884799999999"/>
    <s v="Partial"/>
    <s v="In Transit"/>
    <s v="Valid"/>
    <s v="In Transit"/>
  </r>
  <r>
    <x v="655"/>
    <x v="113"/>
    <x v="3"/>
    <x v="4"/>
    <x v="0"/>
    <s v="Agri Motors Uttar Pradesh"/>
    <x v="0"/>
    <x v="0"/>
    <x v="3"/>
    <x v="2"/>
    <n v="3"/>
    <n v="646350"/>
    <n v="6"/>
    <n v="1939050"/>
    <n v="0.19390499999999999"/>
    <n v="1822707"/>
    <n v="0.18227070000000001"/>
    <s v="Partial"/>
    <s v="In Transit"/>
    <s v="Invalid"/>
    <s v="In Transit"/>
  </r>
  <r>
    <x v="656"/>
    <x v="396"/>
    <x v="1"/>
    <x v="1"/>
    <x v="4"/>
    <s v="Green Field West Bengal"/>
    <x v="4"/>
    <x v="3"/>
    <x v="0"/>
    <x v="0"/>
    <n v="3"/>
    <n v="672133"/>
    <n v="6"/>
    <n v="2016399"/>
    <n v="0.20163990000000001"/>
    <n v="1895415.0599999998"/>
    <n v="0.18954150599999997"/>
    <s v="Partial"/>
    <s v="In Transit"/>
    <s v="Valid"/>
    <s v="In Transit"/>
  </r>
  <r>
    <x v="657"/>
    <x v="225"/>
    <x v="2"/>
    <x v="0"/>
    <x v="4"/>
    <s v="Shakti Agro West Bengal"/>
    <x v="4"/>
    <x v="3"/>
    <x v="2"/>
    <x v="0"/>
    <n v="5"/>
    <n v="196677"/>
    <n v="7"/>
    <n v="983385"/>
    <n v="9.8338499999999995E-2"/>
    <n v="914548.04999999993"/>
    <n v="9.1454804999999986E-2"/>
    <s v="Paid"/>
    <s v="Delivered"/>
    <s v="Invalid"/>
    <s v="Completed"/>
  </r>
  <r>
    <x v="658"/>
    <x v="379"/>
    <x v="3"/>
    <x v="4"/>
    <x v="1"/>
    <s v="Agri Motors Karnataka"/>
    <x v="1"/>
    <x v="1"/>
    <x v="4"/>
    <x v="1"/>
    <n v="7"/>
    <n v="680299"/>
    <n v="9"/>
    <n v="4762093"/>
    <n v="0.4762093"/>
    <n v="4333504.63"/>
    <n v="0.43335046299999996"/>
    <s v="Paid"/>
    <s v="Delivered"/>
    <s v="Valid"/>
    <s v="Completed"/>
  </r>
  <r>
    <x v="659"/>
    <x v="313"/>
    <x v="4"/>
    <x v="2"/>
    <x v="0"/>
    <s v="Kisan Tractors Uttar Pradesh"/>
    <x v="0"/>
    <x v="0"/>
    <x v="4"/>
    <x v="1"/>
    <n v="6"/>
    <n v="739256"/>
    <n v="8"/>
    <n v="4435536"/>
    <n v="0.44355359999999999"/>
    <n v="4080693.12"/>
    <n v="0.40806931200000002"/>
    <s v="Pending"/>
    <s v="Pending"/>
    <s v="Invalid"/>
    <s v="Pending"/>
  </r>
  <r>
    <x v="660"/>
    <x v="281"/>
    <x v="3"/>
    <x v="2"/>
    <x v="0"/>
    <s v="Kisan Tractors Uttar Pradesh"/>
    <x v="0"/>
    <x v="0"/>
    <x v="0"/>
    <x v="0"/>
    <n v="5"/>
    <n v="422065"/>
    <n v="7"/>
    <n v="2110325"/>
    <n v="0.21103250000000001"/>
    <n v="1962602.2499999998"/>
    <n v="0.19626022499999998"/>
    <s v="Pending"/>
    <s v="Pending"/>
    <s v="Invalid"/>
    <s v="Pending"/>
  </r>
  <r>
    <x v="661"/>
    <x v="372"/>
    <x v="3"/>
    <x v="4"/>
    <x v="2"/>
    <s v="Agri Motors Maharashtra"/>
    <x v="2"/>
    <x v="2"/>
    <x v="3"/>
    <x v="2"/>
    <n v="4"/>
    <n v="761742"/>
    <n v="6"/>
    <n v="3046968"/>
    <n v="0.30469679999999999"/>
    <n v="2864149.92"/>
    <n v="0.28641499199999998"/>
    <s v="Paid"/>
    <s v="Delivered"/>
    <s v="Invalid"/>
    <s v="Completed"/>
  </r>
  <r>
    <x v="662"/>
    <x v="397"/>
    <x v="4"/>
    <x v="3"/>
    <x v="3"/>
    <s v="Mahadev Motors Haryana"/>
    <x v="3"/>
    <x v="0"/>
    <x v="2"/>
    <x v="0"/>
    <n v="3"/>
    <n v="464043"/>
    <n v="6"/>
    <n v="1392129"/>
    <n v="0.1392129"/>
    <n v="1308601.26"/>
    <n v="0.13086012599999999"/>
    <s v="Pending"/>
    <s v="Pending"/>
    <s v="Invalid"/>
    <s v="Pending"/>
  </r>
  <r>
    <x v="663"/>
    <x v="175"/>
    <x v="0"/>
    <x v="4"/>
    <x v="4"/>
    <s v="Agri Motors West Bengal"/>
    <x v="4"/>
    <x v="3"/>
    <x v="3"/>
    <x v="2"/>
    <n v="7"/>
    <n v="347026"/>
    <n v="9"/>
    <n v="2429182"/>
    <n v="0.2429182"/>
    <n v="2210555.62"/>
    <n v="0.22105556200000001"/>
    <s v="Partial"/>
    <s v="In Transit"/>
    <s v="Valid"/>
    <s v="In Transit"/>
  </r>
  <r>
    <x v="664"/>
    <x v="262"/>
    <x v="3"/>
    <x v="0"/>
    <x v="1"/>
    <s v="Shakti Agro Karnataka"/>
    <x v="1"/>
    <x v="1"/>
    <x v="4"/>
    <x v="1"/>
    <n v="6"/>
    <n v="698912"/>
    <n v="8"/>
    <n v="4193472"/>
    <n v="0.41934719999999998"/>
    <n v="3857994.24"/>
    <n v="0.385799424"/>
    <s v="Pending"/>
    <s v="Pending"/>
    <s v="Valid"/>
    <s v="Pending"/>
  </r>
  <r>
    <x v="665"/>
    <x v="398"/>
    <x v="1"/>
    <x v="4"/>
    <x v="0"/>
    <s v="Agri Motors Uttar Pradesh"/>
    <x v="0"/>
    <x v="0"/>
    <x v="1"/>
    <x v="1"/>
    <n v="1"/>
    <n v="451294"/>
    <n v="3"/>
    <n v="451294"/>
    <n v="4.51294E-2"/>
    <n v="437755.18"/>
    <n v="4.3775517999999999E-2"/>
    <s v="Partial"/>
    <s v="In Transit"/>
    <s v="Invalid"/>
    <s v="In Transit"/>
  </r>
  <r>
    <x v="666"/>
    <x v="316"/>
    <x v="3"/>
    <x v="3"/>
    <x v="3"/>
    <s v="Mahadev Motors Haryana"/>
    <x v="3"/>
    <x v="0"/>
    <x v="2"/>
    <x v="0"/>
    <n v="6"/>
    <n v="581125"/>
    <n v="8"/>
    <n v="3486750"/>
    <n v="0.34867500000000001"/>
    <n v="3207810"/>
    <n v="0.32078099999999998"/>
    <s v="Paid"/>
    <s v="Delivered"/>
    <s v="Valid"/>
    <s v="Completed"/>
  </r>
  <r>
    <x v="667"/>
    <x v="48"/>
    <x v="0"/>
    <x v="1"/>
    <x v="1"/>
    <s v="Green Field Karnataka"/>
    <x v="1"/>
    <x v="1"/>
    <x v="4"/>
    <x v="1"/>
    <n v="5"/>
    <n v="401530"/>
    <n v="7"/>
    <n v="2007650"/>
    <n v="0.200765"/>
    <n v="1867114.4999999998"/>
    <n v="0.18671144999999997"/>
    <s v="Pending"/>
    <s v="Pending"/>
    <s v="Invalid"/>
    <s v="Pending"/>
  </r>
  <r>
    <x v="668"/>
    <x v="399"/>
    <x v="0"/>
    <x v="3"/>
    <x v="2"/>
    <s v="Mahadev Motors Maharashtra"/>
    <x v="2"/>
    <x v="2"/>
    <x v="2"/>
    <x v="0"/>
    <n v="5"/>
    <n v="522706"/>
    <n v="7"/>
    <n v="2613530"/>
    <n v="0.261353"/>
    <n v="2430582.9"/>
    <n v="0.24305828999999998"/>
    <s v="Pending"/>
    <s v="Pending"/>
    <s v="Invalid"/>
    <s v="Pending"/>
  </r>
  <r>
    <x v="669"/>
    <x v="400"/>
    <x v="0"/>
    <x v="3"/>
    <x v="0"/>
    <s v="Mahadev Motors Uttar Pradesh"/>
    <x v="0"/>
    <x v="0"/>
    <x v="1"/>
    <x v="1"/>
    <n v="3"/>
    <n v="715874"/>
    <n v="6"/>
    <n v="2147622"/>
    <n v="0.21476219999999999"/>
    <n v="2018764.68"/>
    <n v="0.201876468"/>
    <s v="Paid"/>
    <s v="Delivered"/>
    <s v="Invalid"/>
    <s v="Completed"/>
  </r>
  <r>
    <x v="670"/>
    <x v="401"/>
    <x v="1"/>
    <x v="4"/>
    <x v="2"/>
    <s v="Agri Motors Maharashtra"/>
    <x v="2"/>
    <x v="2"/>
    <x v="3"/>
    <x v="2"/>
    <n v="1"/>
    <n v="313274"/>
    <n v="3"/>
    <n v="313274"/>
    <n v="3.1327399999999998E-2"/>
    <n v="303875.77999999997"/>
    <n v="3.0387577999999998E-2"/>
    <s v="Partial"/>
    <s v="In Transit"/>
    <s v="Valid"/>
    <s v="In Transit"/>
  </r>
  <r>
    <x v="671"/>
    <x v="277"/>
    <x v="2"/>
    <x v="0"/>
    <x v="4"/>
    <s v="Shakti Agro West Bengal"/>
    <x v="4"/>
    <x v="3"/>
    <x v="1"/>
    <x v="1"/>
    <n v="4"/>
    <n v="698110"/>
    <n v="6"/>
    <n v="2792440"/>
    <n v="0.27924399999999999"/>
    <n v="2624893.5999999996"/>
    <n v="0.26248935999999995"/>
    <s v="Pending"/>
    <s v="Pending"/>
    <s v="Valid"/>
    <s v="Pending"/>
  </r>
  <r>
    <x v="672"/>
    <x v="27"/>
    <x v="4"/>
    <x v="3"/>
    <x v="3"/>
    <s v="Mahadev Motors Haryana"/>
    <x v="3"/>
    <x v="0"/>
    <x v="3"/>
    <x v="2"/>
    <n v="2"/>
    <n v="175222"/>
    <n v="5"/>
    <n v="350444"/>
    <n v="3.5044400000000003E-2"/>
    <n v="332921.8"/>
    <n v="3.3292179999999998E-2"/>
    <s v="Paid"/>
    <s v="Delivered"/>
    <s v="Valid"/>
    <s v="Completed"/>
  </r>
  <r>
    <x v="673"/>
    <x v="209"/>
    <x v="3"/>
    <x v="4"/>
    <x v="0"/>
    <s v="Agri Motors Uttar Pradesh"/>
    <x v="0"/>
    <x v="0"/>
    <x v="3"/>
    <x v="2"/>
    <n v="6"/>
    <n v="210180"/>
    <n v="8"/>
    <n v="1261080"/>
    <n v="0.126108"/>
    <n v="1160193.6000000001"/>
    <n v="0.11601936000000002"/>
    <s v="Partial"/>
    <s v="In Transit"/>
    <s v="Invalid"/>
    <s v="In Transit"/>
  </r>
  <r>
    <x v="674"/>
    <x v="402"/>
    <x v="2"/>
    <x v="1"/>
    <x v="3"/>
    <s v="Green Field Haryana"/>
    <x v="3"/>
    <x v="0"/>
    <x v="2"/>
    <x v="0"/>
    <n v="2"/>
    <n v="597798"/>
    <n v="5"/>
    <n v="1195596"/>
    <n v="0.1195596"/>
    <n v="1135816.2"/>
    <n v="0.11358161999999999"/>
    <s v="Partial"/>
    <s v="In Transit"/>
    <s v="Invalid"/>
    <s v="In Transit"/>
  </r>
  <r>
    <x v="675"/>
    <x v="403"/>
    <x v="3"/>
    <x v="1"/>
    <x v="0"/>
    <s v="Green Field Uttar Pradesh"/>
    <x v="0"/>
    <x v="0"/>
    <x v="2"/>
    <x v="0"/>
    <n v="1"/>
    <n v="94593"/>
    <n v="3"/>
    <n v="94593"/>
    <n v="9.4593000000000003E-3"/>
    <n v="91755.209999999992"/>
    <n v="9.175520999999999E-3"/>
    <s v="Partial"/>
    <s v="In Transit"/>
    <s v="Valid"/>
    <s v="In Transit"/>
  </r>
  <r>
    <x v="676"/>
    <x v="87"/>
    <x v="3"/>
    <x v="3"/>
    <x v="1"/>
    <s v="Mahadev Motors Karnataka"/>
    <x v="1"/>
    <x v="1"/>
    <x v="3"/>
    <x v="2"/>
    <n v="5"/>
    <n v="239418"/>
    <n v="7"/>
    <n v="1197090"/>
    <n v="0.119709"/>
    <n v="1113293.7"/>
    <n v="0.11132937"/>
    <s v="Partial"/>
    <s v="In Transit"/>
    <s v="Valid"/>
    <s v="In Transit"/>
  </r>
  <r>
    <x v="677"/>
    <x v="263"/>
    <x v="0"/>
    <x v="4"/>
    <x v="0"/>
    <s v="Agri Motors Uttar Pradesh"/>
    <x v="0"/>
    <x v="0"/>
    <x v="4"/>
    <x v="1"/>
    <n v="7"/>
    <n v="729187"/>
    <n v="9"/>
    <n v="5104309"/>
    <n v="0.51043090000000002"/>
    <n v="4644921.1900000004"/>
    <n v="0.46449211900000004"/>
    <s v="Partial"/>
    <s v="In Transit"/>
    <s v="Invalid"/>
    <s v="In Transit"/>
  </r>
  <r>
    <x v="678"/>
    <x v="283"/>
    <x v="4"/>
    <x v="0"/>
    <x v="2"/>
    <s v="Shakti Agro Maharashtra"/>
    <x v="2"/>
    <x v="2"/>
    <x v="4"/>
    <x v="1"/>
    <n v="8"/>
    <n v="384922"/>
    <n v="9"/>
    <n v="3079376"/>
    <n v="0.30793759999999998"/>
    <n v="2802232.16"/>
    <n v="0.280223216"/>
    <s v="Paid"/>
    <s v="Delivered"/>
    <s v="Invalid"/>
    <s v="Completed"/>
  </r>
  <r>
    <x v="679"/>
    <x v="363"/>
    <x v="3"/>
    <x v="2"/>
    <x v="2"/>
    <s v="Kisan Tractors Maharashtra"/>
    <x v="2"/>
    <x v="2"/>
    <x v="1"/>
    <x v="1"/>
    <n v="3"/>
    <n v="374376"/>
    <n v="6"/>
    <n v="1123128"/>
    <n v="0.1123128"/>
    <n v="1055740.3199999998"/>
    <n v="0.10557403199999998"/>
    <s v="Pending"/>
    <s v="Pending"/>
    <s v="Invalid"/>
    <s v="Pending"/>
  </r>
  <r>
    <x v="680"/>
    <x v="404"/>
    <x v="4"/>
    <x v="1"/>
    <x v="0"/>
    <s v="Green Field Uttar Pradesh"/>
    <x v="0"/>
    <x v="0"/>
    <x v="2"/>
    <x v="0"/>
    <n v="5"/>
    <n v="262863"/>
    <n v="7"/>
    <n v="1314315"/>
    <n v="0.13143150000000001"/>
    <n v="1222312.95"/>
    <n v="0.12223129499999999"/>
    <s v="Pending"/>
    <s v="Pending"/>
    <s v="Valid"/>
    <s v="Pending"/>
  </r>
  <r>
    <x v="681"/>
    <x v="230"/>
    <x v="3"/>
    <x v="2"/>
    <x v="1"/>
    <s v="Kisan Tractors Karnataka"/>
    <x v="1"/>
    <x v="1"/>
    <x v="0"/>
    <x v="0"/>
    <n v="8"/>
    <n v="325065"/>
    <n v="9"/>
    <n v="2600520"/>
    <n v="0.26005200000000001"/>
    <n v="2366473.2000000002"/>
    <n v="0.23664732000000002"/>
    <s v="Paid"/>
    <s v="Delivered"/>
    <s v="Invalid"/>
    <s v="Completed"/>
  </r>
  <r>
    <x v="682"/>
    <x v="405"/>
    <x v="3"/>
    <x v="0"/>
    <x v="0"/>
    <s v="Shakti Agro Uttar Pradesh"/>
    <x v="0"/>
    <x v="0"/>
    <x v="0"/>
    <x v="0"/>
    <n v="4"/>
    <n v="727592"/>
    <n v="6"/>
    <n v="2910368"/>
    <n v="0.29103679999999998"/>
    <n v="2735745.92"/>
    <n v="0.27357459200000001"/>
    <s v="Paid"/>
    <s v="Delivered"/>
    <s v="Invalid"/>
    <s v="Completed"/>
  </r>
  <r>
    <x v="683"/>
    <x v="374"/>
    <x v="4"/>
    <x v="2"/>
    <x v="2"/>
    <s v="Kisan Tractors Maharashtra"/>
    <x v="2"/>
    <x v="2"/>
    <x v="0"/>
    <x v="0"/>
    <n v="3"/>
    <n v="453409"/>
    <n v="6"/>
    <n v="1360227"/>
    <n v="0.1360227"/>
    <n v="1278613.3799999999"/>
    <n v="0.12786133799999999"/>
    <s v="Partial"/>
    <s v="In Transit"/>
    <s v="Invalid"/>
    <s v="In Transit"/>
  </r>
  <r>
    <x v="684"/>
    <x v="308"/>
    <x v="1"/>
    <x v="2"/>
    <x v="2"/>
    <s v="Kisan Tractors Maharashtra"/>
    <x v="2"/>
    <x v="2"/>
    <x v="4"/>
    <x v="1"/>
    <n v="8"/>
    <n v="860602"/>
    <n v="9"/>
    <n v="6884816"/>
    <n v="0.68848160000000003"/>
    <n v="6265182.5600000005"/>
    <n v="0.62651825600000011"/>
    <s v="Paid"/>
    <s v="Delivered"/>
    <s v="Invalid"/>
    <s v="Completed"/>
  </r>
  <r>
    <x v="685"/>
    <x v="366"/>
    <x v="1"/>
    <x v="3"/>
    <x v="3"/>
    <s v="Mahadev Motors Haryana"/>
    <x v="3"/>
    <x v="0"/>
    <x v="4"/>
    <x v="1"/>
    <n v="5"/>
    <n v="478092"/>
    <n v="7"/>
    <n v="2390460"/>
    <n v="0.23904600000000001"/>
    <n v="2223127.7999999998"/>
    <n v="0.22231277999999999"/>
    <s v="Paid"/>
    <s v="Delivered"/>
    <s v="Valid"/>
    <s v="Completed"/>
  </r>
  <r>
    <x v="686"/>
    <x v="130"/>
    <x v="3"/>
    <x v="0"/>
    <x v="3"/>
    <s v="Shakti Agro Haryana"/>
    <x v="3"/>
    <x v="0"/>
    <x v="1"/>
    <x v="1"/>
    <n v="6"/>
    <n v="634200"/>
    <n v="8"/>
    <n v="3805200"/>
    <n v="0.38052000000000002"/>
    <n v="3500784"/>
    <n v="0.35007840000000001"/>
    <s v="Partial"/>
    <s v="In Transit"/>
    <s v="Invalid"/>
    <s v="In Transit"/>
  </r>
  <r>
    <x v="687"/>
    <x v="56"/>
    <x v="0"/>
    <x v="3"/>
    <x v="2"/>
    <s v="Mahadev Motors Maharashtra"/>
    <x v="2"/>
    <x v="2"/>
    <x v="2"/>
    <x v="0"/>
    <n v="1"/>
    <n v="379461"/>
    <n v="3"/>
    <n v="379461"/>
    <n v="3.7946100000000003E-2"/>
    <n v="368077.17"/>
    <n v="3.6807716999999997E-2"/>
    <s v="Pending"/>
    <s v="Pending"/>
    <s v="Invalid"/>
    <s v="Pending"/>
  </r>
  <r>
    <x v="688"/>
    <x v="193"/>
    <x v="3"/>
    <x v="2"/>
    <x v="1"/>
    <s v="Kisan Tractors Karnataka"/>
    <x v="1"/>
    <x v="1"/>
    <x v="2"/>
    <x v="0"/>
    <n v="7"/>
    <n v="58460"/>
    <n v="9"/>
    <n v="409220"/>
    <n v="4.0922E-2"/>
    <n v="372390.2"/>
    <n v="3.7239020000000005E-2"/>
    <s v="Paid"/>
    <s v="Delivered"/>
    <s v="Invalid"/>
    <s v="Completed"/>
  </r>
  <r>
    <x v="689"/>
    <x v="190"/>
    <x v="0"/>
    <x v="1"/>
    <x v="3"/>
    <s v="Green Field Haryana"/>
    <x v="3"/>
    <x v="0"/>
    <x v="1"/>
    <x v="1"/>
    <n v="4"/>
    <n v="650617"/>
    <n v="6"/>
    <n v="2602468"/>
    <n v="0.2602468"/>
    <n v="2446319.92"/>
    <n v="0.24463199199999999"/>
    <s v="Pending"/>
    <s v="Pending"/>
    <s v="Invalid"/>
    <s v="Pending"/>
  </r>
  <r>
    <x v="690"/>
    <x v="354"/>
    <x v="3"/>
    <x v="3"/>
    <x v="3"/>
    <s v="Mahadev Motors Haryana"/>
    <x v="3"/>
    <x v="0"/>
    <x v="4"/>
    <x v="1"/>
    <n v="4"/>
    <n v="797787"/>
    <n v="6"/>
    <n v="3191148"/>
    <n v="0.31911479999999998"/>
    <n v="2999679.1199999996"/>
    <n v="0.29996791199999995"/>
    <s v="Pending"/>
    <s v="Pending"/>
    <s v="Invalid"/>
    <s v="Pending"/>
  </r>
  <r>
    <x v="691"/>
    <x v="84"/>
    <x v="2"/>
    <x v="4"/>
    <x v="2"/>
    <s v="Agri Motors Maharashtra"/>
    <x v="2"/>
    <x v="2"/>
    <x v="3"/>
    <x v="2"/>
    <n v="5"/>
    <n v="61995"/>
    <n v="7"/>
    <n v="309975"/>
    <n v="3.0997500000000001E-2"/>
    <n v="288276.75"/>
    <n v="2.8827675000000001E-2"/>
    <s v="Partial"/>
    <s v="In Transit"/>
    <s v="Invalid"/>
    <s v="In Transit"/>
  </r>
  <r>
    <x v="692"/>
    <x v="382"/>
    <x v="2"/>
    <x v="1"/>
    <x v="2"/>
    <s v="Green Field Maharashtra"/>
    <x v="2"/>
    <x v="2"/>
    <x v="1"/>
    <x v="1"/>
    <n v="5"/>
    <n v="706433"/>
    <n v="7"/>
    <n v="3532165"/>
    <n v="0.35321649999999999"/>
    <n v="3284913.4499999997"/>
    <n v="0.32849134499999999"/>
    <s v="Pending"/>
    <s v="Pending"/>
    <s v="Valid"/>
    <s v="Pending"/>
  </r>
  <r>
    <x v="693"/>
    <x v="354"/>
    <x v="0"/>
    <x v="1"/>
    <x v="3"/>
    <s v="Green Field Haryana"/>
    <x v="3"/>
    <x v="0"/>
    <x v="0"/>
    <x v="0"/>
    <n v="2"/>
    <n v="525218"/>
    <n v="5"/>
    <n v="1050436"/>
    <n v="0.1050436"/>
    <n v="997914.2"/>
    <n v="9.9791419999999992E-2"/>
    <s v="Pending"/>
    <s v="Pending"/>
    <s v="Valid"/>
    <s v="Pending"/>
  </r>
  <r>
    <x v="694"/>
    <x v="204"/>
    <x v="0"/>
    <x v="3"/>
    <x v="3"/>
    <s v="Mahadev Motors Haryana"/>
    <x v="3"/>
    <x v="0"/>
    <x v="0"/>
    <x v="0"/>
    <n v="1"/>
    <n v="553108"/>
    <n v="3"/>
    <n v="553108"/>
    <n v="5.53108E-2"/>
    <n v="536514.76"/>
    <n v="5.3651476000000003E-2"/>
    <s v="Paid"/>
    <s v="Delivered"/>
    <s v="Invalid"/>
    <s v="Completed"/>
  </r>
  <r>
    <x v="695"/>
    <x v="90"/>
    <x v="2"/>
    <x v="4"/>
    <x v="4"/>
    <s v="Agri Motors West Bengal"/>
    <x v="4"/>
    <x v="3"/>
    <x v="4"/>
    <x v="1"/>
    <n v="2"/>
    <n v="387438"/>
    <n v="5"/>
    <n v="774876"/>
    <n v="7.7487600000000004E-2"/>
    <n v="736132.2"/>
    <n v="7.3613219999999993E-2"/>
    <s v="Pending"/>
    <s v="Pending"/>
    <s v="Invalid"/>
    <s v="Pending"/>
  </r>
  <r>
    <x v="696"/>
    <x v="104"/>
    <x v="3"/>
    <x v="1"/>
    <x v="4"/>
    <s v="Green Field West Bengal"/>
    <x v="4"/>
    <x v="3"/>
    <x v="4"/>
    <x v="1"/>
    <n v="3"/>
    <n v="143228"/>
    <n v="6"/>
    <n v="429684"/>
    <n v="4.2968399999999997E-2"/>
    <n v="403902.95999999996"/>
    <n v="4.0390295999999999E-2"/>
    <s v="Partial"/>
    <s v="In Transit"/>
    <s v="Valid"/>
    <s v="In Transit"/>
  </r>
  <r>
    <x v="697"/>
    <x v="406"/>
    <x v="2"/>
    <x v="2"/>
    <x v="1"/>
    <s v="Kisan Tractors Karnataka"/>
    <x v="1"/>
    <x v="1"/>
    <x v="2"/>
    <x v="0"/>
    <n v="6"/>
    <n v="330146"/>
    <n v="8"/>
    <n v="1980876"/>
    <n v="0.1980876"/>
    <n v="1822405.9200000002"/>
    <n v="0.18224059200000001"/>
    <s v="Paid"/>
    <s v="Delivered"/>
    <s v="Invalid"/>
    <s v="Completed"/>
  </r>
  <r>
    <x v="698"/>
    <x v="407"/>
    <x v="4"/>
    <x v="1"/>
    <x v="1"/>
    <s v="Green Field Karnataka"/>
    <x v="1"/>
    <x v="1"/>
    <x v="0"/>
    <x v="0"/>
    <n v="4"/>
    <n v="338323"/>
    <n v="6"/>
    <n v="1353292"/>
    <n v="0.13532920000000001"/>
    <n v="1272094.48"/>
    <n v="0.127209448"/>
    <s v="Partial"/>
    <s v="In Transit"/>
    <s v="Valid"/>
    <s v="In Transit"/>
  </r>
  <r>
    <x v="699"/>
    <x v="245"/>
    <x v="3"/>
    <x v="2"/>
    <x v="1"/>
    <s v="Kisan Tractors Karnataka"/>
    <x v="1"/>
    <x v="1"/>
    <x v="1"/>
    <x v="1"/>
    <n v="5"/>
    <n v="343736"/>
    <n v="7"/>
    <n v="1718680"/>
    <n v="0.17186799999999999"/>
    <n v="1598372.4"/>
    <n v="0.15983723999999999"/>
    <s v="Paid"/>
    <s v="Delivered"/>
    <s v="Valid"/>
    <s v="Completed"/>
  </r>
  <r>
    <x v="700"/>
    <x v="408"/>
    <x v="3"/>
    <x v="1"/>
    <x v="3"/>
    <s v="Green Field Haryana"/>
    <x v="3"/>
    <x v="0"/>
    <x v="1"/>
    <x v="1"/>
    <n v="1"/>
    <n v="578104"/>
    <n v="3"/>
    <n v="578104"/>
    <n v="5.7810399999999998E-2"/>
    <n v="560760.88"/>
    <n v="5.6076088000000003E-2"/>
    <s v="Pending"/>
    <s v="Pending"/>
    <s v="Valid"/>
    <s v="Pending"/>
  </r>
  <r>
    <x v="701"/>
    <x v="13"/>
    <x v="0"/>
    <x v="3"/>
    <x v="3"/>
    <s v="Mahadev Motors Haryana"/>
    <x v="3"/>
    <x v="0"/>
    <x v="0"/>
    <x v="0"/>
    <n v="6"/>
    <n v="68124"/>
    <n v="8"/>
    <n v="408744"/>
    <n v="4.0874399999999998E-2"/>
    <n v="376044.48000000004"/>
    <n v="3.7604448000000006E-2"/>
    <s v="Partial"/>
    <s v="In Transit"/>
    <s v="Invalid"/>
    <s v="In Transit"/>
  </r>
  <r>
    <x v="702"/>
    <x v="24"/>
    <x v="2"/>
    <x v="0"/>
    <x v="3"/>
    <s v="Shakti Agro Haryana"/>
    <x v="3"/>
    <x v="0"/>
    <x v="2"/>
    <x v="0"/>
    <n v="0"/>
    <n v="113975"/>
    <n v="0"/>
    <n v="0"/>
    <n v="0"/>
    <n v="0"/>
    <n v="0"/>
    <s v="Pending"/>
    <s v="Pending"/>
    <s v="Invalid"/>
    <s v="Pending"/>
  </r>
  <r>
    <x v="703"/>
    <x v="409"/>
    <x v="3"/>
    <x v="4"/>
    <x v="3"/>
    <s v="Agri Motors Haryana"/>
    <x v="3"/>
    <x v="0"/>
    <x v="1"/>
    <x v="1"/>
    <n v="6"/>
    <n v="72778"/>
    <n v="8"/>
    <n v="436668"/>
    <n v="4.3666799999999999E-2"/>
    <n v="401734.56"/>
    <n v="4.0173456000000003E-2"/>
    <s v="Paid"/>
    <s v="Delivered"/>
    <s v="Valid"/>
    <s v="Completed"/>
  </r>
  <r>
    <x v="704"/>
    <x v="254"/>
    <x v="0"/>
    <x v="1"/>
    <x v="0"/>
    <s v="Green Field Uttar Pradesh"/>
    <x v="0"/>
    <x v="0"/>
    <x v="2"/>
    <x v="0"/>
    <n v="5"/>
    <n v="104523"/>
    <n v="7"/>
    <n v="522615"/>
    <n v="5.2261500000000002E-2"/>
    <n v="486031.94999999995"/>
    <n v="4.8603194999999995E-2"/>
    <s v="Partial"/>
    <s v="In Transit"/>
    <s v="Valid"/>
    <s v="In Transit"/>
  </r>
  <r>
    <x v="705"/>
    <x v="175"/>
    <x v="2"/>
    <x v="4"/>
    <x v="4"/>
    <s v="Agri Motors West Bengal"/>
    <x v="4"/>
    <x v="3"/>
    <x v="3"/>
    <x v="2"/>
    <n v="3"/>
    <n v="421548"/>
    <n v="6"/>
    <n v="1264644"/>
    <n v="0.1264644"/>
    <n v="1188765.3599999999"/>
    <n v="0.11887653599999999"/>
    <s v="Partial"/>
    <s v="In Transit"/>
    <s v="Invalid"/>
    <s v="In Transit"/>
  </r>
  <r>
    <x v="706"/>
    <x v="149"/>
    <x v="0"/>
    <x v="1"/>
    <x v="4"/>
    <s v="Green Field West Bengal"/>
    <x v="4"/>
    <x v="3"/>
    <x v="4"/>
    <x v="1"/>
    <n v="8"/>
    <n v="898502"/>
    <n v="9"/>
    <n v="7188016"/>
    <n v="0.71880160000000004"/>
    <n v="6541094.5600000005"/>
    <n v="0.65410945600000003"/>
    <s v="Pending"/>
    <s v="Pending"/>
    <s v="Invalid"/>
    <s v="Pending"/>
  </r>
  <r>
    <x v="707"/>
    <x v="281"/>
    <x v="0"/>
    <x v="4"/>
    <x v="0"/>
    <s v="Agri Motors Uttar Pradesh"/>
    <x v="0"/>
    <x v="0"/>
    <x v="2"/>
    <x v="0"/>
    <n v="2"/>
    <n v="729108"/>
    <n v="5"/>
    <n v="1458216"/>
    <n v="0.1458216"/>
    <n v="1385305.2"/>
    <n v="0.13853051999999999"/>
    <s v="Pending"/>
    <s v="Pending"/>
    <s v="Invalid"/>
    <s v="Pending"/>
  </r>
  <r>
    <x v="708"/>
    <x v="25"/>
    <x v="3"/>
    <x v="4"/>
    <x v="3"/>
    <s v="Agri Motors Haryana"/>
    <x v="3"/>
    <x v="0"/>
    <x v="3"/>
    <x v="2"/>
    <n v="4"/>
    <n v="524018"/>
    <n v="6"/>
    <n v="2096072"/>
    <n v="0.20960719999999999"/>
    <n v="1970307.68"/>
    <n v="0.197030768"/>
    <s v="Paid"/>
    <s v="Delivered"/>
    <s v="Invalid"/>
    <s v="Completed"/>
  </r>
  <r>
    <x v="709"/>
    <x v="410"/>
    <x v="2"/>
    <x v="0"/>
    <x v="3"/>
    <s v="Shakti Agro Haryana"/>
    <x v="3"/>
    <x v="0"/>
    <x v="0"/>
    <x v="0"/>
    <n v="5"/>
    <n v="867947"/>
    <n v="7"/>
    <n v="4339735"/>
    <n v="0.43397350000000001"/>
    <n v="4035953.55"/>
    <n v="0.40359535499999999"/>
    <s v="Partial"/>
    <s v="In Transit"/>
    <s v="Valid"/>
    <s v="In Transit"/>
  </r>
  <r>
    <x v="710"/>
    <x v="153"/>
    <x v="1"/>
    <x v="1"/>
    <x v="3"/>
    <s v="Green Field Haryana"/>
    <x v="3"/>
    <x v="0"/>
    <x v="3"/>
    <x v="2"/>
    <n v="4"/>
    <n v="597097"/>
    <n v="6"/>
    <n v="2388388"/>
    <n v="0.23883879999999999"/>
    <n v="2245084.7199999997"/>
    <n v="0.22450847199999999"/>
    <s v="Partial"/>
    <s v="In Transit"/>
    <s v="Invalid"/>
    <s v="In Transit"/>
  </r>
  <r>
    <x v="711"/>
    <x v="411"/>
    <x v="1"/>
    <x v="2"/>
    <x v="3"/>
    <s v="Kisan Tractors Haryana"/>
    <x v="3"/>
    <x v="0"/>
    <x v="0"/>
    <x v="0"/>
    <n v="7"/>
    <n v="766204"/>
    <n v="9"/>
    <n v="5363428"/>
    <n v="0.53634280000000001"/>
    <n v="4880719.4800000004"/>
    <n v="0.48807194800000003"/>
    <s v="Partial"/>
    <s v="In Transit"/>
    <s v="Invalid"/>
    <s v="In Transit"/>
  </r>
  <r>
    <x v="712"/>
    <x v="202"/>
    <x v="0"/>
    <x v="0"/>
    <x v="4"/>
    <s v="Shakti Agro West Bengal"/>
    <x v="4"/>
    <x v="3"/>
    <x v="0"/>
    <x v="0"/>
    <n v="6"/>
    <n v="626915"/>
    <n v="8"/>
    <n v="3761490"/>
    <n v="0.37614900000000001"/>
    <n v="3460570.8000000003"/>
    <n v="0.34605708000000002"/>
    <s v="Pending"/>
    <s v="Pending"/>
    <s v="Invalid"/>
    <s v="Pending"/>
  </r>
  <r>
    <x v="713"/>
    <x v="151"/>
    <x v="0"/>
    <x v="2"/>
    <x v="4"/>
    <s v="Kisan Tractors West Bengal"/>
    <x v="4"/>
    <x v="3"/>
    <x v="1"/>
    <x v="1"/>
    <n v="4"/>
    <n v="616854"/>
    <n v="6"/>
    <n v="2467416"/>
    <n v="0.24674160000000001"/>
    <n v="2319371.04"/>
    <n v="0.23193710400000001"/>
    <s v="Pending"/>
    <s v="Pending"/>
    <s v="Invalid"/>
    <s v="Pending"/>
  </r>
  <r>
    <x v="714"/>
    <x v="250"/>
    <x v="1"/>
    <x v="3"/>
    <x v="4"/>
    <s v="Mahadev Motors West Bengal"/>
    <x v="4"/>
    <x v="3"/>
    <x v="0"/>
    <x v="0"/>
    <n v="4"/>
    <n v="465552"/>
    <n v="6"/>
    <n v="1862208"/>
    <n v="0.18622079999999999"/>
    <n v="1750475.5199999998"/>
    <n v="0.17504755199999997"/>
    <s v="Pending"/>
    <s v="Pending"/>
    <s v="Invalid"/>
    <s v="Pending"/>
  </r>
  <r>
    <x v="715"/>
    <x v="412"/>
    <x v="2"/>
    <x v="2"/>
    <x v="4"/>
    <s v="Kisan Tractors West Bengal"/>
    <x v="4"/>
    <x v="3"/>
    <x v="3"/>
    <x v="2"/>
    <n v="5"/>
    <n v="372851"/>
    <n v="7"/>
    <n v="1864255"/>
    <n v="0.18642549999999999"/>
    <n v="1733757.15"/>
    <n v="0.17337571499999999"/>
    <s v="Paid"/>
    <s v="Delivered"/>
    <s v="Invalid"/>
    <s v="Completed"/>
  </r>
  <r>
    <x v="716"/>
    <x v="413"/>
    <x v="0"/>
    <x v="0"/>
    <x v="3"/>
    <s v="Shakti Agro Haryana"/>
    <x v="3"/>
    <x v="0"/>
    <x v="4"/>
    <x v="1"/>
    <n v="1"/>
    <n v="263425"/>
    <n v="3"/>
    <n v="263425"/>
    <n v="2.6342500000000001E-2"/>
    <n v="255522.25"/>
    <n v="2.5552225000000001E-2"/>
    <s v="Pending"/>
    <s v="Pending"/>
    <s v="Valid"/>
    <s v="Pending"/>
  </r>
  <r>
    <x v="717"/>
    <x v="331"/>
    <x v="0"/>
    <x v="2"/>
    <x v="0"/>
    <s v="Kisan Tractors Uttar Pradesh"/>
    <x v="0"/>
    <x v="0"/>
    <x v="1"/>
    <x v="1"/>
    <n v="7"/>
    <n v="126054"/>
    <n v="9"/>
    <n v="882378"/>
    <n v="8.8237800000000005E-2"/>
    <n v="802963.98"/>
    <n v="8.0296398000000005E-2"/>
    <s v="Pending"/>
    <s v="Pending"/>
    <s v="Invalid"/>
    <s v="Pending"/>
  </r>
  <r>
    <x v="718"/>
    <x v="414"/>
    <x v="2"/>
    <x v="1"/>
    <x v="2"/>
    <s v="Green Field Maharashtra"/>
    <x v="2"/>
    <x v="2"/>
    <x v="0"/>
    <x v="0"/>
    <n v="3"/>
    <n v="652451"/>
    <n v="6"/>
    <n v="1957353"/>
    <n v="0.1957353"/>
    <n v="1839911.8199999998"/>
    <n v="0.18399118199999998"/>
    <s v="Partial"/>
    <s v="In Transit"/>
    <s v="Valid"/>
    <s v="In Transit"/>
  </r>
  <r>
    <x v="719"/>
    <x v="415"/>
    <x v="4"/>
    <x v="2"/>
    <x v="2"/>
    <s v="Kisan Tractors Maharashtra"/>
    <x v="2"/>
    <x v="2"/>
    <x v="0"/>
    <x v="0"/>
    <n v="1"/>
    <n v="694451"/>
    <n v="3"/>
    <n v="694451"/>
    <n v="6.9445099999999996E-2"/>
    <n v="673617.47"/>
    <n v="6.7361747E-2"/>
    <s v="Pending"/>
    <s v="Pending"/>
    <s v="Invalid"/>
    <s v="Pending"/>
  </r>
  <r>
    <x v="720"/>
    <x v="394"/>
    <x v="4"/>
    <x v="3"/>
    <x v="1"/>
    <s v="Mahadev Motors Karnataka"/>
    <x v="1"/>
    <x v="1"/>
    <x v="2"/>
    <x v="0"/>
    <n v="7"/>
    <n v="844156"/>
    <n v="9"/>
    <n v="5909092"/>
    <n v="0.59090920000000002"/>
    <n v="5377273.7199999997"/>
    <n v="0.53772737199999998"/>
    <s v="Pending"/>
    <s v="Pending"/>
    <s v="Valid"/>
    <s v="Pending"/>
  </r>
  <r>
    <x v="721"/>
    <x v="198"/>
    <x v="3"/>
    <x v="3"/>
    <x v="1"/>
    <s v="Mahadev Motors Karnataka"/>
    <x v="1"/>
    <x v="1"/>
    <x v="1"/>
    <x v="1"/>
    <n v="1"/>
    <n v="791829"/>
    <n v="3"/>
    <n v="791829"/>
    <n v="7.9182900000000001E-2"/>
    <n v="768074.13"/>
    <n v="7.6807413000000005E-2"/>
    <s v="Pending"/>
    <s v="Pending"/>
    <s v="Invalid"/>
    <s v="Pending"/>
  </r>
  <r>
    <x v="722"/>
    <x v="221"/>
    <x v="1"/>
    <x v="1"/>
    <x v="0"/>
    <s v="Green Field Uttar Pradesh"/>
    <x v="0"/>
    <x v="0"/>
    <x v="0"/>
    <x v="0"/>
    <n v="2"/>
    <n v="841334"/>
    <n v="5"/>
    <n v="1682668"/>
    <n v="0.16826679999999999"/>
    <n v="1598534.5999999999"/>
    <n v="0.15985345999999998"/>
    <s v="Paid"/>
    <s v="Delivered"/>
    <s v="Valid"/>
    <s v="Completed"/>
  </r>
  <r>
    <x v="723"/>
    <x v="302"/>
    <x v="3"/>
    <x v="3"/>
    <x v="2"/>
    <s v="Mahadev Motors Maharashtra"/>
    <x v="2"/>
    <x v="2"/>
    <x v="4"/>
    <x v="1"/>
    <n v="1"/>
    <n v="79834"/>
    <n v="3"/>
    <n v="79834"/>
    <n v="7.9833999999999999E-3"/>
    <n v="77438.98"/>
    <n v="7.7438979999999999E-3"/>
    <s v="Partial"/>
    <s v="In Transit"/>
    <s v="Invalid"/>
    <s v="In Transit"/>
  </r>
  <r>
    <x v="724"/>
    <x v="416"/>
    <x v="4"/>
    <x v="1"/>
    <x v="0"/>
    <s v="Green Field Uttar Pradesh"/>
    <x v="0"/>
    <x v="0"/>
    <x v="1"/>
    <x v="1"/>
    <n v="5"/>
    <n v="830550"/>
    <n v="7"/>
    <n v="4152750"/>
    <n v="0.41527500000000001"/>
    <n v="3862057.4999999995"/>
    <n v="0.38620574999999996"/>
    <s v="Partial"/>
    <s v="In Transit"/>
    <s v="Invalid"/>
    <s v="In Transit"/>
  </r>
  <r>
    <x v="725"/>
    <x v="417"/>
    <x v="4"/>
    <x v="3"/>
    <x v="0"/>
    <s v="Mahadev Motors Uttar Pradesh"/>
    <x v="0"/>
    <x v="0"/>
    <x v="4"/>
    <x v="1"/>
    <n v="4"/>
    <n v="174237"/>
    <n v="6"/>
    <n v="696948"/>
    <n v="6.9694800000000001E-2"/>
    <n v="655131.12"/>
    <n v="6.5513111999999998E-2"/>
    <s v="Paid"/>
    <s v="Delivered"/>
    <s v="Valid"/>
    <s v="Completed"/>
  </r>
  <r>
    <x v="726"/>
    <x v="418"/>
    <x v="0"/>
    <x v="3"/>
    <x v="4"/>
    <s v="Mahadev Motors West Bengal"/>
    <x v="4"/>
    <x v="3"/>
    <x v="1"/>
    <x v="1"/>
    <n v="1"/>
    <n v="475816"/>
    <n v="3"/>
    <n v="475816"/>
    <n v="4.7581600000000002E-2"/>
    <n v="461541.51999999996"/>
    <n v="4.6154151999999997E-2"/>
    <s v="Partial"/>
    <s v="In Transit"/>
    <s v="Invalid"/>
    <s v="In Transit"/>
  </r>
  <r>
    <x v="727"/>
    <x v="196"/>
    <x v="3"/>
    <x v="2"/>
    <x v="3"/>
    <s v="Kisan Tractors Haryana"/>
    <x v="3"/>
    <x v="0"/>
    <x v="1"/>
    <x v="1"/>
    <n v="3"/>
    <n v="264959"/>
    <n v="6"/>
    <n v="794877"/>
    <n v="7.9487699999999994E-2"/>
    <n v="747184.38"/>
    <n v="7.4718437999999998E-2"/>
    <s v="Partial"/>
    <s v="In Transit"/>
    <s v="Invalid"/>
    <s v="In Transit"/>
  </r>
  <r>
    <x v="728"/>
    <x v="419"/>
    <x v="2"/>
    <x v="0"/>
    <x v="3"/>
    <s v="Shakti Agro Haryana"/>
    <x v="3"/>
    <x v="0"/>
    <x v="3"/>
    <x v="2"/>
    <n v="8"/>
    <n v="806897"/>
    <n v="9"/>
    <n v="6455176"/>
    <n v="0.64551760000000002"/>
    <n v="5874210.1600000001"/>
    <n v="0.58742101599999996"/>
    <s v="Paid"/>
    <s v="Delivered"/>
    <s v="Invalid"/>
    <s v="Completed"/>
  </r>
  <r>
    <x v="729"/>
    <x v="299"/>
    <x v="2"/>
    <x v="0"/>
    <x v="4"/>
    <s v="Shakti Agro West Bengal"/>
    <x v="4"/>
    <x v="3"/>
    <x v="4"/>
    <x v="1"/>
    <n v="1"/>
    <n v="740014"/>
    <n v="3"/>
    <n v="740014"/>
    <n v="7.4001399999999995E-2"/>
    <n v="717813.58"/>
    <n v="7.178135799999999E-2"/>
    <s v="Partial"/>
    <s v="In Transit"/>
    <s v="Invalid"/>
    <s v="In Transit"/>
  </r>
  <r>
    <x v="730"/>
    <x v="398"/>
    <x v="0"/>
    <x v="3"/>
    <x v="3"/>
    <s v="Mahadev Motors Haryana"/>
    <x v="3"/>
    <x v="0"/>
    <x v="0"/>
    <x v="0"/>
    <n v="3"/>
    <n v="432024"/>
    <n v="6"/>
    <n v="1296072"/>
    <n v="0.12960720000000001"/>
    <n v="1218307.68"/>
    <n v="0.12183076799999999"/>
    <s v="Partial"/>
    <s v="In Transit"/>
    <s v="Invalid"/>
    <s v="In Transit"/>
  </r>
  <r>
    <x v="731"/>
    <x v="317"/>
    <x v="3"/>
    <x v="3"/>
    <x v="0"/>
    <s v="Mahadev Motors Uttar Pradesh"/>
    <x v="0"/>
    <x v="0"/>
    <x v="3"/>
    <x v="2"/>
    <n v="2"/>
    <n v="349108"/>
    <n v="5"/>
    <n v="698216"/>
    <n v="6.9821599999999998E-2"/>
    <n v="663305.19999999995"/>
    <n v="6.633051999999999E-2"/>
    <s v="Partial"/>
    <s v="In Transit"/>
    <s v="Invalid"/>
    <s v="In Transit"/>
  </r>
  <r>
    <x v="732"/>
    <x v="420"/>
    <x v="3"/>
    <x v="4"/>
    <x v="0"/>
    <s v="Agri Motors Uttar Pradesh"/>
    <x v="0"/>
    <x v="0"/>
    <x v="0"/>
    <x v="0"/>
    <n v="4"/>
    <n v="341886"/>
    <n v="6"/>
    <n v="1367544"/>
    <n v="0.1367544"/>
    <n v="1285491.3599999999"/>
    <n v="0.12854913599999998"/>
    <s v="Paid"/>
    <s v="Delivered"/>
    <s v="Valid"/>
    <s v="Completed"/>
  </r>
  <r>
    <x v="733"/>
    <x v="243"/>
    <x v="4"/>
    <x v="3"/>
    <x v="3"/>
    <s v="Mahadev Motors Haryana"/>
    <x v="3"/>
    <x v="0"/>
    <x v="3"/>
    <x v="2"/>
    <n v="2"/>
    <n v="501518"/>
    <n v="5"/>
    <n v="1003036"/>
    <n v="0.10030360000000001"/>
    <n v="952884.2"/>
    <n v="9.5288419999999999E-2"/>
    <s v="Partial"/>
    <s v="In Transit"/>
    <s v="Invalid"/>
    <s v="In Transit"/>
  </r>
  <r>
    <x v="734"/>
    <x v="111"/>
    <x v="4"/>
    <x v="3"/>
    <x v="0"/>
    <s v="Mahadev Motors Uttar Pradesh"/>
    <x v="0"/>
    <x v="0"/>
    <x v="1"/>
    <x v="1"/>
    <n v="1"/>
    <n v="331802"/>
    <n v="3"/>
    <n v="331802"/>
    <n v="3.31802E-2"/>
    <n v="321847.94"/>
    <n v="3.2184794000000003E-2"/>
    <s v="Paid"/>
    <s v="Delivered"/>
    <s v="Valid"/>
    <s v="Completed"/>
  </r>
  <r>
    <x v="735"/>
    <x v="421"/>
    <x v="4"/>
    <x v="1"/>
    <x v="3"/>
    <s v="Green Field Haryana"/>
    <x v="3"/>
    <x v="0"/>
    <x v="3"/>
    <x v="2"/>
    <n v="2"/>
    <n v="765074"/>
    <n v="5"/>
    <n v="1530148"/>
    <n v="0.15301480000000001"/>
    <n v="1453640.5999999999"/>
    <n v="0.14536405999999999"/>
    <s v="Partial"/>
    <s v="In Transit"/>
    <s v="Invalid"/>
    <s v="In Transit"/>
  </r>
  <r>
    <x v="736"/>
    <x v="422"/>
    <x v="4"/>
    <x v="2"/>
    <x v="0"/>
    <s v="Kisan Tractors Uttar Pradesh"/>
    <x v="0"/>
    <x v="0"/>
    <x v="4"/>
    <x v="1"/>
    <n v="8"/>
    <n v="236483"/>
    <n v="9"/>
    <n v="1891864"/>
    <n v="0.1891864"/>
    <n v="1721596.24"/>
    <n v="0.17215962400000001"/>
    <s v="Partial"/>
    <s v="In Transit"/>
    <s v="Invalid"/>
    <s v="In Transit"/>
  </r>
  <r>
    <x v="737"/>
    <x v="423"/>
    <x v="2"/>
    <x v="4"/>
    <x v="2"/>
    <s v="Agri Motors Maharashtra"/>
    <x v="2"/>
    <x v="2"/>
    <x v="1"/>
    <x v="1"/>
    <n v="7"/>
    <n v="351868"/>
    <n v="9"/>
    <n v="2463076"/>
    <n v="0.24630759999999999"/>
    <n v="2241399.16"/>
    <n v="0.22413991600000002"/>
    <s v="Partial"/>
    <s v="In Transit"/>
    <s v="Invalid"/>
    <s v="In Transit"/>
  </r>
  <r>
    <x v="738"/>
    <x v="36"/>
    <x v="0"/>
    <x v="1"/>
    <x v="0"/>
    <s v="Green Field Uttar Pradesh"/>
    <x v="0"/>
    <x v="0"/>
    <x v="2"/>
    <x v="0"/>
    <n v="4"/>
    <n v="74849"/>
    <n v="6"/>
    <n v="299396"/>
    <n v="2.99396E-2"/>
    <n v="281432.24"/>
    <n v="2.8143223999999998E-2"/>
    <s v="Pending"/>
    <s v="Pending"/>
    <s v="Invalid"/>
    <s v="Pending"/>
  </r>
  <r>
    <x v="739"/>
    <x v="424"/>
    <x v="3"/>
    <x v="4"/>
    <x v="0"/>
    <s v="Agri Motors Uttar Pradesh"/>
    <x v="0"/>
    <x v="0"/>
    <x v="1"/>
    <x v="1"/>
    <n v="6"/>
    <n v="345474"/>
    <n v="8"/>
    <n v="2072844"/>
    <n v="0.20728440000000001"/>
    <n v="1907016.48"/>
    <n v="0.190701648"/>
    <s v="Pending"/>
    <s v="Pending"/>
    <s v="Invalid"/>
    <s v="Pending"/>
  </r>
  <r>
    <x v="740"/>
    <x v="318"/>
    <x v="0"/>
    <x v="2"/>
    <x v="1"/>
    <s v="Kisan Tractors Karnataka"/>
    <x v="1"/>
    <x v="1"/>
    <x v="3"/>
    <x v="2"/>
    <n v="5"/>
    <n v="52486"/>
    <n v="7"/>
    <n v="262430"/>
    <n v="2.6242999999999999E-2"/>
    <n v="244059.9"/>
    <n v="2.4405989999999999E-2"/>
    <s v="Partial"/>
    <s v="In Transit"/>
    <s v="Valid"/>
    <s v="In Transit"/>
  </r>
  <r>
    <x v="741"/>
    <x v="297"/>
    <x v="3"/>
    <x v="2"/>
    <x v="2"/>
    <s v="Kisan Tractors Maharashtra"/>
    <x v="2"/>
    <x v="2"/>
    <x v="2"/>
    <x v="0"/>
    <n v="6"/>
    <n v="112864"/>
    <n v="8"/>
    <n v="677184"/>
    <n v="6.7718399999999998E-2"/>
    <n v="623009.28000000003"/>
    <n v="6.2300928000000005E-2"/>
    <s v="Partial"/>
    <s v="In Transit"/>
    <s v="Valid"/>
    <s v="In Transit"/>
  </r>
  <r>
    <x v="742"/>
    <x v="425"/>
    <x v="3"/>
    <x v="2"/>
    <x v="3"/>
    <s v="Kisan Tractors Haryana"/>
    <x v="3"/>
    <x v="0"/>
    <x v="0"/>
    <x v="0"/>
    <n v="4"/>
    <n v="284181"/>
    <n v="6"/>
    <n v="1136724"/>
    <n v="0.11367240000000001"/>
    <n v="1068520.56"/>
    <n v="0.106852056"/>
    <s v="Paid"/>
    <s v="Delivered"/>
    <s v="Valid"/>
    <s v="Completed"/>
  </r>
  <r>
    <x v="743"/>
    <x v="336"/>
    <x v="4"/>
    <x v="2"/>
    <x v="4"/>
    <s v="Kisan Tractors West Bengal"/>
    <x v="4"/>
    <x v="3"/>
    <x v="3"/>
    <x v="2"/>
    <n v="8"/>
    <n v="709095"/>
    <n v="9"/>
    <n v="5672760"/>
    <n v="0.567276"/>
    <n v="5162211.6000000006"/>
    <n v="0.51622116000000007"/>
    <s v="Paid"/>
    <s v="Delivered"/>
    <s v="Valid"/>
    <s v="Completed"/>
  </r>
  <r>
    <x v="744"/>
    <x v="423"/>
    <x v="1"/>
    <x v="0"/>
    <x v="2"/>
    <s v="Shakti Agro Maharashtra"/>
    <x v="2"/>
    <x v="2"/>
    <x v="2"/>
    <x v="0"/>
    <n v="3"/>
    <n v="431222"/>
    <n v="6"/>
    <n v="1293666"/>
    <n v="0.1293666"/>
    <n v="1216046.04"/>
    <n v="0.12160460400000001"/>
    <s v="Pending"/>
    <s v="Pending"/>
    <s v="Invalid"/>
    <s v="Pending"/>
  </r>
  <r>
    <x v="745"/>
    <x v="243"/>
    <x v="2"/>
    <x v="2"/>
    <x v="1"/>
    <s v="Kisan Tractors Karnataka"/>
    <x v="1"/>
    <x v="1"/>
    <x v="3"/>
    <x v="2"/>
    <n v="6"/>
    <n v="573270"/>
    <n v="8"/>
    <n v="3439620"/>
    <n v="0.34396199999999999"/>
    <n v="3164450.4"/>
    <n v="0.31644504000000001"/>
    <s v="Pending"/>
    <s v="Pending"/>
    <s v="Invalid"/>
    <s v="Pending"/>
  </r>
  <r>
    <x v="746"/>
    <x v="366"/>
    <x v="4"/>
    <x v="4"/>
    <x v="3"/>
    <s v="Agri Motors Haryana"/>
    <x v="3"/>
    <x v="0"/>
    <x v="2"/>
    <x v="0"/>
    <n v="6"/>
    <n v="632159"/>
    <n v="8"/>
    <n v="3792954"/>
    <n v="0.3792954"/>
    <n v="3489517.68"/>
    <n v="0.348951768"/>
    <s v="Paid"/>
    <s v="Delivered"/>
    <s v="Valid"/>
    <s v="Completed"/>
  </r>
  <r>
    <x v="747"/>
    <x v="426"/>
    <x v="0"/>
    <x v="4"/>
    <x v="1"/>
    <s v="Agri Motors Karnataka"/>
    <x v="1"/>
    <x v="1"/>
    <x v="2"/>
    <x v="0"/>
    <n v="3"/>
    <n v="635048"/>
    <n v="6"/>
    <n v="1905144"/>
    <n v="0.1905144"/>
    <n v="1790835.3599999999"/>
    <n v="0.17908353599999999"/>
    <s v="Pending"/>
    <s v="Pending"/>
    <s v="Invalid"/>
    <s v="Pending"/>
  </r>
  <r>
    <x v="748"/>
    <x v="146"/>
    <x v="2"/>
    <x v="4"/>
    <x v="4"/>
    <s v="Agri Motors West Bengal"/>
    <x v="4"/>
    <x v="3"/>
    <x v="2"/>
    <x v="0"/>
    <n v="8"/>
    <n v="615709"/>
    <n v="9"/>
    <n v="4925672"/>
    <n v="0.49256719999999998"/>
    <n v="4482361.5200000005"/>
    <n v="0.44823615200000005"/>
    <s v="Pending"/>
    <s v="Pending"/>
    <s v="Invalid"/>
    <s v="Pending"/>
  </r>
  <r>
    <x v="749"/>
    <x v="427"/>
    <x v="3"/>
    <x v="2"/>
    <x v="0"/>
    <s v="Kisan Tractors Uttar Pradesh"/>
    <x v="0"/>
    <x v="0"/>
    <x v="2"/>
    <x v="0"/>
    <n v="8"/>
    <n v="344533"/>
    <n v="9"/>
    <n v="2756264"/>
    <n v="0.27562639999999999"/>
    <n v="2508200.2400000002"/>
    <n v="0.25082002400000003"/>
    <s v="Partial"/>
    <s v="In Transit"/>
    <s v="Invalid"/>
    <s v="In Transit"/>
  </r>
  <r>
    <x v="750"/>
    <x v="140"/>
    <x v="0"/>
    <x v="0"/>
    <x v="1"/>
    <s v="Shakti Agro Karnataka"/>
    <x v="1"/>
    <x v="1"/>
    <x v="2"/>
    <x v="0"/>
    <n v="4"/>
    <n v="549977"/>
    <n v="6"/>
    <n v="2199908"/>
    <n v="0.21999079999999999"/>
    <n v="2067913.5199999998"/>
    <n v="0.20679135199999998"/>
    <s v="Partial"/>
    <s v="In Transit"/>
    <s v="Valid"/>
    <s v="In Transit"/>
  </r>
  <r>
    <x v="751"/>
    <x v="145"/>
    <x v="1"/>
    <x v="4"/>
    <x v="1"/>
    <s v="Agri Motors Karnataka"/>
    <x v="1"/>
    <x v="1"/>
    <x v="0"/>
    <x v="0"/>
    <n v="2"/>
    <n v="612606"/>
    <n v="5"/>
    <n v="1225212"/>
    <n v="0.1225212"/>
    <n v="1163951.3999999999"/>
    <n v="0.11639513999999999"/>
    <s v="Paid"/>
    <s v="Delivered"/>
    <s v="Valid"/>
    <s v="Completed"/>
  </r>
  <r>
    <x v="752"/>
    <x v="282"/>
    <x v="0"/>
    <x v="0"/>
    <x v="4"/>
    <s v="Shakti Agro West Bengal"/>
    <x v="4"/>
    <x v="3"/>
    <x v="3"/>
    <x v="2"/>
    <n v="6"/>
    <n v="348835"/>
    <n v="8"/>
    <n v="2093010"/>
    <n v="0.20930099999999999"/>
    <n v="1925569.2000000002"/>
    <n v="0.19255692000000002"/>
    <s v="Pending"/>
    <s v="Pending"/>
    <s v="Valid"/>
    <s v="Pending"/>
  </r>
  <r>
    <x v="753"/>
    <x v="428"/>
    <x v="0"/>
    <x v="3"/>
    <x v="0"/>
    <s v="Mahadev Motors Uttar Pradesh"/>
    <x v="0"/>
    <x v="0"/>
    <x v="4"/>
    <x v="1"/>
    <n v="5"/>
    <n v="841888"/>
    <n v="7"/>
    <n v="4209440"/>
    <n v="0.42094399999999998"/>
    <n v="3914779.1999999997"/>
    <n v="0.39147791999999998"/>
    <s v="Paid"/>
    <s v="Delivered"/>
    <s v="Valid"/>
    <s v="Completed"/>
  </r>
  <r>
    <x v="754"/>
    <x v="70"/>
    <x v="3"/>
    <x v="4"/>
    <x v="4"/>
    <s v="Agri Motors West Bengal"/>
    <x v="4"/>
    <x v="3"/>
    <x v="3"/>
    <x v="2"/>
    <n v="5"/>
    <n v="601525"/>
    <n v="7"/>
    <n v="3007625"/>
    <n v="0.30076249999999999"/>
    <n v="2797091.25"/>
    <n v="0.279709125"/>
    <s v="Paid"/>
    <s v="Delivered"/>
    <s v="Invalid"/>
    <s v="Completed"/>
  </r>
  <r>
    <x v="755"/>
    <x v="427"/>
    <x v="1"/>
    <x v="1"/>
    <x v="0"/>
    <s v="Green Field Uttar Pradesh"/>
    <x v="0"/>
    <x v="0"/>
    <x v="3"/>
    <x v="2"/>
    <n v="8"/>
    <n v="790170"/>
    <n v="9"/>
    <n v="6321360"/>
    <n v="0.63213600000000003"/>
    <n v="5752437.6000000006"/>
    <n v="0.5752437600000001"/>
    <s v="Partial"/>
    <s v="In Transit"/>
    <s v="Valid"/>
    <s v="In Transit"/>
  </r>
  <r>
    <x v="756"/>
    <x v="334"/>
    <x v="0"/>
    <x v="4"/>
    <x v="0"/>
    <s v="Agri Motors Uttar Pradesh"/>
    <x v="0"/>
    <x v="0"/>
    <x v="2"/>
    <x v="0"/>
    <n v="1"/>
    <n v="780087"/>
    <n v="3"/>
    <n v="780087"/>
    <n v="7.80087E-2"/>
    <n v="756684.39"/>
    <n v="7.5668439000000004E-2"/>
    <s v="Pending"/>
    <s v="Pending"/>
    <s v="Invalid"/>
    <s v="Pending"/>
  </r>
  <r>
    <x v="757"/>
    <x v="177"/>
    <x v="3"/>
    <x v="3"/>
    <x v="4"/>
    <s v="Mahadev Motors West Bengal"/>
    <x v="4"/>
    <x v="3"/>
    <x v="1"/>
    <x v="1"/>
    <n v="2"/>
    <n v="674724"/>
    <n v="5"/>
    <n v="1349448"/>
    <n v="0.1349448"/>
    <n v="1281975.5999999999"/>
    <n v="0.12819755999999999"/>
    <s v="Paid"/>
    <s v="Delivered"/>
    <s v="Valid"/>
    <s v="Completed"/>
  </r>
  <r>
    <x v="758"/>
    <x v="339"/>
    <x v="0"/>
    <x v="0"/>
    <x v="4"/>
    <s v="Shakti Agro West Bengal"/>
    <x v="4"/>
    <x v="3"/>
    <x v="3"/>
    <x v="2"/>
    <n v="1"/>
    <n v="314681"/>
    <n v="3"/>
    <n v="314681"/>
    <n v="3.1468099999999999E-2"/>
    <n v="305240.57"/>
    <n v="3.0524057E-2"/>
    <s v="Paid"/>
    <s v="Delivered"/>
    <s v="Invalid"/>
    <s v="Completed"/>
  </r>
  <r>
    <x v="759"/>
    <x v="103"/>
    <x v="4"/>
    <x v="1"/>
    <x v="1"/>
    <s v="Green Field Karnataka"/>
    <x v="1"/>
    <x v="1"/>
    <x v="1"/>
    <x v="1"/>
    <n v="5"/>
    <n v="774765"/>
    <n v="7"/>
    <n v="3873825"/>
    <n v="0.38738250000000002"/>
    <n v="3602657.2499999995"/>
    <n v="0.36026572499999998"/>
    <s v="Paid"/>
    <s v="Delivered"/>
    <s v="Invalid"/>
    <s v="Completed"/>
  </r>
  <r>
    <x v="760"/>
    <x v="429"/>
    <x v="1"/>
    <x v="3"/>
    <x v="1"/>
    <s v="Mahadev Motors Karnataka"/>
    <x v="1"/>
    <x v="1"/>
    <x v="1"/>
    <x v="1"/>
    <n v="6"/>
    <n v="741317"/>
    <n v="8"/>
    <n v="4447902"/>
    <n v="0.44479020000000002"/>
    <n v="4092069.8400000003"/>
    <n v="0.40920698400000005"/>
    <s v="Partial"/>
    <s v="In Transit"/>
    <s v="Invalid"/>
    <s v="In Transit"/>
  </r>
  <r>
    <x v="761"/>
    <x v="227"/>
    <x v="3"/>
    <x v="0"/>
    <x v="2"/>
    <s v="Shakti Agro Maharashtra"/>
    <x v="2"/>
    <x v="2"/>
    <x v="4"/>
    <x v="1"/>
    <n v="6"/>
    <n v="750008"/>
    <n v="8"/>
    <n v="4500048"/>
    <n v="0.45000479999999998"/>
    <n v="4140044.16"/>
    <n v="0.41400441600000004"/>
    <s v="Pending"/>
    <s v="Pending"/>
    <s v="Invalid"/>
    <s v="Pending"/>
  </r>
  <r>
    <x v="762"/>
    <x v="334"/>
    <x v="3"/>
    <x v="4"/>
    <x v="1"/>
    <s v="Agri Motors Karnataka"/>
    <x v="1"/>
    <x v="1"/>
    <x v="0"/>
    <x v="0"/>
    <n v="0"/>
    <n v="100600"/>
    <n v="0"/>
    <n v="0"/>
    <n v="0"/>
    <n v="0"/>
    <n v="0"/>
    <s v="Paid"/>
    <s v="Delivered"/>
    <s v="Invalid"/>
    <s v="Completed"/>
  </r>
  <r>
    <x v="763"/>
    <x v="353"/>
    <x v="3"/>
    <x v="2"/>
    <x v="3"/>
    <s v="Kisan Tractors Haryana"/>
    <x v="3"/>
    <x v="0"/>
    <x v="1"/>
    <x v="1"/>
    <n v="4"/>
    <n v="509480"/>
    <n v="6"/>
    <n v="2037920"/>
    <n v="0.203792"/>
    <n v="1915644.7999999998"/>
    <n v="0.19156447999999998"/>
    <s v="Pending"/>
    <s v="Pending"/>
    <s v="Invalid"/>
    <s v="Pending"/>
  </r>
  <r>
    <x v="764"/>
    <x v="279"/>
    <x v="4"/>
    <x v="4"/>
    <x v="0"/>
    <s v="Agri Motors Uttar Pradesh"/>
    <x v="0"/>
    <x v="0"/>
    <x v="2"/>
    <x v="0"/>
    <n v="1"/>
    <n v="167429"/>
    <n v="3"/>
    <n v="167429"/>
    <n v="1.6742900000000002E-2"/>
    <n v="162406.13"/>
    <n v="1.6240613000000001E-2"/>
    <s v="Partial"/>
    <s v="In Transit"/>
    <s v="Invalid"/>
    <s v="In Transit"/>
  </r>
  <r>
    <x v="765"/>
    <x v="430"/>
    <x v="2"/>
    <x v="1"/>
    <x v="4"/>
    <s v="Green Field West Bengal"/>
    <x v="4"/>
    <x v="3"/>
    <x v="0"/>
    <x v="0"/>
    <n v="3"/>
    <n v="401052"/>
    <n v="6"/>
    <n v="1203156"/>
    <n v="0.12031559999999999"/>
    <n v="1130966.6399999999"/>
    <n v="0.11309666399999999"/>
    <s v="Paid"/>
    <s v="Delivered"/>
    <s v="Valid"/>
    <s v="Completed"/>
  </r>
  <r>
    <x v="766"/>
    <x v="238"/>
    <x v="4"/>
    <x v="3"/>
    <x v="3"/>
    <s v="Mahadev Motors Haryana"/>
    <x v="3"/>
    <x v="0"/>
    <x v="1"/>
    <x v="1"/>
    <n v="2"/>
    <n v="811028"/>
    <n v="5"/>
    <n v="1622056"/>
    <n v="0.16220560000000001"/>
    <n v="1540953.2"/>
    <n v="0.15409532000000001"/>
    <s v="Paid"/>
    <s v="Delivered"/>
    <s v="Invalid"/>
    <s v="Completed"/>
  </r>
  <r>
    <x v="767"/>
    <x v="118"/>
    <x v="4"/>
    <x v="4"/>
    <x v="3"/>
    <s v="Agri Motors Haryana"/>
    <x v="3"/>
    <x v="0"/>
    <x v="0"/>
    <x v="0"/>
    <n v="7"/>
    <n v="771908"/>
    <n v="9"/>
    <n v="5403356"/>
    <n v="0.54033560000000003"/>
    <n v="4917053.96"/>
    <n v="0.49170539600000002"/>
    <s v="Pending"/>
    <s v="Pending"/>
    <s v="Invalid"/>
    <s v="Pending"/>
  </r>
  <r>
    <x v="768"/>
    <x v="431"/>
    <x v="3"/>
    <x v="4"/>
    <x v="3"/>
    <s v="Agri Motors Haryana"/>
    <x v="3"/>
    <x v="0"/>
    <x v="0"/>
    <x v="0"/>
    <n v="4"/>
    <n v="814389"/>
    <n v="6"/>
    <n v="3257556"/>
    <n v="0.32575559999999998"/>
    <n v="3062102.6399999997"/>
    <n v="0.30621026399999995"/>
    <s v="Partial"/>
    <s v="In Transit"/>
    <s v="Valid"/>
    <s v="In Transit"/>
  </r>
  <r>
    <x v="769"/>
    <x v="238"/>
    <x v="3"/>
    <x v="2"/>
    <x v="3"/>
    <s v="Kisan Tractors Haryana"/>
    <x v="3"/>
    <x v="0"/>
    <x v="0"/>
    <x v="0"/>
    <n v="5"/>
    <n v="537672"/>
    <n v="7"/>
    <n v="2688360"/>
    <n v="0.26883600000000002"/>
    <n v="2500174.7999999998"/>
    <n v="0.25001747999999996"/>
    <s v="Partial"/>
    <s v="In Transit"/>
    <s v="Invalid"/>
    <s v="In Transit"/>
  </r>
  <r>
    <x v="770"/>
    <x v="432"/>
    <x v="1"/>
    <x v="4"/>
    <x v="1"/>
    <s v="Agri Motors Karnataka"/>
    <x v="1"/>
    <x v="1"/>
    <x v="1"/>
    <x v="1"/>
    <n v="6"/>
    <n v="231955"/>
    <n v="8"/>
    <n v="1391730"/>
    <n v="0.13917299999999999"/>
    <n v="1280391.6000000001"/>
    <n v="0.12803916000000001"/>
    <s v="Pending"/>
    <s v="Pending"/>
    <s v="Invalid"/>
    <s v="Pending"/>
  </r>
  <r>
    <x v="771"/>
    <x v="294"/>
    <x v="4"/>
    <x v="4"/>
    <x v="1"/>
    <s v="Agri Motors Karnataka"/>
    <x v="1"/>
    <x v="1"/>
    <x v="1"/>
    <x v="1"/>
    <n v="4"/>
    <n v="474817"/>
    <n v="6"/>
    <n v="1899268"/>
    <n v="0.18992680000000001"/>
    <n v="1785311.92"/>
    <n v="0.17853119200000001"/>
    <s v="Pending"/>
    <s v="Pending"/>
    <s v="Valid"/>
    <s v="Pending"/>
  </r>
  <r>
    <x v="772"/>
    <x v="433"/>
    <x v="2"/>
    <x v="4"/>
    <x v="2"/>
    <s v="Agri Motors Maharashtra"/>
    <x v="2"/>
    <x v="2"/>
    <x v="3"/>
    <x v="2"/>
    <n v="8"/>
    <n v="496847"/>
    <n v="9"/>
    <n v="3974776"/>
    <n v="0.39747759999999999"/>
    <n v="3617046.16"/>
    <n v="0.36170461600000003"/>
    <s v="Partial"/>
    <s v="In Transit"/>
    <s v="Invalid"/>
    <s v="In Transit"/>
  </r>
  <r>
    <x v="773"/>
    <x v="434"/>
    <x v="2"/>
    <x v="3"/>
    <x v="0"/>
    <s v="Mahadev Motors Uttar Pradesh"/>
    <x v="0"/>
    <x v="0"/>
    <x v="2"/>
    <x v="0"/>
    <n v="7"/>
    <n v="614098"/>
    <n v="9"/>
    <n v="4298686"/>
    <n v="0.42986859999999999"/>
    <n v="3911804.2600000002"/>
    <n v="0.39118042600000003"/>
    <s v="Pending"/>
    <s v="Pending"/>
    <s v="Invalid"/>
    <s v="Pending"/>
  </r>
  <r>
    <x v="774"/>
    <x v="435"/>
    <x v="1"/>
    <x v="4"/>
    <x v="2"/>
    <s v="Agri Motors Maharashtra"/>
    <x v="2"/>
    <x v="2"/>
    <x v="3"/>
    <x v="2"/>
    <n v="8"/>
    <n v="784018"/>
    <n v="9"/>
    <n v="6272144"/>
    <n v="0.62721439999999995"/>
    <n v="5707651.04"/>
    <n v="0.57076510400000002"/>
    <s v="Partial"/>
    <s v="In Transit"/>
    <s v="Valid"/>
    <s v="In Transit"/>
  </r>
  <r>
    <x v="775"/>
    <x v="248"/>
    <x v="0"/>
    <x v="0"/>
    <x v="1"/>
    <s v="Shakti Agro Karnataka"/>
    <x v="1"/>
    <x v="1"/>
    <x v="4"/>
    <x v="1"/>
    <n v="6"/>
    <n v="184153"/>
    <n v="8"/>
    <n v="1104918"/>
    <n v="0.1104918"/>
    <n v="1016524.56"/>
    <n v="0.101652456"/>
    <s v="Partial"/>
    <s v="In Transit"/>
    <s v="Valid"/>
    <s v="In Transit"/>
  </r>
  <r>
    <x v="776"/>
    <x v="189"/>
    <x v="0"/>
    <x v="3"/>
    <x v="0"/>
    <s v="Mahadev Motors Uttar Pradesh"/>
    <x v="0"/>
    <x v="0"/>
    <x v="2"/>
    <x v="0"/>
    <n v="1"/>
    <n v="139820"/>
    <n v="3"/>
    <n v="139820"/>
    <n v="1.3982E-2"/>
    <n v="135625.4"/>
    <n v="1.356254E-2"/>
    <s v="Pending"/>
    <s v="Pending"/>
    <s v="Invalid"/>
    <s v="Pending"/>
  </r>
  <r>
    <x v="777"/>
    <x v="266"/>
    <x v="3"/>
    <x v="3"/>
    <x v="3"/>
    <s v="Mahadev Motors Haryana"/>
    <x v="3"/>
    <x v="0"/>
    <x v="1"/>
    <x v="1"/>
    <n v="3"/>
    <n v="395096"/>
    <n v="6"/>
    <n v="1185288"/>
    <n v="0.1185288"/>
    <n v="1114170.72"/>
    <n v="0.11141707199999999"/>
    <s v="Partial"/>
    <s v="In Transit"/>
    <s v="Invalid"/>
    <s v="In Transit"/>
  </r>
  <r>
    <x v="778"/>
    <x v="436"/>
    <x v="1"/>
    <x v="4"/>
    <x v="4"/>
    <s v="Agri Motors West Bengal"/>
    <x v="4"/>
    <x v="3"/>
    <x v="3"/>
    <x v="2"/>
    <n v="7"/>
    <n v="567919"/>
    <n v="9"/>
    <n v="3975433"/>
    <n v="0.39754329999999999"/>
    <n v="3617644.0300000003"/>
    <n v="0.36176440300000001"/>
    <s v="Pending"/>
    <s v="Pending"/>
    <s v="Invalid"/>
    <s v="Pending"/>
  </r>
  <r>
    <x v="779"/>
    <x v="353"/>
    <x v="0"/>
    <x v="1"/>
    <x v="0"/>
    <s v="Green Field Uttar Pradesh"/>
    <x v="0"/>
    <x v="0"/>
    <x v="3"/>
    <x v="2"/>
    <n v="6"/>
    <n v="474568"/>
    <n v="8"/>
    <n v="2847408"/>
    <n v="0.28474080000000002"/>
    <n v="2619615.3600000003"/>
    <n v="0.26196153600000005"/>
    <s v="Partial"/>
    <s v="In Transit"/>
    <s v="Invalid"/>
    <s v="In Transit"/>
  </r>
  <r>
    <x v="780"/>
    <x v="15"/>
    <x v="3"/>
    <x v="3"/>
    <x v="3"/>
    <s v="Mahadev Motors Haryana"/>
    <x v="3"/>
    <x v="0"/>
    <x v="3"/>
    <x v="2"/>
    <n v="5"/>
    <n v="146039"/>
    <n v="7"/>
    <n v="730195"/>
    <n v="7.3019500000000001E-2"/>
    <n v="679081.35"/>
    <n v="6.7908134999999994E-2"/>
    <s v="Pending"/>
    <s v="Pending"/>
    <s v="Invalid"/>
    <s v="Pending"/>
  </r>
  <r>
    <x v="781"/>
    <x v="259"/>
    <x v="1"/>
    <x v="4"/>
    <x v="3"/>
    <s v="Agri Motors Haryana"/>
    <x v="3"/>
    <x v="0"/>
    <x v="0"/>
    <x v="0"/>
    <n v="7"/>
    <n v="211757"/>
    <n v="9"/>
    <n v="1482299"/>
    <n v="0.1482299"/>
    <n v="1348892.09"/>
    <n v="0.13488920900000001"/>
    <s v="Partial"/>
    <s v="In Transit"/>
    <s v="Invalid"/>
    <s v="In Transit"/>
  </r>
  <r>
    <x v="782"/>
    <x v="372"/>
    <x v="2"/>
    <x v="1"/>
    <x v="2"/>
    <s v="Green Field Maharashtra"/>
    <x v="2"/>
    <x v="2"/>
    <x v="4"/>
    <x v="1"/>
    <n v="2"/>
    <n v="795091"/>
    <n v="5"/>
    <n v="1590182"/>
    <n v="0.1590182"/>
    <n v="1510672.9"/>
    <n v="0.15106728999999999"/>
    <s v="Pending"/>
    <s v="Pending"/>
    <s v="Valid"/>
    <s v="Pending"/>
  </r>
  <r>
    <x v="783"/>
    <x v="157"/>
    <x v="1"/>
    <x v="4"/>
    <x v="3"/>
    <s v="Agri Motors Haryana"/>
    <x v="3"/>
    <x v="0"/>
    <x v="1"/>
    <x v="1"/>
    <n v="0"/>
    <n v="561675"/>
    <n v="0"/>
    <n v="0"/>
    <n v="0"/>
    <n v="0"/>
    <n v="0"/>
    <s v="Paid"/>
    <s v="Delivered"/>
    <s v="Invalid"/>
    <s v="Completed"/>
  </r>
  <r>
    <x v="784"/>
    <x v="271"/>
    <x v="3"/>
    <x v="4"/>
    <x v="3"/>
    <s v="Agri Motors Haryana"/>
    <x v="3"/>
    <x v="0"/>
    <x v="0"/>
    <x v="0"/>
    <n v="8"/>
    <n v="680717"/>
    <n v="9"/>
    <n v="5445736"/>
    <n v="0.54457359999999999"/>
    <n v="4955619.76"/>
    <n v="0.49556197599999996"/>
    <s v="Partial"/>
    <s v="In Transit"/>
    <s v="Invalid"/>
    <s v="In Transit"/>
  </r>
  <r>
    <x v="785"/>
    <x v="333"/>
    <x v="4"/>
    <x v="0"/>
    <x v="2"/>
    <s v="Shakti Agro Maharashtra"/>
    <x v="2"/>
    <x v="2"/>
    <x v="2"/>
    <x v="0"/>
    <n v="6"/>
    <n v="521490"/>
    <n v="8"/>
    <n v="3128940"/>
    <n v="0.31289400000000001"/>
    <n v="2878624.8000000003"/>
    <n v="0.28786248000000003"/>
    <s v="Partial"/>
    <s v="In Transit"/>
    <s v="Invalid"/>
    <s v="In Transit"/>
  </r>
  <r>
    <x v="786"/>
    <x v="208"/>
    <x v="2"/>
    <x v="3"/>
    <x v="2"/>
    <s v="Mahadev Motors Maharashtra"/>
    <x v="2"/>
    <x v="2"/>
    <x v="3"/>
    <x v="2"/>
    <n v="5"/>
    <n v="738942"/>
    <n v="7"/>
    <n v="3694710"/>
    <n v="0.36947099999999999"/>
    <n v="3436080.3"/>
    <n v="0.34360803000000001"/>
    <s v="Paid"/>
    <s v="Delivered"/>
    <s v="Invalid"/>
    <s v="Completed"/>
  </r>
  <r>
    <x v="787"/>
    <x v="77"/>
    <x v="1"/>
    <x v="0"/>
    <x v="2"/>
    <s v="Shakti Agro Maharashtra"/>
    <x v="2"/>
    <x v="2"/>
    <x v="1"/>
    <x v="1"/>
    <n v="8"/>
    <n v="413327"/>
    <n v="9"/>
    <n v="3306616"/>
    <n v="0.3306616"/>
    <n v="3009020.56"/>
    <n v="0.30090205600000003"/>
    <s v="Partial"/>
    <s v="In Transit"/>
    <s v="Valid"/>
    <s v="In Transit"/>
  </r>
  <r>
    <x v="788"/>
    <x v="437"/>
    <x v="1"/>
    <x v="3"/>
    <x v="1"/>
    <s v="Mahadev Motors Karnataka"/>
    <x v="1"/>
    <x v="1"/>
    <x v="2"/>
    <x v="0"/>
    <n v="5"/>
    <n v="471354"/>
    <n v="7"/>
    <n v="2356770"/>
    <n v="0.235677"/>
    <n v="2191796.0999999996"/>
    <n v="0.21917960999999997"/>
    <s v="Paid"/>
    <s v="Delivered"/>
    <s v="Invalid"/>
    <s v="Completed"/>
  </r>
  <r>
    <x v="789"/>
    <x v="92"/>
    <x v="4"/>
    <x v="0"/>
    <x v="3"/>
    <s v="Shakti Agro Haryana"/>
    <x v="3"/>
    <x v="0"/>
    <x v="2"/>
    <x v="0"/>
    <n v="2"/>
    <n v="160969"/>
    <n v="5"/>
    <n v="321938"/>
    <n v="3.2193800000000002E-2"/>
    <n v="305841.09999999998"/>
    <n v="3.0584109999999998E-2"/>
    <s v="Partial"/>
    <s v="In Transit"/>
    <s v="Invalid"/>
    <s v="In Transit"/>
  </r>
  <r>
    <x v="790"/>
    <x v="438"/>
    <x v="4"/>
    <x v="4"/>
    <x v="2"/>
    <s v="Agri Motors Maharashtra"/>
    <x v="2"/>
    <x v="2"/>
    <x v="0"/>
    <x v="0"/>
    <n v="1"/>
    <n v="614979"/>
    <n v="3"/>
    <n v="614979"/>
    <n v="6.1497900000000001E-2"/>
    <n v="596529.63"/>
    <n v="5.9652963000000003E-2"/>
    <s v="Pending"/>
    <s v="Pending"/>
    <s v="Invalid"/>
    <s v="Pending"/>
  </r>
  <r>
    <x v="791"/>
    <x v="34"/>
    <x v="3"/>
    <x v="3"/>
    <x v="2"/>
    <s v="Mahadev Motors Maharashtra"/>
    <x v="2"/>
    <x v="2"/>
    <x v="3"/>
    <x v="2"/>
    <n v="3"/>
    <n v="876399"/>
    <n v="6"/>
    <n v="2629197"/>
    <n v="0.26291969999999998"/>
    <n v="2471445.1799999997"/>
    <n v="0.24714451799999998"/>
    <s v="Partial"/>
    <s v="In Transit"/>
    <s v="Invalid"/>
    <s v="In Transit"/>
  </r>
  <r>
    <x v="792"/>
    <x v="439"/>
    <x v="0"/>
    <x v="3"/>
    <x v="4"/>
    <s v="Mahadev Motors West Bengal"/>
    <x v="4"/>
    <x v="3"/>
    <x v="2"/>
    <x v="0"/>
    <n v="8"/>
    <n v="558178"/>
    <n v="9"/>
    <n v="4465424"/>
    <n v="0.44654240000000001"/>
    <n v="4063535.8400000003"/>
    <n v="0.40635358400000005"/>
    <s v="Pending"/>
    <s v="Pending"/>
    <s v="Invalid"/>
    <s v="Pending"/>
  </r>
  <r>
    <x v="793"/>
    <x v="317"/>
    <x v="3"/>
    <x v="0"/>
    <x v="4"/>
    <s v="Shakti Agro West Bengal"/>
    <x v="4"/>
    <x v="3"/>
    <x v="4"/>
    <x v="1"/>
    <n v="4"/>
    <n v="391629"/>
    <n v="6"/>
    <n v="1566516"/>
    <n v="0.1566516"/>
    <n v="1472525.0399999998"/>
    <n v="0.14725250399999998"/>
    <s v="Pending"/>
    <s v="Pending"/>
    <s v="Invalid"/>
    <s v="Pending"/>
  </r>
  <r>
    <x v="794"/>
    <x v="282"/>
    <x v="0"/>
    <x v="0"/>
    <x v="4"/>
    <s v="Shakti Agro West Bengal"/>
    <x v="4"/>
    <x v="3"/>
    <x v="2"/>
    <x v="0"/>
    <n v="8"/>
    <n v="889056"/>
    <n v="9"/>
    <n v="7112448"/>
    <n v="0.71124480000000001"/>
    <n v="6472327.6800000006"/>
    <n v="0.64723276800000007"/>
    <s v="Pending"/>
    <s v="Pending"/>
    <s v="Valid"/>
    <s v="Pending"/>
  </r>
  <r>
    <x v="795"/>
    <x v="427"/>
    <x v="1"/>
    <x v="0"/>
    <x v="2"/>
    <s v="Shakti Agro Maharashtra"/>
    <x v="2"/>
    <x v="2"/>
    <x v="1"/>
    <x v="1"/>
    <n v="4"/>
    <n v="661964"/>
    <n v="6"/>
    <n v="2647856"/>
    <n v="0.26478560000000001"/>
    <n v="2488984.6399999997"/>
    <n v="0.24889846399999996"/>
    <s v="Paid"/>
    <s v="Delivered"/>
    <s v="Invalid"/>
    <s v="Completed"/>
  </r>
  <r>
    <x v="796"/>
    <x v="50"/>
    <x v="2"/>
    <x v="2"/>
    <x v="2"/>
    <s v="Kisan Tractors Maharashtra"/>
    <x v="2"/>
    <x v="2"/>
    <x v="0"/>
    <x v="0"/>
    <n v="7"/>
    <n v="131823"/>
    <n v="9"/>
    <n v="922761"/>
    <n v="9.22761E-2"/>
    <n v="839712.51"/>
    <n v="8.3971250999999997E-2"/>
    <s v="Paid"/>
    <s v="Delivered"/>
    <s v="Valid"/>
    <s v="Completed"/>
  </r>
  <r>
    <x v="797"/>
    <x v="42"/>
    <x v="1"/>
    <x v="1"/>
    <x v="3"/>
    <s v="Green Field Haryana"/>
    <x v="3"/>
    <x v="0"/>
    <x v="0"/>
    <x v="0"/>
    <n v="2"/>
    <n v="599084"/>
    <n v="5"/>
    <n v="1198168"/>
    <n v="0.1198168"/>
    <n v="1138259.5999999999"/>
    <n v="0.11382595999999999"/>
    <s v="Partial"/>
    <s v="In Transit"/>
    <s v="Valid"/>
    <s v="In Transit"/>
  </r>
  <r>
    <x v="798"/>
    <x v="440"/>
    <x v="1"/>
    <x v="2"/>
    <x v="0"/>
    <s v="Kisan Tractors Uttar Pradesh"/>
    <x v="0"/>
    <x v="0"/>
    <x v="2"/>
    <x v="0"/>
    <n v="5"/>
    <n v="204344"/>
    <n v="7"/>
    <n v="1021720"/>
    <n v="0.102172"/>
    <n v="950199.6"/>
    <n v="9.5019960000000001E-2"/>
    <s v="Partial"/>
    <s v="In Transit"/>
    <s v="Valid"/>
    <s v="In Transit"/>
  </r>
  <r>
    <x v="799"/>
    <x v="209"/>
    <x v="2"/>
    <x v="4"/>
    <x v="1"/>
    <s v="Agri Motors Karnataka"/>
    <x v="1"/>
    <x v="1"/>
    <x v="3"/>
    <x v="2"/>
    <n v="8"/>
    <n v="79963"/>
    <n v="9"/>
    <n v="639704"/>
    <n v="6.3970399999999997E-2"/>
    <n v="582130.64"/>
    <n v="5.8213064000000002E-2"/>
    <s v="Paid"/>
    <s v="Delivered"/>
    <s v="Invalid"/>
    <s v="Completed"/>
  </r>
  <r>
    <x v="800"/>
    <x v="441"/>
    <x v="0"/>
    <x v="0"/>
    <x v="1"/>
    <s v="Shakti Agro Karnataka"/>
    <x v="1"/>
    <x v="1"/>
    <x v="2"/>
    <x v="0"/>
    <n v="4"/>
    <n v="368437"/>
    <n v="6"/>
    <n v="1473748"/>
    <n v="0.1473748"/>
    <n v="1385323.1199999999"/>
    <n v="0.13853231199999999"/>
    <s v="Partial"/>
    <s v="In Transit"/>
    <s v="Valid"/>
    <s v="In Transit"/>
  </r>
  <r>
    <x v="801"/>
    <x v="401"/>
    <x v="2"/>
    <x v="3"/>
    <x v="4"/>
    <s v="Mahadev Motors West Bengal"/>
    <x v="4"/>
    <x v="3"/>
    <x v="0"/>
    <x v="0"/>
    <n v="1"/>
    <n v="346412"/>
    <n v="3"/>
    <n v="346412"/>
    <n v="3.4641199999999997E-2"/>
    <n v="336019.64"/>
    <n v="3.3601963999999998E-2"/>
    <s v="Pending"/>
    <s v="Pending"/>
    <s v="Valid"/>
    <s v="Pending"/>
  </r>
  <r>
    <x v="802"/>
    <x v="426"/>
    <x v="2"/>
    <x v="1"/>
    <x v="3"/>
    <s v="Green Field Haryana"/>
    <x v="3"/>
    <x v="0"/>
    <x v="0"/>
    <x v="0"/>
    <n v="5"/>
    <n v="644647"/>
    <n v="7"/>
    <n v="3223235"/>
    <n v="0.32232349999999999"/>
    <n v="2997608.55"/>
    <n v="0.29976085499999999"/>
    <s v="Pending"/>
    <s v="Pending"/>
    <s v="Invalid"/>
    <s v="Pending"/>
  </r>
  <r>
    <x v="803"/>
    <x v="106"/>
    <x v="3"/>
    <x v="4"/>
    <x v="4"/>
    <s v="Agri Motors West Bengal"/>
    <x v="4"/>
    <x v="3"/>
    <x v="0"/>
    <x v="0"/>
    <n v="1"/>
    <n v="625606"/>
    <n v="3"/>
    <n v="625606"/>
    <n v="6.2560599999999994E-2"/>
    <n v="606837.81999999995"/>
    <n v="6.0683781999999992E-2"/>
    <s v="Pending"/>
    <s v="Pending"/>
    <s v="Invalid"/>
    <s v="Pending"/>
  </r>
  <r>
    <x v="804"/>
    <x v="39"/>
    <x v="4"/>
    <x v="0"/>
    <x v="0"/>
    <s v="Shakti Agro Uttar Pradesh"/>
    <x v="0"/>
    <x v="0"/>
    <x v="4"/>
    <x v="1"/>
    <n v="1"/>
    <n v="224629"/>
    <n v="3"/>
    <n v="224629"/>
    <n v="2.2462900000000001E-2"/>
    <n v="217890.13"/>
    <n v="2.1789012999999999E-2"/>
    <s v="Pending"/>
    <s v="Pending"/>
    <s v="Invalid"/>
    <s v="Pending"/>
  </r>
  <r>
    <x v="805"/>
    <x v="416"/>
    <x v="2"/>
    <x v="3"/>
    <x v="4"/>
    <s v="Mahadev Motors West Bengal"/>
    <x v="4"/>
    <x v="3"/>
    <x v="1"/>
    <x v="1"/>
    <n v="6"/>
    <n v="853809"/>
    <n v="8"/>
    <n v="5122854"/>
    <n v="0.5122854"/>
    <n v="4713025.6800000006"/>
    <n v="0.47130256800000009"/>
    <s v="Pending"/>
    <s v="Pending"/>
    <s v="Valid"/>
    <s v="Pending"/>
  </r>
  <r>
    <x v="806"/>
    <x v="297"/>
    <x v="4"/>
    <x v="2"/>
    <x v="1"/>
    <s v="Kisan Tractors Karnataka"/>
    <x v="1"/>
    <x v="1"/>
    <x v="4"/>
    <x v="1"/>
    <n v="4"/>
    <n v="459638"/>
    <n v="6"/>
    <n v="1838552"/>
    <n v="0.1838552"/>
    <n v="1728238.88"/>
    <n v="0.17282388799999998"/>
    <s v="Pending"/>
    <s v="Pending"/>
    <s v="Invalid"/>
    <s v="Pending"/>
  </r>
  <r>
    <x v="807"/>
    <x v="442"/>
    <x v="4"/>
    <x v="2"/>
    <x v="2"/>
    <s v="Kisan Tractors Maharashtra"/>
    <x v="2"/>
    <x v="2"/>
    <x v="2"/>
    <x v="0"/>
    <n v="3"/>
    <n v="394932"/>
    <n v="6"/>
    <n v="1184796"/>
    <n v="0.1184796"/>
    <n v="1113708.24"/>
    <n v="0.11137082399999999"/>
    <s v="Pending"/>
    <s v="Pending"/>
    <s v="Valid"/>
    <s v="Pending"/>
  </r>
  <r>
    <x v="808"/>
    <x v="387"/>
    <x v="3"/>
    <x v="1"/>
    <x v="4"/>
    <s v="Green Field West Bengal"/>
    <x v="4"/>
    <x v="3"/>
    <x v="1"/>
    <x v="1"/>
    <n v="7"/>
    <n v="142911"/>
    <n v="9"/>
    <n v="1000377"/>
    <n v="0.10003769999999999"/>
    <n v="910343.07000000007"/>
    <n v="9.1034307000000009E-2"/>
    <s v="Partial"/>
    <s v="In Transit"/>
    <s v="Invalid"/>
    <s v="In Transit"/>
  </r>
  <r>
    <x v="809"/>
    <x v="443"/>
    <x v="0"/>
    <x v="1"/>
    <x v="1"/>
    <s v="Green Field Karnataka"/>
    <x v="1"/>
    <x v="1"/>
    <x v="1"/>
    <x v="1"/>
    <n v="7"/>
    <n v="140428"/>
    <n v="9"/>
    <n v="982996"/>
    <n v="9.8299600000000001E-2"/>
    <n v="894526.36"/>
    <n v="8.9452636000000002E-2"/>
    <s v="Pending"/>
    <s v="Pending"/>
    <s v="Invalid"/>
    <s v="Pending"/>
  </r>
  <r>
    <x v="810"/>
    <x v="103"/>
    <x v="1"/>
    <x v="0"/>
    <x v="0"/>
    <s v="Shakti Agro Uttar Pradesh"/>
    <x v="0"/>
    <x v="0"/>
    <x v="1"/>
    <x v="1"/>
    <n v="7"/>
    <n v="274903"/>
    <n v="9"/>
    <n v="1924321"/>
    <n v="0.19243209999999999"/>
    <n v="1751132.11"/>
    <n v="0.17511321100000002"/>
    <s v="Partial"/>
    <s v="In Transit"/>
    <s v="Invalid"/>
    <s v="In Transit"/>
  </r>
  <r>
    <x v="811"/>
    <x v="33"/>
    <x v="1"/>
    <x v="3"/>
    <x v="2"/>
    <s v="Mahadev Motors Maharashtra"/>
    <x v="2"/>
    <x v="2"/>
    <x v="0"/>
    <x v="0"/>
    <n v="6"/>
    <n v="500073"/>
    <n v="8"/>
    <n v="3000438"/>
    <n v="0.30004380000000003"/>
    <n v="2760402.96"/>
    <n v="0.27604029600000002"/>
    <s v="Pending"/>
    <s v="Pending"/>
    <s v="Invalid"/>
    <s v="Pending"/>
  </r>
  <r>
    <x v="812"/>
    <x v="444"/>
    <x v="4"/>
    <x v="1"/>
    <x v="1"/>
    <s v="Green Field Karnataka"/>
    <x v="1"/>
    <x v="1"/>
    <x v="1"/>
    <x v="1"/>
    <n v="1"/>
    <n v="670039"/>
    <n v="3"/>
    <n v="670039"/>
    <n v="6.7003900000000005E-2"/>
    <n v="649937.82999999996"/>
    <n v="6.4993782999999999E-2"/>
    <s v="Pending"/>
    <s v="Pending"/>
    <s v="Invalid"/>
    <s v="Pending"/>
  </r>
  <r>
    <x v="813"/>
    <x v="445"/>
    <x v="4"/>
    <x v="4"/>
    <x v="4"/>
    <s v="Agri Motors West Bengal"/>
    <x v="4"/>
    <x v="3"/>
    <x v="4"/>
    <x v="1"/>
    <n v="1"/>
    <n v="879711"/>
    <n v="3"/>
    <n v="879711"/>
    <n v="8.7971099999999997E-2"/>
    <n v="853319.66999999993"/>
    <n v="8.5331966999999995E-2"/>
    <s v="Pending"/>
    <s v="Pending"/>
    <s v="Invalid"/>
    <s v="Pending"/>
  </r>
  <r>
    <x v="814"/>
    <x v="25"/>
    <x v="0"/>
    <x v="4"/>
    <x v="3"/>
    <s v="Agri Motors Haryana"/>
    <x v="3"/>
    <x v="0"/>
    <x v="4"/>
    <x v="1"/>
    <n v="6"/>
    <n v="383956"/>
    <n v="8"/>
    <n v="2303736"/>
    <n v="0.23037360000000001"/>
    <n v="2119437.12"/>
    <n v="0.21194371200000001"/>
    <s v="Pending"/>
    <s v="Pending"/>
    <s v="Invalid"/>
    <s v="Pending"/>
  </r>
  <r>
    <x v="815"/>
    <x v="446"/>
    <x v="1"/>
    <x v="2"/>
    <x v="2"/>
    <s v="Kisan Tractors Maharashtra"/>
    <x v="2"/>
    <x v="2"/>
    <x v="2"/>
    <x v="0"/>
    <n v="2"/>
    <n v="425909"/>
    <n v="5"/>
    <n v="851818"/>
    <n v="8.5181800000000002E-2"/>
    <n v="809227.1"/>
    <n v="8.0922709999999995E-2"/>
    <s v="Paid"/>
    <s v="Delivered"/>
    <s v="Valid"/>
    <s v="Completed"/>
  </r>
  <r>
    <x v="816"/>
    <x v="237"/>
    <x v="3"/>
    <x v="3"/>
    <x v="0"/>
    <s v="Mahadev Motors Uttar Pradesh"/>
    <x v="0"/>
    <x v="0"/>
    <x v="1"/>
    <x v="1"/>
    <n v="7"/>
    <n v="696498"/>
    <n v="9"/>
    <n v="4875486"/>
    <n v="0.4875486"/>
    <n v="4436692.26"/>
    <n v="0.44366922599999997"/>
    <s v="Pending"/>
    <s v="Pending"/>
    <s v="Valid"/>
    <s v="Pending"/>
  </r>
  <r>
    <x v="817"/>
    <x v="205"/>
    <x v="3"/>
    <x v="2"/>
    <x v="1"/>
    <s v="Kisan Tractors Karnataka"/>
    <x v="1"/>
    <x v="1"/>
    <x v="2"/>
    <x v="0"/>
    <n v="5"/>
    <n v="206113"/>
    <n v="7"/>
    <n v="1030565"/>
    <n v="0.1030565"/>
    <n v="958425.45"/>
    <n v="9.5842545000000001E-2"/>
    <s v="Paid"/>
    <s v="Delivered"/>
    <s v="Valid"/>
    <s v="Completed"/>
  </r>
  <r>
    <x v="818"/>
    <x v="123"/>
    <x v="0"/>
    <x v="4"/>
    <x v="4"/>
    <s v="Agri Motors West Bengal"/>
    <x v="4"/>
    <x v="3"/>
    <x v="3"/>
    <x v="2"/>
    <n v="3"/>
    <n v="124169"/>
    <n v="6"/>
    <n v="372507"/>
    <n v="3.7250699999999998E-2"/>
    <n v="350156.57999999996"/>
    <n v="3.5015657999999998E-2"/>
    <s v="Partial"/>
    <s v="In Transit"/>
    <s v="Invalid"/>
    <s v="In Transit"/>
  </r>
  <r>
    <x v="819"/>
    <x v="238"/>
    <x v="3"/>
    <x v="3"/>
    <x v="0"/>
    <s v="Mahadev Motors Uttar Pradesh"/>
    <x v="0"/>
    <x v="0"/>
    <x v="1"/>
    <x v="1"/>
    <n v="6"/>
    <n v="176747"/>
    <n v="8"/>
    <n v="1060482"/>
    <n v="0.1060482"/>
    <n v="975643.44000000006"/>
    <n v="9.7564344000000011E-2"/>
    <s v="Pending"/>
    <s v="Pending"/>
    <s v="Valid"/>
    <s v="Pending"/>
  </r>
  <r>
    <x v="820"/>
    <x v="86"/>
    <x v="4"/>
    <x v="0"/>
    <x v="1"/>
    <s v="Shakti Agro Karnataka"/>
    <x v="1"/>
    <x v="1"/>
    <x v="3"/>
    <x v="2"/>
    <n v="1"/>
    <n v="72099"/>
    <n v="3"/>
    <n v="72099"/>
    <n v="7.2099E-3"/>
    <n v="69936.03"/>
    <n v="6.9936030000000001E-3"/>
    <s v="Paid"/>
    <s v="Delivered"/>
    <s v="Invalid"/>
    <s v="Completed"/>
  </r>
  <r>
    <x v="821"/>
    <x v="266"/>
    <x v="2"/>
    <x v="0"/>
    <x v="0"/>
    <s v="Shakti Agro Uttar Pradesh"/>
    <x v="0"/>
    <x v="0"/>
    <x v="0"/>
    <x v="0"/>
    <n v="5"/>
    <n v="592306"/>
    <n v="7"/>
    <n v="2961530"/>
    <n v="0.296153"/>
    <n v="2754222.9"/>
    <n v="0.27542229000000001"/>
    <s v="Paid"/>
    <s v="Delivered"/>
    <s v="Valid"/>
    <s v="Completed"/>
  </r>
  <r>
    <x v="822"/>
    <x v="447"/>
    <x v="3"/>
    <x v="2"/>
    <x v="0"/>
    <s v="Kisan Tractors Uttar Pradesh"/>
    <x v="0"/>
    <x v="0"/>
    <x v="1"/>
    <x v="1"/>
    <n v="1"/>
    <n v="468906"/>
    <n v="3"/>
    <n v="468906"/>
    <n v="4.6890599999999998E-2"/>
    <n v="454838.82"/>
    <n v="4.5483882000000003E-2"/>
    <s v="Partial"/>
    <s v="In Transit"/>
    <s v="Invalid"/>
    <s v="In Transit"/>
  </r>
  <r>
    <x v="823"/>
    <x v="241"/>
    <x v="0"/>
    <x v="2"/>
    <x v="0"/>
    <s v="Kisan Tractors Uttar Pradesh"/>
    <x v="0"/>
    <x v="0"/>
    <x v="3"/>
    <x v="2"/>
    <n v="2"/>
    <n v="625394"/>
    <n v="5"/>
    <n v="1250788"/>
    <n v="0.12507879999999999"/>
    <n v="1188248.5999999999"/>
    <n v="0.11882485999999999"/>
    <s v="Pending"/>
    <s v="Pending"/>
    <s v="Invalid"/>
    <s v="Pending"/>
  </r>
  <r>
    <x v="824"/>
    <x v="433"/>
    <x v="3"/>
    <x v="1"/>
    <x v="0"/>
    <s v="Green Field Uttar Pradesh"/>
    <x v="0"/>
    <x v="0"/>
    <x v="4"/>
    <x v="1"/>
    <n v="5"/>
    <n v="74441"/>
    <n v="7"/>
    <n v="372205"/>
    <n v="3.7220499999999997E-2"/>
    <n v="346150.64999999997"/>
    <n v="3.4615064999999993E-2"/>
    <s v="Pending"/>
    <s v="Pending"/>
    <s v="Valid"/>
    <s v="Pending"/>
  </r>
  <r>
    <x v="825"/>
    <x v="45"/>
    <x v="1"/>
    <x v="1"/>
    <x v="3"/>
    <s v="Green Field Haryana"/>
    <x v="3"/>
    <x v="0"/>
    <x v="3"/>
    <x v="2"/>
    <n v="4"/>
    <n v="234082"/>
    <n v="6"/>
    <n v="936328"/>
    <n v="9.3632800000000002E-2"/>
    <n v="880148.32"/>
    <n v="8.8014832000000001E-2"/>
    <s v="Pending"/>
    <s v="Pending"/>
    <s v="Invalid"/>
    <s v="Pending"/>
  </r>
  <r>
    <x v="826"/>
    <x v="60"/>
    <x v="0"/>
    <x v="0"/>
    <x v="1"/>
    <s v="Shakti Agro Karnataka"/>
    <x v="1"/>
    <x v="1"/>
    <x v="1"/>
    <x v="1"/>
    <n v="7"/>
    <n v="543190"/>
    <n v="9"/>
    <n v="3802330"/>
    <n v="0.38023299999999999"/>
    <n v="3460120.3000000003"/>
    <n v="0.34601203000000003"/>
    <s v="Paid"/>
    <s v="Delivered"/>
    <s v="Invalid"/>
    <s v="Completed"/>
  </r>
  <r>
    <x v="827"/>
    <x v="75"/>
    <x v="1"/>
    <x v="0"/>
    <x v="2"/>
    <s v="Shakti Agro Maharashtra"/>
    <x v="2"/>
    <x v="2"/>
    <x v="2"/>
    <x v="0"/>
    <n v="6"/>
    <n v="657154"/>
    <n v="8"/>
    <n v="3942924"/>
    <n v="0.39429239999999999"/>
    <n v="3627490.08"/>
    <n v="0.36274900799999998"/>
    <s v="Pending"/>
    <s v="Pending"/>
    <s v="Invalid"/>
    <s v="Pending"/>
  </r>
  <r>
    <x v="828"/>
    <x v="448"/>
    <x v="4"/>
    <x v="4"/>
    <x v="1"/>
    <s v="Agri Motors Karnataka"/>
    <x v="1"/>
    <x v="1"/>
    <x v="1"/>
    <x v="1"/>
    <n v="6"/>
    <n v="807749"/>
    <n v="8"/>
    <n v="4846494"/>
    <n v="0.48464940000000001"/>
    <n v="4458774.4800000004"/>
    <n v="0.44587744800000007"/>
    <s v="Pending"/>
    <s v="Pending"/>
    <s v="Valid"/>
    <s v="Pending"/>
  </r>
  <r>
    <x v="829"/>
    <x v="106"/>
    <x v="2"/>
    <x v="2"/>
    <x v="0"/>
    <s v="Kisan Tractors Uttar Pradesh"/>
    <x v="0"/>
    <x v="0"/>
    <x v="0"/>
    <x v="0"/>
    <n v="5"/>
    <n v="561751"/>
    <n v="7"/>
    <n v="2808755"/>
    <n v="0.2808755"/>
    <n v="2612142.15"/>
    <n v="0.26121421499999997"/>
    <s v="Pending"/>
    <s v="Pending"/>
    <s v="Valid"/>
    <s v="Pending"/>
  </r>
  <r>
    <x v="830"/>
    <x v="416"/>
    <x v="3"/>
    <x v="1"/>
    <x v="0"/>
    <s v="Green Field Uttar Pradesh"/>
    <x v="0"/>
    <x v="0"/>
    <x v="3"/>
    <x v="2"/>
    <n v="1"/>
    <n v="427002"/>
    <n v="3"/>
    <n v="427002"/>
    <n v="4.2700200000000001E-2"/>
    <n v="414191.94"/>
    <n v="4.1419193999999999E-2"/>
    <s v="Paid"/>
    <s v="Delivered"/>
    <s v="Invalid"/>
    <s v="Completed"/>
  </r>
  <r>
    <x v="831"/>
    <x v="419"/>
    <x v="3"/>
    <x v="0"/>
    <x v="0"/>
    <s v="Shakti Agro Uttar Pradesh"/>
    <x v="0"/>
    <x v="0"/>
    <x v="3"/>
    <x v="2"/>
    <n v="4"/>
    <n v="360595"/>
    <n v="6"/>
    <n v="1442380"/>
    <n v="0.14423800000000001"/>
    <n v="1355837.2"/>
    <n v="0.13558371999999999"/>
    <s v="Pending"/>
    <s v="Pending"/>
    <s v="Invalid"/>
    <s v="Pending"/>
  </r>
  <r>
    <x v="832"/>
    <x v="449"/>
    <x v="4"/>
    <x v="3"/>
    <x v="1"/>
    <s v="Mahadev Motors Karnataka"/>
    <x v="1"/>
    <x v="1"/>
    <x v="2"/>
    <x v="0"/>
    <n v="2"/>
    <n v="399519"/>
    <n v="5"/>
    <n v="799038"/>
    <n v="7.9903799999999997E-2"/>
    <n v="759086.1"/>
    <n v="7.5908610000000001E-2"/>
    <s v="Pending"/>
    <s v="Pending"/>
    <s v="Invalid"/>
    <s v="Pending"/>
  </r>
  <r>
    <x v="833"/>
    <x v="421"/>
    <x v="4"/>
    <x v="1"/>
    <x v="2"/>
    <s v="Green Field Maharashtra"/>
    <x v="2"/>
    <x v="2"/>
    <x v="4"/>
    <x v="1"/>
    <n v="4"/>
    <n v="116449"/>
    <n v="6"/>
    <n v="465796"/>
    <n v="4.6579599999999999E-2"/>
    <n v="437848.24"/>
    <n v="4.3784824E-2"/>
    <s v="Partial"/>
    <s v="In Transit"/>
    <s v="Invalid"/>
    <s v="In Transit"/>
  </r>
  <r>
    <x v="834"/>
    <x v="337"/>
    <x v="2"/>
    <x v="4"/>
    <x v="1"/>
    <s v="Agri Motors Karnataka"/>
    <x v="1"/>
    <x v="1"/>
    <x v="1"/>
    <x v="1"/>
    <n v="2"/>
    <n v="853240"/>
    <n v="5"/>
    <n v="1706480"/>
    <n v="0.17064799999999999"/>
    <n v="1621156"/>
    <n v="0.1621156"/>
    <s v="Partial"/>
    <s v="In Transit"/>
    <s v="Valid"/>
    <s v="In Transit"/>
  </r>
  <r>
    <x v="835"/>
    <x v="115"/>
    <x v="0"/>
    <x v="0"/>
    <x v="1"/>
    <s v="Shakti Agro Karnataka"/>
    <x v="1"/>
    <x v="1"/>
    <x v="4"/>
    <x v="1"/>
    <n v="1"/>
    <n v="759613"/>
    <n v="3"/>
    <n v="759613"/>
    <n v="7.5961299999999995E-2"/>
    <n v="736824.61"/>
    <n v="7.3682461000000005E-2"/>
    <s v="Pending"/>
    <s v="Pending"/>
    <s v="Invalid"/>
    <s v="Pending"/>
  </r>
  <r>
    <x v="836"/>
    <x v="150"/>
    <x v="4"/>
    <x v="4"/>
    <x v="0"/>
    <s v="Agri Motors Uttar Pradesh"/>
    <x v="0"/>
    <x v="0"/>
    <x v="0"/>
    <x v="0"/>
    <n v="3"/>
    <n v="441954"/>
    <n v="6"/>
    <n v="1325862"/>
    <n v="0.13258619999999999"/>
    <n v="1246310.28"/>
    <n v="0.124631028"/>
    <s v="Partial"/>
    <s v="In Transit"/>
    <s v="Invalid"/>
    <s v="In Transit"/>
  </r>
  <r>
    <x v="837"/>
    <x v="450"/>
    <x v="1"/>
    <x v="2"/>
    <x v="4"/>
    <s v="Kisan Tractors West Bengal"/>
    <x v="4"/>
    <x v="3"/>
    <x v="2"/>
    <x v="0"/>
    <n v="1"/>
    <n v="399397"/>
    <n v="3"/>
    <n v="399397"/>
    <n v="3.9939700000000002E-2"/>
    <n v="387415.08999999997"/>
    <n v="3.8741508999999993E-2"/>
    <s v="Pending"/>
    <s v="Pending"/>
    <s v="Invalid"/>
    <s v="Pending"/>
  </r>
  <r>
    <x v="838"/>
    <x v="96"/>
    <x v="0"/>
    <x v="0"/>
    <x v="0"/>
    <s v="Shakti Agro Uttar Pradesh"/>
    <x v="0"/>
    <x v="0"/>
    <x v="3"/>
    <x v="2"/>
    <n v="1"/>
    <n v="463458"/>
    <n v="3"/>
    <n v="463458"/>
    <n v="4.6345799999999999E-2"/>
    <n v="449554.26"/>
    <n v="4.4955426E-2"/>
    <s v="Paid"/>
    <s v="Delivered"/>
    <s v="Valid"/>
    <s v="Completed"/>
  </r>
  <r>
    <x v="839"/>
    <x v="121"/>
    <x v="4"/>
    <x v="0"/>
    <x v="3"/>
    <s v="Shakti Agro Haryana"/>
    <x v="3"/>
    <x v="0"/>
    <x v="4"/>
    <x v="1"/>
    <n v="8"/>
    <n v="222746"/>
    <n v="9"/>
    <n v="1781968"/>
    <n v="0.17819679999999999"/>
    <n v="1621590.8800000001"/>
    <n v="0.16215908800000001"/>
    <s v="Paid"/>
    <s v="Delivered"/>
    <s v="Valid"/>
    <s v="Completed"/>
  </r>
  <r>
    <x v="840"/>
    <x v="337"/>
    <x v="0"/>
    <x v="0"/>
    <x v="3"/>
    <s v="Shakti Agro Haryana"/>
    <x v="3"/>
    <x v="0"/>
    <x v="4"/>
    <x v="1"/>
    <n v="5"/>
    <n v="694400"/>
    <n v="7"/>
    <n v="3472000"/>
    <n v="0.34720000000000001"/>
    <n v="3228960"/>
    <n v="0.32289600000000002"/>
    <s v="Paid"/>
    <s v="Delivered"/>
    <s v="Invalid"/>
    <s v="Completed"/>
  </r>
  <r>
    <x v="841"/>
    <x v="451"/>
    <x v="4"/>
    <x v="3"/>
    <x v="2"/>
    <s v="Mahadev Motors Maharashtra"/>
    <x v="2"/>
    <x v="2"/>
    <x v="2"/>
    <x v="0"/>
    <n v="7"/>
    <n v="737126"/>
    <n v="9"/>
    <n v="5159882"/>
    <n v="0.51598820000000001"/>
    <n v="4695492.62"/>
    <n v="0.46954926200000002"/>
    <s v="Partial"/>
    <s v="In Transit"/>
    <s v="Invalid"/>
    <s v="In Transit"/>
  </r>
  <r>
    <x v="842"/>
    <x v="357"/>
    <x v="0"/>
    <x v="3"/>
    <x v="2"/>
    <s v="Mahadev Motors Maharashtra"/>
    <x v="2"/>
    <x v="2"/>
    <x v="0"/>
    <x v="0"/>
    <n v="6"/>
    <n v="349387"/>
    <n v="8"/>
    <n v="2096322"/>
    <n v="0.20963219999999999"/>
    <n v="1928616.24"/>
    <n v="0.19286162400000001"/>
    <s v="Paid"/>
    <s v="Delivered"/>
    <s v="Valid"/>
    <s v="Completed"/>
  </r>
  <r>
    <x v="843"/>
    <x v="319"/>
    <x v="2"/>
    <x v="4"/>
    <x v="3"/>
    <s v="Agri Motors Haryana"/>
    <x v="3"/>
    <x v="0"/>
    <x v="2"/>
    <x v="0"/>
    <n v="4"/>
    <n v="408393"/>
    <n v="6"/>
    <n v="1633572"/>
    <n v="0.16335720000000001"/>
    <n v="1535557.68"/>
    <n v="0.15355576799999998"/>
    <s v="Partial"/>
    <s v="In Transit"/>
    <s v="Invalid"/>
    <s v="In Transit"/>
  </r>
  <r>
    <x v="844"/>
    <x v="101"/>
    <x v="4"/>
    <x v="3"/>
    <x v="0"/>
    <s v="Mahadev Motors Uttar Pradesh"/>
    <x v="0"/>
    <x v="0"/>
    <x v="4"/>
    <x v="1"/>
    <n v="3"/>
    <n v="172814"/>
    <n v="6"/>
    <n v="518442"/>
    <n v="5.18442E-2"/>
    <n v="487335.48"/>
    <n v="4.8733548000000002E-2"/>
    <s v="Pending"/>
    <s v="Pending"/>
    <s v="Invalid"/>
    <s v="Pending"/>
  </r>
  <r>
    <x v="845"/>
    <x v="80"/>
    <x v="4"/>
    <x v="2"/>
    <x v="1"/>
    <s v="Kisan Tractors Karnataka"/>
    <x v="1"/>
    <x v="1"/>
    <x v="2"/>
    <x v="0"/>
    <n v="4"/>
    <n v="225259"/>
    <n v="6"/>
    <n v="901036"/>
    <n v="9.0103600000000006E-2"/>
    <n v="846973.84"/>
    <n v="8.4697384000000001E-2"/>
    <s v="Pending"/>
    <s v="Pending"/>
    <s v="Invalid"/>
    <s v="Pending"/>
  </r>
  <r>
    <x v="846"/>
    <x v="225"/>
    <x v="3"/>
    <x v="0"/>
    <x v="1"/>
    <s v="Shakti Agro Karnataka"/>
    <x v="1"/>
    <x v="1"/>
    <x v="4"/>
    <x v="1"/>
    <n v="4"/>
    <n v="201097"/>
    <n v="6"/>
    <n v="804388"/>
    <n v="8.0438800000000005E-2"/>
    <n v="756124.72"/>
    <n v="7.5612472E-2"/>
    <s v="Paid"/>
    <s v="Delivered"/>
    <s v="Valid"/>
    <s v="Completed"/>
  </r>
  <r>
    <x v="847"/>
    <x v="452"/>
    <x v="1"/>
    <x v="2"/>
    <x v="4"/>
    <s v="Kisan Tractors West Bengal"/>
    <x v="4"/>
    <x v="3"/>
    <x v="0"/>
    <x v="0"/>
    <n v="4"/>
    <n v="796844"/>
    <n v="6"/>
    <n v="3187376"/>
    <n v="0.31873760000000001"/>
    <n v="2996133.44"/>
    <n v="0.299613344"/>
    <s v="Partial"/>
    <s v="In Transit"/>
    <s v="Invalid"/>
    <s v="In Transit"/>
  </r>
  <r>
    <x v="848"/>
    <x v="144"/>
    <x v="2"/>
    <x v="4"/>
    <x v="3"/>
    <s v="Agri Motors Haryana"/>
    <x v="3"/>
    <x v="0"/>
    <x v="1"/>
    <x v="1"/>
    <n v="6"/>
    <n v="642060"/>
    <n v="8"/>
    <n v="3852360"/>
    <n v="0.38523600000000002"/>
    <n v="3544171.2"/>
    <n v="0.35441712000000003"/>
    <s v="Pending"/>
    <s v="Pending"/>
    <s v="Invalid"/>
    <s v="Pending"/>
  </r>
  <r>
    <x v="849"/>
    <x v="45"/>
    <x v="1"/>
    <x v="3"/>
    <x v="0"/>
    <s v="Mahadev Motors Uttar Pradesh"/>
    <x v="0"/>
    <x v="0"/>
    <x v="4"/>
    <x v="1"/>
    <n v="1"/>
    <n v="512765"/>
    <n v="3"/>
    <n v="512765"/>
    <n v="5.1276500000000003E-2"/>
    <n v="497382.05"/>
    <n v="4.9738205000000001E-2"/>
    <s v="Pending"/>
    <s v="Pending"/>
    <s v="Invalid"/>
    <s v="Pending"/>
  </r>
  <r>
    <x v="850"/>
    <x v="419"/>
    <x v="0"/>
    <x v="1"/>
    <x v="4"/>
    <s v="Green Field West Bengal"/>
    <x v="4"/>
    <x v="3"/>
    <x v="0"/>
    <x v="0"/>
    <n v="8"/>
    <n v="477211"/>
    <n v="9"/>
    <n v="3817688"/>
    <n v="0.38176880000000002"/>
    <n v="3474096.08"/>
    <n v="0.34740960799999998"/>
    <s v="Pending"/>
    <s v="Pending"/>
    <s v="Valid"/>
    <s v="Pending"/>
  </r>
  <r>
    <x v="851"/>
    <x v="22"/>
    <x v="4"/>
    <x v="3"/>
    <x v="4"/>
    <s v="Mahadev Motors West Bengal"/>
    <x v="4"/>
    <x v="3"/>
    <x v="0"/>
    <x v="0"/>
    <n v="3"/>
    <n v="845062"/>
    <n v="6"/>
    <n v="2535186"/>
    <n v="0.25351859999999998"/>
    <n v="2383074.84"/>
    <n v="0.23830748399999999"/>
    <s v="Partial"/>
    <s v="In Transit"/>
    <s v="Invalid"/>
    <s v="In Transit"/>
  </r>
  <r>
    <x v="852"/>
    <x v="453"/>
    <x v="1"/>
    <x v="4"/>
    <x v="0"/>
    <s v="Agri Motors Uttar Pradesh"/>
    <x v="0"/>
    <x v="0"/>
    <x v="2"/>
    <x v="0"/>
    <n v="5"/>
    <n v="325457"/>
    <n v="7"/>
    <n v="1627285"/>
    <n v="0.1627285"/>
    <n v="1513375.0499999998"/>
    <n v="0.15133750499999998"/>
    <s v="Pending"/>
    <s v="Pending"/>
    <s v="Invalid"/>
    <s v="Pending"/>
  </r>
  <r>
    <x v="853"/>
    <x v="146"/>
    <x v="0"/>
    <x v="2"/>
    <x v="1"/>
    <s v="Kisan Tractors Karnataka"/>
    <x v="1"/>
    <x v="1"/>
    <x v="1"/>
    <x v="1"/>
    <n v="1"/>
    <n v="298838"/>
    <n v="3"/>
    <n v="298838"/>
    <n v="2.9883799999999999E-2"/>
    <n v="289872.86"/>
    <n v="2.8987285999999998E-2"/>
    <s v="Pending"/>
    <s v="Pending"/>
    <s v="Invalid"/>
    <s v="Pending"/>
  </r>
  <r>
    <x v="854"/>
    <x v="454"/>
    <x v="4"/>
    <x v="3"/>
    <x v="3"/>
    <s v="Mahadev Motors Haryana"/>
    <x v="3"/>
    <x v="0"/>
    <x v="1"/>
    <x v="1"/>
    <n v="4"/>
    <n v="810712"/>
    <n v="6"/>
    <n v="3242848"/>
    <n v="0.32428479999999998"/>
    <n v="3048277.1199999996"/>
    <n v="0.30482771199999997"/>
    <s v="Paid"/>
    <s v="Delivered"/>
    <s v="Valid"/>
    <s v="Completed"/>
  </r>
  <r>
    <x v="855"/>
    <x v="187"/>
    <x v="3"/>
    <x v="0"/>
    <x v="4"/>
    <s v="Shakti Agro West Bengal"/>
    <x v="4"/>
    <x v="3"/>
    <x v="1"/>
    <x v="1"/>
    <n v="1"/>
    <n v="552914"/>
    <n v="3"/>
    <n v="552914"/>
    <n v="5.5291399999999997E-2"/>
    <n v="536326.57999999996"/>
    <n v="5.3632657999999993E-2"/>
    <s v="Pending"/>
    <s v="Pending"/>
    <s v="Valid"/>
    <s v="Pending"/>
  </r>
  <r>
    <x v="856"/>
    <x v="19"/>
    <x v="4"/>
    <x v="3"/>
    <x v="0"/>
    <s v="Mahadev Motors Uttar Pradesh"/>
    <x v="0"/>
    <x v="0"/>
    <x v="3"/>
    <x v="2"/>
    <n v="4"/>
    <n v="883579"/>
    <n v="6"/>
    <n v="3534316"/>
    <n v="0.35343160000000001"/>
    <n v="3322257.04"/>
    <n v="0.33222570400000001"/>
    <s v="Pending"/>
    <s v="Pending"/>
    <s v="Invalid"/>
    <s v="Pending"/>
  </r>
  <r>
    <x v="857"/>
    <x v="399"/>
    <x v="1"/>
    <x v="0"/>
    <x v="4"/>
    <s v="Shakti Agro West Bengal"/>
    <x v="4"/>
    <x v="3"/>
    <x v="1"/>
    <x v="1"/>
    <n v="8"/>
    <n v="196554"/>
    <n v="9"/>
    <n v="1572432"/>
    <n v="0.1572432"/>
    <n v="1430913.12"/>
    <n v="0.143091312"/>
    <s v="Paid"/>
    <s v="Delivered"/>
    <s v="Invalid"/>
    <s v="Completed"/>
  </r>
  <r>
    <x v="858"/>
    <x v="455"/>
    <x v="3"/>
    <x v="2"/>
    <x v="3"/>
    <s v="Kisan Tractors Haryana"/>
    <x v="3"/>
    <x v="0"/>
    <x v="1"/>
    <x v="1"/>
    <n v="8"/>
    <n v="416937"/>
    <n v="9"/>
    <n v="3335496"/>
    <n v="0.3335496"/>
    <n v="3035301.3600000003"/>
    <n v="0.30353013600000001"/>
    <s v="Paid"/>
    <s v="Delivered"/>
    <s v="Valid"/>
    <s v="Completed"/>
  </r>
  <r>
    <x v="859"/>
    <x v="248"/>
    <x v="3"/>
    <x v="0"/>
    <x v="2"/>
    <s v="Shakti Agro Maharashtra"/>
    <x v="2"/>
    <x v="2"/>
    <x v="2"/>
    <x v="0"/>
    <n v="5"/>
    <n v="149912"/>
    <n v="7"/>
    <n v="749560"/>
    <n v="7.4955999999999995E-2"/>
    <n v="697090.79999999993"/>
    <n v="6.9709079999999993E-2"/>
    <s v="Pending"/>
    <s v="Pending"/>
    <s v="Invalid"/>
    <s v="Pending"/>
  </r>
  <r>
    <x v="860"/>
    <x v="386"/>
    <x v="0"/>
    <x v="1"/>
    <x v="3"/>
    <s v="Green Field Haryana"/>
    <x v="3"/>
    <x v="0"/>
    <x v="0"/>
    <x v="0"/>
    <n v="2"/>
    <n v="258994"/>
    <n v="5"/>
    <n v="517988"/>
    <n v="5.1798799999999999E-2"/>
    <n v="492088.6"/>
    <n v="4.920886E-2"/>
    <s v="Pending"/>
    <s v="Pending"/>
    <s v="Valid"/>
    <s v="Pending"/>
  </r>
  <r>
    <x v="861"/>
    <x v="48"/>
    <x v="0"/>
    <x v="1"/>
    <x v="2"/>
    <s v="Green Field Maharashtra"/>
    <x v="2"/>
    <x v="2"/>
    <x v="4"/>
    <x v="1"/>
    <n v="3"/>
    <n v="594791"/>
    <n v="6"/>
    <n v="1784373"/>
    <n v="0.17843729999999999"/>
    <n v="1677310.6199999999"/>
    <n v="0.16773106199999999"/>
    <s v="Partial"/>
    <s v="In Transit"/>
    <s v="Invalid"/>
    <s v="In Transit"/>
  </r>
  <r>
    <x v="862"/>
    <x v="456"/>
    <x v="2"/>
    <x v="4"/>
    <x v="3"/>
    <s v="Agri Motors Haryana"/>
    <x v="3"/>
    <x v="0"/>
    <x v="3"/>
    <x v="2"/>
    <n v="1"/>
    <n v="773915"/>
    <n v="3"/>
    <n v="773915"/>
    <n v="7.7391500000000002E-2"/>
    <n v="750697.54999999993"/>
    <n v="7.5069754999999988E-2"/>
    <s v="Pending"/>
    <s v="Pending"/>
    <s v="Invalid"/>
    <s v="Pending"/>
  </r>
  <r>
    <x v="863"/>
    <x v="263"/>
    <x v="2"/>
    <x v="2"/>
    <x v="1"/>
    <s v="Kisan Tractors Karnataka"/>
    <x v="1"/>
    <x v="1"/>
    <x v="3"/>
    <x v="2"/>
    <n v="7"/>
    <n v="292197"/>
    <n v="9"/>
    <n v="2045379"/>
    <n v="0.20453789999999999"/>
    <n v="1861294.8900000001"/>
    <n v="0.18612948900000001"/>
    <s v="Pending"/>
    <s v="Pending"/>
    <s v="Invalid"/>
    <s v="Pending"/>
  </r>
  <r>
    <x v="864"/>
    <x v="219"/>
    <x v="4"/>
    <x v="1"/>
    <x v="2"/>
    <s v="Green Field Maharashtra"/>
    <x v="2"/>
    <x v="2"/>
    <x v="2"/>
    <x v="0"/>
    <n v="3"/>
    <n v="360518"/>
    <n v="6"/>
    <n v="1081554"/>
    <n v="0.1081554"/>
    <n v="1016660.7599999999"/>
    <n v="0.10166607599999999"/>
    <s v="Partial"/>
    <s v="In Transit"/>
    <s v="Valid"/>
    <s v="In Transit"/>
  </r>
  <r>
    <x v="865"/>
    <x v="128"/>
    <x v="1"/>
    <x v="2"/>
    <x v="1"/>
    <s v="Kisan Tractors Karnataka"/>
    <x v="1"/>
    <x v="1"/>
    <x v="1"/>
    <x v="1"/>
    <n v="6"/>
    <n v="569855"/>
    <n v="8"/>
    <n v="3419130"/>
    <n v="0.34191300000000002"/>
    <n v="3145599.6"/>
    <n v="0.31455996000000003"/>
    <s v="Partial"/>
    <s v="In Transit"/>
    <s v="Invalid"/>
    <s v="In Transit"/>
  </r>
  <r>
    <x v="866"/>
    <x v="276"/>
    <x v="1"/>
    <x v="4"/>
    <x v="0"/>
    <s v="Agri Motors Uttar Pradesh"/>
    <x v="0"/>
    <x v="0"/>
    <x v="2"/>
    <x v="0"/>
    <n v="2"/>
    <n v="845634"/>
    <n v="5"/>
    <n v="1691268"/>
    <n v="0.16912679999999999"/>
    <n v="1606704.5999999999"/>
    <n v="0.16067045999999999"/>
    <s v="Partial"/>
    <s v="In Transit"/>
    <s v="Invalid"/>
    <s v="In Transit"/>
  </r>
  <r>
    <x v="867"/>
    <x v="367"/>
    <x v="4"/>
    <x v="2"/>
    <x v="1"/>
    <s v="Kisan Tractors Karnataka"/>
    <x v="1"/>
    <x v="1"/>
    <x v="0"/>
    <x v="0"/>
    <n v="5"/>
    <n v="786733"/>
    <n v="7"/>
    <n v="3933665"/>
    <n v="0.39336650000000001"/>
    <n v="3658308.4499999997"/>
    <n v="0.36583084499999996"/>
    <s v="Pending"/>
    <s v="Pending"/>
    <s v="Invalid"/>
    <s v="Pending"/>
  </r>
  <r>
    <x v="868"/>
    <x v="457"/>
    <x v="4"/>
    <x v="3"/>
    <x v="4"/>
    <s v="Mahadev Motors West Bengal"/>
    <x v="4"/>
    <x v="3"/>
    <x v="1"/>
    <x v="1"/>
    <n v="6"/>
    <n v="785879"/>
    <n v="8"/>
    <n v="4715274"/>
    <n v="0.47152739999999999"/>
    <n v="4338052.08"/>
    <n v="0.433805208"/>
    <s v="Partial"/>
    <s v="In Transit"/>
    <s v="Invalid"/>
    <s v="In Transit"/>
  </r>
  <r>
    <x v="869"/>
    <x v="87"/>
    <x v="1"/>
    <x v="0"/>
    <x v="4"/>
    <s v="Shakti Agro West Bengal"/>
    <x v="4"/>
    <x v="3"/>
    <x v="3"/>
    <x v="2"/>
    <n v="4"/>
    <n v="373338"/>
    <n v="6"/>
    <n v="1493352"/>
    <n v="0.1493352"/>
    <n v="1403750.88"/>
    <n v="0.14037508799999998"/>
    <s v="Partial"/>
    <s v="In Transit"/>
    <s v="Valid"/>
    <s v="In Transit"/>
  </r>
  <r>
    <x v="870"/>
    <x v="319"/>
    <x v="3"/>
    <x v="3"/>
    <x v="1"/>
    <s v="Mahadev Motors Karnataka"/>
    <x v="1"/>
    <x v="1"/>
    <x v="3"/>
    <x v="2"/>
    <n v="8"/>
    <n v="835335"/>
    <n v="9"/>
    <n v="6682680"/>
    <n v="0.66826799999999997"/>
    <n v="6081238.7999999998"/>
    <n v="0.60812387999999995"/>
    <s v="Paid"/>
    <s v="Delivered"/>
    <s v="Valid"/>
    <s v="Completed"/>
  </r>
  <r>
    <x v="871"/>
    <x v="402"/>
    <x v="0"/>
    <x v="2"/>
    <x v="0"/>
    <s v="Kisan Tractors Uttar Pradesh"/>
    <x v="0"/>
    <x v="0"/>
    <x v="3"/>
    <x v="2"/>
    <n v="5"/>
    <n v="268238"/>
    <n v="7"/>
    <n v="1341190"/>
    <n v="0.13411899999999999"/>
    <n v="1247306.7"/>
    <n v="0.12473067"/>
    <s v="Pending"/>
    <s v="Pending"/>
    <s v="Invalid"/>
    <s v="Pending"/>
  </r>
  <r>
    <x v="872"/>
    <x v="378"/>
    <x v="4"/>
    <x v="3"/>
    <x v="2"/>
    <s v="Mahadev Motors Maharashtra"/>
    <x v="2"/>
    <x v="2"/>
    <x v="3"/>
    <x v="2"/>
    <n v="1"/>
    <n v="882757"/>
    <n v="3"/>
    <n v="882757"/>
    <n v="8.8275699999999999E-2"/>
    <n v="856274.28999999992"/>
    <n v="8.5627428999999991E-2"/>
    <s v="Pending"/>
    <s v="Pending"/>
    <s v="Valid"/>
    <s v="Pending"/>
  </r>
  <r>
    <x v="873"/>
    <x v="458"/>
    <x v="3"/>
    <x v="3"/>
    <x v="4"/>
    <s v="Mahadev Motors West Bengal"/>
    <x v="4"/>
    <x v="3"/>
    <x v="1"/>
    <x v="1"/>
    <n v="7"/>
    <n v="685719"/>
    <n v="9"/>
    <n v="4800033"/>
    <n v="0.48000330000000002"/>
    <n v="4368030.03"/>
    <n v="0.43680300300000002"/>
    <s v="Paid"/>
    <s v="Delivered"/>
    <s v="Invalid"/>
    <s v="Completed"/>
  </r>
  <r>
    <x v="874"/>
    <x v="295"/>
    <x v="2"/>
    <x v="1"/>
    <x v="3"/>
    <s v="Green Field Haryana"/>
    <x v="3"/>
    <x v="0"/>
    <x v="2"/>
    <x v="0"/>
    <n v="8"/>
    <n v="53322"/>
    <n v="9"/>
    <n v="426576"/>
    <n v="4.2657599999999997E-2"/>
    <n v="388184.16000000003"/>
    <n v="3.8818416000000001E-2"/>
    <s v="Partial"/>
    <s v="In Transit"/>
    <s v="Invalid"/>
    <s v="In Transit"/>
  </r>
  <r>
    <x v="875"/>
    <x v="153"/>
    <x v="2"/>
    <x v="1"/>
    <x v="4"/>
    <s v="Green Field West Bengal"/>
    <x v="4"/>
    <x v="3"/>
    <x v="3"/>
    <x v="2"/>
    <n v="6"/>
    <n v="743270"/>
    <n v="8"/>
    <n v="4459620"/>
    <n v="0.44596200000000003"/>
    <n v="4102850.4000000004"/>
    <n v="0.41028504000000005"/>
    <s v="Paid"/>
    <s v="Delivered"/>
    <s v="Invalid"/>
    <s v="Completed"/>
  </r>
  <r>
    <x v="876"/>
    <x v="91"/>
    <x v="0"/>
    <x v="4"/>
    <x v="4"/>
    <s v="Agri Motors West Bengal"/>
    <x v="4"/>
    <x v="3"/>
    <x v="3"/>
    <x v="2"/>
    <n v="6"/>
    <n v="830032"/>
    <n v="8"/>
    <n v="4980192"/>
    <n v="0.4980192"/>
    <n v="4581776.6400000006"/>
    <n v="0.45817766400000004"/>
    <s v="Partial"/>
    <s v="In Transit"/>
    <s v="Valid"/>
    <s v="In Transit"/>
  </r>
  <r>
    <x v="877"/>
    <x v="180"/>
    <x v="4"/>
    <x v="1"/>
    <x v="2"/>
    <s v="Green Field Maharashtra"/>
    <x v="2"/>
    <x v="2"/>
    <x v="2"/>
    <x v="0"/>
    <n v="7"/>
    <n v="695754"/>
    <n v="9"/>
    <n v="4870278"/>
    <n v="0.48702780000000001"/>
    <n v="4431952.9800000004"/>
    <n v="0.44319529800000007"/>
    <s v="Pending"/>
    <s v="Pending"/>
    <s v="Valid"/>
    <s v="Pending"/>
  </r>
  <r>
    <x v="878"/>
    <x v="459"/>
    <x v="1"/>
    <x v="3"/>
    <x v="1"/>
    <s v="Mahadev Motors Karnataka"/>
    <x v="1"/>
    <x v="1"/>
    <x v="4"/>
    <x v="1"/>
    <n v="4"/>
    <n v="105361"/>
    <n v="6"/>
    <n v="421444"/>
    <n v="4.2144399999999999E-2"/>
    <n v="396157.36"/>
    <n v="3.9615735999999999E-2"/>
    <s v="Paid"/>
    <s v="Delivered"/>
    <s v="Invalid"/>
    <s v="Completed"/>
  </r>
  <r>
    <x v="879"/>
    <x v="165"/>
    <x v="4"/>
    <x v="4"/>
    <x v="3"/>
    <s v="Agri Motors Haryana"/>
    <x v="3"/>
    <x v="0"/>
    <x v="2"/>
    <x v="0"/>
    <n v="4"/>
    <n v="479022"/>
    <n v="6"/>
    <n v="1916088"/>
    <n v="0.1916088"/>
    <n v="1801122.72"/>
    <n v="0.18011227199999999"/>
    <s v="Pending"/>
    <s v="Pending"/>
    <s v="Invalid"/>
    <s v="Pending"/>
  </r>
  <r>
    <x v="880"/>
    <x v="149"/>
    <x v="1"/>
    <x v="4"/>
    <x v="4"/>
    <s v="Agri Motors West Bengal"/>
    <x v="4"/>
    <x v="3"/>
    <x v="2"/>
    <x v="0"/>
    <n v="1"/>
    <n v="618768"/>
    <n v="3"/>
    <n v="618768"/>
    <n v="6.1876800000000003E-2"/>
    <n v="600204.96"/>
    <n v="6.0020496E-2"/>
    <s v="Pending"/>
    <s v="Pending"/>
    <s v="Invalid"/>
    <s v="Pending"/>
  </r>
  <r>
    <x v="881"/>
    <x v="353"/>
    <x v="4"/>
    <x v="3"/>
    <x v="2"/>
    <s v="Mahadev Motors Maharashtra"/>
    <x v="2"/>
    <x v="2"/>
    <x v="0"/>
    <x v="0"/>
    <n v="5"/>
    <n v="344092"/>
    <n v="7"/>
    <n v="1720460"/>
    <n v="0.172046"/>
    <n v="1600027.7999999998"/>
    <n v="0.16000277999999998"/>
    <s v="Paid"/>
    <s v="Delivered"/>
    <s v="Invalid"/>
    <s v="Completed"/>
  </r>
  <r>
    <x v="882"/>
    <x v="454"/>
    <x v="4"/>
    <x v="1"/>
    <x v="1"/>
    <s v="Green Field Karnataka"/>
    <x v="1"/>
    <x v="1"/>
    <x v="1"/>
    <x v="1"/>
    <n v="8"/>
    <n v="50322"/>
    <n v="9"/>
    <n v="402576"/>
    <n v="4.0257599999999998E-2"/>
    <n v="366344.16000000003"/>
    <n v="3.6634416000000003E-2"/>
    <s v="Paid"/>
    <s v="Delivered"/>
    <s v="Valid"/>
    <s v="Completed"/>
  </r>
  <r>
    <x v="883"/>
    <x v="257"/>
    <x v="0"/>
    <x v="2"/>
    <x v="4"/>
    <s v="Kisan Tractors West Bengal"/>
    <x v="4"/>
    <x v="3"/>
    <x v="1"/>
    <x v="1"/>
    <n v="7"/>
    <n v="714188"/>
    <n v="9"/>
    <n v="4999316"/>
    <n v="0.49993159999999998"/>
    <n v="4549377.5600000005"/>
    <n v="0.45493775600000003"/>
    <s v="Partial"/>
    <s v="In Transit"/>
    <s v="Invalid"/>
    <s v="In Transit"/>
  </r>
  <r>
    <x v="884"/>
    <x v="69"/>
    <x v="1"/>
    <x v="3"/>
    <x v="4"/>
    <s v="Mahadev Motors West Bengal"/>
    <x v="4"/>
    <x v="3"/>
    <x v="3"/>
    <x v="2"/>
    <n v="3"/>
    <n v="312562"/>
    <n v="6"/>
    <n v="937686"/>
    <n v="9.3768599999999994E-2"/>
    <n v="881424.84"/>
    <n v="8.8142483999999993E-2"/>
    <s v="Pending"/>
    <s v="Pending"/>
    <s v="Invalid"/>
    <s v="Pending"/>
  </r>
  <r>
    <x v="885"/>
    <x v="433"/>
    <x v="1"/>
    <x v="1"/>
    <x v="3"/>
    <s v="Green Field Haryana"/>
    <x v="3"/>
    <x v="0"/>
    <x v="3"/>
    <x v="2"/>
    <n v="3"/>
    <n v="405771"/>
    <n v="6"/>
    <n v="1217313"/>
    <n v="0.1217313"/>
    <n v="1144274.22"/>
    <n v="0.114427422"/>
    <s v="Partial"/>
    <s v="In Transit"/>
    <s v="Valid"/>
    <s v="In Transit"/>
  </r>
  <r>
    <x v="886"/>
    <x v="186"/>
    <x v="3"/>
    <x v="2"/>
    <x v="4"/>
    <s v="Kisan Tractors West Bengal"/>
    <x v="4"/>
    <x v="3"/>
    <x v="1"/>
    <x v="1"/>
    <n v="7"/>
    <n v="321438"/>
    <n v="9"/>
    <n v="2250066"/>
    <n v="0.2250066"/>
    <n v="2047560.06"/>
    <n v="0.20475600600000002"/>
    <s v="Pending"/>
    <s v="Pending"/>
    <s v="Invalid"/>
    <s v="Pending"/>
  </r>
  <r>
    <x v="887"/>
    <x v="239"/>
    <x v="4"/>
    <x v="1"/>
    <x v="4"/>
    <s v="Green Field West Bengal"/>
    <x v="4"/>
    <x v="3"/>
    <x v="1"/>
    <x v="1"/>
    <n v="6"/>
    <n v="718017"/>
    <n v="8"/>
    <n v="4308102"/>
    <n v="0.43081019999999998"/>
    <n v="3963453.8400000003"/>
    <n v="0.39634538400000002"/>
    <s v="Partial"/>
    <s v="In Transit"/>
    <s v="Invalid"/>
    <s v="In Transit"/>
  </r>
  <r>
    <x v="888"/>
    <x v="460"/>
    <x v="1"/>
    <x v="3"/>
    <x v="2"/>
    <s v="Mahadev Motors Maharashtra"/>
    <x v="2"/>
    <x v="2"/>
    <x v="0"/>
    <x v="0"/>
    <n v="8"/>
    <n v="844194"/>
    <n v="9"/>
    <n v="6753552"/>
    <n v="0.67535520000000004"/>
    <n v="6145732.3200000003"/>
    <n v="0.61457323200000002"/>
    <s v="Paid"/>
    <s v="Delivered"/>
    <s v="Invalid"/>
    <s v="Completed"/>
  </r>
  <r>
    <x v="889"/>
    <x v="261"/>
    <x v="3"/>
    <x v="0"/>
    <x v="1"/>
    <s v="Shakti Agro Karnataka"/>
    <x v="1"/>
    <x v="1"/>
    <x v="3"/>
    <x v="2"/>
    <n v="5"/>
    <n v="448919"/>
    <n v="7"/>
    <n v="2244595"/>
    <n v="0.22445950000000001"/>
    <n v="2087473.3499999999"/>
    <n v="0.20874733499999998"/>
    <s v="Partial"/>
    <s v="In Transit"/>
    <s v="Invalid"/>
    <s v="In Transit"/>
  </r>
  <r>
    <x v="890"/>
    <x v="232"/>
    <x v="2"/>
    <x v="1"/>
    <x v="3"/>
    <s v="Green Field Haryana"/>
    <x v="3"/>
    <x v="0"/>
    <x v="0"/>
    <x v="0"/>
    <n v="1"/>
    <n v="155578"/>
    <n v="3"/>
    <n v="155578"/>
    <n v="1.55578E-2"/>
    <n v="150910.66"/>
    <n v="1.5091066E-2"/>
    <s v="Paid"/>
    <s v="Delivered"/>
    <s v="Valid"/>
    <s v="Completed"/>
  </r>
  <r>
    <x v="891"/>
    <x v="271"/>
    <x v="3"/>
    <x v="1"/>
    <x v="1"/>
    <s v="Green Field Karnataka"/>
    <x v="1"/>
    <x v="1"/>
    <x v="1"/>
    <x v="1"/>
    <n v="8"/>
    <n v="357564"/>
    <n v="9"/>
    <n v="2860512"/>
    <n v="0.28605120000000001"/>
    <n v="2603065.92"/>
    <n v="0.260306592"/>
    <s v="Partial"/>
    <s v="In Transit"/>
    <s v="Invalid"/>
    <s v="In Transit"/>
  </r>
  <r>
    <x v="892"/>
    <x v="127"/>
    <x v="2"/>
    <x v="0"/>
    <x v="3"/>
    <s v="Shakti Agro Haryana"/>
    <x v="3"/>
    <x v="0"/>
    <x v="4"/>
    <x v="1"/>
    <n v="7"/>
    <n v="886401"/>
    <n v="9"/>
    <n v="6204807"/>
    <n v="0.6204807"/>
    <n v="5646374.3700000001"/>
    <n v="0.56463743700000002"/>
    <s v="Pending"/>
    <s v="Pending"/>
    <s v="Valid"/>
    <s v="Pending"/>
  </r>
  <r>
    <x v="893"/>
    <x v="96"/>
    <x v="2"/>
    <x v="1"/>
    <x v="3"/>
    <s v="Green Field Haryana"/>
    <x v="3"/>
    <x v="0"/>
    <x v="4"/>
    <x v="1"/>
    <n v="3"/>
    <n v="107399"/>
    <n v="6"/>
    <n v="322197"/>
    <n v="3.2219699999999997E-2"/>
    <n v="302865.18"/>
    <n v="3.0286517999999998E-2"/>
    <s v="Pending"/>
    <s v="Pending"/>
    <s v="Invalid"/>
    <s v="Pending"/>
  </r>
  <r>
    <x v="894"/>
    <x v="461"/>
    <x v="3"/>
    <x v="3"/>
    <x v="0"/>
    <s v="Mahadev Motors Uttar Pradesh"/>
    <x v="0"/>
    <x v="0"/>
    <x v="0"/>
    <x v="0"/>
    <n v="6"/>
    <n v="565739"/>
    <n v="8"/>
    <n v="3394434"/>
    <n v="0.33944340000000001"/>
    <n v="3122879.2800000003"/>
    <n v="0.31228792800000005"/>
    <s v="Pending"/>
    <s v="Pending"/>
    <s v="Valid"/>
    <s v="Pending"/>
  </r>
  <r>
    <x v="895"/>
    <x v="462"/>
    <x v="4"/>
    <x v="3"/>
    <x v="2"/>
    <s v="Mahadev Motors Maharashtra"/>
    <x v="2"/>
    <x v="2"/>
    <x v="4"/>
    <x v="1"/>
    <n v="4"/>
    <n v="387716"/>
    <n v="6"/>
    <n v="1550864"/>
    <n v="0.15508640000000001"/>
    <n v="1457812.16"/>
    <n v="0.14578121599999999"/>
    <s v="Partial"/>
    <s v="In Transit"/>
    <s v="Valid"/>
    <s v="In Transit"/>
  </r>
  <r>
    <x v="896"/>
    <x v="117"/>
    <x v="0"/>
    <x v="2"/>
    <x v="1"/>
    <s v="Kisan Tractors Karnataka"/>
    <x v="1"/>
    <x v="1"/>
    <x v="4"/>
    <x v="1"/>
    <n v="8"/>
    <n v="298136"/>
    <n v="9"/>
    <n v="2385088"/>
    <n v="0.23850879999999999"/>
    <n v="2170430.08"/>
    <n v="0.21704300800000001"/>
    <s v="Partial"/>
    <s v="In Transit"/>
    <s v="Invalid"/>
    <s v="In Transit"/>
  </r>
  <r>
    <x v="897"/>
    <x v="102"/>
    <x v="3"/>
    <x v="2"/>
    <x v="0"/>
    <s v="Kisan Tractors Uttar Pradesh"/>
    <x v="0"/>
    <x v="0"/>
    <x v="2"/>
    <x v="0"/>
    <n v="4"/>
    <n v="487714"/>
    <n v="6"/>
    <n v="1950856"/>
    <n v="0.1950856"/>
    <n v="1833804.64"/>
    <n v="0.18338046399999999"/>
    <s v="Pending"/>
    <s v="Pending"/>
    <s v="Valid"/>
    <s v="Pending"/>
  </r>
  <r>
    <x v="898"/>
    <x v="146"/>
    <x v="3"/>
    <x v="2"/>
    <x v="0"/>
    <s v="Kisan Tractors Uttar Pradesh"/>
    <x v="0"/>
    <x v="0"/>
    <x v="1"/>
    <x v="1"/>
    <n v="8"/>
    <n v="506156"/>
    <n v="9"/>
    <n v="4049248"/>
    <n v="0.40492479999999997"/>
    <n v="3684815.68"/>
    <n v="0.36848156800000004"/>
    <s v="Partial"/>
    <s v="In Transit"/>
    <s v="Invalid"/>
    <s v="In Transit"/>
  </r>
  <r>
    <x v="899"/>
    <x v="264"/>
    <x v="0"/>
    <x v="4"/>
    <x v="2"/>
    <s v="Agri Motors Maharashtra"/>
    <x v="2"/>
    <x v="2"/>
    <x v="4"/>
    <x v="1"/>
    <n v="2"/>
    <n v="209173"/>
    <n v="5"/>
    <n v="418346"/>
    <n v="4.18346E-2"/>
    <n v="397428.69999999995"/>
    <n v="3.9742869999999993E-2"/>
    <s v="Partial"/>
    <s v="In Transit"/>
    <s v="Valid"/>
    <s v="In Transit"/>
  </r>
  <r>
    <x v="900"/>
    <x v="75"/>
    <x v="4"/>
    <x v="2"/>
    <x v="1"/>
    <s v="Kisan Tractors Karnataka"/>
    <x v="1"/>
    <x v="1"/>
    <x v="4"/>
    <x v="1"/>
    <n v="4"/>
    <n v="175437"/>
    <n v="6"/>
    <n v="701748"/>
    <n v="7.0174799999999996E-2"/>
    <n v="659643.12"/>
    <n v="6.5964311999999997E-2"/>
    <s v="Pending"/>
    <s v="Pending"/>
    <s v="Valid"/>
    <s v="Pending"/>
  </r>
  <r>
    <x v="901"/>
    <x v="463"/>
    <x v="4"/>
    <x v="2"/>
    <x v="2"/>
    <s v="Kisan Tractors Maharashtra"/>
    <x v="2"/>
    <x v="2"/>
    <x v="2"/>
    <x v="0"/>
    <n v="8"/>
    <n v="700539"/>
    <n v="9"/>
    <n v="5604312"/>
    <n v="0.56043120000000002"/>
    <n v="5099923.92"/>
    <n v="0.50999239200000002"/>
    <s v="Pending"/>
    <s v="Pending"/>
    <s v="Valid"/>
    <s v="Pending"/>
  </r>
  <r>
    <x v="902"/>
    <x v="140"/>
    <x v="3"/>
    <x v="1"/>
    <x v="3"/>
    <s v="Green Field Haryana"/>
    <x v="3"/>
    <x v="0"/>
    <x v="3"/>
    <x v="2"/>
    <n v="2"/>
    <n v="97398"/>
    <n v="5"/>
    <n v="194796"/>
    <n v="1.94796E-2"/>
    <n v="185056.19999999998"/>
    <n v="1.8505619999999997E-2"/>
    <s v="Partial"/>
    <s v="In Transit"/>
    <s v="Valid"/>
    <s v="In Transit"/>
  </r>
  <r>
    <x v="903"/>
    <x v="243"/>
    <x v="1"/>
    <x v="1"/>
    <x v="2"/>
    <s v="Green Field Maharashtra"/>
    <x v="2"/>
    <x v="2"/>
    <x v="2"/>
    <x v="0"/>
    <n v="6"/>
    <n v="90027"/>
    <n v="8"/>
    <n v="540162"/>
    <n v="5.40162E-2"/>
    <n v="496949.04000000004"/>
    <n v="4.9694904000000005E-2"/>
    <s v="Pending"/>
    <s v="Pending"/>
    <s v="Invalid"/>
    <s v="Pending"/>
  </r>
  <r>
    <x v="904"/>
    <x v="367"/>
    <x v="3"/>
    <x v="2"/>
    <x v="1"/>
    <s v="Kisan Tractors Karnataka"/>
    <x v="1"/>
    <x v="1"/>
    <x v="3"/>
    <x v="2"/>
    <n v="1"/>
    <n v="823215"/>
    <n v="3"/>
    <n v="823215"/>
    <n v="8.2321500000000006E-2"/>
    <n v="798518.54999999993"/>
    <n v="7.9851854999999999E-2"/>
    <s v="Partial"/>
    <s v="In Transit"/>
    <s v="Invalid"/>
    <s v="In Transit"/>
  </r>
  <r>
    <x v="905"/>
    <x v="464"/>
    <x v="4"/>
    <x v="3"/>
    <x v="1"/>
    <s v="Mahadev Motors Karnataka"/>
    <x v="1"/>
    <x v="1"/>
    <x v="1"/>
    <x v="1"/>
    <n v="8"/>
    <n v="880726"/>
    <n v="9"/>
    <n v="7045808"/>
    <n v="0.70458080000000001"/>
    <n v="6411685.2800000003"/>
    <n v="0.64116852800000002"/>
    <s v="Paid"/>
    <s v="Delivered"/>
    <s v="Valid"/>
    <s v="Completed"/>
  </r>
  <r>
    <x v="906"/>
    <x v="212"/>
    <x v="3"/>
    <x v="0"/>
    <x v="4"/>
    <s v="Shakti Agro West Bengal"/>
    <x v="4"/>
    <x v="3"/>
    <x v="0"/>
    <x v="0"/>
    <n v="8"/>
    <n v="292461"/>
    <n v="9"/>
    <n v="2339688"/>
    <n v="0.2339688"/>
    <n v="2129116.08"/>
    <n v="0.212911608"/>
    <s v="Partial"/>
    <s v="In Transit"/>
    <s v="Valid"/>
    <s v="In Transit"/>
  </r>
  <r>
    <x v="907"/>
    <x v="284"/>
    <x v="3"/>
    <x v="3"/>
    <x v="3"/>
    <s v="Mahadev Motors Haryana"/>
    <x v="3"/>
    <x v="0"/>
    <x v="1"/>
    <x v="1"/>
    <n v="7"/>
    <n v="668608"/>
    <n v="9"/>
    <n v="4680256"/>
    <n v="0.46802559999999999"/>
    <n v="4259032.96"/>
    <n v="0.42590329599999999"/>
    <s v="Partial"/>
    <s v="In Transit"/>
    <s v="Invalid"/>
    <s v="In Transit"/>
  </r>
  <r>
    <x v="908"/>
    <x v="44"/>
    <x v="0"/>
    <x v="1"/>
    <x v="2"/>
    <s v="Green Field Maharashtra"/>
    <x v="2"/>
    <x v="2"/>
    <x v="3"/>
    <x v="2"/>
    <n v="1"/>
    <n v="262177"/>
    <n v="3"/>
    <n v="262177"/>
    <n v="2.62177E-2"/>
    <n v="254311.69"/>
    <n v="2.5431169E-2"/>
    <s v="Paid"/>
    <s v="Delivered"/>
    <s v="Invalid"/>
    <s v="Completed"/>
  </r>
  <r>
    <x v="909"/>
    <x v="348"/>
    <x v="0"/>
    <x v="2"/>
    <x v="1"/>
    <s v="Kisan Tractors Karnataka"/>
    <x v="1"/>
    <x v="1"/>
    <x v="2"/>
    <x v="0"/>
    <n v="4"/>
    <n v="685106"/>
    <n v="6"/>
    <n v="2740424"/>
    <n v="0.27404240000000002"/>
    <n v="2575998.56"/>
    <n v="0.25759985600000002"/>
    <s v="Paid"/>
    <s v="Delivered"/>
    <s v="Valid"/>
    <s v="Completed"/>
  </r>
  <r>
    <x v="910"/>
    <x v="148"/>
    <x v="1"/>
    <x v="4"/>
    <x v="4"/>
    <s v="Agri Motors West Bengal"/>
    <x v="4"/>
    <x v="3"/>
    <x v="3"/>
    <x v="2"/>
    <n v="4"/>
    <n v="281124"/>
    <n v="6"/>
    <n v="1124496"/>
    <n v="0.1124496"/>
    <n v="1057026.24"/>
    <n v="0.105702624"/>
    <s v="Paid"/>
    <s v="Delivered"/>
    <s v="Invalid"/>
    <s v="Completed"/>
  </r>
  <r>
    <x v="911"/>
    <x v="382"/>
    <x v="3"/>
    <x v="2"/>
    <x v="4"/>
    <s v="Kisan Tractors West Bengal"/>
    <x v="4"/>
    <x v="3"/>
    <x v="1"/>
    <x v="1"/>
    <n v="6"/>
    <n v="478544"/>
    <n v="8"/>
    <n v="2871264"/>
    <n v="0.2871264"/>
    <n v="2641562.88"/>
    <n v="0.26415628799999996"/>
    <s v="Pending"/>
    <s v="Pending"/>
    <s v="Invalid"/>
    <s v="Pending"/>
  </r>
  <r>
    <x v="912"/>
    <x v="61"/>
    <x v="3"/>
    <x v="0"/>
    <x v="4"/>
    <s v="Shakti Agro West Bengal"/>
    <x v="4"/>
    <x v="3"/>
    <x v="4"/>
    <x v="1"/>
    <n v="7"/>
    <n v="675249"/>
    <n v="9"/>
    <n v="4726743"/>
    <n v="0.47267429999999999"/>
    <n v="4301336.13"/>
    <n v="0.43013361299999997"/>
    <s v="Partial"/>
    <s v="In Transit"/>
    <s v="Invalid"/>
    <s v="In Transit"/>
  </r>
  <r>
    <x v="913"/>
    <x v="156"/>
    <x v="2"/>
    <x v="3"/>
    <x v="1"/>
    <s v="Mahadev Motors Karnataka"/>
    <x v="1"/>
    <x v="1"/>
    <x v="0"/>
    <x v="0"/>
    <n v="1"/>
    <n v="679111"/>
    <n v="3"/>
    <n v="679111"/>
    <n v="6.7911100000000002E-2"/>
    <n v="658737.66999999993"/>
    <n v="6.5873766999999986E-2"/>
    <s v="Pending"/>
    <s v="Pending"/>
    <s v="Invalid"/>
    <s v="Pending"/>
  </r>
  <r>
    <x v="914"/>
    <x v="452"/>
    <x v="4"/>
    <x v="0"/>
    <x v="4"/>
    <s v="Shakti Agro West Bengal"/>
    <x v="4"/>
    <x v="3"/>
    <x v="0"/>
    <x v="0"/>
    <n v="2"/>
    <n v="570872"/>
    <n v="5"/>
    <n v="1141744"/>
    <n v="0.1141744"/>
    <n v="1084656.8"/>
    <n v="0.10846568000000001"/>
    <s v="Partial"/>
    <s v="In Transit"/>
    <s v="Valid"/>
    <s v="In Transit"/>
  </r>
  <r>
    <x v="915"/>
    <x v="286"/>
    <x v="0"/>
    <x v="1"/>
    <x v="2"/>
    <s v="Green Field Maharashtra"/>
    <x v="2"/>
    <x v="2"/>
    <x v="3"/>
    <x v="2"/>
    <n v="4"/>
    <n v="719303"/>
    <n v="6"/>
    <n v="2877212"/>
    <n v="0.28772120000000001"/>
    <n v="2704579.28"/>
    <n v="0.27045792799999996"/>
    <s v="Pending"/>
    <s v="Pending"/>
    <s v="Invalid"/>
    <s v="Pending"/>
  </r>
  <r>
    <x v="916"/>
    <x v="29"/>
    <x v="2"/>
    <x v="1"/>
    <x v="1"/>
    <s v="Green Field Karnataka"/>
    <x v="1"/>
    <x v="1"/>
    <x v="1"/>
    <x v="1"/>
    <n v="7"/>
    <n v="756624"/>
    <n v="9"/>
    <n v="5296368"/>
    <n v="0.52963680000000002"/>
    <n v="4819694.88"/>
    <n v="0.481969488"/>
    <s v="Paid"/>
    <s v="Delivered"/>
    <s v="Invalid"/>
    <s v="Completed"/>
  </r>
  <r>
    <x v="917"/>
    <x v="15"/>
    <x v="4"/>
    <x v="4"/>
    <x v="2"/>
    <s v="Agri Motors Maharashtra"/>
    <x v="2"/>
    <x v="2"/>
    <x v="1"/>
    <x v="1"/>
    <n v="8"/>
    <n v="309731"/>
    <n v="9"/>
    <n v="2477848"/>
    <n v="0.2477848"/>
    <n v="2254841.6800000002"/>
    <n v="0.22548416800000001"/>
    <s v="Pending"/>
    <s v="Pending"/>
    <s v="Valid"/>
    <s v="Pending"/>
  </r>
  <r>
    <x v="918"/>
    <x v="351"/>
    <x v="1"/>
    <x v="4"/>
    <x v="0"/>
    <s v="Agri Motors Uttar Pradesh"/>
    <x v="0"/>
    <x v="0"/>
    <x v="2"/>
    <x v="0"/>
    <n v="1"/>
    <n v="81228"/>
    <n v="3"/>
    <n v="81228"/>
    <n v="8.1227999999999995E-3"/>
    <n v="78791.16"/>
    <n v="7.8791160000000002E-3"/>
    <s v="Partial"/>
    <s v="In Transit"/>
    <s v="Invalid"/>
    <s v="In Transit"/>
  </r>
  <r>
    <x v="919"/>
    <x v="463"/>
    <x v="3"/>
    <x v="1"/>
    <x v="3"/>
    <s v="Green Field Haryana"/>
    <x v="3"/>
    <x v="0"/>
    <x v="4"/>
    <x v="1"/>
    <n v="2"/>
    <n v="583897"/>
    <n v="5"/>
    <n v="1167794"/>
    <n v="0.11677940000000001"/>
    <n v="1109404.3"/>
    <n v="0.11094043000000001"/>
    <s v="Partial"/>
    <s v="In Transit"/>
    <s v="Invalid"/>
    <s v="In Transit"/>
  </r>
  <r>
    <x v="920"/>
    <x v="175"/>
    <x v="1"/>
    <x v="3"/>
    <x v="4"/>
    <s v="Mahadev Motors West Bengal"/>
    <x v="4"/>
    <x v="3"/>
    <x v="1"/>
    <x v="1"/>
    <n v="0"/>
    <n v="270074"/>
    <n v="0"/>
    <n v="0"/>
    <n v="0"/>
    <n v="0"/>
    <n v="0"/>
    <s v="Pending"/>
    <s v="Pending"/>
    <s v="Valid"/>
    <s v="Pending"/>
  </r>
  <r>
    <x v="921"/>
    <x v="36"/>
    <x v="3"/>
    <x v="3"/>
    <x v="0"/>
    <s v="Mahadev Motors Uttar Pradesh"/>
    <x v="0"/>
    <x v="0"/>
    <x v="0"/>
    <x v="0"/>
    <n v="1"/>
    <n v="115036"/>
    <n v="3"/>
    <n v="115036"/>
    <n v="1.1503599999999999E-2"/>
    <n v="111584.92"/>
    <n v="1.1158491999999999E-2"/>
    <s v="Pending"/>
    <s v="Pending"/>
    <s v="Valid"/>
    <s v="Pending"/>
  </r>
  <r>
    <x v="922"/>
    <x v="151"/>
    <x v="4"/>
    <x v="3"/>
    <x v="4"/>
    <s v="Mahadev Motors West Bengal"/>
    <x v="4"/>
    <x v="3"/>
    <x v="3"/>
    <x v="2"/>
    <n v="8"/>
    <n v="534072"/>
    <n v="9"/>
    <n v="4272576"/>
    <n v="0.42725760000000002"/>
    <n v="3888044.16"/>
    <n v="0.38880441600000004"/>
    <s v="Paid"/>
    <s v="Delivered"/>
    <s v="Invalid"/>
    <s v="Completed"/>
  </r>
  <r>
    <x v="923"/>
    <x v="261"/>
    <x v="2"/>
    <x v="3"/>
    <x v="2"/>
    <s v="Mahadev Motors Maharashtra"/>
    <x v="2"/>
    <x v="2"/>
    <x v="3"/>
    <x v="2"/>
    <n v="8"/>
    <n v="150540"/>
    <n v="9"/>
    <n v="1204320"/>
    <n v="0.120432"/>
    <n v="1095931.2"/>
    <n v="0.10959312"/>
    <s v="Paid"/>
    <s v="Delivered"/>
    <s v="Invalid"/>
    <s v="Completed"/>
  </r>
  <r>
    <x v="924"/>
    <x v="465"/>
    <x v="4"/>
    <x v="2"/>
    <x v="0"/>
    <s v="Kisan Tractors Uttar Pradesh"/>
    <x v="0"/>
    <x v="0"/>
    <x v="3"/>
    <x v="2"/>
    <n v="0"/>
    <n v="602602"/>
    <n v="0"/>
    <n v="0"/>
    <n v="0"/>
    <n v="0"/>
    <n v="0"/>
    <s v="Paid"/>
    <s v="Delivered"/>
    <s v="Invalid"/>
    <s v="Completed"/>
  </r>
  <r>
    <x v="925"/>
    <x v="7"/>
    <x v="1"/>
    <x v="2"/>
    <x v="2"/>
    <s v="Kisan Tractors Maharashtra"/>
    <x v="2"/>
    <x v="2"/>
    <x v="4"/>
    <x v="1"/>
    <n v="4"/>
    <n v="501625"/>
    <n v="6"/>
    <n v="2006500"/>
    <n v="0.20065"/>
    <n v="1886110"/>
    <n v="0.188611"/>
    <s v="Paid"/>
    <s v="Delivered"/>
    <s v="Invalid"/>
    <s v="Completed"/>
  </r>
  <r>
    <x v="926"/>
    <x v="2"/>
    <x v="1"/>
    <x v="0"/>
    <x v="1"/>
    <s v="Shakti Agro Karnataka"/>
    <x v="1"/>
    <x v="1"/>
    <x v="3"/>
    <x v="2"/>
    <n v="5"/>
    <n v="887231"/>
    <n v="7"/>
    <n v="4436155"/>
    <n v="0.4436155"/>
    <n v="4125624.15"/>
    <n v="0.41256241500000002"/>
    <s v="Pending"/>
    <s v="Pending"/>
    <s v="Invalid"/>
    <s v="Pending"/>
  </r>
  <r>
    <x v="927"/>
    <x v="172"/>
    <x v="3"/>
    <x v="3"/>
    <x v="3"/>
    <s v="Mahadev Motors Haryana"/>
    <x v="3"/>
    <x v="0"/>
    <x v="0"/>
    <x v="0"/>
    <n v="2"/>
    <n v="705605"/>
    <n v="5"/>
    <n v="1411210"/>
    <n v="0.141121"/>
    <n v="1340649.5"/>
    <n v="0.13406494999999999"/>
    <s v="Partial"/>
    <s v="In Transit"/>
    <s v="Valid"/>
    <s v="In Transit"/>
  </r>
  <r>
    <x v="928"/>
    <x v="83"/>
    <x v="0"/>
    <x v="0"/>
    <x v="3"/>
    <s v="Shakti Agro Haryana"/>
    <x v="3"/>
    <x v="0"/>
    <x v="4"/>
    <x v="1"/>
    <n v="4"/>
    <n v="192622"/>
    <n v="6"/>
    <n v="770488"/>
    <n v="7.7048800000000001E-2"/>
    <n v="724258.72"/>
    <n v="7.2425872000000002E-2"/>
    <s v="Pending"/>
    <s v="Pending"/>
    <s v="Valid"/>
    <s v="Pending"/>
  </r>
  <r>
    <x v="929"/>
    <x v="10"/>
    <x v="0"/>
    <x v="4"/>
    <x v="0"/>
    <s v="Agri Motors Uttar Pradesh"/>
    <x v="0"/>
    <x v="0"/>
    <x v="2"/>
    <x v="0"/>
    <n v="5"/>
    <n v="218738"/>
    <n v="7"/>
    <n v="1093690"/>
    <n v="0.10936899999999999"/>
    <n v="1017131.7"/>
    <n v="0.10171316999999999"/>
    <s v="Partial"/>
    <s v="In Transit"/>
    <s v="Valid"/>
    <s v="In Transit"/>
  </r>
  <r>
    <x v="930"/>
    <x v="236"/>
    <x v="4"/>
    <x v="3"/>
    <x v="0"/>
    <s v="Mahadev Motors Uttar Pradesh"/>
    <x v="0"/>
    <x v="0"/>
    <x v="2"/>
    <x v="0"/>
    <n v="2"/>
    <n v="183148"/>
    <n v="5"/>
    <n v="366296"/>
    <n v="3.6629599999999998E-2"/>
    <n v="347981.2"/>
    <n v="3.4798120000000002E-2"/>
    <s v="Paid"/>
    <s v="Delivered"/>
    <s v="Invalid"/>
    <s v="Completed"/>
  </r>
  <r>
    <x v="931"/>
    <x v="249"/>
    <x v="4"/>
    <x v="1"/>
    <x v="2"/>
    <s v="Green Field Maharashtra"/>
    <x v="2"/>
    <x v="2"/>
    <x v="2"/>
    <x v="0"/>
    <n v="5"/>
    <n v="570170"/>
    <n v="7"/>
    <n v="2850850"/>
    <n v="0.28508499999999998"/>
    <n v="2651290.5"/>
    <n v="0.26512904999999998"/>
    <s v="Paid"/>
    <s v="Delivered"/>
    <s v="Invalid"/>
    <s v="Completed"/>
  </r>
  <r>
    <x v="932"/>
    <x v="461"/>
    <x v="0"/>
    <x v="4"/>
    <x v="3"/>
    <s v="Agri Motors Haryana"/>
    <x v="3"/>
    <x v="0"/>
    <x v="0"/>
    <x v="0"/>
    <n v="6"/>
    <n v="169468"/>
    <n v="8"/>
    <n v="1016808"/>
    <n v="0.1016808"/>
    <n v="935463.36"/>
    <n v="9.3546335999999994E-2"/>
    <s v="Partial"/>
    <s v="In Transit"/>
    <s v="Valid"/>
    <s v="In Transit"/>
  </r>
  <r>
    <x v="933"/>
    <x v="308"/>
    <x v="0"/>
    <x v="0"/>
    <x v="1"/>
    <s v="Shakti Agro Karnataka"/>
    <x v="1"/>
    <x v="1"/>
    <x v="2"/>
    <x v="0"/>
    <n v="3"/>
    <n v="528603"/>
    <n v="6"/>
    <n v="1585809"/>
    <n v="0.1585809"/>
    <n v="1490660.46"/>
    <n v="0.14906604600000001"/>
    <s v="Pending"/>
    <s v="Pending"/>
    <s v="Invalid"/>
    <s v="Pending"/>
  </r>
  <r>
    <x v="934"/>
    <x v="466"/>
    <x v="4"/>
    <x v="1"/>
    <x v="2"/>
    <s v="Green Field Maharashtra"/>
    <x v="2"/>
    <x v="2"/>
    <x v="3"/>
    <x v="2"/>
    <n v="4"/>
    <n v="803524"/>
    <n v="6"/>
    <n v="3214096"/>
    <n v="0.32140960000000002"/>
    <n v="3021250.2399999998"/>
    <n v="0.30212502399999996"/>
    <s v="Paid"/>
    <s v="Delivered"/>
    <s v="Valid"/>
    <s v="Completed"/>
  </r>
  <r>
    <x v="935"/>
    <x v="29"/>
    <x v="1"/>
    <x v="4"/>
    <x v="3"/>
    <s v="Agri Motors Haryana"/>
    <x v="3"/>
    <x v="0"/>
    <x v="1"/>
    <x v="1"/>
    <n v="2"/>
    <n v="454548"/>
    <n v="5"/>
    <n v="909096"/>
    <n v="9.0909599999999993E-2"/>
    <n v="863641.2"/>
    <n v="8.6364119999999989E-2"/>
    <s v="Pending"/>
    <s v="Pending"/>
    <s v="Valid"/>
    <s v="Pending"/>
  </r>
  <r>
    <x v="936"/>
    <x v="467"/>
    <x v="2"/>
    <x v="0"/>
    <x v="3"/>
    <s v="Shakti Agro Haryana"/>
    <x v="3"/>
    <x v="0"/>
    <x v="1"/>
    <x v="1"/>
    <n v="8"/>
    <n v="547850"/>
    <n v="9"/>
    <n v="4382800"/>
    <n v="0.43828"/>
    <n v="3988348"/>
    <n v="0.39883479999999999"/>
    <s v="Paid"/>
    <s v="Delivered"/>
    <s v="Invalid"/>
    <s v="Completed"/>
  </r>
  <r>
    <x v="937"/>
    <x v="332"/>
    <x v="1"/>
    <x v="0"/>
    <x v="4"/>
    <s v="Shakti Agro West Bengal"/>
    <x v="4"/>
    <x v="3"/>
    <x v="3"/>
    <x v="2"/>
    <n v="2"/>
    <n v="567824"/>
    <n v="5"/>
    <n v="1135648"/>
    <n v="0.11356479999999999"/>
    <n v="1078865.5999999999"/>
    <n v="0.10788655999999999"/>
    <s v="Paid"/>
    <s v="Delivered"/>
    <s v="Invalid"/>
    <s v="Completed"/>
  </r>
  <r>
    <x v="938"/>
    <x v="66"/>
    <x v="3"/>
    <x v="4"/>
    <x v="0"/>
    <s v="Agri Motors Uttar Pradesh"/>
    <x v="0"/>
    <x v="0"/>
    <x v="2"/>
    <x v="0"/>
    <n v="2"/>
    <n v="546395"/>
    <n v="5"/>
    <n v="1092790"/>
    <n v="0.109279"/>
    <n v="1038150.5"/>
    <n v="0.10381505000000001"/>
    <s v="Pending"/>
    <s v="Pending"/>
    <s v="Valid"/>
    <s v="Pending"/>
  </r>
  <r>
    <x v="939"/>
    <x v="119"/>
    <x v="0"/>
    <x v="2"/>
    <x v="0"/>
    <s v="Kisan Tractors Uttar Pradesh"/>
    <x v="0"/>
    <x v="0"/>
    <x v="0"/>
    <x v="0"/>
    <n v="6"/>
    <n v="346453"/>
    <n v="8"/>
    <n v="2078718"/>
    <n v="0.2078718"/>
    <n v="1912420.56"/>
    <n v="0.19124205599999999"/>
    <s v="Paid"/>
    <s v="Delivered"/>
    <s v="Invalid"/>
    <s v="Completed"/>
  </r>
  <r>
    <x v="940"/>
    <x v="292"/>
    <x v="3"/>
    <x v="2"/>
    <x v="4"/>
    <s v="Kisan Tractors West Bengal"/>
    <x v="4"/>
    <x v="3"/>
    <x v="1"/>
    <x v="1"/>
    <n v="2"/>
    <n v="528081"/>
    <n v="5"/>
    <n v="1056162"/>
    <n v="0.10561619999999999"/>
    <n v="1003353.8999999999"/>
    <n v="0.10033539"/>
    <s v="Paid"/>
    <s v="Delivered"/>
    <s v="Invalid"/>
    <s v="Completed"/>
  </r>
  <r>
    <x v="941"/>
    <x v="18"/>
    <x v="2"/>
    <x v="2"/>
    <x v="3"/>
    <s v="Kisan Tractors Haryana"/>
    <x v="3"/>
    <x v="0"/>
    <x v="2"/>
    <x v="0"/>
    <n v="8"/>
    <n v="520288"/>
    <n v="9"/>
    <n v="4162304"/>
    <n v="0.4162304"/>
    <n v="3787696.64"/>
    <n v="0.37876966400000001"/>
    <s v="Pending"/>
    <s v="Pending"/>
    <s v="Valid"/>
    <s v="Pending"/>
  </r>
  <r>
    <x v="942"/>
    <x v="210"/>
    <x v="4"/>
    <x v="4"/>
    <x v="1"/>
    <s v="Agri Motors Karnataka"/>
    <x v="1"/>
    <x v="1"/>
    <x v="1"/>
    <x v="1"/>
    <n v="3"/>
    <n v="63115"/>
    <n v="6"/>
    <n v="189345"/>
    <n v="1.89345E-2"/>
    <n v="177984.3"/>
    <n v="1.7798430000000001E-2"/>
    <s v="Pending"/>
    <s v="Pending"/>
    <s v="Valid"/>
    <s v="Pending"/>
  </r>
  <r>
    <x v="943"/>
    <x v="435"/>
    <x v="1"/>
    <x v="2"/>
    <x v="1"/>
    <s v="Kisan Tractors Karnataka"/>
    <x v="1"/>
    <x v="1"/>
    <x v="4"/>
    <x v="1"/>
    <n v="3"/>
    <n v="457851"/>
    <n v="6"/>
    <n v="1373553"/>
    <n v="0.13735530000000001"/>
    <n v="1291139.8199999998"/>
    <n v="0.12911398199999999"/>
    <s v="Pending"/>
    <s v="Pending"/>
    <s v="Valid"/>
    <s v="Pending"/>
  </r>
  <r>
    <x v="944"/>
    <x v="454"/>
    <x v="0"/>
    <x v="4"/>
    <x v="3"/>
    <s v="Agri Motors Haryana"/>
    <x v="3"/>
    <x v="0"/>
    <x v="3"/>
    <x v="2"/>
    <n v="7"/>
    <n v="697196"/>
    <n v="9"/>
    <n v="4880372"/>
    <n v="0.4880372"/>
    <n v="4441138.5200000005"/>
    <n v="0.44411385200000003"/>
    <s v="Pending"/>
    <s v="Pending"/>
    <s v="Invalid"/>
    <s v="Pending"/>
  </r>
  <r>
    <x v="945"/>
    <x v="468"/>
    <x v="0"/>
    <x v="4"/>
    <x v="3"/>
    <s v="Agri Motors Haryana"/>
    <x v="3"/>
    <x v="0"/>
    <x v="4"/>
    <x v="1"/>
    <n v="8"/>
    <n v="53480"/>
    <n v="9"/>
    <n v="427840"/>
    <n v="4.2784000000000003E-2"/>
    <n v="389334.4"/>
    <n v="3.893344E-2"/>
    <s v="Paid"/>
    <s v="Delivered"/>
    <s v="Valid"/>
    <s v="Completed"/>
  </r>
  <r>
    <x v="946"/>
    <x v="92"/>
    <x v="1"/>
    <x v="4"/>
    <x v="0"/>
    <s v="Agri Motors Uttar Pradesh"/>
    <x v="0"/>
    <x v="0"/>
    <x v="4"/>
    <x v="1"/>
    <n v="1"/>
    <n v="706024"/>
    <n v="3"/>
    <n v="706024"/>
    <n v="7.0602399999999996E-2"/>
    <n v="684843.28"/>
    <n v="6.8484327999999997E-2"/>
    <s v="Paid"/>
    <s v="Delivered"/>
    <s v="Valid"/>
    <s v="Completed"/>
  </r>
  <r>
    <x v="947"/>
    <x v="450"/>
    <x v="0"/>
    <x v="1"/>
    <x v="4"/>
    <s v="Green Field West Bengal"/>
    <x v="4"/>
    <x v="3"/>
    <x v="2"/>
    <x v="0"/>
    <n v="5"/>
    <n v="590538"/>
    <n v="7"/>
    <n v="2952690"/>
    <n v="0.295269"/>
    <n v="2746001.6999999997"/>
    <n v="0.27460016999999998"/>
    <s v="Pending"/>
    <s v="Pending"/>
    <s v="Invalid"/>
    <s v="Pending"/>
  </r>
  <r>
    <x v="948"/>
    <x v="382"/>
    <x v="4"/>
    <x v="0"/>
    <x v="3"/>
    <s v="Shakti Agro Haryana"/>
    <x v="3"/>
    <x v="0"/>
    <x v="0"/>
    <x v="0"/>
    <n v="2"/>
    <n v="422821"/>
    <n v="5"/>
    <n v="845642"/>
    <n v="8.4564200000000006E-2"/>
    <n v="803359.89999999991"/>
    <n v="8.0335989999999996E-2"/>
    <s v="Pending"/>
    <s v="Pending"/>
    <s v="Valid"/>
    <s v="Pending"/>
  </r>
  <r>
    <x v="949"/>
    <x v="427"/>
    <x v="2"/>
    <x v="2"/>
    <x v="4"/>
    <s v="Kisan Tractors West Bengal"/>
    <x v="4"/>
    <x v="3"/>
    <x v="4"/>
    <x v="1"/>
    <n v="6"/>
    <n v="346254"/>
    <n v="8"/>
    <n v="2077524"/>
    <n v="0.2077524"/>
    <n v="1911322.08"/>
    <n v="0.191132208"/>
    <s v="Pending"/>
    <s v="Pending"/>
    <s v="Invalid"/>
    <s v="Pending"/>
  </r>
  <r>
    <x v="950"/>
    <x v="105"/>
    <x v="1"/>
    <x v="2"/>
    <x v="2"/>
    <s v="Kisan Tractors Maharashtra"/>
    <x v="2"/>
    <x v="2"/>
    <x v="0"/>
    <x v="0"/>
    <n v="8"/>
    <n v="800758"/>
    <n v="9"/>
    <n v="6406064"/>
    <n v="0.64060640000000002"/>
    <n v="5829518.2400000002"/>
    <n v="0.58295182400000001"/>
    <s v="Partial"/>
    <s v="In Transit"/>
    <s v="Valid"/>
    <s v="In Transit"/>
  </r>
  <r>
    <x v="951"/>
    <x v="371"/>
    <x v="4"/>
    <x v="0"/>
    <x v="2"/>
    <s v="Shakti Agro Maharashtra"/>
    <x v="2"/>
    <x v="2"/>
    <x v="4"/>
    <x v="1"/>
    <n v="8"/>
    <n v="442417"/>
    <n v="9"/>
    <n v="3539336"/>
    <n v="0.35393360000000001"/>
    <n v="3220795.7600000002"/>
    <n v="0.32207957600000003"/>
    <s v="Pending"/>
    <s v="Pending"/>
    <s v="Valid"/>
    <s v="Pending"/>
  </r>
  <r>
    <x v="952"/>
    <x v="5"/>
    <x v="3"/>
    <x v="0"/>
    <x v="0"/>
    <s v="Shakti Agro Uttar Pradesh"/>
    <x v="0"/>
    <x v="0"/>
    <x v="2"/>
    <x v="0"/>
    <n v="5"/>
    <n v="824985"/>
    <n v="7"/>
    <n v="4124925"/>
    <n v="0.41249249999999998"/>
    <n v="3836180.2499999995"/>
    <n v="0.38361802499999997"/>
    <s v="Partial"/>
    <s v="In Transit"/>
    <s v="Valid"/>
    <s v="In Transit"/>
  </r>
  <r>
    <x v="953"/>
    <x v="91"/>
    <x v="0"/>
    <x v="2"/>
    <x v="3"/>
    <s v="Kisan Tractors Haryana"/>
    <x v="3"/>
    <x v="0"/>
    <x v="2"/>
    <x v="0"/>
    <n v="2"/>
    <n v="459471"/>
    <n v="5"/>
    <n v="918942"/>
    <n v="9.1894199999999995E-2"/>
    <n v="872994.89999999991"/>
    <n v="8.7299489999999993E-2"/>
    <s v="Paid"/>
    <s v="Delivered"/>
    <s v="Invalid"/>
    <s v="Completed"/>
  </r>
  <r>
    <x v="954"/>
    <x v="469"/>
    <x v="3"/>
    <x v="0"/>
    <x v="1"/>
    <s v="Shakti Agro Karnataka"/>
    <x v="1"/>
    <x v="1"/>
    <x v="3"/>
    <x v="2"/>
    <n v="4"/>
    <n v="84058"/>
    <n v="6"/>
    <n v="336232"/>
    <n v="3.3623199999999999E-2"/>
    <n v="316058.07999999996"/>
    <n v="3.1605807999999999E-2"/>
    <s v="Paid"/>
    <s v="Delivered"/>
    <s v="Valid"/>
    <s v="Completed"/>
  </r>
  <r>
    <x v="955"/>
    <x v="214"/>
    <x v="3"/>
    <x v="2"/>
    <x v="1"/>
    <s v="Kisan Tractors Karnataka"/>
    <x v="1"/>
    <x v="1"/>
    <x v="3"/>
    <x v="2"/>
    <n v="7"/>
    <n v="247503"/>
    <n v="9"/>
    <n v="1732521"/>
    <n v="0.17325209999999999"/>
    <n v="1576594.11"/>
    <n v="0.157659411"/>
    <s v="Paid"/>
    <s v="Delivered"/>
    <s v="Invalid"/>
    <s v="Completed"/>
  </r>
  <r>
    <x v="956"/>
    <x v="267"/>
    <x v="4"/>
    <x v="4"/>
    <x v="0"/>
    <s v="Agri Motors Uttar Pradesh"/>
    <x v="0"/>
    <x v="0"/>
    <x v="4"/>
    <x v="1"/>
    <n v="5"/>
    <n v="288499"/>
    <n v="7"/>
    <n v="1442495"/>
    <n v="0.1442495"/>
    <n v="1341520.3499999999"/>
    <n v="0.13415203499999998"/>
    <s v="Paid"/>
    <s v="Delivered"/>
    <s v="Invalid"/>
    <s v="Completed"/>
  </r>
  <r>
    <x v="957"/>
    <x v="454"/>
    <x v="4"/>
    <x v="3"/>
    <x v="3"/>
    <s v="Mahadev Motors Haryana"/>
    <x v="3"/>
    <x v="0"/>
    <x v="3"/>
    <x v="2"/>
    <n v="1"/>
    <n v="316186"/>
    <n v="3"/>
    <n v="316186"/>
    <n v="3.1618599999999997E-2"/>
    <n v="306700.42"/>
    <n v="3.0670041999999998E-2"/>
    <s v="Pending"/>
    <s v="Pending"/>
    <s v="Invalid"/>
    <s v="Pending"/>
  </r>
  <r>
    <x v="958"/>
    <x v="60"/>
    <x v="3"/>
    <x v="3"/>
    <x v="4"/>
    <s v="Mahadev Motors West Bengal"/>
    <x v="4"/>
    <x v="3"/>
    <x v="3"/>
    <x v="2"/>
    <n v="2"/>
    <n v="789839"/>
    <n v="5"/>
    <n v="1579678"/>
    <n v="0.15796779999999999"/>
    <n v="1500694.0999999999"/>
    <n v="0.15006940999999999"/>
    <s v="Paid"/>
    <s v="Delivered"/>
    <s v="Invalid"/>
    <s v="Completed"/>
  </r>
  <r>
    <x v="959"/>
    <x v="406"/>
    <x v="3"/>
    <x v="4"/>
    <x v="1"/>
    <s v="Agri Motors Karnataka"/>
    <x v="1"/>
    <x v="1"/>
    <x v="4"/>
    <x v="1"/>
    <n v="4"/>
    <n v="69573"/>
    <n v="6"/>
    <n v="278292"/>
    <n v="2.7829199999999998E-2"/>
    <n v="261594.47999999998"/>
    <n v="2.6159447999999998E-2"/>
    <s v="Pending"/>
    <s v="Pending"/>
    <s v="Valid"/>
    <s v="Pending"/>
  </r>
  <r>
    <x v="960"/>
    <x v="405"/>
    <x v="3"/>
    <x v="0"/>
    <x v="0"/>
    <s v="Shakti Agro Uttar Pradesh"/>
    <x v="0"/>
    <x v="0"/>
    <x v="2"/>
    <x v="0"/>
    <n v="5"/>
    <n v="349263"/>
    <n v="7"/>
    <n v="1746315"/>
    <n v="0.1746315"/>
    <n v="1624072.95"/>
    <n v="0.16240729500000001"/>
    <s v="Pending"/>
    <s v="Pending"/>
    <s v="Valid"/>
    <s v="Pending"/>
  </r>
  <r>
    <x v="961"/>
    <x v="77"/>
    <x v="1"/>
    <x v="4"/>
    <x v="4"/>
    <s v="Agri Motors West Bengal"/>
    <x v="4"/>
    <x v="3"/>
    <x v="2"/>
    <x v="0"/>
    <n v="2"/>
    <n v="347577"/>
    <n v="5"/>
    <n v="695154"/>
    <n v="6.9515400000000005E-2"/>
    <n v="660396.29999999993"/>
    <n v="6.6039629999999988E-2"/>
    <s v="Partial"/>
    <s v="In Transit"/>
    <s v="Valid"/>
    <s v="In Transit"/>
  </r>
  <r>
    <x v="962"/>
    <x v="35"/>
    <x v="0"/>
    <x v="1"/>
    <x v="3"/>
    <s v="Green Field Haryana"/>
    <x v="3"/>
    <x v="0"/>
    <x v="2"/>
    <x v="0"/>
    <n v="5"/>
    <n v="748969"/>
    <n v="7"/>
    <n v="3744845"/>
    <n v="0.3744845"/>
    <n v="3482705.8499999996"/>
    <n v="0.34827058499999997"/>
    <s v="Paid"/>
    <s v="Delivered"/>
    <s v="Valid"/>
    <s v="Completed"/>
  </r>
  <r>
    <x v="963"/>
    <x v="470"/>
    <x v="3"/>
    <x v="1"/>
    <x v="2"/>
    <s v="Green Field Maharashtra"/>
    <x v="2"/>
    <x v="2"/>
    <x v="2"/>
    <x v="0"/>
    <n v="7"/>
    <n v="147718"/>
    <n v="9"/>
    <n v="1034026"/>
    <n v="0.1034026"/>
    <n v="940963.66"/>
    <n v="9.4096366000000001E-2"/>
    <s v="Pending"/>
    <s v="Pending"/>
    <s v="Invalid"/>
    <s v="Pending"/>
  </r>
  <r>
    <x v="964"/>
    <x v="376"/>
    <x v="4"/>
    <x v="0"/>
    <x v="4"/>
    <s v="Shakti Agro West Bengal"/>
    <x v="4"/>
    <x v="3"/>
    <x v="2"/>
    <x v="0"/>
    <n v="2"/>
    <n v="530970"/>
    <n v="5"/>
    <n v="1061940"/>
    <n v="0.106194"/>
    <n v="1008843"/>
    <n v="0.1008843"/>
    <s v="Partial"/>
    <s v="In Transit"/>
    <s v="Invalid"/>
    <s v="In Transit"/>
  </r>
  <r>
    <x v="965"/>
    <x v="26"/>
    <x v="1"/>
    <x v="0"/>
    <x v="1"/>
    <s v="Shakti Agro Karnataka"/>
    <x v="1"/>
    <x v="1"/>
    <x v="0"/>
    <x v="0"/>
    <n v="2"/>
    <n v="361621"/>
    <n v="5"/>
    <n v="723242"/>
    <n v="7.2324200000000005E-2"/>
    <n v="687079.9"/>
    <n v="6.8707989999999997E-2"/>
    <s v="Partial"/>
    <s v="In Transit"/>
    <s v="Valid"/>
    <s v="In Transit"/>
  </r>
  <r>
    <x v="966"/>
    <x v="389"/>
    <x v="4"/>
    <x v="0"/>
    <x v="3"/>
    <s v="Shakti Agro Haryana"/>
    <x v="3"/>
    <x v="0"/>
    <x v="0"/>
    <x v="0"/>
    <n v="5"/>
    <n v="416516"/>
    <n v="7"/>
    <n v="2082580"/>
    <n v="0.208258"/>
    <n v="1936799.4"/>
    <n v="0.19367993999999999"/>
    <s v="Paid"/>
    <s v="Delivered"/>
    <s v="Valid"/>
    <s v="Completed"/>
  </r>
  <r>
    <x v="967"/>
    <x v="259"/>
    <x v="0"/>
    <x v="1"/>
    <x v="0"/>
    <s v="Green Field Uttar Pradesh"/>
    <x v="0"/>
    <x v="0"/>
    <x v="2"/>
    <x v="0"/>
    <n v="7"/>
    <n v="144722"/>
    <n v="9"/>
    <n v="1013054"/>
    <n v="0.1013054"/>
    <n v="921879.14"/>
    <n v="9.2187913999999996E-2"/>
    <s v="Paid"/>
    <s v="Delivered"/>
    <s v="Invalid"/>
    <s v="Completed"/>
  </r>
  <r>
    <x v="968"/>
    <x v="28"/>
    <x v="1"/>
    <x v="0"/>
    <x v="4"/>
    <s v="Shakti Agro West Bengal"/>
    <x v="4"/>
    <x v="3"/>
    <x v="4"/>
    <x v="1"/>
    <n v="5"/>
    <n v="160409"/>
    <n v="7"/>
    <n v="802045"/>
    <n v="8.0204499999999998E-2"/>
    <n v="745901.85"/>
    <n v="7.4590185000000003E-2"/>
    <s v="Pending"/>
    <s v="Pending"/>
    <s v="Valid"/>
    <s v="Pending"/>
  </r>
  <r>
    <x v="969"/>
    <x v="28"/>
    <x v="0"/>
    <x v="0"/>
    <x v="0"/>
    <s v="Shakti Agro Uttar Pradesh"/>
    <x v="0"/>
    <x v="0"/>
    <x v="0"/>
    <x v="0"/>
    <n v="4"/>
    <n v="167266"/>
    <n v="6"/>
    <n v="669064"/>
    <n v="6.6906400000000005E-2"/>
    <n v="628920.15999999992"/>
    <n v="6.2892015999999995E-2"/>
    <s v="Partial"/>
    <s v="In Transit"/>
    <s v="Invalid"/>
    <s v="In Transit"/>
  </r>
  <r>
    <x v="970"/>
    <x v="92"/>
    <x v="1"/>
    <x v="4"/>
    <x v="4"/>
    <s v="Agri Motors West Bengal"/>
    <x v="4"/>
    <x v="3"/>
    <x v="2"/>
    <x v="0"/>
    <n v="4"/>
    <n v="430713"/>
    <n v="6"/>
    <n v="1722852"/>
    <n v="0.1722852"/>
    <n v="1619480.88"/>
    <n v="0.16194808799999999"/>
    <s v="Pending"/>
    <s v="Pending"/>
    <s v="Invalid"/>
    <s v="Pending"/>
  </r>
  <r>
    <x v="971"/>
    <x v="418"/>
    <x v="2"/>
    <x v="2"/>
    <x v="0"/>
    <s v="Kisan Tractors Uttar Pradesh"/>
    <x v="0"/>
    <x v="0"/>
    <x v="4"/>
    <x v="1"/>
    <n v="5"/>
    <n v="96910"/>
    <n v="7"/>
    <n v="484550"/>
    <n v="4.8454999999999998E-2"/>
    <n v="450631.49999999994"/>
    <n v="4.5063149999999996E-2"/>
    <s v="Pending"/>
    <s v="Pending"/>
    <s v="Valid"/>
    <s v="Pending"/>
  </r>
  <r>
    <x v="972"/>
    <x v="157"/>
    <x v="3"/>
    <x v="1"/>
    <x v="0"/>
    <s v="Green Field Uttar Pradesh"/>
    <x v="0"/>
    <x v="0"/>
    <x v="4"/>
    <x v="1"/>
    <n v="6"/>
    <n v="77211"/>
    <n v="8"/>
    <n v="463266"/>
    <n v="4.6326600000000002E-2"/>
    <n v="426204.72000000003"/>
    <n v="4.2620472000000006E-2"/>
    <s v="Partial"/>
    <s v="In Transit"/>
    <s v="Valid"/>
    <s v="In Transit"/>
  </r>
  <r>
    <x v="973"/>
    <x v="216"/>
    <x v="4"/>
    <x v="3"/>
    <x v="2"/>
    <s v="Mahadev Motors Maharashtra"/>
    <x v="2"/>
    <x v="2"/>
    <x v="2"/>
    <x v="0"/>
    <n v="1"/>
    <n v="852708"/>
    <n v="3"/>
    <n v="852708"/>
    <n v="8.5270799999999994E-2"/>
    <n v="827126.76"/>
    <n v="8.2712675999999999E-2"/>
    <s v="Pending"/>
    <s v="Pending"/>
    <s v="Invalid"/>
    <s v="Pending"/>
  </r>
  <r>
    <x v="974"/>
    <x v="418"/>
    <x v="2"/>
    <x v="2"/>
    <x v="1"/>
    <s v="Kisan Tractors Karnataka"/>
    <x v="1"/>
    <x v="1"/>
    <x v="3"/>
    <x v="2"/>
    <n v="6"/>
    <n v="874777"/>
    <n v="8"/>
    <n v="5248662"/>
    <n v="0.52486619999999995"/>
    <n v="4828769.04"/>
    <n v="0.482876904"/>
    <s v="Pending"/>
    <s v="Pending"/>
    <s v="Valid"/>
    <s v="Pending"/>
  </r>
  <r>
    <x v="975"/>
    <x v="471"/>
    <x v="2"/>
    <x v="2"/>
    <x v="2"/>
    <s v="Kisan Tractors Maharashtra"/>
    <x v="2"/>
    <x v="2"/>
    <x v="1"/>
    <x v="1"/>
    <n v="0"/>
    <n v="585812"/>
    <n v="0"/>
    <n v="0"/>
    <n v="0"/>
    <n v="0"/>
    <n v="0"/>
    <s v="Pending"/>
    <s v="Pending"/>
    <s v="Valid"/>
    <s v="Pending"/>
  </r>
  <r>
    <x v="976"/>
    <x v="395"/>
    <x v="3"/>
    <x v="0"/>
    <x v="1"/>
    <s v="Shakti Agro Karnataka"/>
    <x v="1"/>
    <x v="1"/>
    <x v="1"/>
    <x v="1"/>
    <n v="4"/>
    <n v="367092"/>
    <n v="6"/>
    <n v="1468368"/>
    <n v="0.14683679999999999"/>
    <n v="1380265.92"/>
    <n v="0.138026592"/>
    <s v="Pending"/>
    <s v="Pending"/>
    <s v="Valid"/>
    <s v="Pending"/>
  </r>
  <r>
    <x v="977"/>
    <x v="285"/>
    <x v="2"/>
    <x v="3"/>
    <x v="1"/>
    <s v="Mahadev Motors Karnataka"/>
    <x v="1"/>
    <x v="1"/>
    <x v="2"/>
    <x v="0"/>
    <n v="6"/>
    <n v="785241"/>
    <n v="8"/>
    <n v="4711446"/>
    <n v="0.47114460000000002"/>
    <n v="4334530.32"/>
    <n v="0.43345303200000002"/>
    <s v="Partial"/>
    <s v="In Transit"/>
    <s v="Invalid"/>
    <s v="In Transit"/>
  </r>
  <r>
    <x v="978"/>
    <x v="470"/>
    <x v="2"/>
    <x v="0"/>
    <x v="3"/>
    <s v="Shakti Agro Haryana"/>
    <x v="3"/>
    <x v="0"/>
    <x v="0"/>
    <x v="0"/>
    <n v="6"/>
    <n v="65130"/>
    <n v="8"/>
    <n v="390780"/>
    <n v="3.9078000000000002E-2"/>
    <n v="359517.60000000003"/>
    <n v="3.5951760000000006E-2"/>
    <s v="Pending"/>
    <s v="Pending"/>
    <s v="Invalid"/>
    <s v="Pending"/>
  </r>
  <r>
    <x v="979"/>
    <x v="404"/>
    <x v="3"/>
    <x v="1"/>
    <x v="4"/>
    <s v="Green Field West Bengal"/>
    <x v="4"/>
    <x v="3"/>
    <x v="1"/>
    <x v="1"/>
    <n v="7"/>
    <n v="878677"/>
    <n v="9"/>
    <n v="6150739"/>
    <n v="0.61507389999999995"/>
    <n v="5597172.4900000002"/>
    <n v="0.55971724899999997"/>
    <s v="Pending"/>
    <s v="Pending"/>
    <s v="Invalid"/>
    <s v="Pending"/>
  </r>
  <r>
    <x v="980"/>
    <x v="189"/>
    <x v="1"/>
    <x v="4"/>
    <x v="4"/>
    <s v="Agri Motors West Bengal"/>
    <x v="4"/>
    <x v="3"/>
    <x v="3"/>
    <x v="2"/>
    <n v="3"/>
    <n v="706826"/>
    <n v="6"/>
    <n v="2120478"/>
    <n v="0.21204780000000001"/>
    <n v="1993249.3199999998"/>
    <n v="0.19932493199999998"/>
    <s v="Partial"/>
    <s v="In Transit"/>
    <s v="Invalid"/>
    <s v="In Transit"/>
  </r>
  <r>
    <x v="981"/>
    <x v="2"/>
    <x v="2"/>
    <x v="4"/>
    <x v="0"/>
    <s v="Agri Motors Uttar Pradesh"/>
    <x v="0"/>
    <x v="0"/>
    <x v="3"/>
    <x v="2"/>
    <n v="3"/>
    <n v="133714"/>
    <n v="6"/>
    <n v="401142"/>
    <n v="4.0114200000000003E-2"/>
    <n v="377073.48"/>
    <n v="3.7707347999999995E-2"/>
    <s v="Pending"/>
    <s v="Pending"/>
    <s v="Valid"/>
    <s v="Pending"/>
  </r>
  <r>
    <x v="982"/>
    <x v="472"/>
    <x v="0"/>
    <x v="4"/>
    <x v="0"/>
    <s v="Agri Motors Uttar Pradesh"/>
    <x v="0"/>
    <x v="0"/>
    <x v="0"/>
    <x v="0"/>
    <n v="4"/>
    <n v="424457"/>
    <n v="6"/>
    <n v="1697828"/>
    <n v="0.16978280000000001"/>
    <n v="1595958.3199999998"/>
    <n v="0.15959583199999999"/>
    <s v="Pending"/>
    <s v="Pending"/>
    <s v="Valid"/>
    <s v="Pending"/>
  </r>
  <r>
    <x v="983"/>
    <x v="473"/>
    <x v="4"/>
    <x v="0"/>
    <x v="0"/>
    <s v="Shakti Agro Uttar Pradesh"/>
    <x v="0"/>
    <x v="0"/>
    <x v="3"/>
    <x v="2"/>
    <n v="3"/>
    <n v="100647"/>
    <n v="6"/>
    <n v="301941"/>
    <n v="3.0194100000000001E-2"/>
    <n v="283824.53999999998"/>
    <n v="2.8382453999999998E-2"/>
    <s v="Partial"/>
    <s v="In Transit"/>
    <s v="Valid"/>
    <s v="In Transit"/>
  </r>
  <r>
    <x v="984"/>
    <x v="474"/>
    <x v="4"/>
    <x v="3"/>
    <x v="2"/>
    <s v="Mahadev Motors Maharashtra"/>
    <x v="2"/>
    <x v="2"/>
    <x v="2"/>
    <x v="0"/>
    <n v="0"/>
    <n v="879748"/>
    <n v="0"/>
    <n v="0"/>
    <n v="0"/>
    <n v="0"/>
    <n v="0"/>
    <s v="Partial"/>
    <s v="In Transit"/>
    <s v="Invalid"/>
    <s v="In Transit"/>
  </r>
  <r>
    <x v="985"/>
    <x v="187"/>
    <x v="1"/>
    <x v="4"/>
    <x v="4"/>
    <s v="Agri Motors West Bengal"/>
    <x v="4"/>
    <x v="3"/>
    <x v="2"/>
    <x v="0"/>
    <n v="6"/>
    <n v="368363"/>
    <n v="8"/>
    <n v="2210178"/>
    <n v="0.22101779999999999"/>
    <n v="2033363.76"/>
    <n v="0.20333637600000001"/>
    <s v="Partial"/>
    <s v="In Transit"/>
    <s v="Valid"/>
    <s v="In Transit"/>
  </r>
  <r>
    <x v="986"/>
    <x v="219"/>
    <x v="1"/>
    <x v="1"/>
    <x v="3"/>
    <s v="Green Field Haryana"/>
    <x v="3"/>
    <x v="0"/>
    <x v="4"/>
    <x v="1"/>
    <n v="5"/>
    <n v="197813"/>
    <n v="7"/>
    <n v="989065"/>
    <n v="9.8906499999999994E-2"/>
    <n v="919830.45"/>
    <n v="9.1983044999999999E-2"/>
    <s v="Pending"/>
    <s v="Pending"/>
    <s v="Valid"/>
    <s v="Pending"/>
  </r>
  <r>
    <x v="987"/>
    <x v="204"/>
    <x v="1"/>
    <x v="1"/>
    <x v="3"/>
    <s v="Green Field Haryana"/>
    <x v="3"/>
    <x v="0"/>
    <x v="4"/>
    <x v="1"/>
    <n v="5"/>
    <n v="209106"/>
    <n v="7"/>
    <n v="1045530"/>
    <n v="0.10455299999999999"/>
    <n v="972342.89999999991"/>
    <n v="9.7234289999999987E-2"/>
    <s v="Pending"/>
    <s v="Pending"/>
    <s v="Invalid"/>
    <s v="Pending"/>
  </r>
  <r>
    <x v="988"/>
    <x v="255"/>
    <x v="4"/>
    <x v="3"/>
    <x v="0"/>
    <s v="Mahadev Motors Uttar Pradesh"/>
    <x v="0"/>
    <x v="0"/>
    <x v="1"/>
    <x v="1"/>
    <n v="5"/>
    <n v="625007"/>
    <n v="7"/>
    <n v="3125035"/>
    <n v="0.31250349999999999"/>
    <n v="2906282.55"/>
    <n v="0.290628255"/>
    <s v="Pending"/>
    <s v="Pending"/>
    <s v="Valid"/>
    <s v="Pending"/>
  </r>
  <r>
    <x v="989"/>
    <x v="475"/>
    <x v="0"/>
    <x v="3"/>
    <x v="0"/>
    <s v="Mahadev Motors Uttar Pradesh"/>
    <x v="0"/>
    <x v="0"/>
    <x v="3"/>
    <x v="2"/>
    <n v="8"/>
    <n v="841613"/>
    <n v="9"/>
    <n v="6732904"/>
    <n v="0.67329039999999996"/>
    <n v="6126942.6400000006"/>
    <n v="0.61269426400000004"/>
    <s v="Partial"/>
    <s v="In Transit"/>
    <s v="Invalid"/>
    <s v="In Transit"/>
  </r>
  <r>
    <x v="990"/>
    <x v="21"/>
    <x v="1"/>
    <x v="2"/>
    <x v="2"/>
    <s v="Kisan Tractors Maharashtra"/>
    <x v="2"/>
    <x v="2"/>
    <x v="0"/>
    <x v="0"/>
    <n v="8"/>
    <n v="62933"/>
    <n v="9"/>
    <n v="503464"/>
    <n v="5.0346399999999999E-2"/>
    <n v="458152.24"/>
    <n v="4.5815224000000002E-2"/>
    <s v="Partial"/>
    <s v="In Transit"/>
    <s v="Valid"/>
    <s v="In Transit"/>
  </r>
  <r>
    <x v="991"/>
    <x v="110"/>
    <x v="1"/>
    <x v="2"/>
    <x v="4"/>
    <s v="Kisan Tractors West Bengal"/>
    <x v="4"/>
    <x v="3"/>
    <x v="4"/>
    <x v="1"/>
    <n v="3"/>
    <n v="490251"/>
    <n v="6"/>
    <n v="1470753"/>
    <n v="0.14707529999999999"/>
    <n v="1382507.8199999998"/>
    <n v="0.13825078199999999"/>
    <s v="Paid"/>
    <s v="Delivered"/>
    <s v="Invalid"/>
    <s v="Completed"/>
  </r>
  <r>
    <x v="992"/>
    <x v="365"/>
    <x v="4"/>
    <x v="1"/>
    <x v="4"/>
    <s v="Green Field West Bengal"/>
    <x v="4"/>
    <x v="3"/>
    <x v="3"/>
    <x v="2"/>
    <n v="4"/>
    <n v="884050"/>
    <n v="6"/>
    <n v="3536200"/>
    <n v="0.35361999999999999"/>
    <n v="3324028"/>
    <n v="0.3324028"/>
    <s v="Partial"/>
    <s v="In Transit"/>
    <s v="Invalid"/>
    <s v="In Transit"/>
  </r>
  <r>
    <x v="993"/>
    <x v="297"/>
    <x v="2"/>
    <x v="2"/>
    <x v="4"/>
    <s v="Kisan Tractors West Bengal"/>
    <x v="4"/>
    <x v="3"/>
    <x v="2"/>
    <x v="0"/>
    <n v="4"/>
    <n v="362136"/>
    <n v="6"/>
    <n v="1448544"/>
    <n v="0.14485439999999999"/>
    <n v="1361631.3599999999"/>
    <n v="0.13616313599999999"/>
    <s v="Partial"/>
    <s v="In Transit"/>
    <s v="Valid"/>
    <s v="In Transit"/>
  </r>
  <r>
    <x v="994"/>
    <x v="11"/>
    <x v="0"/>
    <x v="3"/>
    <x v="4"/>
    <s v="Mahadev Motors West Bengal"/>
    <x v="4"/>
    <x v="3"/>
    <x v="1"/>
    <x v="1"/>
    <n v="4"/>
    <n v="533553"/>
    <n v="6"/>
    <n v="2134212"/>
    <n v="0.21342120000000001"/>
    <n v="2006159.2799999998"/>
    <n v="0.20061592799999997"/>
    <s v="Pending"/>
    <s v="Pending"/>
    <s v="Invalid"/>
    <s v="Pending"/>
  </r>
  <r>
    <x v="995"/>
    <x v="78"/>
    <x v="0"/>
    <x v="3"/>
    <x v="2"/>
    <s v="Mahadev Motors Maharashtra"/>
    <x v="2"/>
    <x v="2"/>
    <x v="0"/>
    <x v="0"/>
    <n v="7"/>
    <n v="302802"/>
    <n v="9"/>
    <n v="2119614"/>
    <n v="0.21196139999999999"/>
    <n v="1928848.74"/>
    <n v="0.19288487400000001"/>
    <s v="Partial"/>
    <s v="In Transit"/>
    <s v="Valid"/>
    <s v="In Transit"/>
  </r>
  <r>
    <x v="996"/>
    <x v="65"/>
    <x v="1"/>
    <x v="4"/>
    <x v="3"/>
    <s v="Agri Motors Haryana"/>
    <x v="3"/>
    <x v="0"/>
    <x v="2"/>
    <x v="0"/>
    <n v="5"/>
    <n v="781621"/>
    <n v="7"/>
    <n v="3908105"/>
    <n v="0.39081050000000001"/>
    <n v="3634537.65"/>
    <n v="0.36345376499999998"/>
    <s v="Partial"/>
    <s v="In Transit"/>
    <s v="Invalid"/>
    <s v="In Transit"/>
  </r>
  <r>
    <x v="997"/>
    <x v="108"/>
    <x v="2"/>
    <x v="3"/>
    <x v="4"/>
    <s v="Mahadev Motors West Bengal"/>
    <x v="4"/>
    <x v="3"/>
    <x v="1"/>
    <x v="1"/>
    <n v="8"/>
    <n v="501503"/>
    <n v="9"/>
    <n v="4012024"/>
    <n v="0.40120240000000001"/>
    <n v="3650941.8400000003"/>
    <n v="0.36509418400000004"/>
    <s v="Pending"/>
    <s v="Pending"/>
    <s v="Invalid"/>
    <s v="Pending"/>
  </r>
  <r>
    <x v="998"/>
    <x v="115"/>
    <x v="3"/>
    <x v="1"/>
    <x v="3"/>
    <s v="Green Field Haryana"/>
    <x v="3"/>
    <x v="0"/>
    <x v="0"/>
    <x v="0"/>
    <n v="2"/>
    <n v="877381"/>
    <n v="5"/>
    <n v="1754762"/>
    <n v="0.1754762"/>
    <n v="1667023.9"/>
    <n v="0.16670238999999998"/>
    <s v="Partial"/>
    <s v="In Transit"/>
    <s v="Invalid"/>
    <s v="In Transit"/>
  </r>
  <r>
    <x v="999"/>
    <x v="296"/>
    <x v="3"/>
    <x v="2"/>
    <x v="0"/>
    <s v="Kisan Tractors Uttar Pradesh"/>
    <x v="0"/>
    <x v="0"/>
    <x v="2"/>
    <x v="0"/>
    <n v="4"/>
    <n v="647540"/>
    <n v="6"/>
    <n v="2590160"/>
    <n v="0.25901600000000002"/>
    <n v="2434750.4"/>
    <n v="0.24347504"/>
    <s v="Partial"/>
    <s v="In Transit"/>
    <s v="Invalid"/>
    <s v="In Transit"/>
  </r>
  <r>
    <x v="1000"/>
    <x v="395"/>
    <x v="3"/>
    <x v="0"/>
    <x v="3"/>
    <s v="Shakti Agro Haryana"/>
    <x v="3"/>
    <x v="0"/>
    <x v="4"/>
    <x v="1"/>
    <n v="8"/>
    <n v="615297"/>
    <n v="9"/>
    <n v="4922376"/>
    <n v="0.4922376"/>
    <n v="4479362.16"/>
    <n v="0.447936216"/>
    <s v="Pending"/>
    <s v="Pending"/>
    <s v="Invalid"/>
    <s v="Pending"/>
  </r>
  <r>
    <x v="1001"/>
    <x v="374"/>
    <x v="2"/>
    <x v="3"/>
    <x v="3"/>
    <s v="Mahadev Motors Haryana"/>
    <x v="3"/>
    <x v="0"/>
    <x v="1"/>
    <x v="1"/>
    <n v="4"/>
    <n v="293791"/>
    <n v="6"/>
    <n v="1175164"/>
    <n v="0.11751639999999999"/>
    <n v="1104654.1599999999"/>
    <n v="0.110465416"/>
    <s v="Pending"/>
    <s v="Pending"/>
    <s v="Invalid"/>
    <s v="Pending"/>
  </r>
  <r>
    <x v="1002"/>
    <x v="10"/>
    <x v="2"/>
    <x v="3"/>
    <x v="2"/>
    <s v="Mahadev Motors Maharashtra"/>
    <x v="2"/>
    <x v="2"/>
    <x v="2"/>
    <x v="0"/>
    <n v="2"/>
    <n v="353064"/>
    <n v="5"/>
    <n v="706128"/>
    <n v="7.0612800000000003E-2"/>
    <n v="670821.6"/>
    <n v="6.7082160000000002E-2"/>
    <s v="Partial"/>
    <s v="In Transit"/>
    <s v="Invalid"/>
    <s v="In Transit"/>
  </r>
  <r>
    <x v="1003"/>
    <x v="337"/>
    <x v="1"/>
    <x v="4"/>
    <x v="1"/>
    <s v="Agri Motors Karnataka"/>
    <x v="1"/>
    <x v="1"/>
    <x v="0"/>
    <x v="0"/>
    <n v="6"/>
    <n v="594682"/>
    <n v="8"/>
    <n v="3568092"/>
    <n v="0.35680919999999999"/>
    <n v="3282644.64"/>
    <n v="0.32826446400000003"/>
    <s v="Partial"/>
    <s v="In Transit"/>
    <s v="Invalid"/>
    <s v="In Transit"/>
  </r>
  <r>
    <x v="1004"/>
    <x v="320"/>
    <x v="3"/>
    <x v="0"/>
    <x v="0"/>
    <s v="Shakti Agro Uttar Pradesh"/>
    <x v="0"/>
    <x v="0"/>
    <x v="1"/>
    <x v="1"/>
    <n v="8"/>
    <n v="202387"/>
    <n v="9"/>
    <n v="1619096"/>
    <n v="0.16190959999999999"/>
    <n v="1473377.36"/>
    <n v="0.147337736"/>
    <s v="Partial"/>
    <s v="In Transit"/>
    <s v="Invalid"/>
    <s v="In Transit"/>
  </r>
  <r>
    <x v="1005"/>
    <x v="416"/>
    <x v="0"/>
    <x v="4"/>
    <x v="3"/>
    <s v="Agri Motors Haryana"/>
    <x v="3"/>
    <x v="0"/>
    <x v="3"/>
    <x v="2"/>
    <n v="6"/>
    <n v="488795"/>
    <n v="8"/>
    <n v="2932770"/>
    <n v="0.29327700000000001"/>
    <n v="2698148.4"/>
    <n v="0.26981484"/>
    <s v="Partial"/>
    <s v="In Transit"/>
    <s v="Invalid"/>
    <s v="In Transit"/>
  </r>
  <r>
    <x v="1006"/>
    <x v="265"/>
    <x v="0"/>
    <x v="3"/>
    <x v="3"/>
    <s v="Mahadev Motors Haryana"/>
    <x v="3"/>
    <x v="0"/>
    <x v="3"/>
    <x v="2"/>
    <n v="2"/>
    <n v="807712"/>
    <n v="5"/>
    <n v="1615424"/>
    <n v="0.1615424"/>
    <n v="1534652.7999999998"/>
    <n v="0.15346527999999998"/>
    <s v="Paid"/>
    <s v="Delivered"/>
    <s v="Valid"/>
    <s v="Completed"/>
  </r>
  <r>
    <x v="1007"/>
    <x v="240"/>
    <x v="1"/>
    <x v="1"/>
    <x v="3"/>
    <s v="Green Field Haryana"/>
    <x v="3"/>
    <x v="0"/>
    <x v="0"/>
    <x v="0"/>
    <n v="2"/>
    <n v="722838"/>
    <n v="5"/>
    <n v="1445676"/>
    <n v="0.14456759999999999"/>
    <n v="1373392.2"/>
    <n v="0.13733921999999998"/>
    <s v="Paid"/>
    <s v="Delivered"/>
    <s v="Invalid"/>
    <s v="Completed"/>
  </r>
  <r>
    <x v="1008"/>
    <x v="418"/>
    <x v="1"/>
    <x v="2"/>
    <x v="0"/>
    <s v="Kisan Tractors Uttar Pradesh"/>
    <x v="0"/>
    <x v="0"/>
    <x v="1"/>
    <x v="1"/>
    <n v="6"/>
    <n v="227758"/>
    <n v="8"/>
    <n v="1366548"/>
    <n v="0.13665479999999999"/>
    <n v="1257224.1600000001"/>
    <n v="0.125722416"/>
    <s v="Partial"/>
    <s v="In Transit"/>
    <s v="Invalid"/>
    <s v="In Transit"/>
  </r>
  <r>
    <x v="1009"/>
    <x v="324"/>
    <x v="4"/>
    <x v="2"/>
    <x v="2"/>
    <s v="Kisan Tractors Maharashtra"/>
    <x v="2"/>
    <x v="2"/>
    <x v="4"/>
    <x v="1"/>
    <n v="1"/>
    <n v="732708"/>
    <n v="3"/>
    <n v="732708"/>
    <n v="7.3270799999999997E-2"/>
    <n v="710726.76"/>
    <n v="7.1072676000000001E-2"/>
    <s v="Paid"/>
    <s v="Delivered"/>
    <s v="Valid"/>
    <s v="Completed"/>
  </r>
  <r>
    <x v="1010"/>
    <x v="206"/>
    <x v="3"/>
    <x v="2"/>
    <x v="3"/>
    <s v="Kisan Tractors Haryana"/>
    <x v="3"/>
    <x v="0"/>
    <x v="4"/>
    <x v="1"/>
    <n v="1"/>
    <n v="567662"/>
    <n v="3"/>
    <n v="567662"/>
    <n v="5.6766200000000003E-2"/>
    <n v="550632.14"/>
    <n v="5.5063213999999999E-2"/>
    <s v="Partial"/>
    <s v="In Transit"/>
    <s v="Invalid"/>
    <s v="In Transit"/>
  </r>
  <r>
    <x v="1011"/>
    <x v="140"/>
    <x v="0"/>
    <x v="0"/>
    <x v="2"/>
    <s v="Shakti Agro Maharashtra"/>
    <x v="2"/>
    <x v="2"/>
    <x v="4"/>
    <x v="1"/>
    <n v="1"/>
    <n v="397315"/>
    <n v="3"/>
    <n v="397315"/>
    <n v="3.9731500000000003E-2"/>
    <n v="385395.55"/>
    <n v="3.8539554999999996E-2"/>
    <s v="Partial"/>
    <s v="In Transit"/>
    <s v="Valid"/>
    <s v="In Transit"/>
  </r>
  <r>
    <x v="1012"/>
    <x v="170"/>
    <x v="2"/>
    <x v="4"/>
    <x v="3"/>
    <s v="Agri Motors Haryana"/>
    <x v="3"/>
    <x v="0"/>
    <x v="4"/>
    <x v="1"/>
    <n v="6"/>
    <n v="816316"/>
    <n v="8"/>
    <n v="4897896"/>
    <n v="0.48978959999999999"/>
    <n v="4506064.32"/>
    <n v="0.45060643200000006"/>
    <s v="Paid"/>
    <s v="Delivered"/>
    <s v="Invalid"/>
    <s v="Completed"/>
  </r>
  <r>
    <x v="1013"/>
    <x v="72"/>
    <x v="4"/>
    <x v="1"/>
    <x v="4"/>
    <s v="Green Field West Bengal"/>
    <x v="4"/>
    <x v="3"/>
    <x v="3"/>
    <x v="2"/>
    <n v="8"/>
    <n v="132873"/>
    <n v="9"/>
    <n v="1062984"/>
    <n v="0.1062984"/>
    <n v="967315.44000000006"/>
    <n v="9.6731544000000003E-2"/>
    <s v="Pending"/>
    <s v="Pending"/>
    <s v="Valid"/>
    <s v="Pending"/>
  </r>
  <r>
    <x v="1014"/>
    <x v="197"/>
    <x v="3"/>
    <x v="4"/>
    <x v="4"/>
    <s v="Agri Motors West Bengal"/>
    <x v="4"/>
    <x v="3"/>
    <x v="0"/>
    <x v="0"/>
    <n v="8"/>
    <n v="647783"/>
    <n v="9"/>
    <n v="5182264"/>
    <n v="0.51822639999999998"/>
    <n v="4715860.24"/>
    <n v="0.47158602400000005"/>
    <s v="Partial"/>
    <s v="In Transit"/>
    <s v="Invalid"/>
    <s v="In Transit"/>
  </r>
  <r>
    <x v="1015"/>
    <x v="299"/>
    <x v="2"/>
    <x v="0"/>
    <x v="1"/>
    <s v="Shakti Agro Karnataka"/>
    <x v="1"/>
    <x v="1"/>
    <x v="1"/>
    <x v="1"/>
    <n v="4"/>
    <n v="635200"/>
    <n v="6"/>
    <n v="2540800"/>
    <n v="0.25407999999999997"/>
    <n v="2388352"/>
    <n v="0.2388352"/>
    <s v="Pending"/>
    <s v="Pending"/>
    <s v="Invalid"/>
    <s v="Pending"/>
  </r>
  <r>
    <x v="1016"/>
    <x v="322"/>
    <x v="0"/>
    <x v="4"/>
    <x v="3"/>
    <s v="Agri Motors Haryana"/>
    <x v="3"/>
    <x v="0"/>
    <x v="0"/>
    <x v="0"/>
    <n v="5"/>
    <n v="427091"/>
    <n v="7"/>
    <n v="2135455"/>
    <n v="0.2135455"/>
    <n v="1985973.15"/>
    <n v="0.198597315"/>
    <s v="Paid"/>
    <s v="Delivered"/>
    <s v="Valid"/>
    <s v="Completed"/>
  </r>
  <r>
    <x v="1017"/>
    <x v="460"/>
    <x v="0"/>
    <x v="1"/>
    <x v="4"/>
    <s v="Green Field West Bengal"/>
    <x v="4"/>
    <x v="3"/>
    <x v="2"/>
    <x v="0"/>
    <n v="6"/>
    <n v="416356"/>
    <n v="8"/>
    <n v="2498136"/>
    <n v="0.2498136"/>
    <n v="2298285.12"/>
    <n v="0.22982851200000001"/>
    <s v="Partial"/>
    <s v="In Transit"/>
    <s v="Valid"/>
    <s v="In Transit"/>
  </r>
  <r>
    <x v="1018"/>
    <x v="338"/>
    <x v="2"/>
    <x v="4"/>
    <x v="3"/>
    <s v="Agri Motors Haryana"/>
    <x v="3"/>
    <x v="0"/>
    <x v="4"/>
    <x v="1"/>
    <n v="7"/>
    <n v="830184"/>
    <n v="9"/>
    <n v="5811288"/>
    <n v="0.5811288"/>
    <n v="5288272.08"/>
    <n v="0.52882720800000005"/>
    <s v="Pending"/>
    <s v="Pending"/>
    <s v="Invalid"/>
    <s v="Pending"/>
  </r>
  <r>
    <x v="1019"/>
    <x v="296"/>
    <x v="4"/>
    <x v="3"/>
    <x v="0"/>
    <s v="Mahadev Motors Uttar Pradesh"/>
    <x v="0"/>
    <x v="0"/>
    <x v="2"/>
    <x v="0"/>
    <n v="1"/>
    <n v="496466"/>
    <n v="3"/>
    <n v="496466"/>
    <n v="4.9646599999999999E-2"/>
    <n v="481572.01999999996"/>
    <n v="4.8157201999999996E-2"/>
    <s v="Partial"/>
    <s v="In Transit"/>
    <s v="Invalid"/>
    <s v="In Transit"/>
  </r>
  <r>
    <x v="1020"/>
    <x v="168"/>
    <x v="4"/>
    <x v="0"/>
    <x v="1"/>
    <s v="Shakti Agro Karnataka"/>
    <x v="1"/>
    <x v="1"/>
    <x v="1"/>
    <x v="1"/>
    <n v="5"/>
    <n v="757256"/>
    <n v="7"/>
    <n v="3786280"/>
    <n v="0.37862800000000002"/>
    <n v="3521240.4"/>
    <n v="0.35212403999999997"/>
    <s v="Paid"/>
    <s v="Delivered"/>
    <s v="Valid"/>
    <s v="Completed"/>
  </r>
  <r>
    <x v="1021"/>
    <x v="476"/>
    <x v="4"/>
    <x v="0"/>
    <x v="1"/>
    <s v="Shakti Agro Karnataka"/>
    <x v="1"/>
    <x v="1"/>
    <x v="0"/>
    <x v="0"/>
    <n v="2"/>
    <n v="780928"/>
    <n v="5"/>
    <n v="1561856"/>
    <n v="0.15618560000000001"/>
    <n v="1483763.2"/>
    <n v="0.14837632000000001"/>
    <s v="Pending"/>
    <s v="Pending"/>
    <s v="Valid"/>
    <s v="Pending"/>
  </r>
  <r>
    <x v="1022"/>
    <x v="67"/>
    <x v="1"/>
    <x v="3"/>
    <x v="3"/>
    <s v="Mahadev Motors Haryana"/>
    <x v="3"/>
    <x v="0"/>
    <x v="3"/>
    <x v="2"/>
    <n v="8"/>
    <n v="689904"/>
    <n v="9"/>
    <n v="5519232"/>
    <n v="0.55192319999999995"/>
    <n v="5022501.12"/>
    <n v="0.50225011200000003"/>
    <s v="Partial"/>
    <s v="In Transit"/>
    <s v="Invalid"/>
    <s v="In Transit"/>
  </r>
  <r>
    <x v="1023"/>
    <x v="195"/>
    <x v="1"/>
    <x v="0"/>
    <x v="3"/>
    <s v="Shakti Agro Haryana"/>
    <x v="3"/>
    <x v="0"/>
    <x v="3"/>
    <x v="2"/>
    <n v="7"/>
    <n v="816506"/>
    <n v="9"/>
    <n v="5715542"/>
    <n v="0.57155420000000001"/>
    <n v="5201143.22"/>
    <n v="0.52011432199999996"/>
    <s v="Paid"/>
    <s v="Delivered"/>
    <s v="Valid"/>
    <s v="Completed"/>
  </r>
  <r>
    <x v="1024"/>
    <x v="240"/>
    <x v="2"/>
    <x v="3"/>
    <x v="1"/>
    <s v="Mahadev Motors Karnataka"/>
    <x v="1"/>
    <x v="1"/>
    <x v="3"/>
    <x v="2"/>
    <n v="1"/>
    <n v="149032"/>
    <n v="3"/>
    <n v="149032"/>
    <n v="1.49032E-2"/>
    <n v="144561.04"/>
    <n v="1.4456104000000001E-2"/>
    <s v="Pending"/>
    <s v="Pending"/>
    <s v="Invalid"/>
    <s v="Pending"/>
  </r>
  <r>
    <x v="1025"/>
    <x v="423"/>
    <x v="0"/>
    <x v="1"/>
    <x v="2"/>
    <s v="Green Field Maharashtra"/>
    <x v="2"/>
    <x v="2"/>
    <x v="1"/>
    <x v="1"/>
    <n v="7"/>
    <n v="890682"/>
    <n v="9"/>
    <n v="6234774"/>
    <n v="0.62347739999999996"/>
    <n v="5673644.3399999999"/>
    <n v="0.56736443400000003"/>
    <s v="Paid"/>
    <s v="Delivered"/>
    <s v="Invalid"/>
    <s v="Completed"/>
  </r>
  <r>
    <x v="1026"/>
    <x v="268"/>
    <x v="2"/>
    <x v="1"/>
    <x v="3"/>
    <s v="Green Field Haryana"/>
    <x v="3"/>
    <x v="0"/>
    <x v="4"/>
    <x v="1"/>
    <n v="5"/>
    <n v="798844"/>
    <n v="7"/>
    <n v="3994220"/>
    <n v="0.399422"/>
    <n v="3714624.5999999996"/>
    <n v="0.37146245999999994"/>
    <s v="Partial"/>
    <s v="In Transit"/>
    <s v="Invalid"/>
    <s v="In Transit"/>
  </r>
  <r>
    <x v="1027"/>
    <x v="245"/>
    <x v="0"/>
    <x v="0"/>
    <x v="2"/>
    <s v="Shakti Agro Maharashtra"/>
    <x v="2"/>
    <x v="2"/>
    <x v="2"/>
    <x v="0"/>
    <n v="1"/>
    <n v="614987"/>
    <n v="3"/>
    <n v="614987"/>
    <n v="6.1498700000000003E-2"/>
    <n v="596537.39"/>
    <n v="5.9653739000000004E-2"/>
    <s v="Pending"/>
    <s v="Pending"/>
    <s v="Invalid"/>
    <s v="Pending"/>
  </r>
  <r>
    <x v="1028"/>
    <x v="356"/>
    <x v="1"/>
    <x v="1"/>
    <x v="2"/>
    <s v="Green Field Maharashtra"/>
    <x v="2"/>
    <x v="2"/>
    <x v="2"/>
    <x v="0"/>
    <n v="5"/>
    <n v="540575"/>
    <n v="7"/>
    <n v="2702875"/>
    <n v="0.27028750000000001"/>
    <n v="2513673.75"/>
    <n v="0.251367375"/>
    <s v="Pending"/>
    <s v="Pending"/>
    <s v="Invalid"/>
    <s v="Pending"/>
  </r>
  <r>
    <x v="1029"/>
    <x v="8"/>
    <x v="3"/>
    <x v="2"/>
    <x v="2"/>
    <s v="Kisan Tractors Maharashtra"/>
    <x v="2"/>
    <x v="2"/>
    <x v="1"/>
    <x v="1"/>
    <n v="2"/>
    <n v="406231"/>
    <n v="5"/>
    <n v="812462"/>
    <n v="8.1246200000000005E-2"/>
    <n v="771838.89999999991"/>
    <n v="7.7183889999999991E-2"/>
    <s v="Pending"/>
    <s v="Pending"/>
    <s v="Invalid"/>
    <s v="Pending"/>
  </r>
  <r>
    <x v="1030"/>
    <x v="44"/>
    <x v="3"/>
    <x v="2"/>
    <x v="0"/>
    <s v="Kisan Tractors Uttar Pradesh"/>
    <x v="0"/>
    <x v="0"/>
    <x v="4"/>
    <x v="1"/>
    <n v="7"/>
    <n v="839680"/>
    <n v="9"/>
    <n v="5877760"/>
    <n v="0.58777599999999997"/>
    <n v="5348761.6000000006"/>
    <n v="0.53487616000000004"/>
    <s v="Paid"/>
    <s v="Delivered"/>
    <s v="Valid"/>
    <s v="Completed"/>
  </r>
  <r>
    <x v="1031"/>
    <x v="66"/>
    <x v="3"/>
    <x v="0"/>
    <x v="2"/>
    <s v="Shakti Agro Maharashtra"/>
    <x v="2"/>
    <x v="2"/>
    <x v="1"/>
    <x v="1"/>
    <n v="7"/>
    <n v="648852"/>
    <n v="9"/>
    <n v="4541964"/>
    <n v="0.4541964"/>
    <n v="4133187.24"/>
    <n v="0.41331872400000003"/>
    <s v="Paid"/>
    <s v="Delivered"/>
    <s v="Invalid"/>
    <s v="Completed"/>
  </r>
  <r>
    <x v="1032"/>
    <x v="454"/>
    <x v="3"/>
    <x v="1"/>
    <x v="0"/>
    <s v="Green Field Uttar Pradesh"/>
    <x v="0"/>
    <x v="0"/>
    <x v="1"/>
    <x v="1"/>
    <n v="1"/>
    <n v="662008"/>
    <n v="3"/>
    <n v="662008"/>
    <n v="6.6200800000000004E-2"/>
    <n v="642147.76"/>
    <n v="6.4214776000000001E-2"/>
    <s v="Pending"/>
    <s v="Pending"/>
    <s v="Valid"/>
    <s v="Pending"/>
  </r>
  <r>
    <x v="1033"/>
    <x v="14"/>
    <x v="1"/>
    <x v="3"/>
    <x v="4"/>
    <s v="Mahadev Motors West Bengal"/>
    <x v="4"/>
    <x v="3"/>
    <x v="0"/>
    <x v="0"/>
    <n v="7"/>
    <n v="399845"/>
    <n v="9"/>
    <n v="2798915"/>
    <n v="0.27989150000000002"/>
    <n v="2547012.65"/>
    <n v="0.25470126500000001"/>
    <s v="Paid"/>
    <s v="Delivered"/>
    <s v="Invalid"/>
    <s v="Completed"/>
  </r>
  <r>
    <x v="1034"/>
    <x v="289"/>
    <x v="3"/>
    <x v="1"/>
    <x v="0"/>
    <s v="Green Field Uttar Pradesh"/>
    <x v="0"/>
    <x v="0"/>
    <x v="0"/>
    <x v="0"/>
    <n v="7"/>
    <n v="121050"/>
    <n v="9"/>
    <n v="847350"/>
    <n v="8.4735000000000005E-2"/>
    <n v="771088.5"/>
    <n v="7.7108850000000007E-2"/>
    <s v="Paid"/>
    <s v="Delivered"/>
    <s v="Valid"/>
    <s v="Completed"/>
  </r>
  <r>
    <x v="1035"/>
    <x v="268"/>
    <x v="2"/>
    <x v="1"/>
    <x v="4"/>
    <s v="Green Field West Bengal"/>
    <x v="4"/>
    <x v="3"/>
    <x v="4"/>
    <x v="1"/>
    <n v="7"/>
    <n v="599508"/>
    <n v="9"/>
    <n v="4196556"/>
    <n v="0.41965560000000002"/>
    <n v="3818865.96"/>
    <n v="0.38188659600000002"/>
    <s v="Paid"/>
    <s v="Delivered"/>
    <s v="Invalid"/>
    <s v="Completed"/>
  </r>
  <r>
    <x v="1036"/>
    <x v="477"/>
    <x v="1"/>
    <x v="4"/>
    <x v="4"/>
    <s v="Agri Motors West Bengal"/>
    <x v="4"/>
    <x v="3"/>
    <x v="0"/>
    <x v="0"/>
    <n v="1"/>
    <n v="331541"/>
    <n v="3"/>
    <n v="331541"/>
    <n v="3.3154099999999999E-2"/>
    <n v="321594.77"/>
    <n v="3.2159476999999999E-2"/>
    <s v="Paid"/>
    <s v="Delivered"/>
    <s v="Invalid"/>
    <s v="Completed"/>
  </r>
  <r>
    <x v="1037"/>
    <x v="478"/>
    <x v="3"/>
    <x v="2"/>
    <x v="3"/>
    <s v="Kisan Tractors Haryana"/>
    <x v="3"/>
    <x v="0"/>
    <x v="1"/>
    <x v="1"/>
    <n v="6"/>
    <n v="238724"/>
    <n v="8"/>
    <n v="1432344"/>
    <n v="0.14323440000000001"/>
    <n v="1317756.48"/>
    <n v="0.131775648"/>
    <s v="Pending"/>
    <s v="Pending"/>
    <s v="Invalid"/>
    <s v="Pending"/>
  </r>
  <r>
    <x v="1038"/>
    <x v="314"/>
    <x v="0"/>
    <x v="4"/>
    <x v="1"/>
    <s v="Agri Motors Karnataka"/>
    <x v="1"/>
    <x v="1"/>
    <x v="2"/>
    <x v="0"/>
    <n v="5"/>
    <n v="527378"/>
    <n v="7"/>
    <n v="2636890"/>
    <n v="0.26368900000000001"/>
    <n v="2452307.6999999997"/>
    <n v="0.24523076999999996"/>
    <s v="Partial"/>
    <s v="In Transit"/>
    <s v="Invalid"/>
    <s v="In Transit"/>
  </r>
  <r>
    <x v="1039"/>
    <x v="307"/>
    <x v="2"/>
    <x v="0"/>
    <x v="4"/>
    <s v="Shakti Agro West Bengal"/>
    <x v="4"/>
    <x v="3"/>
    <x v="4"/>
    <x v="1"/>
    <n v="1"/>
    <n v="694776"/>
    <n v="3"/>
    <n v="694776"/>
    <n v="6.94776E-2"/>
    <n v="673932.72"/>
    <n v="6.7393272000000004E-2"/>
    <s v="Pending"/>
    <s v="Pending"/>
    <s v="Invalid"/>
    <s v="Pending"/>
  </r>
  <r>
    <x v="1040"/>
    <x v="34"/>
    <x v="2"/>
    <x v="3"/>
    <x v="4"/>
    <s v="Mahadev Motors West Bengal"/>
    <x v="4"/>
    <x v="3"/>
    <x v="3"/>
    <x v="2"/>
    <n v="6"/>
    <n v="758836"/>
    <n v="8"/>
    <n v="4553016"/>
    <n v="0.45530159999999997"/>
    <n v="4188774.72"/>
    <n v="0.41887747200000003"/>
    <s v="Pending"/>
    <s v="Pending"/>
    <s v="Invalid"/>
    <s v="Pending"/>
  </r>
  <r>
    <x v="1041"/>
    <x v="152"/>
    <x v="3"/>
    <x v="1"/>
    <x v="1"/>
    <s v="Green Field Karnataka"/>
    <x v="1"/>
    <x v="1"/>
    <x v="1"/>
    <x v="1"/>
    <n v="7"/>
    <n v="375308"/>
    <n v="9"/>
    <n v="2627156"/>
    <n v="0.26271559999999999"/>
    <n v="2390711.96"/>
    <n v="0.23907119599999999"/>
    <s v="Paid"/>
    <s v="Delivered"/>
    <s v="Valid"/>
    <s v="Completed"/>
  </r>
  <r>
    <x v="1042"/>
    <x v="391"/>
    <x v="0"/>
    <x v="4"/>
    <x v="3"/>
    <s v="Agri Motors Haryana"/>
    <x v="3"/>
    <x v="0"/>
    <x v="0"/>
    <x v="0"/>
    <n v="2"/>
    <n v="842126"/>
    <n v="5"/>
    <n v="1684252"/>
    <n v="0.1684252"/>
    <n v="1600039.4"/>
    <n v="0.16000393999999998"/>
    <s v="Pending"/>
    <s v="Pending"/>
    <s v="Invalid"/>
    <s v="Pending"/>
  </r>
  <r>
    <x v="1043"/>
    <x v="30"/>
    <x v="3"/>
    <x v="1"/>
    <x v="3"/>
    <s v="Green Field Haryana"/>
    <x v="3"/>
    <x v="0"/>
    <x v="4"/>
    <x v="1"/>
    <n v="2"/>
    <n v="312559"/>
    <n v="5"/>
    <n v="625118"/>
    <n v="6.2511800000000006E-2"/>
    <n v="593862.1"/>
    <n v="5.9386209999999995E-2"/>
    <s v="Partial"/>
    <s v="In Transit"/>
    <s v="Valid"/>
    <s v="In Transit"/>
  </r>
  <r>
    <x v="1044"/>
    <x v="475"/>
    <x v="1"/>
    <x v="3"/>
    <x v="1"/>
    <s v="Mahadev Motors Karnataka"/>
    <x v="1"/>
    <x v="1"/>
    <x v="0"/>
    <x v="0"/>
    <n v="6"/>
    <n v="698344"/>
    <n v="8"/>
    <n v="4190064"/>
    <n v="0.4190064"/>
    <n v="3854858.8800000004"/>
    <n v="0.38548588800000005"/>
    <s v="Pending"/>
    <s v="Pending"/>
    <s v="Invalid"/>
    <s v="Pending"/>
  </r>
  <r>
    <x v="1045"/>
    <x v="431"/>
    <x v="2"/>
    <x v="0"/>
    <x v="0"/>
    <s v="Shakti Agro Uttar Pradesh"/>
    <x v="0"/>
    <x v="0"/>
    <x v="0"/>
    <x v="0"/>
    <n v="5"/>
    <n v="749004"/>
    <n v="7"/>
    <n v="3745020"/>
    <n v="0.374502"/>
    <n v="3482868.5999999996"/>
    <n v="0.34828685999999998"/>
    <s v="Pending"/>
    <s v="Pending"/>
    <s v="Invalid"/>
    <s v="Pending"/>
  </r>
  <r>
    <x v="1046"/>
    <x v="181"/>
    <x v="3"/>
    <x v="4"/>
    <x v="0"/>
    <s v="Agri Motors Uttar Pradesh"/>
    <x v="0"/>
    <x v="0"/>
    <x v="0"/>
    <x v="0"/>
    <n v="5"/>
    <n v="689569"/>
    <n v="7"/>
    <n v="3447845"/>
    <n v="0.34478449999999999"/>
    <n v="3206495.8499999996"/>
    <n v="0.32064958499999996"/>
    <s v="Pending"/>
    <s v="Pending"/>
    <s v="Valid"/>
    <s v="Pending"/>
  </r>
  <r>
    <x v="1047"/>
    <x v="412"/>
    <x v="2"/>
    <x v="4"/>
    <x v="1"/>
    <s v="Agri Motors Karnataka"/>
    <x v="1"/>
    <x v="1"/>
    <x v="2"/>
    <x v="0"/>
    <n v="3"/>
    <n v="803504"/>
    <n v="6"/>
    <n v="2410512"/>
    <n v="0.24105119999999999"/>
    <n v="2265881.2799999998"/>
    <n v="0.22658812799999997"/>
    <s v="Pending"/>
    <s v="Pending"/>
    <s v="Invalid"/>
    <s v="Pending"/>
  </r>
  <r>
    <x v="1048"/>
    <x v="479"/>
    <x v="1"/>
    <x v="0"/>
    <x v="0"/>
    <s v="Shakti Agro Uttar Pradesh"/>
    <x v="0"/>
    <x v="0"/>
    <x v="0"/>
    <x v="0"/>
    <n v="2"/>
    <n v="817650"/>
    <n v="5"/>
    <n v="1635300"/>
    <n v="0.16353000000000001"/>
    <n v="1553535"/>
    <n v="0.15535350000000001"/>
    <s v="Pending"/>
    <s v="Pending"/>
    <s v="Invalid"/>
    <s v="Pending"/>
  </r>
  <r>
    <x v="1049"/>
    <x v="33"/>
    <x v="0"/>
    <x v="2"/>
    <x v="0"/>
    <s v="Kisan Tractors Uttar Pradesh"/>
    <x v="0"/>
    <x v="0"/>
    <x v="1"/>
    <x v="1"/>
    <n v="4"/>
    <n v="521145"/>
    <n v="6"/>
    <n v="2084580"/>
    <n v="0.208458"/>
    <n v="1959505.2"/>
    <n v="0.19595051999999999"/>
    <s v="Partial"/>
    <s v="In Transit"/>
    <s v="Invalid"/>
    <s v="In Transit"/>
  </r>
  <r>
    <x v="1050"/>
    <x v="25"/>
    <x v="2"/>
    <x v="4"/>
    <x v="4"/>
    <s v="Agri Motors West Bengal"/>
    <x v="4"/>
    <x v="3"/>
    <x v="4"/>
    <x v="1"/>
    <n v="8"/>
    <n v="330787"/>
    <n v="9"/>
    <n v="2646296"/>
    <n v="0.26462960000000002"/>
    <n v="2408129.36"/>
    <n v="0.24081293599999998"/>
    <s v="Partial"/>
    <s v="In Transit"/>
    <s v="Invalid"/>
    <s v="In Transit"/>
  </r>
  <r>
    <x v="1051"/>
    <x v="151"/>
    <x v="4"/>
    <x v="1"/>
    <x v="2"/>
    <s v="Green Field Maharashtra"/>
    <x v="2"/>
    <x v="2"/>
    <x v="0"/>
    <x v="0"/>
    <n v="7"/>
    <n v="703605"/>
    <n v="9"/>
    <n v="4925235"/>
    <n v="0.4925235"/>
    <n v="4481963.8500000006"/>
    <n v="0.44819638500000003"/>
    <s v="Pending"/>
    <s v="Pending"/>
    <s v="Valid"/>
    <s v="Pending"/>
  </r>
  <r>
    <x v="1052"/>
    <x v="171"/>
    <x v="0"/>
    <x v="2"/>
    <x v="0"/>
    <s v="Kisan Tractors Uttar Pradesh"/>
    <x v="0"/>
    <x v="0"/>
    <x v="2"/>
    <x v="0"/>
    <n v="1"/>
    <n v="776290"/>
    <n v="3"/>
    <n v="776290"/>
    <n v="7.7629000000000004E-2"/>
    <n v="753001.29999999993"/>
    <n v="7.5300129999999993E-2"/>
    <s v="Pending"/>
    <s v="Pending"/>
    <s v="Valid"/>
    <s v="Pending"/>
  </r>
  <r>
    <x v="1053"/>
    <x v="240"/>
    <x v="0"/>
    <x v="4"/>
    <x v="0"/>
    <s v="Agri Motors Uttar Pradesh"/>
    <x v="0"/>
    <x v="0"/>
    <x v="2"/>
    <x v="0"/>
    <n v="3"/>
    <n v="472016"/>
    <n v="6"/>
    <n v="1416048"/>
    <n v="0.1416048"/>
    <n v="1331085.1199999999"/>
    <n v="0.13310851199999998"/>
    <s v="Partial"/>
    <s v="In Transit"/>
    <s v="Invalid"/>
    <s v="In Transit"/>
  </r>
  <r>
    <x v="1054"/>
    <x v="29"/>
    <x v="3"/>
    <x v="2"/>
    <x v="0"/>
    <s v="Kisan Tractors Uttar Pradesh"/>
    <x v="0"/>
    <x v="0"/>
    <x v="2"/>
    <x v="0"/>
    <n v="3"/>
    <n v="264479"/>
    <n v="6"/>
    <n v="793437"/>
    <n v="7.9343700000000003E-2"/>
    <n v="745830.77999999991"/>
    <n v="7.4583077999999997E-2"/>
    <s v="Paid"/>
    <s v="Delivered"/>
    <s v="Invalid"/>
    <s v="Completed"/>
  </r>
  <r>
    <x v="1055"/>
    <x v="5"/>
    <x v="0"/>
    <x v="2"/>
    <x v="2"/>
    <s v="Kisan Tractors Maharashtra"/>
    <x v="2"/>
    <x v="2"/>
    <x v="4"/>
    <x v="1"/>
    <n v="3"/>
    <n v="187345"/>
    <n v="6"/>
    <n v="562035"/>
    <n v="5.6203500000000003E-2"/>
    <n v="528312.9"/>
    <n v="5.2831290000000003E-2"/>
    <s v="Paid"/>
    <s v="Delivered"/>
    <s v="Invalid"/>
    <s v="Completed"/>
  </r>
  <r>
    <x v="1056"/>
    <x v="71"/>
    <x v="3"/>
    <x v="3"/>
    <x v="0"/>
    <s v="Mahadev Motors Uttar Pradesh"/>
    <x v="0"/>
    <x v="0"/>
    <x v="2"/>
    <x v="0"/>
    <n v="2"/>
    <n v="372483"/>
    <n v="5"/>
    <n v="744966"/>
    <n v="7.4496599999999996E-2"/>
    <n v="707717.7"/>
    <n v="7.0771769999999998E-2"/>
    <s v="Pending"/>
    <s v="Pending"/>
    <s v="Invalid"/>
    <s v="Pending"/>
  </r>
  <r>
    <x v="1057"/>
    <x v="67"/>
    <x v="1"/>
    <x v="0"/>
    <x v="2"/>
    <s v="Shakti Agro Maharashtra"/>
    <x v="2"/>
    <x v="2"/>
    <x v="3"/>
    <x v="2"/>
    <n v="5"/>
    <n v="385611"/>
    <n v="7"/>
    <n v="1928055"/>
    <n v="0.19280549999999999"/>
    <n v="1793091.15"/>
    <n v="0.17930911499999999"/>
    <s v="Partial"/>
    <s v="In Transit"/>
    <s v="Invalid"/>
    <s v="In Transit"/>
  </r>
  <r>
    <x v="1058"/>
    <x v="23"/>
    <x v="0"/>
    <x v="3"/>
    <x v="2"/>
    <s v="Mahadev Motors Maharashtra"/>
    <x v="2"/>
    <x v="2"/>
    <x v="4"/>
    <x v="1"/>
    <n v="7"/>
    <n v="512777"/>
    <n v="9"/>
    <n v="3589439"/>
    <n v="0.35894389999999998"/>
    <n v="3266389.49"/>
    <n v="0.32663894900000001"/>
    <s v="Partial"/>
    <s v="In Transit"/>
    <s v="Valid"/>
    <s v="In Transit"/>
  </r>
  <r>
    <x v="1059"/>
    <x v="445"/>
    <x v="3"/>
    <x v="0"/>
    <x v="0"/>
    <s v="Shakti Agro Uttar Pradesh"/>
    <x v="0"/>
    <x v="0"/>
    <x v="4"/>
    <x v="1"/>
    <n v="3"/>
    <n v="546964"/>
    <n v="6"/>
    <n v="1640892"/>
    <n v="0.16408919999999999"/>
    <n v="1542438.48"/>
    <n v="0.15424384799999999"/>
    <s v="Partial"/>
    <s v="In Transit"/>
    <s v="Valid"/>
    <s v="In Transit"/>
  </r>
  <r>
    <x v="1060"/>
    <x v="480"/>
    <x v="4"/>
    <x v="1"/>
    <x v="4"/>
    <s v="Green Field West Bengal"/>
    <x v="4"/>
    <x v="3"/>
    <x v="1"/>
    <x v="1"/>
    <n v="1"/>
    <n v="356578"/>
    <n v="3"/>
    <n v="356578"/>
    <n v="3.5657800000000003E-2"/>
    <n v="345880.66"/>
    <n v="3.4588066000000001E-2"/>
    <s v="Partial"/>
    <s v="In Transit"/>
    <s v="Valid"/>
    <s v="In Transit"/>
  </r>
  <r>
    <x v="1061"/>
    <x v="380"/>
    <x v="0"/>
    <x v="1"/>
    <x v="3"/>
    <s v="Green Field Haryana"/>
    <x v="3"/>
    <x v="0"/>
    <x v="0"/>
    <x v="0"/>
    <n v="8"/>
    <n v="199113"/>
    <n v="9"/>
    <n v="1592904"/>
    <n v="0.1592904"/>
    <n v="1449542.6400000001"/>
    <n v="0.144954264"/>
    <s v="Paid"/>
    <s v="Delivered"/>
    <s v="Invalid"/>
    <s v="Completed"/>
  </r>
  <r>
    <x v="1062"/>
    <x v="382"/>
    <x v="0"/>
    <x v="3"/>
    <x v="3"/>
    <s v="Mahadev Motors Haryana"/>
    <x v="3"/>
    <x v="0"/>
    <x v="4"/>
    <x v="1"/>
    <n v="8"/>
    <n v="567350"/>
    <n v="9"/>
    <n v="4538800"/>
    <n v="0.45388000000000001"/>
    <n v="4130308"/>
    <n v="0.41303079999999998"/>
    <s v="Partial"/>
    <s v="In Transit"/>
    <s v="Invalid"/>
    <s v="In Transit"/>
  </r>
  <r>
    <x v="1063"/>
    <x v="142"/>
    <x v="3"/>
    <x v="1"/>
    <x v="4"/>
    <s v="Green Field West Bengal"/>
    <x v="4"/>
    <x v="3"/>
    <x v="3"/>
    <x v="2"/>
    <n v="7"/>
    <n v="260255"/>
    <n v="9"/>
    <n v="1821785"/>
    <n v="0.18217849999999999"/>
    <n v="1657824.35"/>
    <n v="0.16578243500000001"/>
    <s v="Paid"/>
    <s v="Delivered"/>
    <s v="Invalid"/>
    <s v="Completed"/>
  </r>
  <r>
    <x v="1064"/>
    <x v="163"/>
    <x v="2"/>
    <x v="2"/>
    <x v="3"/>
    <s v="Kisan Tractors Haryana"/>
    <x v="3"/>
    <x v="0"/>
    <x v="4"/>
    <x v="1"/>
    <n v="4"/>
    <n v="490464"/>
    <n v="6"/>
    <n v="1961856"/>
    <n v="0.19618559999999999"/>
    <n v="1844144.64"/>
    <n v="0.184414464"/>
    <s v="Paid"/>
    <s v="Delivered"/>
    <s v="Valid"/>
    <s v="Completed"/>
  </r>
  <r>
    <x v="1065"/>
    <x v="481"/>
    <x v="1"/>
    <x v="2"/>
    <x v="4"/>
    <s v="Kisan Tractors West Bengal"/>
    <x v="4"/>
    <x v="3"/>
    <x v="4"/>
    <x v="1"/>
    <n v="1"/>
    <n v="766692"/>
    <n v="3"/>
    <n v="766692"/>
    <n v="7.6669200000000007E-2"/>
    <n v="743691.24"/>
    <n v="7.4369123999999995E-2"/>
    <s v="Paid"/>
    <s v="Delivered"/>
    <s v="Valid"/>
    <s v="Completed"/>
  </r>
  <r>
    <x v="1066"/>
    <x v="190"/>
    <x v="0"/>
    <x v="3"/>
    <x v="1"/>
    <s v="Mahadev Motors Karnataka"/>
    <x v="1"/>
    <x v="1"/>
    <x v="0"/>
    <x v="0"/>
    <n v="2"/>
    <n v="144987"/>
    <n v="5"/>
    <n v="289974"/>
    <n v="2.89974E-2"/>
    <n v="275475.3"/>
    <n v="2.7547529999999997E-2"/>
    <s v="Partial"/>
    <s v="In Transit"/>
    <s v="Invalid"/>
    <s v="In Transit"/>
  </r>
  <r>
    <x v="1067"/>
    <x v="415"/>
    <x v="4"/>
    <x v="2"/>
    <x v="0"/>
    <s v="Kisan Tractors Uttar Pradesh"/>
    <x v="0"/>
    <x v="0"/>
    <x v="2"/>
    <x v="0"/>
    <n v="6"/>
    <n v="675650"/>
    <n v="8"/>
    <n v="4053900"/>
    <n v="0.40538999999999997"/>
    <n v="3729588"/>
    <n v="0.37295879999999998"/>
    <s v="Paid"/>
    <s v="Delivered"/>
    <s v="Invalid"/>
    <s v="Completed"/>
  </r>
  <r>
    <x v="1068"/>
    <x v="38"/>
    <x v="4"/>
    <x v="0"/>
    <x v="2"/>
    <s v="Shakti Agro Maharashtra"/>
    <x v="2"/>
    <x v="2"/>
    <x v="3"/>
    <x v="2"/>
    <n v="6"/>
    <n v="223577"/>
    <n v="8"/>
    <n v="1341462"/>
    <n v="0.13414619999999999"/>
    <n v="1234145.04"/>
    <n v="0.12341450400000001"/>
    <s v="Pending"/>
    <s v="Pending"/>
    <s v="Invalid"/>
    <s v="Pending"/>
  </r>
  <r>
    <x v="1069"/>
    <x v="482"/>
    <x v="4"/>
    <x v="4"/>
    <x v="4"/>
    <s v="Agri Motors West Bengal"/>
    <x v="4"/>
    <x v="3"/>
    <x v="4"/>
    <x v="1"/>
    <n v="1"/>
    <n v="736404"/>
    <n v="3"/>
    <n v="736404"/>
    <n v="7.3640399999999995E-2"/>
    <n v="714311.88"/>
    <n v="7.1431188000000007E-2"/>
    <s v="Pending"/>
    <s v="Pending"/>
    <s v="Invalid"/>
    <s v="Pending"/>
  </r>
  <r>
    <x v="1070"/>
    <x v="141"/>
    <x v="3"/>
    <x v="3"/>
    <x v="0"/>
    <s v="Mahadev Motors Uttar Pradesh"/>
    <x v="0"/>
    <x v="0"/>
    <x v="0"/>
    <x v="0"/>
    <n v="2"/>
    <n v="500143"/>
    <n v="5"/>
    <n v="1000286"/>
    <n v="0.1000286"/>
    <n v="950271.7"/>
    <n v="9.5027169999999994E-2"/>
    <s v="Paid"/>
    <s v="Delivered"/>
    <s v="Invalid"/>
    <s v="Completed"/>
  </r>
  <r>
    <x v="1071"/>
    <x v="483"/>
    <x v="0"/>
    <x v="2"/>
    <x v="2"/>
    <s v="Kisan Tractors Maharashtra"/>
    <x v="2"/>
    <x v="2"/>
    <x v="3"/>
    <x v="2"/>
    <n v="3"/>
    <n v="723661"/>
    <n v="6"/>
    <n v="2170983"/>
    <n v="0.21709829999999999"/>
    <n v="2040724.0199999998"/>
    <n v="0.20407240199999999"/>
    <s v="Pending"/>
    <s v="Pending"/>
    <s v="Invalid"/>
    <s v="Pending"/>
  </r>
  <r>
    <x v="1072"/>
    <x v="10"/>
    <x v="2"/>
    <x v="4"/>
    <x v="1"/>
    <s v="Agri Motors Karnataka"/>
    <x v="1"/>
    <x v="1"/>
    <x v="1"/>
    <x v="1"/>
    <n v="5"/>
    <n v="175181"/>
    <n v="7"/>
    <n v="875905"/>
    <n v="8.7590500000000002E-2"/>
    <n v="814591.64999999991"/>
    <n v="8.1459164999999986E-2"/>
    <s v="Paid"/>
    <s v="Delivered"/>
    <s v="Invalid"/>
    <s v="Completed"/>
  </r>
  <r>
    <x v="1073"/>
    <x v="67"/>
    <x v="2"/>
    <x v="4"/>
    <x v="2"/>
    <s v="Agri Motors Maharashtra"/>
    <x v="2"/>
    <x v="2"/>
    <x v="2"/>
    <x v="0"/>
    <n v="7"/>
    <n v="388169"/>
    <n v="9"/>
    <n v="2717183"/>
    <n v="0.27171830000000002"/>
    <n v="2472636.5300000003"/>
    <n v="0.24726365300000003"/>
    <s v="Paid"/>
    <s v="Delivered"/>
    <s v="Valid"/>
    <s v="Completed"/>
  </r>
  <r>
    <x v="1074"/>
    <x v="438"/>
    <x v="1"/>
    <x v="1"/>
    <x v="2"/>
    <s v="Green Field Maharashtra"/>
    <x v="2"/>
    <x v="2"/>
    <x v="3"/>
    <x v="2"/>
    <n v="1"/>
    <n v="750406"/>
    <n v="3"/>
    <n v="750406"/>
    <n v="7.5040599999999999E-2"/>
    <n v="727893.82"/>
    <n v="7.2789382E-2"/>
    <s v="Partial"/>
    <s v="In Transit"/>
    <s v="Invalid"/>
    <s v="In Transit"/>
  </r>
  <r>
    <x v="1075"/>
    <x v="190"/>
    <x v="3"/>
    <x v="3"/>
    <x v="1"/>
    <s v="Mahadev Motors Karnataka"/>
    <x v="1"/>
    <x v="1"/>
    <x v="3"/>
    <x v="2"/>
    <n v="1"/>
    <n v="802725"/>
    <n v="3"/>
    <n v="802725"/>
    <n v="8.0272499999999997E-2"/>
    <n v="778643.25"/>
    <n v="7.7864324999999998E-2"/>
    <s v="Pending"/>
    <s v="Pending"/>
    <s v="Invalid"/>
    <s v="Pending"/>
  </r>
  <r>
    <x v="1076"/>
    <x v="224"/>
    <x v="0"/>
    <x v="2"/>
    <x v="2"/>
    <s v="Kisan Tractors Maharashtra"/>
    <x v="2"/>
    <x v="2"/>
    <x v="2"/>
    <x v="0"/>
    <n v="4"/>
    <n v="537766"/>
    <n v="6"/>
    <n v="2151064"/>
    <n v="0.2151064"/>
    <n v="2022000.16"/>
    <n v="0.20220001599999998"/>
    <s v="Paid"/>
    <s v="Delivered"/>
    <s v="Invalid"/>
    <s v="Completed"/>
  </r>
  <r>
    <x v="1077"/>
    <x v="380"/>
    <x v="4"/>
    <x v="1"/>
    <x v="0"/>
    <s v="Green Field Uttar Pradesh"/>
    <x v="0"/>
    <x v="0"/>
    <x v="1"/>
    <x v="1"/>
    <n v="5"/>
    <n v="216991"/>
    <n v="7"/>
    <n v="1084955"/>
    <n v="0.10849549999999999"/>
    <n v="1009008.1499999999"/>
    <n v="0.10090081499999999"/>
    <s v="Pending"/>
    <s v="Pending"/>
    <s v="Valid"/>
    <s v="Pending"/>
  </r>
  <r>
    <x v="1078"/>
    <x v="420"/>
    <x v="3"/>
    <x v="2"/>
    <x v="4"/>
    <s v="Kisan Tractors West Bengal"/>
    <x v="4"/>
    <x v="3"/>
    <x v="2"/>
    <x v="0"/>
    <n v="2"/>
    <n v="813166"/>
    <n v="5"/>
    <n v="1626332"/>
    <n v="0.16263320000000001"/>
    <n v="1545015.4"/>
    <n v="0.15450153999999999"/>
    <s v="Paid"/>
    <s v="Delivered"/>
    <s v="Valid"/>
    <s v="Completed"/>
  </r>
  <r>
    <x v="1079"/>
    <x v="438"/>
    <x v="3"/>
    <x v="3"/>
    <x v="3"/>
    <s v="Mahadev Motors Haryana"/>
    <x v="3"/>
    <x v="0"/>
    <x v="2"/>
    <x v="0"/>
    <n v="4"/>
    <n v="243423"/>
    <n v="6"/>
    <n v="973692"/>
    <n v="9.7369200000000003E-2"/>
    <n v="915270.48"/>
    <n v="9.1527048E-2"/>
    <s v="Paid"/>
    <s v="Delivered"/>
    <s v="Valid"/>
    <s v="Completed"/>
  </r>
  <r>
    <x v="1080"/>
    <x v="368"/>
    <x v="1"/>
    <x v="0"/>
    <x v="0"/>
    <s v="Shakti Agro Uttar Pradesh"/>
    <x v="0"/>
    <x v="0"/>
    <x v="2"/>
    <x v="0"/>
    <n v="0"/>
    <n v="769858"/>
    <n v="0"/>
    <n v="0"/>
    <n v="0"/>
    <n v="0"/>
    <n v="0"/>
    <s v="Pending"/>
    <s v="Pending"/>
    <s v="Invalid"/>
    <s v="Pending"/>
  </r>
  <r>
    <x v="1081"/>
    <x v="484"/>
    <x v="2"/>
    <x v="3"/>
    <x v="0"/>
    <s v="Mahadev Motors Uttar Pradesh"/>
    <x v="0"/>
    <x v="0"/>
    <x v="4"/>
    <x v="1"/>
    <n v="8"/>
    <n v="643759"/>
    <n v="9"/>
    <n v="5150072"/>
    <n v="0.5150072"/>
    <n v="4686565.5200000005"/>
    <n v="0.46865655200000006"/>
    <s v="Partial"/>
    <s v="In Transit"/>
    <s v="Valid"/>
    <s v="In Transit"/>
  </r>
  <r>
    <x v="1082"/>
    <x v="446"/>
    <x v="0"/>
    <x v="0"/>
    <x v="4"/>
    <s v="Shakti Agro West Bengal"/>
    <x v="4"/>
    <x v="3"/>
    <x v="4"/>
    <x v="1"/>
    <n v="5"/>
    <n v="479019"/>
    <n v="7"/>
    <n v="2395095"/>
    <n v="0.23950949999999999"/>
    <n v="2227438.3499999996"/>
    <n v="0.22274383499999997"/>
    <s v="Partial"/>
    <s v="In Transit"/>
    <s v="Invalid"/>
    <s v="In Transit"/>
  </r>
  <r>
    <x v="1083"/>
    <x v="288"/>
    <x v="1"/>
    <x v="2"/>
    <x v="3"/>
    <s v="Kisan Tractors Haryana"/>
    <x v="3"/>
    <x v="0"/>
    <x v="4"/>
    <x v="1"/>
    <n v="2"/>
    <n v="611354"/>
    <n v="5"/>
    <n v="1222708"/>
    <n v="0.1222708"/>
    <n v="1161572.5999999999"/>
    <n v="0.11615725999999998"/>
    <s v="Pending"/>
    <s v="Pending"/>
    <s v="Invalid"/>
    <s v="Pending"/>
  </r>
  <r>
    <x v="1084"/>
    <x v="316"/>
    <x v="0"/>
    <x v="3"/>
    <x v="1"/>
    <s v="Mahadev Motors Karnataka"/>
    <x v="1"/>
    <x v="1"/>
    <x v="2"/>
    <x v="0"/>
    <n v="6"/>
    <n v="417967"/>
    <n v="8"/>
    <n v="2507802"/>
    <n v="0.25078020000000001"/>
    <n v="2307177.8400000003"/>
    <n v="0.23071778400000004"/>
    <s v="Paid"/>
    <s v="Delivered"/>
    <s v="Valid"/>
    <s v="Completed"/>
  </r>
  <r>
    <x v="1085"/>
    <x v="6"/>
    <x v="1"/>
    <x v="0"/>
    <x v="2"/>
    <s v="Shakti Agro Maharashtra"/>
    <x v="2"/>
    <x v="2"/>
    <x v="3"/>
    <x v="2"/>
    <n v="7"/>
    <n v="507626"/>
    <n v="9"/>
    <n v="3553382"/>
    <n v="0.35533819999999999"/>
    <n v="3233577.62"/>
    <n v="0.32335776199999999"/>
    <s v="Partial"/>
    <s v="In Transit"/>
    <s v="Invalid"/>
    <s v="In Transit"/>
  </r>
  <r>
    <x v="1086"/>
    <x v="485"/>
    <x v="4"/>
    <x v="4"/>
    <x v="2"/>
    <s v="Agri Motors Maharashtra"/>
    <x v="2"/>
    <x v="2"/>
    <x v="0"/>
    <x v="0"/>
    <n v="8"/>
    <n v="721804"/>
    <n v="9"/>
    <n v="5774432"/>
    <n v="0.57744320000000005"/>
    <n v="5254733.12"/>
    <n v="0.52547331200000003"/>
    <s v="Paid"/>
    <s v="Delivered"/>
    <s v="Valid"/>
    <s v="Completed"/>
  </r>
  <r>
    <x v="1087"/>
    <x v="186"/>
    <x v="3"/>
    <x v="0"/>
    <x v="2"/>
    <s v="Shakti Agro Maharashtra"/>
    <x v="2"/>
    <x v="2"/>
    <x v="4"/>
    <x v="1"/>
    <n v="5"/>
    <n v="889082"/>
    <n v="7"/>
    <n v="4445410"/>
    <n v="0.44454100000000002"/>
    <n v="4134231.3"/>
    <n v="0.41342312999999997"/>
    <s v="Partial"/>
    <s v="In Transit"/>
    <s v="Invalid"/>
    <s v="In Transit"/>
  </r>
  <r>
    <x v="1088"/>
    <x v="360"/>
    <x v="0"/>
    <x v="4"/>
    <x v="3"/>
    <s v="Agri Motors Haryana"/>
    <x v="3"/>
    <x v="0"/>
    <x v="0"/>
    <x v="0"/>
    <n v="4"/>
    <n v="175361"/>
    <n v="6"/>
    <n v="701444"/>
    <n v="7.0144399999999996E-2"/>
    <n v="659357.36"/>
    <n v="6.5935735999999995E-2"/>
    <s v="Partial"/>
    <s v="In Transit"/>
    <s v="Valid"/>
    <s v="In Transit"/>
  </r>
  <r>
    <x v="1089"/>
    <x v="130"/>
    <x v="1"/>
    <x v="4"/>
    <x v="0"/>
    <s v="Agri Motors Uttar Pradesh"/>
    <x v="0"/>
    <x v="0"/>
    <x v="4"/>
    <x v="1"/>
    <n v="3"/>
    <n v="807597"/>
    <n v="6"/>
    <n v="2422791"/>
    <n v="0.2422791"/>
    <n v="2277423.54"/>
    <n v="0.22774235400000001"/>
    <s v="Paid"/>
    <s v="Delivered"/>
    <s v="Valid"/>
    <s v="Completed"/>
  </r>
  <r>
    <x v="1090"/>
    <x v="81"/>
    <x v="2"/>
    <x v="1"/>
    <x v="1"/>
    <s v="Green Field Karnataka"/>
    <x v="1"/>
    <x v="1"/>
    <x v="4"/>
    <x v="1"/>
    <n v="2"/>
    <n v="441204"/>
    <n v="5"/>
    <n v="882408"/>
    <n v="8.8240799999999994E-2"/>
    <n v="838287.6"/>
    <n v="8.3828760000000002E-2"/>
    <s v="Pending"/>
    <s v="Pending"/>
    <s v="Invalid"/>
    <s v="Pending"/>
  </r>
  <r>
    <x v="1091"/>
    <x v="125"/>
    <x v="1"/>
    <x v="1"/>
    <x v="1"/>
    <s v="Green Field Karnataka"/>
    <x v="1"/>
    <x v="1"/>
    <x v="3"/>
    <x v="2"/>
    <n v="1"/>
    <n v="229436"/>
    <n v="3"/>
    <n v="229436"/>
    <n v="2.2943600000000001E-2"/>
    <n v="222552.91999999998"/>
    <n v="2.2255291999999999E-2"/>
    <s v="Partial"/>
    <s v="In Transit"/>
    <s v="Valid"/>
    <s v="In Transit"/>
  </r>
  <r>
    <x v="1092"/>
    <x v="486"/>
    <x v="4"/>
    <x v="4"/>
    <x v="3"/>
    <s v="Agri Motors Haryana"/>
    <x v="3"/>
    <x v="0"/>
    <x v="3"/>
    <x v="2"/>
    <n v="6"/>
    <n v="456364"/>
    <n v="8"/>
    <n v="2738184"/>
    <n v="0.27381840000000002"/>
    <n v="2519129.2800000003"/>
    <n v="0.25191292800000004"/>
    <s v="Pending"/>
    <s v="Pending"/>
    <s v="Invalid"/>
    <s v="Pending"/>
  </r>
  <r>
    <x v="1093"/>
    <x v="402"/>
    <x v="3"/>
    <x v="2"/>
    <x v="0"/>
    <s v="Kisan Tractors Uttar Pradesh"/>
    <x v="0"/>
    <x v="0"/>
    <x v="4"/>
    <x v="1"/>
    <n v="2"/>
    <n v="342863"/>
    <n v="5"/>
    <n v="685726"/>
    <n v="6.8572599999999997E-2"/>
    <n v="651439.69999999995"/>
    <n v="6.5143969999999995E-2"/>
    <s v="Paid"/>
    <s v="Delivered"/>
    <s v="Invalid"/>
    <s v="Completed"/>
  </r>
  <r>
    <x v="1094"/>
    <x v="487"/>
    <x v="2"/>
    <x v="1"/>
    <x v="0"/>
    <s v="Green Field Uttar Pradesh"/>
    <x v="0"/>
    <x v="0"/>
    <x v="1"/>
    <x v="1"/>
    <n v="8"/>
    <n v="435177"/>
    <n v="9"/>
    <n v="3481416"/>
    <n v="0.3481416"/>
    <n v="3168088.56"/>
    <n v="0.31680885600000003"/>
    <s v="Pending"/>
    <s v="Pending"/>
    <s v="Invalid"/>
    <s v="Pending"/>
  </r>
  <r>
    <x v="1095"/>
    <x v="291"/>
    <x v="2"/>
    <x v="0"/>
    <x v="0"/>
    <s v="Shakti Agro Uttar Pradesh"/>
    <x v="0"/>
    <x v="0"/>
    <x v="1"/>
    <x v="1"/>
    <n v="2"/>
    <n v="133252"/>
    <n v="5"/>
    <n v="266504"/>
    <n v="2.6650400000000001E-2"/>
    <n v="253178.8"/>
    <n v="2.5317879999999997E-2"/>
    <s v="Paid"/>
    <s v="Delivered"/>
    <s v="Invalid"/>
    <s v="Completed"/>
  </r>
  <r>
    <x v="1096"/>
    <x v="302"/>
    <x v="1"/>
    <x v="4"/>
    <x v="4"/>
    <s v="Agri Motors West Bengal"/>
    <x v="4"/>
    <x v="3"/>
    <x v="0"/>
    <x v="0"/>
    <n v="8"/>
    <n v="517184"/>
    <n v="9"/>
    <n v="4137472"/>
    <n v="0.41374719999999998"/>
    <n v="3765099.52"/>
    <n v="0.37650995199999998"/>
    <s v="Paid"/>
    <s v="Delivered"/>
    <s v="Invalid"/>
    <s v="Completed"/>
  </r>
  <r>
    <x v="1097"/>
    <x v="303"/>
    <x v="2"/>
    <x v="0"/>
    <x v="1"/>
    <s v="Shakti Agro Karnataka"/>
    <x v="1"/>
    <x v="1"/>
    <x v="3"/>
    <x v="2"/>
    <n v="2"/>
    <n v="478279"/>
    <n v="5"/>
    <n v="956558"/>
    <n v="9.5655799999999999E-2"/>
    <n v="908730.1"/>
    <n v="9.0873010000000004E-2"/>
    <s v="Partial"/>
    <s v="In Transit"/>
    <s v="Invalid"/>
    <s v="In Transit"/>
  </r>
  <r>
    <x v="1098"/>
    <x v="488"/>
    <x v="3"/>
    <x v="0"/>
    <x v="0"/>
    <s v="Shakti Agro Uttar Pradesh"/>
    <x v="0"/>
    <x v="0"/>
    <x v="2"/>
    <x v="0"/>
    <n v="6"/>
    <n v="742151"/>
    <n v="8"/>
    <n v="4452906"/>
    <n v="0.44529059999999998"/>
    <n v="4096673.52"/>
    <n v="0.40966735199999998"/>
    <s v="Paid"/>
    <s v="Delivered"/>
    <s v="Valid"/>
    <s v="Completed"/>
  </r>
  <r>
    <x v="1099"/>
    <x v="383"/>
    <x v="3"/>
    <x v="0"/>
    <x v="4"/>
    <s v="Shakti Agro West Bengal"/>
    <x v="4"/>
    <x v="3"/>
    <x v="3"/>
    <x v="2"/>
    <n v="6"/>
    <n v="404359"/>
    <n v="8"/>
    <n v="2426154"/>
    <n v="0.24261540000000001"/>
    <n v="2232061.6800000002"/>
    <n v="0.22320616800000001"/>
    <s v="Paid"/>
    <s v="Delivered"/>
    <s v="Invalid"/>
    <s v="Completed"/>
  </r>
  <r>
    <x v="1100"/>
    <x v="58"/>
    <x v="2"/>
    <x v="1"/>
    <x v="3"/>
    <s v="Green Field Haryana"/>
    <x v="3"/>
    <x v="0"/>
    <x v="0"/>
    <x v="0"/>
    <n v="1"/>
    <n v="126286"/>
    <n v="3"/>
    <n v="126286"/>
    <n v="1.26286E-2"/>
    <n v="122497.42"/>
    <n v="1.2249741999999999E-2"/>
    <s v="Partial"/>
    <s v="In Transit"/>
    <s v="Valid"/>
    <s v="In Transit"/>
  </r>
  <r>
    <x v="1101"/>
    <x v="235"/>
    <x v="3"/>
    <x v="4"/>
    <x v="3"/>
    <s v="Agri Motors Haryana"/>
    <x v="3"/>
    <x v="0"/>
    <x v="2"/>
    <x v="0"/>
    <n v="6"/>
    <n v="107578"/>
    <n v="8"/>
    <n v="645468"/>
    <n v="6.4546800000000001E-2"/>
    <n v="593830.56000000006"/>
    <n v="5.9383056000000004E-2"/>
    <s v="Pending"/>
    <s v="Pending"/>
    <s v="Invalid"/>
    <s v="Pending"/>
  </r>
  <r>
    <x v="1102"/>
    <x v="255"/>
    <x v="4"/>
    <x v="3"/>
    <x v="3"/>
    <s v="Mahadev Motors Haryana"/>
    <x v="3"/>
    <x v="0"/>
    <x v="3"/>
    <x v="2"/>
    <n v="1"/>
    <n v="299186"/>
    <n v="3"/>
    <n v="299186"/>
    <n v="2.99186E-2"/>
    <n v="290210.42"/>
    <n v="2.9021041999999997E-2"/>
    <s v="Partial"/>
    <s v="In Transit"/>
    <s v="Invalid"/>
    <s v="In Transit"/>
  </r>
  <r>
    <x v="1103"/>
    <x v="107"/>
    <x v="4"/>
    <x v="2"/>
    <x v="1"/>
    <s v="Kisan Tractors Karnataka"/>
    <x v="1"/>
    <x v="1"/>
    <x v="3"/>
    <x v="2"/>
    <n v="3"/>
    <n v="610409"/>
    <n v="6"/>
    <n v="1831227"/>
    <n v="0.1831227"/>
    <n v="1721353.38"/>
    <n v="0.172135338"/>
    <s v="Pending"/>
    <s v="Pending"/>
    <s v="Valid"/>
    <s v="Pending"/>
  </r>
  <r>
    <x v="1104"/>
    <x v="118"/>
    <x v="0"/>
    <x v="2"/>
    <x v="0"/>
    <s v="Kisan Tractors Uttar Pradesh"/>
    <x v="0"/>
    <x v="0"/>
    <x v="1"/>
    <x v="1"/>
    <n v="4"/>
    <n v="91846"/>
    <n v="6"/>
    <n v="367384"/>
    <n v="3.6738399999999997E-2"/>
    <n v="345340.95999999996"/>
    <n v="3.4534095999999993E-2"/>
    <s v="Pending"/>
    <s v="Pending"/>
    <s v="Valid"/>
    <s v="Pending"/>
  </r>
  <r>
    <x v="1105"/>
    <x v="34"/>
    <x v="2"/>
    <x v="3"/>
    <x v="2"/>
    <s v="Mahadev Motors Maharashtra"/>
    <x v="2"/>
    <x v="2"/>
    <x v="3"/>
    <x v="2"/>
    <n v="3"/>
    <n v="392639"/>
    <n v="6"/>
    <n v="1177917"/>
    <n v="0.1177917"/>
    <n v="1107241.98"/>
    <n v="0.110724198"/>
    <s v="Paid"/>
    <s v="Delivered"/>
    <s v="Valid"/>
    <s v="Completed"/>
  </r>
  <r>
    <x v="1106"/>
    <x v="239"/>
    <x v="3"/>
    <x v="1"/>
    <x v="0"/>
    <s v="Green Field Uttar Pradesh"/>
    <x v="0"/>
    <x v="0"/>
    <x v="0"/>
    <x v="0"/>
    <n v="8"/>
    <n v="80281"/>
    <n v="9"/>
    <n v="642248"/>
    <n v="6.4224799999999999E-2"/>
    <n v="584445.68000000005"/>
    <n v="5.8444568000000002E-2"/>
    <s v="Paid"/>
    <s v="Delivered"/>
    <s v="Valid"/>
    <s v="Completed"/>
  </r>
  <r>
    <x v="1107"/>
    <x v="319"/>
    <x v="4"/>
    <x v="2"/>
    <x v="1"/>
    <s v="Kisan Tractors Karnataka"/>
    <x v="1"/>
    <x v="1"/>
    <x v="0"/>
    <x v="0"/>
    <n v="5"/>
    <n v="886754"/>
    <n v="7"/>
    <n v="4433770"/>
    <n v="0.44337700000000002"/>
    <n v="4123406.0999999996"/>
    <n v="0.41234060999999994"/>
    <s v="Paid"/>
    <s v="Delivered"/>
    <s v="Invalid"/>
    <s v="Completed"/>
  </r>
  <r>
    <x v="1108"/>
    <x v="489"/>
    <x v="4"/>
    <x v="1"/>
    <x v="1"/>
    <s v="Green Field Karnataka"/>
    <x v="1"/>
    <x v="1"/>
    <x v="3"/>
    <x v="2"/>
    <n v="5"/>
    <n v="191951"/>
    <n v="7"/>
    <n v="959755"/>
    <n v="9.5975500000000005E-2"/>
    <n v="892572.14999999991"/>
    <n v="8.9257214999999987E-2"/>
    <s v="Paid"/>
    <s v="Delivered"/>
    <s v="Invalid"/>
    <s v="Completed"/>
  </r>
  <r>
    <x v="1109"/>
    <x v="384"/>
    <x v="0"/>
    <x v="0"/>
    <x v="2"/>
    <s v="Shakti Agro Maharashtra"/>
    <x v="2"/>
    <x v="2"/>
    <x v="2"/>
    <x v="0"/>
    <n v="4"/>
    <n v="762058"/>
    <n v="6"/>
    <n v="3048232"/>
    <n v="0.30482320000000002"/>
    <n v="2865338.0799999996"/>
    <n v="0.28653380799999995"/>
    <s v="Paid"/>
    <s v="Delivered"/>
    <s v="Valid"/>
    <s v="Completed"/>
  </r>
  <r>
    <x v="1110"/>
    <x v="188"/>
    <x v="3"/>
    <x v="1"/>
    <x v="1"/>
    <s v="Green Field Karnataka"/>
    <x v="1"/>
    <x v="1"/>
    <x v="0"/>
    <x v="0"/>
    <n v="3"/>
    <n v="718461"/>
    <n v="6"/>
    <n v="2155383"/>
    <n v="0.21553829999999999"/>
    <n v="2026060.0199999998"/>
    <n v="0.20260600199999998"/>
    <s v="Pending"/>
    <s v="Pending"/>
    <s v="Invalid"/>
    <s v="Pending"/>
  </r>
  <r>
    <x v="1111"/>
    <x v="253"/>
    <x v="0"/>
    <x v="2"/>
    <x v="1"/>
    <s v="Kisan Tractors Karnataka"/>
    <x v="1"/>
    <x v="1"/>
    <x v="4"/>
    <x v="1"/>
    <n v="2"/>
    <n v="80040"/>
    <n v="5"/>
    <n v="160080"/>
    <n v="1.6008000000000001E-2"/>
    <n v="152076"/>
    <n v="1.52076E-2"/>
    <s v="Pending"/>
    <s v="Pending"/>
    <s v="Invalid"/>
    <s v="Pending"/>
  </r>
  <r>
    <x v="1112"/>
    <x v="490"/>
    <x v="4"/>
    <x v="0"/>
    <x v="1"/>
    <s v="Shakti Agro Karnataka"/>
    <x v="1"/>
    <x v="1"/>
    <x v="1"/>
    <x v="1"/>
    <n v="8"/>
    <n v="832667"/>
    <n v="9"/>
    <n v="6661336"/>
    <n v="0.66613359999999999"/>
    <n v="6061815.7599999998"/>
    <n v="0.606181576"/>
    <s v="Pending"/>
    <s v="Pending"/>
    <s v="Valid"/>
    <s v="Pending"/>
  </r>
  <r>
    <x v="1113"/>
    <x v="323"/>
    <x v="0"/>
    <x v="1"/>
    <x v="0"/>
    <s v="Green Field Uttar Pradesh"/>
    <x v="0"/>
    <x v="0"/>
    <x v="3"/>
    <x v="2"/>
    <n v="6"/>
    <n v="423000"/>
    <n v="8"/>
    <n v="2538000"/>
    <n v="0.25380000000000003"/>
    <n v="2334960"/>
    <n v="0.23349600000000001"/>
    <s v="Pending"/>
    <s v="Pending"/>
    <s v="Invalid"/>
    <s v="Pending"/>
  </r>
  <r>
    <x v="1114"/>
    <x v="491"/>
    <x v="2"/>
    <x v="4"/>
    <x v="0"/>
    <s v="Agri Motors Uttar Pradesh"/>
    <x v="0"/>
    <x v="0"/>
    <x v="2"/>
    <x v="0"/>
    <n v="8"/>
    <n v="486724"/>
    <n v="9"/>
    <n v="3893792"/>
    <n v="0.38937919999999998"/>
    <n v="3543350.72"/>
    <n v="0.35433507200000003"/>
    <s v="Paid"/>
    <s v="Delivered"/>
    <s v="Valid"/>
    <s v="Completed"/>
  </r>
  <r>
    <x v="1115"/>
    <x v="388"/>
    <x v="3"/>
    <x v="4"/>
    <x v="0"/>
    <s v="Agri Motors Uttar Pradesh"/>
    <x v="0"/>
    <x v="0"/>
    <x v="3"/>
    <x v="2"/>
    <n v="5"/>
    <n v="506139"/>
    <n v="7"/>
    <n v="2530695"/>
    <n v="0.2530695"/>
    <n v="2353546.3499999996"/>
    <n v="0.23535463499999995"/>
    <s v="Paid"/>
    <s v="Delivered"/>
    <s v="Invalid"/>
    <s v="Completed"/>
  </r>
  <r>
    <x v="1116"/>
    <x v="216"/>
    <x v="4"/>
    <x v="3"/>
    <x v="3"/>
    <s v="Mahadev Motors Haryana"/>
    <x v="3"/>
    <x v="0"/>
    <x v="0"/>
    <x v="0"/>
    <n v="4"/>
    <n v="714922"/>
    <n v="6"/>
    <n v="2859688"/>
    <n v="0.28596880000000002"/>
    <n v="2688106.7199999997"/>
    <n v="0.26881067199999997"/>
    <s v="Partial"/>
    <s v="In Transit"/>
    <s v="Invalid"/>
    <s v="In Transit"/>
  </r>
  <r>
    <x v="1117"/>
    <x v="492"/>
    <x v="2"/>
    <x v="1"/>
    <x v="4"/>
    <s v="Green Field West Bengal"/>
    <x v="4"/>
    <x v="3"/>
    <x v="0"/>
    <x v="0"/>
    <n v="5"/>
    <n v="390848"/>
    <n v="7"/>
    <n v="1954240"/>
    <n v="0.19542399999999999"/>
    <n v="1817443.2"/>
    <n v="0.18174431999999999"/>
    <s v="Pending"/>
    <s v="Pending"/>
    <s v="Valid"/>
    <s v="Pending"/>
  </r>
  <r>
    <x v="1118"/>
    <x v="49"/>
    <x v="2"/>
    <x v="1"/>
    <x v="2"/>
    <s v="Green Field Maharashtra"/>
    <x v="2"/>
    <x v="2"/>
    <x v="2"/>
    <x v="0"/>
    <n v="6"/>
    <n v="798598"/>
    <n v="8"/>
    <n v="4791588"/>
    <n v="0.4791588"/>
    <n v="4408260.96"/>
    <n v="0.440826096"/>
    <s v="Paid"/>
    <s v="Delivered"/>
    <s v="Valid"/>
    <s v="Completed"/>
  </r>
  <r>
    <x v="1119"/>
    <x v="493"/>
    <x v="3"/>
    <x v="1"/>
    <x v="2"/>
    <s v="Green Field Maharashtra"/>
    <x v="2"/>
    <x v="2"/>
    <x v="2"/>
    <x v="0"/>
    <n v="4"/>
    <n v="505937"/>
    <n v="6"/>
    <n v="2023748"/>
    <n v="0.20237479999999999"/>
    <n v="1902323.1199999999"/>
    <n v="0.19023231199999999"/>
    <s v="Paid"/>
    <s v="Delivered"/>
    <s v="Invalid"/>
    <s v="Completed"/>
  </r>
  <r>
    <x v="1120"/>
    <x v="388"/>
    <x v="0"/>
    <x v="2"/>
    <x v="4"/>
    <s v="Kisan Tractors West Bengal"/>
    <x v="4"/>
    <x v="3"/>
    <x v="3"/>
    <x v="2"/>
    <n v="5"/>
    <n v="712051"/>
    <n v="7"/>
    <n v="3560255"/>
    <n v="0.35602549999999999"/>
    <n v="3311037.15"/>
    <n v="0.33110371499999997"/>
    <s v="Partial"/>
    <s v="In Transit"/>
    <s v="Invalid"/>
    <s v="In Transit"/>
  </r>
  <r>
    <x v="1121"/>
    <x v="118"/>
    <x v="2"/>
    <x v="3"/>
    <x v="3"/>
    <s v="Mahadev Motors Haryana"/>
    <x v="3"/>
    <x v="0"/>
    <x v="0"/>
    <x v="0"/>
    <n v="1"/>
    <n v="224187"/>
    <n v="3"/>
    <n v="224187"/>
    <n v="2.24187E-2"/>
    <n v="217461.38999999998"/>
    <n v="2.1746138999999998E-2"/>
    <s v="Paid"/>
    <s v="Delivered"/>
    <s v="Valid"/>
    <s v="Completed"/>
  </r>
  <r>
    <x v="1122"/>
    <x v="419"/>
    <x v="1"/>
    <x v="3"/>
    <x v="0"/>
    <s v="Mahadev Motors Uttar Pradesh"/>
    <x v="0"/>
    <x v="0"/>
    <x v="0"/>
    <x v="0"/>
    <n v="8"/>
    <n v="630344"/>
    <n v="9"/>
    <n v="5042752"/>
    <n v="0.50427520000000003"/>
    <n v="4588904.32"/>
    <n v="0.45889043200000001"/>
    <s v="Paid"/>
    <s v="Delivered"/>
    <s v="Invalid"/>
    <s v="Completed"/>
  </r>
  <r>
    <x v="1123"/>
    <x v="75"/>
    <x v="2"/>
    <x v="1"/>
    <x v="1"/>
    <s v="Green Field Karnataka"/>
    <x v="1"/>
    <x v="1"/>
    <x v="4"/>
    <x v="1"/>
    <n v="1"/>
    <n v="444634"/>
    <n v="3"/>
    <n v="444634"/>
    <n v="4.44634E-2"/>
    <n v="431294.98"/>
    <n v="4.3129497999999995E-2"/>
    <s v="Pending"/>
    <s v="Pending"/>
    <s v="Valid"/>
    <s v="Pending"/>
  </r>
  <r>
    <x v="1124"/>
    <x v="217"/>
    <x v="4"/>
    <x v="4"/>
    <x v="2"/>
    <s v="Agri Motors Maharashtra"/>
    <x v="2"/>
    <x v="2"/>
    <x v="3"/>
    <x v="2"/>
    <n v="7"/>
    <n v="88718"/>
    <n v="9"/>
    <n v="621026"/>
    <n v="6.2102600000000001E-2"/>
    <n v="565133.66"/>
    <n v="5.6513366000000002E-2"/>
    <s v="Partial"/>
    <s v="In Transit"/>
    <s v="Valid"/>
    <s v="In Transit"/>
  </r>
  <r>
    <x v="1125"/>
    <x v="378"/>
    <x v="0"/>
    <x v="4"/>
    <x v="3"/>
    <s v="Agri Motors Haryana"/>
    <x v="3"/>
    <x v="0"/>
    <x v="2"/>
    <x v="0"/>
    <n v="4"/>
    <n v="476246"/>
    <n v="6"/>
    <n v="1904984"/>
    <n v="0.19049840000000001"/>
    <n v="1790684.96"/>
    <n v="0.17906849599999999"/>
    <s v="Paid"/>
    <s v="Delivered"/>
    <s v="Invalid"/>
    <s v="Completed"/>
  </r>
  <r>
    <x v="1126"/>
    <x v="240"/>
    <x v="1"/>
    <x v="3"/>
    <x v="1"/>
    <s v="Mahadev Motors Karnataka"/>
    <x v="1"/>
    <x v="1"/>
    <x v="0"/>
    <x v="0"/>
    <n v="6"/>
    <n v="412135"/>
    <n v="8"/>
    <n v="2472810"/>
    <n v="0.247281"/>
    <n v="2274985.2000000002"/>
    <n v="0.22749852000000001"/>
    <s v="Partial"/>
    <s v="In Transit"/>
    <s v="Valid"/>
    <s v="In Transit"/>
  </r>
  <r>
    <x v="1127"/>
    <x v="359"/>
    <x v="1"/>
    <x v="3"/>
    <x v="0"/>
    <s v="Mahadev Motors Uttar Pradesh"/>
    <x v="0"/>
    <x v="0"/>
    <x v="2"/>
    <x v="0"/>
    <n v="7"/>
    <n v="663498"/>
    <n v="9"/>
    <n v="4644486"/>
    <n v="0.46444859999999999"/>
    <n v="4226482.26"/>
    <n v="0.42264822599999996"/>
    <s v="Partial"/>
    <s v="In Transit"/>
    <s v="Invalid"/>
    <s v="In Transit"/>
  </r>
  <r>
    <x v="1128"/>
    <x v="458"/>
    <x v="1"/>
    <x v="2"/>
    <x v="4"/>
    <s v="Kisan Tractors West Bengal"/>
    <x v="4"/>
    <x v="3"/>
    <x v="4"/>
    <x v="1"/>
    <n v="8"/>
    <n v="838502"/>
    <n v="9"/>
    <n v="6708016"/>
    <n v="0.6708016"/>
    <n v="6104294.5600000005"/>
    <n v="0.61042945600000009"/>
    <s v="Pending"/>
    <s v="Pending"/>
    <s v="Invalid"/>
    <s v="Pending"/>
  </r>
  <r>
    <x v="1129"/>
    <x v="241"/>
    <x v="2"/>
    <x v="0"/>
    <x v="4"/>
    <s v="Shakti Agro West Bengal"/>
    <x v="4"/>
    <x v="3"/>
    <x v="3"/>
    <x v="2"/>
    <n v="5"/>
    <n v="804513"/>
    <n v="7"/>
    <n v="4022565"/>
    <n v="0.40225650000000002"/>
    <n v="3740985.4499999997"/>
    <n v="0.37409854499999995"/>
    <s v="Partial"/>
    <s v="In Transit"/>
    <s v="Invalid"/>
    <s v="In Transit"/>
  </r>
  <r>
    <x v="1130"/>
    <x v="439"/>
    <x v="3"/>
    <x v="3"/>
    <x v="4"/>
    <s v="Mahadev Motors West Bengal"/>
    <x v="4"/>
    <x v="3"/>
    <x v="3"/>
    <x v="2"/>
    <n v="8"/>
    <n v="285895"/>
    <n v="9"/>
    <n v="2287160"/>
    <n v="0.228716"/>
    <n v="2081315.6"/>
    <n v="0.20813156000000002"/>
    <s v="Partial"/>
    <s v="In Transit"/>
    <s v="Invalid"/>
    <s v="In Transit"/>
  </r>
  <r>
    <x v="1131"/>
    <x v="494"/>
    <x v="2"/>
    <x v="2"/>
    <x v="4"/>
    <s v="Kisan Tractors West Bengal"/>
    <x v="4"/>
    <x v="3"/>
    <x v="3"/>
    <x v="2"/>
    <n v="2"/>
    <n v="538778"/>
    <n v="5"/>
    <n v="1077556"/>
    <n v="0.10775560000000001"/>
    <n v="1023678.2"/>
    <n v="0.10236782"/>
    <s v="Paid"/>
    <s v="Delivered"/>
    <s v="Invalid"/>
    <s v="Completed"/>
  </r>
  <r>
    <x v="1132"/>
    <x v="366"/>
    <x v="4"/>
    <x v="0"/>
    <x v="4"/>
    <s v="Shakti Agro West Bengal"/>
    <x v="4"/>
    <x v="3"/>
    <x v="3"/>
    <x v="2"/>
    <n v="8"/>
    <n v="88857"/>
    <n v="9"/>
    <n v="710856"/>
    <n v="7.1085599999999999E-2"/>
    <n v="646878.96000000008"/>
    <n v="6.4687896000000009E-2"/>
    <s v="Paid"/>
    <s v="Delivered"/>
    <s v="Invalid"/>
    <s v="Completed"/>
  </r>
  <r>
    <x v="1133"/>
    <x v="239"/>
    <x v="2"/>
    <x v="3"/>
    <x v="3"/>
    <s v="Mahadev Motors Haryana"/>
    <x v="3"/>
    <x v="0"/>
    <x v="1"/>
    <x v="1"/>
    <n v="5"/>
    <n v="887010"/>
    <n v="7"/>
    <n v="4435050"/>
    <n v="0.44350499999999998"/>
    <n v="4124596.4999999995"/>
    <n v="0.41245964999999996"/>
    <s v="Pending"/>
    <s v="Pending"/>
    <s v="Valid"/>
    <s v="Pending"/>
  </r>
  <r>
    <x v="1134"/>
    <x v="348"/>
    <x v="0"/>
    <x v="4"/>
    <x v="1"/>
    <s v="Agri Motors Karnataka"/>
    <x v="1"/>
    <x v="1"/>
    <x v="2"/>
    <x v="0"/>
    <n v="7"/>
    <n v="193675"/>
    <n v="9"/>
    <n v="1355725"/>
    <n v="0.13557250000000001"/>
    <n v="1233709.75"/>
    <n v="0.12337097499999999"/>
    <s v="Partial"/>
    <s v="In Transit"/>
    <s v="Valid"/>
    <s v="In Transit"/>
  </r>
  <r>
    <x v="1135"/>
    <x v="421"/>
    <x v="3"/>
    <x v="4"/>
    <x v="3"/>
    <s v="Agri Motors Haryana"/>
    <x v="3"/>
    <x v="0"/>
    <x v="1"/>
    <x v="1"/>
    <n v="6"/>
    <n v="107389"/>
    <n v="8"/>
    <n v="644334"/>
    <n v="6.4433400000000002E-2"/>
    <n v="592787.28"/>
    <n v="5.9278728000000003E-2"/>
    <s v="Partial"/>
    <s v="In Transit"/>
    <s v="Invalid"/>
    <s v="In Transit"/>
  </r>
  <r>
    <x v="1136"/>
    <x v="359"/>
    <x v="1"/>
    <x v="0"/>
    <x v="0"/>
    <s v="Shakti Agro Uttar Pradesh"/>
    <x v="0"/>
    <x v="0"/>
    <x v="4"/>
    <x v="1"/>
    <n v="5"/>
    <n v="535355"/>
    <n v="7"/>
    <n v="2676775"/>
    <n v="0.26767750000000001"/>
    <n v="2489400.75"/>
    <n v="0.24894007500000001"/>
    <s v="Paid"/>
    <s v="Delivered"/>
    <s v="Invalid"/>
    <s v="Completed"/>
  </r>
  <r>
    <x v="1137"/>
    <x v="60"/>
    <x v="2"/>
    <x v="1"/>
    <x v="4"/>
    <s v="Green Field West Bengal"/>
    <x v="4"/>
    <x v="3"/>
    <x v="3"/>
    <x v="2"/>
    <n v="7"/>
    <n v="146614"/>
    <n v="9"/>
    <n v="1026298"/>
    <n v="0.10262979999999999"/>
    <n v="933931.18"/>
    <n v="9.3393118000000011E-2"/>
    <s v="Pending"/>
    <s v="Pending"/>
    <s v="Valid"/>
    <s v="Pending"/>
  </r>
  <r>
    <x v="1138"/>
    <x v="44"/>
    <x v="0"/>
    <x v="2"/>
    <x v="0"/>
    <s v="Kisan Tractors Uttar Pradesh"/>
    <x v="0"/>
    <x v="0"/>
    <x v="2"/>
    <x v="0"/>
    <n v="4"/>
    <n v="771084"/>
    <n v="6"/>
    <n v="3084336"/>
    <n v="0.30843359999999997"/>
    <n v="2899275.84"/>
    <n v="0.28992758399999996"/>
    <s v="Paid"/>
    <s v="Delivered"/>
    <s v="Valid"/>
    <s v="Completed"/>
  </r>
  <r>
    <x v="1139"/>
    <x v="52"/>
    <x v="0"/>
    <x v="4"/>
    <x v="1"/>
    <s v="Agri Motors Karnataka"/>
    <x v="1"/>
    <x v="1"/>
    <x v="0"/>
    <x v="0"/>
    <n v="2"/>
    <n v="92296"/>
    <n v="5"/>
    <n v="184592"/>
    <n v="1.8459199999999999E-2"/>
    <n v="175362.4"/>
    <n v="1.7536239999999998E-2"/>
    <s v="Pending"/>
    <s v="Pending"/>
    <s v="Valid"/>
    <s v="Pending"/>
  </r>
  <r>
    <x v="1140"/>
    <x v="474"/>
    <x v="3"/>
    <x v="2"/>
    <x v="0"/>
    <s v="Kisan Tractors Uttar Pradesh"/>
    <x v="0"/>
    <x v="0"/>
    <x v="0"/>
    <x v="0"/>
    <n v="4"/>
    <n v="342821"/>
    <n v="6"/>
    <n v="1371284"/>
    <n v="0.13712840000000001"/>
    <n v="1289006.96"/>
    <n v="0.12890069600000001"/>
    <s v="Paid"/>
    <s v="Delivered"/>
    <s v="Invalid"/>
    <s v="Completed"/>
  </r>
  <r>
    <x v="1141"/>
    <x v="211"/>
    <x v="1"/>
    <x v="3"/>
    <x v="3"/>
    <s v="Mahadev Motors Haryana"/>
    <x v="3"/>
    <x v="0"/>
    <x v="0"/>
    <x v="0"/>
    <n v="3"/>
    <n v="620442"/>
    <n v="6"/>
    <n v="1861326"/>
    <n v="0.18613260000000001"/>
    <n v="1749646.44"/>
    <n v="0.174964644"/>
    <s v="Partial"/>
    <s v="In Transit"/>
    <s v="Valid"/>
    <s v="In Transit"/>
  </r>
  <r>
    <x v="1142"/>
    <x v="398"/>
    <x v="4"/>
    <x v="2"/>
    <x v="1"/>
    <s v="Kisan Tractors Karnataka"/>
    <x v="1"/>
    <x v="1"/>
    <x v="1"/>
    <x v="1"/>
    <n v="6"/>
    <n v="163602"/>
    <n v="8"/>
    <n v="981612"/>
    <n v="9.8161200000000004E-2"/>
    <n v="903083.04"/>
    <n v="9.0308304000000006E-2"/>
    <s v="Paid"/>
    <s v="Delivered"/>
    <s v="Invalid"/>
    <s v="Completed"/>
  </r>
  <r>
    <x v="1143"/>
    <x v="228"/>
    <x v="4"/>
    <x v="0"/>
    <x v="0"/>
    <s v="Shakti Agro Uttar Pradesh"/>
    <x v="0"/>
    <x v="0"/>
    <x v="4"/>
    <x v="1"/>
    <n v="4"/>
    <n v="527917"/>
    <n v="6"/>
    <n v="2111668"/>
    <n v="0.21116679999999999"/>
    <n v="1984967.92"/>
    <n v="0.19849679200000001"/>
    <s v="Paid"/>
    <s v="Delivered"/>
    <s v="Valid"/>
    <s v="Completed"/>
  </r>
  <r>
    <x v="1144"/>
    <x v="343"/>
    <x v="2"/>
    <x v="1"/>
    <x v="2"/>
    <s v="Green Field Maharashtra"/>
    <x v="2"/>
    <x v="2"/>
    <x v="1"/>
    <x v="1"/>
    <n v="8"/>
    <n v="172942"/>
    <n v="9"/>
    <n v="1383536"/>
    <n v="0.13835359999999999"/>
    <n v="1259017.76"/>
    <n v="0.12590177599999999"/>
    <s v="Paid"/>
    <s v="Delivered"/>
    <s v="Valid"/>
    <s v="Completed"/>
  </r>
  <r>
    <x v="1145"/>
    <x v="211"/>
    <x v="0"/>
    <x v="4"/>
    <x v="1"/>
    <s v="Agri Motors Karnataka"/>
    <x v="1"/>
    <x v="1"/>
    <x v="1"/>
    <x v="1"/>
    <n v="6"/>
    <n v="873488"/>
    <n v="8"/>
    <n v="5240928"/>
    <n v="0.52409280000000003"/>
    <n v="4821653.76"/>
    <n v="0.48216537599999998"/>
    <s v="Partial"/>
    <s v="In Transit"/>
    <s v="Invalid"/>
    <s v="In Transit"/>
  </r>
  <r>
    <x v="1146"/>
    <x v="382"/>
    <x v="0"/>
    <x v="2"/>
    <x v="4"/>
    <s v="Kisan Tractors West Bengal"/>
    <x v="4"/>
    <x v="3"/>
    <x v="3"/>
    <x v="2"/>
    <n v="2"/>
    <n v="64712"/>
    <n v="5"/>
    <n v="129424"/>
    <n v="1.29424E-2"/>
    <n v="122952.79999999999"/>
    <n v="1.2295279999999999E-2"/>
    <s v="Partial"/>
    <s v="In Transit"/>
    <s v="Valid"/>
    <s v="In Transit"/>
  </r>
  <r>
    <x v="1147"/>
    <x v="169"/>
    <x v="2"/>
    <x v="3"/>
    <x v="2"/>
    <s v="Mahadev Motors Maharashtra"/>
    <x v="2"/>
    <x v="2"/>
    <x v="3"/>
    <x v="2"/>
    <n v="2"/>
    <n v="91317"/>
    <n v="5"/>
    <n v="182634"/>
    <n v="1.8263399999999999E-2"/>
    <n v="173502.3"/>
    <n v="1.7350229999999998E-2"/>
    <s v="Partial"/>
    <s v="In Transit"/>
    <s v="Valid"/>
    <s v="In Transit"/>
  </r>
  <r>
    <x v="1148"/>
    <x v="247"/>
    <x v="4"/>
    <x v="4"/>
    <x v="4"/>
    <s v="Agri Motors West Bengal"/>
    <x v="4"/>
    <x v="3"/>
    <x v="2"/>
    <x v="0"/>
    <n v="7"/>
    <n v="100555"/>
    <n v="9"/>
    <n v="703885"/>
    <n v="7.0388500000000007E-2"/>
    <n v="640535.35"/>
    <n v="6.4053534999999995E-2"/>
    <s v="Pending"/>
    <s v="Pending"/>
    <s v="Valid"/>
    <s v="Pending"/>
  </r>
  <r>
    <x v="1149"/>
    <x v="358"/>
    <x v="2"/>
    <x v="0"/>
    <x v="2"/>
    <s v="Shakti Agro Maharashtra"/>
    <x v="2"/>
    <x v="2"/>
    <x v="2"/>
    <x v="0"/>
    <n v="7"/>
    <n v="102934"/>
    <n v="9"/>
    <n v="720538"/>
    <n v="7.2053800000000001E-2"/>
    <n v="655689.58000000007"/>
    <n v="6.5568958000000011E-2"/>
    <s v="Paid"/>
    <s v="Delivered"/>
    <s v="Valid"/>
    <s v="Completed"/>
  </r>
  <r>
    <x v="1150"/>
    <x v="59"/>
    <x v="2"/>
    <x v="3"/>
    <x v="1"/>
    <s v="Mahadev Motors Karnataka"/>
    <x v="1"/>
    <x v="1"/>
    <x v="2"/>
    <x v="0"/>
    <n v="5"/>
    <n v="544352"/>
    <n v="7"/>
    <n v="2721760"/>
    <n v="0.27217599999999997"/>
    <n v="2531236.7999999998"/>
    <n v="0.25312367999999996"/>
    <s v="Paid"/>
    <s v="Delivered"/>
    <s v="Invalid"/>
    <s v="Completed"/>
  </r>
  <r>
    <x v="1151"/>
    <x v="495"/>
    <x v="1"/>
    <x v="1"/>
    <x v="1"/>
    <s v="Green Field Karnataka"/>
    <x v="1"/>
    <x v="1"/>
    <x v="2"/>
    <x v="0"/>
    <n v="2"/>
    <n v="408903"/>
    <n v="5"/>
    <n v="817806"/>
    <n v="8.1780599999999995E-2"/>
    <n v="776915.7"/>
    <n v="7.7691570000000001E-2"/>
    <s v="Pending"/>
    <s v="Pending"/>
    <s v="Invalid"/>
    <s v="Pending"/>
  </r>
  <r>
    <x v="1152"/>
    <x v="496"/>
    <x v="0"/>
    <x v="1"/>
    <x v="4"/>
    <s v="Green Field West Bengal"/>
    <x v="4"/>
    <x v="3"/>
    <x v="4"/>
    <x v="1"/>
    <n v="6"/>
    <n v="307684"/>
    <n v="8"/>
    <n v="1846104"/>
    <n v="0.18461040000000001"/>
    <n v="1698415.6800000002"/>
    <n v="0.16984156800000003"/>
    <s v="Pending"/>
    <s v="Pending"/>
    <s v="Invalid"/>
    <s v="Pending"/>
  </r>
  <r>
    <x v="1153"/>
    <x v="263"/>
    <x v="1"/>
    <x v="0"/>
    <x v="4"/>
    <s v="Shakti Agro West Bengal"/>
    <x v="4"/>
    <x v="3"/>
    <x v="4"/>
    <x v="1"/>
    <n v="7"/>
    <n v="123376"/>
    <n v="9"/>
    <n v="863632"/>
    <n v="8.6363200000000001E-2"/>
    <n v="785905.12"/>
    <n v="7.8590512000000001E-2"/>
    <s v="Pending"/>
    <s v="Pending"/>
    <s v="Invalid"/>
    <s v="Pending"/>
  </r>
  <r>
    <x v="1154"/>
    <x v="497"/>
    <x v="1"/>
    <x v="0"/>
    <x v="2"/>
    <s v="Shakti Agro Maharashtra"/>
    <x v="2"/>
    <x v="2"/>
    <x v="1"/>
    <x v="1"/>
    <n v="8"/>
    <n v="365274"/>
    <n v="9"/>
    <n v="2922192"/>
    <n v="0.29221920000000001"/>
    <n v="2659194.7200000002"/>
    <n v="0.26591947200000005"/>
    <s v="Pending"/>
    <s v="Pending"/>
    <s v="Invalid"/>
    <s v="Pending"/>
  </r>
  <r>
    <x v="1155"/>
    <x v="498"/>
    <x v="1"/>
    <x v="0"/>
    <x v="2"/>
    <s v="Shakti Agro Maharashtra"/>
    <x v="2"/>
    <x v="2"/>
    <x v="4"/>
    <x v="1"/>
    <n v="2"/>
    <n v="553231"/>
    <n v="5"/>
    <n v="1106462"/>
    <n v="0.1106462"/>
    <n v="1051138.8999999999"/>
    <n v="0.10511388999999999"/>
    <s v="Paid"/>
    <s v="Delivered"/>
    <s v="Invalid"/>
    <s v="Completed"/>
  </r>
  <r>
    <x v="1156"/>
    <x v="335"/>
    <x v="2"/>
    <x v="0"/>
    <x v="0"/>
    <s v="Shakti Agro Uttar Pradesh"/>
    <x v="0"/>
    <x v="0"/>
    <x v="3"/>
    <x v="2"/>
    <n v="4"/>
    <n v="535038"/>
    <n v="6"/>
    <n v="2140152"/>
    <n v="0.21401519999999999"/>
    <n v="2011742.88"/>
    <n v="0.20117428799999998"/>
    <s v="Paid"/>
    <s v="Delivered"/>
    <s v="Invalid"/>
    <s v="Completed"/>
  </r>
  <r>
    <x v="1157"/>
    <x v="487"/>
    <x v="2"/>
    <x v="2"/>
    <x v="3"/>
    <s v="Kisan Tractors Haryana"/>
    <x v="3"/>
    <x v="0"/>
    <x v="3"/>
    <x v="2"/>
    <n v="7"/>
    <n v="438851"/>
    <n v="9"/>
    <n v="3071957"/>
    <n v="0.30719570000000002"/>
    <n v="2795480.87"/>
    <n v="0.279548087"/>
    <s v="Partial"/>
    <s v="In Transit"/>
    <s v="Invalid"/>
    <s v="In Transit"/>
  </r>
  <r>
    <x v="1158"/>
    <x v="286"/>
    <x v="4"/>
    <x v="3"/>
    <x v="2"/>
    <s v="Mahadev Motors Maharashtra"/>
    <x v="2"/>
    <x v="2"/>
    <x v="3"/>
    <x v="2"/>
    <n v="5"/>
    <n v="801118"/>
    <n v="7"/>
    <n v="4005590"/>
    <n v="0.400559"/>
    <n v="3725198.6999999997"/>
    <n v="0.37251986999999998"/>
    <s v="Paid"/>
    <s v="Delivered"/>
    <s v="Invalid"/>
    <s v="Completed"/>
  </r>
  <r>
    <x v="1159"/>
    <x v="128"/>
    <x v="0"/>
    <x v="1"/>
    <x v="3"/>
    <s v="Green Field Haryana"/>
    <x v="3"/>
    <x v="0"/>
    <x v="4"/>
    <x v="1"/>
    <n v="3"/>
    <n v="838025"/>
    <n v="6"/>
    <n v="2514075"/>
    <n v="0.25140750000000001"/>
    <n v="2363230.5"/>
    <n v="0.23632305000000001"/>
    <s v="Pending"/>
    <s v="Pending"/>
    <s v="Valid"/>
    <s v="Pending"/>
  </r>
  <r>
    <x v="1160"/>
    <x v="234"/>
    <x v="2"/>
    <x v="0"/>
    <x v="0"/>
    <s v="Shakti Agro Uttar Pradesh"/>
    <x v="0"/>
    <x v="0"/>
    <x v="1"/>
    <x v="1"/>
    <n v="3"/>
    <n v="271179"/>
    <n v="6"/>
    <n v="813537"/>
    <n v="8.1353700000000001E-2"/>
    <n v="764724.77999999991"/>
    <n v="7.6472477999999997E-2"/>
    <s v="Pending"/>
    <s v="Pending"/>
    <s v="Valid"/>
    <s v="Pending"/>
  </r>
  <r>
    <x v="1161"/>
    <x v="127"/>
    <x v="2"/>
    <x v="2"/>
    <x v="4"/>
    <s v="Kisan Tractors West Bengal"/>
    <x v="4"/>
    <x v="3"/>
    <x v="0"/>
    <x v="0"/>
    <n v="6"/>
    <n v="708248"/>
    <n v="8"/>
    <n v="4249488"/>
    <n v="0.42494880000000002"/>
    <n v="3909528.96"/>
    <n v="0.39095289599999999"/>
    <s v="Pending"/>
    <s v="Pending"/>
    <s v="Invalid"/>
    <s v="Pending"/>
  </r>
  <r>
    <x v="1162"/>
    <x v="61"/>
    <x v="1"/>
    <x v="0"/>
    <x v="4"/>
    <s v="Shakti Agro West Bengal"/>
    <x v="4"/>
    <x v="3"/>
    <x v="2"/>
    <x v="0"/>
    <n v="7"/>
    <n v="724792"/>
    <n v="9"/>
    <n v="5073544"/>
    <n v="0.50735439999999998"/>
    <n v="4616925.04"/>
    <n v="0.461692504"/>
    <s v="Pending"/>
    <s v="Pending"/>
    <s v="Invalid"/>
    <s v="Pending"/>
  </r>
  <r>
    <x v="1163"/>
    <x v="499"/>
    <x v="0"/>
    <x v="1"/>
    <x v="0"/>
    <s v="Green Field Uttar Pradesh"/>
    <x v="0"/>
    <x v="0"/>
    <x v="1"/>
    <x v="1"/>
    <n v="6"/>
    <n v="850869"/>
    <n v="8"/>
    <n v="5105214"/>
    <n v="0.51052140000000001"/>
    <n v="4696796.88"/>
    <n v="0.46967968799999998"/>
    <s v="Pending"/>
    <s v="Pending"/>
    <s v="Invalid"/>
    <s v="Pending"/>
  </r>
  <r>
    <x v="1164"/>
    <x v="244"/>
    <x v="1"/>
    <x v="3"/>
    <x v="3"/>
    <s v="Mahadev Motors Haryana"/>
    <x v="3"/>
    <x v="0"/>
    <x v="0"/>
    <x v="0"/>
    <n v="5"/>
    <n v="692326"/>
    <n v="7"/>
    <n v="3461630"/>
    <n v="0.346163"/>
    <n v="3219315.9"/>
    <n v="0.32193158999999999"/>
    <s v="Paid"/>
    <s v="Delivered"/>
    <s v="Invalid"/>
    <s v="Completed"/>
  </r>
  <r>
    <x v="1165"/>
    <x v="321"/>
    <x v="4"/>
    <x v="1"/>
    <x v="0"/>
    <s v="Green Field Uttar Pradesh"/>
    <x v="0"/>
    <x v="0"/>
    <x v="2"/>
    <x v="0"/>
    <n v="7"/>
    <n v="298566"/>
    <n v="9"/>
    <n v="2089962"/>
    <n v="0.20899619999999999"/>
    <n v="1901865.4200000002"/>
    <n v="0.19018654200000001"/>
    <s v="Partial"/>
    <s v="In Transit"/>
    <s v="Valid"/>
    <s v="In Transit"/>
  </r>
  <r>
    <x v="1166"/>
    <x v="500"/>
    <x v="0"/>
    <x v="0"/>
    <x v="1"/>
    <s v="Shakti Agro Karnataka"/>
    <x v="1"/>
    <x v="1"/>
    <x v="1"/>
    <x v="1"/>
    <n v="6"/>
    <n v="682256"/>
    <n v="8"/>
    <n v="4093536"/>
    <n v="0.40935359999999998"/>
    <n v="3766053.12"/>
    <n v="0.37660531200000003"/>
    <s v="Partial"/>
    <s v="In Transit"/>
    <s v="Invalid"/>
    <s v="In Transit"/>
  </r>
  <r>
    <x v="1167"/>
    <x v="468"/>
    <x v="1"/>
    <x v="3"/>
    <x v="2"/>
    <s v="Mahadev Motors Maharashtra"/>
    <x v="2"/>
    <x v="2"/>
    <x v="3"/>
    <x v="2"/>
    <n v="3"/>
    <n v="863556"/>
    <n v="6"/>
    <n v="2590668"/>
    <n v="0.25906679999999999"/>
    <n v="2435227.92"/>
    <n v="0.24352279199999999"/>
    <s v="Paid"/>
    <s v="Delivered"/>
    <s v="Invalid"/>
    <s v="Completed"/>
  </r>
  <r>
    <x v="1168"/>
    <x v="409"/>
    <x v="2"/>
    <x v="4"/>
    <x v="4"/>
    <s v="Agri Motors West Bengal"/>
    <x v="4"/>
    <x v="3"/>
    <x v="0"/>
    <x v="0"/>
    <n v="1"/>
    <n v="667050"/>
    <n v="3"/>
    <n v="667050"/>
    <n v="6.6705E-2"/>
    <n v="647038.5"/>
    <n v="6.4703849999999993E-2"/>
    <s v="Paid"/>
    <s v="Delivered"/>
    <s v="Invalid"/>
    <s v="Completed"/>
  </r>
  <r>
    <x v="1169"/>
    <x v="209"/>
    <x v="3"/>
    <x v="2"/>
    <x v="1"/>
    <s v="Kisan Tractors Karnataka"/>
    <x v="1"/>
    <x v="1"/>
    <x v="2"/>
    <x v="0"/>
    <n v="2"/>
    <n v="102061"/>
    <n v="5"/>
    <n v="204122"/>
    <n v="2.0412199999999998E-2"/>
    <n v="193915.9"/>
    <n v="1.939159E-2"/>
    <s v="Pending"/>
    <s v="Pending"/>
    <s v="Valid"/>
    <s v="Pending"/>
  </r>
  <r>
    <x v="1170"/>
    <x v="293"/>
    <x v="3"/>
    <x v="2"/>
    <x v="3"/>
    <s v="Kisan Tractors Haryana"/>
    <x v="3"/>
    <x v="0"/>
    <x v="1"/>
    <x v="1"/>
    <n v="6"/>
    <n v="880915"/>
    <n v="8"/>
    <n v="5285490"/>
    <n v="0.52854900000000005"/>
    <n v="4862650.8"/>
    <n v="0.48626507999999996"/>
    <s v="Paid"/>
    <s v="Delivered"/>
    <s v="Valid"/>
    <s v="Completed"/>
  </r>
  <r>
    <x v="1171"/>
    <x v="58"/>
    <x v="2"/>
    <x v="1"/>
    <x v="2"/>
    <s v="Green Field Maharashtra"/>
    <x v="2"/>
    <x v="2"/>
    <x v="2"/>
    <x v="0"/>
    <n v="5"/>
    <n v="100904"/>
    <n v="7"/>
    <n v="504520"/>
    <n v="5.0451999999999997E-2"/>
    <n v="469203.6"/>
    <n v="4.6920359999999994E-2"/>
    <s v="Pending"/>
    <s v="Pending"/>
    <s v="Invalid"/>
    <s v="Pending"/>
  </r>
  <r>
    <x v="1172"/>
    <x v="348"/>
    <x v="0"/>
    <x v="4"/>
    <x v="2"/>
    <s v="Agri Motors Maharashtra"/>
    <x v="2"/>
    <x v="2"/>
    <x v="1"/>
    <x v="1"/>
    <n v="3"/>
    <n v="756118"/>
    <n v="6"/>
    <n v="2268354"/>
    <n v="0.22683539999999999"/>
    <n v="2132252.7599999998"/>
    <n v="0.21322527599999999"/>
    <s v="Partial"/>
    <s v="In Transit"/>
    <s v="Valid"/>
    <s v="In Transit"/>
  </r>
  <r>
    <x v="1173"/>
    <x v="422"/>
    <x v="1"/>
    <x v="3"/>
    <x v="1"/>
    <s v="Mahadev Motors Karnataka"/>
    <x v="1"/>
    <x v="1"/>
    <x v="2"/>
    <x v="0"/>
    <n v="5"/>
    <n v="712244"/>
    <n v="7"/>
    <n v="3561220"/>
    <n v="0.35612199999999999"/>
    <n v="3311934.5999999996"/>
    <n v="0.33119345999999994"/>
    <s v="Pending"/>
    <s v="Pending"/>
    <s v="Invalid"/>
    <s v="Pending"/>
  </r>
  <r>
    <x v="1174"/>
    <x v="319"/>
    <x v="1"/>
    <x v="4"/>
    <x v="1"/>
    <s v="Agri Motors Karnataka"/>
    <x v="1"/>
    <x v="1"/>
    <x v="2"/>
    <x v="0"/>
    <n v="2"/>
    <n v="392807"/>
    <n v="5"/>
    <n v="785614"/>
    <n v="7.8561400000000003E-2"/>
    <n v="746333.29999999993"/>
    <n v="7.4633329999999998E-2"/>
    <s v="Partial"/>
    <s v="In Transit"/>
    <s v="Invalid"/>
    <s v="In Transit"/>
  </r>
  <r>
    <x v="1175"/>
    <x v="32"/>
    <x v="4"/>
    <x v="3"/>
    <x v="4"/>
    <s v="Mahadev Motors West Bengal"/>
    <x v="4"/>
    <x v="3"/>
    <x v="0"/>
    <x v="0"/>
    <n v="3"/>
    <n v="314995"/>
    <n v="6"/>
    <n v="944985"/>
    <n v="9.4498499999999999E-2"/>
    <n v="888285.89999999991"/>
    <n v="8.8828589999999985E-2"/>
    <s v="Pending"/>
    <s v="Pending"/>
    <s v="Invalid"/>
    <s v="Pending"/>
  </r>
  <r>
    <x v="1176"/>
    <x v="301"/>
    <x v="0"/>
    <x v="3"/>
    <x v="2"/>
    <s v="Mahadev Motors Maharashtra"/>
    <x v="2"/>
    <x v="2"/>
    <x v="1"/>
    <x v="1"/>
    <n v="1"/>
    <n v="636067"/>
    <n v="3"/>
    <n v="636067"/>
    <n v="6.3606700000000002E-2"/>
    <n v="616984.99"/>
    <n v="6.1698498999999997E-2"/>
    <s v="Paid"/>
    <s v="Delivered"/>
    <s v="Invalid"/>
    <s v="Completed"/>
  </r>
  <r>
    <x v="1177"/>
    <x v="501"/>
    <x v="3"/>
    <x v="3"/>
    <x v="2"/>
    <s v="Mahadev Motors Maharashtra"/>
    <x v="2"/>
    <x v="2"/>
    <x v="0"/>
    <x v="0"/>
    <n v="5"/>
    <n v="450907"/>
    <n v="7"/>
    <n v="2254535"/>
    <n v="0.2254535"/>
    <n v="2096717.5499999998"/>
    <n v="0.20967175499999999"/>
    <s v="Pending"/>
    <s v="Pending"/>
    <s v="Invalid"/>
    <s v="Pending"/>
  </r>
  <r>
    <x v="1178"/>
    <x v="27"/>
    <x v="0"/>
    <x v="0"/>
    <x v="0"/>
    <s v="Shakti Agro Uttar Pradesh"/>
    <x v="0"/>
    <x v="0"/>
    <x v="4"/>
    <x v="1"/>
    <n v="6"/>
    <n v="172066"/>
    <n v="8"/>
    <n v="1032396"/>
    <n v="0.1032396"/>
    <n v="949804.32000000007"/>
    <n v="9.4980432000000004E-2"/>
    <s v="Partial"/>
    <s v="In Transit"/>
    <s v="Invalid"/>
    <s v="In Transit"/>
  </r>
  <r>
    <x v="1179"/>
    <x v="137"/>
    <x v="3"/>
    <x v="1"/>
    <x v="3"/>
    <s v="Green Field Haryana"/>
    <x v="3"/>
    <x v="0"/>
    <x v="3"/>
    <x v="2"/>
    <n v="8"/>
    <n v="874664"/>
    <n v="9"/>
    <n v="6997312"/>
    <n v="0.6997312"/>
    <n v="6367553.9199999999"/>
    <n v="0.63675539199999998"/>
    <s v="Paid"/>
    <s v="Delivered"/>
    <s v="Valid"/>
    <s v="Completed"/>
  </r>
  <r>
    <x v="1180"/>
    <x v="87"/>
    <x v="1"/>
    <x v="4"/>
    <x v="3"/>
    <s v="Agri Motors Haryana"/>
    <x v="3"/>
    <x v="0"/>
    <x v="1"/>
    <x v="1"/>
    <n v="1"/>
    <n v="779481"/>
    <n v="3"/>
    <n v="779481"/>
    <n v="7.7948100000000006E-2"/>
    <n v="756096.57"/>
    <n v="7.5609656999999997E-2"/>
    <s v="Paid"/>
    <s v="Delivered"/>
    <s v="Invalid"/>
    <s v="Completed"/>
  </r>
  <r>
    <x v="1181"/>
    <x v="242"/>
    <x v="4"/>
    <x v="1"/>
    <x v="3"/>
    <s v="Green Field Haryana"/>
    <x v="3"/>
    <x v="0"/>
    <x v="3"/>
    <x v="2"/>
    <n v="7"/>
    <n v="191865"/>
    <n v="9"/>
    <n v="1343055"/>
    <n v="0.13430549999999999"/>
    <n v="1222180.05"/>
    <n v="0.122218005"/>
    <s v="Paid"/>
    <s v="Delivered"/>
    <s v="Invalid"/>
    <s v="Completed"/>
  </r>
  <r>
    <x v="1182"/>
    <x v="17"/>
    <x v="4"/>
    <x v="0"/>
    <x v="0"/>
    <s v="Shakti Agro Uttar Pradesh"/>
    <x v="0"/>
    <x v="0"/>
    <x v="4"/>
    <x v="1"/>
    <n v="4"/>
    <n v="551377"/>
    <n v="6"/>
    <n v="2205508"/>
    <n v="0.22055079999999999"/>
    <n v="2073177.5199999998"/>
    <n v="0.20731775199999997"/>
    <s v="Pending"/>
    <s v="Pending"/>
    <s v="Valid"/>
    <s v="Pending"/>
  </r>
  <r>
    <x v="1183"/>
    <x v="100"/>
    <x v="3"/>
    <x v="1"/>
    <x v="2"/>
    <s v="Green Field Maharashtra"/>
    <x v="2"/>
    <x v="2"/>
    <x v="3"/>
    <x v="2"/>
    <n v="7"/>
    <n v="804123"/>
    <n v="9"/>
    <n v="5628861"/>
    <n v="0.56288609999999994"/>
    <n v="5122263.51"/>
    <n v="0.51222635100000002"/>
    <s v="Partial"/>
    <s v="In Transit"/>
    <s v="Invalid"/>
    <s v="In Transit"/>
  </r>
  <r>
    <x v="1184"/>
    <x v="215"/>
    <x v="1"/>
    <x v="0"/>
    <x v="0"/>
    <s v="Shakti Agro Uttar Pradesh"/>
    <x v="0"/>
    <x v="0"/>
    <x v="2"/>
    <x v="0"/>
    <n v="3"/>
    <n v="568622"/>
    <n v="6"/>
    <n v="1705866"/>
    <n v="0.1705866"/>
    <n v="1603514.0399999998"/>
    <n v="0.16035140399999998"/>
    <s v="Partial"/>
    <s v="In Transit"/>
    <s v="Invalid"/>
    <s v="In Transit"/>
  </r>
  <r>
    <x v="1185"/>
    <x v="281"/>
    <x v="4"/>
    <x v="0"/>
    <x v="1"/>
    <s v="Shakti Agro Karnataka"/>
    <x v="1"/>
    <x v="1"/>
    <x v="3"/>
    <x v="2"/>
    <n v="6"/>
    <n v="650021"/>
    <n v="8"/>
    <n v="3900126"/>
    <n v="0.39001259999999999"/>
    <n v="3588115.92"/>
    <n v="0.35881159200000001"/>
    <s v="Pending"/>
    <s v="Pending"/>
    <s v="Invalid"/>
    <s v="Pending"/>
  </r>
  <r>
    <x v="1186"/>
    <x v="336"/>
    <x v="2"/>
    <x v="0"/>
    <x v="3"/>
    <s v="Shakti Agro Haryana"/>
    <x v="3"/>
    <x v="0"/>
    <x v="1"/>
    <x v="1"/>
    <n v="4"/>
    <n v="755176"/>
    <n v="6"/>
    <n v="3020704"/>
    <n v="0.30207040000000002"/>
    <n v="2839461.76"/>
    <n v="0.28394617599999999"/>
    <s v="Paid"/>
    <s v="Delivered"/>
    <s v="Invalid"/>
    <s v="Completed"/>
  </r>
  <r>
    <x v="1187"/>
    <x v="285"/>
    <x v="2"/>
    <x v="1"/>
    <x v="1"/>
    <s v="Green Field Karnataka"/>
    <x v="1"/>
    <x v="1"/>
    <x v="1"/>
    <x v="1"/>
    <n v="7"/>
    <n v="468601"/>
    <n v="9"/>
    <n v="3280207"/>
    <n v="0.3280207"/>
    <n v="2984988.37"/>
    <n v="0.29849883700000002"/>
    <s v="Pending"/>
    <s v="Pending"/>
    <s v="Invalid"/>
    <s v="Pending"/>
  </r>
  <r>
    <x v="1188"/>
    <x v="200"/>
    <x v="0"/>
    <x v="3"/>
    <x v="3"/>
    <s v="Mahadev Motors Haryana"/>
    <x v="3"/>
    <x v="0"/>
    <x v="4"/>
    <x v="1"/>
    <n v="5"/>
    <n v="699622"/>
    <n v="7"/>
    <n v="3498110"/>
    <n v="0.34981099999999998"/>
    <n v="3253242.3"/>
    <n v="0.32532422999999999"/>
    <s v="Pending"/>
    <s v="Pending"/>
    <s v="Valid"/>
    <s v="Pending"/>
  </r>
  <r>
    <x v="1189"/>
    <x v="173"/>
    <x v="0"/>
    <x v="3"/>
    <x v="0"/>
    <s v="Mahadev Motors Uttar Pradesh"/>
    <x v="0"/>
    <x v="0"/>
    <x v="1"/>
    <x v="1"/>
    <n v="3"/>
    <n v="582992"/>
    <n v="6"/>
    <n v="1748976"/>
    <n v="0.17489759999999999"/>
    <n v="1644037.44"/>
    <n v="0.16440374399999999"/>
    <s v="Pending"/>
    <s v="Pending"/>
    <s v="Invalid"/>
    <s v="Pending"/>
  </r>
  <r>
    <x v="1190"/>
    <x v="394"/>
    <x v="3"/>
    <x v="0"/>
    <x v="2"/>
    <s v="Shakti Agro Maharashtra"/>
    <x v="2"/>
    <x v="2"/>
    <x v="3"/>
    <x v="2"/>
    <n v="5"/>
    <n v="726009"/>
    <n v="7"/>
    <n v="3630045"/>
    <n v="0.36300450000000001"/>
    <n v="3375941.8499999996"/>
    <n v="0.33759418499999994"/>
    <s v="Partial"/>
    <s v="In Transit"/>
    <s v="Valid"/>
    <s v="In Transit"/>
  </r>
  <r>
    <x v="1191"/>
    <x v="213"/>
    <x v="4"/>
    <x v="0"/>
    <x v="2"/>
    <s v="Shakti Agro Maharashtra"/>
    <x v="2"/>
    <x v="2"/>
    <x v="0"/>
    <x v="0"/>
    <n v="2"/>
    <n v="815332"/>
    <n v="5"/>
    <n v="1630664"/>
    <n v="0.1630664"/>
    <n v="1549130.7999999998"/>
    <n v="0.15491307999999998"/>
    <s v="Pending"/>
    <s v="Pending"/>
    <s v="Valid"/>
    <s v="Pending"/>
  </r>
  <r>
    <x v="1192"/>
    <x v="400"/>
    <x v="1"/>
    <x v="3"/>
    <x v="3"/>
    <s v="Mahadev Motors Haryana"/>
    <x v="3"/>
    <x v="0"/>
    <x v="2"/>
    <x v="0"/>
    <n v="3"/>
    <n v="586175"/>
    <n v="6"/>
    <n v="1758525"/>
    <n v="0.17585249999999999"/>
    <n v="1653013.5"/>
    <n v="0.16530135000000001"/>
    <s v="Partial"/>
    <s v="In Transit"/>
    <s v="Invalid"/>
    <s v="In Transit"/>
  </r>
  <r>
    <x v="1193"/>
    <x v="333"/>
    <x v="4"/>
    <x v="0"/>
    <x v="0"/>
    <s v="Shakti Agro Uttar Pradesh"/>
    <x v="0"/>
    <x v="0"/>
    <x v="2"/>
    <x v="0"/>
    <n v="1"/>
    <n v="311990"/>
    <n v="3"/>
    <n v="311990"/>
    <n v="3.1199000000000001E-2"/>
    <n v="302630.3"/>
    <n v="3.026303E-2"/>
    <s v="Partial"/>
    <s v="In Transit"/>
    <s v="Invalid"/>
    <s v="In Transit"/>
  </r>
  <r>
    <x v="1194"/>
    <x v="381"/>
    <x v="2"/>
    <x v="0"/>
    <x v="4"/>
    <s v="Shakti Agro West Bengal"/>
    <x v="4"/>
    <x v="3"/>
    <x v="4"/>
    <x v="1"/>
    <n v="3"/>
    <n v="384777"/>
    <n v="6"/>
    <n v="1154331"/>
    <n v="0.1154331"/>
    <n v="1085071.1399999999"/>
    <n v="0.10850711399999999"/>
    <s v="Paid"/>
    <s v="Delivered"/>
    <s v="Invalid"/>
    <s v="Completed"/>
  </r>
  <r>
    <x v="1195"/>
    <x v="475"/>
    <x v="0"/>
    <x v="3"/>
    <x v="3"/>
    <s v="Mahadev Motors Haryana"/>
    <x v="3"/>
    <x v="0"/>
    <x v="4"/>
    <x v="1"/>
    <n v="5"/>
    <n v="108380"/>
    <n v="7"/>
    <n v="541900"/>
    <n v="5.4190000000000002E-2"/>
    <n v="503966.99999999994"/>
    <n v="5.0396699999999996E-2"/>
    <s v="Partial"/>
    <s v="In Transit"/>
    <s v="Invalid"/>
    <s v="In Transit"/>
  </r>
  <r>
    <x v="1196"/>
    <x v="115"/>
    <x v="3"/>
    <x v="4"/>
    <x v="3"/>
    <s v="Agri Motors Haryana"/>
    <x v="3"/>
    <x v="0"/>
    <x v="1"/>
    <x v="1"/>
    <n v="2"/>
    <n v="542868"/>
    <n v="5"/>
    <n v="1085736"/>
    <n v="0.10857360000000001"/>
    <n v="1031449.2"/>
    <n v="0.10314492"/>
    <s v="Paid"/>
    <s v="Delivered"/>
    <s v="Invalid"/>
    <s v="Completed"/>
  </r>
  <r>
    <x v="1197"/>
    <x v="35"/>
    <x v="0"/>
    <x v="2"/>
    <x v="0"/>
    <s v="Kisan Tractors Uttar Pradesh"/>
    <x v="0"/>
    <x v="0"/>
    <x v="2"/>
    <x v="0"/>
    <n v="2"/>
    <n v="405083"/>
    <n v="5"/>
    <n v="810166"/>
    <n v="8.1016599999999994E-2"/>
    <n v="769657.7"/>
    <n v="7.6965769999999989E-2"/>
    <s v="Partial"/>
    <s v="In Transit"/>
    <s v="Invalid"/>
    <s v="In Transit"/>
  </r>
  <r>
    <x v="1198"/>
    <x v="85"/>
    <x v="4"/>
    <x v="2"/>
    <x v="2"/>
    <s v="Kisan Tractors Maharashtra"/>
    <x v="2"/>
    <x v="2"/>
    <x v="4"/>
    <x v="1"/>
    <n v="4"/>
    <n v="846555"/>
    <n v="6"/>
    <n v="3386220"/>
    <n v="0.33862199999999998"/>
    <n v="3183046.8"/>
    <n v="0.31830468000000001"/>
    <s v="Pending"/>
    <s v="Pending"/>
    <s v="Valid"/>
    <s v="Pending"/>
  </r>
  <r>
    <x v="1199"/>
    <x v="178"/>
    <x v="3"/>
    <x v="0"/>
    <x v="4"/>
    <s v="Shakti Agro West Bengal"/>
    <x v="4"/>
    <x v="3"/>
    <x v="3"/>
    <x v="2"/>
    <n v="2"/>
    <n v="729487"/>
    <n v="5"/>
    <n v="1458974"/>
    <n v="0.14589740000000001"/>
    <n v="1386025.3"/>
    <n v="0.13860253"/>
    <s v="Partial"/>
    <s v="In Transit"/>
    <s v="Invalid"/>
    <s v="In Transit"/>
  </r>
  <r>
    <x v="1200"/>
    <x v="71"/>
    <x v="1"/>
    <x v="3"/>
    <x v="1"/>
    <s v="Mahadev Motors Karnataka"/>
    <x v="1"/>
    <x v="1"/>
    <x v="3"/>
    <x v="2"/>
    <n v="5"/>
    <n v="581293"/>
    <n v="7"/>
    <n v="2906465"/>
    <n v="0.29064649999999997"/>
    <n v="2703012.4499999997"/>
    <n v="0.27030124499999997"/>
    <s v="Pending"/>
    <s v="Pending"/>
    <s v="Invalid"/>
    <s v="Pending"/>
  </r>
  <r>
    <x v="1201"/>
    <x v="402"/>
    <x v="0"/>
    <x v="0"/>
    <x v="3"/>
    <s v="Shakti Agro Haryana"/>
    <x v="3"/>
    <x v="0"/>
    <x v="2"/>
    <x v="0"/>
    <n v="5"/>
    <n v="606222"/>
    <n v="7"/>
    <n v="3031110"/>
    <n v="0.30311100000000002"/>
    <n v="2818932.3"/>
    <n v="0.28189322999999999"/>
    <s v="Pending"/>
    <s v="Pending"/>
    <s v="Invalid"/>
    <s v="Pending"/>
  </r>
  <r>
    <x v="1202"/>
    <x v="55"/>
    <x v="2"/>
    <x v="2"/>
    <x v="0"/>
    <s v="Kisan Tractors Uttar Pradesh"/>
    <x v="0"/>
    <x v="0"/>
    <x v="2"/>
    <x v="0"/>
    <n v="2"/>
    <n v="55740"/>
    <n v="5"/>
    <n v="111480"/>
    <n v="1.1148E-2"/>
    <n v="105906"/>
    <n v="1.05906E-2"/>
    <s v="Partial"/>
    <s v="In Transit"/>
    <s v="Valid"/>
    <s v="In Transit"/>
  </r>
  <r>
    <x v="1203"/>
    <x v="155"/>
    <x v="4"/>
    <x v="3"/>
    <x v="2"/>
    <s v="Mahadev Motors Maharashtra"/>
    <x v="2"/>
    <x v="2"/>
    <x v="3"/>
    <x v="2"/>
    <n v="6"/>
    <n v="84800"/>
    <n v="8"/>
    <n v="508800"/>
    <n v="5.0880000000000002E-2"/>
    <n v="468096"/>
    <n v="4.68096E-2"/>
    <s v="Paid"/>
    <s v="Delivered"/>
    <s v="Valid"/>
    <s v="Completed"/>
  </r>
  <r>
    <x v="1204"/>
    <x v="68"/>
    <x v="4"/>
    <x v="2"/>
    <x v="3"/>
    <s v="Kisan Tractors Haryana"/>
    <x v="3"/>
    <x v="0"/>
    <x v="4"/>
    <x v="1"/>
    <n v="7"/>
    <n v="480119"/>
    <n v="9"/>
    <n v="3360833"/>
    <n v="0.33608329999999997"/>
    <n v="3058358.0300000003"/>
    <n v="0.30583580300000002"/>
    <s v="Partial"/>
    <s v="In Transit"/>
    <s v="Invalid"/>
    <s v="In Transit"/>
  </r>
  <r>
    <x v="1205"/>
    <x v="328"/>
    <x v="4"/>
    <x v="2"/>
    <x v="3"/>
    <s v="Kisan Tractors Haryana"/>
    <x v="3"/>
    <x v="0"/>
    <x v="3"/>
    <x v="2"/>
    <n v="5"/>
    <n v="467424"/>
    <n v="7"/>
    <n v="2337120"/>
    <n v="0.233712"/>
    <n v="2173521.5999999996"/>
    <n v="0.21735215999999996"/>
    <s v="Partial"/>
    <s v="In Transit"/>
    <s v="Invalid"/>
    <s v="In Transit"/>
  </r>
  <r>
    <x v="1206"/>
    <x v="426"/>
    <x v="0"/>
    <x v="3"/>
    <x v="3"/>
    <s v="Mahadev Motors Haryana"/>
    <x v="3"/>
    <x v="0"/>
    <x v="4"/>
    <x v="1"/>
    <n v="0"/>
    <n v="348613"/>
    <n v="0"/>
    <n v="0"/>
    <n v="0"/>
    <n v="0"/>
    <n v="0"/>
    <s v="Paid"/>
    <s v="Delivered"/>
    <s v="Valid"/>
    <s v="Completed"/>
  </r>
  <r>
    <x v="1207"/>
    <x v="252"/>
    <x v="3"/>
    <x v="2"/>
    <x v="4"/>
    <s v="Kisan Tractors West Bengal"/>
    <x v="4"/>
    <x v="3"/>
    <x v="1"/>
    <x v="1"/>
    <n v="2"/>
    <n v="809524"/>
    <n v="5"/>
    <n v="1619048"/>
    <n v="0.16190479999999999"/>
    <n v="1538095.5999999999"/>
    <n v="0.15380955999999998"/>
    <s v="Pending"/>
    <s v="Pending"/>
    <s v="Valid"/>
    <s v="Pending"/>
  </r>
  <r>
    <x v="1208"/>
    <x v="375"/>
    <x v="3"/>
    <x v="2"/>
    <x v="4"/>
    <s v="Kisan Tractors West Bengal"/>
    <x v="4"/>
    <x v="3"/>
    <x v="3"/>
    <x v="2"/>
    <n v="4"/>
    <n v="784323"/>
    <n v="6"/>
    <n v="3137292"/>
    <n v="0.31372919999999999"/>
    <n v="2949054.48"/>
    <n v="0.29490544800000001"/>
    <s v="Paid"/>
    <s v="Delivered"/>
    <s v="Valid"/>
    <s v="Completed"/>
  </r>
  <r>
    <x v="1209"/>
    <x v="175"/>
    <x v="2"/>
    <x v="4"/>
    <x v="4"/>
    <s v="Agri Motors West Bengal"/>
    <x v="4"/>
    <x v="3"/>
    <x v="4"/>
    <x v="1"/>
    <n v="1"/>
    <n v="443180"/>
    <n v="3"/>
    <n v="443180"/>
    <n v="4.4318000000000003E-2"/>
    <n v="429884.6"/>
    <n v="4.2988459999999999E-2"/>
    <s v="Pending"/>
    <s v="Pending"/>
    <s v="Invalid"/>
    <s v="Pending"/>
  </r>
  <r>
    <x v="1210"/>
    <x v="340"/>
    <x v="2"/>
    <x v="0"/>
    <x v="1"/>
    <s v="Shakti Agro Karnataka"/>
    <x v="1"/>
    <x v="1"/>
    <x v="4"/>
    <x v="1"/>
    <n v="7"/>
    <n v="528832"/>
    <n v="9"/>
    <n v="3701824"/>
    <n v="0.37018240000000002"/>
    <n v="3368659.8400000003"/>
    <n v="0.33686598400000001"/>
    <s v="Partial"/>
    <s v="In Transit"/>
    <s v="Invalid"/>
    <s v="In Transit"/>
  </r>
  <r>
    <x v="1211"/>
    <x v="379"/>
    <x v="3"/>
    <x v="2"/>
    <x v="4"/>
    <s v="Kisan Tractors West Bengal"/>
    <x v="4"/>
    <x v="3"/>
    <x v="4"/>
    <x v="1"/>
    <n v="3"/>
    <n v="325662"/>
    <n v="6"/>
    <n v="976986"/>
    <n v="9.7698599999999997E-2"/>
    <n v="918366.84"/>
    <n v="9.1836684000000002E-2"/>
    <s v="Paid"/>
    <s v="Delivered"/>
    <s v="Valid"/>
    <s v="Completed"/>
  </r>
  <r>
    <x v="1212"/>
    <x v="88"/>
    <x v="1"/>
    <x v="2"/>
    <x v="3"/>
    <s v="Kisan Tractors Haryana"/>
    <x v="3"/>
    <x v="0"/>
    <x v="1"/>
    <x v="1"/>
    <n v="8"/>
    <n v="529658"/>
    <n v="9"/>
    <n v="4237264"/>
    <n v="0.4237264"/>
    <n v="3855910.24"/>
    <n v="0.385591024"/>
    <s v="Pending"/>
    <s v="Pending"/>
    <s v="Valid"/>
    <s v="Pending"/>
  </r>
  <r>
    <x v="1213"/>
    <x v="411"/>
    <x v="2"/>
    <x v="1"/>
    <x v="2"/>
    <s v="Green Field Maharashtra"/>
    <x v="2"/>
    <x v="2"/>
    <x v="2"/>
    <x v="0"/>
    <n v="4"/>
    <n v="467891"/>
    <n v="6"/>
    <n v="1871564"/>
    <n v="0.1871564"/>
    <n v="1759270.16"/>
    <n v="0.17592701599999999"/>
    <s v="Paid"/>
    <s v="Delivered"/>
    <s v="Invalid"/>
    <s v="Completed"/>
  </r>
  <r>
    <x v="1214"/>
    <x v="337"/>
    <x v="0"/>
    <x v="3"/>
    <x v="1"/>
    <s v="Mahadev Motors Karnataka"/>
    <x v="1"/>
    <x v="1"/>
    <x v="4"/>
    <x v="1"/>
    <n v="1"/>
    <n v="619559"/>
    <n v="3"/>
    <n v="619559"/>
    <n v="6.1955900000000001E-2"/>
    <n v="600972.23"/>
    <n v="6.0097222999999998E-2"/>
    <s v="Pending"/>
    <s v="Pending"/>
    <s v="Invalid"/>
    <s v="Pending"/>
  </r>
  <r>
    <x v="1215"/>
    <x v="265"/>
    <x v="3"/>
    <x v="2"/>
    <x v="0"/>
    <s v="Kisan Tractors Uttar Pradesh"/>
    <x v="0"/>
    <x v="0"/>
    <x v="4"/>
    <x v="1"/>
    <n v="2"/>
    <n v="496427"/>
    <n v="5"/>
    <n v="992854"/>
    <n v="9.9285399999999996E-2"/>
    <n v="943211.29999999993"/>
    <n v="9.4321129999999989E-2"/>
    <s v="Paid"/>
    <s v="Delivered"/>
    <s v="Invalid"/>
    <s v="Completed"/>
  </r>
  <r>
    <x v="1216"/>
    <x v="342"/>
    <x v="0"/>
    <x v="0"/>
    <x v="1"/>
    <s v="Shakti Agro Karnataka"/>
    <x v="1"/>
    <x v="1"/>
    <x v="1"/>
    <x v="1"/>
    <n v="3"/>
    <n v="363867"/>
    <n v="6"/>
    <n v="1091601"/>
    <n v="0.1091601"/>
    <n v="1026104.94"/>
    <n v="0.102610494"/>
    <s v="Paid"/>
    <s v="Delivered"/>
    <s v="Invalid"/>
    <s v="Completed"/>
  </r>
  <r>
    <x v="1217"/>
    <x v="272"/>
    <x v="3"/>
    <x v="0"/>
    <x v="1"/>
    <s v="Shakti Agro Karnataka"/>
    <x v="1"/>
    <x v="1"/>
    <x v="3"/>
    <x v="2"/>
    <n v="5"/>
    <n v="860205"/>
    <n v="7"/>
    <n v="4301025"/>
    <n v="0.4301025"/>
    <n v="3999953.2499999995"/>
    <n v="0.39999532499999996"/>
    <s v="Pending"/>
    <s v="Pending"/>
    <s v="Invalid"/>
    <s v="Pending"/>
  </r>
  <r>
    <x v="1218"/>
    <x v="312"/>
    <x v="0"/>
    <x v="4"/>
    <x v="1"/>
    <s v="Agri Motors Karnataka"/>
    <x v="1"/>
    <x v="1"/>
    <x v="4"/>
    <x v="1"/>
    <n v="7"/>
    <n v="356577"/>
    <n v="9"/>
    <n v="2496039"/>
    <n v="0.24960389999999999"/>
    <n v="2271395.4900000002"/>
    <n v="0.22713954900000002"/>
    <s v="Partial"/>
    <s v="In Transit"/>
    <s v="Invalid"/>
    <s v="In Transit"/>
  </r>
  <r>
    <x v="1219"/>
    <x v="103"/>
    <x v="4"/>
    <x v="1"/>
    <x v="1"/>
    <s v="Green Field Karnataka"/>
    <x v="1"/>
    <x v="1"/>
    <x v="2"/>
    <x v="0"/>
    <n v="8"/>
    <n v="664746"/>
    <n v="9"/>
    <n v="5317968"/>
    <n v="0.53179679999999996"/>
    <n v="4839350.88"/>
    <n v="0.48393508800000001"/>
    <s v="Pending"/>
    <s v="Pending"/>
    <s v="Invalid"/>
    <s v="Pending"/>
  </r>
  <r>
    <x v="1220"/>
    <x v="230"/>
    <x v="3"/>
    <x v="3"/>
    <x v="0"/>
    <s v="Mahadev Motors Uttar Pradesh"/>
    <x v="0"/>
    <x v="0"/>
    <x v="1"/>
    <x v="1"/>
    <n v="3"/>
    <n v="106724"/>
    <n v="6"/>
    <n v="320172"/>
    <n v="3.2017200000000003E-2"/>
    <n v="300961.68"/>
    <n v="3.0096168E-2"/>
    <s v="Pending"/>
    <s v="Pending"/>
    <s v="Valid"/>
    <s v="Pending"/>
  </r>
  <r>
    <x v="1221"/>
    <x v="170"/>
    <x v="2"/>
    <x v="3"/>
    <x v="0"/>
    <s v="Mahadev Motors Uttar Pradesh"/>
    <x v="0"/>
    <x v="0"/>
    <x v="0"/>
    <x v="0"/>
    <n v="6"/>
    <n v="394279"/>
    <n v="8"/>
    <n v="2365674"/>
    <n v="0.23656740000000001"/>
    <n v="2176420.08"/>
    <n v="0.217642008"/>
    <s v="Paid"/>
    <s v="Delivered"/>
    <s v="Invalid"/>
    <s v="Completed"/>
  </r>
  <r>
    <x v="1222"/>
    <x v="292"/>
    <x v="1"/>
    <x v="0"/>
    <x v="2"/>
    <s v="Shakti Agro Maharashtra"/>
    <x v="2"/>
    <x v="2"/>
    <x v="2"/>
    <x v="0"/>
    <n v="6"/>
    <n v="381190"/>
    <n v="8"/>
    <n v="2287140"/>
    <n v="0.228714"/>
    <n v="2104168.8000000003"/>
    <n v="0.21041688000000003"/>
    <s v="Partial"/>
    <s v="In Transit"/>
    <s v="Invalid"/>
    <s v="In Transit"/>
  </r>
  <r>
    <x v="1223"/>
    <x v="328"/>
    <x v="4"/>
    <x v="0"/>
    <x v="1"/>
    <s v="Shakti Agro Karnataka"/>
    <x v="1"/>
    <x v="1"/>
    <x v="4"/>
    <x v="1"/>
    <n v="8"/>
    <n v="336650"/>
    <n v="9"/>
    <n v="2693200"/>
    <n v="0.26932"/>
    <n v="2450812"/>
    <n v="0.2450812"/>
    <s v="Pending"/>
    <s v="Pending"/>
    <s v="Invalid"/>
    <s v="Pending"/>
  </r>
  <r>
    <x v="1224"/>
    <x v="164"/>
    <x v="2"/>
    <x v="3"/>
    <x v="3"/>
    <s v="Mahadev Motors Haryana"/>
    <x v="3"/>
    <x v="0"/>
    <x v="0"/>
    <x v="0"/>
    <n v="6"/>
    <n v="558841"/>
    <n v="8"/>
    <n v="3353046"/>
    <n v="0.33530460000000001"/>
    <n v="3084802.3200000003"/>
    <n v="0.30848023200000002"/>
    <s v="Partial"/>
    <s v="In Transit"/>
    <s v="Invalid"/>
    <s v="In Transit"/>
  </r>
  <r>
    <x v="1225"/>
    <x v="13"/>
    <x v="0"/>
    <x v="2"/>
    <x v="2"/>
    <s v="Kisan Tractors Maharashtra"/>
    <x v="2"/>
    <x v="2"/>
    <x v="3"/>
    <x v="2"/>
    <n v="2"/>
    <n v="134114"/>
    <n v="5"/>
    <n v="268228"/>
    <n v="2.6822800000000001E-2"/>
    <n v="254816.59999999998"/>
    <n v="2.5481659999999996E-2"/>
    <s v="Pending"/>
    <s v="Pending"/>
    <s v="Invalid"/>
    <s v="Pending"/>
  </r>
  <r>
    <x v="1226"/>
    <x v="259"/>
    <x v="3"/>
    <x v="0"/>
    <x v="1"/>
    <s v="Shakti Agro Karnataka"/>
    <x v="1"/>
    <x v="1"/>
    <x v="2"/>
    <x v="0"/>
    <n v="7"/>
    <n v="415679"/>
    <n v="9"/>
    <n v="2909753"/>
    <n v="0.29097529999999999"/>
    <n v="2647875.23"/>
    <n v="0.26478752300000002"/>
    <s v="Partial"/>
    <s v="In Transit"/>
    <s v="Invalid"/>
    <s v="In Transit"/>
  </r>
  <r>
    <x v="1227"/>
    <x v="502"/>
    <x v="0"/>
    <x v="4"/>
    <x v="4"/>
    <s v="Agri Motors West Bengal"/>
    <x v="4"/>
    <x v="3"/>
    <x v="3"/>
    <x v="2"/>
    <n v="0"/>
    <n v="92936"/>
    <n v="0"/>
    <n v="0"/>
    <n v="0"/>
    <n v="0"/>
    <n v="0"/>
    <s v="Partial"/>
    <s v="In Transit"/>
    <s v="Invalid"/>
    <s v="In Transit"/>
  </r>
  <r>
    <x v="1228"/>
    <x v="153"/>
    <x v="2"/>
    <x v="1"/>
    <x v="2"/>
    <s v="Green Field Maharashtra"/>
    <x v="2"/>
    <x v="2"/>
    <x v="0"/>
    <x v="0"/>
    <n v="8"/>
    <n v="489452"/>
    <n v="9"/>
    <n v="3915616"/>
    <n v="0.39156160000000001"/>
    <n v="3563210.56"/>
    <n v="0.35632105600000002"/>
    <s v="Partial"/>
    <s v="In Transit"/>
    <s v="Valid"/>
    <s v="In Transit"/>
  </r>
  <r>
    <x v="1229"/>
    <x v="76"/>
    <x v="2"/>
    <x v="2"/>
    <x v="1"/>
    <s v="Kisan Tractors Karnataka"/>
    <x v="1"/>
    <x v="1"/>
    <x v="1"/>
    <x v="1"/>
    <n v="3"/>
    <n v="378639"/>
    <n v="6"/>
    <n v="1135917"/>
    <n v="0.1135917"/>
    <n v="1067761.98"/>
    <n v="0.106776198"/>
    <s v="Partial"/>
    <s v="In Transit"/>
    <s v="Invalid"/>
    <s v="In Transit"/>
  </r>
  <r>
    <x v="1230"/>
    <x v="309"/>
    <x v="3"/>
    <x v="0"/>
    <x v="1"/>
    <s v="Shakti Agro Karnataka"/>
    <x v="1"/>
    <x v="1"/>
    <x v="2"/>
    <x v="0"/>
    <n v="2"/>
    <n v="659320"/>
    <n v="5"/>
    <n v="1318640"/>
    <n v="0.13186400000000001"/>
    <n v="1252708"/>
    <n v="0.12527079999999999"/>
    <s v="Partial"/>
    <s v="In Transit"/>
    <s v="Valid"/>
    <s v="In Transit"/>
  </r>
  <r>
    <x v="1231"/>
    <x v="153"/>
    <x v="0"/>
    <x v="0"/>
    <x v="3"/>
    <s v="Shakti Agro Haryana"/>
    <x v="3"/>
    <x v="0"/>
    <x v="0"/>
    <x v="0"/>
    <n v="4"/>
    <n v="858509"/>
    <n v="6"/>
    <n v="3434036"/>
    <n v="0.34340359999999998"/>
    <n v="3227993.84"/>
    <n v="0.32279938399999997"/>
    <s v="Paid"/>
    <s v="Delivered"/>
    <s v="Valid"/>
    <s v="Completed"/>
  </r>
  <r>
    <x v="1232"/>
    <x v="146"/>
    <x v="2"/>
    <x v="1"/>
    <x v="4"/>
    <s v="Green Field West Bengal"/>
    <x v="4"/>
    <x v="3"/>
    <x v="2"/>
    <x v="0"/>
    <n v="8"/>
    <n v="646303"/>
    <n v="9"/>
    <n v="5170424"/>
    <n v="0.51704240000000001"/>
    <n v="4705085.84"/>
    <n v="0.47050858400000001"/>
    <s v="Partial"/>
    <s v="In Transit"/>
    <s v="Valid"/>
    <s v="In Transit"/>
  </r>
  <r>
    <x v="1233"/>
    <x v="439"/>
    <x v="2"/>
    <x v="3"/>
    <x v="4"/>
    <s v="Mahadev Motors West Bengal"/>
    <x v="4"/>
    <x v="3"/>
    <x v="4"/>
    <x v="1"/>
    <n v="3"/>
    <n v="309508"/>
    <n v="6"/>
    <n v="928524"/>
    <n v="9.2852400000000002E-2"/>
    <n v="872812.55999999994"/>
    <n v="8.7281255999999988E-2"/>
    <s v="Pending"/>
    <s v="Pending"/>
    <s v="Invalid"/>
    <s v="Pending"/>
  </r>
  <r>
    <x v="1234"/>
    <x v="4"/>
    <x v="3"/>
    <x v="1"/>
    <x v="4"/>
    <s v="Green Field West Bengal"/>
    <x v="4"/>
    <x v="3"/>
    <x v="4"/>
    <x v="1"/>
    <n v="1"/>
    <n v="200962"/>
    <n v="3"/>
    <n v="200962"/>
    <n v="2.0096200000000002E-2"/>
    <n v="194933.13999999998"/>
    <n v="1.9493313999999998E-2"/>
    <s v="Paid"/>
    <s v="Delivered"/>
    <s v="Invalid"/>
    <s v="Completed"/>
  </r>
  <r>
    <x v="1235"/>
    <x v="193"/>
    <x v="4"/>
    <x v="0"/>
    <x v="4"/>
    <s v="Shakti Agro West Bengal"/>
    <x v="4"/>
    <x v="3"/>
    <x v="0"/>
    <x v="0"/>
    <n v="1"/>
    <n v="362697"/>
    <n v="3"/>
    <n v="362697"/>
    <n v="3.6269700000000002E-2"/>
    <n v="351816.08999999997"/>
    <n v="3.5181608999999996E-2"/>
    <s v="Paid"/>
    <s v="Delivered"/>
    <s v="Invalid"/>
    <s v="Completed"/>
  </r>
  <r>
    <x v="1236"/>
    <x v="500"/>
    <x v="2"/>
    <x v="2"/>
    <x v="3"/>
    <s v="Kisan Tractors Haryana"/>
    <x v="3"/>
    <x v="0"/>
    <x v="1"/>
    <x v="1"/>
    <n v="8"/>
    <n v="553758"/>
    <n v="9"/>
    <n v="4430064"/>
    <n v="0.44300640000000002"/>
    <n v="4031358.24"/>
    <n v="0.40313582400000003"/>
    <s v="Partial"/>
    <s v="In Transit"/>
    <s v="Invalid"/>
    <s v="In Transit"/>
  </r>
  <r>
    <x v="1237"/>
    <x v="426"/>
    <x v="2"/>
    <x v="0"/>
    <x v="2"/>
    <s v="Shakti Agro Maharashtra"/>
    <x v="2"/>
    <x v="2"/>
    <x v="3"/>
    <x v="2"/>
    <n v="7"/>
    <n v="829745"/>
    <n v="9"/>
    <n v="5808215"/>
    <n v="0.58082149999999999"/>
    <n v="5285475.6500000004"/>
    <n v="0.528547565"/>
    <s v="Partial"/>
    <s v="In Transit"/>
    <s v="Invalid"/>
    <s v="In Transit"/>
  </r>
  <r>
    <x v="1238"/>
    <x v="369"/>
    <x v="1"/>
    <x v="3"/>
    <x v="0"/>
    <s v="Mahadev Motors Uttar Pradesh"/>
    <x v="0"/>
    <x v="0"/>
    <x v="2"/>
    <x v="0"/>
    <n v="5"/>
    <n v="210615"/>
    <n v="7"/>
    <n v="1053075"/>
    <n v="0.1053075"/>
    <n v="979359.74999999988"/>
    <n v="9.7935974999999995E-2"/>
    <s v="Pending"/>
    <s v="Pending"/>
    <s v="Invalid"/>
    <s v="Pending"/>
  </r>
  <r>
    <x v="1239"/>
    <x v="127"/>
    <x v="4"/>
    <x v="2"/>
    <x v="4"/>
    <s v="Kisan Tractors West Bengal"/>
    <x v="4"/>
    <x v="3"/>
    <x v="0"/>
    <x v="0"/>
    <n v="5"/>
    <n v="899247"/>
    <n v="7"/>
    <n v="4496235"/>
    <n v="0.44962350000000001"/>
    <n v="4181498.55"/>
    <n v="0.41814985499999996"/>
    <s v="Pending"/>
    <s v="Pending"/>
    <s v="Valid"/>
    <s v="Pending"/>
  </r>
  <r>
    <x v="1240"/>
    <x v="319"/>
    <x v="3"/>
    <x v="1"/>
    <x v="1"/>
    <s v="Green Field Karnataka"/>
    <x v="1"/>
    <x v="1"/>
    <x v="3"/>
    <x v="2"/>
    <n v="7"/>
    <n v="589074"/>
    <n v="9"/>
    <n v="4123518"/>
    <n v="0.41235179999999999"/>
    <n v="3752401.3800000004"/>
    <n v="0.37524013800000006"/>
    <s v="Partial"/>
    <s v="In Transit"/>
    <s v="Invalid"/>
    <s v="In Transit"/>
  </r>
  <r>
    <x v="1241"/>
    <x v="175"/>
    <x v="4"/>
    <x v="4"/>
    <x v="2"/>
    <s v="Agri Motors Maharashtra"/>
    <x v="2"/>
    <x v="2"/>
    <x v="1"/>
    <x v="1"/>
    <n v="6"/>
    <n v="492323"/>
    <n v="8"/>
    <n v="2953938"/>
    <n v="0.29539379999999998"/>
    <n v="2717622.96"/>
    <n v="0.27176229600000001"/>
    <s v="Partial"/>
    <s v="In Transit"/>
    <s v="Invalid"/>
    <s v="In Transit"/>
  </r>
  <r>
    <x v="1242"/>
    <x v="343"/>
    <x v="0"/>
    <x v="3"/>
    <x v="3"/>
    <s v="Mahadev Motors Haryana"/>
    <x v="3"/>
    <x v="0"/>
    <x v="2"/>
    <x v="0"/>
    <n v="2"/>
    <n v="572292"/>
    <n v="5"/>
    <n v="1144584"/>
    <n v="0.1144584"/>
    <n v="1087354.8"/>
    <n v="0.10873548000000001"/>
    <s v="Paid"/>
    <s v="Delivered"/>
    <s v="Invalid"/>
    <s v="Completed"/>
  </r>
  <r>
    <x v="1243"/>
    <x v="180"/>
    <x v="3"/>
    <x v="1"/>
    <x v="1"/>
    <s v="Green Field Karnataka"/>
    <x v="1"/>
    <x v="1"/>
    <x v="0"/>
    <x v="0"/>
    <n v="7"/>
    <n v="276589"/>
    <n v="9"/>
    <n v="1936123"/>
    <n v="0.19361229999999999"/>
    <n v="1761871.9300000002"/>
    <n v="0.17618719300000002"/>
    <s v="Partial"/>
    <s v="In Transit"/>
    <s v="Valid"/>
    <s v="In Transit"/>
  </r>
  <r>
    <x v="1244"/>
    <x v="328"/>
    <x v="2"/>
    <x v="1"/>
    <x v="3"/>
    <s v="Green Field Haryana"/>
    <x v="3"/>
    <x v="0"/>
    <x v="0"/>
    <x v="0"/>
    <n v="3"/>
    <n v="289644"/>
    <n v="6"/>
    <n v="868932"/>
    <n v="8.6893200000000004E-2"/>
    <n v="816796.08"/>
    <n v="8.1679608000000001E-2"/>
    <s v="Partial"/>
    <s v="In Transit"/>
    <s v="Valid"/>
    <s v="In Transit"/>
  </r>
  <r>
    <x v="1245"/>
    <x v="503"/>
    <x v="2"/>
    <x v="1"/>
    <x v="2"/>
    <s v="Green Field Maharashtra"/>
    <x v="2"/>
    <x v="2"/>
    <x v="4"/>
    <x v="1"/>
    <n v="3"/>
    <n v="341482"/>
    <n v="6"/>
    <n v="1024446"/>
    <n v="0.1024446"/>
    <n v="962979.24"/>
    <n v="9.6297923999999993E-2"/>
    <s v="Pending"/>
    <s v="Pending"/>
    <s v="Invalid"/>
    <s v="Pending"/>
  </r>
  <r>
    <x v="1246"/>
    <x v="196"/>
    <x v="1"/>
    <x v="4"/>
    <x v="4"/>
    <s v="Agri Motors West Bengal"/>
    <x v="4"/>
    <x v="3"/>
    <x v="0"/>
    <x v="0"/>
    <n v="3"/>
    <n v="333883"/>
    <n v="6"/>
    <n v="1001649"/>
    <n v="0.1001649"/>
    <n v="941550.05999999994"/>
    <n v="9.4155005999999999E-2"/>
    <s v="Pending"/>
    <s v="Pending"/>
    <s v="Valid"/>
    <s v="Pending"/>
  </r>
  <r>
    <x v="1247"/>
    <x v="484"/>
    <x v="3"/>
    <x v="2"/>
    <x v="2"/>
    <s v="Kisan Tractors Maharashtra"/>
    <x v="2"/>
    <x v="2"/>
    <x v="4"/>
    <x v="1"/>
    <n v="4"/>
    <n v="222986"/>
    <n v="6"/>
    <n v="891944"/>
    <n v="8.9194399999999993E-2"/>
    <n v="838427.36"/>
    <n v="8.3842736000000001E-2"/>
    <s v="Partial"/>
    <s v="In Transit"/>
    <s v="Invalid"/>
    <s v="In Transit"/>
  </r>
  <r>
    <x v="1248"/>
    <x v="458"/>
    <x v="0"/>
    <x v="2"/>
    <x v="0"/>
    <s v="Kisan Tractors Uttar Pradesh"/>
    <x v="0"/>
    <x v="0"/>
    <x v="0"/>
    <x v="0"/>
    <n v="8"/>
    <n v="341862"/>
    <n v="9"/>
    <n v="2734896"/>
    <n v="0.2734896"/>
    <n v="2488755.36"/>
    <n v="0.24887553599999998"/>
    <s v="Paid"/>
    <s v="Delivered"/>
    <s v="Invalid"/>
    <s v="Completed"/>
  </r>
  <r>
    <x v="1249"/>
    <x v="504"/>
    <x v="0"/>
    <x v="2"/>
    <x v="0"/>
    <s v="Kisan Tractors Uttar Pradesh"/>
    <x v="0"/>
    <x v="0"/>
    <x v="4"/>
    <x v="1"/>
    <n v="1"/>
    <n v="483387"/>
    <n v="3"/>
    <n v="483387"/>
    <n v="4.8338699999999998E-2"/>
    <n v="468885.39"/>
    <n v="4.6888539E-2"/>
    <s v="Pending"/>
    <s v="Pending"/>
    <s v="Valid"/>
    <s v="Pending"/>
  </r>
  <r>
    <x v="1250"/>
    <x v="154"/>
    <x v="3"/>
    <x v="0"/>
    <x v="0"/>
    <s v="Shakti Agro Uttar Pradesh"/>
    <x v="0"/>
    <x v="0"/>
    <x v="1"/>
    <x v="1"/>
    <n v="2"/>
    <n v="418912"/>
    <n v="5"/>
    <n v="837824"/>
    <n v="8.3782400000000007E-2"/>
    <n v="795932.79999999993"/>
    <n v="7.9593279999999988E-2"/>
    <s v="Paid"/>
    <s v="Delivered"/>
    <s v="Valid"/>
    <s v="Completed"/>
  </r>
  <r>
    <x v="1251"/>
    <x v="505"/>
    <x v="4"/>
    <x v="1"/>
    <x v="0"/>
    <s v="Green Field Uttar Pradesh"/>
    <x v="0"/>
    <x v="0"/>
    <x v="3"/>
    <x v="2"/>
    <n v="0"/>
    <n v="63596"/>
    <n v="0"/>
    <n v="0"/>
    <n v="0"/>
    <n v="0"/>
    <n v="0"/>
    <s v="Partial"/>
    <s v="In Transit"/>
    <s v="Invalid"/>
    <s v="In Transit"/>
  </r>
  <r>
    <x v="1252"/>
    <x v="506"/>
    <x v="1"/>
    <x v="4"/>
    <x v="4"/>
    <s v="Agri Motors West Bengal"/>
    <x v="4"/>
    <x v="3"/>
    <x v="3"/>
    <x v="2"/>
    <n v="8"/>
    <n v="541710"/>
    <n v="9"/>
    <n v="4333680"/>
    <n v="0.43336799999999998"/>
    <n v="3943648.8000000003"/>
    <n v="0.39436488000000003"/>
    <s v="Partial"/>
    <s v="In Transit"/>
    <s v="Invalid"/>
    <s v="In Transit"/>
  </r>
  <r>
    <x v="1253"/>
    <x v="421"/>
    <x v="3"/>
    <x v="4"/>
    <x v="3"/>
    <s v="Agri Motors Haryana"/>
    <x v="3"/>
    <x v="0"/>
    <x v="3"/>
    <x v="2"/>
    <n v="2"/>
    <n v="166707"/>
    <n v="5"/>
    <n v="333414"/>
    <n v="3.33414E-2"/>
    <n v="316743.3"/>
    <n v="3.1674330000000001E-2"/>
    <s v="Paid"/>
    <s v="Delivered"/>
    <s v="Invalid"/>
    <s v="Completed"/>
  </r>
  <r>
    <x v="1254"/>
    <x v="246"/>
    <x v="4"/>
    <x v="2"/>
    <x v="1"/>
    <s v="Kisan Tractors Karnataka"/>
    <x v="1"/>
    <x v="1"/>
    <x v="0"/>
    <x v="0"/>
    <n v="5"/>
    <n v="745185"/>
    <n v="7"/>
    <n v="3725925"/>
    <n v="0.37259249999999999"/>
    <n v="3465110.25"/>
    <n v="0.34651102499999997"/>
    <s v="Partial"/>
    <s v="In Transit"/>
    <s v="Valid"/>
    <s v="In Transit"/>
  </r>
  <r>
    <x v="1255"/>
    <x v="198"/>
    <x v="3"/>
    <x v="1"/>
    <x v="1"/>
    <s v="Green Field Karnataka"/>
    <x v="1"/>
    <x v="1"/>
    <x v="1"/>
    <x v="1"/>
    <n v="3"/>
    <n v="184286"/>
    <n v="6"/>
    <n v="552858"/>
    <n v="5.5285800000000003E-2"/>
    <n v="519686.51999999996"/>
    <n v="5.1968651999999997E-2"/>
    <s v="Pending"/>
    <s v="Pending"/>
    <s v="Valid"/>
    <s v="Pending"/>
  </r>
  <r>
    <x v="1256"/>
    <x v="195"/>
    <x v="4"/>
    <x v="4"/>
    <x v="1"/>
    <s v="Agri Motors Karnataka"/>
    <x v="1"/>
    <x v="1"/>
    <x v="2"/>
    <x v="0"/>
    <n v="8"/>
    <n v="121760"/>
    <n v="9"/>
    <n v="974080"/>
    <n v="9.7407999999999995E-2"/>
    <n v="886412.80000000005"/>
    <n v="8.8641280000000003E-2"/>
    <s v="Pending"/>
    <s v="Pending"/>
    <s v="Invalid"/>
    <s v="Pending"/>
  </r>
  <r>
    <x v="1257"/>
    <x v="64"/>
    <x v="0"/>
    <x v="0"/>
    <x v="2"/>
    <s v="Shakti Agro Maharashtra"/>
    <x v="2"/>
    <x v="2"/>
    <x v="3"/>
    <x v="2"/>
    <n v="6"/>
    <n v="202213"/>
    <n v="8"/>
    <n v="1213278"/>
    <n v="0.1213278"/>
    <n v="1116215.76"/>
    <n v="0.111621576"/>
    <s v="Pending"/>
    <s v="Pending"/>
    <s v="Invalid"/>
    <s v="Pending"/>
  </r>
  <r>
    <x v="1258"/>
    <x v="507"/>
    <x v="0"/>
    <x v="4"/>
    <x v="0"/>
    <s v="Agri Motors Uttar Pradesh"/>
    <x v="0"/>
    <x v="0"/>
    <x v="0"/>
    <x v="0"/>
    <n v="1"/>
    <n v="776139"/>
    <n v="3"/>
    <n v="776139"/>
    <n v="7.76139E-2"/>
    <n v="752854.83"/>
    <n v="7.5285483E-2"/>
    <s v="Partial"/>
    <s v="In Transit"/>
    <s v="Valid"/>
    <s v="In Transit"/>
  </r>
  <r>
    <x v="1259"/>
    <x v="33"/>
    <x v="2"/>
    <x v="2"/>
    <x v="1"/>
    <s v="Kisan Tractors Karnataka"/>
    <x v="1"/>
    <x v="1"/>
    <x v="3"/>
    <x v="2"/>
    <n v="8"/>
    <n v="289056"/>
    <n v="9"/>
    <n v="2312448"/>
    <n v="0.2312448"/>
    <n v="2104327.6800000002"/>
    <n v="0.21043276800000002"/>
    <s v="Pending"/>
    <s v="Pending"/>
    <s v="Valid"/>
    <s v="Pending"/>
  </r>
  <r>
    <x v="1260"/>
    <x v="159"/>
    <x v="3"/>
    <x v="0"/>
    <x v="1"/>
    <s v="Shakti Agro Karnataka"/>
    <x v="1"/>
    <x v="1"/>
    <x v="0"/>
    <x v="0"/>
    <n v="4"/>
    <n v="172405"/>
    <n v="6"/>
    <n v="689620"/>
    <n v="6.8961999999999996E-2"/>
    <n v="648242.79999999993"/>
    <n v="6.4824279999999998E-2"/>
    <s v="Partial"/>
    <s v="In Transit"/>
    <s v="Invalid"/>
    <s v="In Transit"/>
  </r>
  <r>
    <x v="1261"/>
    <x v="298"/>
    <x v="0"/>
    <x v="2"/>
    <x v="0"/>
    <s v="Kisan Tractors Uttar Pradesh"/>
    <x v="0"/>
    <x v="0"/>
    <x v="3"/>
    <x v="2"/>
    <n v="1"/>
    <n v="270590"/>
    <n v="3"/>
    <n v="270590"/>
    <n v="2.7059E-2"/>
    <n v="262472.3"/>
    <n v="2.624723E-2"/>
    <s v="Paid"/>
    <s v="Delivered"/>
    <s v="Invalid"/>
    <s v="Completed"/>
  </r>
  <r>
    <x v="1262"/>
    <x v="358"/>
    <x v="0"/>
    <x v="3"/>
    <x v="1"/>
    <s v="Mahadev Motors Karnataka"/>
    <x v="1"/>
    <x v="1"/>
    <x v="3"/>
    <x v="2"/>
    <n v="6"/>
    <n v="795412"/>
    <n v="8"/>
    <n v="4772472"/>
    <n v="0.47724719999999998"/>
    <n v="4390674.24"/>
    <n v="0.43906742400000004"/>
    <s v="Paid"/>
    <s v="Delivered"/>
    <s v="Valid"/>
    <s v="Completed"/>
  </r>
  <r>
    <x v="1263"/>
    <x v="475"/>
    <x v="2"/>
    <x v="1"/>
    <x v="1"/>
    <s v="Green Field Karnataka"/>
    <x v="1"/>
    <x v="1"/>
    <x v="0"/>
    <x v="0"/>
    <n v="7"/>
    <n v="278183"/>
    <n v="9"/>
    <n v="1947281"/>
    <n v="0.19472809999999999"/>
    <n v="1772025.71"/>
    <n v="0.177202571"/>
    <s v="Partial"/>
    <s v="In Transit"/>
    <s v="Invalid"/>
    <s v="In Transit"/>
  </r>
  <r>
    <x v="1264"/>
    <x v="347"/>
    <x v="3"/>
    <x v="1"/>
    <x v="3"/>
    <s v="Green Field Haryana"/>
    <x v="3"/>
    <x v="0"/>
    <x v="0"/>
    <x v="0"/>
    <n v="1"/>
    <n v="277376"/>
    <n v="3"/>
    <n v="277376"/>
    <n v="2.7737600000000001E-2"/>
    <n v="269054.71999999997"/>
    <n v="2.6905471999999996E-2"/>
    <s v="Pending"/>
    <s v="Pending"/>
    <s v="Invalid"/>
    <s v="Pending"/>
  </r>
  <r>
    <x v="1265"/>
    <x v="446"/>
    <x v="1"/>
    <x v="0"/>
    <x v="0"/>
    <s v="Shakti Agro Uttar Pradesh"/>
    <x v="0"/>
    <x v="0"/>
    <x v="3"/>
    <x v="2"/>
    <n v="8"/>
    <n v="156369"/>
    <n v="9"/>
    <n v="1250952"/>
    <n v="0.12509519999999999"/>
    <n v="1138366.32"/>
    <n v="0.11383663200000001"/>
    <s v="Paid"/>
    <s v="Delivered"/>
    <s v="Invalid"/>
    <s v="Completed"/>
  </r>
  <r>
    <x v="1266"/>
    <x v="388"/>
    <x v="4"/>
    <x v="3"/>
    <x v="1"/>
    <s v="Mahadev Motors Karnataka"/>
    <x v="1"/>
    <x v="1"/>
    <x v="1"/>
    <x v="1"/>
    <n v="1"/>
    <n v="129939"/>
    <n v="3"/>
    <n v="129939"/>
    <n v="1.2993899999999999E-2"/>
    <n v="126040.83"/>
    <n v="1.2604083E-2"/>
    <s v="Partial"/>
    <s v="In Transit"/>
    <s v="Invalid"/>
    <s v="In Transit"/>
  </r>
  <r>
    <x v="1267"/>
    <x v="33"/>
    <x v="0"/>
    <x v="3"/>
    <x v="2"/>
    <s v="Mahadev Motors Maharashtra"/>
    <x v="2"/>
    <x v="2"/>
    <x v="0"/>
    <x v="0"/>
    <n v="7"/>
    <n v="579711"/>
    <n v="9"/>
    <n v="4057977"/>
    <n v="0.40579769999999998"/>
    <n v="3692759.0700000003"/>
    <n v="0.36927590700000001"/>
    <s v="Paid"/>
    <s v="Delivered"/>
    <s v="Invalid"/>
    <s v="Completed"/>
  </r>
  <r>
    <x v="1268"/>
    <x v="340"/>
    <x v="2"/>
    <x v="2"/>
    <x v="2"/>
    <s v="Kisan Tractors Maharashtra"/>
    <x v="2"/>
    <x v="2"/>
    <x v="1"/>
    <x v="1"/>
    <n v="8"/>
    <n v="538015"/>
    <n v="9"/>
    <n v="4304120"/>
    <n v="0.43041200000000002"/>
    <n v="3916749.2"/>
    <n v="0.39167492000000004"/>
    <s v="Pending"/>
    <s v="Pending"/>
    <s v="Invalid"/>
    <s v="Pending"/>
  </r>
  <r>
    <x v="1269"/>
    <x v="448"/>
    <x v="0"/>
    <x v="1"/>
    <x v="0"/>
    <s v="Green Field Uttar Pradesh"/>
    <x v="0"/>
    <x v="0"/>
    <x v="1"/>
    <x v="1"/>
    <n v="7"/>
    <n v="767247"/>
    <n v="9"/>
    <n v="5370729"/>
    <n v="0.53707289999999996"/>
    <n v="4887363.3900000006"/>
    <n v="0.48873633900000008"/>
    <s v="Partial"/>
    <s v="In Transit"/>
    <s v="Invalid"/>
    <s v="In Transit"/>
  </r>
  <r>
    <x v="1270"/>
    <x v="316"/>
    <x v="1"/>
    <x v="3"/>
    <x v="2"/>
    <s v="Mahadev Motors Maharashtra"/>
    <x v="2"/>
    <x v="2"/>
    <x v="1"/>
    <x v="1"/>
    <n v="8"/>
    <n v="504362"/>
    <n v="9"/>
    <n v="4034896"/>
    <n v="0.4034896"/>
    <n v="3671755.3600000003"/>
    <n v="0.36717553600000002"/>
    <s v="Partial"/>
    <s v="In Transit"/>
    <s v="Valid"/>
    <s v="In Transit"/>
  </r>
  <r>
    <x v="1271"/>
    <x v="241"/>
    <x v="0"/>
    <x v="0"/>
    <x v="3"/>
    <s v="Shakti Agro Haryana"/>
    <x v="3"/>
    <x v="0"/>
    <x v="3"/>
    <x v="2"/>
    <n v="4"/>
    <n v="581049"/>
    <n v="6"/>
    <n v="2324196"/>
    <n v="0.2324196"/>
    <n v="2184744.2399999998"/>
    <n v="0.21847442399999997"/>
    <s v="Paid"/>
    <s v="Delivered"/>
    <s v="Valid"/>
    <s v="Completed"/>
  </r>
  <r>
    <x v="1272"/>
    <x v="227"/>
    <x v="1"/>
    <x v="3"/>
    <x v="0"/>
    <s v="Mahadev Motors Uttar Pradesh"/>
    <x v="0"/>
    <x v="0"/>
    <x v="1"/>
    <x v="1"/>
    <n v="4"/>
    <n v="200188"/>
    <n v="6"/>
    <n v="800752"/>
    <n v="8.0075199999999999E-2"/>
    <n v="752706.88"/>
    <n v="7.5270688000000002E-2"/>
    <s v="Paid"/>
    <s v="Delivered"/>
    <s v="Valid"/>
    <s v="Completed"/>
  </r>
  <r>
    <x v="1273"/>
    <x v="60"/>
    <x v="2"/>
    <x v="0"/>
    <x v="3"/>
    <s v="Shakti Agro Haryana"/>
    <x v="3"/>
    <x v="0"/>
    <x v="1"/>
    <x v="1"/>
    <n v="1"/>
    <n v="594726"/>
    <n v="3"/>
    <n v="594726"/>
    <n v="5.94726E-2"/>
    <n v="576884.22"/>
    <n v="5.7688421999999996E-2"/>
    <s v="Pending"/>
    <s v="Pending"/>
    <s v="Invalid"/>
    <s v="Pending"/>
  </r>
  <r>
    <x v="1274"/>
    <x v="33"/>
    <x v="2"/>
    <x v="1"/>
    <x v="4"/>
    <s v="Green Field West Bengal"/>
    <x v="4"/>
    <x v="3"/>
    <x v="0"/>
    <x v="0"/>
    <n v="5"/>
    <n v="472279"/>
    <n v="7"/>
    <n v="2361395"/>
    <n v="0.2361395"/>
    <n v="2196097.3499999996"/>
    <n v="0.21960973499999997"/>
    <s v="Pending"/>
    <s v="Pending"/>
    <s v="Valid"/>
    <s v="Pending"/>
  </r>
  <r>
    <x v="1275"/>
    <x v="235"/>
    <x v="2"/>
    <x v="3"/>
    <x v="2"/>
    <s v="Mahadev Motors Maharashtra"/>
    <x v="2"/>
    <x v="2"/>
    <x v="0"/>
    <x v="0"/>
    <n v="8"/>
    <n v="391103"/>
    <n v="9"/>
    <n v="3128824"/>
    <n v="0.3128824"/>
    <n v="2847229.8400000003"/>
    <n v="0.28472298400000001"/>
    <s v="Partial"/>
    <s v="In Transit"/>
    <s v="Invalid"/>
    <s v="In Transit"/>
  </r>
  <r>
    <x v="1276"/>
    <x v="150"/>
    <x v="4"/>
    <x v="4"/>
    <x v="4"/>
    <s v="Agri Motors West Bengal"/>
    <x v="4"/>
    <x v="3"/>
    <x v="0"/>
    <x v="0"/>
    <n v="4"/>
    <n v="602440"/>
    <n v="6"/>
    <n v="2409760"/>
    <n v="0.240976"/>
    <n v="2265174.4"/>
    <n v="0.22651743999999999"/>
    <s v="Pending"/>
    <s v="Pending"/>
    <s v="Invalid"/>
    <s v="Pending"/>
  </r>
  <r>
    <x v="1277"/>
    <x v="109"/>
    <x v="3"/>
    <x v="2"/>
    <x v="2"/>
    <s v="Kisan Tractors Maharashtra"/>
    <x v="2"/>
    <x v="2"/>
    <x v="4"/>
    <x v="1"/>
    <n v="2"/>
    <n v="262004"/>
    <n v="5"/>
    <n v="524008"/>
    <n v="5.2400799999999997E-2"/>
    <n v="497807.6"/>
    <n v="4.978076E-2"/>
    <s v="Pending"/>
    <s v="Pending"/>
    <s v="Invalid"/>
    <s v="Pending"/>
  </r>
  <r>
    <x v="1278"/>
    <x v="11"/>
    <x v="4"/>
    <x v="2"/>
    <x v="3"/>
    <s v="Kisan Tractors Haryana"/>
    <x v="3"/>
    <x v="0"/>
    <x v="3"/>
    <x v="2"/>
    <n v="5"/>
    <n v="152772"/>
    <n v="7"/>
    <n v="763860"/>
    <n v="7.6385999999999996E-2"/>
    <n v="710389.79999999993"/>
    <n v="7.1038979999999988E-2"/>
    <s v="Pending"/>
    <s v="Pending"/>
    <s v="Invalid"/>
    <s v="Pending"/>
  </r>
  <r>
    <x v="1279"/>
    <x v="243"/>
    <x v="2"/>
    <x v="3"/>
    <x v="1"/>
    <s v="Mahadev Motors Karnataka"/>
    <x v="1"/>
    <x v="1"/>
    <x v="3"/>
    <x v="2"/>
    <n v="3"/>
    <n v="487116"/>
    <n v="6"/>
    <n v="1461348"/>
    <n v="0.14613480000000001"/>
    <n v="1373667.1199999999"/>
    <n v="0.13736671199999997"/>
    <s v="Partial"/>
    <s v="In Transit"/>
    <s v="Invalid"/>
    <s v="In Transit"/>
  </r>
  <r>
    <x v="1280"/>
    <x v="53"/>
    <x v="1"/>
    <x v="1"/>
    <x v="4"/>
    <s v="Green Field West Bengal"/>
    <x v="4"/>
    <x v="3"/>
    <x v="1"/>
    <x v="1"/>
    <n v="7"/>
    <n v="173084"/>
    <n v="9"/>
    <n v="1211588"/>
    <n v="0.1211588"/>
    <n v="1102545.08"/>
    <n v="0.110254508"/>
    <s v="Partial"/>
    <s v="In Transit"/>
    <s v="Invalid"/>
    <s v="In Transit"/>
  </r>
  <r>
    <x v="1281"/>
    <x v="154"/>
    <x v="2"/>
    <x v="0"/>
    <x v="1"/>
    <s v="Shakti Agro Karnataka"/>
    <x v="1"/>
    <x v="1"/>
    <x v="4"/>
    <x v="1"/>
    <n v="7"/>
    <n v="700288"/>
    <n v="9"/>
    <n v="4902016"/>
    <n v="0.49020160000000002"/>
    <n v="4460834.5600000005"/>
    <n v="0.44608345600000004"/>
    <s v="Pending"/>
    <s v="Pending"/>
    <s v="Invalid"/>
    <s v="Pending"/>
  </r>
  <r>
    <x v="1282"/>
    <x v="508"/>
    <x v="2"/>
    <x v="4"/>
    <x v="3"/>
    <s v="Agri Motors Haryana"/>
    <x v="3"/>
    <x v="0"/>
    <x v="4"/>
    <x v="1"/>
    <n v="7"/>
    <n v="697967"/>
    <n v="9"/>
    <n v="4885769"/>
    <n v="0.48857689999999998"/>
    <n v="4446049.79"/>
    <n v="0.44460497900000001"/>
    <s v="Partial"/>
    <s v="In Transit"/>
    <s v="Valid"/>
    <s v="In Transit"/>
  </r>
  <r>
    <x v="1283"/>
    <x v="487"/>
    <x v="0"/>
    <x v="2"/>
    <x v="4"/>
    <s v="Kisan Tractors West Bengal"/>
    <x v="4"/>
    <x v="3"/>
    <x v="2"/>
    <x v="0"/>
    <n v="4"/>
    <n v="751315"/>
    <n v="6"/>
    <n v="3005260"/>
    <n v="0.30052600000000002"/>
    <n v="2824944.4"/>
    <n v="0.28249444000000001"/>
    <s v="Pending"/>
    <s v="Pending"/>
    <s v="Valid"/>
    <s v="Pending"/>
  </r>
  <r>
    <x v="1284"/>
    <x v="6"/>
    <x v="1"/>
    <x v="1"/>
    <x v="3"/>
    <s v="Green Field Haryana"/>
    <x v="3"/>
    <x v="0"/>
    <x v="0"/>
    <x v="0"/>
    <n v="7"/>
    <n v="152533"/>
    <n v="9"/>
    <n v="1067731"/>
    <n v="0.1067731"/>
    <n v="971635.21000000008"/>
    <n v="9.7163521000000003E-2"/>
    <s v="Pending"/>
    <s v="Pending"/>
    <s v="Valid"/>
    <s v="Pending"/>
  </r>
  <r>
    <x v="1285"/>
    <x v="10"/>
    <x v="3"/>
    <x v="2"/>
    <x v="3"/>
    <s v="Kisan Tractors Haryana"/>
    <x v="3"/>
    <x v="0"/>
    <x v="1"/>
    <x v="1"/>
    <n v="0"/>
    <n v="226352"/>
    <n v="0"/>
    <n v="0"/>
    <n v="0"/>
    <n v="0"/>
    <n v="0"/>
    <s v="Paid"/>
    <s v="Delivered"/>
    <s v="Valid"/>
    <s v="Completed"/>
  </r>
  <r>
    <x v="1286"/>
    <x v="30"/>
    <x v="3"/>
    <x v="0"/>
    <x v="0"/>
    <s v="Shakti Agro Uttar Pradesh"/>
    <x v="0"/>
    <x v="0"/>
    <x v="3"/>
    <x v="2"/>
    <n v="3"/>
    <n v="338844"/>
    <n v="6"/>
    <n v="1016532"/>
    <n v="0.1016532"/>
    <n v="955540.08"/>
    <n v="9.5554007999999996E-2"/>
    <s v="Paid"/>
    <s v="Delivered"/>
    <s v="Valid"/>
    <s v="Completed"/>
  </r>
  <r>
    <x v="1287"/>
    <x v="303"/>
    <x v="3"/>
    <x v="0"/>
    <x v="2"/>
    <s v="Shakti Agro Maharashtra"/>
    <x v="2"/>
    <x v="2"/>
    <x v="3"/>
    <x v="2"/>
    <n v="4"/>
    <n v="410992"/>
    <n v="6"/>
    <n v="1643968"/>
    <n v="0.16439680000000001"/>
    <n v="1545329.92"/>
    <n v="0.15453299199999998"/>
    <s v="Paid"/>
    <s v="Delivered"/>
    <s v="Invalid"/>
    <s v="Completed"/>
  </r>
  <r>
    <x v="1288"/>
    <x v="439"/>
    <x v="2"/>
    <x v="4"/>
    <x v="0"/>
    <s v="Agri Motors Uttar Pradesh"/>
    <x v="0"/>
    <x v="0"/>
    <x v="1"/>
    <x v="1"/>
    <n v="8"/>
    <n v="524700"/>
    <n v="9"/>
    <n v="4197600"/>
    <n v="0.41976000000000002"/>
    <n v="3819816"/>
    <n v="0.38198159999999998"/>
    <s v="Partial"/>
    <s v="In Transit"/>
    <s v="Invalid"/>
    <s v="In Transit"/>
  </r>
  <r>
    <x v="1289"/>
    <x v="470"/>
    <x v="3"/>
    <x v="4"/>
    <x v="3"/>
    <s v="Agri Motors Haryana"/>
    <x v="3"/>
    <x v="0"/>
    <x v="0"/>
    <x v="0"/>
    <n v="8"/>
    <n v="878546"/>
    <n v="9"/>
    <n v="7028368"/>
    <n v="0.70283680000000004"/>
    <n v="6395814.8799999999"/>
    <n v="0.63958148800000003"/>
    <s v="Pending"/>
    <s v="Pending"/>
    <s v="Valid"/>
    <s v="Pending"/>
  </r>
  <r>
    <x v="1290"/>
    <x v="376"/>
    <x v="2"/>
    <x v="0"/>
    <x v="3"/>
    <s v="Shakti Agro Haryana"/>
    <x v="3"/>
    <x v="0"/>
    <x v="2"/>
    <x v="0"/>
    <n v="2"/>
    <n v="284391"/>
    <n v="5"/>
    <n v="568782"/>
    <n v="5.6878199999999997E-2"/>
    <n v="540342.9"/>
    <n v="5.4034290000000006E-2"/>
    <s v="Partial"/>
    <s v="In Transit"/>
    <s v="Invalid"/>
    <s v="In Transit"/>
  </r>
  <r>
    <x v="1291"/>
    <x v="102"/>
    <x v="4"/>
    <x v="1"/>
    <x v="0"/>
    <s v="Green Field Uttar Pradesh"/>
    <x v="0"/>
    <x v="0"/>
    <x v="3"/>
    <x v="2"/>
    <n v="7"/>
    <n v="799334"/>
    <n v="9"/>
    <n v="5595338"/>
    <n v="0.55953379999999997"/>
    <n v="5091757.58"/>
    <n v="0.50917575800000003"/>
    <s v="Pending"/>
    <s v="Pending"/>
    <s v="Invalid"/>
    <s v="Pending"/>
  </r>
  <r>
    <x v="1292"/>
    <x v="468"/>
    <x v="3"/>
    <x v="0"/>
    <x v="1"/>
    <s v="Shakti Agro Karnataka"/>
    <x v="1"/>
    <x v="1"/>
    <x v="4"/>
    <x v="1"/>
    <n v="2"/>
    <n v="174061"/>
    <n v="5"/>
    <n v="348122"/>
    <n v="3.4812200000000001E-2"/>
    <n v="330715.89999999997"/>
    <n v="3.3071589999999998E-2"/>
    <s v="Pending"/>
    <s v="Pending"/>
    <s v="Invalid"/>
    <s v="Pending"/>
  </r>
  <r>
    <x v="1293"/>
    <x v="195"/>
    <x v="2"/>
    <x v="3"/>
    <x v="4"/>
    <s v="Mahadev Motors West Bengal"/>
    <x v="4"/>
    <x v="3"/>
    <x v="0"/>
    <x v="0"/>
    <n v="4"/>
    <n v="248801"/>
    <n v="6"/>
    <n v="995204"/>
    <n v="9.9520399999999995E-2"/>
    <n v="935491.75999999989"/>
    <n v="9.3549175999999984E-2"/>
    <s v="Pending"/>
    <s v="Pending"/>
    <s v="Invalid"/>
    <s v="Pending"/>
  </r>
  <r>
    <x v="1294"/>
    <x v="43"/>
    <x v="1"/>
    <x v="3"/>
    <x v="1"/>
    <s v="Mahadev Motors Karnataka"/>
    <x v="1"/>
    <x v="1"/>
    <x v="2"/>
    <x v="0"/>
    <n v="1"/>
    <n v="626764"/>
    <n v="3"/>
    <n v="626764"/>
    <n v="6.2676399999999993E-2"/>
    <n v="607961.07999999996"/>
    <n v="6.0796107999999995E-2"/>
    <s v="Partial"/>
    <s v="In Transit"/>
    <s v="Valid"/>
    <s v="In Transit"/>
  </r>
  <r>
    <x v="1295"/>
    <x v="493"/>
    <x v="1"/>
    <x v="2"/>
    <x v="3"/>
    <s v="Kisan Tractors Haryana"/>
    <x v="3"/>
    <x v="0"/>
    <x v="4"/>
    <x v="1"/>
    <n v="6"/>
    <n v="361105"/>
    <n v="8"/>
    <n v="2166630"/>
    <n v="0.21666299999999999"/>
    <n v="1993299.6"/>
    <n v="0.19932996"/>
    <s v="Pending"/>
    <s v="Pending"/>
    <s v="Valid"/>
    <s v="Pending"/>
  </r>
  <r>
    <x v="1296"/>
    <x v="146"/>
    <x v="1"/>
    <x v="1"/>
    <x v="2"/>
    <s v="Green Field Maharashtra"/>
    <x v="2"/>
    <x v="2"/>
    <x v="0"/>
    <x v="0"/>
    <n v="1"/>
    <n v="90904"/>
    <n v="3"/>
    <n v="90904"/>
    <n v="9.0904000000000002E-3"/>
    <n v="88176.88"/>
    <n v="8.8176880000000006E-3"/>
    <s v="Partial"/>
    <s v="In Transit"/>
    <s v="Invalid"/>
    <s v="In Transit"/>
  </r>
  <r>
    <x v="1297"/>
    <x v="438"/>
    <x v="3"/>
    <x v="1"/>
    <x v="0"/>
    <s v="Green Field Uttar Pradesh"/>
    <x v="0"/>
    <x v="0"/>
    <x v="1"/>
    <x v="1"/>
    <n v="7"/>
    <n v="432267"/>
    <n v="9"/>
    <n v="3025869"/>
    <n v="0.30258689999999999"/>
    <n v="2753540.79"/>
    <n v="0.27535407900000003"/>
    <s v="Pending"/>
    <s v="Pending"/>
    <s v="Invalid"/>
    <s v="Pending"/>
  </r>
  <r>
    <x v="1298"/>
    <x v="269"/>
    <x v="1"/>
    <x v="0"/>
    <x v="3"/>
    <s v="Shakti Agro Haryana"/>
    <x v="3"/>
    <x v="0"/>
    <x v="0"/>
    <x v="0"/>
    <n v="6"/>
    <n v="519980"/>
    <n v="8"/>
    <n v="3119880"/>
    <n v="0.31198799999999999"/>
    <n v="2870289.6"/>
    <n v="0.28702896"/>
    <s v="Paid"/>
    <s v="Delivered"/>
    <s v="Invalid"/>
    <s v="Completed"/>
  </r>
  <r>
    <x v="1299"/>
    <x v="61"/>
    <x v="2"/>
    <x v="4"/>
    <x v="2"/>
    <s v="Agri Motors Maharashtra"/>
    <x v="2"/>
    <x v="2"/>
    <x v="2"/>
    <x v="0"/>
    <n v="7"/>
    <n v="265630"/>
    <n v="9"/>
    <n v="1859410"/>
    <n v="0.185941"/>
    <n v="1692063.1"/>
    <n v="0.16920631"/>
    <s v="Pending"/>
    <s v="Pending"/>
    <s v="Invalid"/>
    <s v="Pending"/>
  </r>
  <r>
    <x v="1300"/>
    <x v="323"/>
    <x v="4"/>
    <x v="4"/>
    <x v="3"/>
    <s v="Agri Motors Haryana"/>
    <x v="3"/>
    <x v="0"/>
    <x v="1"/>
    <x v="1"/>
    <n v="7"/>
    <n v="344934"/>
    <n v="9"/>
    <n v="2414538"/>
    <n v="0.2414538"/>
    <n v="2197229.58"/>
    <n v="0.219722958"/>
    <s v="Partial"/>
    <s v="In Transit"/>
    <s v="Invalid"/>
    <s v="In Transit"/>
  </r>
  <r>
    <x v="1301"/>
    <x v="509"/>
    <x v="4"/>
    <x v="2"/>
    <x v="3"/>
    <s v="Kisan Tractors Haryana"/>
    <x v="3"/>
    <x v="0"/>
    <x v="3"/>
    <x v="2"/>
    <n v="6"/>
    <n v="123623"/>
    <n v="8"/>
    <n v="741738"/>
    <n v="7.4173799999999998E-2"/>
    <n v="682398.96000000008"/>
    <n v="6.8239896000000008E-2"/>
    <s v="Partial"/>
    <s v="In Transit"/>
    <s v="Invalid"/>
    <s v="In Transit"/>
  </r>
  <r>
    <x v="1302"/>
    <x v="510"/>
    <x v="4"/>
    <x v="3"/>
    <x v="4"/>
    <s v="Mahadev Motors West Bengal"/>
    <x v="4"/>
    <x v="3"/>
    <x v="3"/>
    <x v="2"/>
    <n v="5"/>
    <n v="654920"/>
    <n v="7"/>
    <n v="3274600"/>
    <n v="0.32745999999999997"/>
    <n v="3045378"/>
    <n v="0.30453780000000003"/>
    <s v="Pending"/>
    <s v="Pending"/>
    <s v="Invalid"/>
    <s v="Pending"/>
  </r>
  <r>
    <x v="1303"/>
    <x v="176"/>
    <x v="1"/>
    <x v="0"/>
    <x v="1"/>
    <s v="Shakti Agro Karnataka"/>
    <x v="1"/>
    <x v="1"/>
    <x v="2"/>
    <x v="0"/>
    <n v="6"/>
    <n v="252060"/>
    <n v="8"/>
    <n v="1512360"/>
    <n v="0.15123600000000001"/>
    <n v="1391371.2"/>
    <n v="0.13913712"/>
    <s v="Partial"/>
    <s v="In Transit"/>
    <s v="Invalid"/>
    <s v="In Transit"/>
  </r>
  <r>
    <x v="1304"/>
    <x v="201"/>
    <x v="2"/>
    <x v="3"/>
    <x v="2"/>
    <s v="Mahadev Motors Maharashtra"/>
    <x v="2"/>
    <x v="2"/>
    <x v="4"/>
    <x v="1"/>
    <n v="8"/>
    <n v="550662"/>
    <n v="9"/>
    <n v="4405296"/>
    <n v="0.44052960000000002"/>
    <n v="4008819.3600000003"/>
    <n v="0.40088193600000005"/>
    <s v="Pending"/>
    <s v="Pending"/>
    <s v="Invalid"/>
    <s v="Pending"/>
  </r>
  <r>
    <x v="1305"/>
    <x v="511"/>
    <x v="2"/>
    <x v="3"/>
    <x v="0"/>
    <s v="Mahadev Motors Uttar Pradesh"/>
    <x v="0"/>
    <x v="0"/>
    <x v="0"/>
    <x v="0"/>
    <n v="3"/>
    <n v="803230"/>
    <n v="6"/>
    <n v="2409690"/>
    <n v="0.24096899999999999"/>
    <n v="2265108.6"/>
    <n v="0.22651086000000001"/>
    <s v="Pending"/>
    <s v="Pending"/>
    <s v="Valid"/>
    <s v="Pending"/>
  </r>
  <r>
    <x v="1306"/>
    <x v="485"/>
    <x v="2"/>
    <x v="2"/>
    <x v="0"/>
    <s v="Kisan Tractors Uttar Pradesh"/>
    <x v="0"/>
    <x v="0"/>
    <x v="1"/>
    <x v="1"/>
    <n v="3"/>
    <n v="79027"/>
    <n v="6"/>
    <n v="237081"/>
    <n v="2.3708099999999999E-2"/>
    <n v="222856.13999999998"/>
    <n v="2.2285613999999999E-2"/>
    <s v="Pending"/>
    <s v="Pending"/>
    <s v="Invalid"/>
    <s v="Pending"/>
  </r>
  <r>
    <x v="1307"/>
    <x v="422"/>
    <x v="0"/>
    <x v="0"/>
    <x v="1"/>
    <s v="Shakti Agro Karnataka"/>
    <x v="1"/>
    <x v="1"/>
    <x v="3"/>
    <x v="2"/>
    <n v="1"/>
    <n v="480359"/>
    <n v="3"/>
    <n v="480359"/>
    <n v="4.8035899999999999E-2"/>
    <n v="465948.23"/>
    <n v="4.6594823E-2"/>
    <s v="Pending"/>
    <s v="Pending"/>
    <s v="Valid"/>
    <s v="Pending"/>
  </r>
  <r>
    <x v="1308"/>
    <x v="193"/>
    <x v="0"/>
    <x v="2"/>
    <x v="2"/>
    <s v="Kisan Tractors Maharashtra"/>
    <x v="2"/>
    <x v="2"/>
    <x v="1"/>
    <x v="1"/>
    <n v="4"/>
    <n v="280912"/>
    <n v="6"/>
    <n v="1123648"/>
    <n v="0.1123648"/>
    <n v="1056229.1199999999"/>
    <n v="0.10562291199999999"/>
    <s v="Paid"/>
    <s v="Delivered"/>
    <s v="Invalid"/>
    <s v="Completed"/>
  </r>
  <r>
    <x v="1309"/>
    <x v="389"/>
    <x v="0"/>
    <x v="2"/>
    <x v="4"/>
    <s v="Kisan Tractors West Bengal"/>
    <x v="4"/>
    <x v="3"/>
    <x v="0"/>
    <x v="0"/>
    <n v="8"/>
    <n v="85096"/>
    <n v="9"/>
    <n v="680768"/>
    <n v="6.8076800000000007E-2"/>
    <n v="619498.88"/>
    <n v="6.1949888000000002E-2"/>
    <s v="Paid"/>
    <s v="Delivered"/>
    <s v="Invalid"/>
    <s v="Completed"/>
  </r>
  <r>
    <x v="1310"/>
    <x v="481"/>
    <x v="4"/>
    <x v="1"/>
    <x v="4"/>
    <s v="Green Field West Bengal"/>
    <x v="4"/>
    <x v="3"/>
    <x v="4"/>
    <x v="1"/>
    <n v="4"/>
    <n v="538692"/>
    <n v="6"/>
    <n v="2154768"/>
    <n v="0.2154768"/>
    <n v="2025481.92"/>
    <n v="0.20254819199999999"/>
    <s v="Pending"/>
    <s v="Pending"/>
    <s v="Invalid"/>
    <s v="Pending"/>
  </r>
  <r>
    <x v="1311"/>
    <x v="293"/>
    <x v="1"/>
    <x v="4"/>
    <x v="4"/>
    <s v="Agri Motors West Bengal"/>
    <x v="4"/>
    <x v="3"/>
    <x v="4"/>
    <x v="1"/>
    <n v="7"/>
    <n v="196870"/>
    <n v="9"/>
    <n v="1378090"/>
    <n v="0.13780899999999999"/>
    <n v="1254061.9000000001"/>
    <n v="0.12540619"/>
    <s v="Pending"/>
    <s v="Pending"/>
    <s v="Valid"/>
    <s v="Pending"/>
  </r>
  <r>
    <x v="1312"/>
    <x v="379"/>
    <x v="4"/>
    <x v="1"/>
    <x v="3"/>
    <s v="Green Field Haryana"/>
    <x v="3"/>
    <x v="0"/>
    <x v="3"/>
    <x v="2"/>
    <n v="5"/>
    <n v="488143"/>
    <n v="7"/>
    <n v="2440715"/>
    <n v="0.2440715"/>
    <n v="2269864.9499999997"/>
    <n v="0.22698649499999998"/>
    <s v="Paid"/>
    <s v="Delivered"/>
    <s v="Invalid"/>
    <s v="Completed"/>
  </r>
  <r>
    <x v="1313"/>
    <x v="157"/>
    <x v="2"/>
    <x v="2"/>
    <x v="1"/>
    <s v="Kisan Tractors Karnataka"/>
    <x v="1"/>
    <x v="1"/>
    <x v="4"/>
    <x v="1"/>
    <n v="6"/>
    <n v="874826"/>
    <n v="8"/>
    <n v="5248956"/>
    <n v="0.52489560000000002"/>
    <n v="4829039.5200000005"/>
    <n v="0.48290395200000003"/>
    <s v="Partial"/>
    <s v="In Transit"/>
    <s v="Valid"/>
    <s v="In Transit"/>
  </r>
  <r>
    <x v="1314"/>
    <x v="40"/>
    <x v="0"/>
    <x v="1"/>
    <x v="0"/>
    <s v="Green Field Uttar Pradesh"/>
    <x v="0"/>
    <x v="0"/>
    <x v="2"/>
    <x v="0"/>
    <n v="1"/>
    <n v="245415"/>
    <n v="3"/>
    <n v="245415"/>
    <n v="2.4541500000000001E-2"/>
    <n v="238052.55"/>
    <n v="2.3805254999999997E-2"/>
    <s v="Partial"/>
    <s v="In Transit"/>
    <s v="Valid"/>
    <s v="In Transit"/>
  </r>
  <r>
    <x v="1315"/>
    <x v="282"/>
    <x v="1"/>
    <x v="4"/>
    <x v="4"/>
    <s v="Agri Motors West Bengal"/>
    <x v="4"/>
    <x v="3"/>
    <x v="0"/>
    <x v="0"/>
    <n v="7"/>
    <n v="179633"/>
    <n v="9"/>
    <n v="1257431"/>
    <n v="0.1257431"/>
    <n v="1144262.21"/>
    <n v="0.11442622099999999"/>
    <s v="Partial"/>
    <s v="In Transit"/>
    <s v="Invalid"/>
    <s v="In Transit"/>
  </r>
  <r>
    <x v="1316"/>
    <x v="48"/>
    <x v="3"/>
    <x v="0"/>
    <x v="0"/>
    <s v="Shakti Agro Uttar Pradesh"/>
    <x v="0"/>
    <x v="0"/>
    <x v="3"/>
    <x v="2"/>
    <n v="2"/>
    <n v="171354"/>
    <n v="5"/>
    <n v="342708"/>
    <n v="3.4270799999999997E-2"/>
    <n v="325572.59999999998"/>
    <n v="3.2557259999999998E-2"/>
    <s v="Partial"/>
    <s v="In Transit"/>
    <s v="Invalid"/>
    <s v="In Transit"/>
  </r>
  <r>
    <x v="1317"/>
    <x v="455"/>
    <x v="4"/>
    <x v="2"/>
    <x v="4"/>
    <s v="Kisan Tractors West Bengal"/>
    <x v="4"/>
    <x v="3"/>
    <x v="2"/>
    <x v="0"/>
    <n v="8"/>
    <n v="309569"/>
    <n v="9"/>
    <n v="2476552"/>
    <n v="0.24765519999999999"/>
    <n v="2253662.3200000003"/>
    <n v="0.22536623200000003"/>
    <s v="Pending"/>
    <s v="Pending"/>
    <s v="Invalid"/>
    <s v="Pending"/>
  </r>
  <r>
    <x v="1318"/>
    <x v="482"/>
    <x v="4"/>
    <x v="1"/>
    <x v="1"/>
    <s v="Green Field Karnataka"/>
    <x v="1"/>
    <x v="1"/>
    <x v="3"/>
    <x v="2"/>
    <n v="7"/>
    <n v="694925"/>
    <n v="9"/>
    <n v="4864475"/>
    <n v="0.48644749999999998"/>
    <n v="4426672.25"/>
    <n v="0.442667225"/>
    <s v="Partial"/>
    <s v="In Transit"/>
    <s v="Valid"/>
    <s v="In Transit"/>
  </r>
  <r>
    <x v="1319"/>
    <x v="300"/>
    <x v="1"/>
    <x v="1"/>
    <x v="4"/>
    <s v="Green Field West Bengal"/>
    <x v="4"/>
    <x v="3"/>
    <x v="3"/>
    <x v="2"/>
    <n v="0"/>
    <n v="824378"/>
    <n v="0"/>
    <n v="0"/>
    <n v="0"/>
    <n v="0"/>
    <n v="0"/>
    <s v="Pending"/>
    <s v="Pending"/>
    <s v="Invalid"/>
    <s v="Pending"/>
  </r>
  <r>
    <x v="1320"/>
    <x v="23"/>
    <x v="1"/>
    <x v="4"/>
    <x v="2"/>
    <s v="Agri Motors Maharashtra"/>
    <x v="2"/>
    <x v="2"/>
    <x v="0"/>
    <x v="0"/>
    <n v="2"/>
    <n v="683652"/>
    <n v="5"/>
    <n v="1367304"/>
    <n v="0.1367304"/>
    <n v="1298938.8"/>
    <n v="0.12989388000000002"/>
    <s v="Partial"/>
    <s v="In Transit"/>
    <s v="Valid"/>
    <s v="In Transit"/>
  </r>
  <r>
    <x v="1321"/>
    <x v="60"/>
    <x v="3"/>
    <x v="2"/>
    <x v="0"/>
    <s v="Kisan Tractors Uttar Pradesh"/>
    <x v="0"/>
    <x v="0"/>
    <x v="0"/>
    <x v="0"/>
    <n v="7"/>
    <n v="533974"/>
    <n v="9"/>
    <n v="3737818"/>
    <n v="0.3737818"/>
    <n v="3401414.38"/>
    <n v="0.34014143799999996"/>
    <s v="Pending"/>
    <s v="Pending"/>
    <s v="Invalid"/>
    <s v="Pending"/>
  </r>
  <r>
    <x v="1322"/>
    <x v="362"/>
    <x v="0"/>
    <x v="2"/>
    <x v="2"/>
    <s v="Kisan Tractors Maharashtra"/>
    <x v="2"/>
    <x v="2"/>
    <x v="3"/>
    <x v="2"/>
    <n v="2"/>
    <n v="150248"/>
    <n v="5"/>
    <n v="300496"/>
    <n v="3.0049599999999999E-2"/>
    <n v="285471.2"/>
    <n v="2.8547120000000002E-2"/>
    <s v="Pending"/>
    <s v="Pending"/>
    <s v="Valid"/>
    <s v="Pending"/>
  </r>
  <r>
    <x v="1323"/>
    <x v="145"/>
    <x v="4"/>
    <x v="2"/>
    <x v="1"/>
    <s v="Kisan Tractors Karnataka"/>
    <x v="1"/>
    <x v="1"/>
    <x v="3"/>
    <x v="2"/>
    <n v="5"/>
    <n v="780932"/>
    <n v="7"/>
    <n v="3904660"/>
    <n v="0.39046599999999998"/>
    <n v="3631333.8"/>
    <n v="0.36313338000000001"/>
    <s v="Partial"/>
    <s v="In Transit"/>
    <s v="Invalid"/>
    <s v="In Transit"/>
  </r>
  <r>
    <x v="1324"/>
    <x v="470"/>
    <x v="3"/>
    <x v="2"/>
    <x v="2"/>
    <s v="Kisan Tractors Maharashtra"/>
    <x v="2"/>
    <x v="2"/>
    <x v="4"/>
    <x v="1"/>
    <n v="4"/>
    <n v="391114"/>
    <n v="6"/>
    <n v="1564456"/>
    <n v="0.15644559999999999"/>
    <n v="1470588.64"/>
    <n v="0.14705886399999998"/>
    <s v="Paid"/>
    <s v="Delivered"/>
    <s v="Valid"/>
    <s v="Completed"/>
  </r>
  <r>
    <x v="1325"/>
    <x v="391"/>
    <x v="4"/>
    <x v="1"/>
    <x v="4"/>
    <s v="Green Field West Bengal"/>
    <x v="4"/>
    <x v="3"/>
    <x v="3"/>
    <x v="2"/>
    <n v="6"/>
    <n v="824859"/>
    <n v="8"/>
    <n v="4949154"/>
    <n v="0.49491540000000001"/>
    <n v="4553221.6800000006"/>
    <n v="0.45532216800000008"/>
    <s v="Pending"/>
    <s v="Pending"/>
    <s v="Valid"/>
    <s v="Pending"/>
  </r>
  <r>
    <x v="1326"/>
    <x v="35"/>
    <x v="1"/>
    <x v="0"/>
    <x v="2"/>
    <s v="Shakti Agro Maharashtra"/>
    <x v="2"/>
    <x v="2"/>
    <x v="1"/>
    <x v="1"/>
    <n v="4"/>
    <n v="606806"/>
    <n v="6"/>
    <n v="2427224"/>
    <n v="0.2427224"/>
    <n v="2281590.56"/>
    <n v="0.228159056"/>
    <s v="Pending"/>
    <s v="Pending"/>
    <s v="Valid"/>
    <s v="Pending"/>
  </r>
  <r>
    <x v="1327"/>
    <x v="141"/>
    <x v="1"/>
    <x v="3"/>
    <x v="1"/>
    <s v="Mahadev Motors Karnataka"/>
    <x v="1"/>
    <x v="1"/>
    <x v="1"/>
    <x v="1"/>
    <n v="1"/>
    <n v="162648"/>
    <n v="3"/>
    <n v="162648"/>
    <n v="1.6264799999999999E-2"/>
    <n v="157768.56"/>
    <n v="1.5776855999999999E-2"/>
    <s v="Partial"/>
    <s v="In Transit"/>
    <s v="Invalid"/>
    <s v="In Transit"/>
  </r>
  <r>
    <x v="1328"/>
    <x v="126"/>
    <x v="1"/>
    <x v="0"/>
    <x v="4"/>
    <s v="Shakti Agro West Bengal"/>
    <x v="4"/>
    <x v="3"/>
    <x v="2"/>
    <x v="0"/>
    <n v="8"/>
    <n v="573801"/>
    <n v="9"/>
    <n v="4590408"/>
    <n v="0.45904080000000003"/>
    <n v="4177271.2800000003"/>
    <n v="0.417727128"/>
    <s v="Pending"/>
    <s v="Pending"/>
    <s v="Valid"/>
    <s v="Pending"/>
  </r>
  <r>
    <x v="1329"/>
    <x v="406"/>
    <x v="4"/>
    <x v="0"/>
    <x v="2"/>
    <s v="Shakti Agro Maharashtra"/>
    <x v="2"/>
    <x v="2"/>
    <x v="0"/>
    <x v="0"/>
    <n v="1"/>
    <n v="198805"/>
    <n v="3"/>
    <n v="198805"/>
    <n v="1.9880499999999999E-2"/>
    <n v="192840.85"/>
    <n v="1.9284084999999999E-2"/>
    <s v="Paid"/>
    <s v="Delivered"/>
    <s v="Invalid"/>
    <s v="Completed"/>
  </r>
  <r>
    <x v="1330"/>
    <x v="171"/>
    <x v="3"/>
    <x v="2"/>
    <x v="3"/>
    <s v="Kisan Tractors Haryana"/>
    <x v="3"/>
    <x v="0"/>
    <x v="3"/>
    <x v="2"/>
    <n v="4"/>
    <n v="714893"/>
    <n v="6"/>
    <n v="2859572"/>
    <n v="0.28595720000000002"/>
    <n v="2687997.6799999997"/>
    <n v="0.26879976799999999"/>
    <s v="Partial"/>
    <s v="In Transit"/>
    <s v="Invalid"/>
    <s v="In Transit"/>
  </r>
  <r>
    <x v="1331"/>
    <x v="390"/>
    <x v="3"/>
    <x v="0"/>
    <x v="4"/>
    <s v="Shakti Agro West Bengal"/>
    <x v="4"/>
    <x v="3"/>
    <x v="0"/>
    <x v="0"/>
    <n v="1"/>
    <n v="368626"/>
    <n v="3"/>
    <n v="368626"/>
    <n v="3.6862600000000002E-2"/>
    <n v="357567.22"/>
    <n v="3.5756721999999998E-2"/>
    <s v="Partial"/>
    <s v="In Transit"/>
    <s v="Invalid"/>
    <s v="In Transit"/>
  </r>
  <r>
    <x v="1332"/>
    <x v="362"/>
    <x v="2"/>
    <x v="2"/>
    <x v="1"/>
    <s v="Kisan Tractors Karnataka"/>
    <x v="1"/>
    <x v="1"/>
    <x v="2"/>
    <x v="0"/>
    <n v="1"/>
    <n v="224317"/>
    <n v="3"/>
    <n v="224317"/>
    <n v="2.2431699999999999E-2"/>
    <n v="217587.49"/>
    <n v="2.1758748999999997E-2"/>
    <s v="Pending"/>
    <s v="Pending"/>
    <s v="Invalid"/>
    <s v="Pending"/>
  </r>
  <r>
    <x v="1333"/>
    <x v="111"/>
    <x v="4"/>
    <x v="0"/>
    <x v="3"/>
    <s v="Shakti Agro Haryana"/>
    <x v="3"/>
    <x v="0"/>
    <x v="4"/>
    <x v="1"/>
    <n v="8"/>
    <n v="299051"/>
    <n v="9"/>
    <n v="2392408"/>
    <n v="0.2392408"/>
    <n v="2177091.2800000003"/>
    <n v="0.21770912800000003"/>
    <s v="Pending"/>
    <s v="Pending"/>
    <s v="Invalid"/>
    <s v="Pending"/>
  </r>
  <r>
    <x v="1334"/>
    <x v="70"/>
    <x v="3"/>
    <x v="0"/>
    <x v="1"/>
    <s v="Shakti Agro Karnataka"/>
    <x v="1"/>
    <x v="1"/>
    <x v="0"/>
    <x v="0"/>
    <n v="8"/>
    <n v="515209"/>
    <n v="9"/>
    <n v="4121672"/>
    <n v="0.41216720000000001"/>
    <n v="3750721.52"/>
    <n v="0.37507215199999999"/>
    <s v="Pending"/>
    <s v="Pending"/>
    <s v="Valid"/>
    <s v="Pending"/>
  </r>
  <r>
    <x v="1335"/>
    <x v="485"/>
    <x v="1"/>
    <x v="3"/>
    <x v="0"/>
    <s v="Mahadev Motors Uttar Pradesh"/>
    <x v="0"/>
    <x v="0"/>
    <x v="2"/>
    <x v="0"/>
    <n v="5"/>
    <n v="704298"/>
    <n v="7"/>
    <n v="3521490"/>
    <n v="0.35214899999999999"/>
    <n v="3274985.6999999997"/>
    <n v="0.32749856999999999"/>
    <s v="Pending"/>
    <s v="Pending"/>
    <s v="Invalid"/>
    <s v="Pending"/>
  </r>
  <r>
    <x v="1336"/>
    <x v="240"/>
    <x v="2"/>
    <x v="1"/>
    <x v="0"/>
    <s v="Green Field Uttar Pradesh"/>
    <x v="0"/>
    <x v="0"/>
    <x v="1"/>
    <x v="1"/>
    <n v="5"/>
    <n v="396633"/>
    <n v="7"/>
    <n v="1983165"/>
    <n v="0.19831650000000001"/>
    <n v="1844343.45"/>
    <n v="0.184434345"/>
    <s v="Pending"/>
    <s v="Pending"/>
    <s v="Invalid"/>
    <s v="Pending"/>
  </r>
  <r>
    <x v="1337"/>
    <x v="512"/>
    <x v="3"/>
    <x v="3"/>
    <x v="3"/>
    <s v="Mahadev Motors Haryana"/>
    <x v="3"/>
    <x v="0"/>
    <x v="2"/>
    <x v="0"/>
    <n v="8"/>
    <n v="541686"/>
    <n v="9"/>
    <n v="4333488"/>
    <n v="0.43334879999999998"/>
    <n v="3943474.08"/>
    <n v="0.39434740800000001"/>
    <s v="Pending"/>
    <s v="Pending"/>
    <s v="Valid"/>
    <s v="Pending"/>
  </r>
  <r>
    <x v="1338"/>
    <x v="370"/>
    <x v="2"/>
    <x v="3"/>
    <x v="0"/>
    <s v="Mahadev Motors Uttar Pradesh"/>
    <x v="0"/>
    <x v="0"/>
    <x v="2"/>
    <x v="0"/>
    <n v="7"/>
    <n v="728428"/>
    <n v="9"/>
    <n v="5098996"/>
    <n v="0.50989960000000001"/>
    <n v="4640086.3600000003"/>
    <n v="0.46400863600000003"/>
    <s v="Pending"/>
    <s v="Pending"/>
    <s v="Valid"/>
    <s v="Pending"/>
  </r>
  <r>
    <x v="1339"/>
    <x v="22"/>
    <x v="3"/>
    <x v="2"/>
    <x v="2"/>
    <s v="Kisan Tractors Maharashtra"/>
    <x v="2"/>
    <x v="2"/>
    <x v="1"/>
    <x v="1"/>
    <n v="8"/>
    <n v="767165"/>
    <n v="9"/>
    <n v="6137320"/>
    <n v="0.61373200000000006"/>
    <n v="5584961.2000000002"/>
    <n v="0.55849612000000004"/>
    <s v="Paid"/>
    <s v="Delivered"/>
    <s v="Invalid"/>
    <s v="Completed"/>
  </r>
  <r>
    <x v="1340"/>
    <x v="77"/>
    <x v="1"/>
    <x v="4"/>
    <x v="4"/>
    <s v="Agri Motors West Bengal"/>
    <x v="4"/>
    <x v="3"/>
    <x v="2"/>
    <x v="0"/>
    <n v="8"/>
    <n v="369452"/>
    <n v="9"/>
    <n v="2955616"/>
    <n v="0.29556159999999998"/>
    <n v="2689610.56"/>
    <n v="0.26896105600000003"/>
    <s v="Pending"/>
    <s v="Pending"/>
    <s v="Invalid"/>
    <s v="Pending"/>
  </r>
  <r>
    <x v="1341"/>
    <x v="513"/>
    <x v="4"/>
    <x v="2"/>
    <x v="2"/>
    <s v="Kisan Tractors Maharashtra"/>
    <x v="2"/>
    <x v="2"/>
    <x v="4"/>
    <x v="1"/>
    <n v="5"/>
    <n v="171437"/>
    <n v="7"/>
    <n v="857185"/>
    <n v="8.5718500000000003E-2"/>
    <n v="797182.04999999993"/>
    <n v="7.9718204999999986E-2"/>
    <s v="Paid"/>
    <s v="Delivered"/>
    <s v="Valid"/>
    <s v="Completed"/>
  </r>
  <r>
    <x v="1342"/>
    <x v="341"/>
    <x v="0"/>
    <x v="0"/>
    <x v="4"/>
    <s v="Shakti Agro West Bengal"/>
    <x v="4"/>
    <x v="3"/>
    <x v="3"/>
    <x v="2"/>
    <n v="8"/>
    <n v="569022"/>
    <n v="9"/>
    <n v="4552176"/>
    <n v="0.4552176"/>
    <n v="4142480.16"/>
    <n v="0.414248016"/>
    <s v="Partial"/>
    <s v="In Transit"/>
    <s v="Valid"/>
    <s v="In Transit"/>
  </r>
  <r>
    <x v="1343"/>
    <x v="461"/>
    <x v="4"/>
    <x v="4"/>
    <x v="0"/>
    <s v="Agri Motors Uttar Pradesh"/>
    <x v="0"/>
    <x v="0"/>
    <x v="2"/>
    <x v="0"/>
    <n v="2"/>
    <n v="484600"/>
    <n v="5"/>
    <n v="969200"/>
    <n v="9.6920000000000006E-2"/>
    <n v="920740"/>
    <n v="9.2074000000000003E-2"/>
    <s v="Pending"/>
    <s v="Pending"/>
    <s v="Valid"/>
    <s v="Pending"/>
  </r>
  <r>
    <x v="1344"/>
    <x v="179"/>
    <x v="0"/>
    <x v="1"/>
    <x v="3"/>
    <s v="Green Field Haryana"/>
    <x v="3"/>
    <x v="0"/>
    <x v="2"/>
    <x v="0"/>
    <n v="3"/>
    <n v="458777"/>
    <n v="6"/>
    <n v="1376331"/>
    <n v="0.13763310000000001"/>
    <n v="1293751.1399999999"/>
    <n v="0.12937511399999999"/>
    <s v="Partial"/>
    <s v="In Transit"/>
    <s v="Valid"/>
    <s v="In Transit"/>
  </r>
  <r>
    <x v="1345"/>
    <x v="437"/>
    <x v="0"/>
    <x v="0"/>
    <x v="0"/>
    <s v="Shakti Agro Uttar Pradesh"/>
    <x v="0"/>
    <x v="0"/>
    <x v="1"/>
    <x v="1"/>
    <n v="8"/>
    <n v="566434"/>
    <n v="9"/>
    <n v="4531472"/>
    <n v="0.45314719999999997"/>
    <n v="4123639.52"/>
    <n v="0.41236395199999998"/>
    <s v="Pending"/>
    <s v="Pending"/>
    <s v="Invalid"/>
    <s v="Pending"/>
  </r>
  <r>
    <x v="1346"/>
    <x v="412"/>
    <x v="4"/>
    <x v="4"/>
    <x v="3"/>
    <s v="Agri Motors Haryana"/>
    <x v="3"/>
    <x v="0"/>
    <x v="3"/>
    <x v="2"/>
    <n v="5"/>
    <n v="432790"/>
    <n v="7"/>
    <n v="2163950"/>
    <n v="0.216395"/>
    <n v="2012473.4999999998"/>
    <n v="0.20124734999999996"/>
    <s v="Partial"/>
    <s v="In Transit"/>
    <s v="Valid"/>
    <s v="In Transit"/>
  </r>
  <r>
    <x v="1347"/>
    <x v="514"/>
    <x v="3"/>
    <x v="1"/>
    <x v="4"/>
    <s v="Green Field West Bengal"/>
    <x v="4"/>
    <x v="3"/>
    <x v="1"/>
    <x v="1"/>
    <n v="3"/>
    <n v="530608"/>
    <n v="6"/>
    <n v="1591824"/>
    <n v="0.1591824"/>
    <n v="1496314.5599999998"/>
    <n v="0.149631456"/>
    <s v="Pending"/>
    <s v="Pending"/>
    <s v="Invalid"/>
    <s v="Pending"/>
  </r>
  <r>
    <x v="1348"/>
    <x v="47"/>
    <x v="1"/>
    <x v="1"/>
    <x v="3"/>
    <s v="Green Field Haryana"/>
    <x v="3"/>
    <x v="0"/>
    <x v="3"/>
    <x v="2"/>
    <n v="3"/>
    <n v="654966"/>
    <n v="6"/>
    <n v="1964898"/>
    <n v="0.19648979999999999"/>
    <n v="1847004.1199999999"/>
    <n v="0.18470041199999998"/>
    <s v="Paid"/>
    <s v="Delivered"/>
    <s v="Invalid"/>
    <s v="Completed"/>
  </r>
  <r>
    <x v="1349"/>
    <x v="286"/>
    <x v="2"/>
    <x v="4"/>
    <x v="2"/>
    <s v="Agri Motors Maharashtra"/>
    <x v="2"/>
    <x v="2"/>
    <x v="3"/>
    <x v="2"/>
    <n v="7"/>
    <n v="871041"/>
    <n v="9"/>
    <n v="6097287"/>
    <n v="0.60972870000000001"/>
    <n v="5548531.1699999999"/>
    <n v="0.55485311699999995"/>
    <s v="Paid"/>
    <s v="Delivered"/>
    <s v="Invalid"/>
    <s v="Completed"/>
  </r>
  <r>
    <x v="1350"/>
    <x v="154"/>
    <x v="2"/>
    <x v="2"/>
    <x v="1"/>
    <s v="Kisan Tractors Karnataka"/>
    <x v="1"/>
    <x v="1"/>
    <x v="3"/>
    <x v="2"/>
    <n v="1"/>
    <n v="551288"/>
    <n v="3"/>
    <n v="551288"/>
    <n v="5.5128799999999999E-2"/>
    <n v="534749.36"/>
    <n v="5.3474936000000001E-2"/>
    <s v="Pending"/>
    <s v="Pending"/>
    <s v="Invalid"/>
    <s v="Pending"/>
  </r>
  <r>
    <x v="1351"/>
    <x v="366"/>
    <x v="0"/>
    <x v="1"/>
    <x v="3"/>
    <s v="Green Field Haryana"/>
    <x v="3"/>
    <x v="0"/>
    <x v="0"/>
    <x v="0"/>
    <n v="1"/>
    <n v="384105"/>
    <n v="3"/>
    <n v="384105"/>
    <n v="3.84105E-2"/>
    <n v="372581.85"/>
    <n v="3.7258184999999999E-2"/>
    <s v="Paid"/>
    <s v="Delivered"/>
    <s v="Valid"/>
    <s v="Completed"/>
  </r>
  <r>
    <x v="1352"/>
    <x v="263"/>
    <x v="2"/>
    <x v="1"/>
    <x v="3"/>
    <s v="Green Field Haryana"/>
    <x v="3"/>
    <x v="0"/>
    <x v="1"/>
    <x v="1"/>
    <n v="0"/>
    <n v="845795"/>
    <n v="0"/>
    <n v="0"/>
    <n v="0"/>
    <n v="0"/>
    <n v="0"/>
    <s v="Pending"/>
    <s v="Pending"/>
    <s v="Invalid"/>
    <s v="Pending"/>
  </r>
  <r>
    <x v="1353"/>
    <x v="515"/>
    <x v="1"/>
    <x v="2"/>
    <x v="1"/>
    <s v="Kisan Tractors Karnataka"/>
    <x v="1"/>
    <x v="1"/>
    <x v="3"/>
    <x v="2"/>
    <n v="6"/>
    <n v="489473"/>
    <n v="8"/>
    <n v="2936838"/>
    <n v="0.29368379999999999"/>
    <n v="2701890.96"/>
    <n v="0.27018909600000002"/>
    <s v="Paid"/>
    <s v="Delivered"/>
    <s v="Invalid"/>
    <s v="Completed"/>
  </r>
  <r>
    <x v="1354"/>
    <x v="91"/>
    <x v="2"/>
    <x v="2"/>
    <x v="3"/>
    <s v="Kisan Tractors Haryana"/>
    <x v="3"/>
    <x v="0"/>
    <x v="2"/>
    <x v="0"/>
    <n v="6"/>
    <n v="391319"/>
    <n v="8"/>
    <n v="2347914"/>
    <n v="0.23479140000000001"/>
    <n v="2160080.88"/>
    <n v="0.21600808799999999"/>
    <s v="Paid"/>
    <s v="Delivered"/>
    <s v="Valid"/>
    <s v="Completed"/>
  </r>
  <r>
    <x v="1355"/>
    <x v="516"/>
    <x v="1"/>
    <x v="1"/>
    <x v="0"/>
    <s v="Green Field Uttar Pradesh"/>
    <x v="0"/>
    <x v="0"/>
    <x v="1"/>
    <x v="1"/>
    <n v="4"/>
    <n v="384965"/>
    <n v="6"/>
    <n v="1539860"/>
    <n v="0.15398600000000001"/>
    <n v="1447468.4"/>
    <n v="0.14474683999999999"/>
    <s v="Paid"/>
    <s v="Delivered"/>
    <s v="Invalid"/>
    <s v="Completed"/>
  </r>
  <r>
    <x v="1356"/>
    <x v="291"/>
    <x v="2"/>
    <x v="3"/>
    <x v="2"/>
    <s v="Mahadev Motors Maharashtra"/>
    <x v="2"/>
    <x v="2"/>
    <x v="2"/>
    <x v="0"/>
    <n v="4"/>
    <n v="211806"/>
    <n v="6"/>
    <n v="847224"/>
    <n v="8.4722400000000003E-2"/>
    <n v="796390.55999999994"/>
    <n v="7.9639056E-2"/>
    <s v="Paid"/>
    <s v="Delivered"/>
    <s v="Valid"/>
    <s v="Completed"/>
  </r>
  <r>
    <x v="1357"/>
    <x v="144"/>
    <x v="2"/>
    <x v="0"/>
    <x v="3"/>
    <s v="Shakti Agro Haryana"/>
    <x v="3"/>
    <x v="0"/>
    <x v="1"/>
    <x v="1"/>
    <n v="1"/>
    <n v="411553"/>
    <n v="3"/>
    <n v="411553"/>
    <n v="4.1155299999999999E-2"/>
    <n v="399206.41"/>
    <n v="3.9920641E-2"/>
    <s v="Paid"/>
    <s v="Delivered"/>
    <s v="Invalid"/>
    <s v="Completed"/>
  </r>
  <r>
    <x v="1358"/>
    <x v="120"/>
    <x v="3"/>
    <x v="2"/>
    <x v="2"/>
    <s v="Kisan Tractors Maharashtra"/>
    <x v="2"/>
    <x v="2"/>
    <x v="2"/>
    <x v="0"/>
    <n v="6"/>
    <n v="205448"/>
    <n v="8"/>
    <n v="1232688"/>
    <n v="0.1232688"/>
    <n v="1134072.96"/>
    <n v="0.11340729599999999"/>
    <s v="Pending"/>
    <s v="Pending"/>
    <s v="Invalid"/>
    <s v="Pending"/>
  </r>
  <r>
    <x v="1359"/>
    <x v="286"/>
    <x v="4"/>
    <x v="0"/>
    <x v="2"/>
    <s v="Shakti Agro Maharashtra"/>
    <x v="2"/>
    <x v="2"/>
    <x v="1"/>
    <x v="1"/>
    <n v="6"/>
    <n v="56125"/>
    <n v="8"/>
    <n v="336750"/>
    <n v="3.3674999999999997E-2"/>
    <n v="309810"/>
    <n v="3.0981000000000002E-2"/>
    <s v="Paid"/>
    <s v="Delivered"/>
    <s v="Invalid"/>
    <s v="Completed"/>
  </r>
  <r>
    <x v="1360"/>
    <x v="355"/>
    <x v="4"/>
    <x v="3"/>
    <x v="4"/>
    <s v="Mahadev Motors West Bengal"/>
    <x v="4"/>
    <x v="3"/>
    <x v="2"/>
    <x v="0"/>
    <n v="7"/>
    <n v="742899"/>
    <n v="9"/>
    <n v="5200293"/>
    <n v="0.52002930000000003"/>
    <n v="4732266.63"/>
    <n v="0.47322666299999999"/>
    <s v="Pending"/>
    <s v="Pending"/>
    <s v="Valid"/>
    <s v="Pending"/>
  </r>
  <r>
    <x v="1361"/>
    <x v="385"/>
    <x v="4"/>
    <x v="1"/>
    <x v="3"/>
    <s v="Green Field Haryana"/>
    <x v="3"/>
    <x v="0"/>
    <x v="0"/>
    <x v="0"/>
    <n v="1"/>
    <n v="348627"/>
    <n v="3"/>
    <n v="348627"/>
    <n v="3.4862700000000003E-2"/>
    <n v="338168.19"/>
    <n v="3.3816818999999998E-2"/>
    <s v="Paid"/>
    <s v="Delivered"/>
    <s v="Invalid"/>
    <s v="Completed"/>
  </r>
  <r>
    <x v="1362"/>
    <x v="29"/>
    <x v="0"/>
    <x v="2"/>
    <x v="4"/>
    <s v="Kisan Tractors West Bengal"/>
    <x v="4"/>
    <x v="3"/>
    <x v="2"/>
    <x v="0"/>
    <n v="1"/>
    <n v="104550"/>
    <n v="3"/>
    <n v="104550"/>
    <n v="1.0455000000000001E-2"/>
    <n v="101413.5"/>
    <n v="1.014135E-2"/>
    <s v="Paid"/>
    <s v="Delivered"/>
    <s v="Valid"/>
    <s v="Completed"/>
  </r>
  <r>
    <x v="1363"/>
    <x v="391"/>
    <x v="4"/>
    <x v="3"/>
    <x v="3"/>
    <s v="Mahadev Motors Haryana"/>
    <x v="3"/>
    <x v="0"/>
    <x v="2"/>
    <x v="0"/>
    <n v="8"/>
    <n v="254205"/>
    <n v="9"/>
    <n v="2033640"/>
    <n v="0.20336399999999999"/>
    <n v="1850612.4000000001"/>
    <n v="0.18506124000000002"/>
    <s v="Pending"/>
    <s v="Pending"/>
    <s v="Invalid"/>
    <s v="Pending"/>
  </r>
  <r>
    <x v="1364"/>
    <x v="517"/>
    <x v="2"/>
    <x v="0"/>
    <x v="3"/>
    <s v="Shakti Agro Haryana"/>
    <x v="3"/>
    <x v="0"/>
    <x v="0"/>
    <x v="0"/>
    <n v="2"/>
    <n v="358644"/>
    <n v="5"/>
    <n v="717288"/>
    <n v="7.1728799999999995E-2"/>
    <n v="681423.6"/>
    <n v="6.8142359999999999E-2"/>
    <s v="Paid"/>
    <s v="Delivered"/>
    <s v="Invalid"/>
    <s v="Completed"/>
  </r>
  <r>
    <x v="1365"/>
    <x v="409"/>
    <x v="4"/>
    <x v="3"/>
    <x v="4"/>
    <s v="Mahadev Motors West Bengal"/>
    <x v="4"/>
    <x v="3"/>
    <x v="2"/>
    <x v="0"/>
    <n v="1"/>
    <n v="207826"/>
    <n v="3"/>
    <n v="207826"/>
    <n v="2.0782599999999998E-2"/>
    <n v="201591.22"/>
    <n v="2.0159122000000002E-2"/>
    <s v="Paid"/>
    <s v="Delivered"/>
    <s v="Invalid"/>
    <s v="Completed"/>
  </r>
  <r>
    <x v="1366"/>
    <x v="136"/>
    <x v="2"/>
    <x v="1"/>
    <x v="2"/>
    <s v="Green Field Maharashtra"/>
    <x v="2"/>
    <x v="2"/>
    <x v="3"/>
    <x v="2"/>
    <n v="4"/>
    <n v="474960"/>
    <n v="6"/>
    <n v="1899840"/>
    <n v="0.18998399999999999"/>
    <n v="1785849.5999999999"/>
    <n v="0.17858495999999999"/>
    <s v="Paid"/>
    <s v="Delivered"/>
    <s v="Invalid"/>
    <s v="Completed"/>
  </r>
  <r>
    <x v="1367"/>
    <x v="233"/>
    <x v="3"/>
    <x v="1"/>
    <x v="0"/>
    <s v="Green Field Uttar Pradesh"/>
    <x v="0"/>
    <x v="0"/>
    <x v="4"/>
    <x v="1"/>
    <n v="1"/>
    <n v="830767"/>
    <n v="3"/>
    <n v="830767"/>
    <n v="8.3076700000000003E-2"/>
    <n v="805843.99"/>
    <n v="8.0584399000000001E-2"/>
    <s v="Partial"/>
    <s v="In Transit"/>
    <s v="Invalid"/>
    <s v="In Transit"/>
  </r>
  <r>
    <x v="1368"/>
    <x v="282"/>
    <x v="4"/>
    <x v="1"/>
    <x v="4"/>
    <s v="Green Field West Bengal"/>
    <x v="4"/>
    <x v="3"/>
    <x v="4"/>
    <x v="1"/>
    <n v="5"/>
    <n v="113625"/>
    <n v="7"/>
    <n v="568125"/>
    <n v="5.6812500000000002E-2"/>
    <n v="528356.25"/>
    <n v="5.2835624999999997E-2"/>
    <s v="Paid"/>
    <s v="Delivered"/>
    <s v="Invalid"/>
    <s v="Completed"/>
  </r>
  <r>
    <x v="1369"/>
    <x v="48"/>
    <x v="2"/>
    <x v="3"/>
    <x v="0"/>
    <s v="Mahadev Motors Uttar Pradesh"/>
    <x v="0"/>
    <x v="0"/>
    <x v="2"/>
    <x v="0"/>
    <n v="5"/>
    <n v="598315"/>
    <n v="7"/>
    <n v="2991575"/>
    <n v="0.29915750000000002"/>
    <n v="2782164.75"/>
    <n v="0.27821647500000002"/>
    <s v="Pending"/>
    <s v="Pending"/>
    <s v="Invalid"/>
    <s v="Pending"/>
  </r>
  <r>
    <x v="1370"/>
    <x v="253"/>
    <x v="3"/>
    <x v="3"/>
    <x v="2"/>
    <s v="Mahadev Motors Maharashtra"/>
    <x v="2"/>
    <x v="2"/>
    <x v="2"/>
    <x v="0"/>
    <n v="2"/>
    <n v="491669"/>
    <n v="5"/>
    <n v="983338"/>
    <n v="9.8333799999999999E-2"/>
    <n v="934171.1"/>
    <n v="9.3417109999999998E-2"/>
    <s v="Partial"/>
    <s v="In Transit"/>
    <s v="Invalid"/>
    <s v="In Transit"/>
  </r>
  <r>
    <x v="1371"/>
    <x v="372"/>
    <x v="2"/>
    <x v="2"/>
    <x v="2"/>
    <s v="Kisan Tractors Maharashtra"/>
    <x v="2"/>
    <x v="2"/>
    <x v="0"/>
    <x v="0"/>
    <n v="2"/>
    <n v="218269"/>
    <n v="5"/>
    <n v="436538"/>
    <n v="4.36538E-2"/>
    <n v="414711.1"/>
    <n v="4.1471109999999999E-2"/>
    <s v="Paid"/>
    <s v="Delivered"/>
    <s v="Invalid"/>
    <s v="Completed"/>
  </r>
  <r>
    <x v="1372"/>
    <x v="303"/>
    <x v="4"/>
    <x v="2"/>
    <x v="1"/>
    <s v="Kisan Tractors Karnataka"/>
    <x v="1"/>
    <x v="1"/>
    <x v="3"/>
    <x v="2"/>
    <n v="3"/>
    <n v="498064"/>
    <n v="6"/>
    <n v="1494192"/>
    <n v="0.1494192"/>
    <n v="1404540.48"/>
    <n v="0.140454048"/>
    <s v="Partial"/>
    <s v="In Transit"/>
    <s v="Valid"/>
    <s v="In Transit"/>
  </r>
  <r>
    <x v="1373"/>
    <x v="146"/>
    <x v="2"/>
    <x v="4"/>
    <x v="0"/>
    <s v="Agri Motors Uttar Pradesh"/>
    <x v="0"/>
    <x v="0"/>
    <x v="2"/>
    <x v="0"/>
    <n v="5"/>
    <n v="392424"/>
    <n v="7"/>
    <n v="1962120"/>
    <n v="0.196212"/>
    <n v="1824771.5999999999"/>
    <n v="0.18247716"/>
    <s v="Pending"/>
    <s v="Pending"/>
    <s v="Invalid"/>
    <s v="Pending"/>
  </r>
  <r>
    <x v="1374"/>
    <x v="502"/>
    <x v="4"/>
    <x v="1"/>
    <x v="3"/>
    <s v="Green Field Haryana"/>
    <x v="3"/>
    <x v="0"/>
    <x v="2"/>
    <x v="0"/>
    <n v="6"/>
    <n v="489205"/>
    <n v="8"/>
    <n v="2935230"/>
    <n v="0.29352299999999998"/>
    <n v="2700411.6"/>
    <n v="0.27004116"/>
    <s v="Pending"/>
    <s v="Pending"/>
    <s v="Valid"/>
    <s v="Pending"/>
  </r>
  <r>
    <x v="1375"/>
    <x v="65"/>
    <x v="2"/>
    <x v="2"/>
    <x v="1"/>
    <s v="Kisan Tractors Karnataka"/>
    <x v="1"/>
    <x v="1"/>
    <x v="2"/>
    <x v="0"/>
    <n v="5"/>
    <n v="161346"/>
    <n v="7"/>
    <n v="806730"/>
    <n v="8.0672999999999995E-2"/>
    <n v="750258.89999999991"/>
    <n v="7.5025889999999984E-2"/>
    <s v="Paid"/>
    <s v="Delivered"/>
    <s v="Invalid"/>
    <s v="Completed"/>
  </r>
  <r>
    <x v="1376"/>
    <x v="24"/>
    <x v="2"/>
    <x v="2"/>
    <x v="1"/>
    <s v="Kisan Tractors Karnataka"/>
    <x v="1"/>
    <x v="1"/>
    <x v="2"/>
    <x v="0"/>
    <n v="7"/>
    <n v="711821"/>
    <n v="9"/>
    <n v="4982747"/>
    <n v="0.49827470000000001"/>
    <n v="4534299.7700000005"/>
    <n v="0.45342997700000004"/>
    <s v="Paid"/>
    <s v="Delivered"/>
    <s v="Invalid"/>
    <s v="Completed"/>
  </r>
  <r>
    <x v="1377"/>
    <x v="93"/>
    <x v="2"/>
    <x v="1"/>
    <x v="4"/>
    <s v="Green Field West Bengal"/>
    <x v="4"/>
    <x v="3"/>
    <x v="3"/>
    <x v="2"/>
    <n v="7"/>
    <n v="259594"/>
    <n v="9"/>
    <n v="1817158"/>
    <n v="0.18171580000000001"/>
    <n v="1653613.78"/>
    <n v="0.165361378"/>
    <s v="Pending"/>
    <s v="Pending"/>
    <s v="Invalid"/>
    <s v="Pending"/>
  </r>
  <r>
    <x v="1378"/>
    <x v="314"/>
    <x v="2"/>
    <x v="3"/>
    <x v="1"/>
    <s v="Mahadev Motors Karnataka"/>
    <x v="1"/>
    <x v="1"/>
    <x v="2"/>
    <x v="0"/>
    <n v="1"/>
    <n v="290250"/>
    <n v="3"/>
    <n v="290250"/>
    <n v="2.9024999999999999E-2"/>
    <n v="281542.5"/>
    <n v="2.8154249999999999E-2"/>
    <s v="Pending"/>
    <s v="Pending"/>
    <s v="Valid"/>
    <s v="Pending"/>
  </r>
  <r>
    <x v="1379"/>
    <x v="304"/>
    <x v="4"/>
    <x v="1"/>
    <x v="0"/>
    <s v="Green Field Uttar Pradesh"/>
    <x v="0"/>
    <x v="0"/>
    <x v="3"/>
    <x v="2"/>
    <n v="1"/>
    <n v="343270"/>
    <n v="3"/>
    <n v="343270"/>
    <n v="3.4327000000000003E-2"/>
    <n v="332971.89999999997"/>
    <n v="3.3297189999999997E-2"/>
    <s v="Paid"/>
    <s v="Delivered"/>
    <s v="Invalid"/>
    <s v="Completed"/>
  </r>
  <r>
    <x v="1380"/>
    <x v="104"/>
    <x v="0"/>
    <x v="0"/>
    <x v="4"/>
    <s v="Shakti Agro West Bengal"/>
    <x v="4"/>
    <x v="3"/>
    <x v="3"/>
    <x v="2"/>
    <n v="8"/>
    <n v="352514"/>
    <n v="9"/>
    <n v="2820112"/>
    <n v="0.28201120000000002"/>
    <n v="2566301.92"/>
    <n v="0.25663019199999998"/>
    <s v="Partial"/>
    <s v="In Transit"/>
    <s v="Invalid"/>
    <s v="In Transit"/>
  </r>
  <r>
    <x v="1381"/>
    <x v="242"/>
    <x v="3"/>
    <x v="1"/>
    <x v="0"/>
    <s v="Green Field Uttar Pradesh"/>
    <x v="0"/>
    <x v="0"/>
    <x v="4"/>
    <x v="1"/>
    <n v="1"/>
    <n v="90831"/>
    <n v="3"/>
    <n v="90831"/>
    <n v="9.0831000000000002E-3"/>
    <n v="88106.069999999992"/>
    <n v="8.8106069999999998E-3"/>
    <s v="Pending"/>
    <s v="Pending"/>
    <s v="Invalid"/>
    <s v="Pending"/>
  </r>
  <r>
    <x v="1382"/>
    <x v="411"/>
    <x v="3"/>
    <x v="2"/>
    <x v="3"/>
    <s v="Kisan Tractors Haryana"/>
    <x v="3"/>
    <x v="0"/>
    <x v="4"/>
    <x v="1"/>
    <n v="2"/>
    <n v="566595"/>
    <n v="5"/>
    <n v="1133190"/>
    <n v="0.113319"/>
    <n v="1076530.5"/>
    <n v="0.10765305"/>
    <s v="Pending"/>
    <s v="Pending"/>
    <s v="Valid"/>
    <s v="Pending"/>
  </r>
  <r>
    <x v="1383"/>
    <x v="113"/>
    <x v="4"/>
    <x v="4"/>
    <x v="2"/>
    <s v="Agri Motors Maharashtra"/>
    <x v="2"/>
    <x v="2"/>
    <x v="3"/>
    <x v="2"/>
    <n v="8"/>
    <n v="134803"/>
    <n v="9"/>
    <n v="1078424"/>
    <n v="0.1078424"/>
    <n v="981365.84000000008"/>
    <n v="9.8136584000000013E-2"/>
    <s v="Pending"/>
    <s v="Pending"/>
    <s v="Invalid"/>
    <s v="Pending"/>
  </r>
  <r>
    <x v="1384"/>
    <x v="289"/>
    <x v="0"/>
    <x v="0"/>
    <x v="3"/>
    <s v="Shakti Agro Haryana"/>
    <x v="3"/>
    <x v="0"/>
    <x v="1"/>
    <x v="1"/>
    <n v="4"/>
    <n v="91615"/>
    <n v="6"/>
    <n v="366460"/>
    <n v="3.6645999999999998E-2"/>
    <n v="344472.39999999997"/>
    <n v="3.4447239999999997E-2"/>
    <s v="Paid"/>
    <s v="Delivered"/>
    <s v="Invalid"/>
    <s v="Completed"/>
  </r>
  <r>
    <x v="1385"/>
    <x v="30"/>
    <x v="4"/>
    <x v="4"/>
    <x v="2"/>
    <s v="Agri Motors Maharashtra"/>
    <x v="2"/>
    <x v="2"/>
    <x v="0"/>
    <x v="0"/>
    <n v="5"/>
    <n v="161803"/>
    <n v="7"/>
    <n v="809015"/>
    <n v="8.0901500000000001E-2"/>
    <n v="752383.95"/>
    <n v="7.5238395E-2"/>
    <s v="Partial"/>
    <s v="In Transit"/>
    <s v="Valid"/>
    <s v="In Transit"/>
  </r>
  <r>
    <x v="1386"/>
    <x v="159"/>
    <x v="3"/>
    <x v="0"/>
    <x v="2"/>
    <s v="Shakti Agro Maharashtra"/>
    <x v="2"/>
    <x v="2"/>
    <x v="2"/>
    <x v="0"/>
    <n v="3"/>
    <n v="276853"/>
    <n v="6"/>
    <n v="830559"/>
    <n v="8.3055900000000002E-2"/>
    <n v="780725.46"/>
    <n v="7.8072545999999993E-2"/>
    <s v="Pending"/>
    <s v="Pending"/>
    <s v="Valid"/>
    <s v="Pending"/>
  </r>
  <r>
    <x v="1387"/>
    <x v="59"/>
    <x v="2"/>
    <x v="0"/>
    <x v="1"/>
    <s v="Shakti Agro Karnataka"/>
    <x v="1"/>
    <x v="1"/>
    <x v="2"/>
    <x v="0"/>
    <n v="5"/>
    <n v="821281"/>
    <n v="7"/>
    <n v="4106405"/>
    <n v="0.41064050000000002"/>
    <n v="3818956.65"/>
    <n v="0.381895665"/>
    <s v="Pending"/>
    <s v="Pending"/>
    <s v="Valid"/>
    <s v="Pending"/>
  </r>
  <r>
    <x v="1388"/>
    <x v="87"/>
    <x v="1"/>
    <x v="3"/>
    <x v="1"/>
    <s v="Mahadev Motors Karnataka"/>
    <x v="1"/>
    <x v="1"/>
    <x v="3"/>
    <x v="2"/>
    <n v="8"/>
    <n v="495423"/>
    <n v="9"/>
    <n v="3963384"/>
    <n v="0.39633839999999998"/>
    <n v="3606679.44"/>
    <n v="0.36066794400000002"/>
    <s v="Partial"/>
    <s v="In Transit"/>
    <s v="Invalid"/>
    <s v="In Transit"/>
  </r>
  <r>
    <x v="1389"/>
    <x v="430"/>
    <x v="1"/>
    <x v="4"/>
    <x v="2"/>
    <s v="Agri Motors Maharashtra"/>
    <x v="2"/>
    <x v="2"/>
    <x v="0"/>
    <x v="0"/>
    <n v="3"/>
    <n v="548599"/>
    <n v="6"/>
    <n v="1645797"/>
    <n v="0.1645797"/>
    <n v="1547049.18"/>
    <n v="0.154704918"/>
    <s v="Pending"/>
    <s v="Pending"/>
    <s v="Invalid"/>
    <s v="Pending"/>
  </r>
  <r>
    <x v="1390"/>
    <x v="303"/>
    <x v="3"/>
    <x v="0"/>
    <x v="1"/>
    <s v="Shakti Agro Karnataka"/>
    <x v="1"/>
    <x v="1"/>
    <x v="3"/>
    <x v="2"/>
    <n v="2"/>
    <n v="343259"/>
    <n v="5"/>
    <n v="686518"/>
    <n v="6.8651799999999999E-2"/>
    <n v="652192.1"/>
    <n v="6.521921E-2"/>
    <s v="Pending"/>
    <s v="Pending"/>
    <s v="Valid"/>
    <s v="Pending"/>
  </r>
  <r>
    <x v="1391"/>
    <x v="272"/>
    <x v="1"/>
    <x v="3"/>
    <x v="2"/>
    <s v="Mahadev Motors Maharashtra"/>
    <x v="2"/>
    <x v="2"/>
    <x v="1"/>
    <x v="1"/>
    <n v="7"/>
    <n v="773258"/>
    <n v="9"/>
    <n v="5412806"/>
    <n v="0.5412806"/>
    <n v="4925653.46"/>
    <n v="0.49256534600000002"/>
    <s v="Paid"/>
    <s v="Delivered"/>
    <s v="Invalid"/>
    <s v="Completed"/>
  </r>
  <r>
    <x v="1392"/>
    <x v="385"/>
    <x v="0"/>
    <x v="0"/>
    <x v="0"/>
    <s v="Shakti Agro Uttar Pradesh"/>
    <x v="0"/>
    <x v="0"/>
    <x v="1"/>
    <x v="1"/>
    <n v="4"/>
    <n v="442119"/>
    <n v="6"/>
    <n v="1768476"/>
    <n v="0.17684759999999999"/>
    <n v="1662367.44"/>
    <n v="0.16623674399999999"/>
    <s v="Pending"/>
    <s v="Pending"/>
    <s v="Valid"/>
    <s v="Pending"/>
  </r>
  <r>
    <x v="1393"/>
    <x v="198"/>
    <x v="3"/>
    <x v="0"/>
    <x v="0"/>
    <s v="Shakti Agro Uttar Pradesh"/>
    <x v="0"/>
    <x v="0"/>
    <x v="1"/>
    <x v="1"/>
    <n v="6"/>
    <n v="795607"/>
    <n v="8"/>
    <n v="4773642"/>
    <n v="0.47736420000000002"/>
    <n v="4391750.6400000006"/>
    <n v="0.43917506400000006"/>
    <s v="Paid"/>
    <s v="Delivered"/>
    <s v="Invalid"/>
    <s v="Completed"/>
  </r>
  <r>
    <x v="1394"/>
    <x v="518"/>
    <x v="0"/>
    <x v="4"/>
    <x v="4"/>
    <s v="Agri Motors West Bengal"/>
    <x v="4"/>
    <x v="3"/>
    <x v="0"/>
    <x v="0"/>
    <n v="2"/>
    <n v="567791"/>
    <n v="5"/>
    <n v="1135582"/>
    <n v="0.1135582"/>
    <n v="1078802.8999999999"/>
    <n v="0.10788028999999999"/>
    <s v="Paid"/>
    <s v="Delivered"/>
    <s v="Valid"/>
    <s v="Completed"/>
  </r>
  <r>
    <x v="1395"/>
    <x v="415"/>
    <x v="3"/>
    <x v="3"/>
    <x v="1"/>
    <s v="Mahadev Motors Karnataka"/>
    <x v="1"/>
    <x v="1"/>
    <x v="3"/>
    <x v="2"/>
    <n v="7"/>
    <n v="319449"/>
    <n v="9"/>
    <n v="2236143"/>
    <n v="0.22361429999999999"/>
    <n v="2034890.1300000001"/>
    <n v="0.20348901300000002"/>
    <s v="Paid"/>
    <s v="Delivered"/>
    <s v="Invalid"/>
    <s v="Completed"/>
  </r>
  <r>
    <x v="1396"/>
    <x v="227"/>
    <x v="4"/>
    <x v="4"/>
    <x v="1"/>
    <s v="Agri Motors Karnataka"/>
    <x v="1"/>
    <x v="1"/>
    <x v="0"/>
    <x v="0"/>
    <n v="8"/>
    <n v="716603"/>
    <n v="9"/>
    <n v="5732824"/>
    <n v="0.57328239999999997"/>
    <n v="5216869.84"/>
    <n v="0.52168698400000002"/>
    <s v="Pending"/>
    <s v="Pending"/>
    <s v="Invalid"/>
    <s v="Pending"/>
  </r>
  <r>
    <x v="1397"/>
    <x v="262"/>
    <x v="2"/>
    <x v="4"/>
    <x v="1"/>
    <s v="Agri Motors Karnataka"/>
    <x v="1"/>
    <x v="1"/>
    <x v="3"/>
    <x v="2"/>
    <n v="6"/>
    <n v="620142"/>
    <n v="8"/>
    <n v="3720852"/>
    <n v="0.3720852"/>
    <n v="3423183.8400000003"/>
    <n v="0.34231838400000003"/>
    <s v="Partial"/>
    <s v="In Transit"/>
    <s v="Invalid"/>
    <s v="In Transit"/>
  </r>
  <r>
    <x v="1398"/>
    <x v="397"/>
    <x v="4"/>
    <x v="4"/>
    <x v="3"/>
    <s v="Agri Motors Haryana"/>
    <x v="3"/>
    <x v="0"/>
    <x v="4"/>
    <x v="1"/>
    <n v="4"/>
    <n v="765436"/>
    <n v="6"/>
    <n v="3061744"/>
    <n v="0.30617440000000001"/>
    <n v="2878039.36"/>
    <n v="0.28780393599999998"/>
    <s v="Pending"/>
    <s v="Pending"/>
    <s v="Valid"/>
    <s v="Pending"/>
  </r>
  <r>
    <x v="1399"/>
    <x v="406"/>
    <x v="1"/>
    <x v="1"/>
    <x v="4"/>
    <s v="Green Field West Bengal"/>
    <x v="4"/>
    <x v="3"/>
    <x v="3"/>
    <x v="2"/>
    <n v="6"/>
    <n v="521152"/>
    <n v="8"/>
    <n v="3126912"/>
    <n v="0.3126912"/>
    <n v="2876759.04"/>
    <n v="0.28767590399999998"/>
    <s v="Pending"/>
    <s v="Pending"/>
    <s v="Valid"/>
    <s v="Pending"/>
  </r>
  <r>
    <x v="1400"/>
    <x v="330"/>
    <x v="3"/>
    <x v="3"/>
    <x v="3"/>
    <s v="Mahadev Motors Haryana"/>
    <x v="3"/>
    <x v="0"/>
    <x v="2"/>
    <x v="0"/>
    <n v="5"/>
    <n v="811220"/>
    <n v="7"/>
    <n v="4056100"/>
    <n v="0.40561000000000003"/>
    <n v="3772172.9999999995"/>
    <n v="0.37721729999999998"/>
    <s v="Pending"/>
    <s v="Pending"/>
    <s v="Invalid"/>
    <s v="Pending"/>
  </r>
  <r>
    <x v="1401"/>
    <x v="392"/>
    <x v="0"/>
    <x v="2"/>
    <x v="0"/>
    <s v="Kisan Tractors Uttar Pradesh"/>
    <x v="0"/>
    <x v="0"/>
    <x v="4"/>
    <x v="1"/>
    <n v="8"/>
    <n v="769412"/>
    <n v="9"/>
    <n v="6155296"/>
    <n v="0.61552960000000001"/>
    <n v="5601319.3600000003"/>
    <n v="0.560131936"/>
    <s v="Partial"/>
    <s v="In Transit"/>
    <s v="Invalid"/>
    <s v="In Transit"/>
  </r>
  <r>
    <x v="1402"/>
    <x v="304"/>
    <x v="1"/>
    <x v="3"/>
    <x v="2"/>
    <s v="Mahadev Motors Maharashtra"/>
    <x v="2"/>
    <x v="2"/>
    <x v="0"/>
    <x v="0"/>
    <n v="3"/>
    <n v="375745"/>
    <n v="6"/>
    <n v="1127235"/>
    <n v="0.1127235"/>
    <n v="1059600.8999999999"/>
    <n v="0.10596008999999999"/>
    <s v="Pending"/>
    <s v="Pending"/>
    <s v="Invalid"/>
    <s v="Pending"/>
  </r>
  <r>
    <x v="1403"/>
    <x v="222"/>
    <x v="2"/>
    <x v="4"/>
    <x v="2"/>
    <s v="Agri Motors Maharashtra"/>
    <x v="2"/>
    <x v="2"/>
    <x v="0"/>
    <x v="0"/>
    <n v="5"/>
    <n v="65500"/>
    <n v="7"/>
    <n v="327500"/>
    <n v="3.2750000000000001E-2"/>
    <n v="304575"/>
    <n v="3.0457499999999998E-2"/>
    <s v="Paid"/>
    <s v="Delivered"/>
    <s v="Invalid"/>
    <s v="Completed"/>
  </r>
  <r>
    <x v="1404"/>
    <x v="411"/>
    <x v="0"/>
    <x v="0"/>
    <x v="1"/>
    <s v="Shakti Agro Karnataka"/>
    <x v="1"/>
    <x v="1"/>
    <x v="0"/>
    <x v="0"/>
    <n v="8"/>
    <n v="305499"/>
    <n v="9"/>
    <n v="2443992"/>
    <n v="0.24439920000000001"/>
    <n v="2224032.7200000002"/>
    <n v="0.22240327200000001"/>
    <s v="Pending"/>
    <s v="Pending"/>
    <s v="Valid"/>
    <s v="Pending"/>
  </r>
  <r>
    <x v="1405"/>
    <x v="272"/>
    <x v="3"/>
    <x v="0"/>
    <x v="4"/>
    <s v="Shakti Agro West Bengal"/>
    <x v="4"/>
    <x v="3"/>
    <x v="2"/>
    <x v="0"/>
    <n v="8"/>
    <n v="702511"/>
    <n v="9"/>
    <n v="5620088"/>
    <n v="0.56200879999999998"/>
    <n v="5114280.08"/>
    <n v="0.51142800799999999"/>
    <s v="Paid"/>
    <s v="Delivered"/>
    <s v="Invalid"/>
    <s v="Completed"/>
  </r>
  <r>
    <x v="1406"/>
    <x v="468"/>
    <x v="2"/>
    <x v="3"/>
    <x v="4"/>
    <s v="Mahadev Motors West Bengal"/>
    <x v="4"/>
    <x v="3"/>
    <x v="1"/>
    <x v="1"/>
    <n v="5"/>
    <n v="213453"/>
    <n v="7"/>
    <n v="1067265"/>
    <n v="0.1067265"/>
    <n v="992556.45"/>
    <n v="9.925564499999999E-2"/>
    <s v="Paid"/>
    <s v="Delivered"/>
    <s v="Valid"/>
    <s v="Completed"/>
  </r>
  <r>
    <x v="1407"/>
    <x v="277"/>
    <x v="4"/>
    <x v="2"/>
    <x v="1"/>
    <s v="Kisan Tractors Karnataka"/>
    <x v="1"/>
    <x v="1"/>
    <x v="2"/>
    <x v="0"/>
    <n v="8"/>
    <n v="201587"/>
    <n v="9"/>
    <n v="1612696"/>
    <n v="0.16126960000000001"/>
    <n v="1467553.36"/>
    <n v="0.14675533600000001"/>
    <s v="Paid"/>
    <s v="Delivered"/>
    <s v="Valid"/>
    <s v="Completed"/>
  </r>
  <r>
    <x v="1408"/>
    <x v="80"/>
    <x v="4"/>
    <x v="1"/>
    <x v="0"/>
    <s v="Green Field Uttar Pradesh"/>
    <x v="0"/>
    <x v="0"/>
    <x v="4"/>
    <x v="1"/>
    <n v="1"/>
    <n v="155735"/>
    <n v="3"/>
    <n v="155735"/>
    <n v="1.5573500000000001E-2"/>
    <n v="151062.94999999998"/>
    <n v="1.5106294999999999E-2"/>
    <s v="Partial"/>
    <s v="In Transit"/>
    <s v="Invalid"/>
    <s v="In Transit"/>
  </r>
  <r>
    <x v="1409"/>
    <x v="137"/>
    <x v="0"/>
    <x v="0"/>
    <x v="2"/>
    <s v="Shakti Agro Maharashtra"/>
    <x v="2"/>
    <x v="2"/>
    <x v="2"/>
    <x v="0"/>
    <n v="1"/>
    <n v="684967"/>
    <n v="3"/>
    <n v="684967"/>
    <n v="6.8496699999999994E-2"/>
    <n v="664417.99"/>
    <n v="6.6441798999999996E-2"/>
    <s v="Paid"/>
    <s v="Delivered"/>
    <s v="Invalid"/>
    <s v="Completed"/>
  </r>
  <r>
    <x v="1410"/>
    <x v="139"/>
    <x v="2"/>
    <x v="2"/>
    <x v="3"/>
    <s v="Kisan Tractors Haryana"/>
    <x v="3"/>
    <x v="0"/>
    <x v="2"/>
    <x v="0"/>
    <n v="2"/>
    <n v="873155"/>
    <n v="5"/>
    <n v="1746310"/>
    <n v="0.17463100000000001"/>
    <n v="1658994.5"/>
    <n v="0.16589945"/>
    <s v="Paid"/>
    <s v="Delivered"/>
    <s v="Valid"/>
    <s v="Completed"/>
  </r>
  <r>
    <x v="1411"/>
    <x v="456"/>
    <x v="1"/>
    <x v="0"/>
    <x v="2"/>
    <s v="Shakti Agro Maharashtra"/>
    <x v="2"/>
    <x v="2"/>
    <x v="1"/>
    <x v="1"/>
    <n v="7"/>
    <n v="84447"/>
    <n v="9"/>
    <n v="591129"/>
    <n v="5.9112900000000003E-2"/>
    <n v="537927.39"/>
    <n v="5.3792738999999999E-2"/>
    <s v="Paid"/>
    <s v="Delivered"/>
    <s v="Valid"/>
    <s v="Completed"/>
  </r>
  <r>
    <x v="1412"/>
    <x v="88"/>
    <x v="3"/>
    <x v="1"/>
    <x v="4"/>
    <s v="Green Field West Bengal"/>
    <x v="4"/>
    <x v="3"/>
    <x v="1"/>
    <x v="1"/>
    <n v="6"/>
    <n v="398930"/>
    <n v="8"/>
    <n v="2393580"/>
    <n v="0.23935799999999999"/>
    <n v="2202093.6"/>
    <n v="0.22020936000000002"/>
    <s v="Paid"/>
    <s v="Delivered"/>
    <s v="Valid"/>
    <s v="Completed"/>
  </r>
  <r>
    <x v="1413"/>
    <x v="282"/>
    <x v="2"/>
    <x v="4"/>
    <x v="2"/>
    <s v="Agri Motors Maharashtra"/>
    <x v="2"/>
    <x v="2"/>
    <x v="0"/>
    <x v="0"/>
    <n v="7"/>
    <n v="120741"/>
    <n v="9"/>
    <n v="845187"/>
    <n v="8.4518700000000002E-2"/>
    <n v="769120.17"/>
    <n v="7.6912016999999999E-2"/>
    <s v="Pending"/>
    <s v="Pending"/>
    <s v="Invalid"/>
    <s v="Pending"/>
  </r>
  <r>
    <x v="1414"/>
    <x v="519"/>
    <x v="3"/>
    <x v="0"/>
    <x v="3"/>
    <s v="Shakti Agro Haryana"/>
    <x v="3"/>
    <x v="0"/>
    <x v="3"/>
    <x v="2"/>
    <n v="2"/>
    <n v="323566"/>
    <n v="5"/>
    <n v="647132"/>
    <n v="6.4713199999999999E-2"/>
    <n v="614775.4"/>
    <n v="6.1477540000000004E-2"/>
    <s v="Paid"/>
    <s v="Delivered"/>
    <s v="Valid"/>
    <s v="Completed"/>
  </r>
  <r>
    <x v="1415"/>
    <x v="376"/>
    <x v="0"/>
    <x v="2"/>
    <x v="2"/>
    <s v="Kisan Tractors Maharashtra"/>
    <x v="2"/>
    <x v="2"/>
    <x v="2"/>
    <x v="0"/>
    <n v="2"/>
    <n v="849679"/>
    <n v="5"/>
    <n v="1699358"/>
    <n v="0.1699358"/>
    <n v="1614390.0999999999"/>
    <n v="0.16143900999999999"/>
    <s v="Pending"/>
    <s v="Pending"/>
    <s v="Invalid"/>
    <s v="Pending"/>
  </r>
  <r>
    <x v="1416"/>
    <x v="390"/>
    <x v="0"/>
    <x v="1"/>
    <x v="4"/>
    <s v="Green Field West Bengal"/>
    <x v="4"/>
    <x v="3"/>
    <x v="2"/>
    <x v="0"/>
    <n v="2"/>
    <n v="805851"/>
    <n v="5"/>
    <n v="1611702"/>
    <n v="0.16117020000000001"/>
    <n v="1531116.9"/>
    <n v="0.15311168999999999"/>
    <s v="Pending"/>
    <s v="Pending"/>
    <s v="Invalid"/>
    <s v="Pending"/>
  </r>
  <r>
    <x v="1417"/>
    <x v="295"/>
    <x v="2"/>
    <x v="2"/>
    <x v="3"/>
    <s v="Kisan Tractors Haryana"/>
    <x v="3"/>
    <x v="0"/>
    <x v="4"/>
    <x v="1"/>
    <n v="5"/>
    <n v="450175"/>
    <n v="7"/>
    <n v="2250875"/>
    <n v="0.2250875"/>
    <n v="2093313.7499999998"/>
    <n v="0.20933137499999999"/>
    <s v="Partial"/>
    <s v="In Transit"/>
    <s v="Invalid"/>
    <s v="In Transit"/>
  </r>
  <r>
    <x v="1418"/>
    <x v="288"/>
    <x v="1"/>
    <x v="4"/>
    <x v="4"/>
    <s v="Agri Motors West Bengal"/>
    <x v="4"/>
    <x v="3"/>
    <x v="1"/>
    <x v="1"/>
    <n v="6"/>
    <n v="637076"/>
    <n v="8"/>
    <n v="3822456"/>
    <n v="0.38224560000000002"/>
    <n v="3516659.52"/>
    <n v="0.351665952"/>
    <s v="Partial"/>
    <s v="In Transit"/>
    <s v="Invalid"/>
    <s v="In Transit"/>
  </r>
  <r>
    <x v="1419"/>
    <x v="321"/>
    <x v="1"/>
    <x v="1"/>
    <x v="1"/>
    <s v="Green Field Karnataka"/>
    <x v="1"/>
    <x v="1"/>
    <x v="2"/>
    <x v="0"/>
    <n v="1"/>
    <n v="815225"/>
    <n v="3"/>
    <n v="815225"/>
    <n v="8.1522499999999998E-2"/>
    <n v="790768.25"/>
    <n v="7.9076825000000003E-2"/>
    <s v="Paid"/>
    <s v="Delivered"/>
    <s v="Invalid"/>
    <s v="Completed"/>
  </r>
  <r>
    <x v="1420"/>
    <x v="229"/>
    <x v="2"/>
    <x v="0"/>
    <x v="4"/>
    <s v="Shakti Agro West Bengal"/>
    <x v="4"/>
    <x v="3"/>
    <x v="0"/>
    <x v="0"/>
    <n v="6"/>
    <n v="788381"/>
    <n v="8"/>
    <n v="4730286"/>
    <n v="0.47302860000000002"/>
    <n v="4351863.12"/>
    <n v="0.43518631200000002"/>
    <s v="Paid"/>
    <s v="Delivered"/>
    <s v="Invalid"/>
    <s v="Completed"/>
  </r>
  <r>
    <x v="1421"/>
    <x v="27"/>
    <x v="2"/>
    <x v="3"/>
    <x v="3"/>
    <s v="Mahadev Motors Haryana"/>
    <x v="3"/>
    <x v="0"/>
    <x v="0"/>
    <x v="0"/>
    <n v="0"/>
    <n v="832149"/>
    <n v="0"/>
    <n v="0"/>
    <n v="0"/>
    <n v="0"/>
    <n v="0"/>
    <s v="Partial"/>
    <s v="In Transit"/>
    <s v="Invalid"/>
    <s v="In Transit"/>
  </r>
  <r>
    <x v="1422"/>
    <x v="418"/>
    <x v="4"/>
    <x v="0"/>
    <x v="2"/>
    <s v="Shakti Agro Maharashtra"/>
    <x v="2"/>
    <x v="2"/>
    <x v="4"/>
    <x v="1"/>
    <n v="8"/>
    <n v="185100"/>
    <n v="9"/>
    <n v="1480800"/>
    <n v="0.14807999999999999"/>
    <n v="1347528"/>
    <n v="0.13475280000000001"/>
    <s v="Partial"/>
    <s v="In Transit"/>
    <s v="Invalid"/>
    <s v="In Transit"/>
  </r>
  <r>
    <x v="1423"/>
    <x v="26"/>
    <x v="2"/>
    <x v="2"/>
    <x v="4"/>
    <s v="Kisan Tractors West Bengal"/>
    <x v="4"/>
    <x v="3"/>
    <x v="1"/>
    <x v="1"/>
    <n v="4"/>
    <n v="164686"/>
    <n v="6"/>
    <n v="658744"/>
    <n v="6.58744E-2"/>
    <n v="619219.36"/>
    <n v="6.1921935999999997E-2"/>
    <s v="Partial"/>
    <s v="In Transit"/>
    <s v="Valid"/>
    <s v="In Transit"/>
  </r>
  <r>
    <x v="1424"/>
    <x v="397"/>
    <x v="4"/>
    <x v="2"/>
    <x v="0"/>
    <s v="Kisan Tractors Uttar Pradesh"/>
    <x v="0"/>
    <x v="0"/>
    <x v="4"/>
    <x v="1"/>
    <n v="7"/>
    <n v="129028"/>
    <n v="9"/>
    <n v="903196"/>
    <n v="9.03196E-2"/>
    <n v="821908.36"/>
    <n v="8.2190836000000003E-2"/>
    <s v="Paid"/>
    <s v="Delivered"/>
    <s v="Invalid"/>
    <s v="Completed"/>
  </r>
  <r>
    <x v="1425"/>
    <x v="12"/>
    <x v="0"/>
    <x v="4"/>
    <x v="0"/>
    <s v="Agri Motors Uttar Pradesh"/>
    <x v="0"/>
    <x v="0"/>
    <x v="2"/>
    <x v="0"/>
    <n v="3"/>
    <n v="742022"/>
    <n v="6"/>
    <n v="2226066"/>
    <n v="0.22260659999999999"/>
    <n v="2092502.0399999998"/>
    <n v="0.20925020399999997"/>
    <s v="Paid"/>
    <s v="Delivered"/>
    <s v="Invalid"/>
    <s v="Completed"/>
  </r>
  <r>
    <x v="1426"/>
    <x v="85"/>
    <x v="1"/>
    <x v="3"/>
    <x v="3"/>
    <s v="Mahadev Motors Haryana"/>
    <x v="3"/>
    <x v="0"/>
    <x v="2"/>
    <x v="0"/>
    <n v="2"/>
    <n v="400531"/>
    <n v="5"/>
    <n v="801062"/>
    <n v="8.0106200000000002E-2"/>
    <n v="761008.89999999991"/>
    <n v="7.610088999999999E-2"/>
    <s v="Paid"/>
    <s v="Delivered"/>
    <s v="Valid"/>
    <s v="Completed"/>
  </r>
  <r>
    <x v="1427"/>
    <x v="173"/>
    <x v="0"/>
    <x v="4"/>
    <x v="4"/>
    <s v="Agri Motors West Bengal"/>
    <x v="4"/>
    <x v="3"/>
    <x v="1"/>
    <x v="1"/>
    <n v="3"/>
    <n v="611926"/>
    <n v="6"/>
    <n v="1835778"/>
    <n v="0.18357780000000001"/>
    <n v="1725631.3199999998"/>
    <n v="0.17256313199999998"/>
    <s v="Partial"/>
    <s v="In Transit"/>
    <s v="Valid"/>
    <s v="In Transit"/>
  </r>
  <r>
    <x v="1428"/>
    <x v="493"/>
    <x v="0"/>
    <x v="1"/>
    <x v="4"/>
    <s v="Green Field West Bengal"/>
    <x v="4"/>
    <x v="3"/>
    <x v="4"/>
    <x v="1"/>
    <n v="3"/>
    <n v="274247"/>
    <n v="6"/>
    <n v="822741"/>
    <n v="8.2274100000000003E-2"/>
    <n v="773376.53999999992"/>
    <n v="7.7337653999999992E-2"/>
    <s v="Pending"/>
    <s v="Pending"/>
    <s v="Valid"/>
    <s v="Pending"/>
  </r>
  <r>
    <x v="1429"/>
    <x v="16"/>
    <x v="3"/>
    <x v="0"/>
    <x v="0"/>
    <s v="Shakti Agro Uttar Pradesh"/>
    <x v="0"/>
    <x v="0"/>
    <x v="2"/>
    <x v="0"/>
    <n v="3"/>
    <n v="844380"/>
    <n v="6"/>
    <n v="2533140"/>
    <n v="0.25331399999999998"/>
    <n v="2381151.6"/>
    <n v="0.23811516000000002"/>
    <s v="Paid"/>
    <s v="Delivered"/>
    <s v="Invalid"/>
    <s v="Completed"/>
  </r>
  <r>
    <x v="1430"/>
    <x v="433"/>
    <x v="2"/>
    <x v="1"/>
    <x v="1"/>
    <s v="Green Field Karnataka"/>
    <x v="1"/>
    <x v="1"/>
    <x v="1"/>
    <x v="1"/>
    <n v="1"/>
    <n v="295333"/>
    <n v="3"/>
    <n v="295333"/>
    <n v="2.9533299999999998E-2"/>
    <n v="286473.01"/>
    <n v="2.8647301E-2"/>
    <s v="Partial"/>
    <s v="In Transit"/>
    <s v="Invalid"/>
    <s v="In Transit"/>
  </r>
  <r>
    <x v="1431"/>
    <x v="436"/>
    <x v="3"/>
    <x v="2"/>
    <x v="4"/>
    <s v="Kisan Tractors West Bengal"/>
    <x v="4"/>
    <x v="3"/>
    <x v="1"/>
    <x v="1"/>
    <n v="8"/>
    <n v="624913"/>
    <n v="9"/>
    <n v="4999304"/>
    <n v="0.4999304"/>
    <n v="4549366.6400000006"/>
    <n v="0.45493666400000005"/>
    <s v="Pending"/>
    <s v="Pending"/>
    <s v="Invalid"/>
    <s v="Pending"/>
  </r>
  <r>
    <x v="1432"/>
    <x v="520"/>
    <x v="2"/>
    <x v="1"/>
    <x v="4"/>
    <s v="Green Field West Bengal"/>
    <x v="4"/>
    <x v="3"/>
    <x v="3"/>
    <x v="2"/>
    <n v="6"/>
    <n v="274006"/>
    <n v="8"/>
    <n v="1644036"/>
    <n v="0.16440360000000001"/>
    <n v="1512513.12"/>
    <n v="0.151251312"/>
    <s v="Pending"/>
    <s v="Pending"/>
    <s v="Valid"/>
    <s v="Pending"/>
  </r>
  <r>
    <x v="1433"/>
    <x v="257"/>
    <x v="2"/>
    <x v="0"/>
    <x v="4"/>
    <s v="Shakti Agro West Bengal"/>
    <x v="4"/>
    <x v="3"/>
    <x v="0"/>
    <x v="0"/>
    <n v="3"/>
    <n v="284574"/>
    <n v="6"/>
    <n v="853722"/>
    <n v="8.5372199999999995E-2"/>
    <n v="802498.67999999993"/>
    <n v="8.0249867999999988E-2"/>
    <s v="Paid"/>
    <s v="Delivered"/>
    <s v="Invalid"/>
    <s v="Completed"/>
  </r>
  <r>
    <x v="1434"/>
    <x v="90"/>
    <x v="4"/>
    <x v="1"/>
    <x v="2"/>
    <s v="Green Field Maharashtra"/>
    <x v="2"/>
    <x v="2"/>
    <x v="3"/>
    <x v="2"/>
    <n v="8"/>
    <n v="671872"/>
    <n v="9"/>
    <n v="5374976"/>
    <n v="0.53749760000000002"/>
    <n v="4891228.1600000001"/>
    <n v="0.48912281600000002"/>
    <s v="Pending"/>
    <s v="Pending"/>
    <s v="Invalid"/>
    <s v="Pending"/>
  </r>
  <r>
    <x v="1435"/>
    <x v="108"/>
    <x v="2"/>
    <x v="3"/>
    <x v="1"/>
    <s v="Mahadev Motors Karnataka"/>
    <x v="1"/>
    <x v="1"/>
    <x v="0"/>
    <x v="0"/>
    <n v="5"/>
    <n v="384007"/>
    <n v="7"/>
    <n v="1920035"/>
    <n v="0.19200349999999999"/>
    <n v="1785632.5499999998"/>
    <n v="0.17856325499999998"/>
    <s v="Pending"/>
    <s v="Pending"/>
    <s v="Invalid"/>
    <s v="Pending"/>
  </r>
  <r>
    <x v="1436"/>
    <x v="80"/>
    <x v="0"/>
    <x v="4"/>
    <x v="2"/>
    <s v="Agri Motors Maharashtra"/>
    <x v="2"/>
    <x v="2"/>
    <x v="2"/>
    <x v="0"/>
    <n v="5"/>
    <n v="464508"/>
    <n v="7"/>
    <n v="2322540"/>
    <n v="0.23225399999999999"/>
    <n v="2159962.1999999997"/>
    <n v="0.21599621999999996"/>
    <s v="Partial"/>
    <s v="In Transit"/>
    <s v="Valid"/>
    <s v="In Transit"/>
  </r>
  <r>
    <x v="1437"/>
    <x v="249"/>
    <x v="1"/>
    <x v="1"/>
    <x v="2"/>
    <s v="Green Field Maharashtra"/>
    <x v="2"/>
    <x v="2"/>
    <x v="2"/>
    <x v="0"/>
    <n v="7"/>
    <n v="559654"/>
    <n v="9"/>
    <n v="3917578"/>
    <n v="0.39175779999999999"/>
    <n v="3564995.98"/>
    <n v="0.35649959799999997"/>
    <s v="Pending"/>
    <s v="Pending"/>
    <s v="Invalid"/>
    <s v="Pending"/>
  </r>
  <r>
    <x v="1438"/>
    <x v="324"/>
    <x v="1"/>
    <x v="3"/>
    <x v="0"/>
    <s v="Mahadev Motors Uttar Pradesh"/>
    <x v="0"/>
    <x v="0"/>
    <x v="0"/>
    <x v="0"/>
    <n v="4"/>
    <n v="87322"/>
    <n v="6"/>
    <n v="349288"/>
    <n v="3.4928800000000003E-2"/>
    <n v="328330.71999999997"/>
    <n v="3.2833071999999998E-2"/>
    <s v="Partial"/>
    <s v="In Transit"/>
    <s v="Valid"/>
    <s v="In Transit"/>
  </r>
  <r>
    <x v="1439"/>
    <x v="152"/>
    <x v="0"/>
    <x v="0"/>
    <x v="1"/>
    <s v="Shakti Agro Karnataka"/>
    <x v="1"/>
    <x v="1"/>
    <x v="1"/>
    <x v="1"/>
    <n v="8"/>
    <n v="167317"/>
    <n v="9"/>
    <n v="1338536"/>
    <n v="0.13385359999999999"/>
    <n v="1218067.76"/>
    <n v="0.12180677600000001"/>
    <s v="Partial"/>
    <s v="In Transit"/>
    <s v="Valid"/>
    <s v="In Transit"/>
  </r>
  <r>
    <x v="1440"/>
    <x v="277"/>
    <x v="4"/>
    <x v="4"/>
    <x v="1"/>
    <s v="Agri Motors Karnataka"/>
    <x v="1"/>
    <x v="1"/>
    <x v="1"/>
    <x v="1"/>
    <n v="2"/>
    <n v="346795"/>
    <n v="5"/>
    <n v="693590"/>
    <n v="6.9359000000000004E-2"/>
    <n v="658910.5"/>
    <n v="6.5891050000000007E-2"/>
    <s v="Paid"/>
    <s v="Delivered"/>
    <s v="Valid"/>
    <s v="Completed"/>
  </r>
  <r>
    <x v="1441"/>
    <x v="521"/>
    <x v="2"/>
    <x v="2"/>
    <x v="1"/>
    <s v="Kisan Tractors Karnataka"/>
    <x v="1"/>
    <x v="1"/>
    <x v="1"/>
    <x v="1"/>
    <n v="4"/>
    <n v="623969"/>
    <n v="6"/>
    <n v="2495876"/>
    <n v="0.24958759999999999"/>
    <n v="2346123.44"/>
    <n v="0.234612344"/>
    <s v="Paid"/>
    <s v="Delivered"/>
    <s v="Valid"/>
    <s v="Completed"/>
  </r>
  <r>
    <x v="1442"/>
    <x v="246"/>
    <x v="1"/>
    <x v="0"/>
    <x v="2"/>
    <s v="Shakti Agro Maharashtra"/>
    <x v="2"/>
    <x v="2"/>
    <x v="1"/>
    <x v="1"/>
    <n v="2"/>
    <n v="382742"/>
    <n v="5"/>
    <n v="765484"/>
    <n v="7.6548400000000003E-2"/>
    <n v="727209.79999999993"/>
    <n v="7.2720979999999991E-2"/>
    <s v="Pending"/>
    <s v="Pending"/>
    <s v="Valid"/>
    <s v="Pending"/>
  </r>
  <r>
    <x v="1443"/>
    <x v="6"/>
    <x v="2"/>
    <x v="4"/>
    <x v="3"/>
    <s v="Agri Motors Haryana"/>
    <x v="3"/>
    <x v="0"/>
    <x v="4"/>
    <x v="1"/>
    <n v="4"/>
    <n v="327003"/>
    <n v="6"/>
    <n v="1308012"/>
    <n v="0.13080120000000001"/>
    <n v="1229531.28"/>
    <n v="0.12295312800000001"/>
    <s v="Pending"/>
    <s v="Pending"/>
    <s v="Invalid"/>
    <s v="Pending"/>
  </r>
  <r>
    <x v="1444"/>
    <x v="522"/>
    <x v="4"/>
    <x v="4"/>
    <x v="4"/>
    <s v="Agri Motors West Bengal"/>
    <x v="4"/>
    <x v="3"/>
    <x v="3"/>
    <x v="2"/>
    <n v="1"/>
    <n v="628581"/>
    <n v="3"/>
    <n v="628581"/>
    <n v="6.28581E-2"/>
    <n v="609723.56999999995"/>
    <n v="6.0972356999999998E-2"/>
    <s v="Paid"/>
    <s v="Delivered"/>
    <s v="Invalid"/>
    <s v="Completed"/>
  </r>
  <r>
    <x v="1445"/>
    <x v="288"/>
    <x v="1"/>
    <x v="2"/>
    <x v="3"/>
    <s v="Kisan Tractors Haryana"/>
    <x v="3"/>
    <x v="0"/>
    <x v="4"/>
    <x v="1"/>
    <n v="7"/>
    <n v="754275"/>
    <n v="9"/>
    <n v="5279925"/>
    <n v="0.52799249999999998"/>
    <n v="4804731.75"/>
    <n v="0.48047317499999997"/>
    <s v="Partial"/>
    <s v="In Transit"/>
    <s v="Valid"/>
    <s v="In Transit"/>
  </r>
  <r>
    <x v="1446"/>
    <x v="346"/>
    <x v="4"/>
    <x v="2"/>
    <x v="3"/>
    <s v="Kisan Tractors Haryana"/>
    <x v="3"/>
    <x v="0"/>
    <x v="3"/>
    <x v="2"/>
    <n v="8"/>
    <n v="157240"/>
    <n v="9"/>
    <n v="1257920"/>
    <n v="0.12579199999999999"/>
    <n v="1144707.2"/>
    <n v="0.11447072"/>
    <s v="Partial"/>
    <s v="In Transit"/>
    <s v="Invalid"/>
    <s v="In Transit"/>
  </r>
  <r>
    <x v="1447"/>
    <x v="21"/>
    <x v="0"/>
    <x v="4"/>
    <x v="2"/>
    <s v="Agri Motors Maharashtra"/>
    <x v="2"/>
    <x v="2"/>
    <x v="0"/>
    <x v="0"/>
    <n v="8"/>
    <n v="459961"/>
    <n v="9"/>
    <n v="3679688"/>
    <n v="0.36796879999999998"/>
    <n v="3348516.08"/>
    <n v="0.33485160800000002"/>
    <s v="Partial"/>
    <s v="In Transit"/>
    <s v="Invalid"/>
    <s v="In Transit"/>
  </r>
  <r>
    <x v="1448"/>
    <x v="120"/>
    <x v="1"/>
    <x v="2"/>
    <x v="3"/>
    <s v="Kisan Tractors Haryana"/>
    <x v="3"/>
    <x v="0"/>
    <x v="2"/>
    <x v="0"/>
    <n v="8"/>
    <n v="803509"/>
    <n v="9"/>
    <n v="6428072"/>
    <n v="0.64280720000000002"/>
    <n v="5849545.5200000005"/>
    <n v="0.58495455200000002"/>
    <s v="Partial"/>
    <s v="In Transit"/>
    <s v="Invalid"/>
    <s v="In Transit"/>
  </r>
  <r>
    <x v="1449"/>
    <x v="82"/>
    <x v="1"/>
    <x v="0"/>
    <x v="4"/>
    <s v="Shakti Agro West Bengal"/>
    <x v="4"/>
    <x v="3"/>
    <x v="4"/>
    <x v="1"/>
    <n v="2"/>
    <n v="891097"/>
    <n v="5"/>
    <n v="1782194"/>
    <n v="0.1782194"/>
    <n v="1693084.2999999998"/>
    <n v="0.16930842999999998"/>
    <s v="Partial"/>
    <s v="In Transit"/>
    <s v="Invalid"/>
    <s v="In Transit"/>
  </r>
  <r>
    <x v="1450"/>
    <x v="346"/>
    <x v="2"/>
    <x v="0"/>
    <x v="4"/>
    <s v="Shakti Agro West Bengal"/>
    <x v="4"/>
    <x v="3"/>
    <x v="3"/>
    <x v="2"/>
    <n v="8"/>
    <n v="395043"/>
    <n v="9"/>
    <n v="3160344"/>
    <n v="0.31603439999999999"/>
    <n v="2875913.04"/>
    <n v="0.28759130399999999"/>
    <s v="Paid"/>
    <s v="Delivered"/>
    <s v="Invalid"/>
    <s v="Completed"/>
  </r>
  <r>
    <x v="1451"/>
    <x v="301"/>
    <x v="0"/>
    <x v="1"/>
    <x v="0"/>
    <s v="Green Field Uttar Pradesh"/>
    <x v="0"/>
    <x v="0"/>
    <x v="2"/>
    <x v="0"/>
    <n v="1"/>
    <n v="593153"/>
    <n v="3"/>
    <n v="593153"/>
    <n v="5.9315300000000001E-2"/>
    <n v="575358.41"/>
    <n v="5.7535841000000004E-2"/>
    <s v="Paid"/>
    <s v="Delivered"/>
    <s v="Valid"/>
    <s v="Completed"/>
  </r>
  <r>
    <x v="1452"/>
    <x v="174"/>
    <x v="3"/>
    <x v="1"/>
    <x v="3"/>
    <s v="Green Field Haryana"/>
    <x v="3"/>
    <x v="0"/>
    <x v="4"/>
    <x v="1"/>
    <n v="3"/>
    <n v="387786"/>
    <n v="6"/>
    <n v="1163358"/>
    <n v="0.1163358"/>
    <n v="1093556.52"/>
    <n v="0.109355652"/>
    <s v="Paid"/>
    <s v="Delivered"/>
    <s v="Valid"/>
    <s v="Completed"/>
  </r>
  <r>
    <x v="1453"/>
    <x v="103"/>
    <x v="3"/>
    <x v="4"/>
    <x v="2"/>
    <s v="Agri Motors Maharashtra"/>
    <x v="2"/>
    <x v="2"/>
    <x v="2"/>
    <x v="0"/>
    <n v="7"/>
    <n v="677858"/>
    <n v="9"/>
    <n v="4745006"/>
    <n v="0.47450059999999999"/>
    <n v="4317955.46"/>
    <n v="0.43179554599999997"/>
    <s v="Paid"/>
    <s v="Delivered"/>
    <s v="Invalid"/>
    <s v="Completed"/>
  </r>
  <r>
    <x v="1454"/>
    <x v="322"/>
    <x v="1"/>
    <x v="2"/>
    <x v="0"/>
    <s v="Kisan Tractors Uttar Pradesh"/>
    <x v="0"/>
    <x v="0"/>
    <x v="4"/>
    <x v="1"/>
    <n v="1"/>
    <n v="216488"/>
    <n v="3"/>
    <n v="216488"/>
    <n v="2.1648799999999999E-2"/>
    <n v="209993.36"/>
    <n v="2.0999335999999997E-2"/>
    <s v="Paid"/>
    <s v="Delivered"/>
    <s v="Valid"/>
    <s v="Completed"/>
  </r>
  <r>
    <x v="1455"/>
    <x v="478"/>
    <x v="3"/>
    <x v="3"/>
    <x v="2"/>
    <s v="Mahadev Motors Maharashtra"/>
    <x v="2"/>
    <x v="2"/>
    <x v="3"/>
    <x v="2"/>
    <n v="3"/>
    <n v="867557"/>
    <n v="6"/>
    <n v="2602671"/>
    <n v="0.26026709999999997"/>
    <n v="2446510.7399999998"/>
    <n v="0.24465107399999997"/>
    <s v="Paid"/>
    <s v="Delivered"/>
    <s v="Invalid"/>
    <s v="Completed"/>
  </r>
  <r>
    <x v="1456"/>
    <x v="379"/>
    <x v="4"/>
    <x v="3"/>
    <x v="4"/>
    <s v="Mahadev Motors West Bengal"/>
    <x v="4"/>
    <x v="3"/>
    <x v="1"/>
    <x v="1"/>
    <n v="2"/>
    <n v="414751"/>
    <n v="5"/>
    <n v="829502"/>
    <n v="8.2950200000000002E-2"/>
    <n v="788026.89999999991"/>
    <n v="7.8802689999999995E-2"/>
    <s v="Partial"/>
    <s v="In Transit"/>
    <s v="Invalid"/>
    <s v="In Transit"/>
  </r>
  <r>
    <x v="1457"/>
    <x v="177"/>
    <x v="2"/>
    <x v="2"/>
    <x v="1"/>
    <s v="Kisan Tractors Karnataka"/>
    <x v="1"/>
    <x v="1"/>
    <x v="1"/>
    <x v="1"/>
    <n v="8"/>
    <n v="518227"/>
    <n v="9"/>
    <n v="4145816"/>
    <n v="0.41458159999999999"/>
    <n v="3772692.56"/>
    <n v="0.377269256"/>
    <s v="Paid"/>
    <s v="Delivered"/>
    <s v="Invalid"/>
    <s v="Completed"/>
  </r>
  <r>
    <x v="1458"/>
    <x v="215"/>
    <x v="2"/>
    <x v="1"/>
    <x v="2"/>
    <s v="Green Field Maharashtra"/>
    <x v="2"/>
    <x v="2"/>
    <x v="2"/>
    <x v="0"/>
    <n v="3"/>
    <n v="144932"/>
    <n v="6"/>
    <n v="434796"/>
    <n v="4.34796E-2"/>
    <n v="408708.24"/>
    <n v="4.0870824E-2"/>
    <s v="Paid"/>
    <s v="Delivered"/>
    <s v="Valid"/>
    <s v="Completed"/>
  </r>
  <r>
    <x v="1459"/>
    <x v="113"/>
    <x v="1"/>
    <x v="3"/>
    <x v="1"/>
    <s v="Mahadev Motors Karnataka"/>
    <x v="1"/>
    <x v="1"/>
    <x v="3"/>
    <x v="2"/>
    <n v="8"/>
    <n v="570227"/>
    <n v="9"/>
    <n v="4561816"/>
    <n v="0.45618160000000002"/>
    <n v="4151252.56"/>
    <n v="0.415125256"/>
    <s v="Pending"/>
    <s v="Pending"/>
    <s v="Invalid"/>
    <s v="Pending"/>
  </r>
  <r>
    <x v="1460"/>
    <x v="197"/>
    <x v="0"/>
    <x v="4"/>
    <x v="1"/>
    <s v="Agri Motors Karnataka"/>
    <x v="1"/>
    <x v="1"/>
    <x v="4"/>
    <x v="1"/>
    <n v="1"/>
    <n v="544983"/>
    <n v="3"/>
    <n v="544983"/>
    <n v="5.44983E-2"/>
    <n v="528633.51"/>
    <n v="5.2863351000000003E-2"/>
    <s v="Partial"/>
    <s v="In Transit"/>
    <s v="Invalid"/>
    <s v="In Transit"/>
  </r>
  <r>
    <x v="1461"/>
    <x v="313"/>
    <x v="2"/>
    <x v="4"/>
    <x v="3"/>
    <s v="Agri Motors Haryana"/>
    <x v="3"/>
    <x v="0"/>
    <x v="3"/>
    <x v="2"/>
    <n v="4"/>
    <n v="893220"/>
    <n v="6"/>
    <n v="3572880"/>
    <n v="0.35728799999999999"/>
    <n v="3358507.1999999997"/>
    <n v="0.33585071999999999"/>
    <s v="Pending"/>
    <s v="Pending"/>
    <s v="Invalid"/>
    <s v="Pending"/>
  </r>
  <r>
    <x v="1462"/>
    <x v="523"/>
    <x v="0"/>
    <x v="2"/>
    <x v="4"/>
    <s v="Kisan Tractors West Bengal"/>
    <x v="4"/>
    <x v="3"/>
    <x v="2"/>
    <x v="0"/>
    <n v="7"/>
    <n v="172807"/>
    <n v="9"/>
    <n v="1209649"/>
    <n v="0.1209649"/>
    <n v="1100780.5900000001"/>
    <n v="0.11007805900000001"/>
    <s v="Paid"/>
    <s v="Delivered"/>
    <s v="Valid"/>
    <s v="Completed"/>
  </r>
  <r>
    <x v="1463"/>
    <x v="472"/>
    <x v="3"/>
    <x v="3"/>
    <x v="2"/>
    <s v="Mahadev Motors Maharashtra"/>
    <x v="2"/>
    <x v="2"/>
    <x v="0"/>
    <x v="0"/>
    <n v="1"/>
    <n v="184626"/>
    <n v="3"/>
    <n v="184626"/>
    <n v="1.8462599999999999E-2"/>
    <n v="179087.22"/>
    <n v="1.7908721999999998E-2"/>
    <s v="Pending"/>
    <s v="Pending"/>
    <s v="Invalid"/>
    <s v="Pending"/>
  </r>
  <r>
    <x v="1464"/>
    <x v="146"/>
    <x v="2"/>
    <x v="3"/>
    <x v="2"/>
    <s v="Mahadev Motors Maharashtra"/>
    <x v="2"/>
    <x v="2"/>
    <x v="1"/>
    <x v="1"/>
    <n v="1"/>
    <n v="334139"/>
    <n v="3"/>
    <n v="334139"/>
    <n v="3.3413900000000003E-2"/>
    <n v="324114.83"/>
    <n v="3.2411483000000005E-2"/>
    <s v="Partial"/>
    <s v="In Transit"/>
    <s v="Invalid"/>
    <s v="In Transit"/>
  </r>
  <r>
    <x v="1465"/>
    <x v="471"/>
    <x v="0"/>
    <x v="2"/>
    <x v="3"/>
    <s v="Kisan Tractors Haryana"/>
    <x v="3"/>
    <x v="0"/>
    <x v="1"/>
    <x v="1"/>
    <n v="5"/>
    <n v="722418"/>
    <n v="7"/>
    <n v="3612090"/>
    <n v="0.361209"/>
    <n v="3359243.6999999997"/>
    <n v="0.33592436999999997"/>
    <s v="Paid"/>
    <s v="Delivered"/>
    <s v="Valid"/>
    <s v="Completed"/>
  </r>
  <r>
    <x v="1466"/>
    <x v="148"/>
    <x v="4"/>
    <x v="4"/>
    <x v="0"/>
    <s v="Agri Motors Uttar Pradesh"/>
    <x v="0"/>
    <x v="0"/>
    <x v="0"/>
    <x v="0"/>
    <n v="5"/>
    <n v="398000"/>
    <n v="7"/>
    <n v="1990000"/>
    <n v="0.19900000000000001"/>
    <n v="1850699.9999999998"/>
    <n v="0.18506999999999998"/>
    <s v="Partial"/>
    <s v="In Transit"/>
    <s v="Invalid"/>
    <s v="In Transit"/>
  </r>
  <r>
    <x v="1467"/>
    <x v="12"/>
    <x v="4"/>
    <x v="3"/>
    <x v="4"/>
    <s v="Mahadev Motors West Bengal"/>
    <x v="4"/>
    <x v="3"/>
    <x v="4"/>
    <x v="1"/>
    <n v="2"/>
    <n v="259444"/>
    <n v="5"/>
    <n v="518888"/>
    <n v="5.1888799999999999E-2"/>
    <n v="492943.6"/>
    <n v="4.9294359999999995E-2"/>
    <s v="Paid"/>
    <s v="Delivered"/>
    <s v="Invalid"/>
    <s v="Completed"/>
  </r>
  <r>
    <x v="1468"/>
    <x v="288"/>
    <x v="3"/>
    <x v="1"/>
    <x v="0"/>
    <s v="Green Field Uttar Pradesh"/>
    <x v="0"/>
    <x v="0"/>
    <x v="0"/>
    <x v="0"/>
    <n v="7"/>
    <n v="363939"/>
    <n v="9"/>
    <n v="2547573"/>
    <n v="0.25475730000000002"/>
    <n v="2318291.4300000002"/>
    <n v="0.23182914300000002"/>
    <s v="Paid"/>
    <s v="Delivered"/>
    <s v="Valid"/>
    <s v="Completed"/>
  </r>
  <r>
    <x v="1469"/>
    <x v="452"/>
    <x v="1"/>
    <x v="2"/>
    <x v="4"/>
    <s v="Kisan Tractors West Bengal"/>
    <x v="4"/>
    <x v="3"/>
    <x v="1"/>
    <x v="1"/>
    <n v="3"/>
    <n v="531214"/>
    <n v="6"/>
    <n v="1593642"/>
    <n v="0.15936420000000001"/>
    <n v="1498023.48"/>
    <n v="0.149802348"/>
    <s v="Pending"/>
    <s v="Pending"/>
    <s v="Invalid"/>
    <s v="Pending"/>
  </r>
  <r>
    <x v="1470"/>
    <x v="307"/>
    <x v="1"/>
    <x v="1"/>
    <x v="2"/>
    <s v="Green Field Maharashtra"/>
    <x v="2"/>
    <x v="2"/>
    <x v="1"/>
    <x v="1"/>
    <n v="5"/>
    <n v="861749"/>
    <n v="7"/>
    <n v="4308745"/>
    <n v="0.43087449999999999"/>
    <n v="4007132.8499999996"/>
    <n v="0.40071328499999997"/>
    <s v="Pending"/>
    <s v="Pending"/>
    <s v="Valid"/>
    <s v="Pending"/>
  </r>
  <r>
    <x v="1471"/>
    <x v="500"/>
    <x v="2"/>
    <x v="0"/>
    <x v="0"/>
    <s v="Shakti Agro Uttar Pradesh"/>
    <x v="0"/>
    <x v="0"/>
    <x v="2"/>
    <x v="0"/>
    <n v="3"/>
    <n v="494468"/>
    <n v="6"/>
    <n v="1483404"/>
    <n v="0.14834040000000001"/>
    <n v="1394399.76"/>
    <n v="0.13943997599999999"/>
    <s v="Partial"/>
    <s v="In Transit"/>
    <s v="Invalid"/>
    <s v="In Transit"/>
  </r>
  <r>
    <x v="1472"/>
    <x v="72"/>
    <x v="4"/>
    <x v="1"/>
    <x v="2"/>
    <s v="Green Field Maharashtra"/>
    <x v="2"/>
    <x v="2"/>
    <x v="2"/>
    <x v="0"/>
    <n v="3"/>
    <n v="309703"/>
    <n v="6"/>
    <n v="929109"/>
    <n v="9.2910900000000005E-2"/>
    <n v="873362.46"/>
    <n v="8.7336245999999992E-2"/>
    <s v="Pending"/>
    <s v="Pending"/>
    <s v="Invalid"/>
    <s v="Pending"/>
  </r>
  <r>
    <x v="1473"/>
    <x v="11"/>
    <x v="0"/>
    <x v="1"/>
    <x v="3"/>
    <s v="Green Field Haryana"/>
    <x v="3"/>
    <x v="0"/>
    <x v="1"/>
    <x v="1"/>
    <n v="3"/>
    <n v="53622"/>
    <n v="6"/>
    <n v="160866"/>
    <n v="1.60866E-2"/>
    <n v="151214.03999999998"/>
    <n v="1.5121403999999998E-2"/>
    <s v="Pending"/>
    <s v="Pending"/>
    <s v="Invalid"/>
    <s v="Pending"/>
  </r>
  <r>
    <x v="1474"/>
    <x v="211"/>
    <x v="1"/>
    <x v="2"/>
    <x v="0"/>
    <s v="Kisan Tractors Uttar Pradesh"/>
    <x v="0"/>
    <x v="0"/>
    <x v="3"/>
    <x v="2"/>
    <n v="8"/>
    <n v="581605"/>
    <n v="9"/>
    <n v="4652840"/>
    <n v="0.46528399999999998"/>
    <n v="4234084.4000000004"/>
    <n v="0.42340844000000005"/>
    <s v="Partial"/>
    <s v="In Transit"/>
    <s v="Invalid"/>
    <s v="In Transit"/>
  </r>
  <r>
    <x v="1475"/>
    <x v="469"/>
    <x v="0"/>
    <x v="3"/>
    <x v="3"/>
    <s v="Mahadev Motors Haryana"/>
    <x v="3"/>
    <x v="0"/>
    <x v="1"/>
    <x v="1"/>
    <n v="1"/>
    <n v="593973"/>
    <n v="3"/>
    <n v="593973"/>
    <n v="5.93973E-2"/>
    <n v="576153.80999999994"/>
    <n v="5.7615380999999993E-2"/>
    <s v="Paid"/>
    <s v="Delivered"/>
    <s v="Invalid"/>
    <s v="Completed"/>
  </r>
  <r>
    <x v="1476"/>
    <x v="78"/>
    <x v="3"/>
    <x v="4"/>
    <x v="2"/>
    <s v="Agri Motors Maharashtra"/>
    <x v="2"/>
    <x v="2"/>
    <x v="2"/>
    <x v="0"/>
    <n v="3"/>
    <n v="304860"/>
    <n v="6"/>
    <n v="914580"/>
    <n v="9.1457999999999998E-2"/>
    <n v="859705.2"/>
    <n v="8.5970519999999995E-2"/>
    <s v="Paid"/>
    <s v="Delivered"/>
    <s v="Invalid"/>
    <s v="Completed"/>
  </r>
  <r>
    <x v="1477"/>
    <x v="245"/>
    <x v="1"/>
    <x v="2"/>
    <x v="0"/>
    <s v="Kisan Tractors Uttar Pradesh"/>
    <x v="0"/>
    <x v="0"/>
    <x v="2"/>
    <x v="0"/>
    <n v="7"/>
    <n v="171436"/>
    <n v="9"/>
    <n v="1200052"/>
    <n v="0.12000520000000001"/>
    <n v="1092047.32"/>
    <n v="0.10920473200000001"/>
    <s v="Partial"/>
    <s v="In Transit"/>
    <s v="Invalid"/>
    <s v="In Transit"/>
  </r>
  <r>
    <x v="1478"/>
    <x v="358"/>
    <x v="1"/>
    <x v="4"/>
    <x v="2"/>
    <s v="Agri Motors Maharashtra"/>
    <x v="2"/>
    <x v="2"/>
    <x v="4"/>
    <x v="1"/>
    <n v="7"/>
    <n v="668496"/>
    <n v="9"/>
    <n v="4679472"/>
    <n v="0.46794720000000001"/>
    <n v="4258319.5200000005"/>
    <n v="0.42583195200000007"/>
    <s v="Partial"/>
    <s v="In Transit"/>
    <s v="Valid"/>
    <s v="In Transit"/>
  </r>
  <r>
    <x v="1479"/>
    <x v="138"/>
    <x v="2"/>
    <x v="0"/>
    <x v="3"/>
    <s v="Shakti Agro Haryana"/>
    <x v="3"/>
    <x v="0"/>
    <x v="1"/>
    <x v="1"/>
    <n v="7"/>
    <n v="627031"/>
    <n v="9"/>
    <n v="4389217"/>
    <n v="0.43892170000000003"/>
    <n v="3994187.47"/>
    <n v="0.39941874700000002"/>
    <s v="Paid"/>
    <s v="Delivered"/>
    <s v="Invalid"/>
    <s v="Completed"/>
  </r>
  <r>
    <x v="1480"/>
    <x v="334"/>
    <x v="0"/>
    <x v="3"/>
    <x v="4"/>
    <s v="Mahadev Motors West Bengal"/>
    <x v="4"/>
    <x v="3"/>
    <x v="0"/>
    <x v="0"/>
    <n v="7"/>
    <n v="389352"/>
    <n v="9"/>
    <n v="2725464"/>
    <n v="0.27254640000000002"/>
    <n v="2480172.2400000002"/>
    <n v="0.24801722400000004"/>
    <s v="Paid"/>
    <s v="Delivered"/>
    <s v="Invalid"/>
    <s v="Completed"/>
  </r>
  <r>
    <x v="1481"/>
    <x v="212"/>
    <x v="1"/>
    <x v="1"/>
    <x v="0"/>
    <s v="Green Field Uttar Pradesh"/>
    <x v="0"/>
    <x v="0"/>
    <x v="0"/>
    <x v="0"/>
    <n v="5"/>
    <n v="70768"/>
    <n v="7"/>
    <n v="353840"/>
    <n v="3.5383999999999999E-2"/>
    <n v="329071.19999999995"/>
    <n v="3.2907119999999998E-2"/>
    <s v="Partial"/>
    <s v="In Transit"/>
    <s v="Valid"/>
    <s v="In Transit"/>
  </r>
  <r>
    <x v="1482"/>
    <x v="30"/>
    <x v="2"/>
    <x v="3"/>
    <x v="2"/>
    <s v="Mahadev Motors Maharashtra"/>
    <x v="2"/>
    <x v="2"/>
    <x v="2"/>
    <x v="0"/>
    <n v="7"/>
    <n v="794113"/>
    <n v="9"/>
    <n v="5558791"/>
    <n v="0.55587909999999996"/>
    <n v="5058499.8100000005"/>
    <n v="0.505849981"/>
    <s v="Pending"/>
    <s v="Pending"/>
    <s v="Valid"/>
    <s v="Pending"/>
  </r>
  <r>
    <x v="1483"/>
    <x v="249"/>
    <x v="4"/>
    <x v="3"/>
    <x v="0"/>
    <s v="Mahadev Motors Uttar Pradesh"/>
    <x v="0"/>
    <x v="0"/>
    <x v="3"/>
    <x v="2"/>
    <n v="5"/>
    <n v="860215"/>
    <n v="7"/>
    <n v="4301075"/>
    <n v="0.43010749999999998"/>
    <n v="3999999.7499999995"/>
    <n v="0.39999997499999995"/>
    <s v="Pending"/>
    <s v="Pending"/>
    <s v="Invalid"/>
    <s v="Pending"/>
  </r>
  <r>
    <x v="1484"/>
    <x v="466"/>
    <x v="2"/>
    <x v="1"/>
    <x v="3"/>
    <s v="Green Field Haryana"/>
    <x v="3"/>
    <x v="0"/>
    <x v="3"/>
    <x v="2"/>
    <n v="4"/>
    <n v="316503"/>
    <n v="6"/>
    <n v="1266012"/>
    <n v="0.1266012"/>
    <n v="1190051.28"/>
    <n v="0.119005128"/>
    <s v="Partial"/>
    <s v="In Transit"/>
    <s v="Valid"/>
    <s v="In Transit"/>
  </r>
  <r>
    <x v="1485"/>
    <x v="444"/>
    <x v="0"/>
    <x v="4"/>
    <x v="1"/>
    <s v="Agri Motors Karnataka"/>
    <x v="1"/>
    <x v="1"/>
    <x v="1"/>
    <x v="1"/>
    <n v="6"/>
    <n v="294214"/>
    <n v="8"/>
    <n v="1765284"/>
    <n v="0.1765284"/>
    <n v="1624061.28"/>
    <n v="0.16240612800000001"/>
    <s v="Paid"/>
    <s v="Delivered"/>
    <s v="Invalid"/>
    <s v="Completed"/>
  </r>
  <r>
    <x v="1486"/>
    <x v="163"/>
    <x v="4"/>
    <x v="2"/>
    <x v="4"/>
    <s v="Kisan Tractors West Bengal"/>
    <x v="4"/>
    <x v="3"/>
    <x v="0"/>
    <x v="0"/>
    <n v="3"/>
    <n v="302979"/>
    <n v="6"/>
    <n v="908937"/>
    <n v="9.0893699999999994E-2"/>
    <n v="854400.77999999991"/>
    <n v="8.5440077999999989E-2"/>
    <s v="Paid"/>
    <s v="Delivered"/>
    <s v="Invalid"/>
    <s v="Completed"/>
  </r>
  <r>
    <x v="1487"/>
    <x v="248"/>
    <x v="0"/>
    <x v="0"/>
    <x v="0"/>
    <s v="Shakti Agro Uttar Pradesh"/>
    <x v="0"/>
    <x v="0"/>
    <x v="4"/>
    <x v="1"/>
    <n v="2"/>
    <n v="549403"/>
    <n v="5"/>
    <n v="1098806"/>
    <n v="0.10988059999999999"/>
    <n v="1043865.7"/>
    <n v="0.10438657"/>
    <s v="Partial"/>
    <s v="In Transit"/>
    <s v="Invalid"/>
    <s v="In Transit"/>
  </r>
  <r>
    <x v="1488"/>
    <x v="433"/>
    <x v="2"/>
    <x v="3"/>
    <x v="2"/>
    <s v="Mahadev Motors Maharashtra"/>
    <x v="2"/>
    <x v="2"/>
    <x v="4"/>
    <x v="1"/>
    <n v="3"/>
    <n v="666528"/>
    <n v="6"/>
    <n v="1999584"/>
    <n v="0.19995840000000001"/>
    <n v="1879608.96"/>
    <n v="0.18796089599999999"/>
    <s v="Paid"/>
    <s v="Delivered"/>
    <s v="Valid"/>
    <s v="Completed"/>
  </r>
  <r>
    <x v="1489"/>
    <x v="461"/>
    <x v="4"/>
    <x v="2"/>
    <x v="4"/>
    <s v="Kisan Tractors West Bengal"/>
    <x v="4"/>
    <x v="3"/>
    <x v="0"/>
    <x v="0"/>
    <n v="3"/>
    <n v="617532"/>
    <n v="6"/>
    <n v="1852596"/>
    <n v="0.1852596"/>
    <n v="1741440.24"/>
    <n v="0.17414402400000001"/>
    <s v="Partial"/>
    <s v="In Transit"/>
    <s v="Valid"/>
    <s v="In Transit"/>
  </r>
  <r>
    <x v="1490"/>
    <x v="30"/>
    <x v="4"/>
    <x v="4"/>
    <x v="0"/>
    <s v="Agri Motors Uttar Pradesh"/>
    <x v="0"/>
    <x v="0"/>
    <x v="3"/>
    <x v="2"/>
    <n v="2"/>
    <n v="895665"/>
    <n v="5"/>
    <n v="1791330"/>
    <n v="0.17913299999999999"/>
    <n v="1701763.5"/>
    <n v="0.17017635"/>
    <s v="Partial"/>
    <s v="In Transit"/>
    <s v="Valid"/>
    <s v="In Transit"/>
  </r>
  <r>
    <x v="1491"/>
    <x v="143"/>
    <x v="3"/>
    <x v="3"/>
    <x v="1"/>
    <s v="Mahadev Motors Karnataka"/>
    <x v="1"/>
    <x v="1"/>
    <x v="0"/>
    <x v="0"/>
    <n v="6"/>
    <n v="395229"/>
    <n v="8"/>
    <n v="2371374"/>
    <n v="0.2371374"/>
    <n v="2181664.08"/>
    <n v="0.21816640800000001"/>
    <s v="Pending"/>
    <s v="Pending"/>
    <s v="Invalid"/>
    <s v="Pending"/>
  </r>
  <r>
    <x v="1492"/>
    <x v="257"/>
    <x v="3"/>
    <x v="1"/>
    <x v="3"/>
    <s v="Green Field Haryana"/>
    <x v="3"/>
    <x v="0"/>
    <x v="2"/>
    <x v="0"/>
    <n v="5"/>
    <n v="812736"/>
    <n v="7"/>
    <n v="4063680"/>
    <n v="0.40636800000000001"/>
    <n v="3779222.4"/>
    <n v="0.37792223999999996"/>
    <s v="Pending"/>
    <s v="Pending"/>
    <s v="Valid"/>
    <s v="Pending"/>
  </r>
  <r>
    <x v="1493"/>
    <x v="304"/>
    <x v="4"/>
    <x v="2"/>
    <x v="0"/>
    <s v="Kisan Tractors Uttar Pradesh"/>
    <x v="0"/>
    <x v="0"/>
    <x v="0"/>
    <x v="0"/>
    <n v="2"/>
    <n v="363766"/>
    <n v="5"/>
    <n v="727532"/>
    <n v="7.2753200000000004E-2"/>
    <n v="691155.4"/>
    <n v="6.9115540000000003E-2"/>
    <s v="Partial"/>
    <s v="In Transit"/>
    <s v="Invalid"/>
    <s v="In Transit"/>
  </r>
  <r>
    <x v="1494"/>
    <x v="123"/>
    <x v="3"/>
    <x v="4"/>
    <x v="3"/>
    <s v="Agri Motors Haryana"/>
    <x v="3"/>
    <x v="0"/>
    <x v="3"/>
    <x v="2"/>
    <n v="6"/>
    <n v="509952"/>
    <n v="8"/>
    <n v="3059712"/>
    <n v="0.3059712"/>
    <n v="2814935.04"/>
    <n v="0.28149350400000001"/>
    <s v="Pending"/>
    <s v="Pending"/>
    <s v="Invalid"/>
    <s v="Pending"/>
  </r>
  <r>
    <x v="1495"/>
    <x v="218"/>
    <x v="2"/>
    <x v="0"/>
    <x v="4"/>
    <s v="Shakti Agro West Bengal"/>
    <x v="4"/>
    <x v="3"/>
    <x v="2"/>
    <x v="0"/>
    <n v="7"/>
    <n v="343473"/>
    <n v="9"/>
    <n v="2404311"/>
    <n v="0.24043110000000001"/>
    <n v="2187923.0100000002"/>
    <n v="0.21879230100000002"/>
    <s v="Pending"/>
    <s v="Pending"/>
    <s v="Invalid"/>
    <s v="Pending"/>
  </r>
  <r>
    <x v="1496"/>
    <x v="270"/>
    <x v="2"/>
    <x v="4"/>
    <x v="2"/>
    <s v="Agri Motors Maharashtra"/>
    <x v="2"/>
    <x v="2"/>
    <x v="2"/>
    <x v="0"/>
    <n v="8"/>
    <n v="149830"/>
    <n v="9"/>
    <n v="1198640"/>
    <n v="0.119864"/>
    <n v="1090762.4000000001"/>
    <n v="0.10907624000000002"/>
    <s v="Pending"/>
    <s v="Pending"/>
    <s v="Invalid"/>
    <s v="Pending"/>
  </r>
  <r>
    <x v="1497"/>
    <x v="268"/>
    <x v="1"/>
    <x v="1"/>
    <x v="1"/>
    <s v="Green Field Karnataka"/>
    <x v="1"/>
    <x v="1"/>
    <x v="4"/>
    <x v="1"/>
    <n v="8"/>
    <n v="585006"/>
    <n v="9"/>
    <n v="4680048"/>
    <n v="0.4680048"/>
    <n v="4258843.68"/>
    <n v="0.42588436799999996"/>
    <s v="Pending"/>
    <s v="Pending"/>
    <s v="Invalid"/>
    <s v="Pending"/>
  </r>
  <r>
    <x v="1498"/>
    <x v="226"/>
    <x v="2"/>
    <x v="4"/>
    <x v="3"/>
    <s v="Agri Motors Haryana"/>
    <x v="3"/>
    <x v="0"/>
    <x v="4"/>
    <x v="1"/>
    <n v="1"/>
    <n v="222738"/>
    <n v="3"/>
    <n v="222738"/>
    <n v="2.22738E-2"/>
    <n v="216055.86"/>
    <n v="2.1605586E-2"/>
    <s v="Partial"/>
    <s v="In Transit"/>
    <s v="Valid"/>
    <s v="In Transit"/>
  </r>
  <r>
    <x v="1499"/>
    <x v="483"/>
    <x v="1"/>
    <x v="0"/>
    <x v="3"/>
    <s v="Shakti Agro Haryana"/>
    <x v="3"/>
    <x v="0"/>
    <x v="1"/>
    <x v="1"/>
    <n v="5"/>
    <n v="64819"/>
    <n v="7"/>
    <n v="324095"/>
    <n v="3.2409500000000001E-2"/>
    <n v="301408.34999999998"/>
    <n v="3.0140834999999998E-2"/>
    <s v="Pending"/>
    <s v="Pending"/>
    <s v="Valid"/>
    <s v="Pending"/>
  </r>
  <r>
    <x v="1500"/>
    <x v="422"/>
    <x v="4"/>
    <x v="0"/>
    <x v="0"/>
    <s v="Shakti Agro Uttar Pradesh"/>
    <x v="0"/>
    <x v="0"/>
    <x v="2"/>
    <x v="0"/>
    <n v="3"/>
    <n v="91971"/>
    <n v="6"/>
    <n v="275913"/>
    <n v="2.7591299999999999E-2"/>
    <n v="259358.21999999997"/>
    <n v="2.5935821999999997E-2"/>
    <s v="Pending"/>
    <s v="Pending"/>
    <s v="Valid"/>
    <s v="Pending"/>
  </r>
  <r>
    <x v="1501"/>
    <x v="431"/>
    <x v="1"/>
    <x v="4"/>
    <x v="0"/>
    <s v="Agri Motors Uttar Pradesh"/>
    <x v="0"/>
    <x v="0"/>
    <x v="4"/>
    <x v="1"/>
    <n v="5"/>
    <n v="572179"/>
    <n v="7"/>
    <n v="2860895"/>
    <n v="0.2860895"/>
    <n v="2660632.3499999996"/>
    <n v="0.26606323499999995"/>
    <s v="Partial"/>
    <s v="In Transit"/>
    <s v="Valid"/>
    <s v="In Transit"/>
  </r>
  <r>
    <x v="1502"/>
    <x v="361"/>
    <x v="3"/>
    <x v="3"/>
    <x v="0"/>
    <s v="Mahadev Motors Uttar Pradesh"/>
    <x v="0"/>
    <x v="0"/>
    <x v="1"/>
    <x v="1"/>
    <n v="8"/>
    <n v="789144"/>
    <n v="9"/>
    <n v="6313152"/>
    <n v="0.63131519999999997"/>
    <n v="5744968.3200000003"/>
    <n v="0.57449683200000001"/>
    <s v="Paid"/>
    <s v="Delivered"/>
    <s v="Valid"/>
    <s v="Completed"/>
  </r>
  <r>
    <x v="1503"/>
    <x v="333"/>
    <x v="1"/>
    <x v="1"/>
    <x v="0"/>
    <s v="Green Field Uttar Pradesh"/>
    <x v="0"/>
    <x v="0"/>
    <x v="2"/>
    <x v="0"/>
    <n v="6"/>
    <n v="177130"/>
    <n v="8"/>
    <n v="1062780"/>
    <n v="0.106278"/>
    <n v="977757.60000000009"/>
    <n v="9.7775760000000003E-2"/>
    <s v="Pending"/>
    <s v="Pending"/>
    <s v="Invalid"/>
    <s v="Pending"/>
  </r>
  <r>
    <x v="1504"/>
    <x v="466"/>
    <x v="0"/>
    <x v="3"/>
    <x v="1"/>
    <s v="Mahadev Motors Karnataka"/>
    <x v="1"/>
    <x v="1"/>
    <x v="0"/>
    <x v="0"/>
    <n v="2"/>
    <n v="450975"/>
    <n v="5"/>
    <n v="901950"/>
    <n v="9.0194999999999997E-2"/>
    <n v="856852.5"/>
    <n v="8.5685250000000004E-2"/>
    <s v="Pending"/>
    <s v="Pending"/>
    <s v="Invalid"/>
    <s v="Pending"/>
  </r>
  <r>
    <x v="1505"/>
    <x v="294"/>
    <x v="0"/>
    <x v="3"/>
    <x v="1"/>
    <s v="Mahadev Motors Karnataka"/>
    <x v="1"/>
    <x v="1"/>
    <x v="1"/>
    <x v="1"/>
    <n v="5"/>
    <n v="884548"/>
    <n v="7"/>
    <n v="4422740"/>
    <n v="0.442274"/>
    <n v="4113148.1999999997"/>
    <n v="0.41131481999999997"/>
    <s v="Partial"/>
    <s v="In Transit"/>
    <s v="Invalid"/>
    <s v="In Transit"/>
  </r>
  <r>
    <x v="1506"/>
    <x v="316"/>
    <x v="1"/>
    <x v="3"/>
    <x v="4"/>
    <s v="Mahadev Motors West Bengal"/>
    <x v="4"/>
    <x v="3"/>
    <x v="2"/>
    <x v="0"/>
    <n v="4"/>
    <n v="637327"/>
    <n v="6"/>
    <n v="2549308"/>
    <n v="0.25493080000000001"/>
    <n v="2396349.52"/>
    <n v="0.23963495200000001"/>
    <s v="Paid"/>
    <s v="Delivered"/>
    <s v="Invalid"/>
    <s v="Completed"/>
  </r>
  <r>
    <x v="1507"/>
    <x v="312"/>
    <x v="4"/>
    <x v="0"/>
    <x v="1"/>
    <s v="Shakti Agro Karnataka"/>
    <x v="1"/>
    <x v="1"/>
    <x v="2"/>
    <x v="0"/>
    <n v="6"/>
    <n v="438666"/>
    <n v="8"/>
    <n v="2631996"/>
    <n v="0.26319959999999998"/>
    <n v="2421436.3200000003"/>
    <n v="0.24214363200000003"/>
    <s v="Partial"/>
    <s v="In Transit"/>
    <s v="Valid"/>
    <s v="In Transit"/>
  </r>
  <r>
    <x v="1508"/>
    <x v="459"/>
    <x v="0"/>
    <x v="3"/>
    <x v="0"/>
    <s v="Mahadev Motors Uttar Pradesh"/>
    <x v="0"/>
    <x v="0"/>
    <x v="3"/>
    <x v="2"/>
    <n v="5"/>
    <n v="335493"/>
    <n v="7"/>
    <n v="1677465"/>
    <n v="0.16774649999999999"/>
    <n v="1560042.45"/>
    <n v="0.15600424499999999"/>
    <s v="Pending"/>
    <s v="Pending"/>
    <s v="Invalid"/>
    <s v="Pending"/>
  </r>
  <r>
    <x v="1509"/>
    <x v="301"/>
    <x v="3"/>
    <x v="2"/>
    <x v="4"/>
    <s v="Kisan Tractors West Bengal"/>
    <x v="4"/>
    <x v="3"/>
    <x v="2"/>
    <x v="0"/>
    <n v="3"/>
    <n v="309566"/>
    <n v="6"/>
    <n v="928698"/>
    <n v="9.2869800000000002E-2"/>
    <n v="872976.12"/>
    <n v="8.7297611999999997E-2"/>
    <s v="Partial"/>
    <s v="In Transit"/>
    <s v="Invalid"/>
    <s v="In Transit"/>
  </r>
  <r>
    <x v="1510"/>
    <x v="520"/>
    <x v="4"/>
    <x v="4"/>
    <x v="1"/>
    <s v="Agri Motors Karnataka"/>
    <x v="1"/>
    <x v="1"/>
    <x v="1"/>
    <x v="1"/>
    <n v="5"/>
    <n v="309503"/>
    <n v="7"/>
    <n v="1547515"/>
    <n v="0.15475149999999999"/>
    <n v="1439188.95"/>
    <n v="0.14391889499999999"/>
    <s v="Paid"/>
    <s v="Delivered"/>
    <s v="Invalid"/>
    <s v="Completed"/>
  </r>
  <r>
    <x v="1511"/>
    <x v="326"/>
    <x v="4"/>
    <x v="1"/>
    <x v="1"/>
    <s v="Green Field Karnataka"/>
    <x v="1"/>
    <x v="1"/>
    <x v="4"/>
    <x v="1"/>
    <n v="5"/>
    <n v="108201"/>
    <n v="7"/>
    <n v="541005"/>
    <n v="5.4100500000000003E-2"/>
    <n v="503134.64999999997"/>
    <n v="5.0313464999999995E-2"/>
    <s v="Paid"/>
    <s v="Delivered"/>
    <s v="Valid"/>
    <s v="Completed"/>
  </r>
  <r>
    <x v="1512"/>
    <x v="524"/>
    <x v="2"/>
    <x v="0"/>
    <x v="2"/>
    <s v="Shakti Agro Maharashtra"/>
    <x v="2"/>
    <x v="2"/>
    <x v="3"/>
    <x v="2"/>
    <n v="1"/>
    <n v="618086"/>
    <n v="3"/>
    <n v="618086"/>
    <n v="6.1808599999999998E-2"/>
    <n v="599543.41999999993"/>
    <n v="5.9954341999999994E-2"/>
    <s v="Paid"/>
    <s v="Delivered"/>
    <s v="Valid"/>
    <s v="Completed"/>
  </r>
  <r>
    <x v="1513"/>
    <x v="281"/>
    <x v="2"/>
    <x v="0"/>
    <x v="3"/>
    <s v="Shakti Agro Haryana"/>
    <x v="3"/>
    <x v="0"/>
    <x v="3"/>
    <x v="2"/>
    <n v="7"/>
    <n v="465362"/>
    <n v="9"/>
    <n v="3257534"/>
    <n v="0.32575340000000003"/>
    <n v="2964355.94"/>
    <n v="0.29643559399999997"/>
    <s v="Pending"/>
    <s v="Pending"/>
    <s v="Valid"/>
    <s v="Pending"/>
  </r>
  <r>
    <x v="1514"/>
    <x v="216"/>
    <x v="0"/>
    <x v="2"/>
    <x v="2"/>
    <s v="Kisan Tractors Maharashtra"/>
    <x v="2"/>
    <x v="2"/>
    <x v="3"/>
    <x v="2"/>
    <n v="3"/>
    <n v="418764"/>
    <n v="6"/>
    <n v="1256292"/>
    <n v="0.1256292"/>
    <n v="1180914.48"/>
    <n v="0.118091448"/>
    <s v="Partial"/>
    <s v="In Transit"/>
    <s v="Invalid"/>
    <s v="In Transit"/>
  </r>
  <r>
    <x v="1515"/>
    <x v="4"/>
    <x v="3"/>
    <x v="0"/>
    <x v="2"/>
    <s v="Shakti Agro Maharashtra"/>
    <x v="2"/>
    <x v="2"/>
    <x v="0"/>
    <x v="0"/>
    <n v="3"/>
    <n v="839506"/>
    <n v="6"/>
    <n v="2518518"/>
    <n v="0.25185180000000001"/>
    <n v="2367406.92"/>
    <n v="0.236740692"/>
    <s v="Paid"/>
    <s v="Delivered"/>
    <s v="Invalid"/>
    <s v="Completed"/>
  </r>
  <r>
    <x v="1516"/>
    <x v="525"/>
    <x v="3"/>
    <x v="0"/>
    <x v="0"/>
    <s v="Shakti Agro Uttar Pradesh"/>
    <x v="0"/>
    <x v="0"/>
    <x v="1"/>
    <x v="1"/>
    <n v="6"/>
    <n v="635022"/>
    <n v="8"/>
    <n v="3810132"/>
    <n v="0.3810132"/>
    <n v="3505321.44"/>
    <n v="0.35053214399999999"/>
    <s v="Pending"/>
    <s v="Pending"/>
    <s v="Invalid"/>
    <s v="Pending"/>
  </r>
  <r>
    <x v="1517"/>
    <x v="177"/>
    <x v="0"/>
    <x v="3"/>
    <x v="3"/>
    <s v="Mahadev Motors Haryana"/>
    <x v="3"/>
    <x v="0"/>
    <x v="2"/>
    <x v="0"/>
    <n v="3"/>
    <n v="896222"/>
    <n v="6"/>
    <n v="2688666"/>
    <n v="0.26886660000000001"/>
    <n v="2527346.04"/>
    <n v="0.25273460400000003"/>
    <s v="Paid"/>
    <s v="Delivered"/>
    <s v="Valid"/>
    <s v="Completed"/>
  </r>
  <r>
    <x v="1518"/>
    <x v="478"/>
    <x v="2"/>
    <x v="0"/>
    <x v="1"/>
    <s v="Shakti Agro Karnataka"/>
    <x v="1"/>
    <x v="1"/>
    <x v="0"/>
    <x v="0"/>
    <n v="4"/>
    <n v="182282"/>
    <n v="6"/>
    <n v="729128"/>
    <n v="7.29128E-2"/>
    <n v="685380.32"/>
    <n v="6.8538031999999999E-2"/>
    <s v="Paid"/>
    <s v="Delivered"/>
    <s v="Invalid"/>
    <s v="Completed"/>
  </r>
  <r>
    <x v="1519"/>
    <x v="242"/>
    <x v="3"/>
    <x v="2"/>
    <x v="1"/>
    <s v="Kisan Tractors Karnataka"/>
    <x v="1"/>
    <x v="1"/>
    <x v="1"/>
    <x v="1"/>
    <n v="4"/>
    <n v="213053"/>
    <n v="6"/>
    <n v="852212"/>
    <n v="8.5221199999999997E-2"/>
    <n v="801079.27999999991"/>
    <n v="8.0107927999999995E-2"/>
    <s v="Pending"/>
    <s v="Pending"/>
    <s v="Invalid"/>
    <s v="Pending"/>
  </r>
  <r>
    <x v="1520"/>
    <x v="313"/>
    <x v="2"/>
    <x v="4"/>
    <x v="4"/>
    <s v="Agri Motors West Bengal"/>
    <x v="4"/>
    <x v="3"/>
    <x v="2"/>
    <x v="0"/>
    <n v="8"/>
    <n v="115486"/>
    <n v="9"/>
    <n v="923888"/>
    <n v="9.2388799999999993E-2"/>
    <n v="840738.08000000007"/>
    <n v="8.4073808000000014E-2"/>
    <s v="Paid"/>
    <s v="Delivered"/>
    <s v="Invalid"/>
    <s v="Completed"/>
  </r>
  <r>
    <x v="1521"/>
    <x v="526"/>
    <x v="0"/>
    <x v="1"/>
    <x v="0"/>
    <s v="Green Field Uttar Pradesh"/>
    <x v="0"/>
    <x v="0"/>
    <x v="3"/>
    <x v="2"/>
    <n v="6"/>
    <n v="526335"/>
    <n v="8"/>
    <n v="3158010"/>
    <n v="0.315801"/>
    <n v="2905369.2"/>
    <n v="0.29053692000000003"/>
    <s v="Pending"/>
    <s v="Pending"/>
    <s v="Invalid"/>
    <s v="Pending"/>
  </r>
  <r>
    <x v="1522"/>
    <x v="229"/>
    <x v="1"/>
    <x v="4"/>
    <x v="3"/>
    <s v="Agri Motors Haryana"/>
    <x v="3"/>
    <x v="0"/>
    <x v="4"/>
    <x v="1"/>
    <n v="2"/>
    <n v="806013"/>
    <n v="5"/>
    <n v="1612026"/>
    <n v="0.1612026"/>
    <n v="1531424.7"/>
    <n v="0.15314247"/>
    <s v="Partial"/>
    <s v="In Transit"/>
    <s v="Invalid"/>
    <s v="In Transit"/>
  </r>
  <r>
    <x v="1523"/>
    <x v="50"/>
    <x v="3"/>
    <x v="1"/>
    <x v="0"/>
    <s v="Green Field Uttar Pradesh"/>
    <x v="0"/>
    <x v="0"/>
    <x v="1"/>
    <x v="1"/>
    <n v="0"/>
    <n v="280738"/>
    <n v="0"/>
    <n v="0"/>
    <n v="0"/>
    <n v="0"/>
    <n v="0"/>
    <s v="Paid"/>
    <s v="Delivered"/>
    <s v="Valid"/>
    <s v="Completed"/>
  </r>
  <r>
    <x v="1524"/>
    <x v="102"/>
    <x v="0"/>
    <x v="3"/>
    <x v="1"/>
    <s v="Mahadev Motors Karnataka"/>
    <x v="1"/>
    <x v="1"/>
    <x v="0"/>
    <x v="0"/>
    <n v="3"/>
    <n v="226518"/>
    <n v="6"/>
    <n v="679554"/>
    <n v="6.7955399999999999E-2"/>
    <n v="638780.76"/>
    <n v="6.3878076000000006E-2"/>
    <s v="Pending"/>
    <s v="Pending"/>
    <s v="Invalid"/>
    <s v="Pending"/>
  </r>
  <r>
    <x v="1525"/>
    <x v="435"/>
    <x v="3"/>
    <x v="1"/>
    <x v="2"/>
    <s v="Green Field Maharashtra"/>
    <x v="2"/>
    <x v="2"/>
    <x v="0"/>
    <x v="0"/>
    <n v="8"/>
    <n v="424136"/>
    <n v="9"/>
    <n v="3393088"/>
    <n v="0.33930880000000002"/>
    <n v="3087710.08"/>
    <n v="0.30877100800000001"/>
    <s v="Pending"/>
    <s v="Pending"/>
    <s v="Invalid"/>
    <s v="Pending"/>
  </r>
  <r>
    <x v="1526"/>
    <x v="441"/>
    <x v="2"/>
    <x v="3"/>
    <x v="2"/>
    <s v="Mahadev Motors Maharashtra"/>
    <x v="2"/>
    <x v="2"/>
    <x v="4"/>
    <x v="1"/>
    <n v="4"/>
    <n v="610133"/>
    <n v="6"/>
    <n v="2440532"/>
    <n v="0.2440532"/>
    <n v="2294100.08"/>
    <n v="0.229410008"/>
    <s v="Pending"/>
    <s v="Pending"/>
    <s v="Valid"/>
    <s v="Pending"/>
  </r>
  <r>
    <x v="1527"/>
    <x v="38"/>
    <x v="0"/>
    <x v="1"/>
    <x v="3"/>
    <s v="Green Field Haryana"/>
    <x v="3"/>
    <x v="0"/>
    <x v="3"/>
    <x v="2"/>
    <n v="8"/>
    <n v="99809"/>
    <n v="9"/>
    <n v="798472"/>
    <n v="7.9847199999999993E-2"/>
    <n v="726609.52"/>
    <n v="7.2660952000000001E-2"/>
    <s v="Paid"/>
    <s v="Delivered"/>
    <s v="Invalid"/>
    <s v="Completed"/>
  </r>
  <r>
    <x v="1528"/>
    <x v="198"/>
    <x v="4"/>
    <x v="1"/>
    <x v="4"/>
    <s v="Green Field West Bengal"/>
    <x v="4"/>
    <x v="3"/>
    <x v="3"/>
    <x v="2"/>
    <n v="8"/>
    <n v="871884"/>
    <n v="9"/>
    <n v="6975072"/>
    <n v="0.69750719999999999"/>
    <n v="6347315.5200000005"/>
    <n v="0.63473155200000009"/>
    <s v="Pending"/>
    <s v="Pending"/>
    <s v="Invalid"/>
    <s v="Pending"/>
  </r>
  <r>
    <x v="1529"/>
    <x v="527"/>
    <x v="0"/>
    <x v="1"/>
    <x v="0"/>
    <s v="Green Field Uttar Pradesh"/>
    <x v="0"/>
    <x v="0"/>
    <x v="1"/>
    <x v="1"/>
    <n v="3"/>
    <n v="597444"/>
    <n v="6"/>
    <n v="1792332"/>
    <n v="0.17923320000000001"/>
    <n v="1684792.0799999998"/>
    <n v="0.16847920799999999"/>
    <s v="Pending"/>
    <s v="Pending"/>
    <s v="Invalid"/>
    <s v="Pending"/>
  </r>
  <r>
    <x v="1530"/>
    <x v="291"/>
    <x v="4"/>
    <x v="2"/>
    <x v="2"/>
    <s v="Kisan Tractors Maharashtra"/>
    <x v="2"/>
    <x v="2"/>
    <x v="1"/>
    <x v="1"/>
    <n v="2"/>
    <n v="323075"/>
    <n v="5"/>
    <n v="646150"/>
    <n v="6.4615000000000006E-2"/>
    <n v="613842.5"/>
    <n v="6.1384250000000001E-2"/>
    <s v="Paid"/>
    <s v="Delivered"/>
    <s v="Invalid"/>
    <s v="Completed"/>
  </r>
  <r>
    <x v="1531"/>
    <x v="283"/>
    <x v="0"/>
    <x v="4"/>
    <x v="4"/>
    <s v="Agri Motors West Bengal"/>
    <x v="4"/>
    <x v="3"/>
    <x v="3"/>
    <x v="2"/>
    <n v="2"/>
    <n v="847839"/>
    <n v="5"/>
    <n v="1695678"/>
    <n v="0.16956779999999999"/>
    <n v="1610894.0999999999"/>
    <n v="0.16108940999999999"/>
    <s v="Pending"/>
    <s v="Pending"/>
    <s v="Invalid"/>
    <s v="Pending"/>
  </r>
  <r>
    <x v="1532"/>
    <x v="24"/>
    <x v="2"/>
    <x v="1"/>
    <x v="2"/>
    <s v="Green Field Maharashtra"/>
    <x v="2"/>
    <x v="2"/>
    <x v="1"/>
    <x v="1"/>
    <n v="4"/>
    <n v="200308"/>
    <n v="6"/>
    <n v="801232"/>
    <n v="8.0123200000000006E-2"/>
    <n v="753158.08"/>
    <n v="7.5315807999999998E-2"/>
    <s v="Partial"/>
    <s v="In Transit"/>
    <s v="Invalid"/>
    <s v="In Transit"/>
  </r>
  <r>
    <x v="1533"/>
    <x v="390"/>
    <x v="2"/>
    <x v="2"/>
    <x v="3"/>
    <s v="Kisan Tractors Haryana"/>
    <x v="3"/>
    <x v="0"/>
    <x v="3"/>
    <x v="2"/>
    <n v="3"/>
    <n v="899332"/>
    <n v="6"/>
    <n v="2697996"/>
    <n v="0.26979959999999997"/>
    <n v="2536116.2399999998"/>
    <n v="0.25361162399999998"/>
    <s v="Paid"/>
    <s v="Delivered"/>
    <s v="Valid"/>
    <s v="Completed"/>
  </r>
  <r>
    <x v="1534"/>
    <x v="98"/>
    <x v="3"/>
    <x v="1"/>
    <x v="4"/>
    <s v="Green Field West Bengal"/>
    <x v="4"/>
    <x v="3"/>
    <x v="1"/>
    <x v="1"/>
    <n v="7"/>
    <n v="295109"/>
    <n v="9"/>
    <n v="2065763"/>
    <n v="0.20657629999999999"/>
    <n v="1879844.33"/>
    <n v="0.18798443300000001"/>
    <s v="Paid"/>
    <s v="Delivered"/>
    <s v="Invalid"/>
    <s v="Completed"/>
  </r>
  <r>
    <x v="1535"/>
    <x v="332"/>
    <x v="0"/>
    <x v="4"/>
    <x v="2"/>
    <s v="Agri Motors Maharashtra"/>
    <x v="2"/>
    <x v="2"/>
    <x v="1"/>
    <x v="1"/>
    <n v="6"/>
    <n v="328479"/>
    <n v="8"/>
    <n v="1970874"/>
    <n v="0.1970874"/>
    <n v="1813204.08"/>
    <n v="0.18132040800000002"/>
    <s v="Partial"/>
    <s v="In Transit"/>
    <s v="Invalid"/>
    <s v="In Transit"/>
  </r>
  <r>
    <x v="1536"/>
    <x v="281"/>
    <x v="1"/>
    <x v="2"/>
    <x v="4"/>
    <s v="Kisan Tractors West Bengal"/>
    <x v="4"/>
    <x v="3"/>
    <x v="2"/>
    <x v="0"/>
    <n v="1"/>
    <n v="139867"/>
    <n v="3"/>
    <n v="139867"/>
    <n v="1.3986699999999999E-2"/>
    <n v="135670.99"/>
    <n v="1.3567098999999999E-2"/>
    <s v="Partial"/>
    <s v="In Transit"/>
    <s v="Invalid"/>
    <s v="In Transit"/>
  </r>
  <r>
    <x v="1537"/>
    <x v="43"/>
    <x v="3"/>
    <x v="3"/>
    <x v="4"/>
    <s v="Mahadev Motors West Bengal"/>
    <x v="4"/>
    <x v="3"/>
    <x v="3"/>
    <x v="2"/>
    <n v="5"/>
    <n v="824449"/>
    <n v="7"/>
    <n v="4122245"/>
    <n v="0.41222449999999999"/>
    <n v="3833687.8499999996"/>
    <n v="0.38336878499999999"/>
    <s v="Pending"/>
    <s v="Pending"/>
    <s v="Invalid"/>
    <s v="Pending"/>
  </r>
  <r>
    <x v="1538"/>
    <x v="281"/>
    <x v="3"/>
    <x v="0"/>
    <x v="1"/>
    <s v="Shakti Agro Karnataka"/>
    <x v="1"/>
    <x v="1"/>
    <x v="0"/>
    <x v="0"/>
    <n v="2"/>
    <n v="709336"/>
    <n v="5"/>
    <n v="1418672"/>
    <n v="0.1418672"/>
    <n v="1347738.4"/>
    <n v="0.13477383999999998"/>
    <s v="Partial"/>
    <s v="In Transit"/>
    <s v="Invalid"/>
    <s v="In Transit"/>
  </r>
  <r>
    <x v="1539"/>
    <x v="289"/>
    <x v="1"/>
    <x v="3"/>
    <x v="3"/>
    <s v="Mahadev Motors Haryana"/>
    <x v="3"/>
    <x v="0"/>
    <x v="1"/>
    <x v="1"/>
    <n v="8"/>
    <n v="698811"/>
    <n v="9"/>
    <n v="5590488"/>
    <n v="0.55904880000000001"/>
    <n v="5087344.08"/>
    <n v="0.50873440800000003"/>
    <s v="Pending"/>
    <s v="Pending"/>
    <s v="Invalid"/>
    <s v="Pending"/>
  </r>
  <r>
    <x v="1540"/>
    <x v="102"/>
    <x v="3"/>
    <x v="3"/>
    <x v="4"/>
    <s v="Mahadev Motors West Bengal"/>
    <x v="4"/>
    <x v="3"/>
    <x v="4"/>
    <x v="1"/>
    <n v="3"/>
    <n v="89805"/>
    <n v="6"/>
    <n v="269415"/>
    <n v="2.69415E-2"/>
    <n v="253250.09999999998"/>
    <n v="2.5325009999999998E-2"/>
    <s v="Pending"/>
    <s v="Pending"/>
    <s v="Invalid"/>
    <s v="Pending"/>
  </r>
  <r>
    <x v="1541"/>
    <x v="419"/>
    <x v="4"/>
    <x v="2"/>
    <x v="3"/>
    <s v="Kisan Tractors Haryana"/>
    <x v="3"/>
    <x v="0"/>
    <x v="2"/>
    <x v="0"/>
    <n v="7"/>
    <n v="127477"/>
    <n v="9"/>
    <n v="892339"/>
    <n v="8.9233900000000005E-2"/>
    <n v="812028.49"/>
    <n v="8.1202848999999994E-2"/>
    <s v="Paid"/>
    <s v="Delivered"/>
    <s v="Valid"/>
    <s v="Completed"/>
  </r>
  <r>
    <x v="1542"/>
    <x v="87"/>
    <x v="0"/>
    <x v="0"/>
    <x v="2"/>
    <s v="Shakti Agro Maharashtra"/>
    <x v="2"/>
    <x v="2"/>
    <x v="0"/>
    <x v="0"/>
    <n v="2"/>
    <n v="812640"/>
    <n v="5"/>
    <n v="1625280"/>
    <n v="0.16252800000000001"/>
    <n v="1544016"/>
    <n v="0.1544016"/>
    <s v="Partial"/>
    <s v="In Transit"/>
    <s v="Valid"/>
    <s v="In Transit"/>
  </r>
  <r>
    <x v="1543"/>
    <x v="371"/>
    <x v="2"/>
    <x v="0"/>
    <x v="2"/>
    <s v="Shakti Agro Maharashtra"/>
    <x v="2"/>
    <x v="2"/>
    <x v="2"/>
    <x v="0"/>
    <n v="5"/>
    <n v="276957"/>
    <n v="7"/>
    <n v="1384785"/>
    <n v="0.1384785"/>
    <n v="1287850.0499999998"/>
    <n v="0.12878500499999998"/>
    <s v="Pending"/>
    <s v="Pending"/>
    <s v="Invalid"/>
    <s v="Pending"/>
  </r>
  <r>
    <x v="1544"/>
    <x v="266"/>
    <x v="2"/>
    <x v="3"/>
    <x v="2"/>
    <s v="Mahadev Motors Maharashtra"/>
    <x v="2"/>
    <x v="2"/>
    <x v="1"/>
    <x v="1"/>
    <n v="7"/>
    <n v="245642"/>
    <n v="9"/>
    <n v="1719494"/>
    <n v="0.1719494"/>
    <n v="1564739.54"/>
    <n v="0.156473954"/>
    <s v="Pending"/>
    <s v="Pending"/>
    <s v="Valid"/>
    <s v="Pending"/>
  </r>
  <r>
    <x v="1545"/>
    <x v="395"/>
    <x v="3"/>
    <x v="3"/>
    <x v="4"/>
    <s v="Mahadev Motors West Bengal"/>
    <x v="4"/>
    <x v="3"/>
    <x v="2"/>
    <x v="0"/>
    <n v="6"/>
    <n v="850468"/>
    <n v="8"/>
    <n v="5102808"/>
    <n v="0.51028079999999998"/>
    <n v="4694583.3600000003"/>
    <n v="0.46945833600000003"/>
    <s v="Partial"/>
    <s v="In Transit"/>
    <s v="Valid"/>
    <s v="In Transit"/>
  </r>
  <r>
    <x v="1546"/>
    <x v="357"/>
    <x v="0"/>
    <x v="3"/>
    <x v="4"/>
    <s v="Mahadev Motors West Bengal"/>
    <x v="4"/>
    <x v="3"/>
    <x v="3"/>
    <x v="2"/>
    <n v="4"/>
    <n v="473700"/>
    <n v="6"/>
    <n v="1894800"/>
    <n v="0.18948000000000001"/>
    <n v="1781112"/>
    <n v="0.1781112"/>
    <s v="Paid"/>
    <s v="Delivered"/>
    <s v="Invalid"/>
    <s v="Completed"/>
  </r>
  <r>
    <x v="1547"/>
    <x v="398"/>
    <x v="0"/>
    <x v="2"/>
    <x v="2"/>
    <s v="Kisan Tractors Maharashtra"/>
    <x v="2"/>
    <x v="2"/>
    <x v="4"/>
    <x v="1"/>
    <n v="8"/>
    <n v="548482"/>
    <n v="9"/>
    <n v="4387856"/>
    <n v="0.4387856"/>
    <n v="3992948.96"/>
    <n v="0.39929489600000001"/>
    <s v="Paid"/>
    <s v="Delivered"/>
    <s v="Invalid"/>
    <s v="Completed"/>
  </r>
  <r>
    <x v="1548"/>
    <x v="209"/>
    <x v="0"/>
    <x v="0"/>
    <x v="1"/>
    <s v="Shakti Agro Karnataka"/>
    <x v="1"/>
    <x v="1"/>
    <x v="1"/>
    <x v="1"/>
    <n v="0"/>
    <n v="323347"/>
    <n v="0"/>
    <n v="0"/>
    <n v="0"/>
    <n v="0"/>
    <n v="0"/>
    <s v="Pending"/>
    <s v="Pending"/>
    <s v="Invalid"/>
    <s v="Pending"/>
  </r>
  <r>
    <x v="1549"/>
    <x v="394"/>
    <x v="0"/>
    <x v="1"/>
    <x v="3"/>
    <s v="Green Field Haryana"/>
    <x v="3"/>
    <x v="0"/>
    <x v="2"/>
    <x v="0"/>
    <n v="4"/>
    <n v="170514"/>
    <n v="6"/>
    <n v="682056"/>
    <n v="6.8205600000000005E-2"/>
    <n v="641132.64"/>
    <n v="6.4113264000000003E-2"/>
    <s v="Pending"/>
    <s v="Pending"/>
    <s v="Valid"/>
    <s v="Pending"/>
  </r>
  <r>
    <x v="1550"/>
    <x v="528"/>
    <x v="0"/>
    <x v="2"/>
    <x v="0"/>
    <s v="Kisan Tractors Uttar Pradesh"/>
    <x v="0"/>
    <x v="0"/>
    <x v="4"/>
    <x v="1"/>
    <n v="7"/>
    <n v="417861"/>
    <n v="9"/>
    <n v="2925027"/>
    <n v="0.2925027"/>
    <n v="2661774.5700000003"/>
    <n v="0.26617745700000001"/>
    <s v="Partial"/>
    <s v="In Transit"/>
    <s v="Valid"/>
    <s v="In Transit"/>
  </r>
  <r>
    <x v="1551"/>
    <x v="309"/>
    <x v="0"/>
    <x v="2"/>
    <x v="0"/>
    <s v="Kisan Tractors Uttar Pradesh"/>
    <x v="0"/>
    <x v="0"/>
    <x v="1"/>
    <x v="1"/>
    <n v="4"/>
    <n v="516752"/>
    <n v="6"/>
    <n v="2067008"/>
    <n v="0.20670079999999999"/>
    <n v="1942987.5199999998"/>
    <n v="0.19429875199999999"/>
    <s v="Pending"/>
    <s v="Pending"/>
    <s v="Invalid"/>
    <s v="Pending"/>
  </r>
  <r>
    <x v="1552"/>
    <x v="463"/>
    <x v="3"/>
    <x v="1"/>
    <x v="1"/>
    <s v="Green Field Karnataka"/>
    <x v="1"/>
    <x v="1"/>
    <x v="4"/>
    <x v="1"/>
    <n v="7"/>
    <n v="614476"/>
    <n v="9"/>
    <n v="4301332"/>
    <n v="0.43013319999999999"/>
    <n v="3914212.12"/>
    <n v="0.39142121200000002"/>
    <s v="Paid"/>
    <s v="Delivered"/>
    <s v="Valid"/>
    <s v="Completed"/>
  </r>
  <r>
    <x v="1553"/>
    <x v="510"/>
    <x v="4"/>
    <x v="2"/>
    <x v="1"/>
    <s v="Kisan Tractors Karnataka"/>
    <x v="1"/>
    <x v="1"/>
    <x v="2"/>
    <x v="0"/>
    <n v="5"/>
    <n v="488204"/>
    <n v="7"/>
    <n v="2441020"/>
    <n v="0.24410200000000001"/>
    <n v="2270148.5999999996"/>
    <n v="0.22701485999999996"/>
    <s v="Pending"/>
    <s v="Pending"/>
    <s v="Valid"/>
    <s v="Pending"/>
  </r>
  <r>
    <x v="1554"/>
    <x v="26"/>
    <x v="1"/>
    <x v="2"/>
    <x v="3"/>
    <s v="Kisan Tractors Haryana"/>
    <x v="3"/>
    <x v="0"/>
    <x v="1"/>
    <x v="1"/>
    <n v="6"/>
    <n v="807845"/>
    <n v="8"/>
    <n v="4847070"/>
    <n v="0.484707"/>
    <n v="4459304.4000000004"/>
    <n v="0.44593044000000004"/>
    <s v="Pending"/>
    <s v="Pending"/>
    <s v="Invalid"/>
    <s v="Pending"/>
  </r>
  <r>
    <x v="1555"/>
    <x v="195"/>
    <x v="4"/>
    <x v="0"/>
    <x v="2"/>
    <s v="Shakti Agro Maharashtra"/>
    <x v="2"/>
    <x v="2"/>
    <x v="3"/>
    <x v="2"/>
    <n v="3"/>
    <n v="108323"/>
    <n v="6"/>
    <n v="324969"/>
    <n v="3.2496900000000002E-2"/>
    <n v="305470.86"/>
    <n v="3.0547085999999998E-2"/>
    <s v="Paid"/>
    <s v="Delivered"/>
    <s v="Valid"/>
    <s v="Completed"/>
  </r>
  <r>
    <x v="1556"/>
    <x v="184"/>
    <x v="2"/>
    <x v="1"/>
    <x v="0"/>
    <s v="Green Field Uttar Pradesh"/>
    <x v="0"/>
    <x v="0"/>
    <x v="3"/>
    <x v="2"/>
    <n v="6"/>
    <n v="207094"/>
    <n v="8"/>
    <n v="1242564"/>
    <n v="0.1242564"/>
    <n v="1143158.8800000001"/>
    <n v="0.11431588800000002"/>
    <s v="Partial"/>
    <s v="In Transit"/>
    <s v="Invalid"/>
    <s v="In Transit"/>
  </r>
  <r>
    <x v="1557"/>
    <x v="35"/>
    <x v="0"/>
    <x v="2"/>
    <x v="1"/>
    <s v="Kisan Tractors Karnataka"/>
    <x v="1"/>
    <x v="1"/>
    <x v="4"/>
    <x v="1"/>
    <n v="8"/>
    <n v="236885"/>
    <n v="9"/>
    <n v="1895080"/>
    <n v="0.18950800000000001"/>
    <n v="1724522.8"/>
    <n v="0.17245228000000001"/>
    <s v="Paid"/>
    <s v="Delivered"/>
    <s v="Valid"/>
    <s v="Completed"/>
  </r>
  <r>
    <x v="1558"/>
    <x v="102"/>
    <x v="2"/>
    <x v="0"/>
    <x v="0"/>
    <s v="Shakti Agro Uttar Pradesh"/>
    <x v="0"/>
    <x v="0"/>
    <x v="0"/>
    <x v="0"/>
    <n v="2"/>
    <n v="538010"/>
    <n v="5"/>
    <n v="1076020"/>
    <n v="0.107602"/>
    <n v="1022219"/>
    <n v="0.1022219"/>
    <s v="Paid"/>
    <s v="Delivered"/>
    <s v="Invalid"/>
    <s v="Completed"/>
  </r>
  <r>
    <x v="1559"/>
    <x v="287"/>
    <x v="3"/>
    <x v="1"/>
    <x v="2"/>
    <s v="Green Field Maharashtra"/>
    <x v="2"/>
    <x v="2"/>
    <x v="2"/>
    <x v="0"/>
    <n v="8"/>
    <n v="757784"/>
    <n v="9"/>
    <n v="6062272"/>
    <n v="0.60622719999999997"/>
    <n v="5516667.5200000005"/>
    <n v="0.55166675200000004"/>
    <s v="Paid"/>
    <s v="Delivered"/>
    <s v="Invalid"/>
    <s v="Completed"/>
  </r>
  <r>
    <x v="1560"/>
    <x v="55"/>
    <x v="0"/>
    <x v="3"/>
    <x v="4"/>
    <s v="Mahadev Motors West Bengal"/>
    <x v="4"/>
    <x v="3"/>
    <x v="0"/>
    <x v="0"/>
    <n v="1"/>
    <n v="836264"/>
    <n v="3"/>
    <n v="836264"/>
    <n v="8.3626400000000004E-2"/>
    <n v="811176.08"/>
    <n v="8.1117607999999994E-2"/>
    <s v="Partial"/>
    <s v="In Transit"/>
    <s v="Invalid"/>
    <s v="In Transit"/>
  </r>
  <r>
    <x v="1561"/>
    <x v="296"/>
    <x v="1"/>
    <x v="3"/>
    <x v="1"/>
    <s v="Mahadev Motors Karnataka"/>
    <x v="1"/>
    <x v="1"/>
    <x v="3"/>
    <x v="2"/>
    <n v="6"/>
    <n v="728043"/>
    <n v="8"/>
    <n v="4368258"/>
    <n v="0.43682579999999999"/>
    <n v="4018797.3600000003"/>
    <n v="0.40187973600000004"/>
    <s v="Pending"/>
    <s v="Pending"/>
    <s v="Invalid"/>
    <s v="Pending"/>
  </r>
  <r>
    <x v="1562"/>
    <x v="444"/>
    <x v="2"/>
    <x v="2"/>
    <x v="4"/>
    <s v="Kisan Tractors West Bengal"/>
    <x v="4"/>
    <x v="3"/>
    <x v="4"/>
    <x v="1"/>
    <n v="2"/>
    <n v="406461"/>
    <n v="5"/>
    <n v="812922"/>
    <n v="8.1292199999999995E-2"/>
    <n v="772275.89999999991"/>
    <n v="7.7227589999999985E-2"/>
    <s v="Pending"/>
    <s v="Pending"/>
    <s v="Valid"/>
    <s v="Pending"/>
  </r>
  <r>
    <x v="1563"/>
    <x v="8"/>
    <x v="1"/>
    <x v="2"/>
    <x v="2"/>
    <s v="Kisan Tractors Maharashtra"/>
    <x v="2"/>
    <x v="2"/>
    <x v="4"/>
    <x v="1"/>
    <n v="4"/>
    <n v="541184"/>
    <n v="6"/>
    <n v="2164736"/>
    <n v="0.21647359999999999"/>
    <n v="2034851.8399999999"/>
    <n v="0.20348518399999999"/>
    <s v="Partial"/>
    <s v="In Transit"/>
    <s v="Valid"/>
    <s v="In Transit"/>
  </r>
  <r>
    <x v="1564"/>
    <x v="134"/>
    <x v="4"/>
    <x v="3"/>
    <x v="3"/>
    <s v="Mahadev Motors Haryana"/>
    <x v="3"/>
    <x v="0"/>
    <x v="4"/>
    <x v="1"/>
    <n v="4"/>
    <n v="125713"/>
    <n v="6"/>
    <n v="502852"/>
    <n v="5.0285200000000002E-2"/>
    <n v="472680.87999999995"/>
    <n v="4.7268087999999993E-2"/>
    <s v="Paid"/>
    <s v="Delivered"/>
    <s v="Invalid"/>
    <s v="Completed"/>
  </r>
  <r>
    <x v="1565"/>
    <x v="143"/>
    <x v="1"/>
    <x v="3"/>
    <x v="4"/>
    <s v="Mahadev Motors West Bengal"/>
    <x v="4"/>
    <x v="3"/>
    <x v="4"/>
    <x v="1"/>
    <n v="3"/>
    <n v="378612"/>
    <n v="6"/>
    <n v="1135836"/>
    <n v="0.11358360000000001"/>
    <n v="1067685.8399999999"/>
    <n v="0.10676858399999999"/>
    <s v="Paid"/>
    <s v="Delivered"/>
    <s v="Valid"/>
    <s v="Completed"/>
  </r>
  <r>
    <x v="1566"/>
    <x v="447"/>
    <x v="1"/>
    <x v="2"/>
    <x v="3"/>
    <s v="Kisan Tractors Haryana"/>
    <x v="3"/>
    <x v="0"/>
    <x v="3"/>
    <x v="2"/>
    <n v="4"/>
    <n v="558195"/>
    <n v="6"/>
    <n v="2232780"/>
    <n v="0.223278"/>
    <n v="2098813.1999999997"/>
    <n v="0.20988131999999998"/>
    <s v="Partial"/>
    <s v="In Transit"/>
    <s v="Invalid"/>
    <s v="In Transit"/>
  </r>
  <r>
    <x v="1567"/>
    <x v="124"/>
    <x v="3"/>
    <x v="2"/>
    <x v="4"/>
    <s v="Kisan Tractors West Bengal"/>
    <x v="4"/>
    <x v="3"/>
    <x v="2"/>
    <x v="0"/>
    <n v="5"/>
    <n v="442322"/>
    <n v="7"/>
    <n v="2211610"/>
    <n v="0.221161"/>
    <n v="2056797.2999999998"/>
    <n v="0.20567972999999998"/>
    <s v="Pending"/>
    <s v="Pending"/>
    <s v="Valid"/>
    <s v="Pending"/>
  </r>
  <r>
    <x v="1568"/>
    <x v="200"/>
    <x v="3"/>
    <x v="2"/>
    <x v="4"/>
    <s v="Kisan Tractors West Bengal"/>
    <x v="4"/>
    <x v="3"/>
    <x v="3"/>
    <x v="2"/>
    <n v="1"/>
    <n v="686937"/>
    <n v="3"/>
    <n v="686937"/>
    <n v="6.8693699999999996E-2"/>
    <n v="666328.89"/>
    <n v="6.6632889000000001E-2"/>
    <s v="Pending"/>
    <s v="Pending"/>
    <s v="Invalid"/>
    <s v="Pending"/>
  </r>
  <r>
    <x v="1569"/>
    <x v="384"/>
    <x v="3"/>
    <x v="3"/>
    <x v="2"/>
    <s v="Mahadev Motors Maharashtra"/>
    <x v="2"/>
    <x v="2"/>
    <x v="4"/>
    <x v="1"/>
    <n v="5"/>
    <n v="336130"/>
    <n v="7"/>
    <n v="1680650"/>
    <n v="0.16806499999999999"/>
    <n v="1563004.5"/>
    <n v="0.15630045000000001"/>
    <s v="Partial"/>
    <s v="In Transit"/>
    <s v="Invalid"/>
    <s v="In Transit"/>
  </r>
  <r>
    <x v="1570"/>
    <x v="28"/>
    <x v="4"/>
    <x v="1"/>
    <x v="4"/>
    <s v="Green Field West Bengal"/>
    <x v="4"/>
    <x v="3"/>
    <x v="4"/>
    <x v="1"/>
    <n v="6"/>
    <n v="488810"/>
    <n v="8"/>
    <n v="2932860"/>
    <n v="0.29328599999999999"/>
    <n v="2698231.2"/>
    <n v="0.26982312000000003"/>
    <s v="Pending"/>
    <s v="Pending"/>
    <s v="Valid"/>
    <s v="Pending"/>
  </r>
  <r>
    <x v="1571"/>
    <x v="529"/>
    <x v="3"/>
    <x v="1"/>
    <x v="2"/>
    <s v="Green Field Maharashtra"/>
    <x v="2"/>
    <x v="2"/>
    <x v="0"/>
    <x v="0"/>
    <n v="8"/>
    <n v="582648"/>
    <n v="9"/>
    <n v="4661184"/>
    <n v="0.46611839999999999"/>
    <n v="4241677.4400000004"/>
    <n v="0.42416774400000001"/>
    <s v="Partial"/>
    <s v="In Transit"/>
    <s v="Invalid"/>
    <s v="In Transit"/>
  </r>
  <r>
    <x v="1572"/>
    <x v="114"/>
    <x v="2"/>
    <x v="1"/>
    <x v="3"/>
    <s v="Green Field Haryana"/>
    <x v="3"/>
    <x v="0"/>
    <x v="2"/>
    <x v="0"/>
    <n v="4"/>
    <n v="568632"/>
    <n v="6"/>
    <n v="2274528"/>
    <n v="0.22745280000000001"/>
    <n v="2138056.3199999998"/>
    <n v="0.213805632"/>
    <s v="Partial"/>
    <s v="In Transit"/>
    <s v="Invalid"/>
    <s v="In Transit"/>
  </r>
  <r>
    <x v="1573"/>
    <x v="427"/>
    <x v="0"/>
    <x v="4"/>
    <x v="1"/>
    <s v="Agri Motors Karnataka"/>
    <x v="1"/>
    <x v="1"/>
    <x v="0"/>
    <x v="0"/>
    <n v="7"/>
    <n v="495547"/>
    <n v="9"/>
    <n v="3468829"/>
    <n v="0.34688289999999999"/>
    <n v="3156634.39"/>
    <n v="0.31566343899999999"/>
    <s v="Partial"/>
    <s v="In Transit"/>
    <s v="Invalid"/>
    <s v="In Transit"/>
  </r>
  <r>
    <x v="1574"/>
    <x v="420"/>
    <x v="2"/>
    <x v="2"/>
    <x v="2"/>
    <s v="Kisan Tractors Maharashtra"/>
    <x v="2"/>
    <x v="2"/>
    <x v="3"/>
    <x v="2"/>
    <n v="2"/>
    <n v="438284"/>
    <n v="5"/>
    <n v="876568"/>
    <n v="8.7656800000000007E-2"/>
    <n v="832739.6"/>
    <n v="8.3273959999999994E-2"/>
    <s v="Pending"/>
    <s v="Pending"/>
    <s v="Valid"/>
    <s v="Pending"/>
  </r>
  <r>
    <x v="1575"/>
    <x v="269"/>
    <x v="2"/>
    <x v="0"/>
    <x v="1"/>
    <s v="Shakti Agro Karnataka"/>
    <x v="1"/>
    <x v="1"/>
    <x v="3"/>
    <x v="2"/>
    <n v="3"/>
    <n v="426325"/>
    <n v="6"/>
    <n v="1278975"/>
    <n v="0.1278975"/>
    <n v="1202236.5"/>
    <n v="0.12022365"/>
    <s v="Partial"/>
    <s v="In Transit"/>
    <s v="Invalid"/>
    <s v="In Transit"/>
  </r>
  <r>
    <x v="1576"/>
    <x v="530"/>
    <x v="2"/>
    <x v="4"/>
    <x v="4"/>
    <s v="Agri Motors West Bengal"/>
    <x v="4"/>
    <x v="3"/>
    <x v="1"/>
    <x v="1"/>
    <n v="5"/>
    <n v="278424"/>
    <n v="7"/>
    <n v="1392120"/>
    <n v="0.139212"/>
    <n v="1294671.5999999999"/>
    <n v="0.12946716"/>
    <s v="Paid"/>
    <s v="Delivered"/>
    <s v="Invalid"/>
    <s v="Completed"/>
  </r>
  <r>
    <x v="1577"/>
    <x v="4"/>
    <x v="1"/>
    <x v="1"/>
    <x v="0"/>
    <s v="Green Field Uttar Pradesh"/>
    <x v="0"/>
    <x v="0"/>
    <x v="2"/>
    <x v="0"/>
    <n v="4"/>
    <n v="311552"/>
    <n v="6"/>
    <n v="1246208"/>
    <n v="0.1246208"/>
    <n v="1171435.52"/>
    <n v="0.117143552"/>
    <s v="Paid"/>
    <s v="Delivered"/>
    <s v="Valid"/>
    <s v="Completed"/>
  </r>
  <r>
    <x v="1578"/>
    <x v="518"/>
    <x v="1"/>
    <x v="3"/>
    <x v="4"/>
    <s v="Mahadev Motors West Bengal"/>
    <x v="4"/>
    <x v="3"/>
    <x v="1"/>
    <x v="1"/>
    <n v="6"/>
    <n v="587790"/>
    <n v="8"/>
    <n v="3526740"/>
    <n v="0.35267399999999999"/>
    <n v="3244600.8000000003"/>
    <n v="0.32446008000000004"/>
    <s v="Partial"/>
    <s v="In Transit"/>
    <s v="Invalid"/>
    <s v="In Transit"/>
  </r>
  <r>
    <x v="1579"/>
    <x v="125"/>
    <x v="3"/>
    <x v="2"/>
    <x v="4"/>
    <s v="Kisan Tractors West Bengal"/>
    <x v="4"/>
    <x v="3"/>
    <x v="3"/>
    <x v="2"/>
    <n v="8"/>
    <n v="117721"/>
    <n v="9"/>
    <n v="941768"/>
    <n v="9.4176800000000005E-2"/>
    <n v="857008.88"/>
    <n v="8.5700888000000003E-2"/>
    <s v="Paid"/>
    <s v="Delivered"/>
    <s v="Invalid"/>
    <s v="Completed"/>
  </r>
  <r>
    <x v="1580"/>
    <x v="198"/>
    <x v="0"/>
    <x v="3"/>
    <x v="1"/>
    <s v="Mahadev Motors Karnataka"/>
    <x v="1"/>
    <x v="1"/>
    <x v="0"/>
    <x v="0"/>
    <n v="6"/>
    <n v="251492"/>
    <n v="8"/>
    <n v="1508952"/>
    <n v="0.15089520000000001"/>
    <n v="1388235.84"/>
    <n v="0.138823584"/>
    <s v="Partial"/>
    <s v="In Transit"/>
    <s v="Invalid"/>
    <s v="In Transit"/>
  </r>
  <r>
    <x v="1581"/>
    <x v="24"/>
    <x v="1"/>
    <x v="0"/>
    <x v="0"/>
    <s v="Shakti Agro Uttar Pradesh"/>
    <x v="0"/>
    <x v="0"/>
    <x v="1"/>
    <x v="1"/>
    <n v="6"/>
    <n v="656273"/>
    <n v="8"/>
    <n v="3937638"/>
    <n v="0.3937638"/>
    <n v="3622626.96"/>
    <n v="0.362262696"/>
    <s v="Pending"/>
    <s v="Pending"/>
    <s v="Invalid"/>
    <s v="Pending"/>
  </r>
  <r>
    <x v="1582"/>
    <x v="163"/>
    <x v="1"/>
    <x v="1"/>
    <x v="0"/>
    <s v="Green Field Uttar Pradesh"/>
    <x v="0"/>
    <x v="0"/>
    <x v="3"/>
    <x v="2"/>
    <n v="5"/>
    <n v="472668"/>
    <n v="7"/>
    <n v="2363340"/>
    <n v="0.23633399999999999"/>
    <n v="2197906.1999999997"/>
    <n v="0.21979061999999996"/>
    <s v="Paid"/>
    <s v="Delivered"/>
    <s v="Invalid"/>
    <s v="Completed"/>
  </r>
  <r>
    <x v="1583"/>
    <x v="243"/>
    <x v="1"/>
    <x v="1"/>
    <x v="0"/>
    <s v="Green Field Uttar Pradesh"/>
    <x v="0"/>
    <x v="0"/>
    <x v="2"/>
    <x v="0"/>
    <n v="1"/>
    <n v="392156"/>
    <n v="3"/>
    <n v="392156"/>
    <n v="3.9215600000000003E-2"/>
    <n v="380391.32"/>
    <n v="3.8039132000000003E-2"/>
    <s v="Partial"/>
    <s v="In Transit"/>
    <s v="Valid"/>
    <s v="In Transit"/>
  </r>
  <r>
    <x v="1584"/>
    <x v="292"/>
    <x v="4"/>
    <x v="1"/>
    <x v="2"/>
    <s v="Green Field Maharashtra"/>
    <x v="2"/>
    <x v="2"/>
    <x v="2"/>
    <x v="0"/>
    <n v="6"/>
    <n v="686991"/>
    <n v="8"/>
    <n v="4121946"/>
    <n v="0.41219460000000002"/>
    <n v="3792190.3200000003"/>
    <n v="0.37921903200000001"/>
    <s v="Pending"/>
    <s v="Pending"/>
    <s v="Invalid"/>
    <s v="Pending"/>
  </r>
  <r>
    <x v="1585"/>
    <x v="291"/>
    <x v="2"/>
    <x v="0"/>
    <x v="0"/>
    <s v="Shakti Agro Uttar Pradesh"/>
    <x v="0"/>
    <x v="0"/>
    <x v="4"/>
    <x v="1"/>
    <n v="0"/>
    <n v="896806"/>
    <n v="0"/>
    <n v="0"/>
    <n v="0"/>
    <n v="0"/>
    <n v="0"/>
    <s v="Paid"/>
    <s v="Delivered"/>
    <s v="Invalid"/>
    <s v="Completed"/>
  </r>
  <r>
    <x v="1586"/>
    <x v="239"/>
    <x v="2"/>
    <x v="0"/>
    <x v="4"/>
    <s v="Shakti Agro West Bengal"/>
    <x v="4"/>
    <x v="3"/>
    <x v="1"/>
    <x v="1"/>
    <n v="8"/>
    <n v="245596"/>
    <n v="9"/>
    <n v="1964768"/>
    <n v="0.19647680000000001"/>
    <n v="1787938.8800000001"/>
    <n v="0.17879388800000001"/>
    <s v="Paid"/>
    <s v="Delivered"/>
    <s v="Invalid"/>
    <s v="Completed"/>
  </r>
  <r>
    <x v="1587"/>
    <x v="242"/>
    <x v="2"/>
    <x v="2"/>
    <x v="2"/>
    <s v="Kisan Tractors Maharashtra"/>
    <x v="2"/>
    <x v="2"/>
    <x v="4"/>
    <x v="1"/>
    <n v="7"/>
    <n v="810749"/>
    <n v="9"/>
    <n v="5675243"/>
    <n v="0.56752429999999998"/>
    <n v="5164471.13"/>
    <n v="0.51644711300000001"/>
    <s v="Paid"/>
    <s v="Delivered"/>
    <s v="Invalid"/>
    <s v="Completed"/>
  </r>
  <r>
    <x v="1588"/>
    <x v="255"/>
    <x v="1"/>
    <x v="2"/>
    <x v="3"/>
    <s v="Kisan Tractors Haryana"/>
    <x v="3"/>
    <x v="0"/>
    <x v="4"/>
    <x v="1"/>
    <n v="3"/>
    <n v="478226"/>
    <n v="6"/>
    <n v="1434678"/>
    <n v="0.14346780000000001"/>
    <n v="1348597.3199999998"/>
    <n v="0.13485973199999998"/>
    <s v="Paid"/>
    <s v="Delivered"/>
    <s v="Valid"/>
    <s v="Completed"/>
  </r>
  <r>
    <x v="1589"/>
    <x v="473"/>
    <x v="3"/>
    <x v="3"/>
    <x v="0"/>
    <s v="Mahadev Motors Uttar Pradesh"/>
    <x v="0"/>
    <x v="0"/>
    <x v="0"/>
    <x v="0"/>
    <n v="6"/>
    <n v="523633"/>
    <n v="8"/>
    <n v="3141798"/>
    <n v="0.31417980000000001"/>
    <n v="2890454.16"/>
    <n v="0.289045416"/>
    <s v="Paid"/>
    <s v="Delivered"/>
    <s v="Invalid"/>
    <s v="Completed"/>
  </r>
  <r>
    <x v="1590"/>
    <x v="531"/>
    <x v="0"/>
    <x v="3"/>
    <x v="1"/>
    <s v="Mahadev Motors Karnataka"/>
    <x v="1"/>
    <x v="1"/>
    <x v="0"/>
    <x v="0"/>
    <n v="6"/>
    <n v="390253"/>
    <n v="8"/>
    <n v="2341518"/>
    <n v="0.23415179999999999"/>
    <n v="2154196.56"/>
    <n v="0.21541965600000001"/>
    <s v="Partial"/>
    <s v="In Transit"/>
    <s v="Invalid"/>
    <s v="In Transit"/>
  </r>
  <r>
    <x v="1591"/>
    <x v="24"/>
    <x v="0"/>
    <x v="2"/>
    <x v="0"/>
    <s v="Kisan Tractors Uttar Pradesh"/>
    <x v="0"/>
    <x v="0"/>
    <x v="4"/>
    <x v="1"/>
    <n v="5"/>
    <n v="316810"/>
    <n v="7"/>
    <n v="1584050"/>
    <n v="0.15840499999999999"/>
    <n v="1473166.5"/>
    <n v="0.14731664999999999"/>
    <s v="Paid"/>
    <s v="Delivered"/>
    <s v="Valid"/>
    <s v="Completed"/>
  </r>
  <r>
    <x v="1592"/>
    <x v="231"/>
    <x v="2"/>
    <x v="1"/>
    <x v="4"/>
    <s v="Green Field West Bengal"/>
    <x v="4"/>
    <x v="3"/>
    <x v="1"/>
    <x v="1"/>
    <n v="6"/>
    <n v="568931"/>
    <n v="8"/>
    <n v="3413586"/>
    <n v="0.34135860000000001"/>
    <n v="3140499.12"/>
    <n v="0.31404991199999999"/>
    <s v="Partial"/>
    <s v="In Transit"/>
    <s v="Invalid"/>
    <s v="In Transit"/>
  </r>
  <r>
    <x v="1593"/>
    <x v="532"/>
    <x v="2"/>
    <x v="2"/>
    <x v="0"/>
    <s v="Kisan Tractors Uttar Pradesh"/>
    <x v="0"/>
    <x v="0"/>
    <x v="4"/>
    <x v="1"/>
    <n v="1"/>
    <n v="678408"/>
    <n v="3"/>
    <n v="678408"/>
    <n v="6.7840800000000007E-2"/>
    <n v="658055.76"/>
    <n v="6.5805576000000005E-2"/>
    <s v="Paid"/>
    <s v="Delivered"/>
    <s v="Invalid"/>
    <s v="Completed"/>
  </r>
  <r>
    <x v="1594"/>
    <x v="269"/>
    <x v="1"/>
    <x v="3"/>
    <x v="2"/>
    <s v="Mahadev Motors Maharashtra"/>
    <x v="2"/>
    <x v="2"/>
    <x v="0"/>
    <x v="0"/>
    <n v="5"/>
    <n v="572271"/>
    <n v="7"/>
    <n v="2861355"/>
    <n v="0.28613549999999999"/>
    <n v="2661060.15"/>
    <n v="0.26610601499999997"/>
    <s v="Paid"/>
    <s v="Delivered"/>
    <s v="Valid"/>
    <s v="Completed"/>
  </r>
  <r>
    <x v="1595"/>
    <x v="149"/>
    <x v="2"/>
    <x v="3"/>
    <x v="1"/>
    <s v="Mahadev Motors Karnataka"/>
    <x v="1"/>
    <x v="1"/>
    <x v="2"/>
    <x v="0"/>
    <n v="1"/>
    <n v="84024"/>
    <n v="3"/>
    <n v="84024"/>
    <n v="8.4024000000000008E-3"/>
    <n v="81503.28"/>
    <n v="8.1503280000000001E-3"/>
    <s v="Pending"/>
    <s v="Pending"/>
    <s v="Valid"/>
    <s v="Pending"/>
  </r>
  <r>
    <x v="1596"/>
    <x v="450"/>
    <x v="3"/>
    <x v="3"/>
    <x v="0"/>
    <s v="Mahadev Motors Uttar Pradesh"/>
    <x v="0"/>
    <x v="0"/>
    <x v="3"/>
    <x v="2"/>
    <n v="8"/>
    <n v="891140"/>
    <n v="9"/>
    <n v="7129120"/>
    <n v="0.71291199999999999"/>
    <n v="6487499.2000000002"/>
    <n v="0.64874991999999998"/>
    <s v="Paid"/>
    <s v="Delivered"/>
    <s v="Valid"/>
    <s v="Completed"/>
  </r>
  <r>
    <x v="1597"/>
    <x v="533"/>
    <x v="4"/>
    <x v="2"/>
    <x v="4"/>
    <s v="Kisan Tractors West Bengal"/>
    <x v="4"/>
    <x v="3"/>
    <x v="0"/>
    <x v="0"/>
    <n v="3"/>
    <n v="325774"/>
    <n v="6"/>
    <n v="977322"/>
    <n v="9.7732200000000005E-2"/>
    <n v="918682.67999999993"/>
    <n v="9.1868267999999989E-2"/>
    <s v="Paid"/>
    <s v="Delivered"/>
    <s v="Invalid"/>
    <s v="Completed"/>
  </r>
  <r>
    <x v="1598"/>
    <x v="12"/>
    <x v="0"/>
    <x v="1"/>
    <x v="4"/>
    <s v="Green Field West Bengal"/>
    <x v="4"/>
    <x v="3"/>
    <x v="0"/>
    <x v="0"/>
    <n v="3"/>
    <n v="543024"/>
    <n v="6"/>
    <n v="1629072"/>
    <n v="0.1629072"/>
    <n v="1531327.68"/>
    <n v="0.153132768"/>
    <s v="Pending"/>
    <s v="Pending"/>
    <s v="Invalid"/>
    <s v="Pending"/>
  </r>
  <r>
    <x v="1599"/>
    <x v="26"/>
    <x v="4"/>
    <x v="0"/>
    <x v="0"/>
    <s v="Shakti Agro Uttar Pradesh"/>
    <x v="0"/>
    <x v="0"/>
    <x v="3"/>
    <x v="2"/>
    <n v="8"/>
    <n v="305541"/>
    <n v="9"/>
    <n v="2444328"/>
    <n v="0.24443280000000001"/>
    <n v="2224338.48"/>
    <n v="0.22243384799999999"/>
    <s v="Paid"/>
    <s v="Delivered"/>
    <s v="Invalid"/>
    <s v="Completed"/>
  </r>
  <r>
    <x v="1600"/>
    <x v="139"/>
    <x v="1"/>
    <x v="4"/>
    <x v="1"/>
    <s v="Agri Motors Karnataka"/>
    <x v="1"/>
    <x v="1"/>
    <x v="2"/>
    <x v="0"/>
    <n v="1"/>
    <n v="289799"/>
    <n v="3"/>
    <n v="289799"/>
    <n v="2.8979899999999999E-2"/>
    <n v="281105.02999999997"/>
    <n v="2.8110502999999998E-2"/>
    <s v="Partial"/>
    <s v="In Transit"/>
    <s v="Invalid"/>
    <s v="In Transit"/>
  </r>
  <r>
    <x v="1601"/>
    <x v="505"/>
    <x v="2"/>
    <x v="0"/>
    <x v="4"/>
    <s v="Shakti Agro West Bengal"/>
    <x v="4"/>
    <x v="3"/>
    <x v="1"/>
    <x v="1"/>
    <n v="3"/>
    <n v="269574"/>
    <n v="6"/>
    <n v="808722"/>
    <n v="8.0872200000000005E-2"/>
    <n v="760198.67999999993"/>
    <n v="7.601986799999999E-2"/>
    <s v="Pending"/>
    <s v="Pending"/>
    <s v="Valid"/>
    <s v="Pending"/>
  </r>
  <r>
    <x v="1602"/>
    <x v="171"/>
    <x v="1"/>
    <x v="0"/>
    <x v="4"/>
    <s v="Shakti Agro West Bengal"/>
    <x v="4"/>
    <x v="3"/>
    <x v="2"/>
    <x v="0"/>
    <n v="8"/>
    <n v="645745"/>
    <n v="9"/>
    <n v="5165960"/>
    <n v="0.51659600000000006"/>
    <n v="4701023.6000000006"/>
    <n v="0.47010236000000005"/>
    <s v="Paid"/>
    <s v="Delivered"/>
    <s v="Invalid"/>
    <s v="Completed"/>
  </r>
  <r>
    <x v="1603"/>
    <x v="262"/>
    <x v="4"/>
    <x v="2"/>
    <x v="4"/>
    <s v="Kisan Tractors West Bengal"/>
    <x v="4"/>
    <x v="3"/>
    <x v="4"/>
    <x v="1"/>
    <n v="3"/>
    <n v="602748"/>
    <n v="6"/>
    <n v="1808244"/>
    <n v="0.1808244"/>
    <n v="1699749.3599999999"/>
    <n v="0.16997493599999999"/>
    <s v="Paid"/>
    <s v="Delivered"/>
    <s v="Invalid"/>
    <s v="Completed"/>
  </r>
  <r>
    <x v="1604"/>
    <x v="281"/>
    <x v="4"/>
    <x v="1"/>
    <x v="1"/>
    <s v="Green Field Karnataka"/>
    <x v="1"/>
    <x v="1"/>
    <x v="3"/>
    <x v="2"/>
    <n v="2"/>
    <n v="840345"/>
    <n v="5"/>
    <n v="1680690"/>
    <n v="0.168069"/>
    <n v="1596655.5"/>
    <n v="0.15966554999999999"/>
    <s v="Pending"/>
    <s v="Pending"/>
    <s v="Valid"/>
    <s v="Pending"/>
  </r>
  <r>
    <x v="1605"/>
    <x v="478"/>
    <x v="2"/>
    <x v="4"/>
    <x v="4"/>
    <s v="Agri Motors West Bengal"/>
    <x v="4"/>
    <x v="3"/>
    <x v="0"/>
    <x v="0"/>
    <n v="7"/>
    <n v="252287"/>
    <n v="9"/>
    <n v="1766009"/>
    <n v="0.17660090000000001"/>
    <n v="1607068.19"/>
    <n v="0.160706819"/>
    <s v="Paid"/>
    <s v="Delivered"/>
    <s v="Invalid"/>
    <s v="Completed"/>
  </r>
  <r>
    <x v="1606"/>
    <x v="284"/>
    <x v="4"/>
    <x v="2"/>
    <x v="0"/>
    <s v="Kisan Tractors Uttar Pradesh"/>
    <x v="0"/>
    <x v="0"/>
    <x v="0"/>
    <x v="0"/>
    <n v="8"/>
    <n v="494911"/>
    <n v="9"/>
    <n v="3959288"/>
    <n v="0.39592880000000003"/>
    <n v="3602952.08"/>
    <n v="0.36029520800000003"/>
    <s v="Partial"/>
    <s v="In Transit"/>
    <s v="Invalid"/>
    <s v="In Transit"/>
  </r>
  <r>
    <x v="1607"/>
    <x v="376"/>
    <x v="4"/>
    <x v="1"/>
    <x v="0"/>
    <s v="Green Field Uttar Pradesh"/>
    <x v="0"/>
    <x v="0"/>
    <x v="3"/>
    <x v="2"/>
    <n v="3"/>
    <n v="820075"/>
    <n v="6"/>
    <n v="2460225"/>
    <n v="0.24602250000000001"/>
    <n v="2312611.5"/>
    <n v="0.23126115"/>
    <s v="Paid"/>
    <s v="Delivered"/>
    <s v="Valid"/>
    <s v="Completed"/>
  </r>
  <r>
    <x v="1608"/>
    <x v="193"/>
    <x v="0"/>
    <x v="2"/>
    <x v="3"/>
    <s v="Kisan Tractors Haryana"/>
    <x v="3"/>
    <x v="0"/>
    <x v="3"/>
    <x v="2"/>
    <n v="3"/>
    <n v="831680"/>
    <n v="6"/>
    <n v="2495040"/>
    <n v="0.249504"/>
    <n v="2345337.6"/>
    <n v="0.23453376000000001"/>
    <s v="Pending"/>
    <s v="Pending"/>
    <s v="Invalid"/>
    <s v="Pending"/>
  </r>
  <r>
    <x v="1609"/>
    <x v="118"/>
    <x v="0"/>
    <x v="0"/>
    <x v="0"/>
    <s v="Shakti Agro Uttar Pradesh"/>
    <x v="0"/>
    <x v="0"/>
    <x v="0"/>
    <x v="0"/>
    <n v="7"/>
    <n v="83743"/>
    <n v="9"/>
    <n v="586201"/>
    <n v="5.8620100000000001E-2"/>
    <n v="533442.91"/>
    <n v="5.3344291000000002E-2"/>
    <s v="Partial"/>
    <s v="In Transit"/>
    <s v="Invalid"/>
    <s v="In Transit"/>
  </r>
  <r>
    <x v="1610"/>
    <x v="534"/>
    <x v="2"/>
    <x v="0"/>
    <x v="2"/>
    <s v="Shakti Agro Maharashtra"/>
    <x v="2"/>
    <x v="2"/>
    <x v="2"/>
    <x v="0"/>
    <n v="3"/>
    <n v="618950"/>
    <n v="6"/>
    <n v="1856850"/>
    <n v="0.18568499999999999"/>
    <n v="1745439"/>
    <n v="0.1745439"/>
    <s v="Paid"/>
    <s v="Delivered"/>
    <s v="Invalid"/>
    <s v="Completed"/>
  </r>
  <r>
    <x v="1611"/>
    <x v="505"/>
    <x v="1"/>
    <x v="4"/>
    <x v="0"/>
    <s v="Agri Motors Uttar Pradesh"/>
    <x v="0"/>
    <x v="0"/>
    <x v="4"/>
    <x v="1"/>
    <n v="8"/>
    <n v="606549"/>
    <n v="9"/>
    <n v="4852392"/>
    <n v="0.48523919999999998"/>
    <n v="4415676.72"/>
    <n v="0.44156767199999997"/>
    <s v="Partial"/>
    <s v="In Transit"/>
    <s v="Invalid"/>
    <s v="In Transit"/>
  </r>
  <r>
    <x v="1612"/>
    <x v="297"/>
    <x v="0"/>
    <x v="0"/>
    <x v="2"/>
    <s v="Shakti Agro Maharashtra"/>
    <x v="2"/>
    <x v="2"/>
    <x v="4"/>
    <x v="1"/>
    <n v="2"/>
    <n v="179545"/>
    <n v="5"/>
    <n v="359090"/>
    <n v="3.5909000000000003E-2"/>
    <n v="341135.5"/>
    <n v="3.4113549999999999E-2"/>
    <s v="Paid"/>
    <s v="Delivered"/>
    <s v="Invalid"/>
    <s v="Completed"/>
  </r>
  <r>
    <x v="1613"/>
    <x v="8"/>
    <x v="1"/>
    <x v="2"/>
    <x v="2"/>
    <s v="Kisan Tractors Maharashtra"/>
    <x v="2"/>
    <x v="2"/>
    <x v="3"/>
    <x v="2"/>
    <n v="1"/>
    <n v="132827"/>
    <n v="3"/>
    <n v="132827"/>
    <n v="1.32827E-2"/>
    <n v="128842.19"/>
    <n v="1.2884219000000001E-2"/>
    <s v="Partial"/>
    <s v="In Transit"/>
    <s v="Invalid"/>
    <s v="In Transit"/>
  </r>
  <r>
    <x v="1614"/>
    <x v="535"/>
    <x v="0"/>
    <x v="1"/>
    <x v="3"/>
    <s v="Green Field Haryana"/>
    <x v="3"/>
    <x v="0"/>
    <x v="3"/>
    <x v="2"/>
    <n v="8"/>
    <n v="143089"/>
    <n v="9"/>
    <n v="1144712"/>
    <n v="0.1144712"/>
    <n v="1041687.92"/>
    <n v="0.10416879200000001"/>
    <s v="Paid"/>
    <s v="Delivered"/>
    <s v="Valid"/>
    <s v="Completed"/>
  </r>
  <r>
    <x v="1615"/>
    <x v="516"/>
    <x v="2"/>
    <x v="1"/>
    <x v="1"/>
    <s v="Green Field Karnataka"/>
    <x v="1"/>
    <x v="1"/>
    <x v="0"/>
    <x v="0"/>
    <n v="8"/>
    <n v="433882"/>
    <n v="9"/>
    <n v="3471056"/>
    <n v="0.34710560000000001"/>
    <n v="3158660.96"/>
    <n v="0.31586609599999999"/>
    <s v="Partial"/>
    <s v="In Transit"/>
    <s v="Invalid"/>
    <s v="In Transit"/>
  </r>
  <r>
    <x v="1616"/>
    <x v="536"/>
    <x v="2"/>
    <x v="0"/>
    <x v="3"/>
    <s v="Shakti Agro Haryana"/>
    <x v="3"/>
    <x v="0"/>
    <x v="3"/>
    <x v="2"/>
    <n v="4"/>
    <n v="145732"/>
    <n v="6"/>
    <n v="582928"/>
    <n v="5.8292799999999999E-2"/>
    <n v="547952.31999999995"/>
    <n v="5.4795231999999992E-2"/>
    <s v="Partial"/>
    <s v="In Transit"/>
    <s v="Invalid"/>
    <s v="In Transit"/>
  </r>
  <r>
    <x v="1617"/>
    <x v="446"/>
    <x v="0"/>
    <x v="3"/>
    <x v="4"/>
    <s v="Mahadev Motors West Bengal"/>
    <x v="4"/>
    <x v="3"/>
    <x v="2"/>
    <x v="0"/>
    <n v="6"/>
    <n v="107287"/>
    <n v="8"/>
    <n v="643722"/>
    <n v="6.4372200000000004E-2"/>
    <n v="592224.24"/>
    <n v="5.9222423999999996E-2"/>
    <s v="Partial"/>
    <s v="In Transit"/>
    <s v="Invalid"/>
    <s v="In Transit"/>
  </r>
  <r>
    <x v="1618"/>
    <x v="68"/>
    <x v="3"/>
    <x v="3"/>
    <x v="4"/>
    <s v="Mahadev Motors West Bengal"/>
    <x v="4"/>
    <x v="3"/>
    <x v="3"/>
    <x v="2"/>
    <n v="8"/>
    <n v="557833"/>
    <n v="9"/>
    <n v="4462664"/>
    <n v="0.44626640000000001"/>
    <n v="4061024.24"/>
    <n v="0.40610242400000002"/>
    <s v="Pending"/>
    <s v="Pending"/>
    <s v="Invalid"/>
    <s v="Pending"/>
  </r>
  <r>
    <x v="1619"/>
    <x v="12"/>
    <x v="0"/>
    <x v="2"/>
    <x v="2"/>
    <s v="Kisan Tractors Maharashtra"/>
    <x v="2"/>
    <x v="2"/>
    <x v="3"/>
    <x v="2"/>
    <n v="1"/>
    <n v="490485"/>
    <n v="3"/>
    <n v="490485"/>
    <n v="4.9048500000000002E-2"/>
    <n v="475770.45"/>
    <n v="4.7577044999999998E-2"/>
    <s v="Pending"/>
    <s v="Pending"/>
    <s v="Valid"/>
    <s v="Pending"/>
  </r>
  <r>
    <x v="1620"/>
    <x v="202"/>
    <x v="2"/>
    <x v="3"/>
    <x v="1"/>
    <s v="Mahadev Motors Karnataka"/>
    <x v="1"/>
    <x v="1"/>
    <x v="1"/>
    <x v="1"/>
    <n v="2"/>
    <n v="839876"/>
    <n v="5"/>
    <n v="1679752"/>
    <n v="0.16797519999999999"/>
    <n v="1595764.4"/>
    <n v="0.15957643999999999"/>
    <s v="Partial"/>
    <s v="In Transit"/>
    <s v="Invalid"/>
    <s v="In Transit"/>
  </r>
  <r>
    <x v="1621"/>
    <x v="223"/>
    <x v="2"/>
    <x v="3"/>
    <x v="1"/>
    <s v="Mahadev Motors Karnataka"/>
    <x v="1"/>
    <x v="1"/>
    <x v="1"/>
    <x v="1"/>
    <n v="0"/>
    <n v="612666"/>
    <n v="0"/>
    <n v="0"/>
    <n v="0"/>
    <n v="0"/>
    <n v="0"/>
    <s v="Paid"/>
    <s v="Delivered"/>
    <s v="Valid"/>
    <s v="Completed"/>
  </r>
  <r>
    <x v="1622"/>
    <x v="219"/>
    <x v="2"/>
    <x v="4"/>
    <x v="3"/>
    <s v="Agri Motors Haryana"/>
    <x v="3"/>
    <x v="0"/>
    <x v="3"/>
    <x v="2"/>
    <n v="7"/>
    <n v="232782"/>
    <n v="9"/>
    <n v="1629474"/>
    <n v="0.16294739999999999"/>
    <n v="1482821.34"/>
    <n v="0.14828213400000001"/>
    <s v="Pending"/>
    <s v="Pending"/>
    <s v="Invalid"/>
    <s v="Pending"/>
  </r>
  <r>
    <x v="1623"/>
    <x v="329"/>
    <x v="0"/>
    <x v="1"/>
    <x v="0"/>
    <s v="Green Field Uttar Pradesh"/>
    <x v="0"/>
    <x v="0"/>
    <x v="3"/>
    <x v="2"/>
    <n v="2"/>
    <n v="251926"/>
    <n v="5"/>
    <n v="503852"/>
    <n v="5.0385199999999998E-2"/>
    <n v="478659.39999999997"/>
    <n v="4.7865939999999996E-2"/>
    <s v="Pending"/>
    <s v="Pending"/>
    <s v="Invalid"/>
    <s v="Pending"/>
  </r>
  <r>
    <x v="1624"/>
    <x v="291"/>
    <x v="2"/>
    <x v="0"/>
    <x v="2"/>
    <s v="Shakti Agro Maharashtra"/>
    <x v="2"/>
    <x v="2"/>
    <x v="3"/>
    <x v="2"/>
    <n v="8"/>
    <n v="736278"/>
    <n v="9"/>
    <n v="5890224"/>
    <n v="0.58902239999999995"/>
    <n v="5360103.84"/>
    <n v="0.53601038400000001"/>
    <s v="Paid"/>
    <s v="Delivered"/>
    <s v="Invalid"/>
    <s v="Completed"/>
  </r>
  <r>
    <x v="1625"/>
    <x v="183"/>
    <x v="4"/>
    <x v="1"/>
    <x v="0"/>
    <s v="Green Field Uttar Pradesh"/>
    <x v="0"/>
    <x v="0"/>
    <x v="2"/>
    <x v="0"/>
    <n v="2"/>
    <n v="337127"/>
    <n v="5"/>
    <n v="674254"/>
    <n v="6.7425399999999996E-2"/>
    <n v="640541.29999999993"/>
    <n v="6.4054129999999987E-2"/>
    <s v="Paid"/>
    <s v="Delivered"/>
    <s v="Valid"/>
    <s v="Completed"/>
  </r>
  <r>
    <x v="1626"/>
    <x v="203"/>
    <x v="4"/>
    <x v="2"/>
    <x v="3"/>
    <s v="Kisan Tractors Haryana"/>
    <x v="3"/>
    <x v="0"/>
    <x v="0"/>
    <x v="0"/>
    <n v="1"/>
    <n v="176220"/>
    <n v="3"/>
    <n v="176220"/>
    <n v="1.7621999999999999E-2"/>
    <n v="170933.4"/>
    <n v="1.7093339999999999E-2"/>
    <s v="Partial"/>
    <s v="In Transit"/>
    <s v="Valid"/>
    <s v="In Transit"/>
  </r>
  <r>
    <x v="1627"/>
    <x v="474"/>
    <x v="3"/>
    <x v="4"/>
    <x v="0"/>
    <s v="Agri Motors Uttar Pradesh"/>
    <x v="0"/>
    <x v="0"/>
    <x v="4"/>
    <x v="1"/>
    <n v="1"/>
    <n v="363968"/>
    <n v="3"/>
    <n v="363968"/>
    <n v="3.63968E-2"/>
    <n v="353048.95999999996"/>
    <n v="3.5304895999999995E-2"/>
    <s v="Pending"/>
    <s v="Pending"/>
    <s v="Invalid"/>
    <s v="Pending"/>
  </r>
  <r>
    <x v="1628"/>
    <x v="196"/>
    <x v="3"/>
    <x v="0"/>
    <x v="2"/>
    <s v="Shakti Agro Maharashtra"/>
    <x v="2"/>
    <x v="2"/>
    <x v="3"/>
    <x v="2"/>
    <n v="7"/>
    <n v="407362"/>
    <n v="9"/>
    <n v="2851534"/>
    <n v="0.2851534"/>
    <n v="2594895.94"/>
    <n v="0.25948959399999999"/>
    <s v="Pending"/>
    <s v="Pending"/>
    <s v="Invalid"/>
    <s v="Pending"/>
  </r>
  <r>
    <x v="1629"/>
    <x v="327"/>
    <x v="4"/>
    <x v="0"/>
    <x v="1"/>
    <s v="Shakti Agro Karnataka"/>
    <x v="1"/>
    <x v="1"/>
    <x v="1"/>
    <x v="1"/>
    <n v="8"/>
    <n v="627114"/>
    <n v="9"/>
    <n v="5016912"/>
    <n v="0.5016912"/>
    <n v="4565389.92"/>
    <n v="0.45653899199999998"/>
    <s v="Paid"/>
    <s v="Delivered"/>
    <s v="Invalid"/>
    <s v="Completed"/>
  </r>
  <r>
    <x v="1630"/>
    <x v="79"/>
    <x v="3"/>
    <x v="3"/>
    <x v="4"/>
    <s v="Mahadev Motors West Bengal"/>
    <x v="4"/>
    <x v="3"/>
    <x v="3"/>
    <x v="2"/>
    <n v="3"/>
    <n v="139932"/>
    <n v="6"/>
    <n v="419796"/>
    <n v="4.1979599999999999E-2"/>
    <n v="394608.24"/>
    <n v="3.9460823999999999E-2"/>
    <s v="Pending"/>
    <s v="Pending"/>
    <s v="Valid"/>
    <s v="Pending"/>
  </r>
  <r>
    <x v="1631"/>
    <x v="0"/>
    <x v="0"/>
    <x v="4"/>
    <x v="4"/>
    <s v="Agri Motors West Bengal"/>
    <x v="4"/>
    <x v="3"/>
    <x v="3"/>
    <x v="2"/>
    <n v="3"/>
    <n v="623058"/>
    <n v="6"/>
    <n v="1869174"/>
    <n v="0.18691740000000001"/>
    <n v="1757023.5599999998"/>
    <n v="0.17570235599999998"/>
    <s v="Partial"/>
    <s v="In Transit"/>
    <s v="Invalid"/>
    <s v="In Transit"/>
  </r>
  <r>
    <x v="1632"/>
    <x v="284"/>
    <x v="3"/>
    <x v="1"/>
    <x v="0"/>
    <s v="Green Field Uttar Pradesh"/>
    <x v="0"/>
    <x v="0"/>
    <x v="1"/>
    <x v="1"/>
    <n v="4"/>
    <n v="743663"/>
    <n v="6"/>
    <n v="2974652"/>
    <n v="0.29746519999999999"/>
    <n v="2796172.88"/>
    <n v="0.27961728799999996"/>
    <s v="Paid"/>
    <s v="Delivered"/>
    <s v="Valid"/>
    <s v="Completed"/>
  </r>
  <r>
    <x v="1633"/>
    <x v="18"/>
    <x v="3"/>
    <x v="1"/>
    <x v="0"/>
    <s v="Green Field Uttar Pradesh"/>
    <x v="0"/>
    <x v="0"/>
    <x v="1"/>
    <x v="1"/>
    <n v="6"/>
    <n v="556898"/>
    <n v="8"/>
    <n v="3341388"/>
    <n v="0.33413880000000001"/>
    <n v="3074076.96"/>
    <n v="0.30740769600000001"/>
    <s v="Pending"/>
    <s v="Pending"/>
    <s v="Invalid"/>
    <s v="Pending"/>
  </r>
  <r>
    <x v="1634"/>
    <x v="375"/>
    <x v="3"/>
    <x v="0"/>
    <x v="0"/>
    <s v="Shakti Agro Uttar Pradesh"/>
    <x v="0"/>
    <x v="0"/>
    <x v="1"/>
    <x v="1"/>
    <n v="1"/>
    <n v="115899"/>
    <n v="3"/>
    <n v="115899"/>
    <n v="1.15899E-2"/>
    <n v="112422.03"/>
    <n v="1.1242202999999999E-2"/>
    <s v="Paid"/>
    <s v="Delivered"/>
    <s v="Invalid"/>
    <s v="Completed"/>
  </r>
  <r>
    <x v="1635"/>
    <x v="535"/>
    <x v="3"/>
    <x v="4"/>
    <x v="3"/>
    <s v="Agri Motors Haryana"/>
    <x v="3"/>
    <x v="0"/>
    <x v="4"/>
    <x v="1"/>
    <n v="2"/>
    <n v="331367"/>
    <n v="5"/>
    <n v="662734"/>
    <n v="6.6273399999999996E-2"/>
    <n v="629597.29999999993"/>
    <n v="6.2959729999999992E-2"/>
    <s v="Partial"/>
    <s v="In Transit"/>
    <s v="Valid"/>
    <s v="In Transit"/>
  </r>
  <r>
    <x v="1636"/>
    <x v="309"/>
    <x v="4"/>
    <x v="2"/>
    <x v="2"/>
    <s v="Kisan Tractors Maharashtra"/>
    <x v="2"/>
    <x v="2"/>
    <x v="1"/>
    <x v="1"/>
    <n v="4"/>
    <n v="537966"/>
    <n v="6"/>
    <n v="2151864"/>
    <n v="0.2151864"/>
    <n v="2022752.16"/>
    <n v="0.20227521599999998"/>
    <s v="Partial"/>
    <s v="In Transit"/>
    <s v="Invalid"/>
    <s v="In Transit"/>
  </r>
  <r>
    <x v="1637"/>
    <x v="131"/>
    <x v="1"/>
    <x v="1"/>
    <x v="0"/>
    <s v="Green Field Uttar Pradesh"/>
    <x v="0"/>
    <x v="0"/>
    <x v="1"/>
    <x v="1"/>
    <n v="3"/>
    <n v="574832"/>
    <n v="6"/>
    <n v="1724496"/>
    <n v="0.17244960000000001"/>
    <n v="1621026.24"/>
    <n v="0.162102624"/>
    <s v="Paid"/>
    <s v="Delivered"/>
    <s v="Invalid"/>
    <s v="Completed"/>
  </r>
  <r>
    <x v="1638"/>
    <x v="316"/>
    <x v="1"/>
    <x v="0"/>
    <x v="4"/>
    <s v="Shakti Agro West Bengal"/>
    <x v="4"/>
    <x v="3"/>
    <x v="1"/>
    <x v="1"/>
    <n v="8"/>
    <n v="547388"/>
    <n v="9"/>
    <n v="4379104"/>
    <n v="0.43791039999999998"/>
    <n v="3984984.64"/>
    <n v="0.398498464"/>
    <s v="Pending"/>
    <s v="Pending"/>
    <s v="Invalid"/>
    <s v="Pending"/>
  </r>
  <r>
    <x v="1639"/>
    <x v="150"/>
    <x v="0"/>
    <x v="2"/>
    <x v="2"/>
    <s v="Kisan Tractors Maharashtra"/>
    <x v="2"/>
    <x v="2"/>
    <x v="3"/>
    <x v="2"/>
    <n v="1"/>
    <n v="555307"/>
    <n v="3"/>
    <n v="555307"/>
    <n v="5.5530700000000002E-2"/>
    <n v="538647.79"/>
    <n v="5.3864779000000002E-2"/>
    <s v="Pending"/>
    <s v="Pending"/>
    <s v="Valid"/>
    <s v="Pending"/>
  </r>
  <r>
    <x v="1640"/>
    <x v="65"/>
    <x v="1"/>
    <x v="4"/>
    <x v="2"/>
    <s v="Agri Motors Maharashtra"/>
    <x v="2"/>
    <x v="2"/>
    <x v="3"/>
    <x v="2"/>
    <n v="4"/>
    <n v="629417"/>
    <n v="6"/>
    <n v="2517668"/>
    <n v="0.25176680000000001"/>
    <n v="2366607.92"/>
    <n v="0.23666079199999998"/>
    <s v="Pending"/>
    <s v="Pending"/>
    <s v="Invalid"/>
    <s v="Pending"/>
  </r>
  <r>
    <x v="1641"/>
    <x v="7"/>
    <x v="2"/>
    <x v="3"/>
    <x v="1"/>
    <s v="Mahadev Motors Karnataka"/>
    <x v="1"/>
    <x v="1"/>
    <x v="1"/>
    <x v="1"/>
    <n v="2"/>
    <n v="157446"/>
    <n v="5"/>
    <n v="314892"/>
    <n v="3.1489200000000002E-2"/>
    <n v="299147.39999999997"/>
    <n v="2.9914739999999995E-2"/>
    <s v="Pending"/>
    <s v="Pending"/>
    <s v="Invalid"/>
    <s v="Pending"/>
  </r>
  <r>
    <x v="1642"/>
    <x v="122"/>
    <x v="4"/>
    <x v="3"/>
    <x v="0"/>
    <s v="Mahadev Motors Uttar Pradesh"/>
    <x v="0"/>
    <x v="0"/>
    <x v="4"/>
    <x v="1"/>
    <n v="3"/>
    <n v="724625"/>
    <n v="6"/>
    <n v="2173875"/>
    <n v="0.21738750000000001"/>
    <n v="2043442.5"/>
    <n v="0.20434425000000001"/>
    <s v="Paid"/>
    <s v="Delivered"/>
    <s v="Invalid"/>
    <s v="Completed"/>
  </r>
  <r>
    <x v="1643"/>
    <x v="537"/>
    <x v="4"/>
    <x v="0"/>
    <x v="3"/>
    <s v="Shakti Agro Haryana"/>
    <x v="3"/>
    <x v="0"/>
    <x v="4"/>
    <x v="1"/>
    <n v="3"/>
    <n v="896119"/>
    <n v="6"/>
    <n v="2688357"/>
    <n v="0.26883570000000001"/>
    <n v="2527055.58"/>
    <n v="0.252705558"/>
    <s v="Partial"/>
    <s v="In Transit"/>
    <s v="Valid"/>
    <s v="In Transit"/>
  </r>
  <r>
    <x v="1644"/>
    <x v="105"/>
    <x v="2"/>
    <x v="4"/>
    <x v="0"/>
    <s v="Agri Motors Uttar Pradesh"/>
    <x v="0"/>
    <x v="0"/>
    <x v="4"/>
    <x v="1"/>
    <n v="7"/>
    <n v="445222"/>
    <n v="9"/>
    <n v="3116554"/>
    <n v="0.31165540000000003"/>
    <n v="2836064.14"/>
    <n v="0.28360641400000003"/>
    <s v="Partial"/>
    <s v="In Transit"/>
    <s v="Valid"/>
    <s v="In Transit"/>
  </r>
  <r>
    <x v="1645"/>
    <x v="339"/>
    <x v="1"/>
    <x v="1"/>
    <x v="3"/>
    <s v="Green Field Haryana"/>
    <x v="3"/>
    <x v="0"/>
    <x v="1"/>
    <x v="1"/>
    <n v="6"/>
    <n v="586616"/>
    <n v="8"/>
    <n v="3519696"/>
    <n v="0.35196959999999999"/>
    <n v="3238120.3200000003"/>
    <n v="0.32381203200000003"/>
    <s v="Pending"/>
    <s v="Pending"/>
    <s v="Valid"/>
    <s v="Pending"/>
  </r>
  <r>
    <x v="1646"/>
    <x v="382"/>
    <x v="3"/>
    <x v="0"/>
    <x v="1"/>
    <s v="Shakti Agro Karnataka"/>
    <x v="1"/>
    <x v="1"/>
    <x v="0"/>
    <x v="0"/>
    <n v="3"/>
    <n v="525371"/>
    <n v="6"/>
    <n v="1576113"/>
    <n v="0.15761130000000001"/>
    <n v="1481546.22"/>
    <n v="0.14815462199999999"/>
    <s v="Partial"/>
    <s v="In Transit"/>
    <s v="Invalid"/>
    <s v="In Transit"/>
  </r>
  <r>
    <x v="1647"/>
    <x v="298"/>
    <x v="2"/>
    <x v="1"/>
    <x v="0"/>
    <s v="Green Field Uttar Pradesh"/>
    <x v="0"/>
    <x v="0"/>
    <x v="1"/>
    <x v="1"/>
    <n v="2"/>
    <n v="169012"/>
    <n v="5"/>
    <n v="338024"/>
    <n v="3.3802400000000003E-2"/>
    <n v="321122.8"/>
    <n v="3.211228E-2"/>
    <s v="Pending"/>
    <s v="Pending"/>
    <s v="Invalid"/>
    <s v="Pending"/>
  </r>
  <r>
    <x v="1648"/>
    <x v="347"/>
    <x v="0"/>
    <x v="2"/>
    <x v="1"/>
    <s v="Kisan Tractors Karnataka"/>
    <x v="1"/>
    <x v="1"/>
    <x v="2"/>
    <x v="0"/>
    <n v="2"/>
    <n v="876218"/>
    <n v="5"/>
    <n v="1752436"/>
    <n v="0.1752436"/>
    <n v="1664814.2"/>
    <n v="0.16648141999999999"/>
    <s v="Paid"/>
    <s v="Delivered"/>
    <s v="Invalid"/>
    <s v="Completed"/>
  </r>
  <r>
    <x v="1649"/>
    <x v="213"/>
    <x v="1"/>
    <x v="3"/>
    <x v="1"/>
    <s v="Mahadev Motors Karnataka"/>
    <x v="1"/>
    <x v="1"/>
    <x v="1"/>
    <x v="1"/>
    <n v="2"/>
    <n v="364565"/>
    <n v="5"/>
    <n v="729130"/>
    <n v="7.2913000000000006E-2"/>
    <n v="692673.5"/>
    <n v="6.9267350000000005E-2"/>
    <s v="Partial"/>
    <s v="In Transit"/>
    <s v="Invalid"/>
    <s v="In Transit"/>
  </r>
  <r>
    <x v="1650"/>
    <x v="504"/>
    <x v="1"/>
    <x v="1"/>
    <x v="2"/>
    <s v="Green Field Maharashtra"/>
    <x v="2"/>
    <x v="2"/>
    <x v="2"/>
    <x v="0"/>
    <n v="7"/>
    <n v="213852"/>
    <n v="9"/>
    <n v="1496964"/>
    <n v="0.14969640000000001"/>
    <n v="1362237.24"/>
    <n v="0.13622372399999999"/>
    <s v="Paid"/>
    <s v="Delivered"/>
    <s v="Valid"/>
    <s v="Completed"/>
  </r>
  <r>
    <x v="1651"/>
    <x v="211"/>
    <x v="0"/>
    <x v="4"/>
    <x v="3"/>
    <s v="Agri Motors Haryana"/>
    <x v="3"/>
    <x v="0"/>
    <x v="0"/>
    <x v="0"/>
    <n v="4"/>
    <n v="422207"/>
    <n v="6"/>
    <n v="1688828"/>
    <n v="0.1688828"/>
    <n v="1587498.3199999998"/>
    <n v="0.15874983199999998"/>
    <s v="Pending"/>
    <s v="Pending"/>
    <s v="Invalid"/>
    <s v="Pending"/>
  </r>
  <r>
    <x v="1652"/>
    <x v="85"/>
    <x v="2"/>
    <x v="4"/>
    <x v="1"/>
    <s v="Agri Motors Karnataka"/>
    <x v="1"/>
    <x v="1"/>
    <x v="2"/>
    <x v="0"/>
    <n v="0"/>
    <n v="571139"/>
    <n v="0"/>
    <n v="0"/>
    <n v="0"/>
    <n v="0"/>
    <n v="0"/>
    <s v="Paid"/>
    <s v="Delivered"/>
    <s v="Valid"/>
    <s v="Completed"/>
  </r>
  <r>
    <x v="1653"/>
    <x v="205"/>
    <x v="2"/>
    <x v="2"/>
    <x v="2"/>
    <s v="Kisan Tractors Maharashtra"/>
    <x v="2"/>
    <x v="2"/>
    <x v="4"/>
    <x v="1"/>
    <n v="6"/>
    <n v="670827"/>
    <n v="8"/>
    <n v="4024962"/>
    <n v="0.40249620000000003"/>
    <n v="3702965.04"/>
    <n v="0.37029650400000003"/>
    <s v="Paid"/>
    <s v="Delivered"/>
    <s v="Invalid"/>
    <s v="Completed"/>
  </r>
  <r>
    <x v="1654"/>
    <x v="58"/>
    <x v="3"/>
    <x v="4"/>
    <x v="3"/>
    <s v="Agri Motors Haryana"/>
    <x v="3"/>
    <x v="0"/>
    <x v="3"/>
    <x v="2"/>
    <n v="5"/>
    <n v="175389"/>
    <n v="7"/>
    <n v="876945"/>
    <n v="8.7694499999999995E-2"/>
    <n v="815558.85"/>
    <n v="8.1555884999999995E-2"/>
    <s v="Paid"/>
    <s v="Delivered"/>
    <s v="Invalid"/>
    <s v="Completed"/>
  </r>
  <r>
    <x v="1655"/>
    <x v="75"/>
    <x v="0"/>
    <x v="3"/>
    <x v="0"/>
    <s v="Mahadev Motors Uttar Pradesh"/>
    <x v="0"/>
    <x v="0"/>
    <x v="2"/>
    <x v="0"/>
    <n v="4"/>
    <n v="162783"/>
    <n v="6"/>
    <n v="651132"/>
    <n v="6.5113199999999996E-2"/>
    <n v="612064.07999999996"/>
    <n v="6.1206407999999997E-2"/>
    <s v="Pending"/>
    <s v="Pending"/>
    <s v="Invalid"/>
    <s v="Pending"/>
  </r>
  <r>
    <x v="1656"/>
    <x v="333"/>
    <x v="4"/>
    <x v="2"/>
    <x v="2"/>
    <s v="Kisan Tractors Maharashtra"/>
    <x v="2"/>
    <x v="2"/>
    <x v="4"/>
    <x v="1"/>
    <n v="7"/>
    <n v="539697"/>
    <n v="9"/>
    <n v="3777879"/>
    <n v="0.37778790000000001"/>
    <n v="3437869.89"/>
    <n v="0.34378698899999999"/>
    <s v="Partial"/>
    <s v="In Transit"/>
    <s v="Valid"/>
    <s v="In Transit"/>
  </r>
  <r>
    <x v="1657"/>
    <x v="333"/>
    <x v="2"/>
    <x v="1"/>
    <x v="0"/>
    <s v="Green Field Uttar Pradesh"/>
    <x v="0"/>
    <x v="0"/>
    <x v="0"/>
    <x v="0"/>
    <n v="5"/>
    <n v="370635"/>
    <n v="7"/>
    <n v="1853175"/>
    <n v="0.1853175"/>
    <n v="1723452.75"/>
    <n v="0.17234527499999999"/>
    <s v="Partial"/>
    <s v="In Transit"/>
    <s v="Invalid"/>
    <s v="In Transit"/>
  </r>
  <r>
    <x v="1658"/>
    <x v="268"/>
    <x v="3"/>
    <x v="3"/>
    <x v="1"/>
    <s v="Mahadev Motors Karnataka"/>
    <x v="1"/>
    <x v="1"/>
    <x v="0"/>
    <x v="0"/>
    <n v="2"/>
    <n v="692159"/>
    <n v="5"/>
    <n v="1384318"/>
    <n v="0.13843179999999999"/>
    <n v="1315102.0999999999"/>
    <n v="0.13151020999999999"/>
    <s v="Paid"/>
    <s v="Delivered"/>
    <s v="Valid"/>
    <s v="Completed"/>
  </r>
  <r>
    <x v="1659"/>
    <x v="450"/>
    <x v="2"/>
    <x v="1"/>
    <x v="4"/>
    <s v="Green Field West Bengal"/>
    <x v="4"/>
    <x v="3"/>
    <x v="0"/>
    <x v="0"/>
    <n v="7"/>
    <n v="364111"/>
    <n v="9"/>
    <n v="2548777"/>
    <n v="0.25487769999999998"/>
    <n v="2319387.0700000003"/>
    <n v="0.23193870700000002"/>
    <s v="Paid"/>
    <s v="Delivered"/>
    <s v="Invalid"/>
    <s v="Completed"/>
  </r>
  <r>
    <x v="1660"/>
    <x v="476"/>
    <x v="2"/>
    <x v="4"/>
    <x v="3"/>
    <s v="Agri Motors Haryana"/>
    <x v="3"/>
    <x v="0"/>
    <x v="0"/>
    <x v="0"/>
    <n v="1"/>
    <n v="715279"/>
    <n v="3"/>
    <n v="715279"/>
    <n v="7.1527900000000005E-2"/>
    <n v="693820.63"/>
    <n v="6.9382062999999994E-2"/>
    <s v="Partial"/>
    <s v="In Transit"/>
    <s v="Invalid"/>
    <s v="In Transit"/>
  </r>
  <r>
    <x v="1661"/>
    <x v="35"/>
    <x v="0"/>
    <x v="3"/>
    <x v="3"/>
    <s v="Mahadev Motors Haryana"/>
    <x v="3"/>
    <x v="0"/>
    <x v="2"/>
    <x v="0"/>
    <n v="4"/>
    <n v="93304"/>
    <n v="6"/>
    <n v="373216"/>
    <n v="3.7321600000000003E-2"/>
    <n v="350823.04"/>
    <n v="3.5082303999999995E-2"/>
    <s v="Partial"/>
    <s v="In Transit"/>
    <s v="Invalid"/>
    <s v="In Transit"/>
  </r>
  <r>
    <x v="1662"/>
    <x v="284"/>
    <x v="1"/>
    <x v="3"/>
    <x v="0"/>
    <s v="Mahadev Motors Uttar Pradesh"/>
    <x v="0"/>
    <x v="0"/>
    <x v="0"/>
    <x v="0"/>
    <n v="2"/>
    <n v="341218"/>
    <n v="5"/>
    <n v="682436"/>
    <n v="6.8243600000000001E-2"/>
    <n v="648314.19999999995"/>
    <n v="6.4831420000000001E-2"/>
    <s v="Partial"/>
    <s v="In Transit"/>
    <s v="Valid"/>
    <s v="In Transit"/>
  </r>
  <r>
    <x v="1663"/>
    <x v="538"/>
    <x v="4"/>
    <x v="4"/>
    <x v="1"/>
    <s v="Agri Motors Karnataka"/>
    <x v="1"/>
    <x v="1"/>
    <x v="4"/>
    <x v="1"/>
    <n v="8"/>
    <n v="127291"/>
    <n v="9"/>
    <n v="1018328"/>
    <n v="0.1018328"/>
    <n v="926678.48"/>
    <n v="9.2667847999999997E-2"/>
    <s v="Pending"/>
    <s v="Pending"/>
    <s v="Invalid"/>
    <s v="Pending"/>
  </r>
  <r>
    <x v="1664"/>
    <x v="388"/>
    <x v="3"/>
    <x v="2"/>
    <x v="2"/>
    <s v="Kisan Tractors Maharashtra"/>
    <x v="2"/>
    <x v="2"/>
    <x v="2"/>
    <x v="0"/>
    <n v="6"/>
    <n v="346263"/>
    <n v="8"/>
    <n v="2077578"/>
    <n v="0.20775779999999999"/>
    <n v="1911371.76"/>
    <n v="0.19113717599999999"/>
    <s v="Paid"/>
    <s v="Delivered"/>
    <s v="Valid"/>
    <s v="Completed"/>
  </r>
  <r>
    <x v="1665"/>
    <x v="424"/>
    <x v="4"/>
    <x v="0"/>
    <x v="4"/>
    <s v="Shakti Agro West Bengal"/>
    <x v="4"/>
    <x v="3"/>
    <x v="0"/>
    <x v="0"/>
    <n v="2"/>
    <n v="536118"/>
    <n v="5"/>
    <n v="1072236"/>
    <n v="0.1072236"/>
    <n v="1018624.2"/>
    <n v="0.10186242"/>
    <s v="Paid"/>
    <s v="Delivered"/>
    <s v="Invalid"/>
    <s v="Completed"/>
  </r>
  <r>
    <x v="1666"/>
    <x v="107"/>
    <x v="0"/>
    <x v="3"/>
    <x v="3"/>
    <s v="Mahadev Motors Haryana"/>
    <x v="3"/>
    <x v="0"/>
    <x v="4"/>
    <x v="1"/>
    <n v="6"/>
    <n v="251243"/>
    <n v="8"/>
    <n v="1507458"/>
    <n v="0.15074580000000001"/>
    <n v="1386861.36"/>
    <n v="0.13868613600000002"/>
    <s v="Partial"/>
    <s v="In Transit"/>
    <s v="Invalid"/>
    <s v="In Transit"/>
  </r>
  <r>
    <x v="1667"/>
    <x v="204"/>
    <x v="1"/>
    <x v="3"/>
    <x v="4"/>
    <s v="Mahadev Motors West Bengal"/>
    <x v="4"/>
    <x v="3"/>
    <x v="3"/>
    <x v="2"/>
    <n v="3"/>
    <n v="135410"/>
    <n v="6"/>
    <n v="406230"/>
    <n v="4.0622999999999999E-2"/>
    <n v="381856.19999999995"/>
    <n v="3.8185619999999997E-2"/>
    <s v="Paid"/>
    <s v="Delivered"/>
    <s v="Invalid"/>
    <s v="Completed"/>
  </r>
  <r>
    <x v="1668"/>
    <x v="465"/>
    <x v="3"/>
    <x v="0"/>
    <x v="1"/>
    <s v="Shakti Agro Karnataka"/>
    <x v="1"/>
    <x v="1"/>
    <x v="3"/>
    <x v="2"/>
    <n v="6"/>
    <n v="321038"/>
    <n v="8"/>
    <n v="1926228"/>
    <n v="0.19262280000000001"/>
    <n v="1772129.76"/>
    <n v="0.17721297599999999"/>
    <s v="Pending"/>
    <s v="Pending"/>
    <s v="Valid"/>
    <s v="Pending"/>
  </r>
  <r>
    <x v="1669"/>
    <x v="130"/>
    <x v="2"/>
    <x v="3"/>
    <x v="3"/>
    <s v="Mahadev Motors Haryana"/>
    <x v="3"/>
    <x v="0"/>
    <x v="4"/>
    <x v="1"/>
    <n v="6"/>
    <n v="658939"/>
    <n v="8"/>
    <n v="3953634"/>
    <n v="0.39536339999999998"/>
    <n v="3637343.2800000003"/>
    <n v="0.36373432800000005"/>
    <s v="Pending"/>
    <s v="Pending"/>
    <s v="Invalid"/>
    <s v="Pending"/>
  </r>
  <r>
    <x v="1670"/>
    <x v="467"/>
    <x v="4"/>
    <x v="4"/>
    <x v="1"/>
    <s v="Agri Motors Karnataka"/>
    <x v="1"/>
    <x v="1"/>
    <x v="4"/>
    <x v="1"/>
    <n v="6"/>
    <n v="502582"/>
    <n v="8"/>
    <n v="3015492"/>
    <n v="0.30154920000000002"/>
    <n v="2774252.64"/>
    <n v="0.277425264"/>
    <s v="Paid"/>
    <s v="Delivered"/>
    <s v="Invalid"/>
    <s v="Completed"/>
  </r>
  <r>
    <x v="1671"/>
    <x v="506"/>
    <x v="4"/>
    <x v="2"/>
    <x v="4"/>
    <s v="Kisan Tractors West Bengal"/>
    <x v="4"/>
    <x v="3"/>
    <x v="1"/>
    <x v="1"/>
    <n v="7"/>
    <n v="667597"/>
    <n v="9"/>
    <n v="4673179"/>
    <n v="0.46731790000000001"/>
    <n v="4252592.8900000006"/>
    <n v="0.42525928900000004"/>
    <s v="Paid"/>
    <s v="Delivered"/>
    <s v="Valid"/>
    <s v="Completed"/>
  </r>
  <r>
    <x v="1672"/>
    <x v="529"/>
    <x v="3"/>
    <x v="1"/>
    <x v="4"/>
    <s v="Green Field West Bengal"/>
    <x v="4"/>
    <x v="3"/>
    <x v="3"/>
    <x v="2"/>
    <n v="2"/>
    <n v="542811"/>
    <n v="5"/>
    <n v="1085622"/>
    <n v="0.1085622"/>
    <n v="1031340.8999999999"/>
    <n v="0.10313408999999998"/>
    <s v="Pending"/>
    <s v="Pending"/>
    <s v="Invalid"/>
    <s v="Pending"/>
  </r>
  <r>
    <x v="1673"/>
    <x v="202"/>
    <x v="1"/>
    <x v="4"/>
    <x v="2"/>
    <s v="Agri Motors Maharashtra"/>
    <x v="2"/>
    <x v="2"/>
    <x v="3"/>
    <x v="2"/>
    <n v="5"/>
    <n v="769458"/>
    <n v="7"/>
    <n v="3847290"/>
    <n v="0.38472899999999999"/>
    <n v="3577979.6999999997"/>
    <n v="0.35779796999999997"/>
    <s v="Paid"/>
    <s v="Delivered"/>
    <s v="Invalid"/>
    <s v="Completed"/>
  </r>
  <r>
    <x v="1674"/>
    <x v="493"/>
    <x v="2"/>
    <x v="3"/>
    <x v="0"/>
    <s v="Mahadev Motors Uttar Pradesh"/>
    <x v="0"/>
    <x v="0"/>
    <x v="0"/>
    <x v="0"/>
    <n v="3"/>
    <n v="632899"/>
    <n v="6"/>
    <n v="1898697"/>
    <n v="0.1898697"/>
    <n v="1784775.18"/>
    <n v="0.178477518"/>
    <s v="Pending"/>
    <s v="Pending"/>
    <s v="Invalid"/>
    <s v="Pending"/>
  </r>
  <r>
    <x v="1675"/>
    <x v="117"/>
    <x v="4"/>
    <x v="1"/>
    <x v="1"/>
    <s v="Green Field Karnataka"/>
    <x v="1"/>
    <x v="1"/>
    <x v="4"/>
    <x v="1"/>
    <n v="1"/>
    <n v="336401"/>
    <n v="3"/>
    <n v="336401"/>
    <n v="3.3640099999999999E-2"/>
    <n v="326308.96999999997"/>
    <n v="3.2630896999999999E-2"/>
    <s v="Pending"/>
    <s v="Pending"/>
    <s v="Invalid"/>
    <s v="Pending"/>
  </r>
  <r>
    <x v="1676"/>
    <x v="454"/>
    <x v="1"/>
    <x v="3"/>
    <x v="3"/>
    <s v="Mahadev Motors Haryana"/>
    <x v="3"/>
    <x v="0"/>
    <x v="1"/>
    <x v="1"/>
    <n v="2"/>
    <n v="655919"/>
    <n v="5"/>
    <n v="1311838"/>
    <n v="0.13118379999999999"/>
    <n v="1246246.0999999999"/>
    <n v="0.12462460999999998"/>
    <s v="Pending"/>
    <s v="Pending"/>
    <s v="Invalid"/>
    <s v="Pending"/>
  </r>
  <r>
    <x v="1677"/>
    <x v="403"/>
    <x v="3"/>
    <x v="1"/>
    <x v="0"/>
    <s v="Green Field Uttar Pradesh"/>
    <x v="0"/>
    <x v="0"/>
    <x v="4"/>
    <x v="1"/>
    <n v="1"/>
    <n v="323328"/>
    <n v="3"/>
    <n v="323328"/>
    <n v="3.2332800000000002E-2"/>
    <n v="313628.15999999997"/>
    <n v="3.1362815999999995E-2"/>
    <s v="Partial"/>
    <s v="In Transit"/>
    <s v="Invalid"/>
    <s v="In Transit"/>
  </r>
  <r>
    <x v="1678"/>
    <x v="389"/>
    <x v="0"/>
    <x v="1"/>
    <x v="0"/>
    <s v="Green Field Uttar Pradesh"/>
    <x v="0"/>
    <x v="0"/>
    <x v="0"/>
    <x v="0"/>
    <n v="6"/>
    <n v="98229"/>
    <n v="8"/>
    <n v="589374"/>
    <n v="5.8937400000000001E-2"/>
    <n v="542224.08000000007"/>
    <n v="5.4222408000000007E-2"/>
    <s v="Partial"/>
    <s v="In Transit"/>
    <s v="Invalid"/>
    <s v="In Transit"/>
  </r>
  <r>
    <x v="1679"/>
    <x v="4"/>
    <x v="2"/>
    <x v="1"/>
    <x v="3"/>
    <s v="Green Field Haryana"/>
    <x v="3"/>
    <x v="0"/>
    <x v="2"/>
    <x v="0"/>
    <n v="1"/>
    <n v="156614"/>
    <n v="3"/>
    <n v="156614"/>
    <n v="1.5661399999999999E-2"/>
    <n v="151915.57999999999"/>
    <n v="1.5191557999999999E-2"/>
    <s v="Pending"/>
    <s v="Pending"/>
    <s v="Valid"/>
    <s v="Pending"/>
  </r>
  <r>
    <x v="1680"/>
    <x v="478"/>
    <x v="2"/>
    <x v="4"/>
    <x v="2"/>
    <s v="Agri Motors Maharashtra"/>
    <x v="2"/>
    <x v="2"/>
    <x v="3"/>
    <x v="2"/>
    <n v="5"/>
    <n v="425940"/>
    <n v="7"/>
    <n v="2129700"/>
    <n v="0.21296999999999999"/>
    <n v="1980620.9999999998"/>
    <n v="0.19806209999999996"/>
    <s v="Pending"/>
    <s v="Pending"/>
    <s v="Invalid"/>
    <s v="Pending"/>
  </r>
  <r>
    <x v="1681"/>
    <x v="324"/>
    <x v="3"/>
    <x v="1"/>
    <x v="3"/>
    <s v="Green Field Haryana"/>
    <x v="3"/>
    <x v="0"/>
    <x v="1"/>
    <x v="1"/>
    <n v="2"/>
    <n v="494895"/>
    <n v="5"/>
    <n v="989790"/>
    <n v="9.8978999999999998E-2"/>
    <n v="940300.5"/>
    <n v="9.4030050000000004E-2"/>
    <s v="Pending"/>
    <s v="Pending"/>
    <s v="Valid"/>
    <s v="Pending"/>
  </r>
  <r>
    <x v="1682"/>
    <x v="237"/>
    <x v="3"/>
    <x v="3"/>
    <x v="3"/>
    <s v="Mahadev Motors Haryana"/>
    <x v="3"/>
    <x v="0"/>
    <x v="0"/>
    <x v="0"/>
    <n v="3"/>
    <n v="740363"/>
    <n v="6"/>
    <n v="2221089"/>
    <n v="0.2221089"/>
    <n v="2087823.66"/>
    <n v="0.208782366"/>
    <s v="Partial"/>
    <s v="In Transit"/>
    <s v="Invalid"/>
    <s v="In Transit"/>
  </r>
  <r>
    <x v="1683"/>
    <x v="416"/>
    <x v="0"/>
    <x v="2"/>
    <x v="2"/>
    <s v="Kisan Tractors Maharashtra"/>
    <x v="2"/>
    <x v="2"/>
    <x v="3"/>
    <x v="2"/>
    <n v="7"/>
    <n v="601256"/>
    <n v="9"/>
    <n v="4208792"/>
    <n v="0.42087920000000001"/>
    <n v="3830000.72"/>
    <n v="0.38300007200000002"/>
    <s v="Pending"/>
    <s v="Pending"/>
    <s v="Invalid"/>
    <s v="Pending"/>
  </r>
  <r>
    <x v="1684"/>
    <x v="146"/>
    <x v="4"/>
    <x v="0"/>
    <x v="3"/>
    <s v="Shakti Agro Haryana"/>
    <x v="3"/>
    <x v="0"/>
    <x v="1"/>
    <x v="1"/>
    <n v="6"/>
    <n v="254071"/>
    <n v="8"/>
    <n v="1524426"/>
    <n v="0.15244260000000001"/>
    <n v="1402471.9200000002"/>
    <n v="0.14024719200000002"/>
    <s v="Paid"/>
    <s v="Delivered"/>
    <s v="Valid"/>
    <s v="Completed"/>
  </r>
  <r>
    <x v="1685"/>
    <x v="141"/>
    <x v="3"/>
    <x v="4"/>
    <x v="0"/>
    <s v="Agri Motors Uttar Pradesh"/>
    <x v="0"/>
    <x v="0"/>
    <x v="2"/>
    <x v="0"/>
    <n v="8"/>
    <n v="60250"/>
    <n v="9"/>
    <n v="482000"/>
    <n v="4.82E-2"/>
    <n v="438620"/>
    <n v="4.3861999999999998E-2"/>
    <s v="Partial"/>
    <s v="In Transit"/>
    <s v="Valid"/>
    <s v="In Transit"/>
  </r>
  <r>
    <x v="1686"/>
    <x v="310"/>
    <x v="2"/>
    <x v="0"/>
    <x v="2"/>
    <s v="Shakti Agro Maharashtra"/>
    <x v="2"/>
    <x v="2"/>
    <x v="0"/>
    <x v="0"/>
    <n v="2"/>
    <n v="275877"/>
    <n v="5"/>
    <n v="551754"/>
    <n v="5.5175399999999999E-2"/>
    <n v="524166.3"/>
    <n v="5.2416629999999999E-2"/>
    <s v="Paid"/>
    <s v="Delivered"/>
    <s v="Invalid"/>
    <s v="Completed"/>
  </r>
  <r>
    <x v="1687"/>
    <x v="0"/>
    <x v="4"/>
    <x v="4"/>
    <x v="4"/>
    <s v="Agri Motors West Bengal"/>
    <x v="4"/>
    <x v="3"/>
    <x v="3"/>
    <x v="2"/>
    <n v="7"/>
    <n v="210074"/>
    <n v="9"/>
    <n v="1470518"/>
    <n v="0.14705180000000001"/>
    <n v="1338171.3800000001"/>
    <n v="0.133817138"/>
    <s v="Paid"/>
    <s v="Delivered"/>
    <s v="Invalid"/>
    <s v="Completed"/>
  </r>
  <r>
    <x v="1688"/>
    <x v="257"/>
    <x v="4"/>
    <x v="4"/>
    <x v="0"/>
    <s v="Agri Motors Uttar Pradesh"/>
    <x v="0"/>
    <x v="0"/>
    <x v="1"/>
    <x v="1"/>
    <n v="3"/>
    <n v="669138"/>
    <n v="6"/>
    <n v="2007414"/>
    <n v="0.20074139999999999"/>
    <n v="1886969.16"/>
    <n v="0.18869691599999999"/>
    <s v="Paid"/>
    <s v="Delivered"/>
    <s v="Valid"/>
    <s v="Completed"/>
  </r>
  <r>
    <x v="1689"/>
    <x v="152"/>
    <x v="2"/>
    <x v="1"/>
    <x v="3"/>
    <s v="Green Field Haryana"/>
    <x v="3"/>
    <x v="0"/>
    <x v="3"/>
    <x v="2"/>
    <n v="6"/>
    <n v="260244"/>
    <n v="8"/>
    <n v="1561464"/>
    <n v="0.15614639999999999"/>
    <n v="1436546.8800000001"/>
    <n v="0.143654688"/>
    <s v="Partial"/>
    <s v="In Transit"/>
    <s v="Invalid"/>
    <s v="In Transit"/>
  </r>
  <r>
    <x v="1690"/>
    <x v="7"/>
    <x v="0"/>
    <x v="1"/>
    <x v="1"/>
    <s v="Green Field Karnataka"/>
    <x v="1"/>
    <x v="1"/>
    <x v="0"/>
    <x v="0"/>
    <n v="2"/>
    <n v="798431"/>
    <n v="5"/>
    <n v="1596862"/>
    <n v="0.1596862"/>
    <n v="1517018.9"/>
    <n v="0.15170188999999998"/>
    <s v="Paid"/>
    <s v="Delivered"/>
    <s v="Valid"/>
    <s v="Completed"/>
  </r>
  <r>
    <x v="1691"/>
    <x v="453"/>
    <x v="0"/>
    <x v="0"/>
    <x v="0"/>
    <s v="Shakti Agro Uttar Pradesh"/>
    <x v="0"/>
    <x v="0"/>
    <x v="2"/>
    <x v="0"/>
    <n v="6"/>
    <n v="357614"/>
    <n v="8"/>
    <n v="2145684"/>
    <n v="0.21456839999999999"/>
    <n v="1974029.28"/>
    <n v="0.19740292800000001"/>
    <s v="Partial"/>
    <s v="In Transit"/>
    <s v="Valid"/>
    <s v="In Transit"/>
  </r>
  <r>
    <x v="1692"/>
    <x v="265"/>
    <x v="1"/>
    <x v="2"/>
    <x v="2"/>
    <s v="Kisan Tractors Maharashtra"/>
    <x v="2"/>
    <x v="2"/>
    <x v="4"/>
    <x v="1"/>
    <n v="4"/>
    <n v="866190"/>
    <n v="6"/>
    <n v="3464760"/>
    <n v="0.34647600000000001"/>
    <n v="3256874.4"/>
    <n v="0.32568743999999999"/>
    <s v="Partial"/>
    <s v="In Transit"/>
    <s v="Invalid"/>
    <s v="In Transit"/>
  </r>
  <r>
    <x v="1693"/>
    <x v="394"/>
    <x v="4"/>
    <x v="1"/>
    <x v="2"/>
    <s v="Green Field Maharashtra"/>
    <x v="2"/>
    <x v="2"/>
    <x v="2"/>
    <x v="0"/>
    <n v="5"/>
    <n v="285213"/>
    <n v="7"/>
    <n v="1426065"/>
    <n v="0.1426065"/>
    <n v="1326240.45"/>
    <n v="0.132624045"/>
    <s v="Paid"/>
    <s v="Delivered"/>
    <s v="Invalid"/>
    <s v="Completed"/>
  </r>
  <r>
    <x v="1694"/>
    <x v="5"/>
    <x v="2"/>
    <x v="4"/>
    <x v="1"/>
    <s v="Agri Motors Karnataka"/>
    <x v="1"/>
    <x v="1"/>
    <x v="1"/>
    <x v="1"/>
    <n v="2"/>
    <n v="472480"/>
    <n v="5"/>
    <n v="944960"/>
    <n v="9.4495999999999997E-2"/>
    <n v="897712"/>
    <n v="8.9771199999999995E-2"/>
    <s v="Partial"/>
    <s v="In Transit"/>
    <s v="Valid"/>
    <s v="In Transit"/>
  </r>
  <r>
    <x v="1695"/>
    <x v="444"/>
    <x v="3"/>
    <x v="1"/>
    <x v="2"/>
    <s v="Green Field Maharashtra"/>
    <x v="2"/>
    <x v="2"/>
    <x v="3"/>
    <x v="2"/>
    <n v="1"/>
    <n v="838577"/>
    <n v="3"/>
    <n v="838577"/>
    <n v="8.3857699999999993E-2"/>
    <n v="813419.69"/>
    <n v="8.1341969E-2"/>
    <s v="Paid"/>
    <s v="Delivered"/>
    <s v="Invalid"/>
    <s v="Completed"/>
  </r>
  <r>
    <x v="1696"/>
    <x v="231"/>
    <x v="1"/>
    <x v="2"/>
    <x v="3"/>
    <s v="Kisan Tractors Haryana"/>
    <x v="3"/>
    <x v="0"/>
    <x v="1"/>
    <x v="1"/>
    <n v="2"/>
    <n v="534279"/>
    <n v="5"/>
    <n v="1068558"/>
    <n v="0.1068558"/>
    <n v="1015130.1"/>
    <n v="0.10151301"/>
    <s v="Paid"/>
    <s v="Delivered"/>
    <s v="Invalid"/>
    <s v="Completed"/>
  </r>
  <r>
    <x v="1697"/>
    <x v="301"/>
    <x v="2"/>
    <x v="1"/>
    <x v="4"/>
    <s v="Green Field West Bengal"/>
    <x v="4"/>
    <x v="3"/>
    <x v="1"/>
    <x v="1"/>
    <n v="1"/>
    <n v="630916"/>
    <n v="3"/>
    <n v="630916"/>
    <n v="6.3091599999999998E-2"/>
    <n v="611988.52"/>
    <n v="6.1198852000000005E-2"/>
    <s v="Partial"/>
    <s v="In Transit"/>
    <s v="Invalid"/>
    <s v="In Transit"/>
  </r>
  <r>
    <x v="1698"/>
    <x v="267"/>
    <x v="0"/>
    <x v="2"/>
    <x v="0"/>
    <s v="Kisan Tractors Uttar Pradesh"/>
    <x v="0"/>
    <x v="0"/>
    <x v="4"/>
    <x v="1"/>
    <n v="8"/>
    <n v="857343"/>
    <n v="9"/>
    <n v="6858744"/>
    <n v="0.6858744"/>
    <n v="6241457.04"/>
    <n v="0.62414570400000002"/>
    <s v="Paid"/>
    <s v="Delivered"/>
    <s v="Valid"/>
    <s v="Completed"/>
  </r>
  <r>
    <x v="1699"/>
    <x v="103"/>
    <x v="3"/>
    <x v="1"/>
    <x v="0"/>
    <s v="Green Field Uttar Pradesh"/>
    <x v="0"/>
    <x v="0"/>
    <x v="1"/>
    <x v="1"/>
    <n v="5"/>
    <n v="419260"/>
    <n v="7"/>
    <n v="2096300"/>
    <n v="0.20963000000000001"/>
    <n v="1949558.9999999998"/>
    <n v="0.19495589999999999"/>
    <s v="Pending"/>
    <s v="Pending"/>
    <s v="Invalid"/>
    <s v="Pending"/>
  </r>
  <r>
    <x v="1700"/>
    <x v="347"/>
    <x v="2"/>
    <x v="3"/>
    <x v="0"/>
    <s v="Mahadev Motors Uttar Pradesh"/>
    <x v="0"/>
    <x v="0"/>
    <x v="4"/>
    <x v="1"/>
    <n v="2"/>
    <n v="725607"/>
    <n v="5"/>
    <n v="1451214"/>
    <n v="0.14512140000000001"/>
    <n v="1378653.3"/>
    <n v="0.13786533000000001"/>
    <s v="Paid"/>
    <s v="Delivered"/>
    <s v="Invalid"/>
    <s v="Completed"/>
  </r>
  <r>
    <x v="1701"/>
    <x v="539"/>
    <x v="0"/>
    <x v="2"/>
    <x v="2"/>
    <s v="Kisan Tractors Maharashtra"/>
    <x v="2"/>
    <x v="2"/>
    <x v="0"/>
    <x v="0"/>
    <n v="6"/>
    <n v="340158"/>
    <n v="8"/>
    <n v="2040948"/>
    <n v="0.20409479999999999"/>
    <n v="1877672.1600000001"/>
    <n v="0.18776721600000001"/>
    <s v="Partial"/>
    <s v="In Transit"/>
    <s v="Invalid"/>
    <s v="In Transit"/>
  </r>
  <r>
    <x v="1702"/>
    <x v="342"/>
    <x v="1"/>
    <x v="2"/>
    <x v="3"/>
    <s v="Kisan Tractors Haryana"/>
    <x v="3"/>
    <x v="0"/>
    <x v="0"/>
    <x v="0"/>
    <n v="8"/>
    <n v="199827"/>
    <n v="9"/>
    <n v="1598616"/>
    <n v="0.15986159999999999"/>
    <n v="1454740.56"/>
    <n v="0.14547405600000002"/>
    <s v="Partial"/>
    <s v="In Transit"/>
    <s v="Invalid"/>
    <s v="In Transit"/>
  </r>
  <r>
    <x v="1703"/>
    <x v="130"/>
    <x v="1"/>
    <x v="4"/>
    <x v="3"/>
    <s v="Agri Motors Haryana"/>
    <x v="3"/>
    <x v="0"/>
    <x v="3"/>
    <x v="2"/>
    <n v="2"/>
    <n v="784151"/>
    <n v="5"/>
    <n v="1568302"/>
    <n v="0.1568302"/>
    <n v="1489886.9"/>
    <n v="0.14898868999999998"/>
    <s v="Partial"/>
    <s v="In Transit"/>
    <s v="Invalid"/>
    <s v="In Transit"/>
  </r>
  <r>
    <x v="1704"/>
    <x v="78"/>
    <x v="0"/>
    <x v="1"/>
    <x v="1"/>
    <s v="Green Field Karnataka"/>
    <x v="1"/>
    <x v="1"/>
    <x v="1"/>
    <x v="1"/>
    <n v="6"/>
    <n v="506373"/>
    <n v="8"/>
    <n v="3038238"/>
    <n v="0.30382379999999998"/>
    <n v="2795178.96"/>
    <n v="0.27951789599999999"/>
    <s v="Partial"/>
    <s v="In Transit"/>
    <s v="Invalid"/>
    <s v="In Transit"/>
  </r>
  <r>
    <x v="1705"/>
    <x v="305"/>
    <x v="0"/>
    <x v="0"/>
    <x v="0"/>
    <s v="Shakti Agro Uttar Pradesh"/>
    <x v="0"/>
    <x v="0"/>
    <x v="0"/>
    <x v="0"/>
    <n v="5"/>
    <n v="615522"/>
    <n v="7"/>
    <n v="3077610"/>
    <n v="0.30776100000000001"/>
    <n v="2862177.3"/>
    <n v="0.28621773"/>
    <s v="Partial"/>
    <s v="In Transit"/>
    <s v="Invalid"/>
    <s v="In Transit"/>
  </r>
  <r>
    <x v="1706"/>
    <x v="128"/>
    <x v="0"/>
    <x v="0"/>
    <x v="3"/>
    <s v="Shakti Agro Haryana"/>
    <x v="3"/>
    <x v="0"/>
    <x v="2"/>
    <x v="0"/>
    <n v="2"/>
    <n v="570411"/>
    <n v="5"/>
    <n v="1140822"/>
    <n v="0.11408219999999999"/>
    <n v="1083780.8999999999"/>
    <n v="0.10837809"/>
    <s v="Paid"/>
    <s v="Delivered"/>
    <s v="Valid"/>
    <s v="Completed"/>
  </r>
  <r>
    <x v="1707"/>
    <x v="261"/>
    <x v="2"/>
    <x v="3"/>
    <x v="0"/>
    <s v="Mahadev Motors Uttar Pradesh"/>
    <x v="0"/>
    <x v="0"/>
    <x v="0"/>
    <x v="0"/>
    <n v="5"/>
    <n v="126001"/>
    <n v="7"/>
    <n v="630005"/>
    <n v="6.3000500000000001E-2"/>
    <n v="585904.64999999991"/>
    <n v="5.8590464999999987E-2"/>
    <s v="Pending"/>
    <s v="Pending"/>
    <s v="Valid"/>
    <s v="Pending"/>
  </r>
  <r>
    <x v="1708"/>
    <x v="200"/>
    <x v="4"/>
    <x v="0"/>
    <x v="2"/>
    <s v="Shakti Agro Maharashtra"/>
    <x v="2"/>
    <x v="2"/>
    <x v="2"/>
    <x v="0"/>
    <n v="8"/>
    <n v="272360"/>
    <n v="9"/>
    <n v="2178880"/>
    <n v="0.217888"/>
    <n v="1982780.8"/>
    <n v="0.19827808"/>
    <s v="Paid"/>
    <s v="Delivered"/>
    <s v="Invalid"/>
    <s v="Completed"/>
  </r>
  <r>
    <x v="1709"/>
    <x v="114"/>
    <x v="3"/>
    <x v="2"/>
    <x v="1"/>
    <s v="Kisan Tractors Karnataka"/>
    <x v="1"/>
    <x v="1"/>
    <x v="1"/>
    <x v="1"/>
    <n v="3"/>
    <n v="599057"/>
    <n v="6"/>
    <n v="1797171"/>
    <n v="0.17971709999999999"/>
    <n v="1689340.74"/>
    <n v="0.16893407399999999"/>
    <s v="Paid"/>
    <s v="Delivered"/>
    <s v="Valid"/>
    <s v="Completed"/>
  </r>
  <r>
    <x v="1710"/>
    <x v="96"/>
    <x v="0"/>
    <x v="3"/>
    <x v="4"/>
    <s v="Mahadev Motors West Bengal"/>
    <x v="4"/>
    <x v="3"/>
    <x v="1"/>
    <x v="1"/>
    <n v="2"/>
    <n v="517417"/>
    <n v="5"/>
    <n v="1034834"/>
    <n v="0.1034834"/>
    <n v="983092.29999999993"/>
    <n v="9.8309229999999997E-2"/>
    <s v="Partial"/>
    <s v="In Transit"/>
    <s v="Valid"/>
    <s v="In Transit"/>
  </r>
  <r>
    <x v="1711"/>
    <x v="359"/>
    <x v="3"/>
    <x v="0"/>
    <x v="2"/>
    <s v="Shakti Agro Maharashtra"/>
    <x v="2"/>
    <x v="2"/>
    <x v="2"/>
    <x v="0"/>
    <n v="3"/>
    <n v="477334"/>
    <n v="6"/>
    <n v="1432002"/>
    <n v="0.1432002"/>
    <n v="1346081.88"/>
    <n v="0.13460818799999999"/>
    <s v="Pending"/>
    <s v="Pending"/>
    <s v="Valid"/>
    <s v="Pending"/>
  </r>
  <r>
    <x v="1712"/>
    <x v="419"/>
    <x v="4"/>
    <x v="0"/>
    <x v="1"/>
    <s v="Shakti Agro Karnataka"/>
    <x v="1"/>
    <x v="1"/>
    <x v="4"/>
    <x v="1"/>
    <n v="2"/>
    <n v="555662"/>
    <n v="5"/>
    <n v="1111324"/>
    <n v="0.11113240000000001"/>
    <n v="1055757.8"/>
    <n v="0.10557578000000001"/>
    <s v="Paid"/>
    <s v="Delivered"/>
    <s v="Valid"/>
    <s v="Completed"/>
  </r>
  <r>
    <x v="1713"/>
    <x v="300"/>
    <x v="4"/>
    <x v="0"/>
    <x v="1"/>
    <s v="Shakti Agro Karnataka"/>
    <x v="1"/>
    <x v="1"/>
    <x v="2"/>
    <x v="0"/>
    <n v="1"/>
    <n v="210999"/>
    <n v="3"/>
    <n v="210999"/>
    <n v="2.1099900000000001E-2"/>
    <n v="204669.03"/>
    <n v="2.0466903000000002E-2"/>
    <s v="Paid"/>
    <s v="Delivered"/>
    <s v="Invalid"/>
    <s v="Completed"/>
  </r>
  <r>
    <x v="1714"/>
    <x v="385"/>
    <x v="0"/>
    <x v="1"/>
    <x v="1"/>
    <s v="Green Field Karnataka"/>
    <x v="1"/>
    <x v="1"/>
    <x v="1"/>
    <x v="1"/>
    <n v="7"/>
    <n v="745331"/>
    <n v="9"/>
    <n v="5217317"/>
    <n v="0.52173170000000002"/>
    <n v="4747758.47"/>
    <n v="0.47477584699999997"/>
    <s v="Pending"/>
    <s v="Pending"/>
    <s v="Invalid"/>
    <s v="Pending"/>
  </r>
  <r>
    <x v="1715"/>
    <x v="76"/>
    <x v="0"/>
    <x v="1"/>
    <x v="3"/>
    <s v="Green Field Haryana"/>
    <x v="3"/>
    <x v="0"/>
    <x v="2"/>
    <x v="0"/>
    <n v="8"/>
    <n v="577882"/>
    <n v="9"/>
    <n v="4623056"/>
    <n v="0.46230559999999998"/>
    <n v="4206980.96"/>
    <n v="0.42069809600000002"/>
    <s v="Pending"/>
    <s v="Pending"/>
    <s v="Invalid"/>
    <s v="Pending"/>
  </r>
  <r>
    <x v="1716"/>
    <x v="255"/>
    <x v="0"/>
    <x v="3"/>
    <x v="1"/>
    <s v="Mahadev Motors Karnataka"/>
    <x v="1"/>
    <x v="1"/>
    <x v="2"/>
    <x v="0"/>
    <n v="4"/>
    <n v="294659"/>
    <n v="6"/>
    <n v="1178636"/>
    <n v="0.1178636"/>
    <n v="1107917.8399999999"/>
    <n v="0.11079178399999999"/>
    <s v="Pending"/>
    <s v="Pending"/>
    <s v="Invalid"/>
    <s v="Pending"/>
  </r>
  <r>
    <x v="1717"/>
    <x v="314"/>
    <x v="2"/>
    <x v="2"/>
    <x v="2"/>
    <s v="Kisan Tractors Maharashtra"/>
    <x v="2"/>
    <x v="2"/>
    <x v="4"/>
    <x v="1"/>
    <n v="4"/>
    <n v="677789"/>
    <n v="6"/>
    <n v="2711156"/>
    <n v="0.27111560000000001"/>
    <n v="2548486.6399999997"/>
    <n v="0.25484866399999995"/>
    <s v="Partial"/>
    <s v="In Transit"/>
    <s v="Invalid"/>
    <s v="In Transit"/>
  </r>
  <r>
    <x v="1718"/>
    <x v="294"/>
    <x v="2"/>
    <x v="4"/>
    <x v="0"/>
    <s v="Agri Motors Uttar Pradesh"/>
    <x v="0"/>
    <x v="0"/>
    <x v="1"/>
    <x v="1"/>
    <n v="2"/>
    <n v="374868"/>
    <n v="5"/>
    <n v="749736"/>
    <n v="7.4973600000000001E-2"/>
    <n v="712249.2"/>
    <n v="7.1224919999999997E-2"/>
    <s v="Pending"/>
    <s v="Pending"/>
    <s v="Invalid"/>
    <s v="Pending"/>
  </r>
  <r>
    <x v="1719"/>
    <x v="505"/>
    <x v="2"/>
    <x v="0"/>
    <x v="0"/>
    <s v="Shakti Agro Uttar Pradesh"/>
    <x v="0"/>
    <x v="0"/>
    <x v="4"/>
    <x v="1"/>
    <n v="1"/>
    <n v="711651"/>
    <n v="3"/>
    <n v="711651"/>
    <n v="7.1165099999999995E-2"/>
    <n v="690301.47"/>
    <n v="6.9030147E-2"/>
    <s v="Pending"/>
    <s v="Pending"/>
    <s v="Invalid"/>
    <s v="Pending"/>
  </r>
  <r>
    <x v="1720"/>
    <x v="445"/>
    <x v="2"/>
    <x v="3"/>
    <x v="2"/>
    <s v="Mahadev Motors Maharashtra"/>
    <x v="2"/>
    <x v="2"/>
    <x v="4"/>
    <x v="1"/>
    <n v="3"/>
    <n v="625302"/>
    <n v="6"/>
    <n v="1875906"/>
    <n v="0.1875906"/>
    <n v="1763351.64"/>
    <n v="0.17633516399999999"/>
    <s v="Paid"/>
    <s v="Delivered"/>
    <s v="Invalid"/>
    <s v="Completed"/>
  </r>
  <r>
    <x v="1721"/>
    <x v="313"/>
    <x v="0"/>
    <x v="4"/>
    <x v="0"/>
    <s v="Agri Motors Uttar Pradesh"/>
    <x v="0"/>
    <x v="0"/>
    <x v="1"/>
    <x v="1"/>
    <n v="6"/>
    <n v="670590"/>
    <n v="8"/>
    <n v="4023540"/>
    <n v="0.40235399999999999"/>
    <n v="3701656.8000000003"/>
    <n v="0.37016568000000005"/>
    <s v="Pending"/>
    <s v="Pending"/>
    <s v="Valid"/>
    <s v="Pending"/>
  </r>
  <r>
    <x v="1722"/>
    <x v="312"/>
    <x v="1"/>
    <x v="3"/>
    <x v="0"/>
    <s v="Mahadev Motors Uttar Pradesh"/>
    <x v="0"/>
    <x v="0"/>
    <x v="0"/>
    <x v="0"/>
    <n v="1"/>
    <n v="464652"/>
    <n v="3"/>
    <n v="464652"/>
    <n v="4.6465199999999998E-2"/>
    <n v="450712.44"/>
    <n v="4.5071244000000003E-2"/>
    <s v="Pending"/>
    <s v="Pending"/>
    <s v="Valid"/>
    <s v="Pending"/>
  </r>
  <r>
    <x v="1723"/>
    <x v="387"/>
    <x v="0"/>
    <x v="0"/>
    <x v="0"/>
    <s v="Shakti Agro Uttar Pradesh"/>
    <x v="0"/>
    <x v="0"/>
    <x v="0"/>
    <x v="0"/>
    <n v="1"/>
    <n v="457198"/>
    <n v="3"/>
    <n v="457198"/>
    <n v="4.5719799999999998E-2"/>
    <n v="443482.06"/>
    <n v="4.4348206000000001E-2"/>
    <s v="Partial"/>
    <s v="In Transit"/>
    <s v="Valid"/>
    <s v="In Transit"/>
  </r>
  <r>
    <x v="1724"/>
    <x v="148"/>
    <x v="2"/>
    <x v="0"/>
    <x v="2"/>
    <s v="Shakti Agro Maharashtra"/>
    <x v="2"/>
    <x v="2"/>
    <x v="0"/>
    <x v="0"/>
    <n v="4"/>
    <n v="894718"/>
    <n v="6"/>
    <n v="3578872"/>
    <n v="0.35788720000000002"/>
    <n v="3364139.6799999997"/>
    <n v="0.33641396799999995"/>
    <s v="Partial"/>
    <s v="In Transit"/>
    <s v="Invalid"/>
    <s v="In Transit"/>
  </r>
  <r>
    <x v="1725"/>
    <x v="222"/>
    <x v="0"/>
    <x v="3"/>
    <x v="4"/>
    <s v="Mahadev Motors West Bengal"/>
    <x v="4"/>
    <x v="3"/>
    <x v="4"/>
    <x v="1"/>
    <n v="4"/>
    <n v="496423"/>
    <n v="6"/>
    <n v="1985692"/>
    <n v="0.1985692"/>
    <n v="1866550.48"/>
    <n v="0.18665504799999999"/>
    <s v="Paid"/>
    <s v="Delivered"/>
    <s v="Valid"/>
    <s v="Completed"/>
  </r>
  <r>
    <x v="1726"/>
    <x v="323"/>
    <x v="0"/>
    <x v="4"/>
    <x v="2"/>
    <s v="Agri Motors Maharashtra"/>
    <x v="2"/>
    <x v="2"/>
    <x v="3"/>
    <x v="2"/>
    <n v="0"/>
    <n v="850788"/>
    <n v="0"/>
    <n v="0"/>
    <n v="0"/>
    <n v="0"/>
    <n v="0"/>
    <s v="Paid"/>
    <s v="Delivered"/>
    <s v="Valid"/>
    <s v="Completed"/>
  </r>
  <r>
    <x v="1727"/>
    <x v="509"/>
    <x v="2"/>
    <x v="2"/>
    <x v="3"/>
    <s v="Kisan Tractors Haryana"/>
    <x v="3"/>
    <x v="0"/>
    <x v="4"/>
    <x v="1"/>
    <n v="1"/>
    <n v="557216"/>
    <n v="3"/>
    <n v="557216"/>
    <n v="5.5721600000000003E-2"/>
    <n v="540499.52"/>
    <n v="5.4049952000000005E-2"/>
    <s v="Pending"/>
    <s v="Pending"/>
    <s v="Valid"/>
    <s v="Pending"/>
  </r>
  <r>
    <x v="1728"/>
    <x v="220"/>
    <x v="3"/>
    <x v="1"/>
    <x v="0"/>
    <s v="Green Field Uttar Pradesh"/>
    <x v="0"/>
    <x v="0"/>
    <x v="0"/>
    <x v="0"/>
    <n v="1"/>
    <n v="429541"/>
    <n v="3"/>
    <n v="429541"/>
    <n v="4.2954100000000002E-2"/>
    <n v="416654.76999999996"/>
    <n v="4.1665476999999999E-2"/>
    <s v="Partial"/>
    <s v="In Transit"/>
    <s v="Valid"/>
    <s v="In Transit"/>
  </r>
  <r>
    <x v="1729"/>
    <x v="455"/>
    <x v="2"/>
    <x v="0"/>
    <x v="0"/>
    <s v="Shakti Agro Uttar Pradesh"/>
    <x v="0"/>
    <x v="0"/>
    <x v="4"/>
    <x v="1"/>
    <n v="6"/>
    <n v="321615"/>
    <n v="8"/>
    <n v="1929690"/>
    <n v="0.192969"/>
    <n v="1775314.8"/>
    <n v="0.17753147999999999"/>
    <s v="Pending"/>
    <s v="Pending"/>
    <s v="Valid"/>
    <s v="Pending"/>
  </r>
  <r>
    <x v="1730"/>
    <x v="351"/>
    <x v="1"/>
    <x v="3"/>
    <x v="4"/>
    <s v="Mahadev Motors West Bengal"/>
    <x v="4"/>
    <x v="3"/>
    <x v="4"/>
    <x v="1"/>
    <n v="8"/>
    <n v="63768"/>
    <n v="9"/>
    <n v="510144"/>
    <n v="5.1014400000000001E-2"/>
    <n v="464231.04000000004"/>
    <n v="4.6423104000000007E-2"/>
    <s v="Partial"/>
    <s v="In Transit"/>
    <s v="Invalid"/>
    <s v="In Transit"/>
  </r>
  <r>
    <x v="1731"/>
    <x v="276"/>
    <x v="4"/>
    <x v="0"/>
    <x v="2"/>
    <s v="Shakti Agro Maharashtra"/>
    <x v="2"/>
    <x v="2"/>
    <x v="4"/>
    <x v="1"/>
    <n v="8"/>
    <n v="164368"/>
    <n v="9"/>
    <n v="1314944"/>
    <n v="0.13149440000000001"/>
    <n v="1196599.04"/>
    <n v="0.119659904"/>
    <s v="Pending"/>
    <s v="Pending"/>
    <s v="Invalid"/>
    <s v="Pending"/>
  </r>
  <r>
    <x v="1732"/>
    <x v="289"/>
    <x v="3"/>
    <x v="4"/>
    <x v="2"/>
    <s v="Agri Motors Maharashtra"/>
    <x v="2"/>
    <x v="2"/>
    <x v="4"/>
    <x v="1"/>
    <n v="0"/>
    <n v="156424"/>
    <n v="0"/>
    <n v="0"/>
    <n v="0"/>
    <n v="0"/>
    <n v="0"/>
    <s v="Pending"/>
    <s v="Pending"/>
    <s v="Valid"/>
    <s v="Pending"/>
  </r>
  <r>
    <x v="1733"/>
    <x v="456"/>
    <x v="4"/>
    <x v="4"/>
    <x v="0"/>
    <s v="Agri Motors Uttar Pradesh"/>
    <x v="0"/>
    <x v="0"/>
    <x v="4"/>
    <x v="1"/>
    <n v="2"/>
    <n v="592202"/>
    <n v="5"/>
    <n v="1184404"/>
    <n v="0.1184404"/>
    <n v="1125183.8"/>
    <n v="0.11251838"/>
    <s v="Pending"/>
    <s v="Pending"/>
    <s v="Invalid"/>
    <s v="Pending"/>
  </r>
  <r>
    <x v="1734"/>
    <x v="136"/>
    <x v="3"/>
    <x v="2"/>
    <x v="4"/>
    <s v="Kisan Tractors West Bengal"/>
    <x v="4"/>
    <x v="3"/>
    <x v="3"/>
    <x v="2"/>
    <n v="1"/>
    <n v="774146"/>
    <n v="3"/>
    <n v="774146"/>
    <n v="7.74146E-2"/>
    <n v="750921.62"/>
    <n v="7.5092162000000004E-2"/>
    <s v="Pending"/>
    <s v="Pending"/>
    <s v="Invalid"/>
    <s v="Pending"/>
  </r>
  <r>
    <x v="1735"/>
    <x v="223"/>
    <x v="4"/>
    <x v="0"/>
    <x v="2"/>
    <s v="Shakti Agro Maharashtra"/>
    <x v="2"/>
    <x v="2"/>
    <x v="4"/>
    <x v="1"/>
    <n v="2"/>
    <n v="782305"/>
    <n v="5"/>
    <n v="1564610"/>
    <n v="0.15646099999999999"/>
    <n v="1486379.5"/>
    <n v="0.14863794999999999"/>
    <s v="Pending"/>
    <s v="Pending"/>
    <s v="Invalid"/>
    <s v="Pending"/>
  </r>
  <r>
    <x v="1736"/>
    <x v="33"/>
    <x v="1"/>
    <x v="2"/>
    <x v="2"/>
    <s v="Kisan Tractors Maharashtra"/>
    <x v="2"/>
    <x v="2"/>
    <x v="1"/>
    <x v="1"/>
    <n v="8"/>
    <n v="59082"/>
    <n v="9"/>
    <n v="472656"/>
    <n v="4.7265599999999998E-2"/>
    <n v="430116.96"/>
    <n v="4.3011696000000002E-2"/>
    <s v="Partial"/>
    <s v="In Transit"/>
    <s v="Valid"/>
    <s v="In Transit"/>
  </r>
  <r>
    <x v="1737"/>
    <x v="245"/>
    <x v="1"/>
    <x v="2"/>
    <x v="0"/>
    <s v="Kisan Tractors Uttar Pradesh"/>
    <x v="0"/>
    <x v="0"/>
    <x v="0"/>
    <x v="0"/>
    <n v="8"/>
    <n v="518902"/>
    <n v="9"/>
    <n v="4151216"/>
    <n v="0.41512159999999998"/>
    <n v="3777606.56"/>
    <n v="0.37776065600000003"/>
    <s v="Pending"/>
    <s v="Pending"/>
    <s v="Valid"/>
    <s v="Pending"/>
  </r>
  <r>
    <x v="1738"/>
    <x v="127"/>
    <x v="2"/>
    <x v="2"/>
    <x v="0"/>
    <s v="Kisan Tractors Uttar Pradesh"/>
    <x v="0"/>
    <x v="0"/>
    <x v="0"/>
    <x v="0"/>
    <n v="1"/>
    <n v="132072"/>
    <n v="3"/>
    <n v="132072"/>
    <n v="1.3207200000000001E-2"/>
    <n v="128109.84"/>
    <n v="1.2810983999999999E-2"/>
    <s v="Paid"/>
    <s v="Delivered"/>
    <s v="Invalid"/>
    <s v="Completed"/>
  </r>
  <r>
    <x v="1739"/>
    <x v="271"/>
    <x v="0"/>
    <x v="4"/>
    <x v="0"/>
    <s v="Agri Motors Uttar Pradesh"/>
    <x v="0"/>
    <x v="0"/>
    <x v="3"/>
    <x v="2"/>
    <n v="2"/>
    <n v="382279"/>
    <n v="5"/>
    <n v="764558"/>
    <n v="7.6455800000000004E-2"/>
    <n v="726330.1"/>
    <n v="7.2633009999999998E-2"/>
    <s v="Partial"/>
    <s v="In Transit"/>
    <s v="Invalid"/>
    <s v="In Transit"/>
  </r>
  <r>
    <x v="1740"/>
    <x v="74"/>
    <x v="2"/>
    <x v="3"/>
    <x v="2"/>
    <s v="Mahadev Motors Maharashtra"/>
    <x v="2"/>
    <x v="2"/>
    <x v="2"/>
    <x v="0"/>
    <n v="1"/>
    <n v="400001"/>
    <n v="3"/>
    <n v="400001"/>
    <n v="4.0000099999999997E-2"/>
    <n v="388000.97"/>
    <n v="3.8800096999999999E-2"/>
    <s v="Paid"/>
    <s v="Delivered"/>
    <s v="Invalid"/>
    <s v="Completed"/>
  </r>
  <r>
    <x v="1741"/>
    <x v="376"/>
    <x v="2"/>
    <x v="3"/>
    <x v="0"/>
    <s v="Mahadev Motors Uttar Pradesh"/>
    <x v="0"/>
    <x v="0"/>
    <x v="3"/>
    <x v="2"/>
    <n v="1"/>
    <n v="461151"/>
    <n v="3"/>
    <n v="461151"/>
    <n v="4.6115099999999999E-2"/>
    <n v="447316.47"/>
    <n v="4.4731646999999999E-2"/>
    <s v="Pending"/>
    <s v="Pending"/>
    <s v="Invalid"/>
    <s v="Pending"/>
  </r>
  <r>
    <x v="1742"/>
    <x v="100"/>
    <x v="4"/>
    <x v="1"/>
    <x v="0"/>
    <s v="Green Field Uttar Pradesh"/>
    <x v="0"/>
    <x v="0"/>
    <x v="2"/>
    <x v="0"/>
    <n v="7"/>
    <n v="611355"/>
    <n v="9"/>
    <n v="4279485"/>
    <n v="0.42794850000000001"/>
    <n v="3894331.35"/>
    <n v="0.38943313499999999"/>
    <s v="Pending"/>
    <s v="Pending"/>
    <s v="Invalid"/>
    <s v="Pending"/>
  </r>
  <r>
    <x v="1743"/>
    <x v="361"/>
    <x v="4"/>
    <x v="3"/>
    <x v="3"/>
    <s v="Mahadev Motors Haryana"/>
    <x v="3"/>
    <x v="0"/>
    <x v="2"/>
    <x v="0"/>
    <n v="4"/>
    <n v="539896"/>
    <n v="6"/>
    <n v="2159584"/>
    <n v="0.21595839999999999"/>
    <n v="2030008.96"/>
    <n v="0.20300089599999999"/>
    <s v="Pending"/>
    <s v="Pending"/>
    <s v="Invalid"/>
    <s v="Pending"/>
  </r>
  <r>
    <x v="1744"/>
    <x v="274"/>
    <x v="2"/>
    <x v="2"/>
    <x v="1"/>
    <s v="Kisan Tractors Karnataka"/>
    <x v="1"/>
    <x v="1"/>
    <x v="1"/>
    <x v="1"/>
    <n v="1"/>
    <n v="412633"/>
    <n v="3"/>
    <n v="412633"/>
    <n v="4.1263300000000003E-2"/>
    <n v="400254.01"/>
    <n v="4.0025401000000002E-2"/>
    <s v="Pending"/>
    <s v="Pending"/>
    <s v="Valid"/>
    <s v="Pending"/>
  </r>
  <r>
    <x v="1745"/>
    <x v="160"/>
    <x v="3"/>
    <x v="2"/>
    <x v="3"/>
    <s v="Kisan Tractors Haryana"/>
    <x v="3"/>
    <x v="0"/>
    <x v="3"/>
    <x v="2"/>
    <n v="7"/>
    <n v="238906"/>
    <n v="9"/>
    <n v="1672342"/>
    <n v="0.1672342"/>
    <n v="1521831.22"/>
    <n v="0.152183122"/>
    <s v="Partial"/>
    <s v="In Transit"/>
    <s v="Invalid"/>
    <s v="In Transit"/>
  </r>
  <r>
    <x v="1746"/>
    <x v="259"/>
    <x v="4"/>
    <x v="0"/>
    <x v="3"/>
    <s v="Shakti Agro Haryana"/>
    <x v="3"/>
    <x v="0"/>
    <x v="0"/>
    <x v="0"/>
    <n v="8"/>
    <n v="579117"/>
    <n v="9"/>
    <n v="4632936"/>
    <n v="0.46329360000000003"/>
    <n v="4215971.76"/>
    <n v="0.42159717599999996"/>
    <s v="Pending"/>
    <s v="Pending"/>
    <s v="Invalid"/>
    <s v="Pending"/>
  </r>
  <r>
    <x v="1747"/>
    <x v="204"/>
    <x v="1"/>
    <x v="1"/>
    <x v="1"/>
    <s v="Green Field Karnataka"/>
    <x v="1"/>
    <x v="1"/>
    <x v="0"/>
    <x v="0"/>
    <n v="6"/>
    <n v="547868"/>
    <n v="8"/>
    <n v="3287208"/>
    <n v="0.32872079999999998"/>
    <n v="3024231.3600000003"/>
    <n v="0.30242313600000004"/>
    <s v="Paid"/>
    <s v="Delivered"/>
    <s v="Valid"/>
    <s v="Completed"/>
  </r>
  <r>
    <x v="1748"/>
    <x v="144"/>
    <x v="2"/>
    <x v="1"/>
    <x v="0"/>
    <s v="Green Field Uttar Pradesh"/>
    <x v="0"/>
    <x v="0"/>
    <x v="4"/>
    <x v="1"/>
    <n v="7"/>
    <n v="120903"/>
    <n v="9"/>
    <n v="846321"/>
    <n v="8.4632100000000002E-2"/>
    <n v="770152.11"/>
    <n v="7.7015211E-2"/>
    <s v="Partial"/>
    <s v="In Transit"/>
    <s v="Invalid"/>
    <s v="In Transit"/>
  </r>
  <r>
    <x v="1749"/>
    <x v="513"/>
    <x v="4"/>
    <x v="1"/>
    <x v="2"/>
    <s v="Green Field Maharashtra"/>
    <x v="2"/>
    <x v="2"/>
    <x v="0"/>
    <x v="0"/>
    <n v="4"/>
    <n v="629097"/>
    <n v="6"/>
    <n v="2516388"/>
    <n v="0.2516388"/>
    <n v="2365404.7199999997"/>
    <n v="0.23654047199999997"/>
    <s v="Pending"/>
    <s v="Pending"/>
    <s v="Invalid"/>
    <s v="Pending"/>
  </r>
  <r>
    <x v="1750"/>
    <x v="201"/>
    <x v="0"/>
    <x v="0"/>
    <x v="3"/>
    <s v="Shakti Agro Haryana"/>
    <x v="3"/>
    <x v="0"/>
    <x v="3"/>
    <x v="2"/>
    <n v="5"/>
    <n v="639667"/>
    <n v="7"/>
    <n v="3198335"/>
    <n v="0.31983349999999999"/>
    <n v="2974451.55"/>
    <n v="0.29744515499999996"/>
    <s v="Paid"/>
    <s v="Delivered"/>
    <s v="Valid"/>
    <s v="Completed"/>
  </r>
  <r>
    <x v="1751"/>
    <x v="228"/>
    <x v="0"/>
    <x v="3"/>
    <x v="2"/>
    <s v="Mahadev Motors Maharashtra"/>
    <x v="2"/>
    <x v="2"/>
    <x v="2"/>
    <x v="0"/>
    <n v="1"/>
    <n v="437939"/>
    <n v="3"/>
    <n v="437939"/>
    <n v="4.3793899999999997E-2"/>
    <n v="424800.83"/>
    <n v="4.2480083000000002E-2"/>
    <s v="Pending"/>
    <s v="Pending"/>
    <s v="Invalid"/>
    <s v="Pending"/>
  </r>
  <r>
    <x v="1752"/>
    <x v="100"/>
    <x v="1"/>
    <x v="4"/>
    <x v="4"/>
    <s v="Agri Motors West Bengal"/>
    <x v="4"/>
    <x v="3"/>
    <x v="3"/>
    <x v="2"/>
    <n v="0"/>
    <n v="888637"/>
    <n v="0"/>
    <n v="0"/>
    <n v="0"/>
    <n v="0"/>
    <n v="0"/>
    <s v="Partial"/>
    <s v="In Transit"/>
    <s v="Invalid"/>
    <s v="In Transit"/>
  </r>
  <r>
    <x v="1753"/>
    <x v="501"/>
    <x v="2"/>
    <x v="1"/>
    <x v="4"/>
    <s v="Green Field West Bengal"/>
    <x v="4"/>
    <x v="3"/>
    <x v="4"/>
    <x v="1"/>
    <n v="6"/>
    <n v="277727"/>
    <n v="8"/>
    <n v="1666362"/>
    <n v="0.16663620000000001"/>
    <n v="1533053.04"/>
    <n v="0.153305304"/>
    <s v="Pending"/>
    <s v="Pending"/>
    <s v="Valid"/>
    <s v="Pending"/>
  </r>
  <r>
    <x v="1754"/>
    <x v="422"/>
    <x v="0"/>
    <x v="4"/>
    <x v="0"/>
    <s v="Agri Motors Uttar Pradesh"/>
    <x v="0"/>
    <x v="0"/>
    <x v="2"/>
    <x v="0"/>
    <n v="8"/>
    <n v="447793"/>
    <n v="9"/>
    <n v="3582344"/>
    <n v="0.35823440000000001"/>
    <n v="3259933.04"/>
    <n v="0.32599330399999998"/>
    <s v="Pending"/>
    <s v="Pending"/>
    <s v="Invalid"/>
    <s v="Pending"/>
  </r>
  <r>
    <x v="1755"/>
    <x v="242"/>
    <x v="0"/>
    <x v="2"/>
    <x v="2"/>
    <s v="Kisan Tractors Maharashtra"/>
    <x v="2"/>
    <x v="2"/>
    <x v="4"/>
    <x v="1"/>
    <n v="6"/>
    <n v="233029"/>
    <n v="8"/>
    <n v="1398174"/>
    <n v="0.13981740000000001"/>
    <n v="1286320.08"/>
    <n v="0.12863200800000002"/>
    <s v="Partial"/>
    <s v="In Transit"/>
    <s v="Valid"/>
    <s v="In Transit"/>
  </r>
  <r>
    <x v="1756"/>
    <x v="6"/>
    <x v="4"/>
    <x v="4"/>
    <x v="4"/>
    <s v="Agri Motors West Bengal"/>
    <x v="4"/>
    <x v="3"/>
    <x v="0"/>
    <x v="0"/>
    <n v="5"/>
    <n v="446164"/>
    <n v="7"/>
    <n v="2230820"/>
    <n v="0.223082"/>
    <n v="2074662.5999999999"/>
    <n v="0.20746625999999999"/>
    <s v="Partial"/>
    <s v="In Transit"/>
    <s v="Invalid"/>
    <s v="In Transit"/>
  </r>
  <r>
    <x v="1757"/>
    <x v="44"/>
    <x v="1"/>
    <x v="2"/>
    <x v="4"/>
    <s v="Kisan Tractors West Bengal"/>
    <x v="4"/>
    <x v="3"/>
    <x v="0"/>
    <x v="0"/>
    <n v="5"/>
    <n v="471732"/>
    <n v="7"/>
    <n v="2358660"/>
    <n v="0.23586599999999999"/>
    <n v="2193553.7999999998"/>
    <n v="0.21935537999999999"/>
    <s v="Partial"/>
    <s v="In Transit"/>
    <s v="Valid"/>
    <s v="In Transit"/>
  </r>
  <r>
    <x v="1758"/>
    <x v="240"/>
    <x v="0"/>
    <x v="1"/>
    <x v="0"/>
    <s v="Green Field Uttar Pradesh"/>
    <x v="0"/>
    <x v="0"/>
    <x v="3"/>
    <x v="2"/>
    <n v="4"/>
    <n v="866660"/>
    <n v="6"/>
    <n v="3466640"/>
    <n v="0.34666400000000003"/>
    <n v="3258641.5999999996"/>
    <n v="0.32586415999999996"/>
    <s v="Pending"/>
    <s v="Pending"/>
    <s v="Invalid"/>
    <s v="Pending"/>
  </r>
  <r>
    <x v="1759"/>
    <x v="235"/>
    <x v="1"/>
    <x v="2"/>
    <x v="1"/>
    <s v="Kisan Tractors Karnataka"/>
    <x v="1"/>
    <x v="1"/>
    <x v="4"/>
    <x v="1"/>
    <n v="7"/>
    <n v="865208"/>
    <n v="9"/>
    <n v="6056456"/>
    <n v="0.60564560000000001"/>
    <n v="5511374.96"/>
    <n v="0.55113749599999995"/>
    <s v="Partial"/>
    <s v="In Transit"/>
    <s v="Invalid"/>
    <s v="In Transit"/>
  </r>
  <r>
    <x v="1760"/>
    <x v="312"/>
    <x v="4"/>
    <x v="0"/>
    <x v="3"/>
    <s v="Shakti Agro Haryana"/>
    <x v="3"/>
    <x v="0"/>
    <x v="1"/>
    <x v="1"/>
    <n v="5"/>
    <n v="669327"/>
    <n v="7"/>
    <n v="3346635"/>
    <n v="0.3346635"/>
    <n v="3112370.55"/>
    <n v="0.31123705499999998"/>
    <s v="Pending"/>
    <s v="Pending"/>
    <s v="Invalid"/>
    <s v="Pending"/>
  </r>
  <r>
    <x v="1761"/>
    <x v="336"/>
    <x v="2"/>
    <x v="0"/>
    <x v="3"/>
    <s v="Shakti Agro Haryana"/>
    <x v="3"/>
    <x v="0"/>
    <x v="2"/>
    <x v="0"/>
    <n v="0"/>
    <n v="578445"/>
    <n v="0"/>
    <n v="0"/>
    <n v="0"/>
    <n v="0"/>
    <n v="0"/>
    <s v="Pending"/>
    <s v="Pending"/>
    <s v="Invalid"/>
    <s v="Pending"/>
  </r>
  <r>
    <x v="1762"/>
    <x v="51"/>
    <x v="2"/>
    <x v="1"/>
    <x v="4"/>
    <s v="Green Field West Bengal"/>
    <x v="4"/>
    <x v="3"/>
    <x v="1"/>
    <x v="1"/>
    <n v="8"/>
    <n v="175852"/>
    <n v="9"/>
    <n v="1406816"/>
    <n v="0.14068159999999999"/>
    <n v="1280202.56"/>
    <n v="0.128020256"/>
    <s v="Partial"/>
    <s v="In Transit"/>
    <s v="Invalid"/>
    <s v="In Transit"/>
  </r>
  <r>
    <x v="1763"/>
    <x v="20"/>
    <x v="0"/>
    <x v="0"/>
    <x v="1"/>
    <s v="Shakti Agro Karnataka"/>
    <x v="1"/>
    <x v="1"/>
    <x v="0"/>
    <x v="0"/>
    <n v="4"/>
    <n v="325081"/>
    <n v="6"/>
    <n v="1300324"/>
    <n v="0.13003239999999999"/>
    <n v="1222304.5599999998"/>
    <n v="0.12223045599999999"/>
    <s v="Partial"/>
    <s v="In Transit"/>
    <s v="Invalid"/>
    <s v="In Transit"/>
  </r>
  <r>
    <x v="1764"/>
    <x v="482"/>
    <x v="1"/>
    <x v="3"/>
    <x v="4"/>
    <s v="Mahadev Motors West Bengal"/>
    <x v="4"/>
    <x v="3"/>
    <x v="0"/>
    <x v="0"/>
    <n v="5"/>
    <n v="324327"/>
    <n v="7"/>
    <n v="1621635"/>
    <n v="0.16216349999999999"/>
    <n v="1508120.5499999998"/>
    <n v="0.15081205499999997"/>
    <s v="Paid"/>
    <s v="Delivered"/>
    <s v="Invalid"/>
    <s v="Completed"/>
  </r>
  <r>
    <x v="1765"/>
    <x v="360"/>
    <x v="3"/>
    <x v="2"/>
    <x v="3"/>
    <s v="Kisan Tractors Haryana"/>
    <x v="3"/>
    <x v="0"/>
    <x v="3"/>
    <x v="2"/>
    <n v="7"/>
    <n v="241304"/>
    <n v="9"/>
    <n v="1689128"/>
    <n v="0.1689128"/>
    <n v="1537106.48"/>
    <n v="0.15371064800000001"/>
    <s v="Pending"/>
    <s v="Pending"/>
    <s v="Valid"/>
    <s v="Pending"/>
  </r>
  <r>
    <x v="1766"/>
    <x v="391"/>
    <x v="2"/>
    <x v="1"/>
    <x v="2"/>
    <s v="Green Field Maharashtra"/>
    <x v="2"/>
    <x v="2"/>
    <x v="4"/>
    <x v="1"/>
    <n v="8"/>
    <n v="120017"/>
    <n v="9"/>
    <n v="960136"/>
    <n v="9.6013600000000004E-2"/>
    <n v="873723.76"/>
    <n v="8.7372376000000002E-2"/>
    <s v="Paid"/>
    <s v="Delivered"/>
    <s v="Invalid"/>
    <s v="Completed"/>
  </r>
  <r>
    <x v="1767"/>
    <x v="418"/>
    <x v="4"/>
    <x v="2"/>
    <x v="2"/>
    <s v="Kisan Tractors Maharashtra"/>
    <x v="2"/>
    <x v="2"/>
    <x v="3"/>
    <x v="2"/>
    <n v="3"/>
    <n v="765052"/>
    <n v="6"/>
    <n v="2295156"/>
    <n v="0.22951559999999999"/>
    <n v="2157446.6399999997"/>
    <n v="0.21574466399999997"/>
    <s v="Partial"/>
    <s v="In Transit"/>
    <s v="Invalid"/>
    <s v="In Transit"/>
  </r>
  <r>
    <x v="1768"/>
    <x v="164"/>
    <x v="0"/>
    <x v="3"/>
    <x v="0"/>
    <s v="Mahadev Motors Uttar Pradesh"/>
    <x v="0"/>
    <x v="0"/>
    <x v="0"/>
    <x v="0"/>
    <n v="6"/>
    <n v="239969"/>
    <n v="8"/>
    <n v="1439814"/>
    <n v="0.14398140000000001"/>
    <n v="1324628.8800000001"/>
    <n v="0.132462888"/>
    <s v="Paid"/>
    <s v="Delivered"/>
    <s v="Invalid"/>
    <s v="Completed"/>
  </r>
  <r>
    <x v="1769"/>
    <x v="37"/>
    <x v="3"/>
    <x v="1"/>
    <x v="2"/>
    <s v="Green Field Maharashtra"/>
    <x v="2"/>
    <x v="2"/>
    <x v="1"/>
    <x v="1"/>
    <n v="8"/>
    <n v="114391"/>
    <n v="9"/>
    <n v="915128"/>
    <n v="9.1512800000000005E-2"/>
    <n v="832766.48"/>
    <n v="8.3276647999999995E-2"/>
    <s v="Pending"/>
    <s v="Pending"/>
    <s v="Invalid"/>
    <s v="Pending"/>
  </r>
  <r>
    <x v="1770"/>
    <x v="330"/>
    <x v="1"/>
    <x v="2"/>
    <x v="3"/>
    <s v="Kisan Tractors Haryana"/>
    <x v="3"/>
    <x v="0"/>
    <x v="3"/>
    <x v="2"/>
    <n v="5"/>
    <n v="492688"/>
    <n v="7"/>
    <n v="2463440"/>
    <n v="0.24634400000000001"/>
    <n v="2290999.1999999997"/>
    <n v="0.22909991999999998"/>
    <s v="Pending"/>
    <s v="Pending"/>
    <s v="Invalid"/>
    <s v="Pending"/>
  </r>
  <r>
    <x v="1771"/>
    <x v="210"/>
    <x v="2"/>
    <x v="1"/>
    <x v="1"/>
    <s v="Green Field Karnataka"/>
    <x v="1"/>
    <x v="1"/>
    <x v="4"/>
    <x v="1"/>
    <n v="4"/>
    <n v="826458"/>
    <n v="6"/>
    <n v="3305832"/>
    <n v="0.33058320000000002"/>
    <n v="3107482.0799999996"/>
    <n v="0.31074820799999997"/>
    <s v="Paid"/>
    <s v="Delivered"/>
    <s v="Invalid"/>
    <s v="Completed"/>
  </r>
  <r>
    <x v="1772"/>
    <x v="477"/>
    <x v="3"/>
    <x v="0"/>
    <x v="0"/>
    <s v="Shakti Agro Uttar Pradesh"/>
    <x v="0"/>
    <x v="0"/>
    <x v="2"/>
    <x v="0"/>
    <n v="3"/>
    <n v="115484"/>
    <n v="6"/>
    <n v="346452"/>
    <n v="3.4645200000000001E-2"/>
    <n v="325664.88"/>
    <n v="3.2566487999999998E-2"/>
    <s v="Pending"/>
    <s v="Pending"/>
    <s v="Invalid"/>
    <s v="Pending"/>
  </r>
  <r>
    <x v="1773"/>
    <x v="493"/>
    <x v="1"/>
    <x v="0"/>
    <x v="0"/>
    <s v="Shakti Agro Uttar Pradesh"/>
    <x v="0"/>
    <x v="0"/>
    <x v="2"/>
    <x v="0"/>
    <n v="6"/>
    <n v="296742"/>
    <n v="8"/>
    <n v="1780452"/>
    <n v="0.17804519999999999"/>
    <n v="1638015.84"/>
    <n v="0.163801584"/>
    <s v="Partial"/>
    <s v="In Transit"/>
    <s v="Valid"/>
    <s v="In Transit"/>
  </r>
  <r>
    <x v="1774"/>
    <x v="221"/>
    <x v="1"/>
    <x v="2"/>
    <x v="3"/>
    <s v="Kisan Tractors Haryana"/>
    <x v="3"/>
    <x v="0"/>
    <x v="3"/>
    <x v="2"/>
    <n v="8"/>
    <n v="530808"/>
    <n v="9"/>
    <n v="4246464"/>
    <n v="0.42464639999999998"/>
    <n v="3864282.24"/>
    <n v="0.38642822400000004"/>
    <s v="Pending"/>
    <s v="Pending"/>
    <s v="Invalid"/>
    <s v="Pending"/>
  </r>
  <r>
    <x v="1775"/>
    <x v="72"/>
    <x v="0"/>
    <x v="4"/>
    <x v="4"/>
    <s v="Agri Motors West Bengal"/>
    <x v="4"/>
    <x v="3"/>
    <x v="2"/>
    <x v="0"/>
    <n v="3"/>
    <n v="770028"/>
    <n v="6"/>
    <n v="2310084"/>
    <n v="0.2310084"/>
    <n v="2171478.96"/>
    <n v="0.21714789600000001"/>
    <s v="Pending"/>
    <s v="Pending"/>
    <s v="Valid"/>
    <s v="Pending"/>
  </r>
  <r>
    <x v="1776"/>
    <x v="116"/>
    <x v="0"/>
    <x v="4"/>
    <x v="2"/>
    <s v="Agri Motors Maharashtra"/>
    <x v="2"/>
    <x v="2"/>
    <x v="1"/>
    <x v="1"/>
    <n v="3"/>
    <n v="206113"/>
    <n v="6"/>
    <n v="618339"/>
    <n v="6.1833899999999997E-2"/>
    <n v="581238.65999999992"/>
    <n v="5.8123865999999989E-2"/>
    <s v="Partial"/>
    <s v="In Transit"/>
    <s v="Valid"/>
    <s v="In Transit"/>
  </r>
  <r>
    <x v="1777"/>
    <x v="512"/>
    <x v="2"/>
    <x v="4"/>
    <x v="4"/>
    <s v="Agri Motors West Bengal"/>
    <x v="4"/>
    <x v="3"/>
    <x v="0"/>
    <x v="0"/>
    <n v="7"/>
    <n v="389311"/>
    <n v="9"/>
    <n v="2725177"/>
    <n v="0.27251769999999997"/>
    <n v="2479911.0700000003"/>
    <n v="0.24799110700000002"/>
    <s v="Paid"/>
    <s v="Delivered"/>
    <s v="Invalid"/>
    <s v="Completed"/>
  </r>
  <r>
    <x v="1778"/>
    <x v="456"/>
    <x v="2"/>
    <x v="1"/>
    <x v="1"/>
    <s v="Green Field Karnataka"/>
    <x v="1"/>
    <x v="1"/>
    <x v="3"/>
    <x v="2"/>
    <n v="2"/>
    <n v="564800"/>
    <n v="5"/>
    <n v="1129600"/>
    <n v="0.11296"/>
    <n v="1073120"/>
    <n v="0.107312"/>
    <s v="Partial"/>
    <s v="In Transit"/>
    <s v="Invalid"/>
    <s v="In Transit"/>
  </r>
  <r>
    <x v="1779"/>
    <x v="358"/>
    <x v="4"/>
    <x v="3"/>
    <x v="4"/>
    <s v="Mahadev Motors West Bengal"/>
    <x v="4"/>
    <x v="3"/>
    <x v="4"/>
    <x v="1"/>
    <n v="6"/>
    <n v="607859"/>
    <n v="8"/>
    <n v="3647154"/>
    <n v="0.36471540000000002"/>
    <n v="3355381.68"/>
    <n v="0.33553816800000003"/>
    <s v="Partial"/>
    <s v="In Transit"/>
    <s v="Valid"/>
    <s v="In Transit"/>
  </r>
  <r>
    <x v="1780"/>
    <x v="141"/>
    <x v="3"/>
    <x v="3"/>
    <x v="3"/>
    <s v="Mahadev Motors Haryana"/>
    <x v="3"/>
    <x v="0"/>
    <x v="4"/>
    <x v="1"/>
    <n v="3"/>
    <n v="514048"/>
    <n v="6"/>
    <n v="1542144"/>
    <n v="0.1542144"/>
    <n v="1449615.3599999999"/>
    <n v="0.14496153599999997"/>
    <s v="Paid"/>
    <s v="Delivered"/>
    <s v="Valid"/>
    <s v="Completed"/>
  </r>
  <r>
    <x v="1781"/>
    <x v="61"/>
    <x v="2"/>
    <x v="2"/>
    <x v="2"/>
    <s v="Kisan Tractors Maharashtra"/>
    <x v="2"/>
    <x v="2"/>
    <x v="3"/>
    <x v="2"/>
    <n v="5"/>
    <n v="494299"/>
    <n v="7"/>
    <n v="2471495"/>
    <n v="0.24714949999999999"/>
    <n v="2298490.3499999996"/>
    <n v="0.22984903499999995"/>
    <s v="Partial"/>
    <s v="In Transit"/>
    <s v="Valid"/>
    <s v="In Transit"/>
  </r>
  <r>
    <x v="1782"/>
    <x v="455"/>
    <x v="4"/>
    <x v="4"/>
    <x v="1"/>
    <s v="Agri Motors Karnataka"/>
    <x v="1"/>
    <x v="1"/>
    <x v="4"/>
    <x v="1"/>
    <n v="2"/>
    <n v="505434"/>
    <n v="5"/>
    <n v="1010868"/>
    <n v="0.1010868"/>
    <n v="960324.6"/>
    <n v="9.603246E-2"/>
    <s v="Pending"/>
    <s v="Pending"/>
    <s v="Invalid"/>
    <s v="Pending"/>
  </r>
  <r>
    <x v="1783"/>
    <x v="132"/>
    <x v="0"/>
    <x v="2"/>
    <x v="2"/>
    <s v="Kisan Tractors Maharashtra"/>
    <x v="2"/>
    <x v="2"/>
    <x v="1"/>
    <x v="1"/>
    <n v="3"/>
    <n v="589338"/>
    <n v="6"/>
    <n v="1768014"/>
    <n v="0.1768014"/>
    <n v="1661933.16"/>
    <n v="0.16619331599999998"/>
    <s v="Partial"/>
    <s v="In Transit"/>
    <s v="Invalid"/>
    <s v="In Transit"/>
  </r>
  <r>
    <x v="1784"/>
    <x v="438"/>
    <x v="4"/>
    <x v="0"/>
    <x v="4"/>
    <s v="Shakti Agro West Bengal"/>
    <x v="4"/>
    <x v="3"/>
    <x v="3"/>
    <x v="2"/>
    <n v="8"/>
    <n v="304595"/>
    <n v="9"/>
    <n v="2436760"/>
    <n v="0.243676"/>
    <n v="2217451.6"/>
    <n v="0.22174516"/>
    <s v="Paid"/>
    <s v="Delivered"/>
    <s v="Invalid"/>
    <s v="Completed"/>
  </r>
  <r>
    <x v="1785"/>
    <x v="266"/>
    <x v="3"/>
    <x v="2"/>
    <x v="3"/>
    <s v="Kisan Tractors Haryana"/>
    <x v="3"/>
    <x v="0"/>
    <x v="2"/>
    <x v="0"/>
    <n v="4"/>
    <n v="667925"/>
    <n v="6"/>
    <n v="2671700"/>
    <n v="0.26717000000000002"/>
    <n v="2511398"/>
    <n v="0.25113980000000002"/>
    <s v="Paid"/>
    <s v="Delivered"/>
    <s v="Invalid"/>
    <s v="Completed"/>
  </r>
  <r>
    <x v="1786"/>
    <x v="482"/>
    <x v="4"/>
    <x v="2"/>
    <x v="0"/>
    <s v="Kisan Tractors Uttar Pradesh"/>
    <x v="0"/>
    <x v="0"/>
    <x v="3"/>
    <x v="2"/>
    <n v="2"/>
    <n v="121267"/>
    <n v="5"/>
    <n v="242534"/>
    <n v="2.4253400000000001E-2"/>
    <n v="230407.3"/>
    <n v="2.3040729999999999E-2"/>
    <s v="Paid"/>
    <s v="Delivered"/>
    <s v="Invalid"/>
    <s v="Completed"/>
  </r>
  <r>
    <x v="1787"/>
    <x v="459"/>
    <x v="1"/>
    <x v="2"/>
    <x v="0"/>
    <s v="Kisan Tractors Uttar Pradesh"/>
    <x v="0"/>
    <x v="0"/>
    <x v="3"/>
    <x v="2"/>
    <n v="6"/>
    <n v="830606"/>
    <n v="8"/>
    <n v="4983636"/>
    <n v="0.49836360000000002"/>
    <n v="4584945.12"/>
    <n v="0.45849451200000002"/>
    <s v="Partial"/>
    <s v="In Transit"/>
    <s v="Invalid"/>
    <s v="In Transit"/>
  </r>
  <r>
    <x v="1788"/>
    <x v="518"/>
    <x v="3"/>
    <x v="4"/>
    <x v="2"/>
    <s v="Agri Motors Maharashtra"/>
    <x v="2"/>
    <x v="2"/>
    <x v="4"/>
    <x v="1"/>
    <n v="0"/>
    <n v="479533"/>
    <n v="0"/>
    <n v="0"/>
    <n v="0"/>
    <n v="0"/>
    <n v="0"/>
    <s v="Pending"/>
    <s v="Pending"/>
    <s v="Invalid"/>
    <s v="Pending"/>
  </r>
  <r>
    <x v="1789"/>
    <x v="294"/>
    <x v="2"/>
    <x v="1"/>
    <x v="4"/>
    <s v="Green Field West Bengal"/>
    <x v="4"/>
    <x v="3"/>
    <x v="0"/>
    <x v="0"/>
    <n v="2"/>
    <n v="60891"/>
    <n v="5"/>
    <n v="121782"/>
    <n v="1.21782E-2"/>
    <n v="115692.9"/>
    <n v="1.1569289999999999E-2"/>
    <s v="Partial"/>
    <s v="In Transit"/>
    <s v="Valid"/>
    <s v="In Transit"/>
  </r>
  <r>
    <x v="1790"/>
    <x v="332"/>
    <x v="4"/>
    <x v="3"/>
    <x v="0"/>
    <s v="Mahadev Motors Uttar Pradesh"/>
    <x v="0"/>
    <x v="0"/>
    <x v="1"/>
    <x v="1"/>
    <n v="1"/>
    <n v="64910"/>
    <n v="3"/>
    <n v="64910"/>
    <n v="6.4910000000000002E-3"/>
    <n v="62962.7"/>
    <n v="6.2962699999999996E-3"/>
    <s v="Pending"/>
    <s v="Pending"/>
    <s v="Invalid"/>
    <s v="Pending"/>
  </r>
  <r>
    <x v="1791"/>
    <x v="328"/>
    <x v="0"/>
    <x v="1"/>
    <x v="3"/>
    <s v="Green Field Haryana"/>
    <x v="3"/>
    <x v="0"/>
    <x v="3"/>
    <x v="2"/>
    <n v="1"/>
    <n v="644962"/>
    <n v="3"/>
    <n v="644962"/>
    <n v="6.4496200000000004E-2"/>
    <n v="625613.14"/>
    <n v="6.2561314000000007E-2"/>
    <s v="Partial"/>
    <s v="In Transit"/>
    <s v="Invalid"/>
    <s v="In Transit"/>
  </r>
  <r>
    <x v="1792"/>
    <x v="330"/>
    <x v="3"/>
    <x v="3"/>
    <x v="4"/>
    <s v="Mahadev Motors West Bengal"/>
    <x v="4"/>
    <x v="3"/>
    <x v="4"/>
    <x v="1"/>
    <n v="4"/>
    <n v="806788"/>
    <n v="6"/>
    <n v="3227152"/>
    <n v="0.32271519999999998"/>
    <n v="3033522.88"/>
    <n v="0.30335228799999997"/>
    <s v="Paid"/>
    <s v="Delivered"/>
    <s v="Invalid"/>
    <s v="Completed"/>
  </r>
  <r>
    <x v="1793"/>
    <x v="221"/>
    <x v="0"/>
    <x v="2"/>
    <x v="2"/>
    <s v="Kisan Tractors Maharashtra"/>
    <x v="2"/>
    <x v="2"/>
    <x v="1"/>
    <x v="1"/>
    <n v="2"/>
    <n v="719898"/>
    <n v="5"/>
    <n v="1439796"/>
    <n v="0.14397960000000001"/>
    <n v="1367806.2"/>
    <n v="0.13678061999999999"/>
    <s v="Pending"/>
    <s v="Pending"/>
    <s v="Invalid"/>
    <s v="Pending"/>
  </r>
  <r>
    <x v="1794"/>
    <x v="94"/>
    <x v="1"/>
    <x v="4"/>
    <x v="0"/>
    <s v="Agri Motors Uttar Pradesh"/>
    <x v="0"/>
    <x v="0"/>
    <x v="0"/>
    <x v="0"/>
    <n v="6"/>
    <n v="290209"/>
    <n v="8"/>
    <n v="1741254"/>
    <n v="0.17412540000000001"/>
    <n v="1601953.6800000002"/>
    <n v="0.160195368"/>
    <s v="Pending"/>
    <s v="Pending"/>
    <s v="Valid"/>
    <s v="Pending"/>
  </r>
  <r>
    <x v="1795"/>
    <x v="429"/>
    <x v="3"/>
    <x v="2"/>
    <x v="4"/>
    <s v="Kisan Tractors West Bengal"/>
    <x v="4"/>
    <x v="3"/>
    <x v="1"/>
    <x v="1"/>
    <n v="8"/>
    <n v="308900"/>
    <n v="9"/>
    <n v="2471200"/>
    <n v="0.24712000000000001"/>
    <n v="2248792"/>
    <n v="0.2248792"/>
    <s v="Partial"/>
    <s v="In Transit"/>
    <s v="Valid"/>
    <s v="In Transit"/>
  </r>
  <r>
    <x v="1796"/>
    <x v="204"/>
    <x v="1"/>
    <x v="0"/>
    <x v="1"/>
    <s v="Shakti Agro Karnataka"/>
    <x v="1"/>
    <x v="1"/>
    <x v="3"/>
    <x v="2"/>
    <n v="6"/>
    <n v="317403"/>
    <n v="8"/>
    <n v="1904418"/>
    <n v="0.19044179999999999"/>
    <n v="1752064.56"/>
    <n v="0.17520645600000001"/>
    <s v="Pending"/>
    <s v="Pending"/>
    <s v="Valid"/>
    <s v="Pending"/>
  </r>
  <r>
    <x v="1797"/>
    <x v="206"/>
    <x v="3"/>
    <x v="4"/>
    <x v="2"/>
    <s v="Agri Motors Maharashtra"/>
    <x v="2"/>
    <x v="2"/>
    <x v="2"/>
    <x v="0"/>
    <n v="1"/>
    <n v="574504"/>
    <n v="3"/>
    <n v="574504"/>
    <n v="5.7450399999999999E-2"/>
    <n v="557268.88"/>
    <n v="5.5726888000000002E-2"/>
    <s v="Pending"/>
    <s v="Pending"/>
    <s v="Valid"/>
    <s v="Pending"/>
  </r>
  <r>
    <x v="1798"/>
    <x v="241"/>
    <x v="1"/>
    <x v="4"/>
    <x v="0"/>
    <s v="Agri Motors Uttar Pradesh"/>
    <x v="0"/>
    <x v="0"/>
    <x v="0"/>
    <x v="0"/>
    <n v="8"/>
    <n v="744481"/>
    <n v="9"/>
    <n v="5955848"/>
    <n v="0.59558480000000003"/>
    <n v="5419821.6800000006"/>
    <n v="0.5419821680000001"/>
    <s v="Pending"/>
    <s v="Pending"/>
    <s v="Invalid"/>
    <s v="Pending"/>
  </r>
  <r>
    <x v="1799"/>
    <x v="355"/>
    <x v="3"/>
    <x v="2"/>
    <x v="3"/>
    <s v="Kisan Tractors Haryana"/>
    <x v="3"/>
    <x v="0"/>
    <x v="3"/>
    <x v="2"/>
    <n v="3"/>
    <n v="364650"/>
    <n v="6"/>
    <n v="1093950"/>
    <n v="0.10939500000000001"/>
    <n v="1028312.9999999999"/>
    <n v="0.10283129999999999"/>
    <s v="Paid"/>
    <s v="Delivered"/>
    <s v="Invalid"/>
    <s v="Completed"/>
  </r>
  <r>
    <x v="1800"/>
    <x v="349"/>
    <x v="4"/>
    <x v="3"/>
    <x v="2"/>
    <s v="Mahadev Motors Maharashtra"/>
    <x v="2"/>
    <x v="2"/>
    <x v="1"/>
    <x v="1"/>
    <n v="6"/>
    <n v="315709"/>
    <n v="8"/>
    <n v="1894254"/>
    <n v="0.18942539999999999"/>
    <n v="1742713.6800000002"/>
    <n v="0.17427136800000001"/>
    <s v="Partial"/>
    <s v="In Transit"/>
    <s v="Invalid"/>
    <s v="In Transit"/>
  </r>
  <r>
    <x v="1801"/>
    <x v="540"/>
    <x v="4"/>
    <x v="1"/>
    <x v="2"/>
    <s v="Green Field Maharashtra"/>
    <x v="2"/>
    <x v="2"/>
    <x v="3"/>
    <x v="2"/>
    <n v="7"/>
    <n v="651047"/>
    <n v="9"/>
    <n v="4557329"/>
    <n v="0.4557329"/>
    <n v="4147169.39"/>
    <n v="0.41471693900000001"/>
    <s v="Partial"/>
    <s v="In Transit"/>
    <s v="Invalid"/>
    <s v="In Transit"/>
  </r>
  <r>
    <x v="1802"/>
    <x v="262"/>
    <x v="4"/>
    <x v="0"/>
    <x v="4"/>
    <s v="Shakti Agro West Bengal"/>
    <x v="4"/>
    <x v="3"/>
    <x v="2"/>
    <x v="0"/>
    <n v="5"/>
    <n v="218091"/>
    <n v="7"/>
    <n v="1090455"/>
    <n v="0.1090455"/>
    <n v="1014123.1499999999"/>
    <n v="0.10141231499999999"/>
    <s v="Partial"/>
    <s v="In Transit"/>
    <s v="Valid"/>
    <s v="In Transit"/>
  </r>
  <r>
    <x v="1803"/>
    <x v="15"/>
    <x v="0"/>
    <x v="4"/>
    <x v="2"/>
    <s v="Agri Motors Maharashtra"/>
    <x v="2"/>
    <x v="2"/>
    <x v="1"/>
    <x v="1"/>
    <n v="4"/>
    <n v="854956"/>
    <n v="6"/>
    <n v="3419824"/>
    <n v="0.34198240000000002"/>
    <n v="3214634.5599999996"/>
    <n v="0.32146345599999998"/>
    <s v="Paid"/>
    <s v="Delivered"/>
    <s v="Invalid"/>
    <s v="Completed"/>
  </r>
  <r>
    <x v="1804"/>
    <x v="509"/>
    <x v="2"/>
    <x v="3"/>
    <x v="0"/>
    <s v="Mahadev Motors Uttar Pradesh"/>
    <x v="0"/>
    <x v="0"/>
    <x v="3"/>
    <x v="2"/>
    <n v="4"/>
    <n v="496708"/>
    <n v="6"/>
    <n v="1986832"/>
    <n v="0.1986832"/>
    <n v="1867622.0799999998"/>
    <n v="0.18676220799999999"/>
    <s v="Paid"/>
    <s v="Delivered"/>
    <s v="Valid"/>
    <s v="Completed"/>
  </r>
  <r>
    <x v="1805"/>
    <x v="23"/>
    <x v="3"/>
    <x v="4"/>
    <x v="1"/>
    <s v="Agri Motors Karnataka"/>
    <x v="1"/>
    <x v="1"/>
    <x v="1"/>
    <x v="1"/>
    <n v="2"/>
    <n v="443796"/>
    <n v="5"/>
    <n v="887592"/>
    <n v="8.8759199999999996E-2"/>
    <n v="843212.39999999991"/>
    <n v="8.4321239999999992E-2"/>
    <s v="Partial"/>
    <s v="In Transit"/>
    <s v="Valid"/>
    <s v="In Transit"/>
  </r>
  <r>
    <x v="1806"/>
    <x v="40"/>
    <x v="2"/>
    <x v="4"/>
    <x v="3"/>
    <s v="Agri Motors Haryana"/>
    <x v="3"/>
    <x v="0"/>
    <x v="2"/>
    <x v="0"/>
    <n v="7"/>
    <n v="896602"/>
    <n v="9"/>
    <n v="6276214"/>
    <n v="0.6276214"/>
    <n v="5711354.7400000002"/>
    <n v="0.57113547399999998"/>
    <s v="Partial"/>
    <s v="In Transit"/>
    <s v="Invalid"/>
    <s v="In Transit"/>
  </r>
  <r>
    <x v="1807"/>
    <x v="111"/>
    <x v="4"/>
    <x v="1"/>
    <x v="4"/>
    <s v="Green Field West Bengal"/>
    <x v="4"/>
    <x v="3"/>
    <x v="0"/>
    <x v="0"/>
    <n v="1"/>
    <n v="270412"/>
    <n v="3"/>
    <n v="270412"/>
    <n v="2.7041200000000001E-2"/>
    <n v="262299.64"/>
    <n v="2.6229964000000001E-2"/>
    <s v="Paid"/>
    <s v="Delivered"/>
    <s v="Valid"/>
    <s v="Completed"/>
  </r>
  <r>
    <x v="1808"/>
    <x v="380"/>
    <x v="4"/>
    <x v="3"/>
    <x v="4"/>
    <s v="Mahadev Motors West Bengal"/>
    <x v="4"/>
    <x v="3"/>
    <x v="3"/>
    <x v="2"/>
    <n v="8"/>
    <n v="446827"/>
    <n v="9"/>
    <n v="3574616"/>
    <n v="0.35746159999999999"/>
    <n v="3252900.56"/>
    <n v="0.32529005599999999"/>
    <s v="Pending"/>
    <s v="Pending"/>
    <s v="Invalid"/>
    <s v="Pending"/>
  </r>
  <r>
    <x v="1809"/>
    <x v="541"/>
    <x v="4"/>
    <x v="0"/>
    <x v="0"/>
    <s v="Shakti Agro Uttar Pradesh"/>
    <x v="0"/>
    <x v="0"/>
    <x v="3"/>
    <x v="2"/>
    <n v="8"/>
    <n v="196038"/>
    <n v="9"/>
    <n v="1568304"/>
    <n v="0.15683040000000001"/>
    <n v="1427156.6400000001"/>
    <n v="0.14271566400000002"/>
    <s v="Pending"/>
    <s v="Pending"/>
    <s v="Invalid"/>
    <s v="Pending"/>
  </r>
  <r>
    <x v="1810"/>
    <x v="50"/>
    <x v="2"/>
    <x v="4"/>
    <x v="4"/>
    <s v="Agri Motors West Bengal"/>
    <x v="4"/>
    <x v="3"/>
    <x v="4"/>
    <x v="1"/>
    <n v="8"/>
    <n v="525803"/>
    <n v="9"/>
    <n v="4206424"/>
    <n v="0.42064240000000003"/>
    <n v="3827845.8400000003"/>
    <n v="0.38278458400000004"/>
    <s v="Partial"/>
    <s v="In Transit"/>
    <s v="Invalid"/>
    <s v="In Transit"/>
  </r>
  <r>
    <x v="1811"/>
    <x v="7"/>
    <x v="4"/>
    <x v="2"/>
    <x v="2"/>
    <s v="Kisan Tractors Maharashtra"/>
    <x v="2"/>
    <x v="2"/>
    <x v="2"/>
    <x v="0"/>
    <n v="6"/>
    <n v="528163"/>
    <n v="8"/>
    <n v="3168978"/>
    <n v="0.31689780000000001"/>
    <n v="2915459.7600000002"/>
    <n v="0.29154597600000004"/>
    <s v="Partial"/>
    <s v="In Transit"/>
    <s v="Invalid"/>
    <s v="In Transit"/>
  </r>
  <r>
    <x v="1812"/>
    <x v="542"/>
    <x v="2"/>
    <x v="4"/>
    <x v="2"/>
    <s v="Agri Motors Maharashtra"/>
    <x v="2"/>
    <x v="2"/>
    <x v="0"/>
    <x v="0"/>
    <n v="4"/>
    <n v="382932"/>
    <n v="6"/>
    <n v="1531728"/>
    <n v="0.1531728"/>
    <n v="1439824.3199999998"/>
    <n v="0.14398243199999999"/>
    <s v="Partial"/>
    <s v="In Transit"/>
    <s v="Invalid"/>
    <s v="In Transit"/>
  </r>
  <r>
    <x v="1813"/>
    <x v="47"/>
    <x v="2"/>
    <x v="1"/>
    <x v="3"/>
    <s v="Green Field Haryana"/>
    <x v="3"/>
    <x v="0"/>
    <x v="2"/>
    <x v="0"/>
    <n v="3"/>
    <n v="354850"/>
    <n v="6"/>
    <n v="1064550"/>
    <n v="0.10645499999999999"/>
    <n v="1000677"/>
    <n v="0.1000677"/>
    <s v="Paid"/>
    <s v="Delivered"/>
    <s v="Invalid"/>
    <s v="Completed"/>
  </r>
  <r>
    <x v="1814"/>
    <x v="354"/>
    <x v="0"/>
    <x v="0"/>
    <x v="4"/>
    <s v="Shakti Agro West Bengal"/>
    <x v="4"/>
    <x v="3"/>
    <x v="3"/>
    <x v="2"/>
    <n v="8"/>
    <n v="236526"/>
    <n v="9"/>
    <n v="1892208"/>
    <n v="0.18922079999999999"/>
    <n v="1721909.28"/>
    <n v="0.17219092799999999"/>
    <s v="Paid"/>
    <s v="Delivered"/>
    <s v="Invalid"/>
    <s v="Completed"/>
  </r>
  <r>
    <x v="1815"/>
    <x v="277"/>
    <x v="0"/>
    <x v="4"/>
    <x v="2"/>
    <s v="Agri Motors Maharashtra"/>
    <x v="2"/>
    <x v="2"/>
    <x v="1"/>
    <x v="1"/>
    <n v="2"/>
    <n v="297224"/>
    <n v="5"/>
    <n v="594448"/>
    <n v="5.9444799999999999E-2"/>
    <n v="564725.6"/>
    <n v="5.6472559999999998E-2"/>
    <s v="Paid"/>
    <s v="Delivered"/>
    <s v="Invalid"/>
    <s v="Completed"/>
  </r>
  <r>
    <x v="1816"/>
    <x v="83"/>
    <x v="4"/>
    <x v="4"/>
    <x v="2"/>
    <s v="Agri Motors Maharashtra"/>
    <x v="2"/>
    <x v="2"/>
    <x v="1"/>
    <x v="1"/>
    <n v="3"/>
    <n v="740982"/>
    <n v="6"/>
    <n v="2222946"/>
    <n v="0.22229460000000001"/>
    <n v="2089569.24"/>
    <n v="0.20895692399999999"/>
    <s v="Pending"/>
    <s v="Pending"/>
    <s v="Valid"/>
    <s v="Pending"/>
  </r>
  <r>
    <x v="1817"/>
    <x v="500"/>
    <x v="4"/>
    <x v="4"/>
    <x v="1"/>
    <s v="Agri Motors Karnataka"/>
    <x v="1"/>
    <x v="1"/>
    <x v="4"/>
    <x v="1"/>
    <n v="6"/>
    <n v="124947"/>
    <n v="8"/>
    <n v="749682"/>
    <n v="7.4968199999999999E-2"/>
    <n v="689707.44000000006"/>
    <n v="6.8970744E-2"/>
    <s v="Pending"/>
    <s v="Pending"/>
    <s v="Invalid"/>
    <s v="Pending"/>
  </r>
  <r>
    <x v="1818"/>
    <x v="257"/>
    <x v="1"/>
    <x v="4"/>
    <x v="4"/>
    <s v="Agri Motors West Bengal"/>
    <x v="4"/>
    <x v="3"/>
    <x v="2"/>
    <x v="0"/>
    <n v="6"/>
    <n v="392547"/>
    <n v="8"/>
    <n v="2355282"/>
    <n v="0.23552819999999999"/>
    <n v="2166859.44"/>
    <n v="0.21668594399999999"/>
    <s v="Pending"/>
    <s v="Pending"/>
    <s v="Invalid"/>
    <s v="Pending"/>
  </r>
  <r>
    <x v="1819"/>
    <x v="299"/>
    <x v="4"/>
    <x v="2"/>
    <x v="3"/>
    <s v="Kisan Tractors Haryana"/>
    <x v="3"/>
    <x v="0"/>
    <x v="0"/>
    <x v="0"/>
    <n v="1"/>
    <n v="493151"/>
    <n v="3"/>
    <n v="493151"/>
    <n v="4.9315100000000001E-2"/>
    <n v="478356.47"/>
    <n v="4.7835646999999995E-2"/>
    <s v="Paid"/>
    <s v="Delivered"/>
    <s v="Valid"/>
    <s v="Completed"/>
  </r>
  <r>
    <x v="1820"/>
    <x v="315"/>
    <x v="0"/>
    <x v="2"/>
    <x v="2"/>
    <s v="Kisan Tractors Maharashtra"/>
    <x v="2"/>
    <x v="2"/>
    <x v="1"/>
    <x v="1"/>
    <n v="4"/>
    <n v="647181"/>
    <n v="6"/>
    <n v="2588724"/>
    <n v="0.2588724"/>
    <n v="2433400.56"/>
    <n v="0.243340056"/>
    <s v="Partial"/>
    <s v="In Transit"/>
    <s v="Valid"/>
    <s v="In Transit"/>
  </r>
  <r>
    <x v="1821"/>
    <x v="119"/>
    <x v="0"/>
    <x v="2"/>
    <x v="1"/>
    <s v="Kisan Tractors Karnataka"/>
    <x v="1"/>
    <x v="1"/>
    <x v="4"/>
    <x v="1"/>
    <n v="6"/>
    <n v="394048"/>
    <n v="8"/>
    <n v="2364288"/>
    <n v="0.23642879999999999"/>
    <n v="2175144.96"/>
    <n v="0.217514496"/>
    <s v="Pending"/>
    <s v="Pending"/>
    <s v="Invalid"/>
    <s v="Pending"/>
  </r>
  <r>
    <x v="1822"/>
    <x v="383"/>
    <x v="0"/>
    <x v="3"/>
    <x v="3"/>
    <s v="Mahadev Motors Haryana"/>
    <x v="3"/>
    <x v="0"/>
    <x v="2"/>
    <x v="0"/>
    <n v="7"/>
    <n v="861458"/>
    <n v="9"/>
    <n v="6030206"/>
    <n v="0.60302060000000002"/>
    <n v="5487487.46"/>
    <n v="0.54874874600000001"/>
    <s v="Paid"/>
    <s v="Delivered"/>
    <s v="Valid"/>
    <s v="Completed"/>
  </r>
  <r>
    <x v="1823"/>
    <x v="149"/>
    <x v="1"/>
    <x v="3"/>
    <x v="4"/>
    <s v="Mahadev Motors West Bengal"/>
    <x v="4"/>
    <x v="3"/>
    <x v="1"/>
    <x v="1"/>
    <n v="5"/>
    <n v="898881"/>
    <n v="7"/>
    <n v="4494405"/>
    <n v="0.44944050000000002"/>
    <n v="4179796.65"/>
    <n v="0.417979665"/>
    <s v="Paid"/>
    <s v="Delivered"/>
    <s v="Invalid"/>
    <s v="Completed"/>
  </r>
  <r>
    <x v="1824"/>
    <x v="424"/>
    <x v="0"/>
    <x v="2"/>
    <x v="0"/>
    <s v="Kisan Tractors Uttar Pradesh"/>
    <x v="0"/>
    <x v="0"/>
    <x v="0"/>
    <x v="0"/>
    <n v="3"/>
    <n v="857564"/>
    <n v="6"/>
    <n v="2572692"/>
    <n v="0.25726919999999998"/>
    <n v="2418330.48"/>
    <n v="0.24183304799999999"/>
    <s v="Partial"/>
    <s v="In Transit"/>
    <s v="Valid"/>
    <s v="In Transit"/>
  </r>
  <r>
    <x v="1825"/>
    <x v="37"/>
    <x v="0"/>
    <x v="2"/>
    <x v="1"/>
    <s v="Kisan Tractors Karnataka"/>
    <x v="1"/>
    <x v="1"/>
    <x v="2"/>
    <x v="0"/>
    <n v="1"/>
    <n v="161389"/>
    <n v="3"/>
    <n v="161389"/>
    <n v="1.6138900000000001E-2"/>
    <n v="156547.32999999999"/>
    <n v="1.5654732999999997E-2"/>
    <s v="Paid"/>
    <s v="Delivered"/>
    <s v="Valid"/>
    <s v="Completed"/>
  </r>
  <r>
    <x v="1826"/>
    <x v="93"/>
    <x v="1"/>
    <x v="3"/>
    <x v="0"/>
    <s v="Mahadev Motors Uttar Pradesh"/>
    <x v="0"/>
    <x v="0"/>
    <x v="4"/>
    <x v="1"/>
    <n v="6"/>
    <n v="648785"/>
    <n v="8"/>
    <n v="3892710"/>
    <n v="0.38927099999999998"/>
    <n v="3581293.2"/>
    <n v="0.35812932000000003"/>
    <s v="Pending"/>
    <s v="Pending"/>
    <s v="Valid"/>
    <s v="Pending"/>
  </r>
  <r>
    <x v="1827"/>
    <x v="487"/>
    <x v="0"/>
    <x v="4"/>
    <x v="3"/>
    <s v="Agri Motors Haryana"/>
    <x v="3"/>
    <x v="0"/>
    <x v="3"/>
    <x v="2"/>
    <n v="7"/>
    <n v="562733"/>
    <n v="9"/>
    <n v="3939131"/>
    <n v="0.39391310000000002"/>
    <n v="3584609.21"/>
    <n v="0.35846092099999999"/>
    <s v="Partial"/>
    <s v="In Transit"/>
    <s v="Invalid"/>
    <s v="In Transit"/>
  </r>
  <r>
    <x v="1828"/>
    <x v="298"/>
    <x v="4"/>
    <x v="0"/>
    <x v="2"/>
    <s v="Shakti Agro Maharashtra"/>
    <x v="2"/>
    <x v="2"/>
    <x v="0"/>
    <x v="0"/>
    <n v="8"/>
    <n v="205555"/>
    <n v="9"/>
    <n v="1644440"/>
    <n v="0.16444400000000001"/>
    <n v="1496440.4000000001"/>
    <n v="0.14964404000000001"/>
    <s v="Paid"/>
    <s v="Delivered"/>
    <s v="Valid"/>
    <s v="Completed"/>
  </r>
  <r>
    <x v="1829"/>
    <x v="344"/>
    <x v="3"/>
    <x v="1"/>
    <x v="0"/>
    <s v="Green Field Uttar Pradesh"/>
    <x v="0"/>
    <x v="0"/>
    <x v="1"/>
    <x v="1"/>
    <n v="4"/>
    <n v="805023"/>
    <n v="6"/>
    <n v="3220092"/>
    <n v="0.3220092"/>
    <n v="3026886.48"/>
    <n v="0.302688648"/>
    <s v="Paid"/>
    <s v="Delivered"/>
    <s v="Invalid"/>
    <s v="Completed"/>
  </r>
  <r>
    <x v="1830"/>
    <x v="63"/>
    <x v="1"/>
    <x v="0"/>
    <x v="0"/>
    <s v="Shakti Agro Uttar Pradesh"/>
    <x v="0"/>
    <x v="0"/>
    <x v="3"/>
    <x v="2"/>
    <n v="3"/>
    <n v="451760"/>
    <n v="6"/>
    <n v="1355280"/>
    <n v="0.13552800000000001"/>
    <n v="1273963.2"/>
    <n v="0.12739632000000001"/>
    <s v="Pending"/>
    <s v="Pending"/>
    <s v="Invalid"/>
    <s v="Pending"/>
  </r>
  <r>
    <x v="1831"/>
    <x v="357"/>
    <x v="0"/>
    <x v="1"/>
    <x v="4"/>
    <s v="Green Field West Bengal"/>
    <x v="4"/>
    <x v="3"/>
    <x v="2"/>
    <x v="0"/>
    <n v="3"/>
    <n v="520017"/>
    <n v="6"/>
    <n v="1560051"/>
    <n v="0.15600510000000001"/>
    <n v="1466447.94"/>
    <n v="0.14664479399999999"/>
    <s v="Partial"/>
    <s v="In Transit"/>
    <s v="Invalid"/>
    <s v="In Transit"/>
  </r>
  <r>
    <x v="1832"/>
    <x v="182"/>
    <x v="2"/>
    <x v="2"/>
    <x v="3"/>
    <s v="Kisan Tractors Haryana"/>
    <x v="3"/>
    <x v="0"/>
    <x v="4"/>
    <x v="1"/>
    <n v="3"/>
    <n v="741406"/>
    <n v="6"/>
    <n v="2224218"/>
    <n v="0.2224218"/>
    <n v="2090764.92"/>
    <n v="0.209076492"/>
    <s v="Paid"/>
    <s v="Delivered"/>
    <s v="Valid"/>
    <s v="Completed"/>
  </r>
  <r>
    <x v="1833"/>
    <x v="255"/>
    <x v="1"/>
    <x v="2"/>
    <x v="1"/>
    <s v="Kisan Tractors Karnataka"/>
    <x v="1"/>
    <x v="1"/>
    <x v="2"/>
    <x v="0"/>
    <n v="5"/>
    <n v="246542"/>
    <n v="7"/>
    <n v="1232710"/>
    <n v="0.12327100000000001"/>
    <n v="1146420.2999999998"/>
    <n v="0.11464202999999998"/>
    <s v="Pending"/>
    <s v="Pending"/>
    <s v="Invalid"/>
    <s v="Pending"/>
  </r>
  <r>
    <x v="1834"/>
    <x v="458"/>
    <x v="1"/>
    <x v="2"/>
    <x v="3"/>
    <s v="Kisan Tractors Haryana"/>
    <x v="3"/>
    <x v="0"/>
    <x v="1"/>
    <x v="1"/>
    <n v="4"/>
    <n v="225991"/>
    <n v="6"/>
    <n v="903964"/>
    <n v="9.0396400000000002E-2"/>
    <n v="849726.15999999992"/>
    <n v="8.4972615999999987E-2"/>
    <s v="Paid"/>
    <s v="Delivered"/>
    <s v="Valid"/>
    <s v="Completed"/>
  </r>
  <r>
    <x v="1835"/>
    <x v="368"/>
    <x v="2"/>
    <x v="0"/>
    <x v="1"/>
    <s v="Shakti Agro Karnataka"/>
    <x v="1"/>
    <x v="1"/>
    <x v="1"/>
    <x v="1"/>
    <n v="2"/>
    <n v="192897"/>
    <n v="5"/>
    <n v="385794"/>
    <n v="3.85794E-2"/>
    <n v="366504.3"/>
    <n v="3.6650429999999998E-2"/>
    <s v="Partial"/>
    <s v="In Transit"/>
    <s v="Valid"/>
    <s v="In Transit"/>
  </r>
  <r>
    <x v="1836"/>
    <x v="90"/>
    <x v="1"/>
    <x v="1"/>
    <x v="4"/>
    <s v="Green Field West Bengal"/>
    <x v="4"/>
    <x v="3"/>
    <x v="3"/>
    <x v="2"/>
    <n v="1"/>
    <n v="80155"/>
    <n v="3"/>
    <n v="80155"/>
    <n v="8.0155000000000001E-3"/>
    <n v="77750.349999999991"/>
    <n v="7.7750349999999987E-3"/>
    <s v="Paid"/>
    <s v="Delivered"/>
    <s v="Invalid"/>
    <s v="Completed"/>
  </r>
  <r>
    <x v="1837"/>
    <x v="289"/>
    <x v="1"/>
    <x v="1"/>
    <x v="2"/>
    <s v="Green Field Maharashtra"/>
    <x v="2"/>
    <x v="2"/>
    <x v="2"/>
    <x v="0"/>
    <n v="2"/>
    <n v="527394"/>
    <n v="5"/>
    <n v="1054788"/>
    <n v="0.1054788"/>
    <n v="1002048.6"/>
    <n v="0.10020485999999999"/>
    <s v="Partial"/>
    <s v="In Transit"/>
    <s v="Invalid"/>
    <s v="In Transit"/>
  </r>
  <r>
    <x v="1838"/>
    <x v="221"/>
    <x v="4"/>
    <x v="0"/>
    <x v="1"/>
    <s v="Shakti Agro Karnataka"/>
    <x v="1"/>
    <x v="1"/>
    <x v="1"/>
    <x v="1"/>
    <n v="7"/>
    <n v="121172"/>
    <n v="9"/>
    <n v="848204"/>
    <n v="8.4820400000000004E-2"/>
    <n v="771865.64"/>
    <n v="7.7186563999999999E-2"/>
    <s v="Paid"/>
    <s v="Delivered"/>
    <s v="Valid"/>
    <s v="Completed"/>
  </r>
  <r>
    <x v="1839"/>
    <x v="431"/>
    <x v="0"/>
    <x v="3"/>
    <x v="0"/>
    <s v="Mahadev Motors Uttar Pradesh"/>
    <x v="0"/>
    <x v="0"/>
    <x v="3"/>
    <x v="2"/>
    <n v="8"/>
    <n v="418338"/>
    <n v="9"/>
    <n v="3346704"/>
    <n v="0.33467039999999998"/>
    <n v="3045500.64"/>
    <n v="0.30455006400000001"/>
    <s v="Pending"/>
    <s v="Pending"/>
    <s v="Invalid"/>
    <s v="Pending"/>
  </r>
  <r>
    <x v="1840"/>
    <x v="122"/>
    <x v="4"/>
    <x v="3"/>
    <x v="1"/>
    <s v="Mahadev Motors Karnataka"/>
    <x v="1"/>
    <x v="1"/>
    <x v="4"/>
    <x v="1"/>
    <n v="8"/>
    <n v="60713"/>
    <n v="9"/>
    <n v="485704"/>
    <n v="4.85704E-2"/>
    <n v="441990.64"/>
    <n v="4.4199064000000003E-2"/>
    <s v="Partial"/>
    <s v="In Transit"/>
    <s v="Invalid"/>
    <s v="In Transit"/>
  </r>
  <r>
    <x v="1841"/>
    <x v="323"/>
    <x v="3"/>
    <x v="2"/>
    <x v="1"/>
    <s v="Kisan Tractors Karnataka"/>
    <x v="1"/>
    <x v="1"/>
    <x v="0"/>
    <x v="0"/>
    <n v="8"/>
    <n v="240958"/>
    <n v="9"/>
    <n v="1927664"/>
    <n v="0.1927664"/>
    <n v="1754174.24"/>
    <n v="0.17541742399999999"/>
    <s v="Pending"/>
    <s v="Pending"/>
    <s v="Invalid"/>
    <s v="Pending"/>
  </r>
  <r>
    <x v="1842"/>
    <x v="543"/>
    <x v="3"/>
    <x v="0"/>
    <x v="0"/>
    <s v="Shakti Agro Uttar Pradesh"/>
    <x v="0"/>
    <x v="0"/>
    <x v="1"/>
    <x v="1"/>
    <n v="5"/>
    <n v="113005"/>
    <n v="7"/>
    <n v="565025"/>
    <n v="5.6502499999999997E-2"/>
    <n v="525473.25"/>
    <n v="5.2547324999999999E-2"/>
    <s v="Paid"/>
    <s v="Delivered"/>
    <s v="Valid"/>
    <s v="Completed"/>
  </r>
  <r>
    <x v="1843"/>
    <x v="33"/>
    <x v="4"/>
    <x v="3"/>
    <x v="1"/>
    <s v="Mahadev Motors Karnataka"/>
    <x v="1"/>
    <x v="1"/>
    <x v="1"/>
    <x v="1"/>
    <n v="4"/>
    <n v="364323"/>
    <n v="6"/>
    <n v="1457292"/>
    <n v="0.1457292"/>
    <n v="1369854.48"/>
    <n v="0.13698544800000001"/>
    <s v="Partial"/>
    <s v="In Transit"/>
    <s v="Invalid"/>
    <s v="In Transit"/>
  </r>
  <r>
    <x v="1844"/>
    <x v="538"/>
    <x v="1"/>
    <x v="3"/>
    <x v="2"/>
    <s v="Mahadev Motors Maharashtra"/>
    <x v="2"/>
    <x v="2"/>
    <x v="4"/>
    <x v="1"/>
    <n v="6"/>
    <n v="326372"/>
    <n v="8"/>
    <n v="1958232"/>
    <n v="0.1958232"/>
    <n v="1801573.4400000002"/>
    <n v="0.18015734400000002"/>
    <s v="Pending"/>
    <s v="Pending"/>
    <s v="Valid"/>
    <s v="Pending"/>
  </r>
  <r>
    <x v="1845"/>
    <x v="470"/>
    <x v="0"/>
    <x v="3"/>
    <x v="1"/>
    <s v="Mahadev Motors Karnataka"/>
    <x v="1"/>
    <x v="1"/>
    <x v="3"/>
    <x v="2"/>
    <n v="3"/>
    <n v="98797"/>
    <n v="6"/>
    <n v="296391"/>
    <n v="2.9639100000000002E-2"/>
    <n v="278607.53999999998"/>
    <n v="2.7860753999999998E-2"/>
    <s v="Pending"/>
    <s v="Pending"/>
    <s v="Invalid"/>
    <s v="Pending"/>
  </r>
  <r>
    <x v="1846"/>
    <x v="469"/>
    <x v="2"/>
    <x v="4"/>
    <x v="3"/>
    <s v="Agri Motors Haryana"/>
    <x v="3"/>
    <x v="0"/>
    <x v="4"/>
    <x v="1"/>
    <n v="3"/>
    <n v="59279"/>
    <n v="6"/>
    <n v="177837"/>
    <n v="1.77837E-2"/>
    <n v="167166.78"/>
    <n v="1.6716677999999999E-2"/>
    <s v="Pending"/>
    <s v="Pending"/>
    <s v="Valid"/>
    <s v="Pending"/>
  </r>
  <r>
    <x v="1847"/>
    <x v="313"/>
    <x v="4"/>
    <x v="1"/>
    <x v="4"/>
    <s v="Green Field West Bengal"/>
    <x v="4"/>
    <x v="3"/>
    <x v="0"/>
    <x v="0"/>
    <n v="3"/>
    <n v="597544"/>
    <n v="6"/>
    <n v="1792632"/>
    <n v="0.17926320000000001"/>
    <n v="1685074.0799999998"/>
    <n v="0.168507408"/>
    <s v="Pending"/>
    <s v="Pending"/>
    <s v="Invalid"/>
    <s v="Pending"/>
  </r>
  <r>
    <x v="1848"/>
    <x v="85"/>
    <x v="3"/>
    <x v="1"/>
    <x v="0"/>
    <s v="Green Field Uttar Pradesh"/>
    <x v="0"/>
    <x v="0"/>
    <x v="0"/>
    <x v="0"/>
    <n v="2"/>
    <n v="860920"/>
    <n v="5"/>
    <n v="1721840"/>
    <n v="0.172184"/>
    <n v="1635748"/>
    <n v="0.16357479999999999"/>
    <s v="Pending"/>
    <s v="Pending"/>
    <s v="Invalid"/>
    <s v="Pending"/>
  </r>
  <r>
    <x v="1849"/>
    <x v="145"/>
    <x v="1"/>
    <x v="2"/>
    <x v="1"/>
    <s v="Kisan Tractors Karnataka"/>
    <x v="1"/>
    <x v="1"/>
    <x v="4"/>
    <x v="1"/>
    <n v="8"/>
    <n v="507414"/>
    <n v="9"/>
    <n v="4059312"/>
    <n v="0.40593119999999999"/>
    <n v="3693973.92"/>
    <n v="0.36939739199999999"/>
    <s v="Partial"/>
    <s v="In Transit"/>
    <s v="Invalid"/>
    <s v="In Transit"/>
  </r>
  <r>
    <x v="1850"/>
    <x v="118"/>
    <x v="2"/>
    <x v="0"/>
    <x v="4"/>
    <s v="Shakti Agro West Bengal"/>
    <x v="4"/>
    <x v="3"/>
    <x v="3"/>
    <x v="2"/>
    <n v="7"/>
    <n v="549685"/>
    <n v="9"/>
    <n v="3847795"/>
    <n v="0.3847795"/>
    <n v="3501493.45"/>
    <n v="0.350149345"/>
    <s v="Paid"/>
    <s v="Delivered"/>
    <s v="Valid"/>
    <s v="Completed"/>
  </r>
  <r>
    <x v="1851"/>
    <x v="181"/>
    <x v="1"/>
    <x v="1"/>
    <x v="3"/>
    <s v="Green Field Haryana"/>
    <x v="3"/>
    <x v="0"/>
    <x v="2"/>
    <x v="0"/>
    <n v="4"/>
    <n v="883325"/>
    <n v="6"/>
    <n v="3533300"/>
    <n v="0.35332999999999998"/>
    <n v="3321302"/>
    <n v="0.33213019999999999"/>
    <s v="Paid"/>
    <s v="Delivered"/>
    <s v="Invalid"/>
    <s v="Completed"/>
  </r>
  <r>
    <x v="1852"/>
    <x v="265"/>
    <x v="0"/>
    <x v="3"/>
    <x v="3"/>
    <s v="Mahadev Motors Haryana"/>
    <x v="3"/>
    <x v="0"/>
    <x v="4"/>
    <x v="1"/>
    <n v="4"/>
    <n v="621968"/>
    <n v="6"/>
    <n v="2487872"/>
    <n v="0.24878719999999999"/>
    <n v="2338599.6799999997"/>
    <n v="0.23385996799999997"/>
    <s v="Pending"/>
    <s v="Pending"/>
    <s v="Invalid"/>
    <s v="Pending"/>
  </r>
  <r>
    <x v="1853"/>
    <x v="324"/>
    <x v="3"/>
    <x v="1"/>
    <x v="1"/>
    <s v="Green Field Karnataka"/>
    <x v="1"/>
    <x v="1"/>
    <x v="3"/>
    <x v="2"/>
    <n v="1"/>
    <n v="860860"/>
    <n v="3"/>
    <n v="860860"/>
    <n v="8.6085999999999996E-2"/>
    <n v="835034.2"/>
    <n v="8.3503419999999995E-2"/>
    <s v="Paid"/>
    <s v="Delivered"/>
    <s v="Invalid"/>
    <s v="Completed"/>
  </r>
  <r>
    <x v="1854"/>
    <x v="269"/>
    <x v="0"/>
    <x v="2"/>
    <x v="2"/>
    <s v="Kisan Tractors Maharashtra"/>
    <x v="2"/>
    <x v="2"/>
    <x v="3"/>
    <x v="2"/>
    <n v="2"/>
    <n v="892070"/>
    <n v="5"/>
    <n v="1784140"/>
    <n v="0.17841399999999999"/>
    <n v="1694933"/>
    <n v="0.16949330000000001"/>
    <s v="Pending"/>
    <s v="Pending"/>
    <s v="Valid"/>
    <s v="Pending"/>
  </r>
  <r>
    <x v="1855"/>
    <x v="63"/>
    <x v="0"/>
    <x v="1"/>
    <x v="0"/>
    <s v="Green Field Uttar Pradesh"/>
    <x v="0"/>
    <x v="0"/>
    <x v="1"/>
    <x v="1"/>
    <n v="5"/>
    <n v="872452"/>
    <n v="7"/>
    <n v="4362260"/>
    <n v="0.436226"/>
    <n v="4056901.8"/>
    <n v="0.40569017999999996"/>
    <s v="Partial"/>
    <s v="In Transit"/>
    <s v="Invalid"/>
    <s v="In Transit"/>
  </r>
  <r>
    <x v="1856"/>
    <x v="135"/>
    <x v="3"/>
    <x v="3"/>
    <x v="3"/>
    <s v="Mahadev Motors Haryana"/>
    <x v="3"/>
    <x v="0"/>
    <x v="3"/>
    <x v="2"/>
    <n v="2"/>
    <n v="489239"/>
    <n v="5"/>
    <n v="978478"/>
    <n v="9.7847799999999999E-2"/>
    <n v="929554.1"/>
    <n v="9.2955410000000002E-2"/>
    <s v="Partial"/>
    <s v="In Transit"/>
    <s v="Valid"/>
    <s v="In Transit"/>
  </r>
  <r>
    <x v="1857"/>
    <x v="4"/>
    <x v="1"/>
    <x v="4"/>
    <x v="2"/>
    <s v="Agri Motors Maharashtra"/>
    <x v="2"/>
    <x v="2"/>
    <x v="0"/>
    <x v="0"/>
    <n v="7"/>
    <n v="229019"/>
    <n v="9"/>
    <n v="1603133"/>
    <n v="0.16031329999999999"/>
    <n v="1458851.03"/>
    <n v="0.14588510300000002"/>
    <s v="Partial"/>
    <s v="In Transit"/>
    <s v="Invalid"/>
    <s v="In Transit"/>
  </r>
  <r>
    <x v="1858"/>
    <x v="13"/>
    <x v="3"/>
    <x v="2"/>
    <x v="3"/>
    <s v="Kisan Tractors Haryana"/>
    <x v="3"/>
    <x v="0"/>
    <x v="4"/>
    <x v="1"/>
    <n v="2"/>
    <n v="853919"/>
    <n v="5"/>
    <n v="1707838"/>
    <n v="0.17078380000000001"/>
    <n v="1622446.0999999999"/>
    <n v="0.16224460999999998"/>
    <s v="Pending"/>
    <s v="Pending"/>
    <s v="Valid"/>
    <s v="Pending"/>
  </r>
  <r>
    <x v="1859"/>
    <x v="221"/>
    <x v="2"/>
    <x v="0"/>
    <x v="0"/>
    <s v="Shakti Agro Uttar Pradesh"/>
    <x v="0"/>
    <x v="0"/>
    <x v="3"/>
    <x v="2"/>
    <n v="5"/>
    <n v="805950"/>
    <n v="7"/>
    <n v="4029750"/>
    <n v="0.40297500000000003"/>
    <n v="3747667.4999999995"/>
    <n v="0.37476674999999993"/>
    <s v="Partial"/>
    <s v="In Transit"/>
    <s v="Valid"/>
    <s v="In Transit"/>
  </r>
  <r>
    <x v="1860"/>
    <x v="203"/>
    <x v="0"/>
    <x v="4"/>
    <x v="4"/>
    <s v="Agri Motors West Bengal"/>
    <x v="4"/>
    <x v="3"/>
    <x v="4"/>
    <x v="1"/>
    <n v="5"/>
    <n v="225654"/>
    <n v="7"/>
    <n v="1128270"/>
    <n v="0.112827"/>
    <n v="1049291.0999999999"/>
    <n v="0.10492910999999999"/>
    <s v="Paid"/>
    <s v="Delivered"/>
    <s v="Valid"/>
    <s v="Completed"/>
  </r>
  <r>
    <x v="1861"/>
    <x v="38"/>
    <x v="4"/>
    <x v="2"/>
    <x v="2"/>
    <s v="Kisan Tractors Maharashtra"/>
    <x v="2"/>
    <x v="2"/>
    <x v="0"/>
    <x v="0"/>
    <n v="1"/>
    <n v="173142"/>
    <n v="3"/>
    <n v="173142"/>
    <n v="1.7314199999999998E-2"/>
    <n v="167947.74"/>
    <n v="1.6794773999999998E-2"/>
    <s v="Partial"/>
    <s v="In Transit"/>
    <s v="Valid"/>
    <s v="In Transit"/>
  </r>
  <r>
    <x v="1862"/>
    <x v="420"/>
    <x v="2"/>
    <x v="3"/>
    <x v="1"/>
    <s v="Mahadev Motors Karnataka"/>
    <x v="1"/>
    <x v="1"/>
    <x v="2"/>
    <x v="0"/>
    <n v="6"/>
    <n v="474879"/>
    <n v="8"/>
    <n v="2849274"/>
    <n v="0.2849274"/>
    <n v="2621332.08"/>
    <n v="0.26213320800000001"/>
    <s v="Partial"/>
    <s v="In Transit"/>
    <s v="Invalid"/>
    <s v="In Transit"/>
  </r>
  <r>
    <x v="1863"/>
    <x v="190"/>
    <x v="4"/>
    <x v="1"/>
    <x v="1"/>
    <s v="Green Field Karnataka"/>
    <x v="1"/>
    <x v="1"/>
    <x v="0"/>
    <x v="0"/>
    <n v="4"/>
    <n v="75072"/>
    <n v="6"/>
    <n v="300288"/>
    <n v="3.0028800000000001E-2"/>
    <n v="282270.71999999997"/>
    <n v="2.8227071999999999E-2"/>
    <s v="Pending"/>
    <s v="Pending"/>
    <s v="Invalid"/>
    <s v="Pending"/>
  </r>
  <r>
    <x v="1864"/>
    <x v="284"/>
    <x v="2"/>
    <x v="1"/>
    <x v="1"/>
    <s v="Green Field Karnataka"/>
    <x v="1"/>
    <x v="1"/>
    <x v="4"/>
    <x v="1"/>
    <n v="4"/>
    <n v="674673"/>
    <n v="6"/>
    <n v="2698692"/>
    <n v="0.26986919999999998"/>
    <n v="2536770.48"/>
    <n v="0.25367704800000002"/>
    <s v="Pending"/>
    <s v="Pending"/>
    <s v="Invalid"/>
    <s v="Pending"/>
  </r>
  <r>
    <x v="1865"/>
    <x v="240"/>
    <x v="3"/>
    <x v="2"/>
    <x v="4"/>
    <s v="Kisan Tractors West Bengal"/>
    <x v="4"/>
    <x v="3"/>
    <x v="1"/>
    <x v="1"/>
    <n v="6"/>
    <n v="68079"/>
    <n v="8"/>
    <n v="408474"/>
    <n v="4.0847399999999999E-2"/>
    <n v="375796.08"/>
    <n v="3.7579608E-2"/>
    <s v="Paid"/>
    <s v="Delivered"/>
    <s v="Valid"/>
    <s v="Completed"/>
  </r>
  <r>
    <x v="1866"/>
    <x v="501"/>
    <x v="0"/>
    <x v="3"/>
    <x v="1"/>
    <s v="Mahadev Motors Karnataka"/>
    <x v="1"/>
    <x v="1"/>
    <x v="4"/>
    <x v="1"/>
    <n v="8"/>
    <n v="740254"/>
    <n v="9"/>
    <n v="5922032"/>
    <n v="0.59220320000000004"/>
    <n v="5389049.1200000001"/>
    <n v="0.53890491200000001"/>
    <s v="Partial"/>
    <s v="In Transit"/>
    <s v="Valid"/>
    <s v="In Transit"/>
  </r>
  <r>
    <x v="1867"/>
    <x v="444"/>
    <x v="4"/>
    <x v="1"/>
    <x v="1"/>
    <s v="Green Field Karnataka"/>
    <x v="1"/>
    <x v="1"/>
    <x v="4"/>
    <x v="1"/>
    <n v="3"/>
    <n v="54844"/>
    <n v="6"/>
    <n v="164532"/>
    <n v="1.6453200000000001E-2"/>
    <n v="154660.07999999999"/>
    <n v="1.5466007999999998E-2"/>
    <s v="Paid"/>
    <s v="Delivered"/>
    <s v="Valid"/>
    <s v="Completed"/>
  </r>
  <r>
    <x v="1868"/>
    <x v="404"/>
    <x v="4"/>
    <x v="4"/>
    <x v="4"/>
    <s v="Agri Motors West Bengal"/>
    <x v="4"/>
    <x v="3"/>
    <x v="4"/>
    <x v="1"/>
    <n v="4"/>
    <n v="643961"/>
    <n v="6"/>
    <n v="2575844"/>
    <n v="0.25758439999999999"/>
    <n v="2421293.36"/>
    <n v="0.242129336"/>
    <s v="Partial"/>
    <s v="In Transit"/>
    <s v="Valid"/>
    <s v="In Transit"/>
  </r>
  <r>
    <x v="1869"/>
    <x v="532"/>
    <x v="0"/>
    <x v="1"/>
    <x v="1"/>
    <s v="Green Field Karnataka"/>
    <x v="1"/>
    <x v="1"/>
    <x v="1"/>
    <x v="1"/>
    <n v="3"/>
    <n v="338441"/>
    <n v="6"/>
    <n v="1015323"/>
    <n v="0.10153230000000001"/>
    <n v="954403.62"/>
    <n v="9.5440362000000001E-2"/>
    <s v="Paid"/>
    <s v="Delivered"/>
    <s v="Invalid"/>
    <s v="Completed"/>
  </r>
  <r>
    <x v="1870"/>
    <x v="59"/>
    <x v="3"/>
    <x v="4"/>
    <x v="0"/>
    <s v="Agri Motors Uttar Pradesh"/>
    <x v="0"/>
    <x v="0"/>
    <x v="2"/>
    <x v="0"/>
    <n v="6"/>
    <n v="622014"/>
    <n v="8"/>
    <n v="3732084"/>
    <n v="0.3732084"/>
    <n v="3433517.2800000003"/>
    <n v="0.34335172800000002"/>
    <s v="Paid"/>
    <s v="Delivered"/>
    <s v="Valid"/>
    <s v="Completed"/>
  </r>
  <r>
    <x v="1871"/>
    <x v="183"/>
    <x v="1"/>
    <x v="1"/>
    <x v="1"/>
    <s v="Green Field Karnataka"/>
    <x v="1"/>
    <x v="1"/>
    <x v="4"/>
    <x v="1"/>
    <n v="0"/>
    <n v="791319"/>
    <n v="0"/>
    <n v="0"/>
    <n v="0"/>
    <n v="0"/>
    <n v="0"/>
    <s v="Pending"/>
    <s v="Pending"/>
    <s v="Invalid"/>
    <s v="Pending"/>
  </r>
  <r>
    <x v="1872"/>
    <x v="495"/>
    <x v="2"/>
    <x v="0"/>
    <x v="4"/>
    <s v="Shakti Agro West Bengal"/>
    <x v="4"/>
    <x v="3"/>
    <x v="2"/>
    <x v="0"/>
    <n v="1"/>
    <n v="166061"/>
    <n v="3"/>
    <n v="166061"/>
    <n v="1.6606099999999999E-2"/>
    <n v="161079.16999999998"/>
    <n v="1.6107916999999999E-2"/>
    <s v="Pending"/>
    <s v="Pending"/>
    <s v="Invalid"/>
    <s v="Pending"/>
  </r>
  <r>
    <x v="1873"/>
    <x v="462"/>
    <x v="1"/>
    <x v="1"/>
    <x v="3"/>
    <s v="Green Field Haryana"/>
    <x v="3"/>
    <x v="0"/>
    <x v="4"/>
    <x v="1"/>
    <n v="8"/>
    <n v="317407"/>
    <n v="9"/>
    <n v="2539256"/>
    <n v="0.25392559999999997"/>
    <n v="2310722.96"/>
    <n v="0.23107229599999998"/>
    <s v="Paid"/>
    <s v="Delivered"/>
    <s v="Invalid"/>
    <s v="Completed"/>
  </r>
  <r>
    <x v="1874"/>
    <x v="424"/>
    <x v="4"/>
    <x v="2"/>
    <x v="3"/>
    <s v="Kisan Tractors Haryana"/>
    <x v="3"/>
    <x v="0"/>
    <x v="1"/>
    <x v="1"/>
    <n v="3"/>
    <n v="68584"/>
    <n v="6"/>
    <n v="205752"/>
    <n v="2.0575199999999998E-2"/>
    <n v="193406.87999999998"/>
    <n v="1.9340687999999998E-2"/>
    <s v="Partial"/>
    <s v="In Transit"/>
    <s v="Valid"/>
    <s v="In Transit"/>
  </r>
  <r>
    <x v="1875"/>
    <x v="312"/>
    <x v="3"/>
    <x v="4"/>
    <x v="0"/>
    <s v="Agri Motors Uttar Pradesh"/>
    <x v="0"/>
    <x v="0"/>
    <x v="4"/>
    <x v="1"/>
    <n v="7"/>
    <n v="277918"/>
    <n v="9"/>
    <n v="1945426"/>
    <n v="0.19454260000000001"/>
    <n v="1770337.6600000001"/>
    <n v="0.17703376600000001"/>
    <s v="Paid"/>
    <s v="Delivered"/>
    <s v="Valid"/>
    <s v="Completed"/>
  </r>
  <r>
    <x v="1876"/>
    <x v="67"/>
    <x v="3"/>
    <x v="3"/>
    <x v="3"/>
    <s v="Mahadev Motors Haryana"/>
    <x v="3"/>
    <x v="0"/>
    <x v="2"/>
    <x v="0"/>
    <n v="4"/>
    <n v="626157"/>
    <n v="6"/>
    <n v="2504628"/>
    <n v="0.25046279999999999"/>
    <n v="2354350.3199999998"/>
    <n v="0.23543503199999999"/>
    <s v="Partial"/>
    <s v="In Transit"/>
    <s v="Invalid"/>
    <s v="In Transit"/>
  </r>
  <r>
    <x v="1877"/>
    <x v="307"/>
    <x v="3"/>
    <x v="3"/>
    <x v="3"/>
    <s v="Mahadev Motors Haryana"/>
    <x v="3"/>
    <x v="0"/>
    <x v="0"/>
    <x v="0"/>
    <n v="1"/>
    <n v="177584"/>
    <n v="3"/>
    <n v="177584"/>
    <n v="1.7758400000000001E-2"/>
    <n v="172256.47999999998"/>
    <n v="1.7225648E-2"/>
    <s v="Paid"/>
    <s v="Delivered"/>
    <s v="Invalid"/>
    <s v="Completed"/>
  </r>
  <r>
    <x v="1878"/>
    <x v="216"/>
    <x v="0"/>
    <x v="4"/>
    <x v="2"/>
    <s v="Agri Motors Maharashtra"/>
    <x v="2"/>
    <x v="2"/>
    <x v="2"/>
    <x v="0"/>
    <n v="4"/>
    <n v="646412"/>
    <n v="6"/>
    <n v="2585648"/>
    <n v="0.25856479999999998"/>
    <n v="2430509.1199999996"/>
    <n v="0.24305091199999995"/>
    <s v="Pending"/>
    <s v="Pending"/>
    <s v="Valid"/>
    <s v="Pending"/>
  </r>
  <r>
    <x v="1879"/>
    <x v="122"/>
    <x v="1"/>
    <x v="2"/>
    <x v="0"/>
    <s v="Kisan Tractors Uttar Pradesh"/>
    <x v="0"/>
    <x v="0"/>
    <x v="1"/>
    <x v="1"/>
    <n v="5"/>
    <n v="450010"/>
    <n v="7"/>
    <n v="2250050"/>
    <n v="0.22500500000000001"/>
    <n v="2092546.4999999998"/>
    <n v="0.20925464999999999"/>
    <s v="Pending"/>
    <s v="Pending"/>
    <s v="Valid"/>
    <s v="Pending"/>
  </r>
  <r>
    <x v="1880"/>
    <x v="90"/>
    <x v="4"/>
    <x v="2"/>
    <x v="1"/>
    <s v="Kisan Tractors Karnataka"/>
    <x v="1"/>
    <x v="1"/>
    <x v="4"/>
    <x v="1"/>
    <n v="7"/>
    <n v="82588"/>
    <n v="9"/>
    <n v="578116"/>
    <n v="5.7811599999999998E-2"/>
    <n v="526085.56000000006"/>
    <n v="5.2608556000000008E-2"/>
    <s v="Paid"/>
    <s v="Delivered"/>
    <s v="Valid"/>
    <s v="Completed"/>
  </r>
  <r>
    <x v="1881"/>
    <x v="12"/>
    <x v="1"/>
    <x v="3"/>
    <x v="0"/>
    <s v="Mahadev Motors Uttar Pradesh"/>
    <x v="0"/>
    <x v="0"/>
    <x v="4"/>
    <x v="1"/>
    <n v="6"/>
    <n v="214173"/>
    <n v="8"/>
    <n v="1285038"/>
    <n v="0.1285038"/>
    <n v="1182234.96"/>
    <n v="0.118223496"/>
    <s v="Partial"/>
    <s v="In Transit"/>
    <s v="Invalid"/>
    <s v="In Transit"/>
  </r>
  <r>
    <x v="1882"/>
    <x v="523"/>
    <x v="3"/>
    <x v="4"/>
    <x v="2"/>
    <s v="Agri Motors Maharashtra"/>
    <x v="2"/>
    <x v="2"/>
    <x v="2"/>
    <x v="0"/>
    <n v="5"/>
    <n v="181755"/>
    <n v="7"/>
    <n v="908775"/>
    <n v="9.08775E-2"/>
    <n v="845160.75"/>
    <n v="8.4516074999999996E-2"/>
    <s v="Pending"/>
    <s v="Pending"/>
    <s v="Invalid"/>
    <s v="Pending"/>
  </r>
  <r>
    <x v="1883"/>
    <x v="544"/>
    <x v="4"/>
    <x v="1"/>
    <x v="4"/>
    <s v="Green Field West Bengal"/>
    <x v="4"/>
    <x v="3"/>
    <x v="2"/>
    <x v="0"/>
    <n v="6"/>
    <n v="734848"/>
    <n v="8"/>
    <n v="4409088"/>
    <n v="0.44090879999999999"/>
    <n v="4056360.96"/>
    <n v="0.405636096"/>
    <s v="Paid"/>
    <s v="Delivered"/>
    <s v="Invalid"/>
    <s v="Completed"/>
  </r>
  <r>
    <x v="1884"/>
    <x v="423"/>
    <x v="0"/>
    <x v="3"/>
    <x v="3"/>
    <s v="Mahadev Motors Haryana"/>
    <x v="3"/>
    <x v="0"/>
    <x v="1"/>
    <x v="1"/>
    <n v="6"/>
    <n v="818065"/>
    <n v="8"/>
    <n v="4908390"/>
    <n v="0.49083900000000003"/>
    <n v="4515718.8"/>
    <n v="0.45157187999999998"/>
    <s v="Pending"/>
    <s v="Pending"/>
    <s v="Valid"/>
    <s v="Pending"/>
  </r>
  <r>
    <x v="1885"/>
    <x v="83"/>
    <x v="1"/>
    <x v="0"/>
    <x v="3"/>
    <s v="Shakti Agro Haryana"/>
    <x v="3"/>
    <x v="0"/>
    <x v="1"/>
    <x v="1"/>
    <n v="8"/>
    <n v="881880"/>
    <n v="9"/>
    <n v="7055040"/>
    <n v="0.70550400000000002"/>
    <n v="6420086.4000000004"/>
    <n v="0.64200864000000002"/>
    <s v="Pending"/>
    <s v="Pending"/>
    <s v="Invalid"/>
    <s v="Pending"/>
  </r>
  <r>
    <x v="1886"/>
    <x v="349"/>
    <x v="4"/>
    <x v="2"/>
    <x v="1"/>
    <s v="Kisan Tractors Karnataka"/>
    <x v="1"/>
    <x v="1"/>
    <x v="1"/>
    <x v="1"/>
    <n v="4"/>
    <n v="720072"/>
    <n v="6"/>
    <n v="2880288"/>
    <n v="0.28802879999999997"/>
    <n v="2707470.7199999997"/>
    <n v="0.27074707199999998"/>
    <s v="Partial"/>
    <s v="In Transit"/>
    <s v="Invalid"/>
    <s v="In Transit"/>
  </r>
  <r>
    <x v="1887"/>
    <x v="480"/>
    <x v="2"/>
    <x v="3"/>
    <x v="0"/>
    <s v="Mahadev Motors Uttar Pradesh"/>
    <x v="0"/>
    <x v="0"/>
    <x v="1"/>
    <x v="1"/>
    <n v="4"/>
    <n v="725999"/>
    <n v="6"/>
    <n v="2903996"/>
    <n v="0.29039959999999998"/>
    <n v="2729756.2399999998"/>
    <n v="0.27297562399999997"/>
    <s v="Partial"/>
    <s v="In Transit"/>
    <s v="Invalid"/>
    <s v="In Transit"/>
  </r>
  <r>
    <x v="1888"/>
    <x v="433"/>
    <x v="3"/>
    <x v="1"/>
    <x v="2"/>
    <s v="Green Field Maharashtra"/>
    <x v="2"/>
    <x v="2"/>
    <x v="2"/>
    <x v="0"/>
    <n v="2"/>
    <n v="178635"/>
    <n v="5"/>
    <n v="357270"/>
    <n v="3.5727000000000002E-2"/>
    <n v="339406.5"/>
    <n v="3.3940650000000003E-2"/>
    <s v="Paid"/>
    <s v="Delivered"/>
    <s v="Invalid"/>
    <s v="Completed"/>
  </r>
  <r>
    <x v="1889"/>
    <x v="410"/>
    <x v="3"/>
    <x v="0"/>
    <x v="4"/>
    <s v="Shakti Agro West Bengal"/>
    <x v="4"/>
    <x v="3"/>
    <x v="0"/>
    <x v="0"/>
    <n v="4"/>
    <n v="816818"/>
    <n v="6"/>
    <n v="3267272"/>
    <n v="0.3267272"/>
    <n v="3071235.6799999997"/>
    <n v="0.30712356799999996"/>
    <s v="Pending"/>
    <s v="Pending"/>
    <s v="Invalid"/>
    <s v="Pending"/>
  </r>
  <r>
    <x v="1890"/>
    <x v="126"/>
    <x v="1"/>
    <x v="3"/>
    <x v="2"/>
    <s v="Mahadev Motors Maharashtra"/>
    <x v="2"/>
    <x v="2"/>
    <x v="1"/>
    <x v="1"/>
    <n v="5"/>
    <n v="89886"/>
    <n v="7"/>
    <n v="449430"/>
    <n v="4.4942999999999997E-2"/>
    <n v="417969.89999999997"/>
    <n v="4.1796989999999999E-2"/>
    <s v="Partial"/>
    <s v="In Transit"/>
    <s v="Invalid"/>
    <s v="In Transit"/>
  </r>
  <r>
    <x v="1891"/>
    <x v="279"/>
    <x v="4"/>
    <x v="1"/>
    <x v="3"/>
    <s v="Green Field Haryana"/>
    <x v="3"/>
    <x v="0"/>
    <x v="3"/>
    <x v="2"/>
    <n v="1"/>
    <n v="606791"/>
    <n v="3"/>
    <n v="606791"/>
    <n v="6.06791E-2"/>
    <n v="588587.27"/>
    <n v="5.8858727E-2"/>
    <s v="Partial"/>
    <s v="In Transit"/>
    <s v="Valid"/>
    <s v="In Transit"/>
  </r>
  <r>
    <x v="1892"/>
    <x v="477"/>
    <x v="3"/>
    <x v="2"/>
    <x v="3"/>
    <s v="Kisan Tractors Haryana"/>
    <x v="3"/>
    <x v="0"/>
    <x v="1"/>
    <x v="1"/>
    <n v="2"/>
    <n v="146715"/>
    <n v="5"/>
    <n v="293430"/>
    <n v="2.9343000000000001E-2"/>
    <n v="278758.5"/>
    <n v="2.7875850000000001E-2"/>
    <s v="Partial"/>
    <s v="In Transit"/>
    <s v="Valid"/>
    <s v="In Transit"/>
  </r>
  <r>
    <x v="1893"/>
    <x v="536"/>
    <x v="0"/>
    <x v="1"/>
    <x v="4"/>
    <s v="Green Field West Bengal"/>
    <x v="4"/>
    <x v="3"/>
    <x v="3"/>
    <x v="2"/>
    <n v="8"/>
    <n v="722310"/>
    <n v="9"/>
    <n v="5778480"/>
    <n v="0.57784800000000003"/>
    <n v="5258416.8"/>
    <n v="0.52584167999999998"/>
    <s v="Partial"/>
    <s v="In Transit"/>
    <s v="Invalid"/>
    <s v="In Transit"/>
  </r>
  <r>
    <x v="1894"/>
    <x v="230"/>
    <x v="2"/>
    <x v="2"/>
    <x v="3"/>
    <s v="Kisan Tractors Haryana"/>
    <x v="3"/>
    <x v="0"/>
    <x v="0"/>
    <x v="0"/>
    <n v="3"/>
    <n v="679619"/>
    <n v="6"/>
    <n v="2038857"/>
    <n v="0.2038857"/>
    <n v="1916525.5799999998"/>
    <n v="0.19165255799999997"/>
    <s v="Pending"/>
    <s v="Pending"/>
    <s v="Invalid"/>
    <s v="Pending"/>
  </r>
  <r>
    <x v="1895"/>
    <x v="337"/>
    <x v="0"/>
    <x v="2"/>
    <x v="3"/>
    <s v="Kisan Tractors Haryana"/>
    <x v="3"/>
    <x v="0"/>
    <x v="4"/>
    <x v="1"/>
    <n v="4"/>
    <n v="363342"/>
    <n v="6"/>
    <n v="1453368"/>
    <n v="0.14533679999999999"/>
    <n v="1366165.92"/>
    <n v="0.13661659199999998"/>
    <s v="Paid"/>
    <s v="Delivered"/>
    <s v="Valid"/>
    <s v="Completed"/>
  </r>
  <r>
    <x v="1896"/>
    <x v="404"/>
    <x v="2"/>
    <x v="4"/>
    <x v="0"/>
    <s v="Agri Motors Uttar Pradesh"/>
    <x v="0"/>
    <x v="0"/>
    <x v="2"/>
    <x v="0"/>
    <n v="2"/>
    <n v="327437"/>
    <n v="5"/>
    <n v="654874"/>
    <n v="6.5487400000000001E-2"/>
    <n v="622130.29999999993"/>
    <n v="6.2213029999999996E-2"/>
    <s v="Pending"/>
    <s v="Pending"/>
    <s v="Invalid"/>
    <s v="Pending"/>
  </r>
  <r>
    <x v="1897"/>
    <x v="340"/>
    <x v="2"/>
    <x v="1"/>
    <x v="0"/>
    <s v="Green Field Uttar Pradesh"/>
    <x v="0"/>
    <x v="0"/>
    <x v="2"/>
    <x v="0"/>
    <n v="1"/>
    <n v="480541"/>
    <n v="3"/>
    <n v="480541"/>
    <n v="4.8054100000000002E-2"/>
    <n v="466124.76999999996"/>
    <n v="4.6612476999999999E-2"/>
    <s v="Partial"/>
    <s v="In Transit"/>
    <s v="Invalid"/>
    <s v="In Transit"/>
  </r>
  <r>
    <x v="1898"/>
    <x v="366"/>
    <x v="0"/>
    <x v="4"/>
    <x v="3"/>
    <s v="Agri Motors Haryana"/>
    <x v="3"/>
    <x v="0"/>
    <x v="2"/>
    <x v="0"/>
    <n v="8"/>
    <n v="401474"/>
    <n v="9"/>
    <n v="3211792"/>
    <n v="0.3211792"/>
    <n v="2922730.72"/>
    <n v="0.29227307200000002"/>
    <s v="Partial"/>
    <s v="In Transit"/>
    <s v="Invalid"/>
    <s v="In Transit"/>
  </r>
  <r>
    <x v="1899"/>
    <x v="32"/>
    <x v="3"/>
    <x v="0"/>
    <x v="1"/>
    <s v="Shakti Agro Karnataka"/>
    <x v="1"/>
    <x v="1"/>
    <x v="2"/>
    <x v="0"/>
    <n v="2"/>
    <n v="509504"/>
    <n v="5"/>
    <n v="1019008"/>
    <n v="0.1019008"/>
    <n v="968057.6"/>
    <n v="9.6805760000000005E-2"/>
    <s v="Partial"/>
    <s v="In Transit"/>
    <s v="Invalid"/>
    <s v="In Transit"/>
  </r>
  <r>
    <x v="1900"/>
    <x v="398"/>
    <x v="3"/>
    <x v="0"/>
    <x v="4"/>
    <s v="Shakti Agro West Bengal"/>
    <x v="4"/>
    <x v="3"/>
    <x v="0"/>
    <x v="0"/>
    <n v="8"/>
    <n v="442361"/>
    <n v="9"/>
    <n v="3538888"/>
    <n v="0.3538888"/>
    <n v="3220388.08"/>
    <n v="0.32203880800000001"/>
    <s v="Pending"/>
    <s v="Pending"/>
    <s v="Invalid"/>
    <s v="Pending"/>
  </r>
  <r>
    <x v="1901"/>
    <x v="43"/>
    <x v="3"/>
    <x v="3"/>
    <x v="3"/>
    <s v="Mahadev Motors Haryana"/>
    <x v="3"/>
    <x v="0"/>
    <x v="4"/>
    <x v="1"/>
    <n v="1"/>
    <n v="399237"/>
    <n v="3"/>
    <n v="399237"/>
    <n v="3.9923699999999999E-2"/>
    <n v="387259.89"/>
    <n v="3.8725989000000002E-2"/>
    <s v="Partial"/>
    <s v="In Transit"/>
    <s v="Invalid"/>
    <s v="In Transit"/>
  </r>
  <r>
    <x v="1902"/>
    <x v="420"/>
    <x v="2"/>
    <x v="1"/>
    <x v="3"/>
    <s v="Green Field Haryana"/>
    <x v="3"/>
    <x v="0"/>
    <x v="1"/>
    <x v="1"/>
    <n v="8"/>
    <n v="655022"/>
    <n v="9"/>
    <n v="5240176"/>
    <n v="0.52401759999999997"/>
    <n v="4768560.16"/>
    <n v="0.47685601599999999"/>
    <s v="Pending"/>
    <s v="Pending"/>
    <s v="Valid"/>
    <s v="Pending"/>
  </r>
  <r>
    <x v="1903"/>
    <x v="201"/>
    <x v="4"/>
    <x v="4"/>
    <x v="4"/>
    <s v="Agri Motors West Bengal"/>
    <x v="4"/>
    <x v="3"/>
    <x v="1"/>
    <x v="1"/>
    <n v="7"/>
    <n v="464263"/>
    <n v="9"/>
    <n v="3249841"/>
    <n v="0.3249841"/>
    <n v="2957355.31"/>
    <n v="0.295735531"/>
    <s v="Partial"/>
    <s v="In Transit"/>
    <s v="Invalid"/>
    <s v="In Transit"/>
  </r>
  <r>
    <x v="1904"/>
    <x v="300"/>
    <x v="4"/>
    <x v="4"/>
    <x v="3"/>
    <s v="Agri Motors Haryana"/>
    <x v="3"/>
    <x v="0"/>
    <x v="4"/>
    <x v="1"/>
    <n v="4"/>
    <n v="169420"/>
    <n v="6"/>
    <n v="677680"/>
    <n v="6.7767999999999995E-2"/>
    <n v="637019.19999999995"/>
    <n v="6.3701919999999995E-2"/>
    <s v="Pending"/>
    <s v="Pending"/>
    <s v="Valid"/>
    <s v="Pending"/>
  </r>
  <r>
    <x v="1905"/>
    <x v="53"/>
    <x v="0"/>
    <x v="1"/>
    <x v="4"/>
    <s v="Green Field West Bengal"/>
    <x v="4"/>
    <x v="3"/>
    <x v="1"/>
    <x v="1"/>
    <n v="3"/>
    <n v="806055"/>
    <n v="6"/>
    <n v="2418165"/>
    <n v="0.24181649999999999"/>
    <n v="2273075.1"/>
    <n v="0.22730751000000002"/>
    <s v="Pending"/>
    <s v="Pending"/>
    <s v="Invalid"/>
    <s v="Pending"/>
  </r>
  <r>
    <x v="1906"/>
    <x v="319"/>
    <x v="1"/>
    <x v="1"/>
    <x v="4"/>
    <s v="Green Field West Bengal"/>
    <x v="4"/>
    <x v="3"/>
    <x v="1"/>
    <x v="1"/>
    <n v="5"/>
    <n v="668258"/>
    <n v="7"/>
    <n v="3341290"/>
    <n v="0.33412900000000001"/>
    <n v="3107399.6999999997"/>
    <n v="0.31073996999999998"/>
    <s v="Partial"/>
    <s v="In Transit"/>
    <s v="Valid"/>
    <s v="In Transit"/>
  </r>
  <r>
    <x v="1907"/>
    <x v="142"/>
    <x v="2"/>
    <x v="0"/>
    <x v="2"/>
    <s v="Shakti Agro Maharashtra"/>
    <x v="2"/>
    <x v="2"/>
    <x v="3"/>
    <x v="2"/>
    <n v="1"/>
    <n v="68181"/>
    <n v="3"/>
    <n v="68181"/>
    <n v="6.8180999999999997E-3"/>
    <n v="66135.569999999992"/>
    <n v="6.6135569999999991E-3"/>
    <s v="Partial"/>
    <s v="In Transit"/>
    <s v="Valid"/>
    <s v="In Transit"/>
  </r>
  <r>
    <x v="1908"/>
    <x v="380"/>
    <x v="1"/>
    <x v="0"/>
    <x v="0"/>
    <s v="Shakti Agro Uttar Pradesh"/>
    <x v="0"/>
    <x v="0"/>
    <x v="3"/>
    <x v="2"/>
    <n v="8"/>
    <n v="446468"/>
    <n v="9"/>
    <n v="3571744"/>
    <n v="0.3571744"/>
    <n v="3250287.04"/>
    <n v="0.325028704"/>
    <s v="Paid"/>
    <s v="Delivered"/>
    <s v="Invalid"/>
    <s v="Completed"/>
  </r>
  <r>
    <x v="1909"/>
    <x v="507"/>
    <x v="3"/>
    <x v="4"/>
    <x v="4"/>
    <s v="Agri Motors West Bengal"/>
    <x v="4"/>
    <x v="3"/>
    <x v="3"/>
    <x v="2"/>
    <n v="8"/>
    <n v="870547"/>
    <n v="9"/>
    <n v="6964376"/>
    <n v="0.69643759999999999"/>
    <n v="6337582.1600000001"/>
    <n v="0.63375821600000004"/>
    <s v="Paid"/>
    <s v="Delivered"/>
    <s v="Valid"/>
    <s v="Completed"/>
  </r>
  <r>
    <x v="1910"/>
    <x v="25"/>
    <x v="1"/>
    <x v="2"/>
    <x v="0"/>
    <s v="Kisan Tractors Uttar Pradesh"/>
    <x v="0"/>
    <x v="0"/>
    <x v="4"/>
    <x v="1"/>
    <n v="5"/>
    <n v="290356"/>
    <n v="7"/>
    <n v="1451780"/>
    <n v="0.145178"/>
    <n v="1350155.4"/>
    <n v="0.13501553999999999"/>
    <s v="Partial"/>
    <s v="In Transit"/>
    <s v="Invalid"/>
    <s v="In Transit"/>
  </r>
  <r>
    <x v="1911"/>
    <x v="407"/>
    <x v="3"/>
    <x v="0"/>
    <x v="4"/>
    <s v="Shakti Agro West Bengal"/>
    <x v="4"/>
    <x v="3"/>
    <x v="0"/>
    <x v="0"/>
    <n v="7"/>
    <n v="404697"/>
    <n v="9"/>
    <n v="2832879"/>
    <n v="0.28328789999999998"/>
    <n v="2577919.89"/>
    <n v="0.257791989"/>
    <s v="Paid"/>
    <s v="Delivered"/>
    <s v="Invalid"/>
    <s v="Completed"/>
  </r>
  <r>
    <x v="1912"/>
    <x v="528"/>
    <x v="2"/>
    <x v="0"/>
    <x v="4"/>
    <s v="Shakti Agro West Bengal"/>
    <x v="4"/>
    <x v="3"/>
    <x v="2"/>
    <x v="0"/>
    <n v="3"/>
    <n v="556074"/>
    <n v="6"/>
    <n v="1668222"/>
    <n v="0.1668222"/>
    <n v="1568128.68"/>
    <n v="0.15681286799999999"/>
    <s v="Paid"/>
    <s v="Delivered"/>
    <s v="Invalid"/>
    <s v="Completed"/>
  </r>
  <r>
    <x v="1913"/>
    <x v="71"/>
    <x v="1"/>
    <x v="3"/>
    <x v="0"/>
    <s v="Mahadev Motors Uttar Pradesh"/>
    <x v="0"/>
    <x v="0"/>
    <x v="4"/>
    <x v="1"/>
    <n v="5"/>
    <n v="424993"/>
    <n v="7"/>
    <n v="2124965"/>
    <n v="0.2124965"/>
    <n v="1976217.45"/>
    <n v="0.19762174499999999"/>
    <s v="Partial"/>
    <s v="In Transit"/>
    <s v="Invalid"/>
    <s v="In Transit"/>
  </r>
  <r>
    <x v="1914"/>
    <x v="247"/>
    <x v="4"/>
    <x v="2"/>
    <x v="3"/>
    <s v="Kisan Tractors Haryana"/>
    <x v="3"/>
    <x v="0"/>
    <x v="4"/>
    <x v="1"/>
    <n v="1"/>
    <n v="224113"/>
    <n v="3"/>
    <n v="224113"/>
    <n v="2.2411299999999999E-2"/>
    <n v="217389.61"/>
    <n v="2.1738960999999998E-2"/>
    <s v="Pending"/>
    <s v="Pending"/>
    <s v="Valid"/>
    <s v="Pending"/>
  </r>
  <r>
    <x v="1915"/>
    <x v="488"/>
    <x v="1"/>
    <x v="2"/>
    <x v="0"/>
    <s v="Kisan Tractors Uttar Pradesh"/>
    <x v="0"/>
    <x v="0"/>
    <x v="4"/>
    <x v="1"/>
    <n v="6"/>
    <n v="695922"/>
    <n v="8"/>
    <n v="4175532"/>
    <n v="0.41755320000000001"/>
    <n v="3841489.44"/>
    <n v="0.38414894399999999"/>
    <s v="Pending"/>
    <s v="Pending"/>
    <s v="Valid"/>
    <s v="Pending"/>
  </r>
  <r>
    <x v="1916"/>
    <x v="209"/>
    <x v="4"/>
    <x v="3"/>
    <x v="2"/>
    <s v="Mahadev Motors Maharashtra"/>
    <x v="2"/>
    <x v="2"/>
    <x v="2"/>
    <x v="0"/>
    <n v="3"/>
    <n v="794955"/>
    <n v="6"/>
    <n v="2384865"/>
    <n v="0.23848649999999999"/>
    <n v="2241773.1"/>
    <n v="0.22417731000000002"/>
    <s v="Paid"/>
    <s v="Delivered"/>
    <s v="Invalid"/>
    <s v="Completed"/>
  </r>
  <r>
    <x v="1917"/>
    <x v="302"/>
    <x v="1"/>
    <x v="0"/>
    <x v="1"/>
    <s v="Shakti Agro Karnataka"/>
    <x v="1"/>
    <x v="1"/>
    <x v="0"/>
    <x v="0"/>
    <n v="2"/>
    <n v="383761"/>
    <n v="5"/>
    <n v="767522"/>
    <n v="7.6752200000000007E-2"/>
    <n v="729145.9"/>
    <n v="7.2914590000000001E-2"/>
    <s v="Pending"/>
    <s v="Pending"/>
    <s v="Invalid"/>
    <s v="Pending"/>
  </r>
  <r>
    <x v="1918"/>
    <x v="183"/>
    <x v="2"/>
    <x v="1"/>
    <x v="3"/>
    <s v="Green Field Haryana"/>
    <x v="3"/>
    <x v="0"/>
    <x v="1"/>
    <x v="1"/>
    <n v="3"/>
    <n v="602723"/>
    <n v="6"/>
    <n v="1808169"/>
    <n v="0.1808169"/>
    <n v="1699678.8599999999"/>
    <n v="0.16996788599999998"/>
    <s v="Pending"/>
    <s v="Pending"/>
    <s v="Invalid"/>
    <s v="Pending"/>
  </r>
  <r>
    <x v="1919"/>
    <x v="405"/>
    <x v="4"/>
    <x v="4"/>
    <x v="4"/>
    <s v="Agri Motors West Bengal"/>
    <x v="4"/>
    <x v="3"/>
    <x v="2"/>
    <x v="0"/>
    <n v="2"/>
    <n v="620512"/>
    <n v="5"/>
    <n v="1241024"/>
    <n v="0.1241024"/>
    <n v="1178972.8"/>
    <n v="0.11789728000000001"/>
    <s v="Pending"/>
    <s v="Pending"/>
    <s v="Invalid"/>
    <s v="Pending"/>
  </r>
  <r>
    <x v="1920"/>
    <x v="302"/>
    <x v="0"/>
    <x v="1"/>
    <x v="0"/>
    <s v="Green Field Uttar Pradesh"/>
    <x v="0"/>
    <x v="0"/>
    <x v="2"/>
    <x v="0"/>
    <n v="2"/>
    <n v="853978"/>
    <n v="5"/>
    <n v="1707956"/>
    <n v="0.17079559999999999"/>
    <n v="1622558.2"/>
    <n v="0.16225582"/>
    <s v="Paid"/>
    <s v="Delivered"/>
    <s v="Valid"/>
    <s v="Completed"/>
  </r>
  <r>
    <x v="1921"/>
    <x v="427"/>
    <x v="4"/>
    <x v="1"/>
    <x v="2"/>
    <s v="Green Field Maharashtra"/>
    <x v="2"/>
    <x v="2"/>
    <x v="4"/>
    <x v="1"/>
    <n v="3"/>
    <n v="534856"/>
    <n v="6"/>
    <n v="1604568"/>
    <n v="0.16045680000000001"/>
    <n v="1508293.92"/>
    <n v="0.15082939199999998"/>
    <s v="Paid"/>
    <s v="Delivered"/>
    <s v="Valid"/>
    <s v="Completed"/>
  </r>
  <r>
    <x v="1922"/>
    <x v="31"/>
    <x v="4"/>
    <x v="4"/>
    <x v="1"/>
    <s v="Agri Motors Karnataka"/>
    <x v="1"/>
    <x v="1"/>
    <x v="0"/>
    <x v="0"/>
    <n v="4"/>
    <n v="192030"/>
    <n v="6"/>
    <n v="768120"/>
    <n v="7.6812000000000005E-2"/>
    <n v="722032.79999999993"/>
    <n v="7.2203279999999995E-2"/>
    <s v="Paid"/>
    <s v="Delivered"/>
    <s v="Invalid"/>
    <s v="Completed"/>
  </r>
  <r>
    <x v="1923"/>
    <x v="187"/>
    <x v="4"/>
    <x v="2"/>
    <x v="4"/>
    <s v="Kisan Tractors West Bengal"/>
    <x v="4"/>
    <x v="3"/>
    <x v="1"/>
    <x v="1"/>
    <n v="2"/>
    <n v="241112"/>
    <n v="5"/>
    <n v="482224"/>
    <n v="4.8222399999999999E-2"/>
    <n v="458112.8"/>
    <n v="4.5811279999999996E-2"/>
    <s v="Partial"/>
    <s v="In Transit"/>
    <s v="Valid"/>
    <s v="In Transit"/>
  </r>
  <r>
    <x v="1924"/>
    <x v="491"/>
    <x v="4"/>
    <x v="1"/>
    <x v="0"/>
    <s v="Green Field Uttar Pradesh"/>
    <x v="0"/>
    <x v="0"/>
    <x v="0"/>
    <x v="0"/>
    <n v="5"/>
    <n v="309258"/>
    <n v="7"/>
    <n v="1546290"/>
    <n v="0.15462899999999999"/>
    <n v="1438049.7"/>
    <n v="0.14380497"/>
    <s v="Paid"/>
    <s v="Delivered"/>
    <s v="Valid"/>
    <s v="Completed"/>
  </r>
  <r>
    <x v="1925"/>
    <x v="160"/>
    <x v="1"/>
    <x v="2"/>
    <x v="1"/>
    <s v="Kisan Tractors Karnataka"/>
    <x v="1"/>
    <x v="1"/>
    <x v="3"/>
    <x v="2"/>
    <n v="2"/>
    <n v="794285"/>
    <n v="5"/>
    <n v="1588570"/>
    <n v="0.158857"/>
    <n v="1509141.5"/>
    <n v="0.15091415"/>
    <s v="Partial"/>
    <s v="In Transit"/>
    <s v="Invalid"/>
    <s v="In Transit"/>
  </r>
  <r>
    <x v="1926"/>
    <x v="156"/>
    <x v="1"/>
    <x v="0"/>
    <x v="3"/>
    <s v="Shakti Agro Haryana"/>
    <x v="3"/>
    <x v="0"/>
    <x v="3"/>
    <x v="2"/>
    <n v="6"/>
    <n v="780359"/>
    <n v="8"/>
    <n v="4682154"/>
    <n v="0.4682154"/>
    <n v="4307581.6800000006"/>
    <n v="0.43075816800000005"/>
    <s v="Partial"/>
    <s v="In Transit"/>
    <s v="Invalid"/>
    <s v="In Transit"/>
  </r>
  <r>
    <x v="1927"/>
    <x v="545"/>
    <x v="4"/>
    <x v="0"/>
    <x v="4"/>
    <s v="Shakti Agro West Bengal"/>
    <x v="4"/>
    <x v="3"/>
    <x v="3"/>
    <x v="2"/>
    <n v="5"/>
    <n v="335975"/>
    <n v="7"/>
    <n v="1679875"/>
    <n v="0.16798750000000001"/>
    <n v="1562283.75"/>
    <n v="0.156228375"/>
    <s v="Pending"/>
    <s v="Pending"/>
    <s v="Invalid"/>
    <s v="Pending"/>
  </r>
  <r>
    <x v="1928"/>
    <x v="17"/>
    <x v="0"/>
    <x v="3"/>
    <x v="2"/>
    <s v="Mahadev Motors Maharashtra"/>
    <x v="2"/>
    <x v="2"/>
    <x v="3"/>
    <x v="2"/>
    <n v="3"/>
    <n v="388287"/>
    <n v="6"/>
    <n v="1164861"/>
    <n v="0.1164861"/>
    <n v="1094969.3399999999"/>
    <n v="0.10949693399999999"/>
    <s v="Pending"/>
    <s v="Pending"/>
    <s v="Valid"/>
    <s v="Pending"/>
  </r>
  <r>
    <x v="1929"/>
    <x v="87"/>
    <x v="4"/>
    <x v="0"/>
    <x v="3"/>
    <s v="Shakti Agro Haryana"/>
    <x v="3"/>
    <x v="0"/>
    <x v="0"/>
    <x v="0"/>
    <n v="6"/>
    <n v="96901"/>
    <n v="8"/>
    <n v="581406"/>
    <n v="5.8140600000000001E-2"/>
    <n v="534893.52"/>
    <n v="5.3489352000000004E-2"/>
    <s v="Pending"/>
    <s v="Pending"/>
    <s v="Invalid"/>
    <s v="Pending"/>
  </r>
  <r>
    <x v="1930"/>
    <x v="154"/>
    <x v="4"/>
    <x v="4"/>
    <x v="3"/>
    <s v="Agri Motors Haryana"/>
    <x v="3"/>
    <x v="0"/>
    <x v="0"/>
    <x v="0"/>
    <n v="7"/>
    <n v="71176"/>
    <n v="9"/>
    <n v="498232"/>
    <n v="4.9823199999999998E-2"/>
    <n v="453391.12"/>
    <n v="4.5339112000000001E-2"/>
    <s v="Pending"/>
    <s v="Pending"/>
    <s v="Valid"/>
    <s v="Pending"/>
  </r>
  <r>
    <x v="1931"/>
    <x v="375"/>
    <x v="1"/>
    <x v="4"/>
    <x v="0"/>
    <s v="Agri Motors Uttar Pradesh"/>
    <x v="0"/>
    <x v="0"/>
    <x v="3"/>
    <x v="2"/>
    <n v="5"/>
    <n v="233786"/>
    <n v="7"/>
    <n v="1168930"/>
    <n v="0.116893"/>
    <n v="1087104.8999999999"/>
    <n v="0.10871048999999999"/>
    <s v="Partial"/>
    <s v="In Transit"/>
    <s v="Invalid"/>
    <s v="In Transit"/>
  </r>
  <r>
    <x v="1932"/>
    <x v="236"/>
    <x v="4"/>
    <x v="0"/>
    <x v="2"/>
    <s v="Shakti Agro Maharashtra"/>
    <x v="2"/>
    <x v="2"/>
    <x v="3"/>
    <x v="2"/>
    <n v="6"/>
    <n v="287009"/>
    <n v="8"/>
    <n v="1722054"/>
    <n v="0.17220540000000001"/>
    <n v="1584289.6800000002"/>
    <n v="0.158428968"/>
    <s v="Partial"/>
    <s v="In Transit"/>
    <s v="Valid"/>
    <s v="In Transit"/>
  </r>
  <r>
    <x v="1933"/>
    <x v="134"/>
    <x v="2"/>
    <x v="3"/>
    <x v="4"/>
    <s v="Mahadev Motors West Bengal"/>
    <x v="4"/>
    <x v="3"/>
    <x v="2"/>
    <x v="0"/>
    <n v="4"/>
    <n v="790274"/>
    <n v="6"/>
    <n v="3161096"/>
    <n v="0.31610959999999999"/>
    <n v="2971430.2399999998"/>
    <n v="0.29714302399999998"/>
    <s v="Partial"/>
    <s v="In Transit"/>
    <s v="Invalid"/>
    <s v="In Transit"/>
  </r>
  <r>
    <x v="1934"/>
    <x v="528"/>
    <x v="4"/>
    <x v="1"/>
    <x v="4"/>
    <s v="Green Field West Bengal"/>
    <x v="4"/>
    <x v="3"/>
    <x v="1"/>
    <x v="1"/>
    <n v="3"/>
    <n v="544398"/>
    <n v="6"/>
    <n v="1633194"/>
    <n v="0.1633194"/>
    <n v="1535202.3599999999"/>
    <n v="0.15352023599999998"/>
    <s v="Pending"/>
    <s v="Pending"/>
    <s v="Invalid"/>
    <s v="Pending"/>
  </r>
  <r>
    <x v="1935"/>
    <x v="427"/>
    <x v="1"/>
    <x v="2"/>
    <x v="0"/>
    <s v="Kisan Tractors Uttar Pradesh"/>
    <x v="0"/>
    <x v="0"/>
    <x v="4"/>
    <x v="1"/>
    <n v="5"/>
    <n v="573383"/>
    <n v="7"/>
    <n v="2866915"/>
    <n v="0.28669149999999999"/>
    <n v="2666230.9499999997"/>
    <n v="0.26662309499999998"/>
    <s v="Pending"/>
    <s v="Pending"/>
    <s v="Invalid"/>
    <s v="Pending"/>
  </r>
  <r>
    <x v="1936"/>
    <x v="193"/>
    <x v="1"/>
    <x v="4"/>
    <x v="0"/>
    <s v="Agri Motors Uttar Pradesh"/>
    <x v="0"/>
    <x v="0"/>
    <x v="1"/>
    <x v="1"/>
    <n v="7"/>
    <n v="417638"/>
    <n v="9"/>
    <n v="2923466"/>
    <n v="0.29234660000000001"/>
    <n v="2660354.06"/>
    <n v="0.26603540600000003"/>
    <s v="Paid"/>
    <s v="Delivered"/>
    <s v="Invalid"/>
    <s v="Completed"/>
  </r>
  <r>
    <x v="1937"/>
    <x v="230"/>
    <x v="2"/>
    <x v="3"/>
    <x v="1"/>
    <s v="Mahadev Motors Karnataka"/>
    <x v="1"/>
    <x v="1"/>
    <x v="0"/>
    <x v="0"/>
    <n v="3"/>
    <n v="734170"/>
    <n v="6"/>
    <n v="2202510"/>
    <n v="0.220251"/>
    <n v="2070359.4"/>
    <n v="0.20703594"/>
    <s v="Paid"/>
    <s v="Delivered"/>
    <s v="Valid"/>
    <s v="Completed"/>
  </r>
  <r>
    <x v="1938"/>
    <x v="546"/>
    <x v="0"/>
    <x v="0"/>
    <x v="4"/>
    <s v="Shakti Agro West Bengal"/>
    <x v="4"/>
    <x v="3"/>
    <x v="0"/>
    <x v="0"/>
    <n v="2"/>
    <n v="79759"/>
    <n v="5"/>
    <n v="159518"/>
    <n v="1.5951799999999999E-2"/>
    <n v="151542.1"/>
    <n v="1.5154210000000001E-2"/>
    <s v="Pending"/>
    <s v="Pending"/>
    <s v="Valid"/>
    <s v="Pending"/>
  </r>
  <r>
    <x v="1939"/>
    <x v="540"/>
    <x v="3"/>
    <x v="0"/>
    <x v="0"/>
    <s v="Shakti Agro Uttar Pradesh"/>
    <x v="0"/>
    <x v="0"/>
    <x v="1"/>
    <x v="1"/>
    <n v="8"/>
    <n v="864991"/>
    <n v="9"/>
    <n v="6919928"/>
    <n v="0.69199279999999996"/>
    <n v="6297134.4800000004"/>
    <n v="0.62971344800000006"/>
    <s v="Paid"/>
    <s v="Delivered"/>
    <s v="Invalid"/>
    <s v="Completed"/>
  </r>
  <r>
    <x v="1940"/>
    <x v="325"/>
    <x v="4"/>
    <x v="1"/>
    <x v="3"/>
    <s v="Green Field Haryana"/>
    <x v="3"/>
    <x v="0"/>
    <x v="3"/>
    <x v="2"/>
    <n v="5"/>
    <n v="817404"/>
    <n v="7"/>
    <n v="4087020"/>
    <n v="0.40870200000000001"/>
    <n v="3800928.5999999996"/>
    <n v="0.38009285999999998"/>
    <s v="Paid"/>
    <s v="Delivered"/>
    <s v="Invalid"/>
    <s v="Completed"/>
  </r>
  <r>
    <x v="1941"/>
    <x v="62"/>
    <x v="1"/>
    <x v="0"/>
    <x v="4"/>
    <s v="Shakti Agro West Bengal"/>
    <x v="4"/>
    <x v="3"/>
    <x v="3"/>
    <x v="2"/>
    <n v="7"/>
    <n v="528353"/>
    <n v="9"/>
    <n v="3698471"/>
    <n v="0.36984709999999998"/>
    <n v="3365608.6100000003"/>
    <n v="0.33656086100000004"/>
    <s v="Partial"/>
    <s v="In Transit"/>
    <s v="Invalid"/>
    <s v="In Transit"/>
  </r>
  <r>
    <x v="1942"/>
    <x v="213"/>
    <x v="4"/>
    <x v="4"/>
    <x v="3"/>
    <s v="Agri Motors Haryana"/>
    <x v="3"/>
    <x v="0"/>
    <x v="0"/>
    <x v="0"/>
    <n v="2"/>
    <n v="738737"/>
    <n v="5"/>
    <n v="1477474"/>
    <n v="0.1477474"/>
    <n v="1403600.3"/>
    <n v="0.14036003"/>
    <s v="Partial"/>
    <s v="In Transit"/>
    <s v="Invalid"/>
    <s v="In Transit"/>
  </r>
  <r>
    <x v="1943"/>
    <x v="112"/>
    <x v="2"/>
    <x v="4"/>
    <x v="0"/>
    <s v="Agri Motors Uttar Pradesh"/>
    <x v="0"/>
    <x v="0"/>
    <x v="2"/>
    <x v="0"/>
    <n v="7"/>
    <n v="173818"/>
    <n v="9"/>
    <n v="1216726"/>
    <n v="0.12167260000000001"/>
    <n v="1107220.6600000001"/>
    <n v="0.11072206600000002"/>
    <s v="Paid"/>
    <s v="Delivered"/>
    <s v="Invalid"/>
    <s v="Completed"/>
  </r>
  <r>
    <x v="1944"/>
    <x v="24"/>
    <x v="1"/>
    <x v="1"/>
    <x v="0"/>
    <s v="Green Field Uttar Pradesh"/>
    <x v="0"/>
    <x v="0"/>
    <x v="3"/>
    <x v="2"/>
    <n v="2"/>
    <n v="805406"/>
    <n v="5"/>
    <n v="1610812"/>
    <n v="0.16108120000000001"/>
    <n v="1530271.4"/>
    <n v="0.15302713999999998"/>
    <s v="Paid"/>
    <s v="Delivered"/>
    <s v="Invalid"/>
    <s v="Completed"/>
  </r>
  <r>
    <x v="1945"/>
    <x v="370"/>
    <x v="2"/>
    <x v="0"/>
    <x v="1"/>
    <s v="Shakti Agro Karnataka"/>
    <x v="1"/>
    <x v="1"/>
    <x v="2"/>
    <x v="0"/>
    <n v="1"/>
    <n v="119228"/>
    <n v="3"/>
    <n v="119228"/>
    <n v="1.1922800000000001E-2"/>
    <n v="115651.16"/>
    <n v="1.1565116E-2"/>
    <s v="Partial"/>
    <s v="In Transit"/>
    <s v="Valid"/>
    <s v="In Transit"/>
  </r>
  <r>
    <x v="1946"/>
    <x v="488"/>
    <x v="1"/>
    <x v="2"/>
    <x v="1"/>
    <s v="Kisan Tractors Karnataka"/>
    <x v="1"/>
    <x v="1"/>
    <x v="0"/>
    <x v="0"/>
    <n v="3"/>
    <n v="191964"/>
    <n v="6"/>
    <n v="575892"/>
    <n v="5.75892E-2"/>
    <n v="541338.48"/>
    <n v="5.4133847999999998E-2"/>
    <s v="Paid"/>
    <s v="Delivered"/>
    <s v="Valid"/>
    <s v="Completed"/>
  </r>
  <r>
    <x v="1947"/>
    <x v="57"/>
    <x v="0"/>
    <x v="4"/>
    <x v="4"/>
    <s v="Agri Motors West Bengal"/>
    <x v="4"/>
    <x v="3"/>
    <x v="0"/>
    <x v="0"/>
    <n v="4"/>
    <n v="615203"/>
    <n v="6"/>
    <n v="2460812"/>
    <n v="0.2460812"/>
    <n v="2313163.2799999998"/>
    <n v="0.23131632799999999"/>
    <s v="Pending"/>
    <s v="Pending"/>
    <s v="Valid"/>
    <s v="Pending"/>
  </r>
  <r>
    <x v="1948"/>
    <x v="65"/>
    <x v="0"/>
    <x v="0"/>
    <x v="1"/>
    <s v="Shakti Agro Karnataka"/>
    <x v="1"/>
    <x v="1"/>
    <x v="1"/>
    <x v="1"/>
    <n v="4"/>
    <n v="608221"/>
    <n v="6"/>
    <n v="2432884"/>
    <n v="0.24328839999999999"/>
    <n v="2286910.96"/>
    <n v="0.22869109599999998"/>
    <s v="Paid"/>
    <s v="Delivered"/>
    <s v="Invalid"/>
    <s v="Completed"/>
  </r>
  <r>
    <x v="1949"/>
    <x v="379"/>
    <x v="0"/>
    <x v="4"/>
    <x v="4"/>
    <s v="Agri Motors West Bengal"/>
    <x v="4"/>
    <x v="3"/>
    <x v="4"/>
    <x v="1"/>
    <n v="1"/>
    <n v="379866"/>
    <n v="3"/>
    <n v="379866"/>
    <n v="3.7986600000000002E-2"/>
    <n v="368470.02"/>
    <n v="3.6847002000000004E-2"/>
    <s v="Partial"/>
    <s v="In Transit"/>
    <s v="Invalid"/>
    <s v="In Transit"/>
  </r>
  <r>
    <x v="1950"/>
    <x v="118"/>
    <x v="4"/>
    <x v="0"/>
    <x v="0"/>
    <s v="Shakti Agro Uttar Pradesh"/>
    <x v="0"/>
    <x v="0"/>
    <x v="0"/>
    <x v="0"/>
    <n v="8"/>
    <n v="184940"/>
    <n v="9"/>
    <n v="1479520"/>
    <n v="0.147952"/>
    <n v="1346363.2"/>
    <n v="0.13463632"/>
    <s v="Pending"/>
    <s v="Pending"/>
    <s v="Invalid"/>
    <s v="Pending"/>
  </r>
  <r>
    <x v="1951"/>
    <x v="475"/>
    <x v="2"/>
    <x v="0"/>
    <x v="2"/>
    <s v="Shakti Agro Maharashtra"/>
    <x v="2"/>
    <x v="2"/>
    <x v="4"/>
    <x v="1"/>
    <n v="7"/>
    <n v="154309"/>
    <n v="9"/>
    <n v="1080163"/>
    <n v="0.1080163"/>
    <n v="982948.33000000007"/>
    <n v="9.8294833000000012E-2"/>
    <s v="Paid"/>
    <s v="Delivered"/>
    <s v="Invalid"/>
    <s v="Completed"/>
  </r>
  <r>
    <x v="1952"/>
    <x v="284"/>
    <x v="0"/>
    <x v="0"/>
    <x v="3"/>
    <s v="Shakti Agro Haryana"/>
    <x v="3"/>
    <x v="0"/>
    <x v="1"/>
    <x v="1"/>
    <n v="6"/>
    <n v="570967"/>
    <n v="8"/>
    <n v="3425802"/>
    <n v="0.3425802"/>
    <n v="3151737.8400000003"/>
    <n v="0.31517378400000001"/>
    <s v="Partial"/>
    <s v="In Transit"/>
    <s v="Invalid"/>
    <s v="In Transit"/>
  </r>
  <r>
    <x v="1953"/>
    <x v="140"/>
    <x v="2"/>
    <x v="2"/>
    <x v="2"/>
    <s v="Kisan Tractors Maharashtra"/>
    <x v="2"/>
    <x v="2"/>
    <x v="0"/>
    <x v="0"/>
    <n v="7"/>
    <n v="783599"/>
    <n v="9"/>
    <n v="5485193"/>
    <n v="0.54851930000000004"/>
    <n v="4991525.63"/>
    <n v="0.49915256299999999"/>
    <s v="Partial"/>
    <s v="In Transit"/>
    <s v="Invalid"/>
    <s v="In Transit"/>
  </r>
  <r>
    <x v="1954"/>
    <x v="296"/>
    <x v="3"/>
    <x v="1"/>
    <x v="4"/>
    <s v="Green Field West Bengal"/>
    <x v="4"/>
    <x v="3"/>
    <x v="4"/>
    <x v="1"/>
    <n v="4"/>
    <n v="704971"/>
    <n v="6"/>
    <n v="2819884"/>
    <n v="0.28198839999999997"/>
    <n v="2650690.96"/>
    <n v="0.265069096"/>
    <s v="Paid"/>
    <s v="Delivered"/>
    <s v="Invalid"/>
    <s v="Completed"/>
  </r>
  <r>
    <x v="1955"/>
    <x v="393"/>
    <x v="2"/>
    <x v="1"/>
    <x v="4"/>
    <s v="Green Field West Bengal"/>
    <x v="4"/>
    <x v="3"/>
    <x v="0"/>
    <x v="0"/>
    <n v="5"/>
    <n v="570357"/>
    <n v="7"/>
    <n v="2851785"/>
    <n v="0.2851785"/>
    <n v="2652160.0499999998"/>
    <n v="0.26521600499999998"/>
    <s v="Paid"/>
    <s v="Delivered"/>
    <s v="Invalid"/>
    <s v="Completed"/>
  </r>
  <r>
    <x v="1956"/>
    <x v="196"/>
    <x v="2"/>
    <x v="2"/>
    <x v="4"/>
    <s v="Kisan Tractors West Bengal"/>
    <x v="4"/>
    <x v="3"/>
    <x v="0"/>
    <x v="0"/>
    <n v="6"/>
    <n v="661956"/>
    <n v="8"/>
    <n v="3971736"/>
    <n v="0.39717360000000002"/>
    <n v="3653997.12"/>
    <n v="0.36539971199999999"/>
    <s v="Pending"/>
    <s v="Pending"/>
    <s v="Invalid"/>
    <s v="Pending"/>
  </r>
  <r>
    <x v="1957"/>
    <x v="100"/>
    <x v="0"/>
    <x v="2"/>
    <x v="0"/>
    <s v="Kisan Tractors Uttar Pradesh"/>
    <x v="0"/>
    <x v="0"/>
    <x v="0"/>
    <x v="0"/>
    <n v="4"/>
    <n v="714285"/>
    <n v="6"/>
    <n v="2857140"/>
    <n v="0.28571400000000002"/>
    <n v="2685711.5999999996"/>
    <n v="0.26857115999999998"/>
    <s v="Paid"/>
    <s v="Delivered"/>
    <s v="Invalid"/>
    <s v="Completed"/>
  </r>
  <r>
    <x v="1958"/>
    <x v="89"/>
    <x v="4"/>
    <x v="2"/>
    <x v="0"/>
    <s v="Kisan Tractors Uttar Pradesh"/>
    <x v="0"/>
    <x v="0"/>
    <x v="2"/>
    <x v="0"/>
    <n v="7"/>
    <n v="833526"/>
    <n v="9"/>
    <n v="5834682"/>
    <n v="0.58346819999999999"/>
    <n v="5309560.62"/>
    <n v="0.53095606200000001"/>
    <s v="Pending"/>
    <s v="Pending"/>
    <s v="Valid"/>
    <s v="Pending"/>
  </r>
  <r>
    <x v="1959"/>
    <x v="179"/>
    <x v="2"/>
    <x v="1"/>
    <x v="3"/>
    <s v="Green Field Haryana"/>
    <x v="3"/>
    <x v="0"/>
    <x v="2"/>
    <x v="0"/>
    <n v="4"/>
    <n v="261729"/>
    <n v="6"/>
    <n v="1046916"/>
    <n v="0.1046916"/>
    <n v="984101.03999999992"/>
    <n v="9.8410103999999998E-2"/>
    <s v="Pending"/>
    <s v="Pending"/>
    <s v="Invalid"/>
    <s v="Pending"/>
  </r>
  <r>
    <x v="1960"/>
    <x v="265"/>
    <x v="1"/>
    <x v="0"/>
    <x v="2"/>
    <s v="Shakti Agro Maharashtra"/>
    <x v="2"/>
    <x v="2"/>
    <x v="0"/>
    <x v="0"/>
    <n v="1"/>
    <n v="223452"/>
    <n v="3"/>
    <n v="223452"/>
    <n v="2.2345199999999999E-2"/>
    <n v="216748.44"/>
    <n v="2.1674843999999999E-2"/>
    <s v="Pending"/>
    <s v="Pending"/>
    <s v="Valid"/>
    <s v="Pending"/>
  </r>
  <r>
    <x v="1961"/>
    <x v="109"/>
    <x v="2"/>
    <x v="3"/>
    <x v="1"/>
    <s v="Mahadev Motors Karnataka"/>
    <x v="1"/>
    <x v="1"/>
    <x v="0"/>
    <x v="0"/>
    <n v="2"/>
    <n v="773425"/>
    <n v="5"/>
    <n v="1546850"/>
    <n v="0.15468499999999999"/>
    <n v="1469507.5"/>
    <n v="0.14695074999999999"/>
    <s v="Paid"/>
    <s v="Delivered"/>
    <s v="Invalid"/>
    <s v="Completed"/>
  </r>
  <r>
    <x v="1962"/>
    <x v="173"/>
    <x v="0"/>
    <x v="0"/>
    <x v="0"/>
    <s v="Shakti Agro Uttar Pradesh"/>
    <x v="0"/>
    <x v="0"/>
    <x v="0"/>
    <x v="0"/>
    <n v="7"/>
    <n v="861338"/>
    <n v="9"/>
    <n v="6029366"/>
    <n v="0.60293660000000004"/>
    <n v="5486723.0600000005"/>
    <n v="0.54867230600000005"/>
    <s v="Paid"/>
    <s v="Delivered"/>
    <s v="Invalid"/>
    <s v="Completed"/>
  </r>
  <r>
    <x v="1963"/>
    <x v="453"/>
    <x v="1"/>
    <x v="2"/>
    <x v="3"/>
    <s v="Kisan Tractors Haryana"/>
    <x v="3"/>
    <x v="0"/>
    <x v="0"/>
    <x v="0"/>
    <n v="4"/>
    <n v="315542"/>
    <n v="6"/>
    <n v="1262168"/>
    <n v="0.12621679999999999"/>
    <n v="1186437.92"/>
    <n v="0.118643792"/>
    <s v="Paid"/>
    <s v="Delivered"/>
    <s v="Invalid"/>
    <s v="Completed"/>
  </r>
  <r>
    <x v="1964"/>
    <x v="412"/>
    <x v="4"/>
    <x v="4"/>
    <x v="4"/>
    <s v="Agri Motors West Bengal"/>
    <x v="4"/>
    <x v="3"/>
    <x v="4"/>
    <x v="1"/>
    <n v="4"/>
    <n v="232229"/>
    <n v="6"/>
    <n v="928916"/>
    <n v="9.2891600000000005E-2"/>
    <n v="873181.03999999992"/>
    <n v="8.7318103999999994E-2"/>
    <s v="Paid"/>
    <s v="Delivered"/>
    <s v="Valid"/>
    <s v="Completed"/>
  </r>
  <r>
    <x v="1965"/>
    <x v="376"/>
    <x v="1"/>
    <x v="0"/>
    <x v="0"/>
    <s v="Shakti Agro Uttar Pradesh"/>
    <x v="0"/>
    <x v="0"/>
    <x v="0"/>
    <x v="0"/>
    <n v="4"/>
    <n v="394448"/>
    <n v="6"/>
    <n v="1577792"/>
    <n v="0.15777920000000001"/>
    <n v="1483124.48"/>
    <n v="0.14831244799999999"/>
    <s v="Pending"/>
    <s v="Pending"/>
    <s v="Valid"/>
    <s v="Pending"/>
  </r>
  <r>
    <x v="1966"/>
    <x v="363"/>
    <x v="4"/>
    <x v="4"/>
    <x v="3"/>
    <s v="Agri Motors Haryana"/>
    <x v="3"/>
    <x v="0"/>
    <x v="0"/>
    <x v="0"/>
    <n v="4"/>
    <n v="616271"/>
    <n v="6"/>
    <n v="2465084"/>
    <n v="0.24650839999999999"/>
    <n v="2317178.96"/>
    <n v="0.23171789600000001"/>
    <s v="Pending"/>
    <s v="Pending"/>
    <s v="Valid"/>
    <s v="Pending"/>
  </r>
  <r>
    <x v="1967"/>
    <x v="143"/>
    <x v="3"/>
    <x v="2"/>
    <x v="2"/>
    <s v="Kisan Tractors Maharashtra"/>
    <x v="2"/>
    <x v="2"/>
    <x v="3"/>
    <x v="2"/>
    <n v="4"/>
    <n v="753774"/>
    <n v="6"/>
    <n v="3015096"/>
    <n v="0.30150959999999999"/>
    <n v="2834190.2399999998"/>
    <n v="0.28341902399999996"/>
    <s v="Pending"/>
    <s v="Pending"/>
    <s v="Invalid"/>
    <s v="Pending"/>
  </r>
  <r>
    <x v="1968"/>
    <x v="363"/>
    <x v="2"/>
    <x v="3"/>
    <x v="4"/>
    <s v="Mahadev Motors West Bengal"/>
    <x v="4"/>
    <x v="3"/>
    <x v="0"/>
    <x v="0"/>
    <n v="4"/>
    <n v="885062"/>
    <n v="6"/>
    <n v="3540248"/>
    <n v="0.35402479999999997"/>
    <n v="3327833.1199999996"/>
    <n v="0.33278331199999994"/>
    <s v="Paid"/>
    <s v="Delivered"/>
    <s v="Valid"/>
    <s v="Completed"/>
  </r>
  <r>
    <x v="1969"/>
    <x v="366"/>
    <x v="0"/>
    <x v="0"/>
    <x v="1"/>
    <s v="Shakti Agro Karnataka"/>
    <x v="1"/>
    <x v="1"/>
    <x v="0"/>
    <x v="0"/>
    <n v="4"/>
    <n v="177113"/>
    <n v="6"/>
    <n v="708452"/>
    <n v="7.0845199999999997E-2"/>
    <n v="665944.88"/>
    <n v="6.6594488000000007E-2"/>
    <s v="Paid"/>
    <s v="Delivered"/>
    <s v="Valid"/>
    <s v="Completed"/>
  </r>
  <r>
    <x v="1970"/>
    <x v="444"/>
    <x v="2"/>
    <x v="2"/>
    <x v="3"/>
    <s v="Kisan Tractors Haryana"/>
    <x v="3"/>
    <x v="0"/>
    <x v="2"/>
    <x v="0"/>
    <n v="4"/>
    <n v="315267"/>
    <n v="6"/>
    <n v="1261068"/>
    <n v="0.12610679999999999"/>
    <n v="1185403.92"/>
    <n v="0.11854039199999999"/>
    <s v="Partial"/>
    <s v="In Transit"/>
    <s v="Invalid"/>
    <s v="In Transit"/>
  </r>
  <r>
    <x v="1971"/>
    <x v="133"/>
    <x v="3"/>
    <x v="3"/>
    <x v="2"/>
    <s v="Mahadev Motors Maharashtra"/>
    <x v="2"/>
    <x v="2"/>
    <x v="0"/>
    <x v="0"/>
    <n v="4"/>
    <n v="493537"/>
    <n v="6"/>
    <n v="1974148"/>
    <n v="0.1974148"/>
    <n v="1855699.1199999999"/>
    <n v="0.18556991199999998"/>
    <s v="Paid"/>
    <s v="Delivered"/>
    <s v="Invalid"/>
    <s v="Completed"/>
  </r>
  <r>
    <x v="1972"/>
    <x v="22"/>
    <x v="2"/>
    <x v="2"/>
    <x v="0"/>
    <s v="Kisan Tractors Uttar Pradesh"/>
    <x v="0"/>
    <x v="0"/>
    <x v="2"/>
    <x v="0"/>
    <n v="4"/>
    <n v="886070"/>
    <n v="6"/>
    <n v="3544280"/>
    <n v="0.35442800000000002"/>
    <n v="3331623.1999999997"/>
    <n v="0.33316231999999996"/>
    <s v="Paid"/>
    <s v="Delivered"/>
    <s v="Invalid"/>
    <s v="Completed"/>
  </r>
  <r>
    <x v="1973"/>
    <x v="205"/>
    <x v="0"/>
    <x v="4"/>
    <x v="3"/>
    <s v="Agri Motors Haryana"/>
    <x v="3"/>
    <x v="0"/>
    <x v="1"/>
    <x v="1"/>
    <n v="4"/>
    <n v="145228"/>
    <n v="6"/>
    <n v="580912"/>
    <n v="5.8091200000000003E-2"/>
    <n v="546057.27999999991"/>
    <n v="5.4605727999999992E-2"/>
    <s v="Pending"/>
    <s v="Pending"/>
    <s v="Invalid"/>
    <s v="Pending"/>
  </r>
  <r>
    <x v="1974"/>
    <x v="188"/>
    <x v="4"/>
    <x v="0"/>
    <x v="4"/>
    <s v="Shakti Agro West Bengal"/>
    <x v="4"/>
    <x v="3"/>
    <x v="0"/>
    <x v="0"/>
    <n v="4"/>
    <n v="450437"/>
    <n v="6"/>
    <n v="1801748"/>
    <n v="0.1801748"/>
    <n v="1693643.1199999999"/>
    <n v="0.16936431199999999"/>
    <s v="Pending"/>
    <s v="Pending"/>
    <s v="Invalid"/>
    <s v="Pending"/>
  </r>
  <r>
    <x v="1975"/>
    <x v="510"/>
    <x v="4"/>
    <x v="0"/>
    <x v="1"/>
    <s v="Shakti Agro Karnataka"/>
    <x v="1"/>
    <x v="1"/>
    <x v="1"/>
    <x v="1"/>
    <n v="4"/>
    <n v="515515"/>
    <n v="6"/>
    <n v="2062060"/>
    <n v="0.206206"/>
    <n v="1938336.4"/>
    <n v="0.19383364"/>
    <s v="Paid"/>
    <s v="Delivered"/>
    <s v="Invalid"/>
    <s v="Completed"/>
  </r>
  <r>
    <x v="1976"/>
    <x v="157"/>
    <x v="4"/>
    <x v="4"/>
    <x v="0"/>
    <s v="Agri Motors Uttar Pradesh"/>
    <x v="0"/>
    <x v="0"/>
    <x v="4"/>
    <x v="1"/>
    <n v="4"/>
    <n v="521080"/>
    <n v="6"/>
    <n v="2084320"/>
    <n v="0.20843200000000001"/>
    <n v="1959260.7999999998"/>
    <n v="0.19592607999999997"/>
    <s v="Pending"/>
    <s v="Pending"/>
    <s v="Invalid"/>
    <s v="Pending"/>
  </r>
  <r>
    <x v="1977"/>
    <x v="180"/>
    <x v="0"/>
    <x v="2"/>
    <x v="4"/>
    <s v="Kisan Tractors West Bengal"/>
    <x v="4"/>
    <x v="3"/>
    <x v="1"/>
    <x v="1"/>
    <n v="4"/>
    <n v="660327"/>
    <n v="6"/>
    <n v="2641308"/>
    <n v="0.2641308"/>
    <n v="2482829.52"/>
    <n v="0.248282952"/>
    <s v="Paid"/>
    <s v="Delivered"/>
    <s v="Invalid"/>
    <s v="Completed"/>
  </r>
  <r>
    <x v="1978"/>
    <x v="508"/>
    <x v="3"/>
    <x v="2"/>
    <x v="4"/>
    <s v="Kisan Tractors West Bengal"/>
    <x v="4"/>
    <x v="3"/>
    <x v="3"/>
    <x v="2"/>
    <n v="4"/>
    <n v="223670"/>
    <n v="6"/>
    <n v="894680"/>
    <n v="8.9468000000000006E-2"/>
    <n v="840999.2"/>
    <n v="8.4099919999999995E-2"/>
    <s v="Paid"/>
    <s v="Delivered"/>
    <s v="Invalid"/>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2A1FB4-9EA8-4BA5-9507-09AAD2FACAC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6:B17" firstHeaderRow="1" firstDataRow="1" firstDataCol="0"/>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pivotField showAll="0"/>
    <pivotField dataField="1" showAll="0"/>
    <pivotField showAll="0"/>
    <pivotField numFmtId="170" showAll="0"/>
    <pivotField showAll="0"/>
    <pivotField numFmtId="170" showAll="0"/>
    <pivotField showAll="0"/>
    <pivotField showAll="0"/>
    <pivotField showAll="0"/>
    <pivotField showAll="0"/>
    <pivotField showAll="0" defaultSubtotal="0"/>
    <pivotField showAll="0" defaultSubtotal="0">
      <items count="4">
        <item x="1"/>
        <item x="2"/>
        <item x="0"/>
        <item x="3"/>
      </items>
    </pivotField>
  </pivotFields>
  <rowItems count="1">
    <i/>
  </rowItems>
  <colItems count="1">
    <i/>
  </colItems>
  <dataFields count="1">
    <dataField name="Average of Discount %" fld="12" subtotal="average" baseField="0" baseItem="0" numFmtId="167"/>
  </dataFields>
  <formats count="6">
    <format dxfId="12931">
      <pivotArea outline="0" collapsedLevelsAreSubtotals="1" fieldPosition="0"/>
    </format>
    <format dxfId="12932">
      <pivotArea dataOnly="0" labelOnly="1" outline="0" axis="axisValues" fieldPosition="0"/>
    </format>
    <format dxfId="12933">
      <pivotArea type="all" dataOnly="0" outline="0" fieldPosition="0"/>
    </format>
    <format dxfId="12934">
      <pivotArea dataOnly="0" labelOnly="1" outline="0" axis="axisValues" fieldPosition="0"/>
    </format>
    <format dxfId="12935">
      <pivotArea outline="0" collapsedLevelsAreSubtotals="1" fieldPosition="0"/>
    </format>
    <format dxfId="129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0CE769-0A7A-45AB-AC70-B37F6BAFBB51}" name="Dealer's Performance" cacheId="0" applyNumberFormats="0" applyBorderFormats="0" applyFontFormats="0" applyPatternFormats="0" applyAlignmentFormats="0" applyWidthHeightFormats="1" dataCaption="Values" updatedVersion="8" minRefreshableVersion="5" showDataTips="0" itemPrintTitles="1" createdVersion="8" indent="0" outline="1" outlineData="1" multipleFieldFilters="0" chartFormat="6" rowHeaderCaption="Dealers Name" colHeaderCaption="Quantity Sales By State">
  <location ref="B12:H19"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axis="axisRow" showAll="0">
      <items count="6">
        <item x="1"/>
        <item x="0"/>
        <item x="2"/>
        <item x="3"/>
        <item x="4"/>
        <item t="default"/>
      </items>
    </pivotField>
    <pivotField axis="axisCol"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dataField="1" showAll="0"/>
    <pivotField showAll="0"/>
    <pivotField showAll="0"/>
    <pivotField showAll="0"/>
    <pivotField numFmtId="170" showAll="0"/>
    <pivotField showAll="0"/>
    <pivotField numFmtId="170"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Fields count="1">
    <field x="3"/>
  </rowFields>
  <rowItems count="6">
    <i>
      <x/>
    </i>
    <i>
      <x v="1"/>
    </i>
    <i>
      <x v="2"/>
    </i>
    <i>
      <x v="3"/>
    </i>
    <i>
      <x v="4"/>
    </i>
    <i t="grand">
      <x/>
    </i>
  </rowItems>
  <colFields count="1">
    <field x="4"/>
  </colFields>
  <colItems count="6">
    <i>
      <x/>
    </i>
    <i>
      <x v="1"/>
    </i>
    <i>
      <x v="2"/>
    </i>
    <i>
      <x v="3"/>
    </i>
    <i>
      <x v="4"/>
    </i>
    <i t="grand">
      <x/>
    </i>
  </colItems>
  <dataFields count="1">
    <dataField name="Orders Quantity By Dealers " fld="10" baseField="0" baseItem="0"/>
  </dataFields>
  <formats count="21">
    <format dxfId="12693">
      <pivotArea type="all" dataOnly="0" outline="0" fieldPosition="0"/>
    </format>
    <format dxfId="12694">
      <pivotArea outline="0" collapsedLevelsAreSubtotals="1" fieldPosition="0"/>
    </format>
    <format dxfId="12695">
      <pivotArea type="origin" dataOnly="0" labelOnly="1" outline="0" fieldPosition="0"/>
    </format>
    <format dxfId="12696">
      <pivotArea field="4" type="button" dataOnly="0" labelOnly="1" outline="0" axis="axisCol" fieldPosition="0"/>
    </format>
    <format dxfId="12697">
      <pivotArea type="topRight" dataOnly="0" labelOnly="1" outline="0" fieldPosition="0"/>
    </format>
    <format dxfId="12698">
      <pivotArea field="3" type="button" dataOnly="0" labelOnly="1" outline="0" axis="axisRow" fieldPosition="0"/>
    </format>
    <format dxfId="12699">
      <pivotArea dataOnly="0" labelOnly="1" fieldPosition="0">
        <references count="1">
          <reference field="3" count="0"/>
        </references>
      </pivotArea>
    </format>
    <format dxfId="12700">
      <pivotArea dataOnly="0" labelOnly="1" grandRow="1" outline="0" fieldPosition="0"/>
    </format>
    <format dxfId="12701">
      <pivotArea dataOnly="0" labelOnly="1" fieldPosition="0">
        <references count="1">
          <reference field="4" count="0"/>
        </references>
      </pivotArea>
    </format>
    <format dxfId="12702">
      <pivotArea dataOnly="0" labelOnly="1" grandCol="1" outline="0" fieldPosition="0"/>
    </format>
    <format dxfId="12703">
      <pivotArea type="origin" dataOnly="0" labelOnly="1" outline="0" fieldPosition="0"/>
    </format>
    <format dxfId="12704">
      <pivotArea outline="0" collapsedLevelsAreSubtotals="1" fieldPosition="0"/>
    </format>
    <format dxfId="12705">
      <pivotArea outline="0" collapsedLevelsAreSubtotals="1" fieldPosition="0"/>
    </format>
    <format dxfId="12706">
      <pivotArea field="3" type="button" dataOnly="0" labelOnly="1" outline="0" axis="axisRow" fieldPosition="0"/>
    </format>
    <format dxfId="12707">
      <pivotArea field="3" type="button" dataOnly="0" labelOnly="1" outline="0" axis="axisRow" fieldPosition="0"/>
    </format>
    <format dxfId="12708">
      <pivotArea type="origin" dataOnly="0" labelOnly="1" outline="0" fieldPosition="0"/>
    </format>
    <format dxfId="12709">
      <pivotArea type="origin" dataOnly="0" labelOnly="1" outline="0" fieldPosition="0"/>
    </format>
    <format dxfId="12710">
      <pivotArea dataOnly="0" labelOnly="1" fieldPosition="0">
        <references count="1">
          <reference field="4" count="0"/>
        </references>
      </pivotArea>
    </format>
    <format dxfId="12711">
      <pivotArea dataOnly="0" labelOnly="1" grandCol="1" outline="0" fieldPosition="0"/>
    </format>
    <format dxfId="12712">
      <pivotArea dataOnly="0" labelOnly="1" fieldPosition="0">
        <references count="1">
          <reference field="4" count="0"/>
        </references>
      </pivotArea>
    </format>
    <format dxfId="12713">
      <pivotArea dataOnly="0" labelOnly="1" grandCol="1" outline="0" fieldPosition="0"/>
    </format>
  </formats>
  <chartFormats count="6">
    <chartFormat chart="3" format="10" series="1">
      <pivotArea type="data" outline="0" fieldPosition="0">
        <references count="2">
          <reference field="4294967294" count="1" selected="0">
            <x v="0"/>
          </reference>
          <reference field="4" count="1" selected="0">
            <x v="0"/>
          </reference>
        </references>
      </pivotArea>
    </chartFormat>
    <chartFormat chart="3"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2">
          <reference field="4294967294" count="1" selected="0">
            <x v="0"/>
          </reference>
          <reference field="4" count="1" selected="0">
            <x v="3"/>
          </reference>
        </references>
      </pivotArea>
    </chartFormat>
    <chartFormat chart="3" format="14" series="1">
      <pivotArea type="data" outline="0" fieldPosition="0">
        <references count="2">
          <reference field="4294967294" count="1" selected="0">
            <x v="0"/>
          </reference>
          <reference field="4" count="1" selected="0">
            <x v="4"/>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E27305-89F7-442A-9675-5D6E3DE899BD}" name="Order Count Invoic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58:BXF60" firstHeaderRow="1" firstDataRow="2" firstDataCol="1"/>
  <pivotFields count="23">
    <pivotField axis="axisCol" dataField="1" showAll="0">
      <items count="19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t="default"/>
      </items>
    </pivotField>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pivotField showAll="0"/>
    <pivotField showAll="0"/>
    <pivotField showAll="0"/>
    <pivotField numFmtId="170" showAll="0"/>
    <pivotField showAll="0"/>
    <pivotField numFmtId="170" showAll="0"/>
    <pivotField showAll="0"/>
    <pivotField showAll="0"/>
    <pivotField showAll="0"/>
    <pivotField showAll="0"/>
    <pivotField showAll="0" defaultSubtotal="0"/>
    <pivotField showAll="0" defaultSubtotal="0">
      <items count="4">
        <item x="1"/>
        <item x="2"/>
        <item x="0"/>
        <item x="3"/>
      </items>
    </pivotField>
  </pivotFields>
  <rowItems count="1">
    <i/>
  </rowItems>
  <colFields count="1">
    <field x="0"/>
  </colFields>
  <colItems count="19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t="grand">
      <x/>
    </i>
  </colItems>
  <dataFields count="1">
    <dataField name="Count of Invoice ID" fld="0" subtotal="count" baseField="0" baseItem="0"/>
  </dataFields>
  <formats count="130">
    <format dxfId="12801">
      <pivotArea type="all" dataOnly="0" outline="0" fieldPosition="0"/>
    </format>
    <format dxfId="12802">
      <pivotArea outline="0" collapsedLevelsAreSubtotals="1" fieldPosition="0"/>
    </format>
    <format dxfId="12803">
      <pivotArea type="origin" dataOnly="0" labelOnly="1" outline="0" offset="A1" fieldPosition="0"/>
    </format>
    <format dxfId="12804">
      <pivotArea dataOnly="0" labelOnly="1" outline="0" axis="axisValues" fieldPosition="0"/>
    </format>
    <format dxfId="12805">
      <pivotArea field="0" type="button" dataOnly="0" labelOnly="1" outline="0" axis="axisCol" fieldPosition="0"/>
    </format>
    <format dxfId="12806">
      <pivotArea type="topRight" dataOnly="0" labelOnly="1" outline="0" fieldPosition="0"/>
    </format>
    <format dxfId="12807">
      <pivotArea type="origin" dataOnly="0" labelOnly="1" outline="0" offset="A2" fieldPosition="0"/>
    </format>
    <format dxfId="1280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80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81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811">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812">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813">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814">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815">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816">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2817">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2818">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2819">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2820">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2821">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2822">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2823">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2824">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2825">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2826">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2827">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2828">
      <pivotArea dataOnly="0" labelOnly="1"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2829">
      <pivotArea dataOnly="0" labelOnly="1"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2830">
      <pivotArea dataOnly="0" labelOnly="1"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2831">
      <pivotArea dataOnly="0" labelOnly="1"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2832">
      <pivotArea dataOnly="0" labelOnly="1"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2833">
      <pivotArea dataOnly="0" labelOnly="1"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2834">
      <pivotArea dataOnly="0" labelOnly="1"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2835">
      <pivotArea dataOnly="0" labelOnly="1"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2836">
      <pivotArea dataOnly="0" labelOnly="1"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2837">
      <pivotArea dataOnly="0" labelOnly="1" fieldPosition="0">
        <references count="1">
          <reference field="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2838">
      <pivotArea dataOnly="0" labelOnly="1" fieldPosition="0">
        <references count="1">
          <reference field="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2839">
      <pivotArea dataOnly="0" labelOnly="1" fieldPosition="0">
        <references count="1">
          <reference field="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2840">
      <pivotArea dataOnly="0" labelOnly="1" fieldPosition="0">
        <references count="1">
          <reference field="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2841">
      <pivotArea dataOnly="0" labelOnly="1" fieldPosition="0">
        <references count="1">
          <reference field="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2842">
      <pivotArea dataOnly="0" labelOnly="1" fieldPosition="0">
        <references count="1">
          <reference field="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2843">
      <pivotArea dataOnly="0" labelOnly="1" fieldPosition="0">
        <references count="1">
          <reference field="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2844">
      <pivotArea dataOnly="0" labelOnly="1" fieldPosition="0">
        <references count="1">
          <reference field="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2845">
      <pivotArea dataOnly="0" labelOnly="1" fieldPosition="0">
        <references count="1">
          <reference field="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2846">
      <pivotArea dataOnly="0" labelOnly="1" fieldPosition="0">
        <references count="1">
          <reference field="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2847">
      <pivotArea dataOnly="0" labelOnly="1" fieldPosition="0">
        <references count="1">
          <reference field="0" count="29">
            <x v="1950"/>
            <x v="1951"/>
            <x v="1952"/>
            <x v="1953"/>
            <x v="1954"/>
            <x v="1955"/>
            <x v="1956"/>
            <x v="1957"/>
            <x v="1958"/>
            <x v="1959"/>
            <x v="1960"/>
            <x v="1961"/>
            <x v="1962"/>
            <x v="1963"/>
            <x v="1964"/>
            <x v="1965"/>
            <x v="1966"/>
            <x v="1967"/>
            <x v="1968"/>
            <x v="1969"/>
            <x v="1970"/>
            <x v="1971"/>
            <x v="1972"/>
            <x v="1973"/>
            <x v="1974"/>
            <x v="1975"/>
            <x v="1976"/>
            <x v="1977"/>
            <x v="1978"/>
          </reference>
        </references>
      </pivotArea>
    </format>
    <format dxfId="12848">
      <pivotArea dataOnly="0" labelOnly="1" grandCol="1" outline="0" fieldPosition="0"/>
    </format>
    <format dxfId="1284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85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851">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852">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853">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854">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855">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856">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857">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2858">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2859">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2860">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2861">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2862">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2863">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2864">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2865">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2866">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2867">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2868">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2869">
      <pivotArea dataOnly="0" labelOnly="1"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2870">
      <pivotArea dataOnly="0" labelOnly="1"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2871">
      <pivotArea dataOnly="0" labelOnly="1"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2872">
      <pivotArea dataOnly="0" labelOnly="1"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2873">
      <pivotArea dataOnly="0" labelOnly="1"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2874">
      <pivotArea dataOnly="0" labelOnly="1"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2875">
      <pivotArea dataOnly="0" labelOnly="1"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2876">
      <pivotArea dataOnly="0" labelOnly="1"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2877">
      <pivotArea dataOnly="0" labelOnly="1"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2878">
      <pivotArea dataOnly="0" labelOnly="1" fieldPosition="0">
        <references count="1">
          <reference field="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2879">
      <pivotArea dataOnly="0" labelOnly="1" fieldPosition="0">
        <references count="1">
          <reference field="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2880">
      <pivotArea dataOnly="0" labelOnly="1" fieldPosition="0">
        <references count="1">
          <reference field="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2881">
      <pivotArea dataOnly="0" labelOnly="1" fieldPosition="0">
        <references count="1">
          <reference field="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2882">
      <pivotArea dataOnly="0" labelOnly="1" fieldPosition="0">
        <references count="1">
          <reference field="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2883">
      <pivotArea dataOnly="0" labelOnly="1" fieldPosition="0">
        <references count="1">
          <reference field="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2884">
      <pivotArea dataOnly="0" labelOnly="1" fieldPosition="0">
        <references count="1">
          <reference field="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2885">
      <pivotArea dataOnly="0" labelOnly="1" fieldPosition="0">
        <references count="1">
          <reference field="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2886">
      <pivotArea dataOnly="0" labelOnly="1" fieldPosition="0">
        <references count="1">
          <reference field="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2887">
      <pivotArea dataOnly="0" labelOnly="1" fieldPosition="0">
        <references count="1">
          <reference field="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2888">
      <pivotArea dataOnly="0" labelOnly="1" fieldPosition="0">
        <references count="1">
          <reference field="0" count="29">
            <x v="1950"/>
            <x v="1951"/>
            <x v="1952"/>
            <x v="1953"/>
            <x v="1954"/>
            <x v="1955"/>
            <x v="1956"/>
            <x v="1957"/>
            <x v="1958"/>
            <x v="1959"/>
            <x v="1960"/>
            <x v="1961"/>
            <x v="1962"/>
            <x v="1963"/>
            <x v="1964"/>
            <x v="1965"/>
            <x v="1966"/>
            <x v="1967"/>
            <x v="1968"/>
            <x v="1969"/>
            <x v="1970"/>
            <x v="1971"/>
            <x v="1972"/>
            <x v="1973"/>
            <x v="1974"/>
            <x v="1975"/>
            <x v="1976"/>
            <x v="1977"/>
            <x v="1978"/>
          </reference>
        </references>
      </pivotArea>
    </format>
    <format dxfId="12889">
      <pivotArea dataOnly="0" labelOnly="1" grandCol="1" outline="0" fieldPosition="0"/>
    </format>
    <format dxfId="1289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89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892">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893">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894">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895">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896">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897">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898">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2899">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2900">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2901">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2902">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2903">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2904">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2905">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2906">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2907">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2908">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2909">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2910">
      <pivotArea dataOnly="0" labelOnly="1"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2911">
      <pivotArea dataOnly="0" labelOnly="1"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2912">
      <pivotArea dataOnly="0" labelOnly="1"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2913">
      <pivotArea dataOnly="0" labelOnly="1"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2914">
      <pivotArea dataOnly="0" labelOnly="1"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2915">
      <pivotArea dataOnly="0" labelOnly="1"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2916">
      <pivotArea dataOnly="0" labelOnly="1"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2917">
      <pivotArea dataOnly="0" labelOnly="1"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2918">
      <pivotArea dataOnly="0" labelOnly="1"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2919">
      <pivotArea dataOnly="0" labelOnly="1" fieldPosition="0">
        <references count="1">
          <reference field="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2920">
      <pivotArea dataOnly="0" labelOnly="1" fieldPosition="0">
        <references count="1">
          <reference field="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2921">
      <pivotArea dataOnly="0" labelOnly="1" fieldPosition="0">
        <references count="1">
          <reference field="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2922">
      <pivotArea dataOnly="0" labelOnly="1" fieldPosition="0">
        <references count="1">
          <reference field="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2923">
      <pivotArea dataOnly="0" labelOnly="1" fieldPosition="0">
        <references count="1">
          <reference field="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2924">
      <pivotArea dataOnly="0" labelOnly="1" fieldPosition="0">
        <references count="1">
          <reference field="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2925">
      <pivotArea dataOnly="0" labelOnly="1" fieldPosition="0">
        <references count="1">
          <reference field="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2926">
      <pivotArea dataOnly="0" labelOnly="1" fieldPosition="0">
        <references count="1">
          <reference field="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2927">
      <pivotArea dataOnly="0" labelOnly="1" fieldPosition="0">
        <references count="1">
          <reference field="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2928">
      <pivotArea dataOnly="0" labelOnly="1" fieldPosition="0">
        <references count="1">
          <reference field="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2929">
      <pivotArea dataOnly="0" labelOnly="1" fieldPosition="0">
        <references count="1">
          <reference field="0" count="29">
            <x v="1950"/>
            <x v="1951"/>
            <x v="1952"/>
            <x v="1953"/>
            <x v="1954"/>
            <x v="1955"/>
            <x v="1956"/>
            <x v="1957"/>
            <x v="1958"/>
            <x v="1959"/>
            <x v="1960"/>
            <x v="1961"/>
            <x v="1962"/>
            <x v="1963"/>
            <x v="1964"/>
            <x v="1965"/>
            <x v="1966"/>
            <x v="1967"/>
            <x v="1968"/>
            <x v="1969"/>
            <x v="1970"/>
            <x v="1971"/>
            <x v="1972"/>
            <x v="1973"/>
            <x v="1974"/>
            <x v="1975"/>
            <x v="1976"/>
            <x v="1977"/>
            <x v="1978"/>
          </reference>
        </references>
      </pivotArea>
    </format>
    <format dxfId="129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BE59E4-0C71-49D4-9CAB-73818F2243A5}" name="Region based sales (Cr)"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F33:H38" firstHeaderRow="0" firstDataRow="1"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axis="axisRow"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pivotField showAll="0"/>
    <pivotField showAll="0"/>
    <pivotField showAll="0"/>
    <pivotField dataField="1" numFmtId="170" showAll="0"/>
    <pivotField showAll="0"/>
    <pivotField dataField="1" numFmtId="170" showAll="0"/>
    <pivotField showAll="0"/>
    <pivotField showAll="0"/>
    <pivotField showAll="0"/>
    <pivotField showAll="0"/>
    <pivotField showAll="0" defaultSubtotal="0"/>
    <pivotField showAll="0" defaultSubtotal="0">
      <items count="4">
        <item x="1"/>
        <item x="2"/>
        <item x="0"/>
        <item x="3"/>
      </items>
    </pivotField>
  </pivotFields>
  <rowFields count="1">
    <field x="7"/>
  </rowFields>
  <rowItems count="5">
    <i>
      <x/>
    </i>
    <i>
      <x v="1"/>
    </i>
    <i>
      <x v="2"/>
    </i>
    <i>
      <x v="3"/>
    </i>
    <i t="grand">
      <x/>
    </i>
  </rowItems>
  <colFields count="1">
    <field x="-2"/>
  </colFields>
  <colItems count="2">
    <i>
      <x/>
    </i>
    <i i="1">
      <x v="1"/>
    </i>
  </colItems>
  <dataFields count="2">
    <dataField name="Sum of Gross Amount (Cr)" fld="14" baseField="0" baseItem="0" numFmtId="169"/>
    <dataField name="Sum of Net Sales  (Cr)" fld="16" baseField="0" baseItem="0" numFmtId="169"/>
  </dataFields>
  <formats count="14">
    <format dxfId="12950">
      <pivotArea type="all" dataOnly="0" outline="0" fieldPosition="0"/>
    </format>
    <format dxfId="12951">
      <pivotArea outline="0" collapsedLevelsAreSubtotals="1" fieldPosition="0"/>
    </format>
    <format dxfId="12952">
      <pivotArea field="7" type="button" dataOnly="0" labelOnly="1" outline="0" axis="axisRow" fieldPosition="0"/>
    </format>
    <format dxfId="12953">
      <pivotArea dataOnly="0" labelOnly="1" fieldPosition="0">
        <references count="1">
          <reference field="7" count="0"/>
        </references>
      </pivotArea>
    </format>
    <format dxfId="12954">
      <pivotArea dataOnly="0" labelOnly="1" grandRow="1" outline="0" fieldPosition="0"/>
    </format>
    <format dxfId="12955">
      <pivotArea dataOnly="0" labelOnly="1" outline="0" axis="axisValues" fieldPosition="0"/>
    </format>
    <format dxfId="12956">
      <pivotArea outline="0" collapsedLevelsAreSubtotals="1" fieldPosition="0"/>
    </format>
    <format dxfId="12957">
      <pivotArea outline="0" collapsedLevelsAreSubtotals="1" fieldPosition="0"/>
    </format>
    <format dxfId="12958">
      <pivotArea outline="0" collapsedLevelsAreSubtotals="1" fieldPosition="0"/>
    </format>
    <format dxfId="12959">
      <pivotArea dataOnly="0" labelOnly="1" fieldPosition="0">
        <references count="1">
          <reference field="7" count="0"/>
        </references>
      </pivotArea>
    </format>
    <format dxfId="12960">
      <pivotArea field="7" type="button" dataOnly="0" labelOnly="1" outline="0" axis="axisRow" fieldPosition="0"/>
    </format>
    <format dxfId="12961">
      <pivotArea dataOnly="0" labelOnly="1" outline="0" fieldPosition="0">
        <references count="1">
          <reference field="4294967294" count="2">
            <x v="0"/>
            <x v="1"/>
          </reference>
        </references>
      </pivotArea>
    </format>
    <format dxfId="12962">
      <pivotArea outline="0" fieldPosition="0">
        <references count="1">
          <reference field="4294967294" count="1">
            <x v="0"/>
          </reference>
        </references>
      </pivotArea>
    </format>
    <format dxfId="1296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BF863C-634C-4A4E-B0BB-5D7363AB48AB}" name="Sales by region and city (Cr)" cacheId="0" applyNumberFormats="0" applyBorderFormats="0" applyFontFormats="0" applyPatternFormats="0" applyAlignmentFormats="0" applyWidthHeightFormats="1" dataCaption="Values" updatedVersion="8" minRefreshableVersion="5" showDataTips="0" itemPrintTitles="1" createdVersion="8" indent="0" outline="1" outlineData="1" multipleFieldFilters="0" chartFormat="6">
  <location ref="J2:O9"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axis="axisRow" showAll="0">
      <items count="6">
        <item x="1"/>
        <item x="3"/>
        <item x="4"/>
        <item x="0"/>
        <item x="2"/>
        <item t="default"/>
      </items>
    </pivotField>
    <pivotField axis="axisCol"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pivotField showAll="0"/>
    <pivotField showAll="0"/>
    <pivotField showAll="0"/>
    <pivotField numFmtId="170" showAll="0"/>
    <pivotField showAll="0"/>
    <pivotField dataField="1" numFmtId="170" showAll="0"/>
    <pivotField showAll="0"/>
    <pivotField showAll="0"/>
    <pivotField showAll="0"/>
    <pivotField showAll="0"/>
    <pivotField showAll="0" defaultSubtotal="0"/>
    <pivotField showAll="0" defaultSubtotal="0">
      <items count="4">
        <item x="1"/>
        <item x="2"/>
        <item x="0"/>
        <item x="3"/>
      </items>
    </pivotField>
  </pivotFields>
  <rowFields count="1">
    <field x="6"/>
  </rowFields>
  <rowItems count="6">
    <i>
      <x/>
    </i>
    <i>
      <x v="1"/>
    </i>
    <i>
      <x v="2"/>
    </i>
    <i>
      <x v="3"/>
    </i>
    <i>
      <x v="4"/>
    </i>
    <i t="grand">
      <x/>
    </i>
  </rowItems>
  <colFields count="1">
    <field x="7"/>
  </colFields>
  <colItems count="5">
    <i>
      <x/>
    </i>
    <i>
      <x v="1"/>
    </i>
    <i>
      <x v="2"/>
    </i>
    <i>
      <x v="3"/>
    </i>
    <i t="grand">
      <x/>
    </i>
  </colItems>
  <dataFields count="1">
    <dataField name="Sum of Net Sales  (Cr)" fld="16" baseField="0" baseItem="0" numFmtId="169"/>
  </dataFields>
  <formats count="13">
    <format dxfId="12937">
      <pivotArea collapsedLevelsAreSubtotals="1" fieldPosition="0">
        <references count="2">
          <reference field="6" count="1">
            <x v="0"/>
          </reference>
          <reference field="7" count="1" selected="0">
            <x v="2"/>
          </reference>
        </references>
      </pivotArea>
    </format>
    <format dxfId="12938">
      <pivotArea type="all" dataOnly="0" outline="0" fieldPosition="0"/>
    </format>
    <format dxfId="12939">
      <pivotArea collapsedLevelsAreSubtotals="1" fieldPosition="0">
        <references count="2">
          <reference field="6" count="0"/>
          <reference field="7" count="2" selected="0">
            <x v="2"/>
            <x v="3"/>
          </reference>
        </references>
      </pivotArea>
    </format>
    <format dxfId="12940">
      <pivotArea field="6" grandCol="1" collapsedLevelsAreSubtotals="1" axis="axisRow" fieldPosition="0">
        <references count="1">
          <reference field="6" count="0"/>
        </references>
      </pivotArea>
    </format>
    <format dxfId="12941">
      <pivotArea collapsedLevelsAreSubtotals="1" fieldPosition="0">
        <references count="2">
          <reference field="6" count="4">
            <x v="1"/>
            <x v="2"/>
            <x v="3"/>
            <x v="4"/>
          </reference>
          <reference field="7" count="2" selected="0">
            <x v="0"/>
            <x v="1"/>
          </reference>
        </references>
      </pivotArea>
    </format>
    <format dxfId="12942">
      <pivotArea grandRow="1" outline="0" collapsedLevelsAreSubtotals="1" fieldPosition="0"/>
    </format>
    <format dxfId="12943">
      <pivotArea outline="0" collapsedLevelsAreSubtotals="1" fieldPosition="0"/>
    </format>
    <format dxfId="12944">
      <pivotArea dataOnly="0" labelOnly="1" fieldPosition="0">
        <references count="1">
          <reference field="7" count="0"/>
        </references>
      </pivotArea>
    </format>
    <format dxfId="12945">
      <pivotArea dataOnly="0" labelOnly="1" grandCol="1" outline="0" fieldPosition="0"/>
    </format>
    <format dxfId="12946">
      <pivotArea outline="0" collapsedLevelsAreSubtotals="1" fieldPosition="0"/>
    </format>
    <format dxfId="12947">
      <pivotArea dataOnly="0" labelOnly="1" fieldPosition="0">
        <references count="1">
          <reference field="7" count="0"/>
        </references>
      </pivotArea>
    </format>
    <format dxfId="12948">
      <pivotArea dataOnly="0" labelOnly="1" grandCol="1" outline="0" fieldPosition="0"/>
    </format>
    <format dxfId="12949">
      <pivotArea outline="0" fieldPosition="0">
        <references count="1">
          <reference field="4294967294" count="1">
            <x v="0"/>
          </reference>
        </references>
      </pivotArea>
    </format>
  </formats>
  <chartFormats count="9">
    <chartFormat chart="2" format="15" series="1">
      <pivotArea type="data" outline="0" fieldPosition="0">
        <references count="1">
          <reference field="7" count="1" selected="0">
            <x v="0"/>
          </reference>
        </references>
      </pivotArea>
    </chartFormat>
    <chartFormat chart="2" format="16" series="1">
      <pivotArea type="data" outline="0" fieldPosition="0">
        <references count="1">
          <reference field="7" count="1" selected="0">
            <x v="1"/>
          </reference>
        </references>
      </pivotArea>
    </chartFormat>
    <chartFormat chart="2" format="17" series="1">
      <pivotArea type="data" outline="0" fieldPosition="0">
        <references count="1">
          <reference field="7" count="1" selected="0">
            <x v="2"/>
          </reference>
        </references>
      </pivotArea>
    </chartFormat>
    <chartFormat chart="2" format="18" series="1">
      <pivotArea type="data" outline="0" fieldPosition="0">
        <references count="1">
          <reference field="7" count="1" selected="0">
            <x v="3"/>
          </reference>
        </references>
      </pivotArea>
    </chartFormat>
    <chartFormat chart="2" format="19" series="1">
      <pivotArea type="data" outline="0" fieldPosition="0">
        <references count="2">
          <reference field="4294967294" count="1" selected="0">
            <x v="0"/>
          </reference>
          <reference field="7" count="1" selected="0">
            <x v="1"/>
          </reference>
        </references>
      </pivotArea>
    </chartFormat>
    <chartFormat chart="2" format="20" series="1">
      <pivotArea type="data" outline="0" fieldPosition="0">
        <references count="2">
          <reference field="4294967294" count="1" selected="0">
            <x v="0"/>
          </reference>
          <reference field="7" count="1" selected="0">
            <x v="2"/>
          </reference>
        </references>
      </pivotArea>
    </chartFormat>
    <chartFormat chart="2" format="21" series="1">
      <pivotArea type="data" outline="0" fieldPosition="0">
        <references count="2">
          <reference field="4294967294" count="1" selected="0">
            <x v="0"/>
          </reference>
          <reference field="7" count="1" selected="0">
            <x v="3"/>
          </reference>
        </references>
      </pivotArea>
    </chartFormat>
    <chartFormat chart="2" format="22" series="1">
      <pivotArea type="data" outline="0" fieldPosition="0">
        <references count="2">
          <reference field="4294967294" count="1" selected="0">
            <x v="0"/>
          </reference>
          <reference field="7" count="1" selected="0">
            <x v="0"/>
          </reference>
        </references>
      </pivotArea>
    </chartFormat>
    <chartFormat chart="2"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4CA4BD-CF23-4D61-A97E-2B1544DF745D}" name="Yearly Sales Trend" cacheId="0" applyNumberFormats="0" applyBorderFormats="0" applyFontFormats="0" applyPatternFormats="0" applyAlignmentFormats="0" applyWidthHeightFormats="1" dataCaption="Values" updatedVersion="8" minRefreshableVersion="5" showDataTips="0" itemPrintTitles="1" createdVersion="8" indent="0" outline="1" outlineData="1" multipleFieldFilters="0" chartFormat="4" rowHeaderCaption="Months" colHeaderCaption="Years">
  <location ref="B22:E30"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pivotField showAll="0"/>
    <pivotField showAll="0"/>
    <pivotField showAll="0"/>
    <pivotField numFmtId="170" showAll="0"/>
    <pivotField dataField="1" showAll="0"/>
    <pivotField numFmtId="170" showAll="0"/>
    <pivotField showAll="0"/>
    <pivotField showAll="0"/>
    <pivotField showAll="0"/>
    <pivotField showAll="0"/>
    <pivotField axis="axisRow" showAll="0">
      <items count="15">
        <item x="0"/>
        <item x="1"/>
        <item x="2"/>
        <item x="3"/>
        <item x="4"/>
        <item x="5"/>
        <item x="6"/>
        <item h="1" x="7"/>
        <item h="1" x="8"/>
        <item h="1" x="9"/>
        <item h="1" x="10"/>
        <item h="1" x="11"/>
        <item h="1" x="12"/>
        <item x="13"/>
        <item t="default"/>
      </items>
    </pivotField>
    <pivotField axis="axisCol" showAll="0">
      <items count="5">
        <item x="1"/>
        <item x="2"/>
        <item x="0"/>
        <item x="3"/>
        <item t="default"/>
      </items>
    </pivotField>
  </pivotFields>
  <rowFields count="1">
    <field x="21"/>
  </rowFields>
  <rowItems count="7">
    <i>
      <x v="1"/>
    </i>
    <i>
      <x v="2"/>
    </i>
    <i>
      <x v="3"/>
    </i>
    <i>
      <x v="4"/>
    </i>
    <i>
      <x v="5"/>
    </i>
    <i>
      <x v="6"/>
    </i>
    <i t="grand">
      <x/>
    </i>
  </rowItems>
  <colFields count="1">
    <field x="22"/>
  </colFields>
  <colItems count="3">
    <i>
      <x/>
    </i>
    <i>
      <x v="1"/>
    </i>
    <i t="grand">
      <x/>
    </i>
  </colItems>
  <dataFields count="1">
    <dataField name="Sales By Months" fld="15" baseField="0" baseItem="0"/>
  </dataFields>
  <formats count="63">
    <format dxfId="12738">
      <pivotArea type="all" dataOnly="0" outline="0" fieldPosition="0"/>
    </format>
    <format dxfId="12739">
      <pivotArea outline="0" collapsedLevelsAreSubtotals="1" fieldPosition="0"/>
    </format>
    <format dxfId="12740">
      <pivotArea type="origin" dataOnly="0" labelOnly="1" outline="0" fieldPosition="0"/>
    </format>
    <format dxfId="12741">
      <pivotArea field="22" type="button" dataOnly="0" labelOnly="1" outline="0" axis="axisCol" fieldPosition="0"/>
    </format>
    <format dxfId="12742">
      <pivotArea type="topRight" dataOnly="0" labelOnly="1" outline="0" fieldPosition="0"/>
    </format>
    <format dxfId="12743">
      <pivotArea field="21" type="button" dataOnly="0" labelOnly="1" outline="0" axis="axisRow" fieldPosition="0"/>
    </format>
    <format dxfId="12744">
      <pivotArea dataOnly="0" labelOnly="1" fieldPosition="0">
        <references count="1">
          <reference field="21" count="12">
            <x v="1"/>
            <x v="2"/>
            <x v="3"/>
            <x v="4"/>
            <x v="5"/>
            <x v="6"/>
            <x v="7"/>
            <x v="8"/>
            <x v="9"/>
            <x v="10"/>
            <x v="11"/>
            <x v="12"/>
          </reference>
        </references>
      </pivotArea>
    </format>
    <format dxfId="12745">
      <pivotArea dataOnly="0" labelOnly="1" grandRow="1" outline="0" fieldPosition="0"/>
    </format>
    <format dxfId="12746">
      <pivotArea dataOnly="0" labelOnly="1" fieldPosition="0">
        <references count="1">
          <reference field="22" count="2">
            <x v="0"/>
            <x v="1"/>
          </reference>
        </references>
      </pivotArea>
    </format>
    <format dxfId="12747">
      <pivotArea dataOnly="0" labelOnly="1" grandCol="1" outline="0" fieldPosition="0"/>
    </format>
    <format dxfId="12748">
      <pivotArea collapsedLevelsAreSubtotals="1" fieldPosition="0">
        <references count="2">
          <reference field="21" count="1">
            <x v="1"/>
          </reference>
          <reference field="22" count="1" selected="0">
            <x v="0"/>
          </reference>
        </references>
      </pivotArea>
    </format>
    <format dxfId="12749">
      <pivotArea collapsedLevelsAreSubtotals="1" fieldPosition="0">
        <references count="2">
          <reference field="21" count="1">
            <x v="2"/>
          </reference>
          <reference field="22" count="1" selected="0">
            <x v="0"/>
          </reference>
        </references>
      </pivotArea>
    </format>
    <format dxfId="12750">
      <pivotArea collapsedLevelsAreSubtotals="1" fieldPosition="0">
        <references count="2">
          <reference field="21" count="1">
            <x v="3"/>
          </reference>
          <reference field="22" count="1" selected="0">
            <x v="0"/>
          </reference>
        </references>
      </pivotArea>
    </format>
    <format dxfId="12751">
      <pivotArea collapsedLevelsAreSubtotals="1" fieldPosition="0">
        <references count="2">
          <reference field="21" count="1">
            <x v="4"/>
          </reference>
          <reference field="22" count="1" selected="0">
            <x v="0"/>
          </reference>
        </references>
      </pivotArea>
    </format>
    <format dxfId="12752">
      <pivotArea collapsedLevelsAreSubtotals="1" fieldPosition="0">
        <references count="2">
          <reference field="21" count="1">
            <x v="5"/>
          </reference>
          <reference field="22" count="1" selected="0">
            <x v="0"/>
          </reference>
        </references>
      </pivotArea>
    </format>
    <format dxfId="12753">
      <pivotArea collapsedLevelsAreSubtotals="1" fieldPosition="0">
        <references count="2">
          <reference field="21" count="1">
            <x v="6"/>
          </reference>
          <reference field="22" count="1" selected="0">
            <x v="0"/>
          </reference>
        </references>
      </pivotArea>
    </format>
    <format dxfId="12754">
      <pivotArea collapsedLevelsAreSubtotals="1" fieldPosition="0">
        <references count="2">
          <reference field="21" count="1">
            <x v="7"/>
          </reference>
          <reference field="22" count="1" selected="0">
            <x v="0"/>
          </reference>
        </references>
      </pivotArea>
    </format>
    <format dxfId="12755">
      <pivotArea collapsedLevelsAreSubtotals="1" fieldPosition="0">
        <references count="2">
          <reference field="21" count="1">
            <x v="8"/>
          </reference>
          <reference field="22" count="1" selected="0">
            <x v="0"/>
          </reference>
        </references>
      </pivotArea>
    </format>
    <format dxfId="12756">
      <pivotArea collapsedLevelsAreSubtotals="1" fieldPosition="0">
        <references count="2">
          <reference field="21" count="1">
            <x v="9"/>
          </reference>
          <reference field="22" count="1" selected="0">
            <x v="0"/>
          </reference>
        </references>
      </pivotArea>
    </format>
    <format dxfId="12757">
      <pivotArea collapsedLevelsAreSubtotals="1" fieldPosition="0">
        <references count="2">
          <reference field="21" count="1">
            <x v="10"/>
          </reference>
          <reference field="22" count="1" selected="0">
            <x v="0"/>
          </reference>
        </references>
      </pivotArea>
    </format>
    <format dxfId="12758">
      <pivotArea collapsedLevelsAreSubtotals="1" fieldPosition="0">
        <references count="2">
          <reference field="21" count="1">
            <x v="11"/>
          </reference>
          <reference field="22" count="1" selected="0">
            <x v="0"/>
          </reference>
        </references>
      </pivotArea>
    </format>
    <format dxfId="12759">
      <pivotArea collapsedLevelsAreSubtotals="1" fieldPosition="0">
        <references count="2">
          <reference field="21" count="1">
            <x v="12"/>
          </reference>
          <reference field="22" count="1" selected="0">
            <x v="0"/>
          </reference>
        </references>
      </pivotArea>
    </format>
    <format dxfId="12760">
      <pivotArea collapsedLevelsAreSubtotals="1" fieldPosition="0">
        <references count="2">
          <reference field="21" count="1">
            <x v="1"/>
          </reference>
          <reference field="22" count="1" selected="0">
            <x v="1"/>
          </reference>
        </references>
      </pivotArea>
    </format>
    <format dxfId="12761">
      <pivotArea collapsedLevelsAreSubtotals="1" fieldPosition="0">
        <references count="2">
          <reference field="21" count="1">
            <x v="2"/>
          </reference>
          <reference field="22" count="1" selected="0">
            <x v="1"/>
          </reference>
        </references>
      </pivotArea>
    </format>
    <format dxfId="12762">
      <pivotArea collapsedLevelsAreSubtotals="1" fieldPosition="0">
        <references count="2">
          <reference field="21" count="1">
            <x v="3"/>
          </reference>
          <reference field="22" count="1" selected="0">
            <x v="1"/>
          </reference>
        </references>
      </pivotArea>
    </format>
    <format dxfId="12763">
      <pivotArea collapsedLevelsAreSubtotals="1" fieldPosition="0">
        <references count="2">
          <reference field="21" count="1">
            <x v="4"/>
          </reference>
          <reference field="22" count="1" selected="0">
            <x v="1"/>
          </reference>
        </references>
      </pivotArea>
    </format>
    <format dxfId="12764">
      <pivotArea collapsedLevelsAreSubtotals="1" fieldPosition="0">
        <references count="2">
          <reference field="21" count="1">
            <x v="5"/>
          </reference>
          <reference field="22" count="1" selected="0">
            <x v="1"/>
          </reference>
        </references>
      </pivotArea>
    </format>
    <format dxfId="12765">
      <pivotArea collapsedLevelsAreSubtotals="1" fieldPosition="0">
        <references count="2">
          <reference field="21" count="1">
            <x v="6"/>
          </reference>
          <reference field="22" count="1" selected="0">
            <x v="1"/>
          </reference>
        </references>
      </pivotArea>
    </format>
    <format dxfId="12766">
      <pivotArea collapsedLevelsAreSubtotals="1" fieldPosition="0">
        <references count="2">
          <reference field="21" count="1">
            <x v="7"/>
          </reference>
          <reference field="22" count="1" selected="0">
            <x v="1"/>
          </reference>
        </references>
      </pivotArea>
    </format>
    <format dxfId="12767">
      <pivotArea collapsedLevelsAreSubtotals="1" fieldPosition="0">
        <references count="2">
          <reference field="21" count="1">
            <x v="8"/>
          </reference>
          <reference field="22" count="1" selected="0">
            <x v="1"/>
          </reference>
        </references>
      </pivotArea>
    </format>
    <format dxfId="12768">
      <pivotArea collapsedLevelsAreSubtotals="1" fieldPosition="0">
        <references count="2">
          <reference field="21" count="1">
            <x v="9"/>
          </reference>
          <reference field="22" count="1" selected="0">
            <x v="1"/>
          </reference>
        </references>
      </pivotArea>
    </format>
    <format dxfId="12769">
      <pivotArea collapsedLevelsAreSubtotals="1" fieldPosition="0">
        <references count="2">
          <reference field="21" count="1">
            <x v="10"/>
          </reference>
          <reference field="22" count="1" selected="0">
            <x v="1"/>
          </reference>
        </references>
      </pivotArea>
    </format>
    <format dxfId="12770">
      <pivotArea collapsedLevelsAreSubtotals="1" fieldPosition="0">
        <references count="2">
          <reference field="21" count="1">
            <x v="11"/>
          </reference>
          <reference field="22" count="1" selected="0">
            <x v="1"/>
          </reference>
        </references>
      </pivotArea>
    </format>
    <format dxfId="12771">
      <pivotArea collapsedLevelsAreSubtotals="1" fieldPosition="0">
        <references count="2">
          <reference field="21" count="1">
            <x v="12"/>
          </reference>
          <reference field="22" count="1" selected="0">
            <x v="1"/>
          </reference>
        </references>
      </pivotArea>
    </format>
    <format dxfId="12772">
      <pivotArea field="21" grandCol="1" collapsedLevelsAreSubtotals="1" axis="axisRow" fieldPosition="0">
        <references count="1">
          <reference field="21" count="1">
            <x v="12"/>
          </reference>
        </references>
      </pivotArea>
    </format>
    <format dxfId="12773">
      <pivotArea field="21" grandCol="1" collapsedLevelsAreSubtotals="1" axis="axisRow" fieldPosition="0">
        <references count="1">
          <reference field="21" count="1">
            <x v="11"/>
          </reference>
        </references>
      </pivotArea>
    </format>
    <format dxfId="12774">
      <pivotArea field="21" grandCol="1" collapsedLevelsAreSubtotals="1" axis="axisRow" fieldPosition="0">
        <references count="1">
          <reference field="21" count="1">
            <x v="10"/>
          </reference>
        </references>
      </pivotArea>
    </format>
    <format dxfId="12775">
      <pivotArea field="21" grandCol="1" collapsedLevelsAreSubtotals="1" axis="axisRow" fieldPosition="0">
        <references count="1">
          <reference field="21" count="1">
            <x v="9"/>
          </reference>
        </references>
      </pivotArea>
    </format>
    <format dxfId="12776">
      <pivotArea field="21" grandCol="1" collapsedLevelsAreSubtotals="1" axis="axisRow" fieldPosition="0">
        <references count="1">
          <reference field="21" count="1">
            <x v="8"/>
          </reference>
        </references>
      </pivotArea>
    </format>
    <format dxfId="12777">
      <pivotArea field="21" grandCol="1" collapsedLevelsAreSubtotals="1" axis="axisRow" fieldPosition="0">
        <references count="1">
          <reference field="21" count="1">
            <x v="7"/>
          </reference>
        </references>
      </pivotArea>
    </format>
    <format dxfId="12778">
      <pivotArea field="21" grandCol="1" collapsedLevelsAreSubtotals="1" axis="axisRow" fieldPosition="0">
        <references count="1">
          <reference field="21" count="1">
            <x v="6"/>
          </reference>
        </references>
      </pivotArea>
    </format>
    <format dxfId="12779">
      <pivotArea field="21" grandCol="1" collapsedLevelsAreSubtotals="1" axis="axisRow" fieldPosition="0">
        <references count="1">
          <reference field="21" count="1">
            <x v="5"/>
          </reference>
        </references>
      </pivotArea>
    </format>
    <format dxfId="12780">
      <pivotArea field="21" grandCol="1" collapsedLevelsAreSubtotals="1" axis="axisRow" fieldPosition="0">
        <references count="1">
          <reference field="21" count="1">
            <x v="4"/>
          </reference>
        </references>
      </pivotArea>
    </format>
    <format dxfId="12781">
      <pivotArea field="21" grandCol="1" collapsedLevelsAreSubtotals="1" axis="axisRow" fieldPosition="0">
        <references count="1">
          <reference field="21" count="1">
            <x v="3"/>
          </reference>
        </references>
      </pivotArea>
    </format>
    <format dxfId="12782">
      <pivotArea field="21" grandCol="1" collapsedLevelsAreSubtotals="1" axis="axisRow" fieldPosition="0">
        <references count="1">
          <reference field="21" count="1">
            <x v="2"/>
          </reference>
        </references>
      </pivotArea>
    </format>
    <format dxfId="12783">
      <pivotArea field="21" grandCol="1" collapsedLevelsAreSubtotals="1" axis="axisRow" fieldPosition="0">
        <references count="1">
          <reference field="21" count="1">
            <x v="1"/>
          </reference>
        </references>
      </pivotArea>
    </format>
    <format dxfId="12784">
      <pivotArea grandRow="1" grandCol="1" outline="0" collapsedLevelsAreSubtotals="1" fieldPosition="0"/>
    </format>
    <format dxfId="12785">
      <pivotArea field="22" grandRow="1" outline="0" collapsedLevelsAreSubtotals="1" axis="axisCol" fieldPosition="0">
        <references count="1">
          <reference field="22" count="1" selected="0">
            <x v="1"/>
          </reference>
        </references>
      </pivotArea>
    </format>
    <format dxfId="12786">
      <pivotArea field="22" grandRow="1" outline="0" collapsedLevelsAreSubtotals="1" axis="axisCol" fieldPosition="0">
        <references count="1">
          <reference field="22" count="1" selected="0">
            <x v="0"/>
          </reference>
        </references>
      </pivotArea>
    </format>
    <format dxfId="12787">
      <pivotArea outline="0" collapsedLevelsAreSubtotals="1" fieldPosition="0"/>
    </format>
    <format dxfId="12788">
      <pivotArea outline="0" collapsedLevelsAreSubtotals="1" fieldPosition="0"/>
    </format>
    <format dxfId="12789">
      <pivotArea field="22" type="button" dataOnly="0" labelOnly="1" outline="0" axis="axisCol" fieldPosition="0"/>
    </format>
    <format dxfId="12790">
      <pivotArea type="topRight" dataOnly="0" labelOnly="1" outline="0" fieldPosition="0"/>
    </format>
    <format dxfId="12791">
      <pivotArea dataOnly="0" labelOnly="1" fieldPosition="0">
        <references count="1">
          <reference field="22" count="2">
            <x v="0"/>
            <x v="1"/>
          </reference>
        </references>
      </pivotArea>
    </format>
    <format dxfId="12792">
      <pivotArea dataOnly="0" labelOnly="1" grandCol="1" outline="0" fieldPosition="0"/>
    </format>
    <format dxfId="12793">
      <pivotArea field="22" type="button" dataOnly="0" labelOnly="1" outline="0" axis="axisCol" fieldPosition="0"/>
    </format>
    <format dxfId="12794">
      <pivotArea type="topRight" dataOnly="0" labelOnly="1" outline="0" fieldPosition="0"/>
    </format>
    <format dxfId="12795">
      <pivotArea dataOnly="0" labelOnly="1" fieldPosition="0">
        <references count="1">
          <reference field="22" count="2">
            <x v="0"/>
            <x v="1"/>
          </reference>
        </references>
      </pivotArea>
    </format>
    <format dxfId="12796">
      <pivotArea dataOnly="0" labelOnly="1" grandCol="1" outline="0" fieldPosition="0"/>
    </format>
    <format dxfId="12797">
      <pivotArea type="origin" dataOnly="0" labelOnly="1" outline="0" fieldPosition="0"/>
    </format>
    <format dxfId="12798">
      <pivotArea field="21" type="button" dataOnly="0" labelOnly="1" outline="0" axis="axisRow" fieldPosition="0"/>
    </format>
    <format dxfId="12799">
      <pivotArea type="origin" dataOnly="0" labelOnly="1" outline="0" fieldPosition="0"/>
    </format>
    <format dxfId="12800">
      <pivotArea field="21" type="button" dataOnly="0" labelOnly="1" outline="0" axis="axisRow" fieldPosition="0"/>
    </format>
  </formats>
  <chartFormats count="7">
    <chartFormat chart="2" format="4" series="1">
      <pivotArea type="data" outline="0" fieldPosition="0">
        <references count="2">
          <reference field="4294967294" count="1" selected="0">
            <x v="0"/>
          </reference>
          <reference field="22" count="1" selected="0">
            <x v="0"/>
          </reference>
        </references>
      </pivotArea>
    </chartFormat>
    <chartFormat chart="2" format="5" series="1">
      <pivotArea type="data" outline="0" fieldPosition="0">
        <references count="2">
          <reference field="4294967294" count="1" selected="0">
            <x v="0"/>
          </reference>
          <reference field="22" count="1" selected="0">
            <x v="1"/>
          </reference>
        </references>
      </pivotArea>
    </chartFormat>
    <chartFormat chart="2" format="6">
      <pivotArea type="data" outline="0" fieldPosition="0">
        <references count="3">
          <reference field="4294967294" count="1" selected="0">
            <x v="0"/>
          </reference>
          <reference field="21" count="1" selected="0">
            <x v="8"/>
          </reference>
          <reference field="22" count="1" selected="0">
            <x v="0"/>
          </reference>
        </references>
      </pivotArea>
    </chartFormat>
    <chartFormat chart="2" format="7">
      <pivotArea type="data" outline="0" fieldPosition="0">
        <references count="3">
          <reference field="4294967294" count="1" selected="0">
            <x v="0"/>
          </reference>
          <reference field="21" count="1" selected="0">
            <x v="8"/>
          </reference>
          <reference field="22" count="1" selected="0">
            <x v="1"/>
          </reference>
        </references>
      </pivotArea>
    </chartFormat>
    <chartFormat chart="2" format="8">
      <pivotArea type="data" outline="0" fieldPosition="0">
        <references count="3">
          <reference field="4294967294" count="1" selected="0">
            <x v="0"/>
          </reference>
          <reference field="21" count="1" selected="0">
            <x v="6"/>
          </reference>
          <reference field="22" count="1" selected="0">
            <x v="0"/>
          </reference>
        </references>
      </pivotArea>
    </chartFormat>
    <chartFormat chart="2" format="9">
      <pivotArea type="data" outline="0" fieldPosition="0">
        <references count="3">
          <reference field="4294967294" count="1" selected="0">
            <x v="0"/>
          </reference>
          <reference field="21" count="1" selected="0">
            <x v="6"/>
          </reference>
          <reference field="22" count="1" selected="0">
            <x v="1"/>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1A1D07-2C25-48C8-A3C9-2B1E76AC57E7}" name="Sales by Region and city" cacheId="0" applyNumberFormats="0" applyBorderFormats="0" applyFontFormats="0" applyPatternFormats="0" applyAlignmentFormats="0" applyWidthHeightFormats="1" dataCaption="Values" updatedVersion="8" minRefreshableVersion="5" showDataTips="0" itemPrintTitles="1" createdVersion="8" indent="0" outline="1" outlineData="1" multipleFieldFilters="0" chartFormat="17" rowHeaderCaption="City" colHeaderCaption="Region">
  <location ref="B2:G9"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items count="6">
        <item x="2"/>
        <item x="0"/>
        <item x="1"/>
        <item x="4"/>
        <item x="3"/>
        <item t="default"/>
      </items>
    </pivotField>
    <pivotField showAll="0">
      <items count="6">
        <item x="4"/>
        <item x="1"/>
        <item x="2"/>
        <item x="3"/>
        <item x="0"/>
        <item t="default"/>
      </items>
    </pivotField>
    <pivotField showAll="0">
      <items count="6">
        <item x="3"/>
        <item x="1"/>
        <item x="2"/>
        <item x="0"/>
        <item x="4"/>
        <item t="default"/>
      </items>
    </pivotField>
    <pivotField showAll="0"/>
    <pivotField axis="axisRow" showAll="0">
      <items count="6">
        <item x="1"/>
        <item x="3"/>
        <item x="4"/>
        <item x="0"/>
        <item x="2"/>
        <item t="default"/>
      </items>
    </pivotField>
    <pivotField axis="axisCol"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pivotField showAll="0"/>
    <pivotField showAll="0"/>
    <pivotField showAll="0"/>
    <pivotField numFmtId="170" showAll="0"/>
    <pivotField dataField="1" showAll="0"/>
    <pivotField numFmtId="170"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s>
  <rowFields count="1">
    <field x="6"/>
  </rowFields>
  <rowItems count="6">
    <i>
      <x/>
    </i>
    <i>
      <x v="1"/>
    </i>
    <i>
      <x v="2"/>
    </i>
    <i>
      <x v="3"/>
    </i>
    <i>
      <x v="4"/>
    </i>
    <i t="grand">
      <x/>
    </i>
  </rowItems>
  <colFields count="1">
    <field x="7"/>
  </colFields>
  <colItems count="5">
    <i>
      <x/>
    </i>
    <i>
      <x v="1"/>
    </i>
    <i>
      <x v="2"/>
    </i>
    <i>
      <x v="3"/>
    </i>
    <i t="grand">
      <x/>
    </i>
  </colItems>
  <dataFields count="1">
    <dataField name="Sum of Net Sales Amount" fld="15" baseField="6" baseItem="2" numFmtId="165"/>
  </dataFields>
  <formats count="32">
    <format dxfId="12650">
      <pivotArea type="all" dataOnly="0" outline="0" fieldPosition="0"/>
    </format>
    <format dxfId="12651">
      <pivotArea outline="0" collapsedLevelsAreSubtotals="1" fieldPosition="0"/>
    </format>
    <format dxfId="12652">
      <pivotArea type="origin" dataOnly="0" labelOnly="1" outline="0" fieldPosition="0"/>
    </format>
    <format dxfId="12653">
      <pivotArea field="6" type="button" dataOnly="0" labelOnly="1" outline="0" axis="axisRow" fieldPosition="0"/>
    </format>
    <format dxfId="12654">
      <pivotArea type="topRight" dataOnly="0" labelOnly="1" outline="0" fieldPosition="0"/>
    </format>
    <format dxfId="12655">
      <pivotArea field="2" type="button" dataOnly="0" labelOnly="1" outline="0"/>
    </format>
    <format dxfId="12656">
      <pivotArea dataOnly="0" labelOnly="1" grandRow="1" outline="0" fieldPosition="0"/>
    </format>
    <format dxfId="12657">
      <pivotArea dataOnly="0" labelOnly="1" fieldPosition="0">
        <references count="1">
          <reference field="6" count="0"/>
        </references>
      </pivotArea>
    </format>
    <format dxfId="12658">
      <pivotArea dataOnly="0" labelOnly="1" grandCol="1" outline="0" fieldPosition="0"/>
    </format>
    <format dxfId="12659">
      <pivotArea grandRow="1" grandCol="1" outline="0" collapsedLevelsAreSubtotals="1" fieldPosition="0"/>
    </format>
    <format dxfId="12660">
      <pivotArea field="6" grandCol="1" outline="0" collapsedLevelsAreSubtotals="1" axis="axisRow" fieldPosition="0">
        <references count="1">
          <reference field="6" count="0" selected="0"/>
        </references>
      </pivotArea>
    </format>
    <format dxfId="12661">
      <pivotArea type="topRight" dataOnly="0" labelOnly="1" outline="0" fieldPosition="0"/>
    </format>
    <format dxfId="12662">
      <pivotArea type="topRight" dataOnly="0" labelOnly="1" outline="0" fieldPosition="0"/>
    </format>
    <format dxfId="12663">
      <pivotArea field="2" type="button" dataOnly="0" labelOnly="1" outline="0"/>
    </format>
    <format dxfId="12664">
      <pivotArea field="2" type="button" dataOnly="0" labelOnly="1" outline="0"/>
    </format>
    <format dxfId="12665">
      <pivotArea type="origin" dataOnly="0" labelOnly="1" outline="0" fieldPosition="0"/>
    </format>
    <format dxfId="12666">
      <pivotArea type="origin" dataOnly="0" labelOnly="1" outline="0" fieldPosition="0"/>
    </format>
    <format dxfId="12667">
      <pivotArea field="6" type="button" dataOnly="0" labelOnly="1" outline="0" axis="axisRow" fieldPosition="0"/>
    </format>
    <format dxfId="12668">
      <pivotArea dataOnly="0" labelOnly="1" fieldPosition="0">
        <references count="1">
          <reference field="6" count="0"/>
        </references>
      </pivotArea>
    </format>
    <format dxfId="12669">
      <pivotArea field="6" type="button" dataOnly="0" labelOnly="1" outline="0" axis="axisRow" fieldPosition="0"/>
    </format>
    <format dxfId="12670">
      <pivotArea dataOnly="0" labelOnly="1" fieldPosition="0">
        <references count="1">
          <reference field="6" count="0"/>
        </references>
      </pivotArea>
    </format>
    <format dxfId="12671">
      <pivotArea outline="0" fieldPosition="0">
        <references count="1">
          <reference field="4294967294" count="1">
            <x v="0"/>
          </reference>
        </references>
      </pivotArea>
    </format>
    <format dxfId="12672">
      <pivotArea outline="0" collapsedLevelsAreSubtotals="1" fieldPosition="0">
        <references count="1">
          <reference field="7" count="0" selected="0"/>
        </references>
      </pivotArea>
    </format>
    <format dxfId="12673">
      <pivotArea outline="0" collapsedLevelsAreSubtotals="1" fieldPosition="0">
        <references count="1">
          <reference field="7" count="0" selected="0"/>
        </references>
      </pivotArea>
    </format>
    <format dxfId="12674">
      <pivotArea collapsedLevelsAreSubtotals="1" fieldPosition="0">
        <references count="1">
          <reference field="6" count="0"/>
        </references>
      </pivotArea>
    </format>
    <format dxfId="12675">
      <pivotArea dataOnly="0" labelOnly="1" fieldPosition="0">
        <references count="1">
          <reference field="6" count="0"/>
        </references>
      </pivotArea>
    </format>
    <format dxfId="12676">
      <pivotArea collapsedLevelsAreSubtotals="1" fieldPosition="0">
        <references count="1">
          <reference field="6" count="0"/>
        </references>
      </pivotArea>
    </format>
    <format dxfId="12677">
      <pivotArea dataOnly="0" labelOnly="1" fieldPosition="0">
        <references count="1">
          <reference field="6" count="0"/>
        </references>
      </pivotArea>
    </format>
    <format dxfId="12678">
      <pivotArea dataOnly="0" labelOnly="1" fieldPosition="0">
        <references count="1">
          <reference field="7" count="0"/>
        </references>
      </pivotArea>
    </format>
    <format dxfId="12679">
      <pivotArea dataOnly="0" labelOnly="1" grandCol="1" outline="0" fieldPosition="0"/>
    </format>
    <format dxfId="12680">
      <pivotArea dataOnly="0" labelOnly="1" fieldPosition="0">
        <references count="1">
          <reference field="7" count="0"/>
        </references>
      </pivotArea>
    </format>
    <format dxfId="1268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CD32D2-A5C7-4C0F-A474-C6023894C64B}" name="PivotTable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rowHeaderCaption="Region" colHeaderCaption="Months">
  <location ref="B41:G55"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axis="axisCol"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pivotField showAll="0"/>
    <pivotField showAll="0"/>
    <pivotField showAll="0"/>
    <pivotField numFmtId="170" showAll="0"/>
    <pivotField showAll="0"/>
    <pivotField dataField="1" numFmtId="170"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4">
        <item x="1"/>
        <item x="2"/>
        <item x="0"/>
        <item x="3"/>
      </items>
    </pivotField>
  </pivotFields>
  <rowFields count="1">
    <field x="21"/>
  </rowFields>
  <rowItems count="13">
    <i>
      <x v="1"/>
    </i>
    <i>
      <x v="2"/>
    </i>
    <i>
      <x v="3"/>
    </i>
    <i>
      <x v="4"/>
    </i>
    <i>
      <x v="5"/>
    </i>
    <i>
      <x v="6"/>
    </i>
    <i>
      <x v="7"/>
    </i>
    <i>
      <x v="8"/>
    </i>
    <i>
      <x v="9"/>
    </i>
    <i>
      <x v="10"/>
    </i>
    <i>
      <x v="11"/>
    </i>
    <i>
      <x v="12"/>
    </i>
    <i t="grand">
      <x/>
    </i>
  </rowItems>
  <colFields count="1">
    <field x="7"/>
  </colFields>
  <colItems count="5">
    <i>
      <x/>
    </i>
    <i>
      <x v="1"/>
    </i>
    <i>
      <x v="2"/>
    </i>
    <i>
      <x v="3"/>
    </i>
    <i t="grand">
      <x/>
    </i>
  </colItems>
  <dataFields count="1">
    <dataField name="Sum of Net Sales  (Cr)" fld="16" baseField="0" baseItem="0" numFmtId="170"/>
  </dataFields>
  <formats count="24">
    <format dxfId="12714">
      <pivotArea type="all" dataOnly="0" outline="0" fieldPosition="0"/>
    </format>
    <format dxfId="12715">
      <pivotArea outline="0" collapsedLevelsAreSubtotals="1" fieldPosition="0"/>
    </format>
    <format dxfId="12716">
      <pivotArea type="origin" dataOnly="0" labelOnly="1" outline="0" fieldPosition="0"/>
    </format>
    <format dxfId="12717">
      <pivotArea field="21" type="button" dataOnly="0" labelOnly="1" outline="0" axis="axisRow" fieldPosition="0"/>
    </format>
    <format dxfId="12718">
      <pivotArea type="topRight" dataOnly="0" labelOnly="1" outline="0" fieldPosition="0"/>
    </format>
    <format dxfId="12719">
      <pivotArea field="7" type="button" dataOnly="0" labelOnly="1" outline="0" axis="axisCol" fieldPosition="0"/>
    </format>
    <format dxfId="12720">
      <pivotArea dataOnly="0" labelOnly="1" fieldPosition="0">
        <references count="1">
          <reference field="7" count="0"/>
        </references>
      </pivotArea>
    </format>
    <format dxfId="12721">
      <pivotArea dataOnly="0" labelOnly="1" grandRow="1" outline="0" fieldPosition="0"/>
    </format>
    <format dxfId="12722">
      <pivotArea dataOnly="0" labelOnly="1" fieldPosition="0">
        <references count="1">
          <reference field="21" count="12">
            <x v="1"/>
            <x v="2"/>
            <x v="3"/>
            <x v="4"/>
            <x v="5"/>
            <x v="6"/>
            <x v="7"/>
            <x v="8"/>
            <x v="9"/>
            <x v="10"/>
            <x v="11"/>
            <x v="12"/>
          </reference>
        </references>
      </pivotArea>
    </format>
    <format dxfId="12723">
      <pivotArea dataOnly="0" labelOnly="1" grandCol="1" outline="0" fieldPosition="0"/>
    </format>
    <format dxfId="12724">
      <pivotArea outline="0" collapsedLevelsAreSubtotals="1" fieldPosition="0"/>
    </format>
    <format dxfId="12725">
      <pivotArea dataOnly="0" labelOnly="1" fieldPosition="0">
        <references count="1">
          <reference field="21" count="12">
            <x v="1"/>
            <x v="2"/>
            <x v="3"/>
            <x v="4"/>
            <x v="5"/>
            <x v="6"/>
            <x v="7"/>
            <x v="8"/>
            <x v="9"/>
            <x v="10"/>
            <x v="11"/>
            <x v="12"/>
          </reference>
        </references>
      </pivotArea>
    </format>
    <format dxfId="12726">
      <pivotArea dataOnly="0" labelOnly="1" fieldPosition="0">
        <references count="1">
          <reference field="21" count="12">
            <x v="1"/>
            <x v="2"/>
            <x v="3"/>
            <x v="4"/>
            <x v="5"/>
            <x v="6"/>
            <x v="7"/>
            <x v="8"/>
            <x v="9"/>
            <x v="10"/>
            <x v="11"/>
            <x v="12"/>
          </reference>
        </references>
      </pivotArea>
    </format>
    <format dxfId="12727">
      <pivotArea field="21" type="button" dataOnly="0" labelOnly="1" outline="0" axis="axisRow" fieldPosition="0"/>
    </format>
    <format dxfId="12728">
      <pivotArea field="21" type="button" dataOnly="0" labelOnly="1" outline="0" axis="axisRow" fieldPosition="0"/>
    </format>
    <format dxfId="12729">
      <pivotArea type="origin" dataOnly="0" labelOnly="1" outline="0" fieldPosition="0"/>
    </format>
    <format dxfId="12730">
      <pivotArea type="origin" dataOnly="0" labelOnly="1" outline="0" fieldPosition="0"/>
    </format>
    <format dxfId="12731">
      <pivotArea type="origin" dataOnly="0" labelOnly="1" outline="0" fieldPosition="0"/>
    </format>
    <format dxfId="12732">
      <pivotArea dataOnly="0" labelOnly="1" fieldPosition="0">
        <references count="1">
          <reference field="7" count="0"/>
        </references>
      </pivotArea>
    </format>
    <format dxfId="12733">
      <pivotArea dataOnly="0" labelOnly="1" grandCol="1" outline="0" fieldPosition="0"/>
    </format>
    <format dxfId="12734">
      <pivotArea dataOnly="0" labelOnly="1" fieldPosition="0">
        <references count="1">
          <reference field="7" count="0"/>
        </references>
      </pivotArea>
    </format>
    <format dxfId="12735">
      <pivotArea dataOnly="0" labelOnly="1" grandCol="1" outline="0" fieldPosition="0"/>
    </format>
    <format dxfId="12736">
      <pivotArea dataOnly="0" labelOnly="1" grandRow="1" outline="0" fieldPosition="0"/>
    </format>
    <format dxfId="127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2EF76A-D854-4777-AAD6-7881F6AE1FE3}" name="Region based sales" cacheId="0" applyNumberFormats="0" applyBorderFormats="0" applyFontFormats="0" applyPatternFormats="0" applyAlignmentFormats="0" applyWidthHeightFormats="1" dataCaption="Values" updatedVersion="8" minRefreshableVersion="5" showDataTips="0" itemPrintTitles="1" createdVersion="8" indent="0" outline="1" outlineData="1" multipleFieldFilters="0" chartFormat="6" rowHeaderCaption="Region">
  <location ref="B33:D38" firstHeaderRow="0" firstDataRow="1"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axis="axisRow"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pivotField showAll="0"/>
    <pivotField showAll="0"/>
    <pivotField dataField="1" showAll="0"/>
    <pivotField numFmtId="170" showAll="0"/>
    <pivotField dataField="1" showAll="0"/>
    <pivotField numFmtId="170" showAll="0"/>
    <pivotField showAll="0"/>
    <pivotField showAll="0"/>
    <pivotField showAll="0"/>
    <pivotField showAll="0"/>
    <pivotField showAll="0" defaultSubtotal="0"/>
    <pivotField showAll="0" defaultSubtotal="0">
      <items count="4">
        <item x="1"/>
        <item x="2"/>
        <item x="0"/>
        <item x="3"/>
      </items>
    </pivotField>
  </pivotFields>
  <rowFields count="1">
    <field x="7"/>
  </rowFields>
  <rowItems count="5">
    <i>
      <x/>
    </i>
    <i>
      <x v="1"/>
    </i>
    <i>
      <x v="2"/>
    </i>
    <i>
      <x v="3"/>
    </i>
    <i t="grand">
      <x/>
    </i>
  </rowItems>
  <colFields count="1">
    <field x="-2"/>
  </colFields>
  <colItems count="2">
    <i>
      <x/>
    </i>
    <i i="1">
      <x v="1"/>
    </i>
  </colItems>
  <dataFields count="2">
    <dataField name="Sum of Gross Amount" fld="13" baseField="0" baseItem="0"/>
    <dataField name="Sum of Net Sales Amount" fld="15" baseField="0" baseItem="0"/>
  </dataFields>
  <formats count="11">
    <format dxfId="12682">
      <pivotArea type="all" dataOnly="0" outline="0" fieldPosition="0"/>
    </format>
    <format dxfId="12683">
      <pivotArea outline="0" collapsedLevelsAreSubtotals="1" fieldPosition="0"/>
    </format>
    <format dxfId="12684">
      <pivotArea field="7" type="button" dataOnly="0" labelOnly="1" outline="0" axis="axisRow" fieldPosition="0"/>
    </format>
    <format dxfId="12685">
      <pivotArea dataOnly="0" labelOnly="1" fieldPosition="0">
        <references count="1">
          <reference field="7" count="0"/>
        </references>
      </pivotArea>
    </format>
    <format dxfId="12686">
      <pivotArea dataOnly="0" labelOnly="1" grandRow="1" outline="0" fieldPosition="0"/>
    </format>
    <format dxfId="12687">
      <pivotArea dataOnly="0" labelOnly="1" outline="0" fieldPosition="0">
        <references count="1">
          <reference field="4294967294" count="2">
            <x v="0"/>
            <x v="1"/>
          </reference>
        </references>
      </pivotArea>
    </format>
    <format dxfId="12688">
      <pivotArea outline="0" collapsedLevelsAreSubtotals="1" fieldPosition="0"/>
    </format>
    <format dxfId="12689">
      <pivotArea outline="0" collapsedLevelsAreSubtotals="1" fieldPosition="0"/>
    </format>
    <format dxfId="12690">
      <pivotArea outline="0" collapsedLevelsAreSubtotals="1" fieldPosition="0"/>
    </format>
    <format dxfId="12691">
      <pivotArea dataOnly="0" labelOnly="1" outline="0" fieldPosition="0">
        <references count="1">
          <reference field="4294967294" count="2">
            <x v="0"/>
            <x v="1"/>
          </reference>
        </references>
      </pivotArea>
    </format>
    <format dxfId="12692">
      <pivotArea dataOnly="0" labelOnly="1" outline="0" fieldPosition="0">
        <references count="1">
          <reference field="4294967294" count="2">
            <x v="0"/>
            <x v="1"/>
          </reference>
        </references>
      </pivotArea>
    </format>
  </format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2" format="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57D286-B58E-42BF-9A5C-AD23AE576782}" name="Tractor Brand sales" cacheId="0" applyNumberFormats="0" applyBorderFormats="0" applyFontFormats="0" applyPatternFormats="0" applyAlignmentFormats="0" applyWidthHeightFormats="1" dataCaption="Values" updatedVersion="8" minRefreshableVersion="5" showDataTips="0" itemPrintTitles="1" createdVersion="8" indent="0" outline="1" outlineData="1" multipleFieldFilters="0" chartFormat="8" rowHeaderCaption="Tractor Model Name" colHeaderCaption="Brand Name">
  <location ref="B2:F9"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axis="axisRow" showAll="0">
      <items count="6">
        <item x="1"/>
        <item x="4"/>
        <item x="0"/>
        <item x="2"/>
        <item x="3"/>
        <item t="default"/>
      </items>
    </pivotField>
    <pivotField axis="axisCol" showAll="0">
      <items count="4">
        <item x="1"/>
        <item x="0"/>
        <item x="2"/>
        <item t="default"/>
      </items>
    </pivotField>
    <pivotField showAll="0"/>
    <pivotField showAll="0"/>
    <pivotField showAll="0"/>
    <pivotField showAll="0"/>
    <pivotField numFmtId="170" showAll="0"/>
    <pivotField dataField="1" showAll="0"/>
    <pivotField numFmtId="170" showAll="0"/>
    <pivotField showAll="0"/>
    <pivotField showAll="0"/>
    <pivotField showAll="0"/>
    <pivotField showAll="0"/>
    <pivotField showAll="0" defaultSubtotal="0"/>
    <pivotField showAll="0" defaultSubtotal="0">
      <items count="4">
        <item x="1"/>
        <item x="2"/>
        <item x="0"/>
        <item x="3"/>
      </items>
    </pivotField>
  </pivotFields>
  <rowFields count="1">
    <field x="8"/>
  </rowFields>
  <rowItems count="6">
    <i>
      <x/>
    </i>
    <i>
      <x v="1"/>
    </i>
    <i>
      <x v="2"/>
    </i>
    <i>
      <x v="3"/>
    </i>
    <i>
      <x v="4"/>
    </i>
    <i t="grand">
      <x/>
    </i>
  </rowItems>
  <colFields count="1">
    <field x="9"/>
  </colFields>
  <colItems count="4">
    <i>
      <x/>
    </i>
    <i>
      <x v="1"/>
    </i>
    <i>
      <x v="2"/>
    </i>
    <i t="grand">
      <x/>
    </i>
  </colItems>
  <dataFields count="1">
    <dataField name="Sum of Net Sales Amount" fld="15" baseField="9" baseItem="0" numFmtId="165"/>
  </dataFields>
  <formats count="15">
    <format dxfId="12964">
      <pivotArea type="all" dataOnly="0" outline="0" fieldPosition="0"/>
    </format>
    <format dxfId="12965">
      <pivotArea outline="0" collapsedLevelsAreSubtotals="1" fieldPosition="0"/>
    </format>
    <format dxfId="12966">
      <pivotArea type="origin" dataOnly="0" labelOnly="1" outline="0" fieldPosition="0"/>
    </format>
    <format dxfId="12967">
      <pivotArea field="9" type="button" dataOnly="0" labelOnly="1" outline="0" axis="axisCol" fieldPosition="0"/>
    </format>
    <format dxfId="12968">
      <pivotArea type="topRight" dataOnly="0" labelOnly="1" outline="0" fieldPosition="0"/>
    </format>
    <format dxfId="12969">
      <pivotArea field="8" type="button" dataOnly="0" labelOnly="1" outline="0" axis="axisRow" fieldPosition="0"/>
    </format>
    <format dxfId="12970">
      <pivotArea dataOnly="0" labelOnly="1" grandRow="1" outline="0" fieldPosition="0"/>
    </format>
    <format dxfId="12971">
      <pivotArea dataOnly="0" labelOnly="1" grandCol="1" outline="0" fieldPosition="0"/>
    </format>
    <format dxfId="12972">
      <pivotArea dataOnly="0" labelOnly="1" grandCol="1" outline="0" fieldPosition="0"/>
    </format>
    <format dxfId="12973">
      <pivotArea dataOnly="0" labelOnly="1" grandCol="1" outline="0" fieldPosition="0"/>
    </format>
    <format dxfId="12974">
      <pivotArea field="9" type="button" dataOnly="0" labelOnly="1" outline="0" axis="axisCol" fieldPosition="0"/>
    </format>
    <format dxfId="12975">
      <pivotArea field="9" type="button" dataOnly="0" labelOnly="1" outline="0" axis="axisCol" fieldPosition="0"/>
    </format>
    <format dxfId="12976">
      <pivotArea outline="0" fieldPosition="0">
        <references count="1">
          <reference field="4294967294" count="1">
            <x v="0"/>
          </reference>
        </references>
      </pivotArea>
    </format>
    <format dxfId="12977">
      <pivotArea outline="0" collapsedLevelsAreSubtotals="1" fieldPosition="0"/>
    </format>
    <format dxfId="12978">
      <pivotArea outline="0" collapsedLevelsAreSubtotals="1" fieldPosition="0"/>
    </format>
  </formats>
  <chartFormats count="4">
    <chartFormat chart="3" format="19" series="1">
      <pivotArea type="data" outline="0" fieldPosition="0">
        <references count="1">
          <reference field="4294967294" count="1" selected="0">
            <x v="0"/>
          </reference>
        </references>
      </pivotArea>
    </chartFormat>
    <chartFormat chart="3" format="25" series="1">
      <pivotArea type="data" outline="0" fieldPosition="0">
        <references count="2">
          <reference field="4294967294" count="1" selected="0">
            <x v="0"/>
          </reference>
          <reference field="9" count="1" selected="0">
            <x v="0"/>
          </reference>
        </references>
      </pivotArea>
    </chartFormat>
    <chartFormat chart="3" format="30" series="1">
      <pivotArea type="data" outline="0" fieldPosition="0">
        <references count="2">
          <reference field="4294967294" count="1" selected="0">
            <x v="0"/>
          </reference>
          <reference field="9" count="1" selected="0">
            <x v="1"/>
          </reference>
        </references>
      </pivotArea>
    </chartFormat>
    <chartFormat chart="3" format="31"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3F9F0D-6D92-497A-BC01-73069BB628CC}" name="Modelwise sales" cacheId="0" applyNumberFormats="0" applyBorderFormats="0" applyFontFormats="0" applyPatternFormats="0" applyAlignmentFormats="0" applyWidthHeightFormats="1" dataCaption="Values" updatedVersion="8" minRefreshableVersion="5" showDataTips="0" itemPrintTitles="1" createdVersion="8" indent="0" outline="1" outlineData="1" multipleFieldFilters="0" chartFormat="6" rowHeaderCaption="Dealer Name" colHeaderCaption="Model Name">
  <location ref="B57:H64"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axis="axisCol"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axis="axisRow" showAll="0">
      <items count="6">
        <item x="1"/>
        <item x="4"/>
        <item x="0"/>
        <item x="2"/>
        <item x="3"/>
        <item t="default"/>
      </items>
    </pivotField>
    <pivotField showAll="0">
      <items count="4">
        <item x="0"/>
        <item x="1"/>
        <item x="2"/>
        <item t="default"/>
      </items>
    </pivotField>
    <pivotField dataField="1" showAll="0"/>
    <pivotField showAll="0"/>
    <pivotField showAll="0"/>
    <pivotField showAll="0"/>
    <pivotField numFmtId="170" showAll="0"/>
    <pivotField showAll="0"/>
    <pivotField numFmtId="170" showAll="0"/>
    <pivotField showAll="0"/>
    <pivotField showAll="0"/>
    <pivotField showAll="0"/>
    <pivotField showAll="0"/>
    <pivotField showAll="0" defaultSubtotal="0"/>
    <pivotField showAll="0" defaultSubtotal="0">
      <items count="4">
        <item x="1"/>
        <item x="2"/>
        <item x="0"/>
        <item x="3"/>
      </items>
    </pivotField>
  </pivotFields>
  <rowFields count="1">
    <field x="8"/>
  </rowFields>
  <rowItems count="6">
    <i>
      <x/>
    </i>
    <i>
      <x v="1"/>
    </i>
    <i>
      <x v="2"/>
    </i>
    <i>
      <x v="3"/>
    </i>
    <i>
      <x v="4"/>
    </i>
    <i t="grand">
      <x/>
    </i>
  </rowItems>
  <colFields count="1">
    <field x="3"/>
  </colFields>
  <colItems count="6">
    <i>
      <x/>
    </i>
    <i>
      <x v="2"/>
    </i>
    <i>
      <x v="1"/>
    </i>
    <i>
      <x v="3"/>
    </i>
    <i>
      <x v="4"/>
    </i>
    <i t="grand">
      <x/>
    </i>
  </colItems>
  <dataFields count="1">
    <dataField name="Sum of Quantity" fld="10" baseField="3" baseItem="0"/>
  </dataFields>
  <formats count="20">
    <format dxfId="13060">
      <pivotArea type="all" dataOnly="0" outline="0" fieldPosition="0"/>
    </format>
    <format dxfId="13061">
      <pivotArea outline="0" collapsedLevelsAreSubtotals="1" fieldPosition="0"/>
    </format>
    <format dxfId="13062">
      <pivotArea type="origin" dataOnly="0" labelOnly="1" outline="0" fieldPosition="0"/>
    </format>
    <format dxfId="13063">
      <pivotArea field="8" type="button" dataOnly="0" labelOnly="1" outline="0" axis="axisRow" fieldPosition="0"/>
    </format>
    <format dxfId="13064">
      <pivotArea type="topRight" dataOnly="0" labelOnly="1" outline="0" fieldPosition="0"/>
    </format>
    <format dxfId="13065">
      <pivotArea field="3" type="button" dataOnly="0" labelOnly="1" outline="0" axis="axisCol" fieldPosition="0"/>
    </format>
    <format dxfId="13066">
      <pivotArea dataOnly="0" labelOnly="1" fieldPosition="0">
        <references count="1">
          <reference field="3" count="0"/>
        </references>
      </pivotArea>
    </format>
    <format dxfId="13067">
      <pivotArea dataOnly="0" labelOnly="1" grandRow="1" outline="0" fieldPosition="0"/>
    </format>
    <format dxfId="13068">
      <pivotArea dataOnly="0" labelOnly="1" fieldPosition="0">
        <references count="1">
          <reference field="8" count="0"/>
        </references>
      </pivotArea>
    </format>
    <format dxfId="13069">
      <pivotArea dataOnly="0" labelOnly="1" grandCol="1" outline="0" fieldPosition="0"/>
    </format>
    <format dxfId="13070">
      <pivotArea field="8" type="button" dataOnly="0" labelOnly="1" outline="0" axis="axisRow" fieldPosition="0"/>
    </format>
    <format dxfId="13071">
      <pivotArea dataOnly="0" labelOnly="1" fieldPosition="0">
        <references count="1">
          <reference field="8" count="0"/>
        </references>
      </pivotArea>
    </format>
    <format dxfId="13072">
      <pivotArea field="8" type="button" dataOnly="0" labelOnly="1" outline="0" axis="axisRow" fieldPosition="0"/>
    </format>
    <format dxfId="13073">
      <pivotArea dataOnly="0" labelOnly="1" fieldPosition="0">
        <references count="1">
          <reference field="8" count="0"/>
        </references>
      </pivotArea>
    </format>
    <format dxfId="13074">
      <pivotArea outline="0" collapsedLevelsAreSubtotals="1" fieldPosition="0"/>
    </format>
    <format dxfId="13075">
      <pivotArea dataOnly="0" labelOnly="1" fieldPosition="0">
        <references count="1">
          <reference field="3" count="0"/>
        </references>
      </pivotArea>
    </format>
    <format dxfId="13076">
      <pivotArea dataOnly="0" labelOnly="1" grandCol="1" outline="0" fieldPosition="0"/>
    </format>
    <format dxfId="13077">
      <pivotArea outline="0" collapsedLevelsAreSubtotals="1" fieldPosition="0"/>
    </format>
    <format dxfId="13078">
      <pivotArea dataOnly="0" labelOnly="1" fieldPosition="0">
        <references count="1">
          <reference field="3" count="0"/>
        </references>
      </pivotArea>
    </format>
    <format dxfId="13079">
      <pivotArea dataOnly="0" labelOnly="1" grandCol="1" outline="0" fieldPosition="0"/>
    </format>
  </formats>
  <chartFormats count="6">
    <chartFormat chart="4" format="10" series="1">
      <pivotArea type="data" outline="0" fieldPosition="0">
        <references count="2">
          <reference field="4294967294" count="1" selected="0">
            <x v="0"/>
          </reference>
          <reference field="3" count="1" selected="0">
            <x v="0"/>
          </reference>
        </references>
      </pivotArea>
    </chartFormat>
    <chartFormat chart="4" format="16" series="1">
      <pivotArea type="data" outline="0" fieldPosition="0">
        <references count="2">
          <reference field="4294967294" count="1" selected="0">
            <x v="0"/>
          </reference>
          <reference field="3" count="1" selected="0">
            <x v="2"/>
          </reference>
        </references>
      </pivotArea>
    </chartFormat>
    <chartFormat chart="4" format="17" series="1">
      <pivotArea type="data" outline="0" fieldPosition="0">
        <references count="2">
          <reference field="4294967294" count="1" selected="0">
            <x v="0"/>
          </reference>
          <reference field="3" count="1" selected="0">
            <x v="1"/>
          </reference>
        </references>
      </pivotArea>
    </chartFormat>
    <chartFormat chart="4" format="18" series="1">
      <pivotArea type="data" outline="0" fieldPosition="0">
        <references count="2">
          <reference field="4294967294" count="1" selected="0">
            <x v="0"/>
          </reference>
          <reference field="3" count="1" selected="0">
            <x v="3"/>
          </reference>
        </references>
      </pivotArea>
    </chartFormat>
    <chartFormat chart="4" format="19" series="1">
      <pivotArea type="data" outline="0" fieldPosition="0">
        <references count="2">
          <reference field="4294967294" count="1" selected="0">
            <x v="0"/>
          </reference>
          <reference field="3" count="1" selected="0">
            <x v="4"/>
          </reference>
        </references>
      </pivotArea>
    </chartFormat>
    <chartFormat chart="4"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42AB49-6EA4-4657-9DF0-5D0484A4F114}" name="Monthly Quantity Sold" cacheId="0" applyNumberFormats="0" applyBorderFormats="0" applyFontFormats="0" applyPatternFormats="0" applyAlignmentFormats="0" applyWidthHeightFormats="1" dataCaption="Values" updatedVersion="8" minRefreshableVersion="5" showDataTips="0" itemPrintTitles="1" createdVersion="8" indent="0" outline="1" outlineData="1" multipleFieldFilters="0" chartFormat="7" rowHeaderCaption="Months" colHeaderCaption="Model Name">
  <location ref="B40:F54"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showAll="0">
      <items count="6">
        <item x="1"/>
        <item x="4"/>
        <item x="0"/>
        <item x="2"/>
        <item x="3"/>
        <item t="default"/>
      </items>
    </pivotField>
    <pivotField axis="axisCol" showAll="0">
      <items count="4">
        <item x="1"/>
        <item x="0"/>
        <item x="2"/>
        <item t="default"/>
      </items>
    </pivotField>
    <pivotField dataField="1" showAll="0"/>
    <pivotField showAll="0"/>
    <pivotField showAll="0"/>
    <pivotField showAll="0"/>
    <pivotField numFmtId="170" showAll="0"/>
    <pivotField showAll="0"/>
    <pivotField numFmtId="170" showAll="0"/>
    <pivotField showAll="0"/>
    <pivotField showAll="0"/>
    <pivotField showAll="0"/>
    <pivotField showAll="0"/>
    <pivotField axis="axisRow" showAll="0" sortType="ascending" defaultSubtotal="0">
      <items count="14">
        <item x="1"/>
        <item x="2"/>
        <item x="3"/>
        <item x="4"/>
        <item x="5"/>
        <item x="6"/>
        <item x="7"/>
        <item x="8"/>
        <item x="9"/>
        <item x="10"/>
        <item x="11"/>
        <item x="12"/>
        <item x="0"/>
        <item x="13"/>
      </items>
    </pivotField>
    <pivotField showAll="0" defaultSubtotal="0">
      <items count="4">
        <item x="1"/>
        <item x="2"/>
        <item x="0"/>
        <item x="3"/>
      </items>
    </pivotField>
  </pivotFields>
  <rowFields count="1">
    <field x="21"/>
  </rowFields>
  <rowItems count="13">
    <i>
      <x/>
    </i>
    <i>
      <x v="1"/>
    </i>
    <i>
      <x v="2"/>
    </i>
    <i>
      <x v="3"/>
    </i>
    <i>
      <x v="4"/>
    </i>
    <i>
      <x v="5"/>
    </i>
    <i>
      <x v="6"/>
    </i>
    <i>
      <x v="7"/>
    </i>
    <i>
      <x v="8"/>
    </i>
    <i>
      <x v="9"/>
    </i>
    <i>
      <x v="10"/>
    </i>
    <i>
      <x v="11"/>
    </i>
    <i t="grand">
      <x/>
    </i>
  </rowItems>
  <colFields count="1">
    <field x="9"/>
  </colFields>
  <colItems count="4">
    <i>
      <x/>
    </i>
    <i>
      <x v="1"/>
    </i>
    <i>
      <x v="2"/>
    </i>
    <i t="grand">
      <x/>
    </i>
  </colItems>
  <dataFields count="1">
    <dataField name="Sum of Quantity" fld="10" baseField="0" baseItem="0"/>
  </dataFields>
  <formats count="17">
    <format dxfId="13023">
      <pivotArea type="all" dataOnly="0" outline="0" fieldPosition="0"/>
    </format>
    <format dxfId="13024">
      <pivotArea outline="0" collapsedLevelsAreSubtotals="1" fieldPosition="0"/>
    </format>
    <format dxfId="13025">
      <pivotArea type="origin" dataOnly="0" labelOnly="1" outline="0" fieldPosition="0"/>
    </format>
    <format dxfId="13026">
      <pivotArea field="8" type="button" dataOnly="0" labelOnly="1" outline="0"/>
    </format>
    <format dxfId="13027">
      <pivotArea type="topRight" dataOnly="0" labelOnly="1" outline="0" fieldPosition="0"/>
    </format>
    <format dxfId="13028">
      <pivotArea field="21" type="button" dataOnly="0" labelOnly="1" outline="0" axis="axisRow" fieldPosition="0"/>
    </format>
    <format dxfId="13029">
      <pivotArea dataOnly="0" labelOnly="1" fieldPosition="0">
        <references count="1">
          <reference field="21" count="12">
            <x v="0"/>
            <x v="1"/>
            <x v="2"/>
            <x v="3"/>
            <x v="4"/>
            <x v="5"/>
            <x v="6"/>
            <x v="7"/>
            <x v="8"/>
            <x v="9"/>
            <x v="10"/>
            <x v="11"/>
          </reference>
        </references>
      </pivotArea>
    </format>
    <format dxfId="13030">
      <pivotArea dataOnly="0" labelOnly="1" grandRow="1" outline="0" fieldPosition="0"/>
    </format>
    <format dxfId="13031">
      <pivotArea dataOnly="0" labelOnly="1" grandCol="1" outline="0" fieldPosition="0"/>
    </format>
    <format dxfId="13032">
      <pivotArea outline="0" collapsedLevelsAreSubtotals="1" fieldPosition="0"/>
    </format>
    <format dxfId="13033">
      <pivotArea outline="0" collapsedLevelsAreSubtotals="1" fieldPosition="0"/>
    </format>
    <format dxfId="13034">
      <pivotArea field="8" type="button" dataOnly="0" labelOnly="1" outline="0"/>
    </format>
    <format dxfId="13035">
      <pivotArea field="8" type="button" dataOnly="0" labelOnly="1" outline="0"/>
    </format>
    <format dxfId="13036">
      <pivotArea dataOnly="0" labelOnly="1" fieldPosition="0">
        <references count="1">
          <reference field="9" count="0"/>
        </references>
      </pivotArea>
    </format>
    <format dxfId="13037">
      <pivotArea dataOnly="0" labelOnly="1" grandCol="1" outline="0" fieldPosition="0"/>
    </format>
    <format dxfId="13038">
      <pivotArea dataOnly="0" labelOnly="1" fieldPosition="0">
        <references count="1">
          <reference field="9" count="0"/>
        </references>
      </pivotArea>
    </format>
    <format dxfId="13039">
      <pivotArea dataOnly="0" labelOnly="1" grandCol="1" outline="0" fieldPosition="0"/>
    </format>
  </formats>
  <chartFormats count="7">
    <chartFormat chart="6" format="70" series="1">
      <pivotArea type="data" outline="0" fieldPosition="0">
        <references count="2">
          <reference field="4294967294" count="1" selected="0">
            <x v="0"/>
          </reference>
          <reference field="9" count="1" selected="0">
            <x v="0"/>
          </reference>
        </references>
      </pivotArea>
    </chartFormat>
    <chartFormat chart="6" format="77">
      <pivotArea type="data" outline="0" fieldPosition="0">
        <references count="3">
          <reference field="4294967294" count="1" selected="0">
            <x v="0"/>
          </reference>
          <reference field="9" count="1" selected="0">
            <x v="0"/>
          </reference>
          <reference field="21" count="1" selected="0">
            <x v="11"/>
          </reference>
        </references>
      </pivotArea>
    </chartFormat>
    <chartFormat chart="6" format="78" series="1">
      <pivotArea type="data" outline="0" fieldPosition="0">
        <references count="2">
          <reference field="4294967294" count="1" selected="0">
            <x v="0"/>
          </reference>
          <reference field="9" count="1" selected="0">
            <x v="1"/>
          </reference>
        </references>
      </pivotArea>
    </chartFormat>
    <chartFormat chart="6" format="79" series="1">
      <pivotArea type="data" outline="0" fieldPosition="0">
        <references count="2">
          <reference field="4294967294" count="1" selected="0">
            <x v="0"/>
          </reference>
          <reference field="9" count="1" selected="0">
            <x v="2"/>
          </reference>
        </references>
      </pivotArea>
    </chartFormat>
    <chartFormat chart="6" format="80">
      <pivotArea type="data" outline="0" fieldPosition="0">
        <references count="3">
          <reference field="4294967294" count="1" selected="0">
            <x v="0"/>
          </reference>
          <reference field="9" count="1" selected="0">
            <x v="2"/>
          </reference>
          <reference field="21" count="1" selected="0">
            <x v="11"/>
          </reference>
        </references>
      </pivotArea>
    </chartFormat>
    <chartFormat chart="6" format="81">
      <pivotArea type="data" outline="0" fieldPosition="0">
        <references count="3">
          <reference field="4294967294" count="1" selected="0">
            <x v="0"/>
          </reference>
          <reference field="9" count="1" selected="0">
            <x v="1"/>
          </reference>
          <reference field="21" count="1" selected="0">
            <x v="11"/>
          </reference>
        </references>
      </pivotArea>
    </chartFormat>
    <chartFormat chart="6" format="8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23383A-27F0-4CBA-8C53-30EF538A9EED}" name="Model based Monthl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Months" colHeaderCaption="Model Name">
  <location ref="B23:H37"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axis="axisCol" showAll="0">
      <items count="6">
        <item x="1"/>
        <item x="4"/>
        <item x="0"/>
        <item x="2"/>
        <item x="3"/>
        <item t="default"/>
      </items>
    </pivotField>
    <pivotField showAll="0">
      <items count="4">
        <item x="0"/>
        <item x="1"/>
        <item x="2"/>
        <item t="default"/>
      </items>
    </pivotField>
    <pivotField showAll="0"/>
    <pivotField showAll="0"/>
    <pivotField showAll="0"/>
    <pivotField showAll="0"/>
    <pivotField numFmtId="170" showAll="0"/>
    <pivotField dataField="1" showAll="0"/>
    <pivotField numFmtId="170"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4">
        <item x="1"/>
        <item x="2"/>
        <item x="0"/>
        <item x="3"/>
      </items>
    </pivotField>
  </pivotFields>
  <rowFields count="1">
    <field x="21"/>
  </rowFields>
  <rowItems count="13">
    <i>
      <x v="1"/>
    </i>
    <i>
      <x v="2"/>
    </i>
    <i>
      <x v="3"/>
    </i>
    <i>
      <x v="4"/>
    </i>
    <i>
      <x v="5"/>
    </i>
    <i>
      <x v="6"/>
    </i>
    <i>
      <x v="7"/>
    </i>
    <i>
      <x v="8"/>
    </i>
    <i>
      <x v="9"/>
    </i>
    <i>
      <x v="10"/>
    </i>
    <i>
      <x v="11"/>
    </i>
    <i>
      <x v="12"/>
    </i>
    <i t="grand">
      <x/>
    </i>
  </rowItems>
  <colFields count="1">
    <field x="8"/>
  </colFields>
  <colItems count="6">
    <i>
      <x/>
    </i>
    <i>
      <x v="1"/>
    </i>
    <i>
      <x v="2"/>
    </i>
    <i>
      <x v="3"/>
    </i>
    <i>
      <x v="4"/>
    </i>
    <i t="grand">
      <x/>
    </i>
  </colItems>
  <dataFields count="1">
    <dataField name="Sum of Net Sales Amount" fld="15" baseField="20" baseItem="1" numFmtId="165"/>
  </dataFields>
  <formats count="20">
    <format dxfId="13040">
      <pivotArea outline="0" collapsedLevelsAreSubtotals="1" fieldPosition="0"/>
    </format>
    <format dxfId="13041">
      <pivotArea field="21" type="button" dataOnly="0" labelOnly="1" outline="0" axis="axisRow" fieldPosition="0"/>
    </format>
    <format dxfId="13042">
      <pivotArea dataOnly="0" labelOnly="1" fieldPosition="0">
        <references count="1">
          <reference field="21" count="12">
            <x v="1"/>
            <x v="2"/>
            <x v="3"/>
            <x v="4"/>
            <x v="5"/>
            <x v="6"/>
            <x v="7"/>
            <x v="8"/>
            <x v="9"/>
            <x v="10"/>
            <x v="11"/>
            <x v="12"/>
          </reference>
        </references>
      </pivotArea>
    </format>
    <format dxfId="13043">
      <pivotArea dataOnly="0" labelOnly="1" grandRow="1" outline="0" fieldPosition="0"/>
    </format>
    <format dxfId="13044">
      <pivotArea dataOnly="0" labelOnly="1" fieldPosition="0">
        <references count="1">
          <reference field="8" count="0"/>
        </references>
      </pivotArea>
    </format>
    <format dxfId="13045">
      <pivotArea dataOnly="0" labelOnly="1" grandCol="1" outline="0" fieldPosition="0"/>
    </format>
    <format dxfId="13046">
      <pivotArea type="origin" dataOnly="0" labelOnly="1" outline="0" fieldPosition="0"/>
    </format>
    <format dxfId="13047">
      <pivotArea field="8" type="button" dataOnly="0" labelOnly="1" outline="0" axis="axisCol" fieldPosition="0"/>
    </format>
    <format dxfId="13048">
      <pivotArea type="topRight" dataOnly="0" labelOnly="1" outline="0" fieldPosition="0"/>
    </format>
    <format dxfId="13049">
      <pivotArea field="8" type="button" dataOnly="0" labelOnly="1" outline="0" axis="axisCol" fieldPosition="0"/>
    </format>
    <format dxfId="13050">
      <pivotArea type="topRight" dataOnly="0" labelOnly="1" outline="0" fieldPosition="0"/>
    </format>
    <format dxfId="13051">
      <pivotArea dataOnly="0" labelOnly="1" fieldPosition="0">
        <references count="1">
          <reference field="8" count="0"/>
        </references>
      </pivotArea>
    </format>
    <format dxfId="13052">
      <pivotArea dataOnly="0" labelOnly="1" grandCol="1" outline="0" fieldPosition="0"/>
    </format>
    <format dxfId="13053">
      <pivotArea field="8" type="button" dataOnly="0" labelOnly="1" outline="0" axis="axisCol" fieldPosition="0"/>
    </format>
    <format dxfId="13054">
      <pivotArea type="topRight" dataOnly="0" labelOnly="1" outline="0" fieldPosition="0"/>
    </format>
    <format dxfId="13055">
      <pivotArea dataOnly="0" labelOnly="1" fieldPosition="0">
        <references count="1">
          <reference field="8" count="0"/>
        </references>
      </pivotArea>
    </format>
    <format dxfId="13056">
      <pivotArea dataOnly="0" labelOnly="1" grandCol="1" outline="0" fieldPosition="0"/>
    </format>
    <format dxfId="13057">
      <pivotArea outline="0" fieldPosition="0">
        <references count="1">
          <reference field="4294967294" count="1">
            <x v="0"/>
          </reference>
        </references>
      </pivotArea>
    </format>
    <format dxfId="13058">
      <pivotArea outline="0" collapsedLevelsAreSubtotals="1" fieldPosition="0"/>
    </format>
    <format dxfId="130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E89811B-CE62-49CF-B65E-116B6E5885DD}" name="Quantity Sold" cacheId="0" applyNumberFormats="0" applyBorderFormats="0" applyFontFormats="0" applyPatternFormats="0" applyAlignmentFormats="0" applyWidthHeightFormats="1" dataCaption="Values" updatedVersion="8" minRefreshableVersion="5" showDataTips="0" itemPrintTitles="1" createdVersion="8" indent="0" outline="1" outlineData="1" multipleFieldFilters="0" chartFormat="17" rowHeaderCaption="Region" colHeaderCaption="Model Name">
  <location ref="B14:G21"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axis="axisCol"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axis="axisRow" showAll="0">
      <items count="6">
        <item x="1"/>
        <item x="4"/>
        <item x="0"/>
        <item x="2"/>
        <item x="3"/>
        <item t="default"/>
      </items>
    </pivotField>
    <pivotField showAll="0">
      <items count="4">
        <item x="0"/>
        <item x="1"/>
        <item x="2"/>
        <item t="default"/>
      </items>
    </pivotField>
    <pivotField dataField="1" showAll="0"/>
    <pivotField showAll="0"/>
    <pivotField showAll="0"/>
    <pivotField showAll="0"/>
    <pivotField numFmtId="170" showAll="0"/>
    <pivotField showAll="0"/>
    <pivotField numFmtId="170" showAll="0"/>
    <pivotField showAll="0"/>
    <pivotField showAll="0"/>
    <pivotField showAll="0"/>
    <pivotField showAll="0"/>
    <pivotField showAll="0" defaultSubtotal="0"/>
    <pivotField showAll="0" defaultSubtotal="0">
      <items count="4">
        <item x="1"/>
        <item x="2"/>
        <item x="0"/>
        <item x="3"/>
      </items>
    </pivotField>
  </pivotFields>
  <rowFields count="1">
    <field x="8"/>
  </rowFields>
  <rowItems count="6">
    <i>
      <x/>
    </i>
    <i>
      <x v="1"/>
    </i>
    <i>
      <x v="2"/>
    </i>
    <i>
      <x v="3"/>
    </i>
    <i>
      <x v="4"/>
    </i>
    <i t="grand">
      <x/>
    </i>
  </rowItems>
  <colFields count="1">
    <field x="7"/>
  </colFields>
  <colItems count="5">
    <i>
      <x v="1"/>
    </i>
    <i>
      <x/>
    </i>
    <i>
      <x v="3"/>
    </i>
    <i>
      <x v="2"/>
    </i>
    <i t="grand">
      <x/>
    </i>
  </colItems>
  <dataFields count="1">
    <dataField name="Sum of Quantity" fld="10" baseField="0" baseItem="0"/>
  </dataFields>
  <formats count="20">
    <format dxfId="12979">
      <pivotArea type="all" dataOnly="0" outline="0" fieldPosition="0"/>
    </format>
    <format dxfId="12980">
      <pivotArea outline="0" collapsedLevelsAreSubtotals="1" fieldPosition="0"/>
    </format>
    <format dxfId="12981">
      <pivotArea type="origin" dataOnly="0" labelOnly="1" outline="0" fieldPosition="0"/>
    </format>
    <format dxfId="12982">
      <pivotArea field="8" type="button" dataOnly="0" labelOnly="1" outline="0" axis="axisRow" fieldPosition="0"/>
    </format>
    <format dxfId="12983">
      <pivotArea type="topRight" dataOnly="0" labelOnly="1" outline="0" fieldPosition="0"/>
    </format>
    <format dxfId="12984">
      <pivotArea field="7" type="button" dataOnly="0" labelOnly="1" outline="0" axis="axisCol" fieldPosition="0"/>
    </format>
    <format dxfId="12985">
      <pivotArea dataOnly="0" labelOnly="1" fieldPosition="0">
        <references count="1">
          <reference field="7" count="0"/>
        </references>
      </pivotArea>
    </format>
    <format dxfId="12986">
      <pivotArea dataOnly="0" labelOnly="1" grandRow="1" outline="0" fieldPosition="0"/>
    </format>
    <format dxfId="12987">
      <pivotArea dataOnly="0" labelOnly="1" fieldPosition="0">
        <references count="1">
          <reference field="8" count="0"/>
        </references>
      </pivotArea>
    </format>
    <format dxfId="12988">
      <pivotArea dataOnly="0" labelOnly="1" grandCol="1" outline="0" fieldPosition="0"/>
    </format>
    <format dxfId="12989">
      <pivotArea outline="0" collapsedLevelsAreSubtotals="1" fieldPosition="0"/>
    </format>
    <format dxfId="12990">
      <pivotArea outline="0" collapsedLevelsAreSubtotals="1" fieldPosition="0"/>
    </format>
    <format dxfId="12991">
      <pivotArea dataOnly="0" labelOnly="1" fieldPosition="0">
        <references count="1">
          <reference field="8" count="0"/>
        </references>
      </pivotArea>
    </format>
    <format dxfId="12992">
      <pivotArea field="8" type="button" dataOnly="0" labelOnly="1" outline="0" axis="axisRow" fieldPosition="0"/>
    </format>
    <format dxfId="12993">
      <pivotArea field="8" type="button" dataOnly="0" labelOnly="1" outline="0" axis="axisRow" fieldPosition="0"/>
    </format>
    <format dxfId="12994">
      <pivotArea dataOnly="0" labelOnly="1" fieldPosition="0">
        <references count="1">
          <reference field="8" count="0"/>
        </references>
      </pivotArea>
    </format>
    <format dxfId="12995">
      <pivotArea dataOnly="0" labelOnly="1" fieldPosition="0">
        <references count="1">
          <reference field="7" count="0"/>
        </references>
      </pivotArea>
    </format>
    <format dxfId="12996">
      <pivotArea dataOnly="0" labelOnly="1" grandCol="1" outline="0" fieldPosition="0"/>
    </format>
    <format dxfId="12997">
      <pivotArea dataOnly="0" labelOnly="1" fieldPosition="0">
        <references count="1">
          <reference field="7" count="0"/>
        </references>
      </pivotArea>
    </format>
    <format dxfId="12998">
      <pivotArea dataOnly="0" labelOnly="1" grandCol="1" outline="0" fieldPosition="0"/>
    </format>
  </formats>
  <chartFormats count="15">
    <chartFormat chart="14" format="32" series="1">
      <pivotArea type="data" outline="0" fieldPosition="0">
        <references count="2">
          <reference field="4294967294" count="1" selected="0">
            <x v="0"/>
          </reference>
          <reference field="8" count="1" selected="0">
            <x v="0"/>
          </reference>
        </references>
      </pivotArea>
    </chartFormat>
    <chartFormat chart="14" format="33" series="1">
      <pivotArea type="data" outline="0" fieldPosition="0">
        <references count="2">
          <reference field="4294967294" count="1" selected="0">
            <x v="0"/>
          </reference>
          <reference field="8" count="1" selected="0">
            <x v="1"/>
          </reference>
        </references>
      </pivotArea>
    </chartFormat>
    <chartFormat chart="14" format="38" series="1">
      <pivotArea type="data" outline="0" fieldPosition="0">
        <references count="3">
          <reference field="4294967294" count="1" selected="0">
            <x v="0"/>
          </reference>
          <reference field="7" count="1" selected="0">
            <x v="1"/>
          </reference>
          <reference field="8" count="1" selected="0">
            <x v="0"/>
          </reference>
        </references>
      </pivotArea>
    </chartFormat>
    <chartFormat chart="14" format="39" series="1">
      <pivotArea type="data" outline="0" fieldPosition="0">
        <references count="3">
          <reference field="4294967294" count="1" selected="0">
            <x v="0"/>
          </reference>
          <reference field="7" count="1" selected="0">
            <x v="2"/>
          </reference>
          <reference field="8" count="1" selected="0">
            <x v="0"/>
          </reference>
        </references>
      </pivotArea>
    </chartFormat>
    <chartFormat chart="14" format="40" series="1">
      <pivotArea type="data" outline="0" fieldPosition="0">
        <references count="3">
          <reference field="4294967294" count="1" selected="0">
            <x v="0"/>
          </reference>
          <reference field="7" count="1" selected="0">
            <x v="0"/>
          </reference>
          <reference field="8" count="1" selected="0">
            <x v="0"/>
          </reference>
        </references>
      </pivotArea>
    </chartFormat>
    <chartFormat chart="14" format="41" series="1">
      <pivotArea type="data" outline="0" fieldPosition="0">
        <references count="3">
          <reference field="4294967294" count="1" selected="0">
            <x v="0"/>
          </reference>
          <reference field="7" count="1" selected="0">
            <x v="3"/>
          </reference>
          <reference field="8" count="1" selected="0">
            <x v="0"/>
          </reference>
        </references>
      </pivotArea>
    </chartFormat>
    <chartFormat chart="14" format="42" series="1">
      <pivotArea type="data" outline="0" fieldPosition="0">
        <references count="3">
          <reference field="4294967294" count="1" selected="0">
            <x v="0"/>
          </reference>
          <reference field="7" count="1" selected="0">
            <x v="1"/>
          </reference>
          <reference field="8" count="1" selected="0">
            <x v="1"/>
          </reference>
        </references>
      </pivotArea>
    </chartFormat>
    <chartFormat chart="14" format="43" series="1">
      <pivotArea type="data" outline="0" fieldPosition="0">
        <references count="3">
          <reference field="4294967294" count="1" selected="0">
            <x v="0"/>
          </reference>
          <reference field="7" count="1" selected="0">
            <x v="2"/>
          </reference>
          <reference field="8" count="1" selected="0">
            <x v="1"/>
          </reference>
        </references>
      </pivotArea>
    </chartFormat>
    <chartFormat chart="14" format="44" series="1">
      <pivotArea type="data" outline="0" fieldPosition="0">
        <references count="3">
          <reference field="4294967294" count="1" selected="0">
            <x v="0"/>
          </reference>
          <reference field="7" count="1" selected="0">
            <x v="3"/>
          </reference>
          <reference field="8" count="1" selected="0">
            <x v="1"/>
          </reference>
        </references>
      </pivotArea>
    </chartFormat>
    <chartFormat chart="14" format="45" series="1">
      <pivotArea type="data" outline="0" fieldPosition="0">
        <references count="3">
          <reference field="4294967294" count="1" selected="0">
            <x v="0"/>
          </reference>
          <reference field="7" count="1" selected="0">
            <x v="0"/>
          </reference>
          <reference field="8" count="1" selected="0">
            <x v="1"/>
          </reference>
        </references>
      </pivotArea>
    </chartFormat>
    <chartFormat chart="14" format="50" series="1">
      <pivotArea type="data" outline="0" fieldPosition="0">
        <references count="2">
          <reference field="4294967294" count="1" selected="0">
            <x v="0"/>
          </reference>
          <reference field="7" count="1" selected="0">
            <x v="1"/>
          </reference>
        </references>
      </pivotArea>
    </chartFormat>
    <chartFormat chart="14" format="51" series="1">
      <pivotArea type="data" outline="0" fieldPosition="0">
        <references count="2">
          <reference field="4294967294" count="1" selected="0">
            <x v="0"/>
          </reference>
          <reference field="7" count="1" selected="0">
            <x v="0"/>
          </reference>
        </references>
      </pivotArea>
    </chartFormat>
    <chartFormat chart="14" format="52" series="1">
      <pivotArea type="data" outline="0" fieldPosition="0">
        <references count="2">
          <reference field="4294967294" count="1" selected="0">
            <x v="0"/>
          </reference>
          <reference field="7" count="1" selected="0">
            <x v="3"/>
          </reference>
        </references>
      </pivotArea>
    </chartFormat>
    <chartFormat chart="14" format="53" series="1">
      <pivotArea type="data" outline="0" fieldPosition="0">
        <references count="2">
          <reference field="4294967294" count="1" selected="0">
            <x v="0"/>
          </reference>
          <reference field="7" count="1" selected="0">
            <x v="2"/>
          </reference>
        </references>
      </pivotArea>
    </chartFormat>
    <chartFormat chart="14" format="5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CEA6DB2-793B-4D77-B9AA-A4BF181B485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ealers Name">
  <location ref="J41:L47" firstHeaderRow="0" firstDataRow="1"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axis="axisRow"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pivotField showAll="0"/>
    <pivotField showAll="0"/>
    <pivotField showAll="0"/>
    <pivotField numFmtId="170" showAll="0"/>
    <pivotField showAll="0"/>
    <pivotField dataField="1" numFmtId="170" showAll="0"/>
    <pivotField showAll="0"/>
    <pivotField showAll="0"/>
    <pivotField showAll="0"/>
    <pivotField showAll="0"/>
    <pivotField showAll="0" defaultSubtotal="0"/>
    <pivotField showAll="0" defaultSubtotal="0">
      <items count="4">
        <item x="1"/>
        <item x="2"/>
        <item x="0"/>
        <item x="3"/>
      </items>
    </pivotField>
  </pivotFields>
  <rowFields count="1">
    <field x="3"/>
  </rowFields>
  <rowItems count="6">
    <i>
      <x/>
    </i>
    <i>
      <x v="1"/>
    </i>
    <i>
      <x v="2"/>
    </i>
    <i>
      <x v="3"/>
    </i>
    <i>
      <x v="4"/>
    </i>
    <i t="grand">
      <x/>
    </i>
  </rowItems>
  <colFields count="1">
    <field x="-2"/>
  </colFields>
  <colItems count="2">
    <i>
      <x/>
    </i>
    <i i="1">
      <x v="1"/>
    </i>
  </colItems>
  <dataFields count="2">
    <dataField name="Sum of Net Sales  (Cr)" fld="16" baseField="0" baseItem="0" numFmtId="170"/>
    <dataField name="Percentage of Net sales" fld="16" showDataAs="percentOfTotal" baseField="0" baseItem="0" numFmtId="10"/>
  </dataFields>
  <formats count="6">
    <format dxfId="12644">
      <pivotArea type="all" dataOnly="0" outline="0" fieldPosition="0"/>
    </format>
    <format dxfId="12645">
      <pivotArea outline="0" collapsedLevelsAreSubtotals="1" fieldPosition="0"/>
    </format>
    <format dxfId="12646">
      <pivotArea field="3" type="button" dataOnly="0" labelOnly="1" outline="0" axis="axisRow" fieldPosition="0"/>
    </format>
    <format dxfId="12647">
      <pivotArea dataOnly="0" labelOnly="1" fieldPosition="0">
        <references count="1">
          <reference field="3" count="0"/>
        </references>
      </pivotArea>
    </format>
    <format dxfId="12648">
      <pivotArea dataOnly="0" labelOnly="1" grandRow="1" outline="0" fieldPosition="0"/>
    </format>
    <format dxfId="1264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D277CD-9986-4165-A901-A2B5A47DF71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3:P37"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axis="axisCol" showAll="0">
      <items count="6">
        <item x="1"/>
        <item x="4"/>
        <item x="0"/>
        <item x="2"/>
        <item x="3"/>
        <item t="default"/>
      </items>
    </pivotField>
    <pivotField showAll="0">
      <items count="4">
        <item x="0"/>
        <item x="1"/>
        <item x="2"/>
        <item t="default"/>
      </items>
    </pivotField>
    <pivotField showAll="0"/>
    <pivotField showAll="0"/>
    <pivotField showAll="0"/>
    <pivotField showAll="0"/>
    <pivotField numFmtId="170" showAll="0"/>
    <pivotField showAll="0"/>
    <pivotField dataField="1" numFmtId="170"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items count="4">
        <item x="1"/>
        <item x="2"/>
        <item x="0"/>
        <item x="3"/>
      </items>
    </pivotField>
  </pivotFields>
  <rowFields count="1">
    <field x="21"/>
  </rowFields>
  <rowItems count="13">
    <i>
      <x v="1"/>
    </i>
    <i>
      <x v="2"/>
    </i>
    <i>
      <x v="3"/>
    </i>
    <i>
      <x v="4"/>
    </i>
    <i>
      <x v="5"/>
    </i>
    <i>
      <x v="6"/>
    </i>
    <i>
      <x v="7"/>
    </i>
    <i>
      <x v="8"/>
    </i>
    <i>
      <x v="9"/>
    </i>
    <i>
      <x v="10"/>
    </i>
    <i>
      <x v="11"/>
    </i>
    <i>
      <x v="12"/>
    </i>
    <i t="grand">
      <x/>
    </i>
  </rowItems>
  <colFields count="1">
    <field x="8"/>
  </colFields>
  <colItems count="6">
    <i>
      <x/>
    </i>
    <i>
      <x v="1"/>
    </i>
    <i>
      <x v="2"/>
    </i>
    <i>
      <x v="3"/>
    </i>
    <i>
      <x v="4"/>
    </i>
    <i t="grand">
      <x/>
    </i>
  </colItems>
  <dataFields count="1">
    <dataField name="Sum of Net Sales  (Cr)" fld="16" baseField="0" baseItem="0" numFmtId="166"/>
  </dataFields>
  <formats count="7">
    <format dxfId="13016">
      <pivotArea type="all" dataOnly="0" outline="0" fieldPosition="0"/>
    </format>
    <format dxfId="13017">
      <pivotArea outline="0" collapsedLevelsAreSubtotals="1" fieldPosition="0"/>
    </format>
    <format dxfId="13018">
      <pivotArea dataOnly="0" labelOnly="1" fieldPosition="0">
        <references count="1">
          <reference field="8" count="0"/>
        </references>
      </pivotArea>
    </format>
    <format dxfId="13019">
      <pivotArea dataOnly="0" labelOnly="1" grandCol="1" outline="0" fieldPosition="0"/>
    </format>
    <format dxfId="13020">
      <pivotArea outline="0" collapsedLevelsAreSubtotals="1" fieldPosition="0"/>
    </format>
    <format dxfId="13021">
      <pivotArea dataOnly="0" labelOnly="1" fieldPosition="0">
        <references count="1">
          <reference field="8" count="0"/>
        </references>
      </pivotArea>
    </format>
    <format dxfId="1302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BADA1D0-5DF5-41A5-A6E3-F219C758C310}"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H2:L9" firstHeaderRow="1" firstDataRow="2" firstDataCol="1"/>
  <pivotFields count="23">
    <pivotField showAll="0"/>
    <pivotField numFmtId="164" showAll="0">
      <items count="548">
        <item x="192"/>
        <item x="424"/>
        <item x="340"/>
        <item x="432"/>
        <item x="422"/>
        <item x="413"/>
        <item x="347"/>
        <item x="449"/>
        <item x="473"/>
        <item x="201"/>
        <item x="128"/>
        <item x="25"/>
        <item x="420"/>
        <item x="77"/>
        <item x="530"/>
        <item x="261"/>
        <item x="484"/>
        <item x="217"/>
        <item x="211"/>
        <item x="260"/>
        <item x="180"/>
        <item x="179"/>
        <item x="458"/>
        <item x="97"/>
        <item x="502"/>
        <item x="223"/>
        <item x="68"/>
        <item x="163"/>
        <item x="24"/>
        <item x="300"/>
        <item x="207"/>
        <item x="130"/>
        <item x="268"/>
        <item x="501"/>
        <item x="1"/>
        <item x="387"/>
        <item x="20"/>
        <item x="10"/>
        <item x="15"/>
        <item x="345"/>
        <item x="238"/>
        <item x="85"/>
        <item x="64"/>
        <item x="541"/>
        <item x="76"/>
        <item x="390"/>
        <item x="65"/>
        <item x="343"/>
        <item x="167"/>
        <item x="397"/>
        <item x="356"/>
        <item x="198"/>
        <item x="249"/>
        <item x="392"/>
        <item x="100"/>
        <item x="321"/>
        <item x="427"/>
        <item x="161"/>
        <item x="406"/>
        <item x="259"/>
        <item x="452"/>
        <item x="539"/>
        <item x="294"/>
        <item x="423"/>
        <item x="375"/>
        <item x="368"/>
        <item x="164"/>
        <item x="221"/>
        <item x="435"/>
        <item x="219"/>
        <item x="385"/>
        <item x="75"/>
        <item x="319"/>
        <item x="187"/>
        <item x="531"/>
        <item x="208"/>
        <item x="251"/>
        <item x="515"/>
        <item x="230"/>
        <item x="383"/>
        <item x="36"/>
        <item x="48"/>
        <item x="83"/>
        <item x="218"/>
        <item x="241"/>
        <item x="332"/>
        <item x="448"/>
        <item x="155"/>
        <item x="79"/>
        <item x="430"/>
        <item x="401"/>
        <item x="526"/>
        <item x="457"/>
        <item x="84"/>
        <item x="175"/>
        <item x="229"/>
        <item x="421"/>
        <item x="30"/>
        <item x="214"/>
        <item x="148"/>
        <item x="431"/>
        <item x="411"/>
        <item x="206"/>
        <item x="176"/>
        <item x="418"/>
        <item x="41"/>
        <item x="71"/>
        <item x="405"/>
        <item x="0"/>
        <item x="240"/>
        <item x="362"/>
        <item x="361"/>
        <item x="403"/>
        <item x="245"/>
        <item x="86"/>
        <item x="497"/>
        <item x="314"/>
        <item x="276"/>
        <item x="226"/>
        <item x="546"/>
        <item x="51"/>
        <item x="511"/>
        <item x="475"/>
        <item x="312"/>
        <item x="487"/>
        <item x="144"/>
        <item x="277"/>
        <item x="293"/>
        <item x="339"/>
        <item x="162"/>
        <item x="384"/>
        <item x="147"/>
        <item x="306"/>
        <item x="328"/>
        <item x="265"/>
        <item x="94"/>
        <item x="29"/>
        <item x="248"/>
        <item x="338"/>
        <item x="447"/>
        <item x="154"/>
        <item x="189"/>
        <item x="355"/>
        <item x="222"/>
        <item x="82"/>
        <item x="110"/>
        <item x="465"/>
        <item x="536"/>
        <item x="302"/>
        <item x="132"/>
        <item x="378"/>
        <item x="160"/>
        <item x="324"/>
        <item x="280"/>
        <item x="341"/>
        <item x="464"/>
        <item x="483"/>
        <item x="203"/>
        <item x="235"/>
        <item x="173"/>
        <item x="137"/>
        <item x="256"/>
        <item x="49"/>
        <item x="295"/>
        <item x="281"/>
        <item x="174"/>
        <item x="250"/>
        <item x="510"/>
        <item x="18"/>
        <item x="27"/>
        <item x="307"/>
        <item x="488"/>
        <item x="266"/>
        <item x="469"/>
        <item x="415"/>
        <item x="131"/>
        <item x="322"/>
        <item x="512"/>
        <item x="52"/>
        <item x="127"/>
        <item x="367"/>
        <item x="42"/>
        <item x="285"/>
        <item x="212"/>
        <item x="95"/>
        <item x="14"/>
        <item x="426"/>
        <item x="446"/>
        <item x="210"/>
        <item x="542"/>
        <item x="291"/>
        <item x="138"/>
        <item x="299"/>
        <item x="89"/>
        <item x="150"/>
        <item x="394"/>
        <item x="402"/>
        <item x="57"/>
        <item x="282"/>
        <item x="330"/>
        <item x="283"/>
        <item x="486"/>
        <item x="478"/>
        <item x="445"/>
        <item x="359"/>
        <item x="273"/>
        <item x="156"/>
        <item x="352"/>
        <item x="508"/>
        <item x="471"/>
        <item x="190"/>
        <item x="284"/>
        <item x="459"/>
        <item x="358"/>
        <item x="237"/>
        <item x="125"/>
        <item x="53"/>
        <item x="528"/>
        <item x="242"/>
        <item x="436"/>
        <item x="16"/>
        <item x="113"/>
        <item x="196"/>
        <item x="450"/>
        <item x="247"/>
        <item x="119"/>
        <item x="13"/>
        <item x="56"/>
        <item x="371"/>
        <item x="537"/>
        <item x="393"/>
        <item x="496"/>
        <item x="337"/>
        <item x="205"/>
        <item x="518"/>
        <item x="301"/>
        <item x="419"/>
        <item x="417"/>
        <item x="267"/>
        <item x="182"/>
        <item x="129"/>
        <item x="171"/>
        <item x="158"/>
        <item x="366"/>
        <item x="257"/>
        <item x="34"/>
        <item x="195"/>
        <item x="146"/>
        <item x="202"/>
        <item x="461"/>
        <item x="157"/>
        <item x="3"/>
        <item x="145"/>
        <item x="142"/>
        <item x="460"/>
        <item x="12"/>
        <item x="289"/>
        <item x="269"/>
        <item x="525"/>
        <item x="72"/>
        <item x="365"/>
        <item x="297"/>
        <item x="310"/>
        <item x="527"/>
        <item x="116"/>
        <item x="386"/>
        <item x="408"/>
        <item x="120"/>
        <item x="37"/>
        <item x="204"/>
        <item x="410"/>
        <item x="194"/>
        <item x="389"/>
        <item x="316"/>
        <item x="117"/>
        <item x="6"/>
        <item x="498"/>
        <item x="246"/>
        <item x="440"/>
        <item x="184"/>
        <item x="499"/>
        <item x="364"/>
        <item x="45"/>
        <item x="60"/>
        <item x="61"/>
        <item x="215"/>
        <item x="523"/>
        <item x="159"/>
        <item x="467"/>
        <item x="74"/>
        <item x="183"/>
        <item x="441"/>
        <item x="109"/>
        <item x="139"/>
        <item x="463"/>
        <item x="169"/>
        <item x="118"/>
        <item x="309"/>
        <item x="197"/>
        <item x="429"/>
        <item x="239"/>
        <item x="87"/>
        <item x="59"/>
        <item x="395"/>
        <item x="535"/>
        <item x="8"/>
        <item x="112"/>
        <item x="504"/>
        <item x="258"/>
        <item x="454"/>
        <item x="78"/>
        <item x="334"/>
        <item x="466"/>
        <item x="7"/>
        <item x="439"/>
        <item x="69"/>
        <item x="67"/>
        <item x="136"/>
        <item x="9"/>
        <item x="529"/>
        <item x="263"/>
        <item x="200"/>
        <item x="348"/>
        <item x="271"/>
        <item x="177"/>
        <item x="292"/>
        <item x="380"/>
        <item x="305"/>
        <item x="96"/>
        <item x="121"/>
        <item x="33"/>
        <item x="517"/>
        <item x="317"/>
        <item x="363"/>
        <item x="133"/>
        <item x="303"/>
        <item x="286"/>
        <item x="474"/>
        <item x="23"/>
        <item x="17"/>
        <item x="376"/>
        <item x="388"/>
        <item x="22"/>
        <item x="104"/>
        <item x="453"/>
        <item x="134"/>
        <item x="545"/>
        <item x="325"/>
        <item x="351"/>
        <item x="32"/>
        <item x="231"/>
        <item x="44"/>
        <item x="507"/>
        <item x="153"/>
        <item x="412"/>
        <item x="2"/>
        <item x="21"/>
        <item x="279"/>
        <item x="186"/>
        <item x="58"/>
        <item x="425"/>
        <item x="46"/>
        <item x="349"/>
        <item x="381"/>
        <item x="396"/>
        <item x="151"/>
        <item x="414"/>
        <item x="513"/>
        <item x="28"/>
        <item x="438"/>
        <item x="11"/>
        <item x="470"/>
        <item x="181"/>
        <item x="369"/>
        <item x="93"/>
        <item x="50"/>
        <item x="372"/>
        <item x="165"/>
        <item x="143"/>
        <item x="40"/>
        <item x="329"/>
        <item x="398"/>
        <item x="228"/>
        <item x="492"/>
        <item x="409"/>
        <item x="472"/>
        <item x="255"/>
        <item x="288"/>
        <item x="506"/>
        <item x="188"/>
        <item x="346"/>
        <item x="357"/>
        <item x="374"/>
        <item x="62"/>
        <item x="524"/>
        <item x="191"/>
        <item x="315"/>
        <item x="275"/>
        <item x="216"/>
        <item x="152"/>
        <item x="400"/>
        <item x="360"/>
        <item x="278"/>
        <item x="333"/>
        <item x="296"/>
        <item x="532"/>
        <item x="103"/>
        <item x="114"/>
        <item x="254"/>
        <item x="308"/>
        <item x="39"/>
        <item x="236"/>
        <item x="99"/>
        <item x="91"/>
        <item x="442"/>
        <item x="444"/>
        <item x="455"/>
        <item x="105"/>
        <item x="350"/>
        <item x="126"/>
        <item x="19"/>
        <item x="101"/>
        <item x="234"/>
        <item x="81"/>
        <item x="290"/>
        <item x="462"/>
        <item x="379"/>
        <item x="233"/>
        <item x="170"/>
        <item x="243"/>
        <item x="298"/>
        <item x="533"/>
        <item x="124"/>
        <item x="540"/>
        <item x="485"/>
        <item x="477"/>
        <item x="520"/>
        <item x="522"/>
        <item x="335"/>
        <item x="43"/>
        <item x="5"/>
        <item x="80"/>
        <item x="354"/>
        <item x="209"/>
        <item x="178"/>
        <item x="264"/>
        <item x="304"/>
        <item x="493"/>
        <item x="73"/>
        <item x="320"/>
        <item x="140"/>
        <item x="456"/>
        <item x="287"/>
        <item x="54"/>
        <item x="88"/>
        <item x="38"/>
        <item x="503"/>
        <item x="102"/>
        <item x="90"/>
        <item x="115"/>
        <item x="391"/>
        <item x="311"/>
        <item x="26"/>
        <item x="199"/>
        <item x="480"/>
        <item x="185"/>
        <item x="253"/>
        <item x="70"/>
        <item x="272"/>
        <item x="494"/>
        <item x="416"/>
        <item x="323"/>
        <item x="108"/>
        <item x="47"/>
        <item x="521"/>
        <item x="168"/>
        <item x="227"/>
        <item x="111"/>
        <item x="35"/>
        <item x="516"/>
        <item x="353"/>
        <item x="489"/>
        <item x="336"/>
        <item x="443"/>
        <item x="538"/>
        <item x="491"/>
        <item x="344"/>
        <item x="106"/>
        <item x="193"/>
        <item x="382"/>
        <item x="399"/>
        <item x="437"/>
        <item x="433"/>
        <item x="98"/>
        <item x="404"/>
        <item x="122"/>
        <item x="55"/>
        <item x="149"/>
        <item x="92"/>
        <item x="4"/>
        <item x="107"/>
        <item x="262"/>
        <item x="331"/>
        <item x="407"/>
        <item x="123"/>
        <item x="500"/>
        <item x="232"/>
        <item x="370"/>
        <item x="318"/>
        <item x="327"/>
        <item x="326"/>
        <item x="213"/>
        <item x="509"/>
        <item x="135"/>
        <item x="66"/>
        <item x="534"/>
        <item x="270"/>
        <item x="373"/>
        <item x="225"/>
        <item x="244"/>
        <item x="342"/>
        <item x="63"/>
        <item x="313"/>
        <item x="141"/>
        <item x="166"/>
        <item x="544"/>
        <item x="479"/>
        <item x="451"/>
        <item x="434"/>
        <item x="31"/>
        <item x="224"/>
        <item x="481"/>
        <item x="252"/>
        <item x="490"/>
        <item x="482"/>
        <item x="468"/>
        <item x="274"/>
        <item x="519"/>
        <item x="428"/>
        <item x="220"/>
        <item x="377"/>
        <item x="505"/>
        <item x="543"/>
        <item x="495"/>
        <item x="514"/>
        <item x="172"/>
        <item x="476"/>
        <item t="default"/>
      </items>
    </pivotField>
    <pivotField showAll="0"/>
    <pivotField showAll="0">
      <items count="6">
        <item x="4"/>
        <item x="1"/>
        <item x="2"/>
        <item x="3"/>
        <item x="0"/>
        <item t="default"/>
      </items>
    </pivotField>
    <pivotField showAll="0">
      <items count="6">
        <item x="3"/>
        <item x="1"/>
        <item x="2"/>
        <item x="0"/>
        <item x="4"/>
        <item t="default"/>
      </items>
    </pivotField>
    <pivotField showAll="0"/>
    <pivotField showAll="0">
      <items count="6">
        <item x="1"/>
        <item x="3"/>
        <item x="4"/>
        <item x="0"/>
        <item x="2"/>
        <item t="default"/>
      </items>
    </pivotField>
    <pivotField showAll="0">
      <items count="5">
        <item x="3"/>
        <item x="0"/>
        <item x="1"/>
        <item x="2"/>
        <item t="default"/>
      </items>
    </pivotField>
    <pivotField axis="axisRow" showAll="0">
      <items count="6">
        <item x="1"/>
        <item x="4"/>
        <item x="0"/>
        <item x="2"/>
        <item x="3"/>
        <item t="default"/>
      </items>
    </pivotField>
    <pivotField axis="axisCol" showAll="0">
      <items count="4">
        <item x="1"/>
        <item x="0"/>
        <item x="2"/>
        <item t="default"/>
      </items>
    </pivotField>
    <pivotField showAll="0"/>
    <pivotField showAll="0"/>
    <pivotField showAll="0"/>
    <pivotField showAll="0"/>
    <pivotField numFmtId="170" showAll="0"/>
    <pivotField showAll="0"/>
    <pivotField dataField="1" numFmtId="170" showAll="0"/>
    <pivotField showAll="0"/>
    <pivotField showAll="0"/>
    <pivotField showAll="0"/>
    <pivotField showAll="0"/>
    <pivotField showAll="0" defaultSubtotal="0"/>
    <pivotField showAll="0" defaultSubtotal="0">
      <items count="4">
        <item x="1"/>
        <item x="2"/>
        <item x="0"/>
        <item x="3"/>
      </items>
    </pivotField>
  </pivotFields>
  <rowFields count="1">
    <field x="8"/>
  </rowFields>
  <rowItems count="6">
    <i>
      <x/>
    </i>
    <i>
      <x v="1"/>
    </i>
    <i>
      <x v="2"/>
    </i>
    <i>
      <x v="3"/>
    </i>
    <i>
      <x v="4"/>
    </i>
    <i t="grand">
      <x/>
    </i>
  </rowItems>
  <colFields count="1">
    <field x="9"/>
  </colFields>
  <colItems count="4">
    <i>
      <x/>
    </i>
    <i>
      <x v="1"/>
    </i>
    <i>
      <x v="2"/>
    </i>
    <i t="grand">
      <x/>
    </i>
  </colItems>
  <dataFields count="1">
    <dataField name="Sum of Net Sales  (Cr)" fld="16" baseField="0" baseItem="0" numFmtId="166"/>
  </dataFields>
  <formats count="17">
    <format dxfId="12999">
      <pivotArea type="all" dataOnly="0" outline="0" fieldPosition="0"/>
    </format>
    <format dxfId="13000">
      <pivotArea outline="0" collapsedLevelsAreSubtotals="1" fieldPosition="0"/>
    </format>
    <format dxfId="13001">
      <pivotArea type="origin" dataOnly="0" labelOnly="1" outline="0" fieldPosition="0"/>
    </format>
    <format dxfId="13002">
      <pivotArea field="9" type="button" dataOnly="0" labelOnly="1" outline="0" axis="axisCol" fieldPosition="0"/>
    </format>
    <format dxfId="13003">
      <pivotArea type="topRight" dataOnly="0" labelOnly="1" outline="0" fieldPosition="0"/>
    </format>
    <format dxfId="13004">
      <pivotArea field="8" type="button" dataOnly="0" labelOnly="1" outline="0" axis="axisRow" fieldPosition="0"/>
    </format>
    <format dxfId="13005">
      <pivotArea dataOnly="0" labelOnly="1" fieldPosition="0">
        <references count="1">
          <reference field="8" count="0"/>
        </references>
      </pivotArea>
    </format>
    <format dxfId="13006">
      <pivotArea dataOnly="0" labelOnly="1" grandRow="1" outline="0" fieldPosition="0"/>
    </format>
    <format dxfId="13007">
      <pivotArea dataOnly="0" labelOnly="1" fieldPosition="0">
        <references count="1">
          <reference field="9" count="0"/>
        </references>
      </pivotArea>
    </format>
    <format dxfId="13008">
      <pivotArea dataOnly="0" labelOnly="1" grandCol="1" outline="0" fieldPosition="0"/>
    </format>
    <format dxfId="13009">
      <pivotArea outline="0" collapsedLevelsAreSubtotals="1" fieldPosition="0"/>
    </format>
    <format dxfId="13010">
      <pivotArea dataOnly="0" labelOnly="1" fieldPosition="0">
        <references count="1">
          <reference field="9" count="0"/>
        </references>
      </pivotArea>
    </format>
    <format dxfId="13011">
      <pivotArea dataOnly="0" labelOnly="1" grandCol="1" outline="0" fieldPosition="0"/>
    </format>
    <format dxfId="13012">
      <pivotArea outline="0" collapsedLevelsAreSubtotals="1" fieldPosition="0"/>
    </format>
    <format dxfId="13013">
      <pivotArea dataOnly="0" labelOnly="1" fieldPosition="0">
        <references count="1">
          <reference field="9" count="0"/>
        </references>
      </pivotArea>
    </format>
    <format dxfId="13014">
      <pivotArea dataOnly="0" labelOnly="1" grandCol="1" outline="0" fieldPosition="0"/>
    </format>
    <format dxfId="130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1B6A696-3C3F-4DC3-B5F7-42B0864BA48B}" sourceName="City">
  <pivotTables>
    <pivotTable tabId="4" name="PivotTable10"/>
    <pivotTable tabId="4" name="Dealer's Performance"/>
    <pivotTable tabId="4" name="Yearly Sales Trend"/>
    <pivotTable tabId="4" name="Order Count Invoice"/>
    <pivotTable tabId="3" name="PivotTable6"/>
    <pivotTable tabId="4" name="Sales by region and city (Cr)"/>
    <pivotTable tabId="4" name="Region based sales (Cr)"/>
    <pivotTable tabId="7" name="Model based Monthly sales"/>
    <pivotTable tabId="7" name="Modelwise sales"/>
    <pivotTable tabId="7" name="Monthly Quantity Sold"/>
    <pivotTable tabId="7" name="PivotTable1"/>
    <pivotTable tabId="7" name="PivotTable2"/>
    <pivotTable tabId="7" name="Quantity Sold"/>
    <pivotTable tabId="7" name="Tractor Brand sales"/>
    <pivotTable tabId="4" name="Region based sales"/>
    <pivotTable tabId="4" name="Sales by Region and city"/>
    <pivotTable tabId="7" name="PivotTable3"/>
  </pivotTables>
  <data>
    <tabular pivotCacheId="471476404">
      <items count="5">
        <i x="1" s="1"/>
        <i x="3"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A16BFD8-6C8A-4107-8A62-564FA34C9816}" sourceName="State">
  <pivotTables>
    <pivotTable tabId="4" name="Dealer's Performance"/>
    <pivotTable tabId="4" name="PivotTable10"/>
    <pivotTable tabId="4" name="Yearly Sales Trend"/>
    <pivotTable tabId="4" name="Order Count Invoice"/>
    <pivotTable tabId="3" name="PivotTable6"/>
    <pivotTable tabId="4" name="Sales by region and city (Cr)"/>
    <pivotTable tabId="4" name="Region based sales (Cr)"/>
    <pivotTable tabId="7" name="Model based Monthly sales"/>
    <pivotTable tabId="7" name="Modelwise sales"/>
    <pivotTable tabId="7" name="Monthly Quantity Sold"/>
    <pivotTable tabId="7" name="PivotTable1"/>
    <pivotTable tabId="7" name="PivotTable2"/>
    <pivotTable tabId="7" name="Quantity Sold"/>
    <pivotTable tabId="7" name="Tractor Brand sales"/>
    <pivotTable tabId="4" name="Region based sales"/>
    <pivotTable tabId="7" name="PivotTable3"/>
    <pivotTable tabId="4" name="Sales by Region and city"/>
  </pivotTables>
  <data>
    <tabular pivotCacheId="471476404">
      <items count="5">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ctor_Model" xr10:uid="{25A5F122-7E95-4C12-85A7-2331193B4AD7}" sourceName="Tractor Model">
  <pivotTables>
    <pivotTable tabId="7" name="Monthly Quantity Sold"/>
    <pivotTable tabId="7" name="Model based Monthly sales"/>
    <pivotTable tabId="7" name="Modelwise sales"/>
    <pivotTable tabId="7" name="PivotTable1"/>
    <pivotTable tabId="7" name="PivotTable2"/>
    <pivotTable tabId="7" name="Quantity Sold"/>
    <pivotTable tabId="7" name="Tractor Brand sales"/>
    <pivotTable tabId="3" name="PivotTable6"/>
    <pivotTable tabId="4" name="Dealer's Performance"/>
    <pivotTable tabId="4" name="Order Count Invoice"/>
    <pivotTable tabId="4" name="PivotTable10"/>
    <pivotTable tabId="4" name="Region based sales"/>
    <pivotTable tabId="4" name="Region based sales (Cr)"/>
    <pivotTable tabId="4" name="Sales by Region and city"/>
    <pivotTable tabId="4" name="Sales by region and city (Cr)"/>
    <pivotTable tabId="4" name="Yearly Sales Trend"/>
    <pivotTable tabId="7" name="PivotTable3"/>
  </pivotTables>
  <data>
    <tabular pivotCacheId="471476404">
      <items count="5">
        <i x="2" s="1"/>
        <i x="0"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F24A7199-6EA5-4F54-AFD3-7872D449620B}" sourceName="Brand Name">
  <pivotTables>
    <pivotTable tabId="7" name="Monthly Quantity Sold"/>
    <pivotTable tabId="7" name="Model based Monthly sales"/>
    <pivotTable tabId="7" name="Modelwise sales"/>
    <pivotTable tabId="7" name="PivotTable1"/>
    <pivotTable tabId="7" name="PivotTable2"/>
    <pivotTable tabId="7" name="Quantity Sold"/>
    <pivotTable tabId="7" name="Tractor Brand sales"/>
    <pivotTable tabId="3" name="PivotTable6"/>
    <pivotTable tabId="4" name="Dealer's Performance"/>
    <pivotTable tabId="4" name="Order Count Invoice"/>
    <pivotTable tabId="4" name="PivotTable10"/>
    <pivotTable tabId="4" name="Region based sales"/>
    <pivotTable tabId="4" name="Region based sales (Cr)"/>
    <pivotTable tabId="4" name="Sales by Region and city"/>
    <pivotTable tabId="4" name="Sales by region and city (Cr)"/>
    <pivotTable tabId="4" name="Yearly Sales Trend"/>
    <pivotTable tabId="7" name="PivotTable3"/>
  </pivotTables>
  <data>
    <tabular pivotCacheId="47147640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Name1" xr10:uid="{E4CB6638-C141-4332-90B8-81FDED2B9F53}" sourceName="Dealer Name">
  <pivotTables>
    <pivotTable tabId="7" name="Modelwise sales"/>
    <pivotTable tabId="7" name="Model based Monthly sales"/>
    <pivotTable tabId="7" name="Monthly Quantity Sold"/>
    <pivotTable tabId="7" name="PivotTable1"/>
    <pivotTable tabId="7" name="PivotTable2"/>
    <pivotTable tabId="7" name="Quantity Sold"/>
    <pivotTable tabId="7" name="Tractor Brand sales"/>
    <pivotTable tabId="4" name="Region based sales (Cr)"/>
    <pivotTable tabId="4" name="Sales by region and city (Cr)"/>
    <pivotTable tabId="3" name="PivotTable6"/>
    <pivotTable tabId="4" name="Order Count Invoice"/>
    <pivotTable tabId="4" name="Yearly Sales Trend"/>
    <pivotTable tabId="4" name="PivotTable10"/>
    <pivotTable tabId="4" name="Dealer's Performance"/>
    <pivotTable tabId="4" name="Region based sales"/>
    <pivotTable tabId="4" name="Sales by Region and city"/>
    <pivotTable tabId="7" name="PivotTable3"/>
  </pivotTables>
  <data>
    <tabular pivotCacheId="471476404">
      <items count="5">
        <i x="4" s="1"/>
        <i x="1" s="1"/>
        <i x="2"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12CDFF1-DBC6-42B6-9C93-489764E0BFF4}" sourceName="Region">
  <pivotTables>
    <pivotTable tabId="7" name="Tractor Brand sales"/>
    <pivotTable tabId="7" name="Model based Monthly sales"/>
    <pivotTable tabId="7" name="Modelwise sales"/>
    <pivotTable tabId="7" name="Monthly Quantity Sold"/>
    <pivotTable tabId="7" name="PivotTable1"/>
    <pivotTable tabId="7" name="PivotTable2"/>
    <pivotTable tabId="7" name="Quantity Sold"/>
    <pivotTable tabId="4" name="Region based sales (Cr)"/>
    <pivotTable tabId="4" name="Sales by region and city (Cr)"/>
    <pivotTable tabId="3" name="PivotTable6"/>
    <pivotTable tabId="4" name="Order Count Invoice"/>
    <pivotTable tabId="4" name="Yearly Sales Trend"/>
    <pivotTable tabId="4" name="Dealer's Performance"/>
    <pivotTable tabId="4" name="PivotTable10"/>
    <pivotTable tabId="4" name="Region based sales"/>
    <pivotTable tabId="4" name="Sales by Region and city"/>
    <pivotTable tabId="7" name="PivotTable3"/>
  </pivotTables>
  <data>
    <tabular pivotCacheId="47147640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ctor Model" xr10:uid="{21D21CF7-9759-496E-B979-F19C6B61718B}" cache="Slicer_Tractor_Model" caption="Tractor Model" rowHeight="457200"/>
  <slicer name="Brand Name" xr10:uid="{C8B82C0C-1C9E-42E7-A460-77F6551CE3F5}" cache="Slicer_Brand_Name" caption="Brand Name" columnCount="2" rowHeight="457200"/>
  <slicer name="Dealer Name 1" xr10:uid="{10F19553-552C-4E08-8073-D744655AF8A5}" cache="Slicer_Dealer_Name1" caption="Dealer Name" columnCount="2" rowHeight="365760"/>
  <slicer name="Region 1" xr10:uid="{FC7CF1E0-66B9-44CD-8D8A-7E83C0A2C4ED}" cache="Slicer_Region1" caption="Region" columnCount="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CB6A15B-1933-42E4-83C5-DF3C3DDDEBCF}" cache="Slicer_City" caption="City" columnCount="3" rowHeight="365760"/>
  <slicer name="State" xr10:uid="{AFAABC24-885F-4C4C-8B77-86251B4A1DBE}" cache="Slicer_State" caption="State" columnCount="2" rowHeight="365760"/>
  <slicer name="Dealer Name" xr10:uid="{6C73D09A-07FB-41B6-98E0-A807E20711EC}" cache="Slicer_Dealer_Name1" caption="Dealer Name" columnCount="2" rowHeight="365760"/>
  <slicer name="Region" xr10:uid="{103E4D40-A455-4AC7-AAAD-E5CB74E44D5A}" cache="Slicer_Region1" caption="Region" columnCount="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7212FD-239E-45BC-85C2-DBE92A7034F8}" name="Table2" displayName="Table2" ref="B3:C12" totalsRowShown="0" headerRowDxfId="13127" dataDxfId="13125" headerRowBorderDxfId="13126" tableBorderDxfId="13124">
  <autoFilter ref="B3:C12" xr:uid="{157212FD-239E-45BC-85C2-DBE92A7034F8}"/>
  <tableColumns count="2">
    <tableColumn id="1" xr3:uid="{AAD911E6-CFFE-4B32-B804-00263F5CADC4}" name="Tractor Quantity  Purchased" dataDxfId="13123"/>
    <tableColumn id="2" xr3:uid="{EA6FAE20-4170-4703-8C3F-557D98B1B389}" name="Discount Allotment" dataDxfId="131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0B03695-92D7-4431-B875-A427B9DB6D6D}" name="Table6" displayName="Table6" ref="E17:F22" totalsRowShown="0" dataDxfId="13120" headerRowBorderDxfId="13121" tableBorderDxfId="13119">
  <autoFilter ref="E17:F22" xr:uid="{10B03695-92D7-4431-B875-A427B9DB6D6D}"/>
  <tableColumns count="2">
    <tableColumn id="1" xr3:uid="{7696DCA5-8D54-4D8B-87ED-B590A554618D}" name="City Name" dataDxfId="13118"/>
    <tableColumn id="2" xr3:uid="{D71A1949-C522-429D-8ACC-3C7A1AF10F38}" name="Region" dataDxfId="1311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A783B3-5533-4478-8183-C087CCBE10C5}" name="Table7" displayName="Table7" ref="E4:F9" totalsRowShown="0" dataDxfId="13115" headerRowBorderDxfId="13116" tableBorderDxfId="13114" totalsRowBorderDxfId="13113">
  <autoFilter ref="E4:F9" xr:uid="{BCA783B3-5533-4478-8183-C087CCBE10C5}"/>
  <tableColumns count="2">
    <tableColumn id="1" xr3:uid="{6262230E-CE5F-4161-9251-6E15A50C347F}" name="Product Model" dataDxfId="13112"/>
    <tableColumn id="2" xr3:uid="{DBE851D4-FD44-4061-8EC1-45D440383AAF}" name="Product Category" dataDxfId="1311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F576B9-9762-4E6E-A996-54B4CD7966B7}" name="Table1" displayName="Table1" ref="A1:U1981" totalsRowCount="1">
  <autoFilter ref="A1:U1980" xr:uid="{49F576B9-9762-4E6E-A996-54B4CD7966B7}"/>
  <sortState xmlns:xlrd2="http://schemas.microsoft.com/office/spreadsheetml/2017/richdata2" ref="A2:U1980">
    <sortCondition sortBy="cellColor" ref="A2:A1980" dxfId="13110"/>
  </sortState>
  <tableColumns count="21">
    <tableColumn id="1" xr3:uid="{AC9C02E6-6C3A-4D58-A2ED-5C1D5779933B}" name="Invoice ID" dataDxfId="13109" totalsRowDxfId="13108"/>
    <tableColumn id="2" xr3:uid="{24301093-DE9F-4C3D-82E2-0C90FFDA8C64}" name="Order Date" dataDxfId="13107" totalsRowDxfId="13106"/>
    <tableColumn id="7" xr3:uid="{4EBF95C2-68EC-44BE-B9F8-07D28AC24312}" name="Sales Executive" dataDxfId="13105" totalsRowDxfId="13104"/>
    <tableColumn id="3" xr3:uid="{AAAF0026-554A-4366-8876-EA0DC94F84F7}" name="Dealer Name"/>
    <tableColumn id="4" xr3:uid="{706EFF46-5246-48F1-B8F6-4AC7F75E6A24}" name="State"/>
    <tableColumn id="21" xr3:uid="{2975CBB9-C7B7-41F5-94AA-33D64E6769FA}" name="Dealer Master Key"/>
    <tableColumn id="5" xr3:uid="{0BB07EE7-965A-4E05-96C8-6137ACF885A5}" name="City"/>
    <tableColumn id="6" xr3:uid="{8D0EA676-0E4A-4CA5-B752-89BD0DE12211}" name="Region" dataDxfId="13103" totalsRowDxfId="13102">
      <calculatedColumnFormula>VLOOKUP(Table1[[#This Row],[City]],Table6[#All],2,FALSE)</calculatedColumnFormula>
    </tableColumn>
    <tableColumn id="10" xr3:uid="{761F7DED-B4C8-4A42-9739-B00662EFCBCF}" name="Tractor Model"/>
    <tableColumn id="17" xr3:uid="{08ED7113-972E-4F3A-B904-3BFEDE7B49F1}" name="Brand Name" dataDxfId="13101" totalsRowDxfId="13100">
      <calculatedColumnFormula>_xlfn.XLOOKUP(Table1[[#This Row],[Tractor Model]],Table7[Product Model],Table7[Product Category],"Not Available",0)</calculatedColumnFormula>
    </tableColumn>
    <tableColumn id="8" xr3:uid="{7D0DD353-F702-48DD-ABBC-F14DC49E8FC5}" name="Quantity" dataDxfId="13099" totalsRowDxfId="13098"/>
    <tableColumn id="12" xr3:uid="{F5029A36-C48A-4829-BD7C-D735A40A3D3A}" name="Unit Price" dataDxfId="13097" totalsRowDxfId="13096"/>
    <tableColumn id="18" xr3:uid="{BC7D90FB-B69B-4BBC-B23F-345F2F158340}" name="Discount %" dataDxfId="13095" totalsRowDxfId="13094">
      <calculatedColumnFormula>INDEX('Master Sheet'!$C$4:$C$12,MATCH(Table1[[#This Row],[Quantity]],'Master Sheet'!$B$4:$B$12,0))</calculatedColumnFormula>
    </tableColumn>
    <tableColumn id="28" xr3:uid="{BA45FDFE-3D40-4104-AF68-7552B4593EBD}" name="Gross Amount" dataDxfId="13093" totalsRowDxfId="13092">
      <calculatedColumnFormula>Table1[[#This Row],[Quantity]]*Table1[[#This Row],[Unit Price]]</calculatedColumnFormula>
    </tableColumn>
    <tableColumn id="11" xr3:uid="{70C3EC44-9360-49D1-9E85-6254BE616465}" name="Gross Amount (Cr)" dataDxfId="13091" totalsRowDxfId="13090"/>
    <tableColumn id="14" xr3:uid="{0192DA6B-D389-4EDC-AF69-1334F1393541}" name="Net Sales Amount" dataDxfId="13089" totalsRowDxfId="13088">
      <calculatedColumnFormula>Table1[[#This Row],[Gross Amount]]*(1-(Table1[[#This Row],[Discount %]]/100))</calculatedColumnFormula>
    </tableColumn>
    <tableColumn id="9" xr3:uid="{169F3265-8137-4632-A961-F38BB2600570}" name="Net Sales  (Cr)" dataDxfId="13087" totalsRowDxfId="13086">
      <calculatedColumnFormula>(Table1[[#This Row],[Gross Amount]]*(1-(Table1[[#This Row],[Discount %]]/100)))/10000000</calculatedColumnFormula>
    </tableColumn>
    <tableColumn id="15" xr3:uid="{37C47C3D-7917-403D-8430-34F9302651E3}" name="Payment Status"/>
    <tableColumn id="16" xr3:uid="{EA0B8562-CF8C-4781-9EDD-63B394E2FAF7}" name="Delivery Status" dataDxfId="13085" totalsRowDxfId="13084">
      <calculatedColumnFormula array="1">IFERROR(_xlfn.IFS(Table1[[#This Row],[Payment Status]]="Partial","In Transit",Table1[[#This Row],[Payment Status]]="Paid","Delivered",Table1[[#This Row],[Payment Status]]="Pending","Pending"),"Invalid Input")</calculatedColumnFormula>
    </tableColumn>
    <tableColumn id="22" xr3:uid="{0AC7A299-B226-4B80-AE0E-8AA279EB022A}" name="GST Status" dataDxfId="13083" totalsRowDxfId="13082"/>
    <tableColumn id="24" xr3:uid="{0AE3825A-2785-4357-AB7F-9B8E3F16F96D}" name="Order Status" dataDxfId="13081" totalsRowDxfId="13080">
      <calculatedColumnFormula array="1">IFERROR(_xlfn.IFS(Table1[[#This Row],[Payment Status]]="Partial","In Transit",Table1[[#This Row],[Payment Status]]="Paid","Completed",Table1[[#This Row],[Payment Status]]="Pending","Pending"),"Invalid Input")</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E2E1119A-3B1D-4FC2-AC72-A645B622A55C}" sourceName="Order Date">
  <pivotTables>
    <pivotTable tabId="7" name="Tractor Brand sales"/>
    <pivotTable tabId="7" name="Model based Monthly sales"/>
    <pivotTable tabId="7" name="Modelwise sales"/>
    <pivotTable tabId="7" name="Monthly Quantity Sold"/>
    <pivotTable tabId="7" name="PivotTable1"/>
    <pivotTable tabId="7" name="PivotTable2"/>
    <pivotTable tabId="7" name="Quantity Sold"/>
    <pivotTable tabId="4" name="Region based sales (Cr)"/>
    <pivotTable tabId="4" name="Sales by region and city (Cr)"/>
    <pivotTable tabId="3" name="PivotTable6"/>
    <pivotTable tabId="4" name="Order Count Invoice"/>
    <pivotTable tabId="4" name="Dealer's Performance"/>
    <pivotTable tabId="4" name="PivotTable10"/>
    <pivotTable tabId="4" name="Yearly Sales Trend"/>
    <pivotTable tabId="4" name="Region based sales"/>
    <pivotTable tabId="4" name="Sales by Region and city"/>
    <pivotTable tabId="7" name="PivotTable3"/>
  </pivotTables>
  <state minimalRefreshVersion="6" lastRefreshVersion="6" pivotCacheId="47147640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74A942B-E1BD-40DA-A088-3BA0DE527E1C}" cache="NativeTimeline_Order_Date1" caption="Order Date" level="2" selectionLevel="2" scrollPosition="2025-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75ECD85-4846-4950-8167-E68F0260AB36}" cache="NativeTimeline_Order_Date1" caption="Order Date" level="2" selectionLevel="2" scrollPosition="2025-07-29T00:00:00" style="Timeline Style 1"/>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B0A139A-8EC4-4A8D-B916-9F87BC76520D}">
  <we:reference id="WA200005271" version="3.0.0.4" store="Omex"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2.xml><?xml version="1.0" encoding="utf-8"?>
<we:webextension xmlns:we="http://schemas.microsoft.com/office/webextensions/webextension/2010/11" id="{415AE64A-8A5B-48D7-AFA0-7C135EEBF385}">
  <we:reference id="WA200009404" version="1.0.0.8" store="Omex" storeType="OMEX"/>
  <we:alternateReferences>
    <we:reference id="WA200009404" version="1.0.0.8" store="WA200009404" storeType="OMEX"/>
  </we:alternateReferences>
  <we:properties>
    <we:property name="claude.fileId" value="&quot;cfe4d77d-4001-49e0-87a5-e53d31d915a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2001"/>
  <sheetViews>
    <sheetView workbookViewId="0">
      <selection activeCell="L1987" sqref="L1987"/>
    </sheetView>
  </sheetViews>
  <sheetFormatPr defaultRowHeight="15" x14ac:dyDescent="0.25"/>
  <cols>
    <col min="1" max="1" width="9.7109375" bestFit="1" customWidth="1"/>
    <col min="2" max="2" width="10.7109375" bestFit="1" customWidth="1"/>
    <col min="3" max="3" width="17.42578125" bestFit="1" customWidth="1"/>
    <col min="4" max="4" width="13.140625" bestFit="1" customWidth="1"/>
    <col min="5" max="5" width="10.42578125" bestFit="1" customWidth="1"/>
    <col min="6" max="6" width="7.140625" bestFit="1" customWidth="1"/>
    <col min="7" max="7" width="14.7109375" bestFit="1" customWidth="1"/>
    <col min="8" max="8" width="15" bestFit="1" customWidth="1"/>
    <col min="9" max="9" width="8.7109375" bestFit="1" customWidth="1"/>
    <col min="10" max="10" width="9.5703125" bestFit="1" customWidth="1"/>
    <col min="11" max="11" width="10.7109375" bestFit="1" customWidth="1"/>
    <col min="12" max="12" width="13.28515625" bestFit="1" customWidth="1"/>
    <col min="13" max="13" width="14.85546875" bestFit="1" customWidth="1"/>
    <col min="14" max="14" width="14.42578125" bestFit="1" customWidth="1"/>
    <col min="15" max="15" width="10.140625" bestFit="1" customWidth="1"/>
    <col min="16" max="16" width="12" bestFit="1" customWidth="1"/>
  </cols>
  <sheetData>
    <row r="1" spans="1:16" x14ac:dyDescent="0.25">
      <c r="A1" t="s">
        <v>0</v>
      </c>
      <c r="B1" t="s">
        <v>1</v>
      </c>
      <c r="C1" t="s">
        <v>2</v>
      </c>
      <c r="D1" t="s">
        <v>3</v>
      </c>
      <c r="E1" t="s">
        <v>4</v>
      </c>
      <c r="F1" t="s">
        <v>5</v>
      </c>
      <c r="G1" t="s">
        <v>6</v>
      </c>
      <c r="H1" t="s">
        <v>8</v>
      </c>
      <c r="I1" t="s">
        <v>9</v>
      </c>
      <c r="J1" t="s">
        <v>10</v>
      </c>
      <c r="K1" t="s">
        <v>11</v>
      </c>
      <c r="L1" t="s">
        <v>12</v>
      </c>
      <c r="M1" t="s">
        <v>13</v>
      </c>
      <c r="N1" t="s">
        <v>14</v>
      </c>
      <c r="O1" t="s">
        <v>15</v>
      </c>
      <c r="P1" t="s">
        <v>16</v>
      </c>
    </row>
    <row r="2" spans="1:16" x14ac:dyDescent="0.25">
      <c r="A2" t="s">
        <v>17</v>
      </c>
      <c r="B2" t="s">
        <v>18</v>
      </c>
      <c r="C2" t="s">
        <v>19</v>
      </c>
      <c r="D2" t="s">
        <v>20</v>
      </c>
      <c r="E2" t="s">
        <v>21</v>
      </c>
      <c r="F2" t="s">
        <v>22</v>
      </c>
      <c r="G2" t="s">
        <v>23</v>
      </c>
      <c r="H2" t="s">
        <v>24</v>
      </c>
      <c r="I2">
        <v>1</v>
      </c>
      <c r="J2">
        <v>810386</v>
      </c>
      <c r="K2">
        <v>0</v>
      </c>
      <c r="L2">
        <v>810386</v>
      </c>
      <c r="M2" t="s">
        <v>25</v>
      </c>
      <c r="N2" t="s">
        <v>26</v>
      </c>
      <c r="O2" t="s">
        <v>27</v>
      </c>
      <c r="P2" t="s">
        <v>26</v>
      </c>
    </row>
    <row r="3" spans="1:16" x14ac:dyDescent="0.25">
      <c r="A3" t="s">
        <v>28</v>
      </c>
      <c r="B3" t="s">
        <v>29</v>
      </c>
      <c r="C3" t="s">
        <v>19</v>
      </c>
      <c r="D3" t="s">
        <v>30</v>
      </c>
      <c r="E3" t="s">
        <v>31</v>
      </c>
      <c r="F3" t="s">
        <v>32</v>
      </c>
      <c r="G3" t="s">
        <v>33</v>
      </c>
      <c r="H3" t="s">
        <v>34</v>
      </c>
      <c r="I3">
        <v>6</v>
      </c>
      <c r="J3">
        <v>421642</v>
      </c>
      <c r="K3">
        <v>5</v>
      </c>
      <c r="L3">
        <v>2403359.4</v>
      </c>
      <c r="M3" t="s">
        <v>25</v>
      </c>
      <c r="N3" t="s">
        <v>26</v>
      </c>
      <c r="O3" t="s">
        <v>27</v>
      </c>
      <c r="P3" t="s">
        <v>26</v>
      </c>
    </row>
    <row r="4" spans="1:16" x14ac:dyDescent="0.25">
      <c r="A4" t="s">
        <v>35</v>
      </c>
      <c r="B4" t="s">
        <v>36</v>
      </c>
      <c r="C4" t="s">
        <v>37</v>
      </c>
      <c r="D4" t="s">
        <v>38</v>
      </c>
      <c r="E4" t="s">
        <v>39</v>
      </c>
      <c r="F4" t="s">
        <v>40</v>
      </c>
      <c r="G4" t="s">
        <v>41</v>
      </c>
      <c r="H4" t="s">
        <v>34</v>
      </c>
      <c r="I4">
        <v>7</v>
      </c>
      <c r="J4">
        <v>58962</v>
      </c>
      <c r="K4">
        <v>0</v>
      </c>
      <c r="L4">
        <v>412734</v>
      </c>
      <c r="M4" t="s">
        <v>42</v>
      </c>
      <c r="N4" t="s">
        <v>43</v>
      </c>
      <c r="O4" t="s">
        <v>44</v>
      </c>
      <c r="P4" t="s">
        <v>26</v>
      </c>
    </row>
    <row r="5" spans="1:16" x14ac:dyDescent="0.25">
      <c r="A5" t="s">
        <v>45</v>
      </c>
      <c r="B5" t="s">
        <v>46</v>
      </c>
      <c r="C5" t="s">
        <v>37</v>
      </c>
      <c r="D5" t="s">
        <v>47</v>
      </c>
      <c r="E5" t="s">
        <v>48</v>
      </c>
      <c r="F5" t="s">
        <v>22</v>
      </c>
      <c r="G5" t="s">
        <v>33</v>
      </c>
      <c r="H5" t="s">
        <v>34</v>
      </c>
      <c r="I5">
        <v>7</v>
      </c>
      <c r="J5">
        <v>640018</v>
      </c>
      <c r="K5">
        <v>10</v>
      </c>
      <c r="L5">
        <v>4032113.4</v>
      </c>
      <c r="M5" t="s">
        <v>25</v>
      </c>
      <c r="N5" t="s">
        <v>43</v>
      </c>
      <c r="O5" t="s">
        <v>44</v>
      </c>
      <c r="P5" t="s">
        <v>42</v>
      </c>
    </row>
    <row r="6" spans="1:16" x14ac:dyDescent="0.25">
      <c r="A6" t="s">
        <v>49</v>
      </c>
      <c r="B6" t="s">
        <v>50</v>
      </c>
      <c r="C6" t="s">
        <v>19</v>
      </c>
      <c r="D6" t="s">
        <v>51</v>
      </c>
      <c r="E6" t="s">
        <v>48</v>
      </c>
      <c r="F6" t="s">
        <v>22</v>
      </c>
      <c r="G6" t="s">
        <v>52</v>
      </c>
      <c r="H6" t="s">
        <v>53</v>
      </c>
      <c r="I6">
        <v>2</v>
      </c>
      <c r="J6">
        <v>736528</v>
      </c>
      <c r="K6">
        <v>10</v>
      </c>
      <c r="L6">
        <v>1325750.3999999999</v>
      </c>
      <c r="M6" t="s">
        <v>54</v>
      </c>
      <c r="N6" t="s">
        <v>43</v>
      </c>
      <c r="O6" t="s">
        <v>27</v>
      </c>
      <c r="P6" t="s">
        <v>55</v>
      </c>
    </row>
    <row r="7" spans="1:16" x14ac:dyDescent="0.25">
      <c r="A7" t="s">
        <v>56</v>
      </c>
      <c r="B7" t="s">
        <v>57</v>
      </c>
      <c r="C7" t="s">
        <v>37</v>
      </c>
      <c r="D7" t="s">
        <v>20</v>
      </c>
      <c r="E7" t="s">
        <v>21</v>
      </c>
      <c r="F7" t="s">
        <v>22</v>
      </c>
      <c r="G7" t="s">
        <v>41</v>
      </c>
      <c r="H7" t="s">
        <v>58</v>
      </c>
      <c r="I7">
        <v>3</v>
      </c>
      <c r="J7">
        <v>446618</v>
      </c>
      <c r="K7">
        <v>2</v>
      </c>
      <c r="L7">
        <v>1313056.92</v>
      </c>
      <c r="M7" t="s">
        <v>42</v>
      </c>
      <c r="N7" t="s">
        <v>43</v>
      </c>
      <c r="O7" t="s">
        <v>27</v>
      </c>
      <c r="P7" t="s">
        <v>55</v>
      </c>
    </row>
    <row r="8" spans="1:16" x14ac:dyDescent="0.25">
      <c r="A8" t="s">
        <v>59</v>
      </c>
      <c r="B8" t="s">
        <v>60</v>
      </c>
      <c r="C8" t="s">
        <v>61</v>
      </c>
      <c r="D8" t="s">
        <v>38</v>
      </c>
      <c r="E8" t="s">
        <v>39</v>
      </c>
      <c r="F8" t="s">
        <v>40</v>
      </c>
      <c r="G8" t="s">
        <v>62</v>
      </c>
      <c r="H8" t="s">
        <v>58</v>
      </c>
      <c r="I8">
        <v>4</v>
      </c>
      <c r="J8">
        <v>636846</v>
      </c>
      <c r="K8">
        <v>7</v>
      </c>
      <c r="L8">
        <v>2369067.12</v>
      </c>
      <c r="M8" t="s">
        <v>25</v>
      </c>
      <c r="N8" t="s">
        <v>43</v>
      </c>
      <c r="O8" t="s">
        <v>27</v>
      </c>
      <c r="P8" t="s">
        <v>26</v>
      </c>
    </row>
    <row r="9" spans="1:16" x14ac:dyDescent="0.25">
      <c r="A9" t="s">
        <v>63</v>
      </c>
      <c r="B9" t="s">
        <v>64</v>
      </c>
      <c r="C9" t="s">
        <v>65</v>
      </c>
      <c r="D9" t="s">
        <v>66</v>
      </c>
      <c r="E9" t="s">
        <v>67</v>
      </c>
      <c r="F9" t="s">
        <v>68</v>
      </c>
      <c r="G9" t="s">
        <v>52</v>
      </c>
      <c r="H9" t="s">
        <v>53</v>
      </c>
      <c r="I9">
        <v>4</v>
      </c>
      <c r="J9">
        <v>87171</v>
      </c>
      <c r="K9">
        <v>5</v>
      </c>
      <c r="L9">
        <v>331249.8</v>
      </c>
      <c r="M9" t="s">
        <v>42</v>
      </c>
      <c r="N9" t="s">
        <v>69</v>
      </c>
      <c r="O9" t="s">
        <v>44</v>
      </c>
      <c r="P9" t="s">
        <v>55</v>
      </c>
    </row>
    <row r="10" spans="1:16" x14ac:dyDescent="0.25">
      <c r="A10" t="s">
        <v>70</v>
      </c>
      <c r="B10" t="s">
        <v>71</v>
      </c>
      <c r="C10" t="s">
        <v>65</v>
      </c>
      <c r="D10" t="s">
        <v>47</v>
      </c>
      <c r="E10" t="s">
        <v>72</v>
      </c>
      <c r="F10" t="s">
        <v>22</v>
      </c>
      <c r="G10" t="s">
        <v>73</v>
      </c>
      <c r="H10" t="s">
        <v>34</v>
      </c>
      <c r="I10">
        <v>6</v>
      </c>
      <c r="J10">
        <v>435799</v>
      </c>
      <c r="K10">
        <v>7</v>
      </c>
      <c r="L10">
        <v>2431758.42</v>
      </c>
      <c r="M10" t="s">
        <v>54</v>
      </c>
      <c r="N10" t="s">
        <v>43</v>
      </c>
      <c r="O10" t="s">
        <v>44</v>
      </c>
      <c r="P10" t="s">
        <v>55</v>
      </c>
    </row>
    <row r="11" spans="1:16" x14ac:dyDescent="0.25">
      <c r="A11" t="s">
        <v>74</v>
      </c>
      <c r="B11" t="s">
        <v>75</v>
      </c>
      <c r="C11" t="s">
        <v>76</v>
      </c>
      <c r="D11" t="s">
        <v>30</v>
      </c>
      <c r="E11" t="s">
        <v>31</v>
      </c>
      <c r="F11" t="s">
        <v>32</v>
      </c>
      <c r="G11" t="s">
        <v>33</v>
      </c>
      <c r="H11" t="s">
        <v>53</v>
      </c>
      <c r="I11">
        <v>3</v>
      </c>
      <c r="J11">
        <v>91771</v>
      </c>
      <c r="K11">
        <v>12</v>
      </c>
      <c r="L11">
        <v>242275.44</v>
      </c>
      <c r="M11" t="s">
        <v>54</v>
      </c>
      <c r="N11" t="s">
        <v>69</v>
      </c>
      <c r="O11" t="s">
        <v>44</v>
      </c>
      <c r="P11" t="s">
        <v>26</v>
      </c>
    </row>
    <row r="12" spans="1:16" x14ac:dyDescent="0.25">
      <c r="A12" t="s">
        <v>77</v>
      </c>
      <c r="B12" t="s">
        <v>78</v>
      </c>
      <c r="C12" t="s">
        <v>79</v>
      </c>
      <c r="D12" t="s">
        <v>20</v>
      </c>
      <c r="E12" t="s">
        <v>21</v>
      </c>
      <c r="F12" t="s">
        <v>22</v>
      </c>
      <c r="G12" t="s">
        <v>23</v>
      </c>
      <c r="H12" t="s">
        <v>58</v>
      </c>
      <c r="I12">
        <v>1</v>
      </c>
      <c r="J12">
        <v>366788</v>
      </c>
      <c r="K12">
        <v>2</v>
      </c>
      <c r="L12">
        <v>359452.24</v>
      </c>
      <c r="M12" t="s">
        <v>25</v>
      </c>
      <c r="N12" t="s">
        <v>69</v>
      </c>
      <c r="O12" t="s">
        <v>27</v>
      </c>
      <c r="P12" t="s">
        <v>55</v>
      </c>
    </row>
    <row r="13" spans="1:16" x14ac:dyDescent="0.25">
      <c r="A13" t="s">
        <v>80</v>
      </c>
      <c r="B13" t="s">
        <v>81</v>
      </c>
      <c r="C13" t="s">
        <v>65</v>
      </c>
      <c r="D13" t="s">
        <v>66</v>
      </c>
      <c r="E13" t="s">
        <v>67</v>
      </c>
      <c r="F13" t="s">
        <v>68</v>
      </c>
      <c r="G13" t="s">
        <v>73</v>
      </c>
      <c r="H13" t="s">
        <v>58</v>
      </c>
      <c r="I13">
        <v>8</v>
      </c>
      <c r="J13">
        <v>745852</v>
      </c>
      <c r="K13">
        <v>0</v>
      </c>
      <c r="L13">
        <v>5966816</v>
      </c>
      <c r="M13" t="s">
        <v>54</v>
      </c>
      <c r="N13" t="s">
        <v>43</v>
      </c>
      <c r="O13" t="s">
        <v>44</v>
      </c>
      <c r="P13" t="s">
        <v>42</v>
      </c>
    </row>
    <row r="14" spans="1:16" x14ac:dyDescent="0.25">
      <c r="A14" t="s">
        <v>82</v>
      </c>
      <c r="B14" t="s">
        <v>60</v>
      </c>
      <c r="C14" t="s">
        <v>19</v>
      </c>
      <c r="D14" t="s">
        <v>47</v>
      </c>
      <c r="E14" t="s">
        <v>48</v>
      </c>
      <c r="F14" t="s">
        <v>22</v>
      </c>
      <c r="G14" t="s">
        <v>41</v>
      </c>
      <c r="H14" t="s">
        <v>53</v>
      </c>
      <c r="I14">
        <v>6</v>
      </c>
      <c r="J14">
        <v>291408</v>
      </c>
      <c r="K14">
        <v>12</v>
      </c>
      <c r="L14">
        <v>1538634.24</v>
      </c>
      <c r="M14" t="s">
        <v>25</v>
      </c>
      <c r="N14" t="s">
        <v>26</v>
      </c>
      <c r="O14" t="s">
        <v>44</v>
      </c>
      <c r="P14" t="s">
        <v>55</v>
      </c>
    </row>
    <row r="15" spans="1:16" x14ac:dyDescent="0.25">
      <c r="A15" t="s">
        <v>83</v>
      </c>
      <c r="B15" t="s">
        <v>84</v>
      </c>
      <c r="C15" t="s">
        <v>85</v>
      </c>
      <c r="D15" t="s">
        <v>47</v>
      </c>
      <c r="E15" t="s">
        <v>48</v>
      </c>
      <c r="F15" t="s">
        <v>22</v>
      </c>
      <c r="G15" t="s">
        <v>33</v>
      </c>
      <c r="H15" t="s">
        <v>86</v>
      </c>
      <c r="I15">
        <v>8</v>
      </c>
      <c r="J15">
        <v>426894</v>
      </c>
      <c r="K15">
        <v>7</v>
      </c>
      <c r="L15">
        <v>3188436.36</v>
      </c>
      <c r="M15" t="s">
        <v>54</v>
      </c>
      <c r="N15" t="s">
        <v>69</v>
      </c>
      <c r="O15" t="s">
        <v>27</v>
      </c>
      <c r="P15" t="s">
        <v>26</v>
      </c>
    </row>
    <row r="16" spans="1:16" x14ac:dyDescent="0.25">
      <c r="A16" t="s">
        <v>87</v>
      </c>
      <c r="B16" t="s">
        <v>88</v>
      </c>
      <c r="C16" t="s">
        <v>85</v>
      </c>
      <c r="D16" t="s">
        <v>47</v>
      </c>
      <c r="E16" t="s">
        <v>48</v>
      </c>
      <c r="F16" t="s">
        <v>22</v>
      </c>
      <c r="G16" t="s">
        <v>89</v>
      </c>
      <c r="H16" t="s">
        <v>58</v>
      </c>
      <c r="I16">
        <v>2</v>
      </c>
      <c r="J16">
        <v>514828</v>
      </c>
      <c r="K16">
        <v>2</v>
      </c>
      <c r="L16">
        <v>1009062.88</v>
      </c>
      <c r="M16" t="s">
        <v>42</v>
      </c>
      <c r="N16" t="s">
        <v>26</v>
      </c>
      <c r="O16" t="s">
        <v>44</v>
      </c>
      <c r="P16" t="s">
        <v>42</v>
      </c>
    </row>
    <row r="17" spans="1:16" x14ac:dyDescent="0.25">
      <c r="A17" t="s">
        <v>90</v>
      </c>
      <c r="B17" t="s">
        <v>88</v>
      </c>
      <c r="C17" t="s">
        <v>91</v>
      </c>
      <c r="D17" t="s">
        <v>38</v>
      </c>
      <c r="E17" t="s">
        <v>39</v>
      </c>
      <c r="F17" t="s">
        <v>40</v>
      </c>
      <c r="G17" t="s">
        <v>73</v>
      </c>
      <c r="H17" t="s">
        <v>24</v>
      </c>
      <c r="I17">
        <v>8</v>
      </c>
      <c r="J17">
        <v>248914</v>
      </c>
      <c r="K17">
        <v>7</v>
      </c>
      <c r="L17">
        <v>1851920.16</v>
      </c>
      <c r="M17" t="s">
        <v>25</v>
      </c>
      <c r="N17" t="s">
        <v>43</v>
      </c>
      <c r="O17" t="s">
        <v>44</v>
      </c>
      <c r="P17" t="s">
        <v>26</v>
      </c>
    </row>
    <row r="18" spans="1:16" x14ac:dyDescent="0.25">
      <c r="A18" t="s">
        <v>92</v>
      </c>
      <c r="B18" t="s">
        <v>93</v>
      </c>
      <c r="C18" t="s">
        <v>85</v>
      </c>
      <c r="D18" t="s">
        <v>20</v>
      </c>
      <c r="E18" t="s">
        <v>21</v>
      </c>
      <c r="F18" t="s">
        <v>22</v>
      </c>
      <c r="G18" t="s">
        <v>94</v>
      </c>
      <c r="H18" t="s">
        <v>86</v>
      </c>
      <c r="I18">
        <v>3</v>
      </c>
      <c r="J18">
        <v>457291</v>
      </c>
      <c r="K18">
        <v>0</v>
      </c>
      <c r="L18">
        <v>1371873</v>
      </c>
      <c r="M18" t="s">
        <v>42</v>
      </c>
      <c r="N18" t="s">
        <v>26</v>
      </c>
      <c r="O18" t="s">
        <v>27</v>
      </c>
      <c r="P18" t="s">
        <v>55</v>
      </c>
    </row>
    <row r="19" spans="1:16" x14ac:dyDescent="0.25">
      <c r="A19" t="s">
        <v>95</v>
      </c>
      <c r="B19" t="s">
        <v>96</v>
      </c>
      <c r="C19" t="s">
        <v>76</v>
      </c>
      <c r="D19" t="s">
        <v>66</v>
      </c>
      <c r="E19" t="s">
        <v>67</v>
      </c>
      <c r="F19" t="s">
        <v>68</v>
      </c>
      <c r="G19" t="s">
        <v>62</v>
      </c>
      <c r="H19" t="s">
        <v>34</v>
      </c>
      <c r="I19">
        <v>5</v>
      </c>
      <c r="J19">
        <v>199563</v>
      </c>
      <c r="K19">
        <v>7</v>
      </c>
      <c r="L19">
        <v>927967.95</v>
      </c>
      <c r="M19" t="s">
        <v>54</v>
      </c>
      <c r="N19" t="s">
        <v>43</v>
      </c>
      <c r="O19" t="s">
        <v>27</v>
      </c>
      <c r="P19" t="s">
        <v>55</v>
      </c>
    </row>
    <row r="20" spans="1:16" x14ac:dyDescent="0.25">
      <c r="A20" t="s">
        <v>97</v>
      </c>
      <c r="B20" t="s">
        <v>98</v>
      </c>
      <c r="C20" t="s">
        <v>99</v>
      </c>
      <c r="D20" t="s">
        <v>20</v>
      </c>
      <c r="E20" t="s">
        <v>21</v>
      </c>
      <c r="F20" t="s">
        <v>22</v>
      </c>
      <c r="G20" t="s">
        <v>52</v>
      </c>
      <c r="H20" t="s">
        <v>53</v>
      </c>
      <c r="I20">
        <v>8</v>
      </c>
      <c r="J20">
        <v>891147</v>
      </c>
      <c r="K20">
        <v>12</v>
      </c>
      <c r="L20">
        <v>6273674.8799999999</v>
      </c>
      <c r="M20" t="s">
        <v>54</v>
      </c>
      <c r="N20" t="s">
        <v>43</v>
      </c>
      <c r="O20" t="s">
        <v>27</v>
      </c>
      <c r="P20" t="s">
        <v>55</v>
      </c>
    </row>
    <row r="21" spans="1:16" x14ac:dyDescent="0.25">
      <c r="A21" t="s">
        <v>100</v>
      </c>
      <c r="B21" t="s">
        <v>101</v>
      </c>
      <c r="C21" t="s">
        <v>19</v>
      </c>
      <c r="D21" t="s">
        <v>38</v>
      </c>
      <c r="E21" t="s">
        <v>39</v>
      </c>
      <c r="F21" t="s">
        <v>40</v>
      </c>
      <c r="G21" t="s">
        <v>41</v>
      </c>
      <c r="H21" t="s">
        <v>58</v>
      </c>
      <c r="I21">
        <v>6</v>
      </c>
      <c r="J21">
        <v>55607</v>
      </c>
      <c r="K21">
        <v>2</v>
      </c>
      <c r="L21">
        <v>339314.16</v>
      </c>
      <c r="M21" t="s">
        <v>54</v>
      </c>
      <c r="N21" t="s">
        <v>26</v>
      </c>
      <c r="O21" t="s">
        <v>44</v>
      </c>
      <c r="P21" t="s">
        <v>26</v>
      </c>
    </row>
    <row r="22" spans="1:16" x14ac:dyDescent="0.25">
      <c r="A22" t="s">
        <v>102</v>
      </c>
      <c r="B22" t="s">
        <v>103</v>
      </c>
      <c r="C22" t="s">
        <v>19</v>
      </c>
      <c r="D22" t="s">
        <v>20</v>
      </c>
      <c r="E22" t="s">
        <v>21</v>
      </c>
      <c r="F22" t="s">
        <v>22</v>
      </c>
      <c r="G22" t="s">
        <v>33</v>
      </c>
      <c r="H22" t="s">
        <v>58</v>
      </c>
      <c r="I22">
        <v>6</v>
      </c>
      <c r="J22">
        <v>95205</v>
      </c>
      <c r="K22">
        <v>12</v>
      </c>
      <c r="L22">
        <v>502682.4</v>
      </c>
      <c r="M22" t="s">
        <v>54</v>
      </c>
      <c r="N22" t="s">
        <v>26</v>
      </c>
      <c r="O22" t="s">
        <v>44</v>
      </c>
      <c r="P22" t="s">
        <v>42</v>
      </c>
    </row>
    <row r="23" spans="1:16" x14ac:dyDescent="0.25">
      <c r="A23" t="s">
        <v>104</v>
      </c>
      <c r="B23" t="s">
        <v>105</v>
      </c>
      <c r="C23" t="s">
        <v>76</v>
      </c>
      <c r="D23" t="s">
        <v>106</v>
      </c>
      <c r="E23" t="s">
        <v>31</v>
      </c>
      <c r="F23" t="s">
        <v>32</v>
      </c>
      <c r="G23" t="s">
        <v>52</v>
      </c>
      <c r="H23" t="s">
        <v>58</v>
      </c>
      <c r="I23">
        <v>2</v>
      </c>
      <c r="J23">
        <v>517234</v>
      </c>
      <c r="K23">
        <v>12</v>
      </c>
      <c r="L23">
        <v>922676.84</v>
      </c>
      <c r="M23" t="s">
        <v>54</v>
      </c>
      <c r="N23" t="s">
        <v>43</v>
      </c>
      <c r="O23" t="s">
        <v>44</v>
      </c>
      <c r="P23" t="s">
        <v>55</v>
      </c>
    </row>
    <row r="24" spans="1:16" x14ac:dyDescent="0.25">
      <c r="A24" t="s">
        <v>107</v>
      </c>
      <c r="B24" t="s">
        <v>108</v>
      </c>
      <c r="C24" t="s">
        <v>91</v>
      </c>
      <c r="D24" t="s">
        <v>66</v>
      </c>
      <c r="E24" t="s">
        <v>67</v>
      </c>
      <c r="F24" t="s">
        <v>68</v>
      </c>
      <c r="G24" t="s">
        <v>41</v>
      </c>
      <c r="H24" t="s">
        <v>58</v>
      </c>
      <c r="I24">
        <v>2</v>
      </c>
      <c r="J24">
        <v>608383</v>
      </c>
      <c r="K24">
        <v>10</v>
      </c>
      <c r="L24">
        <v>1095089.3999999999</v>
      </c>
      <c r="M24" t="s">
        <v>25</v>
      </c>
      <c r="N24" t="s">
        <v>69</v>
      </c>
      <c r="O24" t="s">
        <v>44</v>
      </c>
      <c r="P24" t="s">
        <v>42</v>
      </c>
    </row>
    <row r="25" spans="1:16" x14ac:dyDescent="0.25">
      <c r="A25" t="s">
        <v>109</v>
      </c>
      <c r="B25" t="s">
        <v>110</v>
      </c>
      <c r="C25" t="s">
        <v>85</v>
      </c>
      <c r="D25" t="s">
        <v>38</v>
      </c>
      <c r="E25" t="s">
        <v>39</v>
      </c>
      <c r="F25" t="s">
        <v>40</v>
      </c>
      <c r="G25" t="s">
        <v>62</v>
      </c>
      <c r="H25" t="s">
        <v>34</v>
      </c>
      <c r="I25">
        <v>7</v>
      </c>
      <c r="J25">
        <v>446520</v>
      </c>
      <c r="K25">
        <v>2</v>
      </c>
      <c r="L25">
        <v>3063127.2</v>
      </c>
      <c r="M25" t="s">
        <v>25</v>
      </c>
      <c r="N25" t="s">
        <v>43</v>
      </c>
      <c r="O25" t="s">
        <v>44</v>
      </c>
      <c r="P25" t="s">
        <v>26</v>
      </c>
    </row>
    <row r="26" spans="1:16" x14ac:dyDescent="0.25">
      <c r="A26" t="s">
        <v>111</v>
      </c>
      <c r="B26" t="s">
        <v>112</v>
      </c>
      <c r="C26" t="s">
        <v>79</v>
      </c>
      <c r="D26" t="s">
        <v>47</v>
      </c>
      <c r="E26" t="s">
        <v>48</v>
      </c>
      <c r="F26" t="s">
        <v>22</v>
      </c>
      <c r="G26" t="s">
        <v>33</v>
      </c>
      <c r="H26" t="s">
        <v>34</v>
      </c>
      <c r="I26">
        <v>6</v>
      </c>
      <c r="J26">
        <v>230452</v>
      </c>
      <c r="K26">
        <v>10</v>
      </c>
      <c r="L26">
        <v>1244440.8</v>
      </c>
      <c r="M26" t="s">
        <v>42</v>
      </c>
      <c r="N26" t="s">
        <v>26</v>
      </c>
      <c r="O26" t="s">
        <v>44</v>
      </c>
      <c r="P26" t="s">
        <v>55</v>
      </c>
    </row>
    <row r="27" spans="1:16" x14ac:dyDescent="0.25">
      <c r="A27" t="s">
        <v>113</v>
      </c>
      <c r="B27" t="s">
        <v>114</v>
      </c>
      <c r="C27" t="s">
        <v>37</v>
      </c>
      <c r="D27" t="s">
        <v>30</v>
      </c>
      <c r="E27" t="s">
        <v>31</v>
      </c>
      <c r="F27" t="s">
        <v>32</v>
      </c>
      <c r="G27" t="s">
        <v>73</v>
      </c>
      <c r="H27" t="s">
        <v>86</v>
      </c>
      <c r="I27">
        <v>7</v>
      </c>
      <c r="J27">
        <v>838859</v>
      </c>
      <c r="K27">
        <v>0</v>
      </c>
      <c r="L27">
        <v>5872013</v>
      </c>
      <c r="M27" t="s">
        <v>25</v>
      </c>
      <c r="N27" t="s">
        <v>43</v>
      </c>
      <c r="O27" t="s">
        <v>44</v>
      </c>
      <c r="P27" t="s">
        <v>42</v>
      </c>
    </row>
    <row r="28" spans="1:16" x14ac:dyDescent="0.25">
      <c r="A28" t="s">
        <v>115</v>
      </c>
      <c r="B28" t="s">
        <v>116</v>
      </c>
      <c r="C28" t="s">
        <v>85</v>
      </c>
      <c r="D28" t="s">
        <v>30</v>
      </c>
      <c r="E28" t="s">
        <v>31</v>
      </c>
      <c r="F28" t="s">
        <v>32</v>
      </c>
      <c r="G28" t="s">
        <v>73</v>
      </c>
      <c r="H28" t="s">
        <v>86</v>
      </c>
      <c r="I28">
        <v>8</v>
      </c>
      <c r="J28">
        <v>361121</v>
      </c>
      <c r="K28">
        <v>0</v>
      </c>
      <c r="L28">
        <v>2888968</v>
      </c>
      <c r="M28" t="s">
        <v>54</v>
      </c>
      <c r="N28" t="s">
        <v>26</v>
      </c>
      <c r="O28" t="s">
        <v>44</v>
      </c>
      <c r="P28" t="s">
        <v>42</v>
      </c>
    </row>
    <row r="29" spans="1:16" x14ac:dyDescent="0.25">
      <c r="A29" t="s">
        <v>117</v>
      </c>
      <c r="B29" t="s">
        <v>118</v>
      </c>
      <c r="C29" t="s">
        <v>37</v>
      </c>
      <c r="D29" t="s">
        <v>119</v>
      </c>
      <c r="E29" t="s">
        <v>21</v>
      </c>
      <c r="F29" t="s">
        <v>22</v>
      </c>
      <c r="G29" t="s">
        <v>33</v>
      </c>
      <c r="H29" t="s">
        <v>86</v>
      </c>
      <c r="I29">
        <v>2</v>
      </c>
      <c r="J29">
        <v>568794</v>
      </c>
      <c r="K29">
        <v>12</v>
      </c>
      <c r="L29">
        <v>1001077.44</v>
      </c>
      <c r="M29" t="s">
        <v>42</v>
      </c>
      <c r="N29" t="s">
        <v>26</v>
      </c>
      <c r="O29" t="s">
        <v>44</v>
      </c>
      <c r="P29" t="s">
        <v>26</v>
      </c>
    </row>
    <row r="30" spans="1:16" x14ac:dyDescent="0.25">
      <c r="A30" t="s">
        <v>120</v>
      </c>
      <c r="B30" t="s">
        <v>121</v>
      </c>
      <c r="C30" t="s">
        <v>37</v>
      </c>
      <c r="D30" t="s">
        <v>38</v>
      </c>
      <c r="E30" t="s">
        <v>39</v>
      </c>
      <c r="F30" t="s">
        <v>40</v>
      </c>
      <c r="G30" t="s">
        <v>41</v>
      </c>
      <c r="H30" t="s">
        <v>58</v>
      </c>
      <c r="I30">
        <v>7</v>
      </c>
      <c r="J30">
        <v>778873</v>
      </c>
      <c r="K30">
        <v>5</v>
      </c>
      <c r="L30">
        <v>5179505.45</v>
      </c>
      <c r="M30" t="s">
        <v>54</v>
      </c>
      <c r="N30" t="s">
        <v>26</v>
      </c>
      <c r="O30" t="s">
        <v>44</v>
      </c>
      <c r="P30" t="s">
        <v>26</v>
      </c>
    </row>
    <row r="31" spans="1:16" x14ac:dyDescent="0.25">
      <c r="A31" t="s">
        <v>122</v>
      </c>
      <c r="B31" t="s">
        <v>123</v>
      </c>
      <c r="C31" t="s">
        <v>76</v>
      </c>
      <c r="D31" t="s">
        <v>66</v>
      </c>
      <c r="E31" t="s">
        <v>67</v>
      </c>
      <c r="F31" t="s">
        <v>68</v>
      </c>
      <c r="G31" t="s">
        <v>124</v>
      </c>
      <c r="H31" t="s">
        <v>58</v>
      </c>
      <c r="I31">
        <v>7</v>
      </c>
      <c r="J31">
        <v>827482</v>
      </c>
      <c r="K31">
        <v>0</v>
      </c>
      <c r="L31">
        <v>5792374</v>
      </c>
      <c r="M31" t="s">
        <v>42</v>
      </c>
      <c r="N31" t="s">
        <v>43</v>
      </c>
      <c r="O31" t="s">
        <v>27</v>
      </c>
      <c r="P31" t="s">
        <v>55</v>
      </c>
    </row>
    <row r="32" spans="1:16" x14ac:dyDescent="0.25">
      <c r="A32" t="s">
        <v>125</v>
      </c>
      <c r="B32" t="s">
        <v>126</v>
      </c>
      <c r="C32" t="s">
        <v>37</v>
      </c>
      <c r="D32" t="s">
        <v>30</v>
      </c>
      <c r="E32" t="s">
        <v>31</v>
      </c>
      <c r="F32" t="s">
        <v>32</v>
      </c>
      <c r="G32" t="s">
        <v>124</v>
      </c>
      <c r="H32" t="s">
        <v>86</v>
      </c>
      <c r="I32">
        <v>3</v>
      </c>
      <c r="J32">
        <v>335373</v>
      </c>
      <c r="K32">
        <v>5</v>
      </c>
      <c r="L32">
        <v>955813.04999999993</v>
      </c>
      <c r="M32" t="s">
        <v>54</v>
      </c>
      <c r="N32" t="s">
        <v>26</v>
      </c>
      <c r="O32" t="s">
        <v>44</v>
      </c>
      <c r="P32" t="s">
        <v>26</v>
      </c>
    </row>
    <row r="33" spans="1:16" x14ac:dyDescent="0.25">
      <c r="A33" t="s">
        <v>127</v>
      </c>
      <c r="B33" t="s">
        <v>128</v>
      </c>
      <c r="C33" t="s">
        <v>61</v>
      </c>
      <c r="D33" t="s">
        <v>129</v>
      </c>
      <c r="E33" t="s">
        <v>130</v>
      </c>
      <c r="F33" t="s">
        <v>40</v>
      </c>
      <c r="G33" t="s">
        <v>41</v>
      </c>
      <c r="H33" t="s">
        <v>53</v>
      </c>
      <c r="I33">
        <v>4</v>
      </c>
      <c r="J33">
        <v>820940</v>
      </c>
      <c r="K33">
        <v>2</v>
      </c>
      <c r="L33">
        <v>3218084.8</v>
      </c>
      <c r="M33" t="s">
        <v>42</v>
      </c>
      <c r="N33" t="s">
        <v>43</v>
      </c>
      <c r="O33" t="s">
        <v>27</v>
      </c>
      <c r="P33" t="s">
        <v>42</v>
      </c>
    </row>
    <row r="34" spans="1:16" x14ac:dyDescent="0.25">
      <c r="A34" t="s">
        <v>131</v>
      </c>
      <c r="B34" t="s">
        <v>132</v>
      </c>
      <c r="C34" t="s">
        <v>61</v>
      </c>
      <c r="D34" t="s">
        <v>47</v>
      </c>
      <c r="E34" t="s">
        <v>48</v>
      </c>
      <c r="F34" t="s">
        <v>22</v>
      </c>
      <c r="G34" t="s">
        <v>33</v>
      </c>
      <c r="H34" t="s">
        <v>24</v>
      </c>
      <c r="I34">
        <v>4</v>
      </c>
      <c r="J34">
        <v>607112</v>
      </c>
      <c r="K34">
        <v>12</v>
      </c>
      <c r="L34">
        <v>2137034.2400000002</v>
      </c>
      <c r="M34" t="s">
        <v>42</v>
      </c>
      <c r="N34" t="s">
        <v>26</v>
      </c>
      <c r="O34" t="s">
        <v>44</v>
      </c>
      <c r="P34" t="s">
        <v>55</v>
      </c>
    </row>
    <row r="35" spans="1:16" x14ac:dyDescent="0.25">
      <c r="A35" t="s">
        <v>133</v>
      </c>
      <c r="B35" t="s">
        <v>134</v>
      </c>
      <c r="C35" t="s">
        <v>85</v>
      </c>
      <c r="D35" t="s">
        <v>66</v>
      </c>
      <c r="E35" t="s">
        <v>67</v>
      </c>
      <c r="F35" t="s">
        <v>68</v>
      </c>
      <c r="G35" t="s">
        <v>135</v>
      </c>
      <c r="H35" t="s">
        <v>24</v>
      </c>
      <c r="I35">
        <v>3</v>
      </c>
      <c r="J35">
        <v>248682</v>
      </c>
      <c r="K35">
        <v>7</v>
      </c>
      <c r="L35">
        <v>693822.77999999991</v>
      </c>
      <c r="M35" t="s">
        <v>25</v>
      </c>
      <c r="N35" t="s">
        <v>26</v>
      </c>
      <c r="O35" t="s">
        <v>27</v>
      </c>
      <c r="P35" t="s">
        <v>55</v>
      </c>
    </row>
    <row r="36" spans="1:16" x14ac:dyDescent="0.25">
      <c r="A36" t="s">
        <v>136</v>
      </c>
      <c r="B36" t="s">
        <v>137</v>
      </c>
      <c r="C36" t="s">
        <v>65</v>
      </c>
      <c r="D36" t="s">
        <v>66</v>
      </c>
      <c r="E36" t="s">
        <v>67</v>
      </c>
      <c r="F36" t="s">
        <v>68</v>
      </c>
      <c r="G36" t="s">
        <v>41</v>
      </c>
      <c r="H36" t="s">
        <v>24</v>
      </c>
      <c r="I36">
        <v>7</v>
      </c>
      <c r="J36">
        <v>109760</v>
      </c>
      <c r="K36">
        <v>5</v>
      </c>
      <c r="L36">
        <v>729904</v>
      </c>
      <c r="M36" t="s">
        <v>25</v>
      </c>
      <c r="N36" t="s">
        <v>43</v>
      </c>
      <c r="O36" t="s">
        <v>44</v>
      </c>
      <c r="P36" t="s">
        <v>42</v>
      </c>
    </row>
    <row r="37" spans="1:16" x14ac:dyDescent="0.25">
      <c r="A37" t="s">
        <v>138</v>
      </c>
      <c r="B37" t="s">
        <v>139</v>
      </c>
      <c r="C37" t="s">
        <v>76</v>
      </c>
      <c r="D37" t="s">
        <v>66</v>
      </c>
      <c r="E37" t="s">
        <v>67</v>
      </c>
      <c r="F37" t="s">
        <v>68</v>
      </c>
      <c r="G37" t="s">
        <v>135</v>
      </c>
      <c r="H37" t="s">
        <v>24</v>
      </c>
      <c r="I37">
        <v>6</v>
      </c>
      <c r="J37">
        <v>407592</v>
      </c>
      <c r="K37">
        <v>5</v>
      </c>
      <c r="L37">
        <v>2323274.4</v>
      </c>
      <c r="M37" t="s">
        <v>54</v>
      </c>
      <c r="N37" t="s">
        <v>26</v>
      </c>
      <c r="O37" t="s">
        <v>44</v>
      </c>
      <c r="P37" t="s">
        <v>42</v>
      </c>
    </row>
    <row r="38" spans="1:16" x14ac:dyDescent="0.25">
      <c r="A38" t="s">
        <v>140</v>
      </c>
      <c r="B38" t="s">
        <v>141</v>
      </c>
      <c r="C38" t="s">
        <v>19</v>
      </c>
      <c r="D38" t="s">
        <v>30</v>
      </c>
      <c r="E38" t="s">
        <v>142</v>
      </c>
      <c r="F38" t="s">
        <v>32</v>
      </c>
      <c r="G38" t="s">
        <v>62</v>
      </c>
      <c r="H38" t="s">
        <v>86</v>
      </c>
      <c r="I38">
        <v>6</v>
      </c>
      <c r="J38">
        <v>534447</v>
      </c>
      <c r="K38">
        <v>12</v>
      </c>
      <c r="L38">
        <v>2821880.16</v>
      </c>
      <c r="M38" t="s">
        <v>42</v>
      </c>
      <c r="N38" t="s">
        <v>26</v>
      </c>
      <c r="O38" t="s">
        <v>44</v>
      </c>
      <c r="P38" t="s">
        <v>55</v>
      </c>
    </row>
    <row r="39" spans="1:16" x14ac:dyDescent="0.25">
      <c r="A39" t="s">
        <v>143</v>
      </c>
      <c r="B39" t="s">
        <v>144</v>
      </c>
      <c r="C39" t="s">
        <v>19</v>
      </c>
      <c r="D39" t="s">
        <v>38</v>
      </c>
      <c r="E39" t="s">
        <v>39</v>
      </c>
      <c r="F39" t="s">
        <v>40</v>
      </c>
      <c r="G39" t="s">
        <v>73</v>
      </c>
      <c r="H39" t="s">
        <v>53</v>
      </c>
      <c r="I39">
        <v>7</v>
      </c>
      <c r="J39">
        <v>522733</v>
      </c>
      <c r="K39">
        <v>7</v>
      </c>
      <c r="L39">
        <v>3402991.83</v>
      </c>
      <c r="M39" t="s">
        <v>25</v>
      </c>
      <c r="N39" t="s">
        <v>43</v>
      </c>
      <c r="O39" t="s">
        <v>44</v>
      </c>
      <c r="P39" t="s">
        <v>55</v>
      </c>
    </row>
    <row r="40" spans="1:16" x14ac:dyDescent="0.25">
      <c r="A40" t="s">
        <v>145</v>
      </c>
      <c r="B40" t="s">
        <v>146</v>
      </c>
      <c r="C40" t="s">
        <v>85</v>
      </c>
      <c r="D40" t="s">
        <v>47</v>
      </c>
      <c r="E40" t="s">
        <v>48</v>
      </c>
      <c r="F40" t="s">
        <v>22</v>
      </c>
      <c r="G40" t="s">
        <v>73</v>
      </c>
      <c r="H40" t="s">
        <v>34</v>
      </c>
      <c r="I40">
        <v>6</v>
      </c>
      <c r="J40">
        <v>526486</v>
      </c>
      <c r="K40">
        <v>0</v>
      </c>
      <c r="L40">
        <v>3158916</v>
      </c>
      <c r="M40" t="s">
        <v>25</v>
      </c>
      <c r="N40" t="s">
        <v>43</v>
      </c>
      <c r="O40" t="s">
        <v>27</v>
      </c>
      <c r="P40" t="s">
        <v>26</v>
      </c>
    </row>
    <row r="41" spans="1:16" x14ac:dyDescent="0.25">
      <c r="A41" t="s">
        <v>147</v>
      </c>
      <c r="B41" t="s">
        <v>148</v>
      </c>
      <c r="C41" t="s">
        <v>61</v>
      </c>
      <c r="D41" t="s">
        <v>20</v>
      </c>
      <c r="E41" t="s">
        <v>21</v>
      </c>
      <c r="F41" t="s">
        <v>22</v>
      </c>
      <c r="G41" t="s">
        <v>33</v>
      </c>
      <c r="H41" t="s">
        <v>24</v>
      </c>
      <c r="I41">
        <v>8</v>
      </c>
      <c r="J41">
        <v>359112</v>
      </c>
      <c r="K41">
        <v>12</v>
      </c>
      <c r="L41">
        <v>2528148.48</v>
      </c>
      <c r="M41" t="s">
        <v>42</v>
      </c>
      <c r="N41" t="s">
        <v>69</v>
      </c>
      <c r="O41" t="s">
        <v>27</v>
      </c>
      <c r="P41" t="s">
        <v>26</v>
      </c>
    </row>
    <row r="42" spans="1:16" x14ac:dyDescent="0.25">
      <c r="A42" t="s">
        <v>149</v>
      </c>
      <c r="B42" t="s">
        <v>150</v>
      </c>
      <c r="C42" t="s">
        <v>85</v>
      </c>
      <c r="D42" t="s">
        <v>20</v>
      </c>
      <c r="E42" t="s">
        <v>21</v>
      </c>
      <c r="F42" t="s">
        <v>22</v>
      </c>
      <c r="G42" t="s">
        <v>135</v>
      </c>
      <c r="H42" t="s">
        <v>34</v>
      </c>
      <c r="I42">
        <v>1</v>
      </c>
      <c r="J42">
        <v>189012</v>
      </c>
      <c r="K42">
        <v>5</v>
      </c>
      <c r="L42">
        <v>179561.4</v>
      </c>
      <c r="M42" t="s">
        <v>42</v>
      </c>
      <c r="N42" t="s">
        <v>43</v>
      </c>
      <c r="O42" t="s">
        <v>27</v>
      </c>
      <c r="P42" t="s">
        <v>42</v>
      </c>
    </row>
    <row r="43" spans="1:16" x14ac:dyDescent="0.25">
      <c r="A43" t="s">
        <v>145</v>
      </c>
      <c r="B43" t="s">
        <v>151</v>
      </c>
      <c r="C43" t="s">
        <v>65</v>
      </c>
      <c r="D43" t="s">
        <v>30</v>
      </c>
      <c r="E43" t="s">
        <v>31</v>
      </c>
      <c r="F43" t="s">
        <v>32</v>
      </c>
      <c r="G43" t="s">
        <v>73</v>
      </c>
      <c r="H43" t="s">
        <v>34</v>
      </c>
      <c r="I43">
        <v>8</v>
      </c>
      <c r="J43">
        <v>99106</v>
      </c>
      <c r="K43">
        <v>7</v>
      </c>
      <c r="L43">
        <v>737348.6399999999</v>
      </c>
      <c r="M43" t="s">
        <v>25</v>
      </c>
      <c r="N43" t="s">
        <v>26</v>
      </c>
      <c r="O43" t="s">
        <v>27</v>
      </c>
      <c r="P43" t="s">
        <v>26</v>
      </c>
    </row>
    <row r="44" spans="1:16" x14ac:dyDescent="0.25">
      <c r="A44" t="s">
        <v>152</v>
      </c>
      <c r="B44" t="s">
        <v>153</v>
      </c>
      <c r="C44" t="s">
        <v>85</v>
      </c>
      <c r="D44" t="s">
        <v>154</v>
      </c>
      <c r="E44" t="s">
        <v>67</v>
      </c>
      <c r="F44" t="s">
        <v>68</v>
      </c>
      <c r="G44" t="s">
        <v>62</v>
      </c>
      <c r="H44" t="s">
        <v>53</v>
      </c>
      <c r="I44">
        <v>4</v>
      </c>
      <c r="J44">
        <v>540148</v>
      </c>
      <c r="K44">
        <v>10</v>
      </c>
      <c r="L44">
        <v>1944532.8</v>
      </c>
      <c r="M44" t="s">
        <v>54</v>
      </c>
      <c r="N44" t="s">
        <v>26</v>
      </c>
      <c r="O44" t="s">
        <v>44</v>
      </c>
      <c r="P44" t="s">
        <v>26</v>
      </c>
    </row>
    <row r="45" spans="1:16" x14ac:dyDescent="0.25">
      <c r="A45" t="s">
        <v>155</v>
      </c>
      <c r="B45" t="s">
        <v>156</v>
      </c>
      <c r="C45" t="s">
        <v>65</v>
      </c>
      <c r="D45" t="s">
        <v>30</v>
      </c>
      <c r="E45" t="s">
        <v>31</v>
      </c>
      <c r="F45" t="s">
        <v>32</v>
      </c>
      <c r="G45" t="s">
        <v>124</v>
      </c>
      <c r="H45" t="s">
        <v>53</v>
      </c>
      <c r="I45">
        <v>3</v>
      </c>
      <c r="J45">
        <v>531168</v>
      </c>
      <c r="K45">
        <v>12</v>
      </c>
      <c r="L45">
        <v>1402283.52</v>
      </c>
      <c r="M45" t="s">
        <v>54</v>
      </c>
      <c r="N45" t="s">
        <v>69</v>
      </c>
      <c r="O45" t="s">
        <v>27</v>
      </c>
      <c r="P45" t="s">
        <v>55</v>
      </c>
    </row>
    <row r="46" spans="1:16" x14ac:dyDescent="0.25">
      <c r="A46" t="s">
        <v>157</v>
      </c>
      <c r="B46" t="s">
        <v>158</v>
      </c>
      <c r="C46" t="s">
        <v>76</v>
      </c>
      <c r="D46" t="s">
        <v>66</v>
      </c>
      <c r="E46" t="s">
        <v>67</v>
      </c>
      <c r="F46" t="s">
        <v>68</v>
      </c>
      <c r="G46" t="s">
        <v>89</v>
      </c>
      <c r="H46" t="s">
        <v>58</v>
      </c>
      <c r="I46">
        <v>5</v>
      </c>
      <c r="J46">
        <v>736976</v>
      </c>
      <c r="K46">
        <v>5</v>
      </c>
      <c r="L46">
        <v>3500636</v>
      </c>
      <c r="M46" t="s">
        <v>42</v>
      </c>
      <c r="N46" t="s">
        <v>26</v>
      </c>
      <c r="O46" t="s">
        <v>27</v>
      </c>
      <c r="P46" t="s">
        <v>42</v>
      </c>
    </row>
    <row r="47" spans="1:16" x14ac:dyDescent="0.25">
      <c r="A47" t="s">
        <v>159</v>
      </c>
      <c r="B47" t="s">
        <v>160</v>
      </c>
      <c r="C47" t="s">
        <v>19</v>
      </c>
      <c r="D47" t="s">
        <v>66</v>
      </c>
      <c r="E47" t="s">
        <v>67</v>
      </c>
      <c r="F47" t="s">
        <v>68</v>
      </c>
      <c r="G47" t="s">
        <v>33</v>
      </c>
      <c r="H47" t="s">
        <v>86</v>
      </c>
      <c r="I47">
        <v>6</v>
      </c>
      <c r="J47">
        <v>295428</v>
      </c>
      <c r="K47">
        <v>10</v>
      </c>
      <c r="L47">
        <v>1595311.2</v>
      </c>
      <c r="M47" t="s">
        <v>54</v>
      </c>
      <c r="N47" t="s">
        <v>69</v>
      </c>
      <c r="O47" t="s">
        <v>44</v>
      </c>
      <c r="P47" t="s">
        <v>55</v>
      </c>
    </row>
    <row r="48" spans="1:16" x14ac:dyDescent="0.25">
      <c r="A48" t="s">
        <v>161</v>
      </c>
      <c r="B48" t="s">
        <v>162</v>
      </c>
      <c r="C48" t="s">
        <v>65</v>
      </c>
      <c r="D48" t="s">
        <v>66</v>
      </c>
      <c r="E48" t="s">
        <v>67</v>
      </c>
      <c r="F48" t="s">
        <v>68</v>
      </c>
      <c r="G48" t="s">
        <v>52</v>
      </c>
      <c r="H48" t="s">
        <v>34</v>
      </c>
      <c r="I48">
        <v>2</v>
      </c>
      <c r="J48">
        <v>452165</v>
      </c>
      <c r="K48">
        <v>7</v>
      </c>
      <c r="L48">
        <v>841026.89999999991</v>
      </c>
      <c r="M48" t="s">
        <v>25</v>
      </c>
      <c r="N48" t="s">
        <v>69</v>
      </c>
      <c r="O48" t="s">
        <v>27</v>
      </c>
      <c r="P48" t="s">
        <v>55</v>
      </c>
    </row>
    <row r="49" spans="1:16" x14ac:dyDescent="0.25">
      <c r="A49" t="s">
        <v>163</v>
      </c>
      <c r="B49" t="s">
        <v>164</v>
      </c>
      <c r="C49" t="s">
        <v>19</v>
      </c>
      <c r="D49" t="s">
        <v>66</v>
      </c>
      <c r="E49" t="s">
        <v>67</v>
      </c>
      <c r="F49" t="s">
        <v>68</v>
      </c>
      <c r="G49" t="s">
        <v>62</v>
      </c>
      <c r="H49" t="s">
        <v>86</v>
      </c>
      <c r="I49">
        <v>8</v>
      </c>
      <c r="J49">
        <v>363901</v>
      </c>
      <c r="K49">
        <v>0</v>
      </c>
      <c r="L49">
        <v>2911208</v>
      </c>
      <c r="M49" t="s">
        <v>54</v>
      </c>
      <c r="N49" t="s">
        <v>69</v>
      </c>
      <c r="O49" t="s">
        <v>44</v>
      </c>
      <c r="P49" t="s">
        <v>26</v>
      </c>
    </row>
    <row r="50" spans="1:16" x14ac:dyDescent="0.25">
      <c r="A50" t="s">
        <v>165</v>
      </c>
      <c r="B50" t="s">
        <v>166</v>
      </c>
      <c r="C50" t="s">
        <v>37</v>
      </c>
      <c r="D50" t="s">
        <v>30</v>
      </c>
      <c r="E50" t="s">
        <v>31</v>
      </c>
      <c r="F50" t="s">
        <v>32</v>
      </c>
      <c r="G50" t="s">
        <v>41</v>
      </c>
      <c r="H50" t="s">
        <v>86</v>
      </c>
      <c r="I50">
        <v>7</v>
      </c>
      <c r="J50">
        <v>359057</v>
      </c>
      <c r="K50">
        <v>7</v>
      </c>
      <c r="L50">
        <v>2337461.0699999998</v>
      </c>
      <c r="M50" t="s">
        <v>25</v>
      </c>
      <c r="N50" t="s">
        <v>69</v>
      </c>
      <c r="O50" t="s">
        <v>27</v>
      </c>
      <c r="P50" t="s">
        <v>42</v>
      </c>
    </row>
    <row r="51" spans="1:16" x14ac:dyDescent="0.25">
      <c r="A51" t="s">
        <v>167</v>
      </c>
      <c r="B51" t="s">
        <v>168</v>
      </c>
      <c r="C51" t="s">
        <v>79</v>
      </c>
      <c r="D51" t="s">
        <v>38</v>
      </c>
      <c r="E51" t="s">
        <v>39</v>
      </c>
      <c r="F51" t="s">
        <v>40</v>
      </c>
      <c r="G51" t="s">
        <v>62</v>
      </c>
      <c r="H51" t="s">
        <v>24</v>
      </c>
      <c r="I51">
        <v>6</v>
      </c>
      <c r="J51">
        <v>641314</v>
      </c>
      <c r="K51">
        <v>10</v>
      </c>
      <c r="L51">
        <v>3463095.6</v>
      </c>
      <c r="M51" t="s">
        <v>42</v>
      </c>
      <c r="N51" t="s">
        <v>69</v>
      </c>
      <c r="O51" t="s">
        <v>44</v>
      </c>
      <c r="P51" t="s">
        <v>55</v>
      </c>
    </row>
    <row r="52" spans="1:16" x14ac:dyDescent="0.25">
      <c r="A52" t="s">
        <v>169</v>
      </c>
      <c r="B52" t="s">
        <v>170</v>
      </c>
      <c r="C52" t="s">
        <v>85</v>
      </c>
      <c r="D52" t="s">
        <v>38</v>
      </c>
      <c r="E52" t="s">
        <v>130</v>
      </c>
      <c r="F52" t="s">
        <v>40</v>
      </c>
      <c r="G52" t="s">
        <v>52</v>
      </c>
      <c r="H52" t="s">
        <v>34</v>
      </c>
      <c r="I52">
        <v>2</v>
      </c>
      <c r="J52">
        <v>688255</v>
      </c>
      <c r="K52">
        <v>5</v>
      </c>
      <c r="L52">
        <v>1307684.5</v>
      </c>
      <c r="M52" t="s">
        <v>25</v>
      </c>
      <c r="N52" t="s">
        <v>26</v>
      </c>
      <c r="O52" t="s">
        <v>44</v>
      </c>
      <c r="P52" t="s">
        <v>55</v>
      </c>
    </row>
    <row r="53" spans="1:16" x14ac:dyDescent="0.25">
      <c r="A53" t="s">
        <v>171</v>
      </c>
      <c r="B53" t="s">
        <v>172</v>
      </c>
      <c r="C53" t="s">
        <v>65</v>
      </c>
      <c r="D53" t="s">
        <v>66</v>
      </c>
      <c r="E53" t="s">
        <v>67</v>
      </c>
      <c r="F53" t="s">
        <v>68</v>
      </c>
      <c r="G53" t="s">
        <v>52</v>
      </c>
      <c r="H53" t="s">
        <v>58</v>
      </c>
      <c r="I53">
        <v>8</v>
      </c>
      <c r="J53">
        <v>642412</v>
      </c>
      <c r="K53">
        <v>0</v>
      </c>
      <c r="L53">
        <v>5139296</v>
      </c>
      <c r="M53" t="s">
        <v>25</v>
      </c>
      <c r="N53" t="s">
        <v>43</v>
      </c>
      <c r="O53" t="s">
        <v>27</v>
      </c>
      <c r="P53" t="s">
        <v>42</v>
      </c>
    </row>
    <row r="54" spans="1:16" x14ac:dyDescent="0.25">
      <c r="A54" t="s">
        <v>173</v>
      </c>
      <c r="B54" t="s">
        <v>174</v>
      </c>
      <c r="C54" t="s">
        <v>37</v>
      </c>
      <c r="D54" t="s">
        <v>38</v>
      </c>
      <c r="E54" t="s">
        <v>39</v>
      </c>
      <c r="F54" t="s">
        <v>40</v>
      </c>
      <c r="G54" t="s">
        <v>73</v>
      </c>
      <c r="H54" t="s">
        <v>53</v>
      </c>
      <c r="I54">
        <v>6</v>
      </c>
      <c r="J54">
        <v>231629</v>
      </c>
      <c r="K54">
        <v>7</v>
      </c>
      <c r="L54">
        <v>1292489.82</v>
      </c>
      <c r="M54" t="s">
        <v>54</v>
      </c>
      <c r="N54" t="s">
        <v>69</v>
      </c>
      <c r="O54" t="s">
        <v>44</v>
      </c>
      <c r="P54" t="s">
        <v>55</v>
      </c>
    </row>
    <row r="55" spans="1:16" x14ac:dyDescent="0.25">
      <c r="A55" t="s">
        <v>175</v>
      </c>
      <c r="B55" t="s">
        <v>176</v>
      </c>
      <c r="C55" t="s">
        <v>85</v>
      </c>
      <c r="D55" t="s">
        <v>20</v>
      </c>
      <c r="E55" t="s">
        <v>21</v>
      </c>
      <c r="F55" t="s">
        <v>22</v>
      </c>
      <c r="G55" t="s">
        <v>89</v>
      </c>
      <c r="H55" t="s">
        <v>58</v>
      </c>
      <c r="I55">
        <v>1</v>
      </c>
      <c r="J55">
        <v>523141</v>
      </c>
      <c r="K55">
        <v>2</v>
      </c>
      <c r="L55">
        <v>512678.18</v>
      </c>
      <c r="M55" t="s">
        <v>25</v>
      </c>
      <c r="N55" t="s">
        <v>43</v>
      </c>
      <c r="O55" t="s">
        <v>27</v>
      </c>
      <c r="P55" t="s">
        <v>42</v>
      </c>
    </row>
    <row r="56" spans="1:16" x14ac:dyDescent="0.25">
      <c r="A56" t="s">
        <v>177</v>
      </c>
      <c r="B56" t="s">
        <v>178</v>
      </c>
      <c r="C56" t="s">
        <v>37</v>
      </c>
      <c r="D56" t="s">
        <v>51</v>
      </c>
      <c r="E56" t="s">
        <v>72</v>
      </c>
      <c r="F56" t="s">
        <v>22</v>
      </c>
      <c r="G56" t="s">
        <v>33</v>
      </c>
      <c r="H56" t="s">
        <v>86</v>
      </c>
      <c r="I56">
        <v>5</v>
      </c>
      <c r="J56">
        <v>893025</v>
      </c>
      <c r="K56">
        <v>7</v>
      </c>
      <c r="L56">
        <v>4152566.25</v>
      </c>
      <c r="M56" t="s">
        <v>42</v>
      </c>
      <c r="N56" t="s">
        <v>69</v>
      </c>
      <c r="O56" t="s">
        <v>44</v>
      </c>
      <c r="P56" t="s">
        <v>55</v>
      </c>
    </row>
    <row r="57" spans="1:16" x14ac:dyDescent="0.25">
      <c r="A57" t="s">
        <v>179</v>
      </c>
      <c r="B57" t="s">
        <v>180</v>
      </c>
      <c r="C57" t="s">
        <v>85</v>
      </c>
      <c r="D57" t="s">
        <v>66</v>
      </c>
      <c r="E57" t="s">
        <v>67</v>
      </c>
      <c r="F57" t="s">
        <v>68</v>
      </c>
      <c r="G57" t="s">
        <v>94</v>
      </c>
      <c r="H57" t="s">
        <v>24</v>
      </c>
      <c r="I57">
        <v>1</v>
      </c>
      <c r="J57">
        <v>651934</v>
      </c>
      <c r="K57">
        <v>7</v>
      </c>
      <c r="L57">
        <v>606298.62</v>
      </c>
      <c r="M57" t="s">
        <v>42</v>
      </c>
      <c r="N57" t="s">
        <v>69</v>
      </c>
      <c r="O57" t="s">
        <v>44</v>
      </c>
      <c r="P57" t="s">
        <v>42</v>
      </c>
    </row>
    <row r="58" spans="1:16" x14ac:dyDescent="0.25">
      <c r="A58" t="s">
        <v>181</v>
      </c>
      <c r="B58" t="s">
        <v>182</v>
      </c>
      <c r="C58" t="s">
        <v>79</v>
      </c>
      <c r="D58" t="s">
        <v>30</v>
      </c>
      <c r="E58" t="s">
        <v>31</v>
      </c>
      <c r="F58" t="s">
        <v>32</v>
      </c>
      <c r="G58" t="s">
        <v>33</v>
      </c>
      <c r="H58" t="s">
        <v>86</v>
      </c>
      <c r="I58">
        <v>8</v>
      </c>
      <c r="J58">
        <v>293630</v>
      </c>
      <c r="K58">
        <v>10</v>
      </c>
      <c r="L58">
        <v>2114136</v>
      </c>
      <c r="M58" t="s">
        <v>42</v>
      </c>
      <c r="N58" t="s">
        <v>26</v>
      </c>
      <c r="O58" t="s">
        <v>44</v>
      </c>
      <c r="P58" t="s">
        <v>42</v>
      </c>
    </row>
    <row r="59" spans="1:16" x14ac:dyDescent="0.25">
      <c r="A59" t="s">
        <v>183</v>
      </c>
      <c r="B59" t="s">
        <v>184</v>
      </c>
      <c r="C59" t="s">
        <v>37</v>
      </c>
      <c r="D59" t="s">
        <v>30</v>
      </c>
      <c r="E59" t="s">
        <v>31</v>
      </c>
      <c r="F59" t="s">
        <v>32</v>
      </c>
      <c r="G59" t="s">
        <v>23</v>
      </c>
      <c r="H59" t="s">
        <v>53</v>
      </c>
      <c r="I59">
        <v>1</v>
      </c>
      <c r="J59">
        <v>288354</v>
      </c>
      <c r="K59">
        <v>2</v>
      </c>
      <c r="L59">
        <v>282586.92</v>
      </c>
      <c r="M59" t="s">
        <v>54</v>
      </c>
      <c r="N59" t="s">
        <v>43</v>
      </c>
      <c r="O59" t="s">
        <v>27</v>
      </c>
      <c r="P59" t="s">
        <v>26</v>
      </c>
    </row>
    <row r="60" spans="1:16" x14ac:dyDescent="0.25">
      <c r="A60" t="s">
        <v>185</v>
      </c>
      <c r="B60" t="s">
        <v>186</v>
      </c>
      <c r="C60" t="s">
        <v>85</v>
      </c>
      <c r="D60" t="s">
        <v>66</v>
      </c>
      <c r="E60" t="s">
        <v>67</v>
      </c>
      <c r="F60" t="s">
        <v>68</v>
      </c>
      <c r="G60" t="s">
        <v>62</v>
      </c>
      <c r="H60" t="s">
        <v>58</v>
      </c>
      <c r="I60">
        <v>7</v>
      </c>
      <c r="J60">
        <v>407194</v>
      </c>
      <c r="K60">
        <v>0</v>
      </c>
      <c r="L60">
        <v>2850358</v>
      </c>
      <c r="M60" t="s">
        <v>42</v>
      </c>
      <c r="N60" t="s">
        <v>26</v>
      </c>
      <c r="O60" t="s">
        <v>44</v>
      </c>
      <c r="P60" t="s">
        <v>26</v>
      </c>
    </row>
    <row r="61" spans="1:16" x14ac:dyDescent="0.25">
      <c r="A61" t="s">
        <v>187</v>
      </c>
      <c r="B61" t="s">
        <v>188</v>
      </c>
      <c r="C61" t="s">
        <v>19</v>
      </c>
      <c r="D61" t="s">
        <v>20</v>
      </c>
      <c r="E61" t="s">
        <v>189</v>
      </c>
      <c r="F61" t="s">
        <v>22</v>
      </c>
      <c r="G61" t="s">
        <v>33</v>
      </c>
      <c r="H61" t="s">
        <v>58</v>
      </c>
      <c r="I61">
        <v>5</v>
      </c>
      <c r="J61">
        <v>501803</v>
      </c>
      <c r="K61">
        <v>2</v>
      </c>
      <c r="L61">
        <v>2458834.7000000002</v>
      </c>
      <c r="M61" t="s">
        <v>54</v>
      </c>
      <c r="N61" t="s">
        <v>43</v>
      </c>
      <c r="O61" t="s">
        <v>44</v>
      </c>
      <c r="P61" t="s">
        <v>42</v>
      </c>
    </row>
    <row r="62" spans="1:16" x14ac:dyDescent="0.25">
      <c r="A62" t="s">
        <v>190</v>
      </c>
      <c r="B62" t="s">
        <v>191</v>
      </c>
      <c r="C62" t="s">
        <v>91</v>
      </c>
      <c r="D62" t="s">
        <v>47</v>
      </c>
      <c r="E62" t="s">
        <v>48</v>
      </c>
      <c r="F62" t="s">
        <v>22</v>
      </c>
      <c r="G62" t="s">
        <v>135</v>
      </c>
      <c r="H62" t="s">
        <v>24</v>
      </c>
      <c r="J62">
        <v>652887</v>
      </c>
      <c r="K62">
        <v>10</v>
      </c>
      <c r="M62" t="s">
        <v>25</v>
      </c>
      <c r="N62" t="s">
        <v>43</v>
      </c>
      <c r="O62" t="s">
        <v>27</v>
      </c>
      <c r="P62" t="s">
        <v>55</v>
      </c>
    </row>
    <row r="63" spans="1:16" x14ac:dyDescent="0.25">
      <c r="A63" t="s">
        <v>192</v>
      </c>
      <c r="B63" t="s">
        <v>193</v>
      </c>
      <c r="C63" t="s">
        <v>19</v>
      </c>
      <c r="D63" t="s">
        <v>38</v>
      </c>
      <c r="E63" t="s">
        <v>39</v>
      </c>
      <c r="F63" t="s">
        <v>40</v>
      </c>
      <c r="G63" t="s">
        <v>94</v>
      </c>
      <c r="H63" t="s">
        <v>86</v>
      </c>
      <c r="J63">
        <v>526133</v>
      </c>
      <c r="K63">
        <v>10</v>
      </c>
      <c r="M63" t="s">
        <v>42</v>
      </c>
      <c r="N63" t="s">
        <v>26</v>
      </c>
      <c r="O63" t="s">
        <v>27</v>
      </c>
      <c r="P63" t="s">
        <v>42</v>
      </c>
    </row>
    <row r="64" spans="1:16" x14ac:dyDescent="0.25">
      <c r="A64" t="s">
        <v>194</v>
      </c>
      <c r="B64" t="s">
        <v>195</v>
      </c>
      <c r="C64" t="s">
        <v>61</v>
      </c>
      <c r="D64" t="s">
        <v>47</v>
      </c>
      <c r="E64" t="s">
        <v>48</v>
      </c>
      <c r="F64" t="s">
        <v>22</v>
      </c>
      <c r="G64" t="s">
        <v>62</v>
      </c>
      <c r="H64" t="s">
        <v>58</v>
      </c>
      <c r="I64">
        <v>5</v>
      </c>
      <c r="J64">
        <v>711154</v>
      </c>
      <c r="K64">
        <v>0</v>
      </c>
      <c r="L64">
        <v>3555770</v>
      </c>
      <c r="M64" t="s">
        <v>54</v>
      </c>
      <c r="N64" t="s">
        <v>43</v>
      </c>
      <c r="O64" t="s">
        <v>44</v>
      </c>
      <c r="P64" t="s">
        <v>55</v>
      </c>
    </row>
    <row r="65" spans="1:16" x14ac:dyDescent="0.25">
      <c r="A65" t="s">
        <v>196</v>
      </c>
      <c r="B65" t="s">
        <v>197</v>
      </c>
      <c r="C65" t="s">
        <v>198</v>
      </c>
      <c r="D65" t="s">
        <v>47</v>
      </c>
      <c r="E65" t="s">
        <v>48</v>
      </c>
      <c r="F65" t="s">
        <v>22</v>
      </c>
      <c r="G65" t="s">
        <v>33</v>
      </c>
      <c r="H65" t="s">
        <v>53</v>
      </c>
      <c r="I65">
        <v>4</v>
      </c>
      <c r="J65">
        <v>105885</v>
      </c>
      <c r="K65">
        <v>2</v>
      </c>
      <c r="L65">
        <v>415069.2</v>
      </c>
      <c r="M65" t="s">
        <v>42</v>
      </c>
      <c r="N65" t="s">
        <v>43</v>
      </c>
      <c r="O65" t="s">
        <v>27</v>
      </c>
      <c r="P65" t="s">
        <v>42</v>
      </c>
    </row>
    <row r="66" spans="1:16" x14ac:dyDescent="0.25">
      <c r="A66" t="s">
        <v>199</v>
      </c>
      <c r="B66" t="s">
        <v>200</v>
      </c>
      <c r="C66" t="s">
        <v>85</v>
      </c>
      <c r="D66" t="s">
        <v>66</v>
      </c>
      <c r="E66" t="s">
        <v>201</v>
      </c>
      <c r="F66" t="s">
        <v>68</v>
      </c>
      <c r="G66" t="s">
        <v>62</v>
      </c>
      <c r="H66" t="s">
        <v>24</v>
      </c>
      <c r="I66">
        <v>1</v>
      </c>
      <c r="J66">
        <v>618459</v>
      </c>
      <c r="K66">
        <v>5</v>
      </c>
      <c r="L66">
        <v>587536.04999999993</v>
      </c>
      <c r="M66" t="s">
        <v>42</v>
      </c>
      <c r="N66" t="s">
        <v>43</v>
      </c>
      <c r="O66" t="s">
        <v>27</v>
      </c>
      <c r="P66" t="s">
        <v>55</v>
      </c>
    </row>
    <row r="67" spans="1:16" x14ac:dyDescent="0.25">
      <c r="A67" t="s">
        <v>202</v>
      </c>
      <c r="B67" t="s">
        <v>203</v>
      </c>
      <c r="C67" t="s">
        <v>85</v>
      </c>
      <c r="D67" t="s">
        <v>66</v>
      </c>
      <c r="E67" t="s">
        <v>201</v>
      </c>
      <c r="F67" t="s">
        <v>68</v>
      </c>
      <c r="G67" t="s">
        <v>33</v>
      </c>
      <c r="H67" t="s">
        <v>53</v>
      </c>
      <c r="I67">
        <v>6</v>
      </c>
      <c r="J67">
        <v>74760</v>
      </c>
      <c r="K67">
        <v>12</v>
      </c>
      <c r="L67">
        <v>394732.79999999999</v>
      </c>
      <c r="M67" t="s">
        <v>42</v>
      </c>
      <c r="N67" t="s">
        <v>43</v>
      </c>
      <c r="O67" t="s">
        <v>27</v>
      </c>
      <c r="P67" t="s">
        <v>26</v>
      </c>
    </row>
    <row r="68" spans="1:16" x14ac:dyDescent="0.25">
      <c r="A68" t="s">
        <v>204</v>
      </c>
      <c r="B68" t="s">
        <v>205</v>
      </c>
      <c r="C68" t="s">
        <v>76</v>
      </c>
      <c r="D68" t="s">
        <v>30</v>
      </c>
      <c r="E68" t="s">
        <v>31</v>
      </c>
      <c r="F68" t="s">
        <v>32</v>
      </c>
      <c r="G68" t="s">
        <v>52</v>
      </c>
      <c r="H68" t="s">
        <v>53</v>
      </c>
      <c r="I68">
        <v>5</v>
      </c>
      <c r="J68">
        <v>50674</v>
      </c>
      <c r="K68">
        <v>7</v>
      </c>
      <c r="L68">
        <v>235634.1</v>
      </c>
      <c r="M68" t="s">
        <v>25</v>
      </c>
      <c r="N68" t="s">
        <v>26</v>
      </c>
      <c r="O68" t="s">
        <v>27</v>
      </c>
      <c r="P68" t="s">
        <v>42</v>
      </c>
    </row>
    <row r="69" spans="1:16" x14ac:dyDescent="0.25">
      <c r="A69" t="s">
        <v>206</v>
      </c>
      <c r="B69" t="s">
        <v>207</v>
      </c>
      <c r="C69" t="s">
        <v>19</v>
      </c>
      <c r="D69" t="s">
        <v>38</v>
      </c>
      <c r="E69" t="s">
        <v>39</v>
      </c>
      <c r="F69" t="s">
        <v>40</v>
      </c>
      <c r="G69" t="s">
        <v>52</v>
      </c>
      <c r="H69" t="s">
        <v>34</v>
      </c>
      <c r="I69">
        <v>2</v>
      </c>
      <c r="J69">
        <v>832128</v>
      </c>
      <c r="K69">
        <v>5</v>
      </c>
      <c r="L69">
        <v>1581043.2</v>
      </c>
      <c r="M69" t="s">
        <v>42</v>
      </c>
      <c r="N69" t="s">
        <v>69</v>
      </c>
      <c r="O69" t="s">
        <v>27</v>
      </c>
      <c r="P69" t="s">
        <v>26</v>
      </c>
    </row>
    <row r="70" spans="1:16" x14ac:dyDescent="0.25">
      <c r="A70" t="s">
        <v>208</v>
      </c>
      <c r="B70" t="s">
        <v>209</v>
      </c>
      <c r="C70" t="s">
        <v>65</v>
      </c>
      <c r="D70" t="s">
        <v>38</v>
      </c>
      <c r="E70" t="s">
        <v>39</v>
      </c>
      <c r="F70" t="s">
        <v>40</v>
      </c>
      <c r="G70" t="s">
        <v>73</v>
      </c>
      <c r="H70" t="s">
        <v>34</v>
      </c>
      <c r="I70">
        <v>4</v>
      </c>
      <c r="J70">
        <v>866057</v>
      </c>
      <c r="K70">
        <v>5</v>
      </c>
      <c r="L70">
        <v>3291016.6</v>
      </c>
      <c r="M70" t="s">
        <v>54</v>
      </c>
      <c r="N70" t="s">
        <v>69</v>
      </c>
      <c r="O70" t="s">
        <v>44</v>
      </c>
      <c r="P70" t="s">
        <v>42</v>
      </c>
    </row>
    <row r="71" spans="1:16" x14ac:dyDescent="0.25">
      <c r="A71" t="s">
        <v>210</v>
      </c>
      <c r="B71" t="s">
        <v>211</v>
      </c>
      <c r="C71" t="s">
        <v>65</v>
      </c>
      <c r="D71" t="s">
        <v>38</v>
      </c>
      <c r="E71" t="s">
        <v>39</v>
      </c>
      <c r="F71" t="s">
        <v>40</v>
      </c>
      <c r="G71" t="s">
        <v>52</v>
      </c>
      <c r="H71" t="s">
        <v>53</v>
      </c>
      <c r="I71">
        <v>3</v>
      </c>
      <c r="J71">
        <v>653046</v>
      </c>
      <c r="K71">
        <v>0</v>
      </c>
      <c r="L71">
        <v>1959138</v>
      </c>
      <c r="M71" t="s">
        <v>42</v>
      </c>
      <c r="N71" t="s">
        <v>69</v>
      </c>
      <c r="O71" t="s">
        <v>44</v>
      </c>
      <c r="P71" t="s">
        <v>42</v>
      </c>
    </row>
    <row r="72" spans="1:16" x14ac:dyDescent="0.25">
      <c r="A72" t="s">
        <v>212</v>
      </c>
      <c r="B72" t="s">
        <v>213</v>
      </c>
      <c r="C72" t="s">
        <v>19</v>
      </c>
      <c r="D72" t="s">
        <v>38</v>
      </c>
      <c r="E72" t="s">
        <v>39</v>
      </c>
      <c r="F72" t="s">
        <v>40</v>
      </c>
      <c r="G72" t="s">
        <v>73</v>
      </c>
      <c r="H72" t="s">
        <v>53</v>
      </c>
      <c r="I72">
        <v>7</v>
      </c>
      <c r="J72">
        <v>516456</v>
      </c>
      <c r="K72">
        <v>12</v>
      </c>
      <c r="L72">
        <v>3181368.96</v>
      </c>
      <c r="M72" t="s">
        <v>54</v>
      </c>
      <c r="N72" t="s">
        <v>26</v>
      </c>
      <c r="O72" t="s">
        <v>44</v>
      </c>
      <c r="P72" t="s">
        <v>55</v>
      </c>
    </row>
    <row r="73" spans="1:16" x14ac:dyDescent="0.25">
      <c r="A73" t="s">
        <v>214</v>
      </c>
      <c r="B73" t="s">
        <v>215</v>
      </c>
      <c r="C73" t="s">
        <v>85</v>
      </c>
      <c r="D73" t="s">
        <v>154</v>
      </c>
      <c r="E73" t="s">
        <v>67</v>
      </c>
      <c r="F73" t="s">
        <v>68</v>
      </c>
      <c r="G73" t="s">
        <v>41</v>
      </c>
      <c r="H73" t="s">
        <v>58</v>
      </c>
      <c r="I73">
        <v>4</v>
      </c>
      <c r="J73">
        <v>745689</v>
      </c>
      <c r="K73">
        <v>5</v>
      </c>
      <c r="L73">
        <v>2833618.2</v>
      </c>
      <c r="M73" t="s">
        <v>25</v>
      </c>
      <c r="N73" t="s">
        <v>26</v>
      </c>
      <c r="O73" t="s">
        <v>27</v>
      </c>
      <c r="P73" t="s">
        <v>42</v>
      </c>
    </row>
    <row r="74" spans="1:16" x14ac:dyDescent="0.25">
      <c r="A74" t="s">
        <v>216</v>
      </c>
      <c r="B74" t="s">
        <v>217</v>
      </c>
      <c r="C74" t="s">
        <v>99</v>
      </c>
      <c r="D74" t="s">
        <v>51</v>
      </c>
      <c r="E74" t="s">
        <v>48</v>
      </c>
      <c r="F74" t="s">
        <v>22</v>
      </c>
      <c r="G74" t="s">
        <v>73</v>
      </c>
      <c r="H74" t="s">
        <v>58</v>
      </c>
      <c r="I74">
        <v>5</v>
      </c>
      <c r="J74">
        <v>127757</v>
      </c>
      <c r="M74" t="s">
        <v>42</v>
      </c>
      <c r="N74" t="s">
        <v>26</v>
      </c>
      <c r="O74" t="s">
        <v>27</v>
      </c>
      <c r="P74" t="s">
        <v>42</v>
      </c>
    </row>
    <row r="75" spans="1:16" x14ac:dyDescent="0.25">
      <c r="A75" t="s">
        <v>218</v>
      </c>
      <c r="B75" t="s">
        <v>219</v>
      </c>
      <c r="C75" t="s">
        <v>76</v>
      </c>
      <c r="D75" t="s">
        <v>66</v>
      </c>
      <c r="E75" t="s">
        <v>67</v>
      </c>
      <c r="F75" t="s">
        <v>68</v>
      </c>
      <c r="G75" t="s">
        <v>73</v>
      </c>
      <c r="H75" t="s">
        <v>24</v>
      </c>
      <c r="I75">
        <v>8</v>
      </c>
      <c r="J75">
        <v>260553</v>
      </c>
      <c r="K75">
        <v>10</v>
      </c>
      <c r="L75">
        <v>1875981.6</v>
      </c>
      <c r="M75" t="s">
        <v>42</v>
      </c>
      <c r="N75" t="s">
        <v>69</v>
      </c>
      <c r="O75" t="s">
        <v>27</v>
      </c>
      <c r="P75" t="s">
        <v>55</v>
      </c>
    </row>
    <row r="76" spans="1:16" x14ac:dyDescent="0.25">
      <c r="A76" t="s">
        <v>220</v>
      </c>
      <c r="B76" t="s">
        <v>221</v>
      </c>
      <c r="C76" t="s">
        <v>91</v>
      </c>
      <c r="D76" t="s">
        <v>20</v>
      </c>
      <c r="E76" t="s">
        <v>21</v>
      </c>
      <c r="F76" t="s">
        <v>22</v>
      </c>
      <c r="G76" t="s">
        <v>41</v>
      </c>
      <c r="H76" t="s">
        <v>34</v>
      </c>
      <c r="I76">
        <v>2</v>
      </c>
      <c r="J76">
        <v>420146</v>
      </c>
      <c r="K76">
        <v>2</v>
      </c>
      <c r="L76">
        <v>823486.16</v>
      </c>
      <c r="M76" t="s">
        <v>54</v>
      </c>
      <c r="N76" t="s">
        <v>69</v>
      </c>
      <c r="O76" t="s">
        <v>27</v>
      </c>
      <c r="P76" t="s">
        <v>42</v>
      </c>
    </row>
    <row r="77" spans="1:16" x14ac:dyDescent="0.25">
      <c r="A77" t="s">
        <v>222</v>
      </c>
      <c r="B77" t="s">
        <v>223</v>
      </c>
      <c r="C77" t="s">
        <v>85</v>
      </c>
      <c r="D77" t="s">
        <v>20</v>
      </c>
      <c r="E77" t="s">
        <v>21</v>
      </c>
      <c r="F77" t="s">
        <v>22</v>
      </c>
      <c r="G77" t="s">
        <v>73</v>
      </c>
      <c r="H77" t="s">
        <v>24</v>
      </c>
      <c r="I77">
        <v>8</v>
      </c>
      <c r="J77">
        <v>267590</v>
      </c>
      <c r="K77">
        <v>7</v>
      </c>
      <c r="L77">
        <v>1990869.6</v>
      </c>
      <c r="M77" t="s">
        <v>54</v>
      </c>
      <c r="N77" t="s">
        <v>69</v>
      </c>
      <c r="O77" t="s">
        <v>27</v>
      </c>
      <c r="P77" t="s">
        <v>42</v>
      </c>
    </row>
    <row r="78" spans="1:16" x14ac:dyDescent="0.25">
      <c r="A78" t="s">
        <v>224</v>
      </c>
      <c r="B78" t="s">
        <v>225</v>
      </c>
      <c r="C78" t="s">
        <v>76</v>
      </c>
      <c r="D78" t="s">
        <v>66</v>
      </c>
      <c r="E78" t="s">
        <v>67</v>
      </c>
      <c r="F78" t="s">
        <v>68</v>
      </c>
      <c r="G78" t="s">
        <v>73</v>
      </c>
      <c r="H78" t="s">
        <v>34</v>
      </c>
      <c r="I78">
        <v>8</v>
      </c>
      <c r="J78">
        <v>100872</v>
      </c>
      <c r="K78">
        <v>0</v>
      </c>
      <c r="L78">
        <v>806976</v>
      </c>
      <c r="M78" t="s">
        <v>25</v>
      </c>
      <c r="N78" t="s">
        <v>43</v>
      </c>
      <c r="O78" t="s">
        <v>44</v>
      </c>
      <c r="P78" t="s">
        <v>42</v>
      </c>
    </row>
    <row r="79" spans="1:16" x14ac:dyDescent="0.25">
      <c r="A79" t="s">
        <v>226</v>
      </c>
      <c r="B79" t="s">
        <v>227</v>
      </c>
      <c r="C79" t="s">
        <v>37</v>
      </c>
      <c r="D79" t="s">
        <v>51</v>
      </c>
      <c r="E79" t="s">
        <v>48</v>
      </c>
      <c r="F79" t="s">
        <v>22</v>
      </c>
      <c r="G79" t="s">
        <v>73</v>
      </c>
      <c r="H79" t="s">
        <v>53</v>
      </c>
      <c r="I79">
        <v>6</v>
      </c>
      <c r="J79">
        <v>103288</v>
      </c>
      <c r="K79">
        <v>2</v>
      </c>
      <c r="L79">
        <v>607333.43999999994</v>
      </c>
      <c r="M79" t="s">
        <v>25</v>
      </c>
      <c r="N79" t="s">
        <v>43</v>
      </c>
      <c r="O79" t="s">
        <v>44</v>
      </c>
      <c r="P79" t="s">
        <v>26</v>
      </c>
    </row>
    <row r="80" spans="1:16" x14ac:dyDescent="0.25">
      <c r="A80" t="s">
        <v>228</v>
      </c>
      <c r="B80" t="s">
        <v>229</v>
      </c>
      <c r="C80" t="s">
        <v>76</v>
      </c>
      <c r="D80" t="s">
        <v>47</v>
      </c>
      <c r="E80" t="s">
        <v>48</v>
      </c>
      <c r="F80" t="s">
        <v>22</v>
      </c>
      <c r="G80" t="s">
        <v>52</v>
      </c>
      <c r="H80" t="s">
        <v>24</v>
      </c>
      <c r="I80">
        <v>5</v>
      </c>
      <c r="J80">
        <v>804507</v>
      </c>
      <c r="K80">
        <v>2</v>
      </c>
      <c r="L80">
        <v>3942084.3</v>
      </c>
      <c r="M80" t="s">
        <v>25</v>
      </c>
      <c r="N80" t="s">
        <v>69</v>
      </c>
      <c r="O80" t="s">
        <v>44</v>
      </c>
      <c r="P80" t="s">
        <v>42</v>
      </c>
    </row>
    <row r="81" spans="1:16" x14ac:dyDescent="0.25">
      <c r="A81" t="s">
        <v>230</v>
      </c>
      <c r="B81" t="s">
        <v>18</v>
      </c>
      <c r="C81" t="s">
        <v>198</v>
      </c>
      <c r="D81" t="s">
        <v>20</v>
      </c>
      <c r="E81" t="s">
        <v>21</v>
      </c>
      <c r="F81" t="s">
        <v>22</v>
      </c>
      <c r="G81" t="s">
        <v>73</v>
      </c>
      <c r="H81" t="s">
        <v>34</v>
      </c>
      <c r="J81">
        <v>171346</v>
      </c>
      <c r="K81">
        <v>12</v>
      </c>
      <c r="M81" t="s">
        <v>42</v>
      </c>
      <c r="N81" t="s">
        <v>26</v>
      </c>
      <c r="O81" t="s">
        <v>27</v>
      </c>
      <c r="P81" t="s">
        <v>42</v>
      </c>
    </row>
    <row r="82" spans="1:16" x14ac:dyDescent="0.25">
      <c r="A82" t="s">
        <v>231</v>
      </c>
      <c r="B82" t="s">
        <v>232</v>
      </c>
      <c r="C82" t="s">
        <v>91</v>
      </c>
      <c r="D82" t="s">
        <v>38</v>
      </c>
      <c r="E82" t="s">
        <v>39</v>
      </c>
      <c r="F82" t="s">
        <v>40</v>
      </c>
      <c r="G82" t="s">
        <v>89</v>
      </c>
      <c r="H82" t="s">
        <v>86</v>
      </c>
      <c r="I82">
        <v>2</v>
      </c>
      <c r="J82">
        <v>854924</v>
      </c>
      <c r="K82">
        <v>0</v>
      </c>
      <c r="L82">
        <v>1709848</v>
      </c>
      <c r="M82" t="s">
        <v>25</v>
      </c>
      <c r="N82" t="s">
        <v>26</v>
      </c>
      <c r="O82" t="s">
        <v>27</v>
      </c>
      <c r="P82" t="s">
        <v>42</v>
      </c>
    </row>
    <row r="83" spans="1:16" x14ac:dyDescent="0.25">
      <c r="A83" t="s">
        <v>233</v>
      </c>
      <c r="B83" t="s">
        <v>234</v>
      </c>
      <c r="C83" t="s">
        <v>76</v>
      </c>
      <c r="D83" t="s">
        <v>30</v>
      </c>
      <c r="E83" t="s">
        <v>31</v>
      </c>
      <c r="F83" t="s">
        <v>32</v>
      </c>
      <c r="G83" t="s">
        <v>52</v>
      </c>
      <c r="H83" t="s">
        <v>24</v>
      </c>
      <c r="I83">
        <v>5</v>
      </c>
      <c r="J83">
        <v>258706</v>
      </c>
      <c r="K83">
        <v>12</v>
      </c>
      <c r="L83">
        <v>1138306.3999999999</v>
      </c>
      <c r="M83" t="s">
        <v>54</v>
      </c>
      <c r="N83" t="s">
        <v>43</v>
      </c>
      <c r="O83" t="s">
        <v>27</v>
      </c>
      <c r="P83" t="s">
        <v>26</v>
      </c>
    </row>
    <row r="84" spans="1:16" x14ac:dyDescent="0.25">
      <c r="A84" t="s">
        <v>235</v>
      </c>
      <c r="B84" t="s">
        <v>236</v>
      </c>
      <c r="C84" t="s">
        <v>37</v>
      </c>
      <c r="D84" t="s">
        <v>47</v>
      </c>
      <c r="E84" t="s">
        <v>48</v>
      </c>
      <c r="F84" t="s">
        <v>22</v>
      </c>
      <c r="G84" t="s">
        <v>62</v>
      </c>
      <c r="H84" t="s">
        <v>58</v>
      </c>
      <c r="I84">
        <v>3</v>
      </c>
      <c r="J84">
        <v>512291</v>
      </c>
      <c r="K84">
        <v>0</v>
      </c>
      <c r="L84">
        <v>1536873</v>
      </c>
      <c r="M84" t="s">
        <v>54</v>
      </c>
      <c r="N84" t="s">
        <v>43</v>
      </c>
      <c r="O84" t="s">
        <v>44</v>
      </c>
      <c r="P84" t="s">
        <v>26</v>
      </c>
    </row>
    <row r="85" spans="1:16" x14ac:dyDescent="0.25">
      <c r="A85" t="s">
        <v>237</v>
      </c>
      <c r="B85" t="s">
        <v>238</v>
      </c>
      <c r="C85" t="s">
        <v>65</v>
      </c>
      <c r="D85" t="s">
        <v>66</v>
      </c>
      <c r="E85" t="s">
        <v>67</v>
      </c>
      <c r="F85" t="s">
        <v>68</v>
      </c>
      <c r="G85" t="s">
        <v>52</v>
      </c>
      <c r="H85" t="s">
        <v>53</v>
      </c>
      <c r="I85">
        <v>8</v>
      </c>
      <c r="J85">
        <v>173310</v>
      </c>
      <c r="K85">
        <v>10</v>
      </c>
      <c r="L85">
        <v>1247832</v>
      </c>
      <c r="M85" t="s">
        <v>54</v>
      </c>
      <c r="N85" t="s">
        <v>69</v>
      </c>
      <c r="O85" t="s">
        <v>44</v>
      </c>
      <c r="P85" t="s">
        <v>42</v>
      </c>
    </row>
    <row r="86" spans="1:16" x14ac:dyDescent="0.25">
      <c r="A86" t="s">
        <v>239</v>
      </c>
      <c r="B86" t="s">
        <v>240</v>
      </c>
      <c r="C86" t="s">
        <v>37</v>
      </c>
      <c r="D86" t="s">
        <v>66</v>
      </c>
      <c r="E86" t="s">
        <v>67</v>
      </c>
      <c r="F86" t="s">
        <v>68</v>
      </c>
      <c r="G86" t="s">
        <v>52</v>
      </c>
      <c r="H86" t="s">
        <v>34</v>
      </c>
      <c r="I86">
        <v>6</v>
      </c>
      <c r="J86">
        <v>237351</v>
      </c>
      <c r="K86">
        <v>12</v>
      </c>
      <c r="L86">
        <v>1253213.28</v>
      </c>
      <c r="M86" t="s">
        <v>25</v>
      </c>
      <c r="N86" t="s">
        <v>26</v>
      </c>
      <c r="O86" t="s">
        <v>27</v>
      </c>
      <c r="P86" t="s">
        <v>55</v>
      </c>
    </row>
    <row r="87" spans="1:16" x14ac:dyDescent="0.25">
      <c r="A87" t="s">
        <v>241</v>
      </c>
      <c r="B87" t="s">
        <v>242</v>
      </c>
      <c r="C87" t="s">
        <v>19</v>
      </c>
      <c r="D87" t="s">
        <v>20</v>
      </c>
      <c r="E87" t="s">
        <v>21</v>
      </c>
      <c r="F87" t="s">
        <v>22</v>
      </c>
      <c r="G87" t="s">
        <v>89</v>
      </c>
      <c r="H87" t="s">
        <v>53</v>
      </c>
      <c r="I87">
        <v>7</v>
      </c>
      <c r="J87">
        <v>210905</v>
      </c>
      <c r="K87">
        <v>7</v>
      </c>
      <c r="L87">
        <v>1372991.55</v>
      </c>
      <c r="M87" t="s">
        <v>54</v>
      </c>
      <c r="N87" t="s">
        <v>43</v>
      </c>
      <c r="O87" t="s">
        <v>44</v>
      </c>
      <c r="P87" t="s">
        <v>42</v>
      </c>
    </row>
    <row r="88" spans="1:16" x14ac:dyDescent="0.25">
      <c r="A88" t="s">
        <v>243</v>
      </c>
      <c r="B88" t="s">
        <v>244</v>
      </c>
      <c r="C88" t="s">
        <v>65</v>
      </c>
      <c r="D88" t="s">
        <v>47</v>
      </c>
      <c r="E88" t="s">
        <v>48</v>
      </c>
      <c r="F88" t="s">
        <v>22</v>
      </c>
      <c r="G88" t="s">
        <v>41</v>
      </c>
      <c r="H88" t="s">
        <v>53</v>
      </c>
      <c r="I88">
        <v>8</v>
      </c>
      <c r="J88">
        <v>384905</v>
      </c>
      <c r="K88">
        <v>5</v>
      </c>
      <c r="L88">
        <v>2925278</v>
      </c>
      <c r="M88" t="s">
        <v>54</v>
      </c>
      <c r="N88" t="s">
        <v>26</v>
      </c>
      <c r="O88" t="s">
        <v>44</v>
      </c>
      <c r="P88" t="s">
        <v>55</v>
      </c>
    </row>
    <row r="89" spans="1:16" x14ac:dyDescent="0.25">
      <c r="A89" t="s">
        <v>245</v>
      </c>
      <c r="B89" t="s">
        <v>246</v>
      </c>
      <c r="C89" t="s">
        <v>37</v>
      </c>
      <c r="D89" t="s">
        <v>30</v>
      </c>
      <c r="E89" t="s">
        <v>31</v>
      </c>
      <c r="F89" t="s">
        <v>32</v>
      </c>
      <c r="G89" t="s">
        <v>33</v>
      </c>
      <c r="H89" t="s">
        <v>86</v>
      </c>
      <c r="I89">
        <v>5</v>
      </c>
      <c r="J89">
        <v>632224</v>
      </c>
      <c r="K89">
        <v>10</v>
      </c>
      <c r="L89">
        <v>2845008</v>
      </c>
      <c r="M89" t="s">
        <v>25</v>
      </c>
      <c r="N89" t="s">
        <v>26</v>
      </c>
      <c r="O89" t="s">
        <v>27</v>
      </c>
      <c r="P89" t="s">
        <v>26</v>
      </c>
    </row>
    <row r="90" spans="1:16" x14ac:dyDescent="0.25">
      <c r="A90" t="s">
        <v>247</v>
      </c>
      <c r="B90" t="s">
        <v>248</v>
      </c>
      <c r="C90" t="s">
        <v>37</v>
      </c>
      <c r="D90" t="s">
        <v>66</v>
      </c>
      <c r="E90" t="s">
        <v>201</v>
      </c>
      <c r="F90" t="s">
        <v>68</v>
      </c>
      <c r="G90" t="s">
        <v>73</v>
      </c>
      <c r="H90" t="s">
        <v>86</v>
      </c>
      <c r="I90">
        <v>7</v>
      </c>
      <c r="J90">
        <v>557033</v>
      </c>
      <c r="K90">
        <v>12</v>
      </c>
      <c r="L90">
        <v>3431323.28</v>
      </c>
      <c r="M90" t="s">
        <v>25</v>
      </c>
      <c r="N90" t="s">
        <v>69</v>
      </c>
      <c r="O90" t="s">
        <v>27</v>
      </c>
      <c r="P90" t="s">
        <v>55</v>
      </c>
    </row>
    <row r="91" spans="1:16" x14ac:dyDescent="0.25">
      <c r="A91" t="s">
        <v>249</v>
      </c>
      <c r="B91" t="s">
        <v>250</v>
      </c>
      <c r="C91" t="s">
        <v>85</v>
      </c>
      <c r="D91" t="s">
        <v>38</v>
      </c>
      <c r="E91" t="s">
        <v>39</v>
      </c>
      <c r="F91" t="s">
        <v>40</v>
      </c>
      <c r="G91" t="s">
        <v>73</v>
      </c>
      <c r="H91" t="s">
        <v>34</v>
      </c>
      <c r="I91">
        <v>3</v>
      </c>
      <c r="J91">
        <v>733204</v>
      </c>
      <c r="K91">
        <v>5</v>
      </c>
      <c r="L91">
        <v>2089631.4</v>
      </c>
      <c r="M91" t="s">
        <v>25</v>
      </c>
      <c r="N91" t="s">
        <v>69</v>
      </c>
      <c r="O91" t="s">
        <v>44</v>
      </c>
      <c r="P91" t="s">
        <v>55</v>
      </c>
    </row>
    <row r="92" spans="1:16" x14ac:dyDescent="0.25">
      <c r="A92" t="s">
        <v>251</v>
      </c>
      <c r="B92" t="s">
        <v>252</v>
      </c>
      <c r="C92" t="s">
        <v>85</v>
      </c>
      <c r="D92" t="s">
        <v>38</v>
      </c>
      <c r="E92" t="s">
        <v>39</v>
      </c>
      <c r="F92" t="s">
        <v>40</v>
      </c>
      <c r="G92" t="s">
        <v>52</v>
      </c>
      <c r="H92" t="s">
        <v>53</v>
      </c>
      <c r="I92">
        <v>4</v>
      </c>
      <c r="J92">
        <v>345454</v>
      </c>
      <c r="K92">
        <v>2</v>
      </c>
      <c r="L92">
        <v>1354179.68</v>
      </c>
      <c r="M92" t="s">
        <v>42</v>
      </c>
      <c r="N92" t="s">
        <v>43</v>
      </c>
      <c r="O92" t="s">
        <v>44</v>
      </c>
      <c r="P92" t="s">
        <v>55</v>
      </c>
    </row>
    <row r="93" spans="1:16" x14ac:dyDescent="0.25">
      <c r="A93" t="s">
        <v>253</v>
      </c>
      <c r="B93" t="s">
        <v>254</v>
      </c>
      <c r="C93" t="s">
        <v>37</v>
      </c>
      <c r="D93" t="s">
        <v>38</v>
      </c>
      <c r="E93" t="s">
        <v>39</v>
      </c>
      <c r="F93" t="s">
        <v>40</v>
      </c>
      <c r="G93" t="s">
        <v>33</v>
      </c>
      <c r="H93" t="s">
        <v>86</v>
      </c>
      <c r="I93">
        <v>5</v>
      </c>
      <c r="J93">
        <v>583573</v>
      </c>
      <c r="K93">
        <v>10</v>
      </c>
      <c r="L93">
        <v>2626078.5</v>
      </c>
      <c r="M93" t="s">
        <v>25</v>
      </c>
      <c r="N93" t="s">
        <v>26</v>
      </c>
      <c r="O93" t="s">
        <v>44</v>
      </c>
      <c r="P93" t="s">
        <v>42</v>
      </c>
    </row>
    <row r="94" spans="1:16" x14ac:dyDescent="0.25">
      <c r="A94" t="s">
        <v>255</v>
      </c>
      <c r="B94" t="s">
        <v>256</v>
      </c>
      <c r="C94" t="s">
        <v>99</v>
      </c>
      <c r="D94" t="s">
        <v>20</v>
      </c>
      <c r="E94" t="s">
        <v>21</v>
      </c>
      <c r="F94" t="s">
        <v>22</v>
      </c>
      <c r="G94" t="s">
        <v>33</v>
      </c>
      <c r="H94" t="s">
        <v>53</v>
      </c>
      <c r="I94">
        <v>8</v>
      </c>
      <c r="J94">
        <v>228203</v>
      </c>
      <c r="K94">
        <v>5</v>
      </c>
      <c r="L94">
        <v>1734342.8</v>
      </c>
      <c r="M94" t="s">
        <v>42</v>
      </c>
      <c r="N94" t="s">
        <v>43</v>
      </c>
      <c r="O94" t="s">
        <v>44</v>
      </c>
      <c r="P94" t="s">
        <v>55</v>
      </c>
    </row>
    <row r="95" spans="1:16" x14ac:dyDescent="0.25">
      <c r="A95" t="s">
        <v>257</v>
      </c>
      <c r="B95" t="s">
        <v>258</v>
      </c>
      <c r="C95" t="s">
        <v>37</v>
      </c>
      <c r="D95" t="s">
        <v>20</v>
      </c>
      <c r="E95" t="s">
        <v>189</v>
      </c>
      <c r="F95" t="s">
        <v>22</v>
      </c>
      <c r="G95" t="s">
        <v>62</v>
      </c>
      <c r="H95" t="s">
        <v>24</v>
      </c>
      <c r="I95">
        <v>6</v>
      </c>
      <c r="J95">
        <v>640024</v>
      </c>
      <c r="K95">
        <v>12</v>
      </c>
      <c r="L95">
        <v>3379326.72</v>
      </c>
      <c r="M95" t="s">
        <v>42</v>
      </c>
      <c r="N95" t="s">
        <v>26</v>
      </c>
      <c r="O95" t="s">
        <v>27</v>
      </c>
      <c r="P95" t="s">
        <v>55</v>
      </c>
    </row>
    <row r="96" spans="1:16" x14ac:dyDescent="0.25">
      <c r="A96" t="s">
        <v>259</v>
      </c>
      <c r="B96" t="s">
        <v>260</v>
      </c>
      <c r="C96" t="s">
        <v>65</v>
      </c>
      <c r="D96" t="s">
        <v>30</v>
      </c>
      <c r="E96" t="s">
        <v>31</v>
      </c>
      <c r="F96" t="s">
        <v>32</v>
      </c>
      <c r="G96" t="s">
        <v>33</v>
      </c>
      <c r="H96" t="s">
        <v>34</v>
      </c>
      <c r="I96">
        <v>8</v>
      </c>
      <c r="J96">
        <v>690561</v>
      </c>
      <c r="M96" t="s">
        <v>25</v>
      </c>
      <c r="N96" t="s">
        <v>26</v>
      </c>
      <c r="O96" t="s">
        <v>44</v>
      </c>
      <c r="P96" t="s">
        <v>26</v>
      </c>
    </row>
    <row r="97" spans="1:16" x14ac:dyDescent="0.25">
      <c r="A97" t="s">
        <v>261</v>
      </c>
      <c r="B97" t="s">
        <v>262</v>
      </c>
      <c r="C97" t="s">
        <v>76</v>
      </c>
      <c r="D97" t="s">
        <v>30</v>
      </c>
      <c r="E97" t="s">
        <v>31</v>
      </c>
      <c r="F97" t="s">
        <v>32</v>
      </c>
      <c r="G97" t="s">
        <v>94</v>
      </c>
      <c r="H97" t="s">
        <v>58</v>
      </c>
      <c r="I97">
        <v>2</v>
      </c>
      <c r="J97">
        <v>689097</v>
      </c>
      <c r="K97">
        <v>2</v>
      </c>
      <c r="L97">
        <v>1350630.12</v>
      </c>
      <c r="M97" t="s">
        <v>42</v>
      </c>
      <c r="N97" t="s">
        <v>43</v>
      </c>
      <c r="O97" t="s">
        <v>27</v>
      </c>
      <c r="P97" t="s">
        <v>26</v>
      </c>
    </row>
    <row r="98" spans="1:16" x14ac:dyDescent="0.25">
      <c r="A98" t="s">
        <v>263</v>
      </c>
      <c r="B98" t="s">
        <v>264</v>
      </c>
      <c r="C98" t="s">
        <v>37</v>
      </c>
      <c r="D98" t="s">
        <v>38</v>
      </c>
      <c r="E98" t="s">
        <v>39</v>
      </c>
      <c r="F98" t="s">
        <v>40</v>
      </c>
      <c r="G98" t="s">
        <v>73</v>
      </c>
      <c r="H98" t="s">
        <v>34</v>
      </c>
      <c r="I98">
        <v>1</v>
      </c>
      <c r="J98">
        <v>260229</v>
      </c>
      <c r="K98">
        <v>7</v>
      </c>
      <c r="L98">
        <v>242012.97</v>
      </c>
      <c r="M98" t="s">
        <v>42</v>
      </c>
      <c r="N98" t="s">
        <v>26</v>
      </c>
      <c r="O98" t="s">
        <v>44</v>
      </c>
      <c r="P98" t="s">
        <v>42</v>
      </c>
    </row>
    <row r="99" spans="1:16" x14ac:dyDescent="0.25">
      <c r="A99" t="s">
        <v>265</v>
      </c>
      <c r="B99" t="s">
        <v>266</v>
      </c>
      <c r="C99" t="s">
        <v>85</v>
      </c>
      <c r="D99" t="s">
        <v>47</v>
      </c>
      <c r="E99" t="s">
        <v>48</v>
      </c>
      <c r="F99" t="s">
        <v>22</v>
      </c>
      <c r="G99" t="s">
        <v>41</v>
      </c>
      <c r="H99" t="s">
        <v>53</v>
      </c>
      <c r="I99">
        <v>4</v>
      </c>
      <c r="J99">
        <v>740417</v>
      </c>
      <c r="K99">
        <v>7</v>
      </c>
      <c r="L99">
        <v>2754351.24</v>
      </c>
      <c r="M99" t="s">
        <v>42</v>
      </c>
      <c r="N99" t="s">
        <v>26</v>
      </c>
      <c r="O99" t="s">
        <v>44</v>
      </c>
      <c r="P99" t="s">
        <v>55</v>
      </c>
    </row>
    <row r="100" spans="1:16" x14ac:dyDescent="0.25">
      <c r="A100" t="s">
        <v>267</v>
      </c>
      <c r="B100" t="s">
        <v>268</v>
      </c>
      <c r="C100" t="s">
        <v>91</v>
      </c>
      <c r="D100" t="s">
        <v>47</v>
      </c>
      <c r="E100" t="s">
        <v>48</v>
      </c>
      <c r="F100" t="s">
        <v>22</v>
      </c>
      <c r="G100" t="s">
        <v>52</v>
      </c>
      <c r="H100" t="s">
        <v>58</v>
      </c>
      <c r="I100">
        <v>3</v>
      </c>
      <c r="J100">
        <v>534614</v>
      </c>
      <c r="K100">
        <v>7</v>
      </c>
      <c r="L100">
        <v>1491573.06</v>
      </c>
      <c r="M100" t="s">
        <v>42</v>
      </c>
      <c r="N100" t="s">
        <v>26</v>
      </c>
      <c r="O100" t="s">
        <v>27</v>
      </c>
      <c r="P100" t="s">
        <v>42</v>
      </c>
    </row>
    <row r="101" spans="1:16" x14ac:dyDescent="0.25">
      <c r="A101" t="s">
        <v>269</v>
      </c>
      <c r="B101" t="s">
        <v>270</v>
      </c>
      <c r="C101" t="s">
        <v>76</v>
      </c>
      <c r="D101" t="s">
        <v>38</v>
      </c>
      <c r="E101" t="s">
        <v>39</v>
      </c>
      <c r="F101" t="s">
        <v>40</v>
      </c>
      <c r="G101" t="s">
        <v>33</v>
      </c>
      <c r="H101" t="s">
        <v>24</v>
      </c>
      <c r="I101">
        <v>1</v>
      </c>
      <c r="J101">
        <v>318448</v>
      </c>
      <c r="K101">
        <v>10</v>
      </c>
      <c r="L101">
        <v>286603.2</v>
      </c>
      <c r="M101" t="s">
        <v>25</v>
      </c>
      <c r="N101" t="s">
        <v>43</v>
      </c>
      <c r="O101" t="s">
        <v>44</v>
      </c>
      <c r="P101" t="s">
        <v>26</v>
      </c>
    </row>
    <row r="102" spans="1:16" x14ac:dyDescent="0.25">
      <c r="A102" t="s">
        <v>271</v>
      </c>
      <c r="B102" t="s">
        <v>272</v>
      </c>
      <c r="C102" t="s">
        <v>19</v>
      </c>
      <c r="D102" t="s">
        <v>66</v>
      </c>
      <c r="E102" t="s">
        <v>67</v>
      </c>
      <c r="F102" t="s">
        <v>68</v>
      </c>
      <c r="G102" t="s">
        <v>23</v>
      </c>
      <c r="H102" t="s">
        <v>86</v>
      </c>
      <c r="I102">
        <v>8</v>
      </c>
      <c r="J102">
        <v>293552</v>
      </c>
      <c r="K102">
        <v>7</v>
      </c>
      <c r="L102">
        <v>2184026.88</v>
      </c>
      <c r="M102" t="s">
        <v>25</v>
      </c>
      <c r="N102" t="s">
        <v>26</v>
      </c>
      <c r="O102" t="s">
        <v>27</v>
      </c>
      <c r="P102" t="s">
        <v>42</v>
      </c>
    </row>
    <row r="103" spans="1:16" x14ac:dyDescent="0.25">
      <c r="A103" t="s">
        <v>273</v>
      </c>
      <c r="B103" t="s">
        <v>274</v>
      </c>
      <c r="C103" t="s">
        <v>198</v>
      </c>
      <c r="D103" t="s">
        <v>51</v>
      </c>
      <c r="E103" t="s">
        <v>48</v>
      </c>
      <c r="F103" t="s">
        <v>22</v>
      </c>
      <c r="G103" t="s">
        <v>62</v>
      </c>
      <c r="H103" t="s">
        <v>24</v>
      </c>
      <c r="I103">
        <v>5</v>
      </c>
      <c r="J103">
        <v>836285</v>
      </c>
      <c r="K103">
        <v>2</v>
      </c>
      <c r="L103">
        <v>4097796.5</v>
      </c>
      <c r="M103" t="s">
        <v>54</v>
      </c>
      <c r="N103" t="s">
        <v>43</v>
      </c>
      <c r="O103" t="s">
        <v>44</v>
      </c>
      <c r="P103" t="s">
        <v>42</v>
      </c>
    </row>
    <row r="104" spans="1:16" x14ac:dyDescent="0.25">
      <c r="A104" t="s">
        <v>275</v>
      </c>
      <c r="B104" t="s">
        <v>276</v>
      </c>
      <c r="C104" t="s">
        <v>76</v>
      </c>
      <c r="D104" t="s">
        <v>30</v>
      </c>
      <c r="E104" t="s">
        <v>31</v>
      </c>
      <c r="F104" t="s">
        <v>32</v>
      </c>
      <c r="G104" t="s">
        <v>135</v>
      </c>
      <c r="H104" t="s">
        <v>58</v>
      </c>
      <c r="I104">
        <v>2</v>
      </c>
      <c r="J104">
        <v>418035</v>
      </c>
      <c r="K104">
        <v>10</v>
      </c>
      <c r="L104">
        <v>752463</v>
      </c>
      <c r="M104" t="s">
        <v>42</v>
      </c>
      <c r="N104" t="s">
        <v>26</v>
      </c>
      <c r="O104" t="s">
        <v>44</v>
      </c>
      <c r="P104" t="s">
        <v>26</v>
      </c>
    </row>
    <row r="105" spans="1:16" x14ac:dyDescent="0.25">
      <c r="A105" t="s">
        <v>277</v>
      </c>
      <c r="B105" t="s">
        <v>278</v>
      </c>
      <c r="C105" t="s">
        <v>198</v>
      </c>
      <c r="D105" t="s">
        <v>119</v>
      </c>
      <c r="E105" t="s">
        <v>21</v>
      </c>
      <c r="F105" t="s">
        <v>22</v>
      </c>
      <c r="G105" t="s">
        <v>41</v>
      </c>
      <c r="H105" t="s">
        <v>24</v>
      </c>
      <c r="I105">
        <v>3</v>
      </c>
      <c r="J105">
        <v>366258</v>
      </c>
      <c r="K105">
        <v>5</v>
      </c>
      <c r="L105">
        <v>1043835.3</v>
      </c>
      <c r="M105" t="s">
        <v>42</v>
      </c>
      <c r="N105" t="s">
        <v>69</v>
      </c>
      <c r="O105" t="s">
        <v>44</v>
      </c>
      <c r="P105" t="s">
        <v>26</v>
      </c>
    </row>
    <row r="106" spans="1:16" x14ac:dyDescent="0.25">
      <c r="A106" t="s">
        <v>279</v>
      </c>
      <c r="B106" t="s">
        <v>280</v>
      </c>
      <c r="C106" t="s">
        <v>76</v>
      </c>
      <c r="D106" t="s">
        <v>20</v>
      </c>
      <c r="E106" t="s">
        <v>21</v>
      </c>
      <c r="F106" t="s">
        <v>22</v>
      </c>
      <c r="G106" t="s">
        <v>33</v>
      </c>
      <c r="H106" t="s">
        <v>86</v>
      </c>
      <c r="I106">
        <v>7</v>
      </c>
      <c r="J106">
        <v>246449</v>
      </c>
      <c r="K106">
        <v>2</v>
      </c>
      <c r="L106">
        <v>1690640.14</v>
      </c>
      <c r="M106" t="s">
        <v>25</v>
      </c>
      <c r="N106" t="s">
        <v>26</v>
      </c>
      <c r="O106" t="s">
        <v>27</v>
      </c>
      <c r="P106" t="s">
        <v>55</v>
      </c>
    </row>
    <row r="107" spans="1:16" x14ac:dyDescent="0.25">
      <c r="A107" t="s">
        <v>281</v>
      </c>
      <c r="B107" t="s">
        <v>282</v>
      </c>
      <c r="C107" t="s">
        <v>76</v>
      </c>
      <c r="D107" t="s">
        <v>66</v>
      </c>
      <c r="E107" t="s">
        <v>67</v>
      </c>
      <c r="F107" t="s">
        <v>68</v>
      </c>
      <c r="G107" t="s">
        <v>94</v>
      </c>
      <c r="H107" t="s">
        <v>24</v>
      </c>
      <c r="I107">
        <v>5</v>
      </c>
      <c r="J107">
        <v>617288</v>
      </c>
      <c r="K107">
        <v>2</v>
      </c>
      <c r="L107">
        <v>3024711.2</v>
      </c>
      <c r="M107" t="s">
        <v>25</v>
      </c>
      <c r="N107" t="s">
        <v>26</v>
      </c>
      <c r="O107" t="s">
        <v>44</v>
      </c>
      <c r="P107" t="s">
        <v>42</v>
      </c>
    </row>
    <row r="108" spans="1:16" x14ac:dyDescent="0.25">
      <c r="A108" t="s">
        <v>283</v>
      </c>
      <c r="B108" t="s">
        <v>284</v>
      </c>
      <c r="C108" t="s">
        <v>37</v>
      </c>
      <c r="D108" t="s">
        <v>119</v>
      </c>
      <c r="E108" t="s">
        <v>21</v>
      </c>
      <c r="F108" t="s">
        <v>22</v>
      </c>
      <c r="G108" t="s">
        <v>62</v>
      </c>
      <c r="H108" t="s">
        <v>53</v>
      </c>
      <c r="I108">
        <v>6</v>
      </c>
      <c r="J108">
        <v>290458</v>
      </c>
      <c r="K108">
        <v>0</v>
      </c>
      <c r="L108">
        <v>1742748</v>
      </c>
      <c r="M108" t="s">
        <v>54</v>
      </c>
      <c r="N108" t="s">
        <v>43</v>
      </c>
      <c r="O108" t="s">
        <v>27</v>
      </c>
      <c r="P108" t="s">
        <v>42</v>
      </c>
    </row>
    <row r="109" spans="1:16" x14ac:dyDescent="0.25">
      <c r="A109" t="s">
        <v>285</v>
      </c>
      <c r="B109" t="s">
        <v>286</v>
      </c>
      <c r="C109" t="s">
        <v>85</v>
      </c>
      <c r="D109" t="s">
        <v>129</v>
      </c>
      <c r="E109" t="s">
        <v>39</v>
      </c>
      <c r="F109" t="s">
        <v>40</v>
      </c>
      <c r="G109" t="s">
        <v>89</v>
      </c>
      <c r="H109" t="s">
        <v>86</v>
      </c>
      <c r="I109">
        <v>6</v>
      </c>
      <c r="J109">
        <v>751757</v>
      </c>
      <c r="K109">
        <v>0</v>
      </c>
      <c r="L109">
        <v>4510542</v>
      </c>
      <c r="M109" t="s">
        <v>25</v>
      </c>
      <c r="N109" t="s">
        <v>69</v>
      </c>
      <c r="O109" t="s">
        <v>44</v>
      </c>
      <c r="P109" t="s">
        <v>26</v>
      </c>
    </row>
    <row r="110" spans="1:16" x14ac:dyDescent="0.25">
      <c r="A110" t="s">
        <v>287</v>
      </c>
      <c r="B110" t="s">
        <v>288</v>
      </c>
      <c r="C110" t="s">
        <v>76</v>
      </c>
      <c r="D110" t="s">
        <v>30</v>
      </c>
      <c r="E110" t="s">
        <v>142</v>
      </c>
      <c r="F110" t="s">
        <v>32</v>
      </c>
      <c r="G110" t="s">
        <v>73</v>
      </c>
      <c r="H110" t="s">
        <v>53</v>
      </c>
      <c r="I110">
        <v>5</v>
      </c>
      <c r="J110">
        <v>650612</v>
      </c>
      <c r="K110">
        <v>0</v>
      </c>
      <c r="L110">
        <v>3253060</v>
      </c>
      <c r="M110" t="s">
        <v>54</v>
      </c>
      <c r="N110" t="s">
        <v>26</v>
      </c>
      <c r="O110" t="s">
        <v>27</v>
      </c>
      <c r="P110" t="s">
        <v>55</v>
      </c>
    </row>
    <row r="111" spans="1:16" x14ac:dyDescent="0.25">
      <c r="A111" t="s">
        <v>289</v>
      </c>
      <c r="B111" t="s">
        <v>290</v>
      </c>
      <c r="C111" t="s">
        <v>37</v>
      </c>
      <c r="D111" t="s">
        <v>38</v>
      </c>
      <c r="E111" t="s">
        <v>39</v>
      </c>
      <c r="F111" t="s">
        <v>40</v>
      </c>
      <c r="G111" t="s">
        <v>62</v>
      </c>
      <c r="H111" t="s">
        <v>58</v>
      </c>
      <c r="I111">
        <v>1</v>
      </c>
      <c r="J111">
        <v>291438</v>
      </c>
      <c r="K111">
        <v>2</v>
      </c>
      <c r="L111">
        <v>285609.24</v>
      </c>
      <c r="M111" t="s">
        <v>42</v>
      </c>
      <c r="N111" t="s">
        <v>26</v>
      </c>
      <c r="O111" t="s">
        <v>44</v>
      </c>
      <c r="P111" t="s">
        <v>42</v>
      </c>
    </row>
    <row r="112" spans="1:16" x14ac:dyDescent="0.25">
      <c r="A112" t="s">
        <v>291</v>
      </c>
      <c r="B112" t="s">
        <v>57</v>
      </c>
      <c r="C112" t="s">
        <v>65</v>
      </c>
      <c r="D112" t="s">
        <v>66</v>
      </c>
      <c r="E112" t="s">
        <v>67</v>
      </c>
      <c r="F112" t="s">
        <v>68</v>
      </c>
      <c r="G112" t="s">
        <v>135</v>
      </c>
      <c r="H112" t="s">
        <v>58</v>
      </c>
      <c r="I112">
        <v>6</v>
      </c>
      <c r="J112">
        <v>604370</v>
      </c>
      <c r="K112">
        <v>7</v>
      </c>
      <c r="L112">
        <v>3372384.6</v>
      </c>
      <c r="M112" t="s">
        <v>54</v>
      </c>
      <c r="N112" t="s">
        <v>26</v>
      </c>
      <c r="O112" t="s">
        <v>27</v>
      </c>
      <c r="P112" t="s">
        <v>55</v>
      </c>
    </row>
    <row r="113" spans="1:16" x14ac:dyDescent="0.25">
      <c r="A113" t="s">
        <v>292</v>
      </c>
      <c r="B113" t="s">
        <v>293</v>
      </c>
      <c r="C113" t="s">
        <v>91</v>
      </c>
      <c r="D113" t="s">
        <v>30</v>
      </c>
      <c r="E113" t="s">
        <v>31</v>
      </c>
      <c r="F113" t="s">
        <v>32</v>
      </c>
      <c r="G113" t="s">
        <v>89</v>
      </c>
      <c r="H113" t="s">
        <v>86</v>
      </c>
      <c r="I113">
        <v>7</v>
      </c>
      <c r="J113">
        <v>888419</v>
      </c>
      <c r="K113">
        <v>0</v>
      </c>
      <c r="L113">
        <v>6218933</v>
      </c>
      <c r="M113" t="s">
        <v>42</v>
      </c>
      <c r="N113" t="s">
        <v>26</v>
      </c>
      <c r="O113" t="s">
        <v>44</v>
      </c>
      <c r="P113" t="s">
        <v>26</v>
      </c>
    </row>
    <row r="114" spans="1:16" x14ac:dyDescent="0.25">
      <c r="A114" t="s">
        <v>294</v>
      </c>
      <c r="B114" t="s">
        <v>295</v>
      </c>
      <c r="C114" t="s">
        <v>37</v>
      </c>
      <c r="D114" t="s">
        <v>47</v>
      </c>
      <c r="E114" t="s">
        <v>48</v>
      </c>
      <c r="F114" t="s">
        <v>22</v>
      </c>
      <c r="G114" t="s">
        <v>41</v>
      </c>
      <c r="H114" t="s">
        <v>34</v>
      </c>
      <c r="I114">
        <v>2</v>
      </c>
      <c r="J114">
        <v>821983</v>
      </c>
      <c r="K114">
        <v>12</v>
      </c>
      <c r="L114">
        <v>1446690.08</v>
      </c>
      <c r="M114" t="s">
        <v>42</v>
      </c>
      <c r="N114" t="s">
        <v>69</v>
      </c>
      <c r="O114" t="s">
        <v>44</v>
      </c>
      <c r="P114" t="s">
        <v>42</v>
      </c>
    </row>
    <row r="115" spans="1:16" x14ac:dyDescent="0.25">
      <c r="A115" t="s">
        <v>296</v>
      </c>
      <c r="B115" t="s">
        <v>297</v>
      </c>
      <c r="C115" t="s">
        <v>198</v>
      </c>
      <c r="D115" t="s">
        <v>51</v>
      </c>
      <c r="E115" t="s">
        <v>48</v>
      </c>
      <c r="F115" t="s">
        <v>22</v>
      </c>
      <c r="G115" t="s">
        <v>52</v>
      </c>
      <c r="H115" t="s">
        <v>24</v>
      </c>
      <c r="I115">
        <v>3</v>
      </c>
      <c r="J115">
        <v>798025</v>
      </c>
      <c r="K115">
        <v>12</v>
      </c>
      <c r="L115">
        <v>2106786</v>
      </c>
      <c r="M115" t="s">
        <v>42</v>
      </c>
      <c r="N115" t="s">
        <v>69</v>
      </c>
      <c r="O115" t="s">
        <v>44</v>
      </c>
      <c r="P115" t="s">
        <v>55</v>
      </c>
    </row>
    <row r="116" spans="1:16" x14ac:dyDescent="0.25">
      <c r="A116" t="s">
        <v>298</v>
      </c>
      <c r="B116" t="s">
        <v>299</v>
      </c>
      <c r="C116" t="s">
        <v>79</v>
      </c>
      <c r="D116" t="s">
        <v>38</v>
      </c>
      <c r="E116" t="s">
        <v>39</v>
      </c>
      <c r="F116" t="s">
        <v>40</v>
      </c>
      <c r="G116" t="s">
        <v>33</v>
      </c>
      <c r="H116" t="s">
        <v>53</v>
      </c>
      <c r="I116">
        <v>3</v>
      </c>
      <c r="J116">
        <v>275399</v>
      </c>
      <c r="K116">
        <v>12</v>
      </c>
      <c r="L116">
        <v>727053.36</v>
      </c>
      <c r="M116" t="s">
        <v>25</v>
      </c>
      <c r="N116" t="s">
        <v>26</v>
      </c>
      <c r="O116" t="s">
        <v>27</v>
      </c>
      <c r="P116" t="s">
        <v>55</v>
      </c>
    </row>
    <row r="117" spans="1:16" x14ac:dyDescent="0.25">
      <c r="A117" t="s">
        <v>300</v>
      </c>
      <c r="B117" t="s">
        <v>301</v>
      </c>
      <c r="C117" t="s">
        <v>37</v>
      </c>
      <c r="D117" t="s">
        <v>47</v>
      </c>
      <c r="E117" t="s">
        <v>48</v>
      </c>
      <c r="F117" t="s">
        <v>22</v>
      </c>
      <c r="G117" t="s">
        <v>73</v>
      </c>
      <c r="H117" t="s">
        <v>53</v>
      </c>
      <c r="I117">
        <v>5</v>
      </c>
      <c r="J117">
        <v>341478</v>
      </c>
      <c r="K117">
        <v>12</v>
      </c>
      <c r="L117">
        <v>1502503.2</v>
      </c>
      <c r="M117" t="s">
        <v>54</v>
      </c>
      <c r="N117" t="s">
        <v>26</v>
      </c>
      <c r="O117" t="s">
        <v>44</v>
      </c>
      <c r="P117" t="s">
        <v>26</v>
      </c>
    </row>
    <row r="118" spans="1:16" x14ac:dyDescent="0.25">
      <c r="A118" t="s">
        <v>302</v>
      </c>
      <c r="B118" t="s">
        <v>303</v>
      </c>
      <c r="C118" t="s">
        <v>79</v>
      </c>
      <c r="D118" t="s">
        <v>119</v>
      </c>
      <c r="E118" t="s">
        <v>21</v>
      </c>
      <c r="F118" t="s">
        <v>22</v>
      </c>
      <c r="G118" t="s">
        <v>41</v>
      </c>
      <c r="H118" t="s">
        <v>34</v>
      </c>
      <c r="I118">
        <v>5</v>
      </c>
      <c r="J118">
        <v>465071</v>
      </c>
      <c r="K118">
        <v>7</v>
      </c>
      <c r="L118">
        <v>2162580.15</v>
      </c>
      <c r="M118" t="s">
        <v>25</v>
      </c>
      <c r="N118" t="s">
        <v>26</v>
      </c>
      <c r="O118" t="s">
        <v>27</v>
      </c>
      <c r="P118" t="s">
        <v>26</v>
      </c>
    </row>
    <row r="119" spans="1:16" x14ac:dyDescent="0.25">
      <c r="A119" t="s">
        <v>304</v>
      </c>
      <c r="B119" t="s">
        <v>305</v>
      </c>
      <c r="C119" t="s">
        <v>37</v>
      </c>
      <c r="D119" t="s">
        <v>20</v>
      </c>
      <c r="E119" t="s">
        <v>21</v>
      </c>
      <c r="F119" t="s">
        <v>22</v>
      </c>
      <c r="G119" t="s">
        <v>62</v>
      </c>
      <c r="H119" t="s">
        <v>58</v>
      </c>
      <c r="I119">
        <v>7</v>
      </c>
      <c r="J119">
        <v>627405</v>
      </c>
      <c r="M119" t="s">
        <v>54</v>
      </c>
      <c r="N119" t="s">
        <v>69</v>
      </c>
      <c r="O119" t="s">
        <v>27</v>
      </c>
      <c r="P119" t="s">
        <v>42</v>
      </c>
    </row>
    <row r="120" spans="1:16" x14ac:dyDescent="0.25">
      <c r="A120" t="s">
        <v>306</v>
      </c>
      <c r="B120" t="s">
        <v>307</v>
      </c>
      <c r="C120" t="s">
        <v>79</v>
      </c>
      <c r="D120" t="s">
        <v>66</v>
      </c>
      <c r="E120" t="s">
        <v>67</v>
      </c>
      <c r="F120" t="s">
        <v>68</v>
      </c>
      <c r="G120" t="s">
        <v>52</v>
      </c>
      <c r="H120" t="s">
        <v>34</v>
      </c>
      <c r="I120">
        <v>1</v>
      </c>
      <c r="J120">
        <v>130049</v>
      </c>
      <c r="K120">
        <v>10</v>
      </c>
      <c r="L120">
        <v>117044.1</v>
      </c>
      <c r="M120" t="s">
        <v>54</v>
      </c>
      <c r="N120" t="s">
        <v>69</v>
      </c>
      <c r="O120" t="s">
        <v>27</v>
      </c>
      <c r="P120" t="s">
        <v>55</v>
      </c>
    </row>
    <row r="121" spans="1:16" x14ac:dyDescent="0.25">
      <c r="A121" t="s">
        <v>308</v>
      </c>
      <c r="B121" t="s">
        <v>309</v>
      </c>
      <c r="C121" t="s">
        <v>37</v>
      </c>
      <c r="D121" t="s">
        <v>66</v>
      </c>
      <c r="E121" t="s">
        <v>67</v>
      </c>
      <c r="F121" t="s">
        <v>68</v>
      </c>
      <c r="G121" t="s">
        <v>52</v>
      </c>
      <c r="H121" t="s">
        <v>58</v>
      </c>
      <c r="I121">
        <v>1</v>
      </c>
      <c r="J121">
        <v>875064</v>
      </c>
      <c r="K121">
        <v>5</v>
      </c>
      <c r="L121">
        <v>831310.79999999993</v>
      </c>
      <c r="M121" t="s">
        <v>25</v>
      </c>
      <c r="N121" t="s">
        <v>69</v>
      </c>
      <c r="O121" t="s">
        <v>44</v>
      </c>
      <c r="P121" t="s">
        <v>42</v>
      </c>
    </row>
    <row r="122" spans="1:16" x14ac:dyDescent="0.25">
      <c r="A122" t="s">
        <v>310</v>
      </c>
      <c r="B122" t="s">
        <v>311</v>
      </c>
      <c r="C122" t="s">
        <v>198</v>
      </c>
      <c r="D122" t="s">
        <v>30</v>
      </c>
      <c r="E122" t="s">
        <v>31</v>
      </c>
      <c r="F122" t="s">
        <v>32</v>
      </c>
      <c r="G122" t="s">
        <v>33</v>
      </c>
      <c r="H122" t="s">
        <v>24</v>
      </c>
      <c r="I122">
        <v>8</v>
      </c>
      <c r="J122">
        <v>493144</v>
      </c>
      <c r="K122">
        <v>10</v>
      </c>
      <c r="L122">
        <v>3550636.8</v>
      </c>
      <c r="M122" t="s">
        <v>54</v>
      </c>
      <c r="N122" t="s">
        <v>43</v>
      </c>
      <c r="O122" t="s">
        <v>27</v>
      </c>
      <c r="P122" t="s">
        <v>55</v>
      </c>
    </row>
    <row r="123" spans="1:16" x14ac:dyDescent="0.25">
      <c r="A123" t="s">
        <v>312</v>
      </c>
      <c r="B123" t="s">
        <v>313</v>
      </c>
      <c r="C123" t="s">
        <v>37</v>
      </c>
      <c r="D123" t="s">
        <v>47</v>
      </c>
      <c r="E123" t="s">
        <v>48</v>
      </c>
      <c r="F123" t="s">
        <v>22</v>
      </c>
      <c r="G123" t="s">
        <v>41</v>
      </c>
      <c r="H123" t="s">
        <v>86</v>
      </c>
      <c r="I123">
        <v>6</v>
      </c>
      <c r="J123">
        <v>693771</v>
      </c>
      <c r="K123">
        <v>5</v>
      </c>
      <c r="L123">
        <v>3954494.7</v>
      </c>
      <c r="M123" t="s">
        <v>54</v>
      </c>
      <c r="N123" t="s">
        <v>26</v>
      </c>
      <c r="O123" t="s">
        <v>44</v>
      </c>
      <c r="P123" t="s">
        <v>55</v>
      </c>
    </row>
    <row r="124" spans="1:16" x14ac:dyDescent="0.25">
      <c r="A124" t="s">
        <v>314</v>
      </c>
      <c r="B124" t="s">
        <v>315</v>
      </c>
      <c r="C124" t="s">
        <v>85</v>
      </c>
      <c r="D124" t="s">
        <v>30</v>
      </c>
      <c r="E124" t="s">
        <v>31</v>
      </c>
      <c r="F124" t="s">
        <v>32</v>
      </c>
      <c r="G124" t="s">
        <v>41</v>
      </c>
      <c r="H124" t="s">
        <v>24</v>
      </c>
      <c r="I124">
        <v>1</v>
      </c>
      <c r="J124">
        <v>535232</v>
      </c>
      <c r="K124">
        <v>5</v>
      </c>
      <c r="L124">
        <v>508470.4</v>
      </c>
      <c r="M124" t="s">
        <v>42</v>
      </c>
      <c r="N124" t="s">
        <v>69</v>
      </c>
      <c r="O124" t="s">
        <v>44</v>
      </c>
      <c r="P124" t="s">
        <v>55</v>
      </c>
    </row>
    <row r="125" spans="1:16" x14ac:dyDescent="0.25">
      <c r="A125" t="s">
        <v>316</v>
      </c>
      <c r="B125" t="s">
        <v>317</v>
      </c>
      <c r="C125" t="s">
        <v>79</v>
      </c>
      <c r="D125" t="s">
        <v>47</v>
      </c>
      <c r="E125" t="s">
        <v>48</v>
      </c>
      <c r="F125" t="s">
        <v>22</v>
      </c>
      <c r="G125" t="s">
        <v>73</v>
      </c>
      <c r="H125" t="s">
        <v>53</v>
      </c>
      <c r="I125">
        <v>5</v>
      </c>
      <c r="J125">
        <v>740850</v>
      </c>
      <c r="K125">
        <v>10</v>
      </c>
      <c r="L125">
        <v>3333825</v>
      </c>
      <c r="M125" t="s">
        <v>42</v>
      </c>
      <c r="N125" t="s">
        <v>26</v>
      </c>
      <c r="O125" t="s">
        <v>27</v>
      </c>
      <c r="P125" t="s">
        <v>26</v>
      </c>
    </row>
    <row r="126" spans="1:16" x14ac:dyDescent="0.25">
      <c r="A126" t="s">
        <v>318</v>
      </c>
      <c r="B126" t="s">
        <v>319</v>
      </c>
      <c r="C126" t="s">
        <v>37</v>
      </c>
      <c r="D126" t="s">
        <v>47</v>
      </c>
      <c r="E126" t="s">
        <v>48</v>
      </c>
      <c r="F126" t="s">
        <v>22</v>
      </c>
      <c r="G126" t="s">
        <v>73</v>
      </c>
      <c r="H126" t="s">
        <v>24</v>
      </c>
      <c r="I126">
        <v>4</v>
      </c>
      <c r="J126">
        <v>620378</v>
      </c>
      <c r="K126">
        <v>5</v>
      </c>
      <c r="L126">
        <v>2357436.4</v>
      </c>
      <c r="M126" t="s">
        <v>25</v>
      </c>
      <c r="N126" t="s">
        <v>69</v>
      </c>
      <c r="O126" t="s">
        <v>27</v>
      </c>
      <c r="P126" t="s">
        <v>42</v>
      </c>
    </row>
    <row r="127" spans="1:16" x14ac:dyDescent="0.25">
      <c r="A127" t="s">
        <v>320</v>
      </c>
      <c r="B127" t="s">
        <v>321</v>
      </c>
      <c r="C127" t="s">
        <v>37</v>
      </c>
      <c r="D127" t="s">
        <v>129</v>
      </c>
      <c r="E127" t="s">
        <v>39</v>
      </c>
      <c r="F127" t="s">
        <v>40</v>
      </c>
      <c r="G127" t="s">
        <v>73</v>
      </c>
      <c r="H127" t="s">
        <v>24</v>
      </c>
      <c r="I127">
        <v>2</v>
      </c>
      <c r="J127">
        <v>448402</v>
      </c>
      <c r="K127">
        <v>0</v>
      </c>
      <c r="L127">
        <v>896804</v>
      </c>
      <c r="M127" t="s">
        <v>54</v>
      </c>
      <c r="N127" t="s">
        <v>69</v>
      </c>
      <c r="O127" t="s">
        <v>44</v>
      </c>
      <c r="P127" t="s">
        <v>26</v>
      </c>
    </row>
    <row r="128" spans="1:16" x14ac:dyDescent="0.25">
      <c r="A128" t="s">
        <v>322</v>
      </c>
      <c r="B128" t="s">
        <v>323</v>
      </c>
      <c r="C128" t="s">
        <v>85</v>
      </c>
      <c r="D128" t="s">
        <v>20</v>
      </c>
      <c r="E128" t="s">
        <v>21</v>
      </c>
      <c r="F128" t="s">
        <v>22</v>
      </c>
      <c r="G128" t="s">
        <v>73</v>
      </c>
      <c r="H128" t="s">
        <v>53</v>
      </c>
      <c r="I128">
        <v>7</v>
      </c>
      <c r="J128">
        <v>204374</v>
      </c>
      <c r="K128">
        <v>12</v>
      </c>
      <c r="L128">
        <v>1258943.8400000001</v>
      </c>
      <c r="M128" t="s">
        <v>54</v>
      </c>
      <c r="N128" t="s">
        <v>43</v>
      </c>
      <c r="O128" t="s">
        <v>27</v>
      </c>
      <c r="P128" t="s">
        <v>55</v>
      </c>
    </row>
    <row r="129" spans="1:16" x14ac:dyDescent="0.25">
      <c r="A129" t="s">
        <v>324</v>
      </c>
      <c r="B129" t="s">
        <v>325</v>
      </c>
      <c r="C129" t="s">
        <v>99</v>
      </c>
      <c r="D129" t="s">
        <v>66</v>
      </c>
      <c r="E129" t="s">
        <v>67</v>
      </c>
      <c r="F129" t="s">
        <v>68</v>
      </c>
      <c r="G129" t="s">
        <v>135</v>
      </c>
      <c r="H129" t="s">
        <v>53</v>
      </c>
      <c r="I129">
        <v>5</v>
      </c>
      <c r="J129">
        <v>288705</v>
      </c>
      <c r="K129">
        <v>5</v>
      </c>
      <c r="L129">
        <v>1371348.75</v>
      </c>
      <c r="M129" t="s">
        <v>42</v>
      </c>
      <c r="N129" t="s">
        <v>43</v>
      </c>
      <c r="O129" t="s">
        <v>27</v>
      </c>
      <c r="P129" t="s">
        <v>26</v>
      </c>
    </row>
    <row r="130" spans="1:16" x14ac:dyDescent="0.25">
      <c r="A130" t="s">
        <v>326</v>
      </c>
      <c r="B130" t="s">
        <v>327</v>
      </c>
      <c r="C130" t="s">
        <v>61</v>
      </c>
      <c r="D130" t="s">
        <v>66</v>
      </c>
      <c r="E130" t="s">
        <v>67</v>
      </c>
      <c r="F130" t="s">
        <v>68</v>
      </c>
      <c r="G130" t="s">
        <v>135</v>
      </c>
      <c r="H130" t="s">
        <v>53</v>
      </c>
      <c r="I130">
        <v>3</v>
      </c>
      <c r="J130">
        <v>880839</v>
      </c>
      <c r="K130">
        <v>2</v>
      </c>
      <c r="L130">
        <v>2589666.66</v>
      </c>
      <c r="M130" t="s">
        <v>54</v>
      </c>
      <c r="N130" t="s">
        <v>43</v>
      </c>
      <c r="O130" t="s">
        <v>27</v>
      </c>
      <c r="P130" t="s">
        <v>55</v>
      </c>
    </row>
    <row r="131" spans="1:16" x14ac:dyDescent="0.25">
      <c r="A131" t="s">
        <v>328</v>
      </c>
      <c r="B131" t="s">
        <v>329</v>
      </c>
      <c r="C131" t="s">
        <v>91</v>
      </c>
      <c r="D131" t="s">
        <v>20</v>
      </c>
      <c r="E131" t="s">
        <v>21</v>
      </c>
      <c r="F131" t="s">
        <v>22</v>
      </c>
      <c r="G131" t="s">
        <v>33</v>
      </c>
      <c r="H131" t="s">
        <v>58</v>
      </c>
      <c r="I131">
        <v>2</v>
      </c>
      <c r="J131">
        <v>115561</v>
      </c>
      <c r="K131">
        <v>12</v>
      </c>
      <c r="L131">
        <v>203387.36</v>
      </c>
      <c r="M131" t="s">
        <v>42</v>
      </c>
      <c r="N131" t="s">
        <v>26</v>
      </c>
      <c r="O131" t="s">
        <v>44</v>
      </c>
      <c r="P131" t="s">
        <v>26</v>
      </c>
    </row>
    <row r="132" spans="1:16" x14ac:dyDescent="0.25">
      <c r="A132" t="s">
        <v>330</v>
      </c>
      <c r="B132" t="s">
        <v>331</v>
      </c>
      <c r="C132" t="s">
        <v>85</v>
      </c>
      <c r="D132" t="s">
        <v>47</v>
      </c>
      <c r="E132" t="s">
        <v>48</v>
      </c>
      <c r="F132" t="s">
        <v>22</v>
      </c>
      <c r="G132" t="s">
        <v>62</v>
      </c>
      <c r="H132" t="s">
        <v>86</v>
      </c>
      <c r="I132">
        <v>8</v>
      </c>
      <c r="J132">
        <v>359954</v>
      </c>
      <c r="K132">
        <v>10</v>
      </c>
      <c r="L132">
        <v>2591668.7999999998</v>
      </c>
      <c r="M132" t="s">
        <v>54</v>
      </c>
      <c r="N132" t="s">
        <v>43</v>
      </c>
      <c r="O132" t="s">
        <v>44</v>
      </c>
      <c r="P132" t="s">
        <v>42</v>
      </c>
    </row>
    <row r="133" spans="1:16" x14ac:dyDescent="0.25">
      <c r="A133" t="s">
        <v>332</v>
      </c>
      <c r="B133" t="s">
        <v>333</v>
      </c>
      <c r="C133" t="s">
        <v>37</v>
      </c>
      <c r="D133" t="s">
        <v>47</v>
      </c>
      <c r="E133" t="s">
        <v>72</v>
      </c>
      <c r="F133" t="s">
        <v>22</v>
      </c>
      <c r="G133" t="s">
        <v>52</v>
      </c>
      <c r="H133" t="s">
        <v>86</v>
      </c>
      <c r="J133">
        <v>669206</v>
      </c>
      <c r="K133">
        <v>0</v>
      </c>
      <c r="M133" t="s">
        <v>25</v>
      </c>
      <c r="N133" t="s">
        <v>26</v>
      </c>
      <c r="O133" t="s">
        <v>44</v>
      </c>
      <c r="P133" t="s">
        <v>26</v>
      </c>
    </row>
    <row r="134" spans="1:16" x14ac:dyDescent="0.25">
      <c r="A134" t="s">
        <v>334</v>
      </c>
      <c r="B134" t="s">
        <v>335</v>
      </c>
      <c r="C134" t="s">
        <v>76</v>
      </c>
      <c r="D134" t="s">
        <v>106</v>
      </c>
      <c r="E134" t="s">
        <v>31</v>
      </c>
      <c r="F134" t="s">
        <v>32</v>
      </c>
      <c r="G134" t="s">
        <v>62</v>
      </c>
      <c r="H134" t="s">
        <v>34</v>
      </c>
      <c r="I134">
        <v>4</v>
      </c>
      <c r="J134">
        <v>281476</v>
      </c>
      <c r="K134">
        <v>0</v>
      </c>
      <c r="L134">
        <v>1125904</v>
      </c>
      <c r="M134" t="s">
        <v>54</v>
      </c>
      <c r="N134" t="s">
        <v>69</v>
      </c>
      <c r="O134" t="s">
        <v>44</v>
      </c>
      <c r="P134" t="s">
        <v>42</v>
      </c>
    </row>
    <row r="135" spans="1:16" x14ac:dyDescent="0.25">
      <c r="A135" t="s">
        <v>336</v>
      </c>
      <c r="B135" t="s">
        <v>337</v>
      </c>
      <c r="C135" t="s">
        <v>91</v>
      </c>
      <c r="D135" t="s">
        <v>20</v>
      </c>
      <c r="E135" t="s">
        <v>189</v>
      </c>
      <c r="F135" t="s">
        <v>22</v>
      </c>
      <c r="G135" t="s">
        <v>89</v>
      </c>
      <c r="H135" t="s">
        <v>34</v>
      </c>
      <c r="J135">
        <v>213484</v>
      </c>
      <c r="K135">
        <v>0</v>
      </c>
      <c r="M135" t="s">
        <v>54</v>
      </c>
      <c r="N135" t="s">
        <v>69</v>
      </c>
      <c r="O135" t="s">
        <v>27</v>
      </c>
      <c r="P135" t="s">
        <v>26</v>
      </c>
    </row>
    <row r="136" spans="1:16" x14ac:dyDescent="0.25">
      <c r="A136" t="s">
        <v>338</v>
      </c>
      <c r="B136" t="s">
        <v>339</v>
      </c>
      <c r="C136" t="s">
        <v>37</v>
      </c>
      <c r="D136" t="s">
        <v>47</v>
      </c>
      <c r="E136" t="s">
        <v>48</v>
      </c>
      <c r="F136" t="s">
        <v>22</v>
      </c>
      <c r="G136" t="s">
        <v>135</v>
      </c>
      <c r="H136" t="s">
        <v>86</v>
      </c>
      <c r="I136">
        <v>8</v>
      </c>
      <c r="J136">
        <v>352004</v>
      </c>
      <c r="K136">
        <v>5</v>
      </c>
      <c r="L136">
        <v>2675230.4</v>
      </c>
      <c r="M136" t="s">
        <v>54</v>
      </c>
      <c r="N136" t="s">
        <v>43</v>
      </c>
      <c r="O136" t="s">
        <v>44</v>
      </c>
      <c r="P136" t="s">
        <v>26</v>
      </c>
    </row>
    <row r="137" spans="1:16" x14ac:dyDescent="0.25">
      <c r="A137" t="s">
        <v>340</v>
      </c>
      <c r="B137" t="s">
        <v>341</v>
      </c>
      <c r="C137" t="s">
        <v>198</v>
      </c>
      <c r="D137" t="s">
        <v>30</v>
      </c>
      <c r="E137" t="s">
        <v>31</v>
      </c>
      <c r="F137" t="s">
        <v>32</v>
      </c>
      <c r="G137" t="s">
        <v>135</v>
      </c>
      <c r="H137" t="s">
        <v>86</v>
      </c>
      <c r="I137">
        <v>6</v>
      </c>
      <c r="J137">
        <v>148730</v>
      </c>
      <c r="K137">
        <v>0</v>
      </c>
      <c r="L137">
        <v>892380</v>
      </c>
      <c r="M137" t="s">
        <v>42</v>
      </c>
      <c r="N137" t="s">
        <v>69</v>
      </c>
      <c r="O137" t="s">
        <v>27</v>
      </c>
      <c r="P137" t="s">
        <v>55</v>
      </c>
    </row>
    <row r="138" spans="1:16" x14ac:dyDescent="0.25">
      <c r="A138" t="s">
        <v>342</v>
      </c>
      <c r="B138" t="s">
        <v>343</v>
      </c>
      <c r="C138" t="s">
        <v>65</v>
      </c>
      <c r="D138" t="s">
        <v>38</v>
      </c>
      <c r="E138" t="s">
        <v>39</v>
      </c>
      <c r="F138" t="s">
        <v>40</v>
      </c>
      <c r="G138" t="s">
        <v>62</v>
      </c>
      <c r="H138" t="s">
        <v>34</v>
      </c>
      <c r="I138">
        <v>6</v>
      </c>
      <c r="J138">
        <v>843696</v>
      </c>
      <c r="K138">
        <v>10</v>
      </c>
      <c r="L138">
        <v>4555958.4000000004</v>
      </c>
      <c r="M138" t="s">
        <v>54</v>
      </c>
      <c r="N138" t="s">
        <v>43</v>
      </c>
      <c r="O138" t="s">
        <v>27</v>
      </c>
      <c r="P138" t="s">
        <v>55</v>
      </c>
    </row>
    <row r="139" spans="1:16" x14ac:dyDescent="0.25">
      <c r="A139" t="s">
        <v>344</v>
      </c>
      <c r="B139" t="s">
        <v>345</v>
      </c>
      <c r="C139" t="s">
        <v>76</v>
      </c>
      <c r="D139" t="s">
        <v>119</v>
      </c>
      <c r="E139" t="s">
        <v>21</v>
      </c>
      <c r="F139" t="s">
        <v>22</v>
      </c>
      <c r="G139" t="s">
        <v>62</v>
      </c>
      <c r="H139" t="s">
        <v>53</v>
      </c>
      <c r="I139">
        <v>1</v>
      </c>
      <c r="J139">
        <v>200488</v>
      </c>
      <c r="K139">
        <v>5</v>
      </c>
      <c r="L139">
        <v>190463.6</v>
      </c>
      <c r="M139" t="s">
        <v>54</v>
      </c>
      <c r="N139" t="s">
        <v>43</v>
      </c>
      <c r="O139" t="s">
        <v>44</v>
      </c>
      <c r="P139" t="s">
        <v>26</v>
      </c>
    </row>
    <row r="140" spans="1:16" x14ac:dyDescent="0.25">
      <c r="A140" t="s">
        <v>346</v>
      </c>
      <c r="B140" t="s">
        <v>347</v>
      </c>
      <c r="C140" t="s">
        <v>65</v>
      </c>
      <c r="D140" t="s">
        <v>20</v>
      </c>
      <c r="E140" t="s">
        <v>21</v>
      </c>
      <c r="F140" t="s">
        <v>22</v>
      </c>
      <c r="G140" t="s">
        <v>73</v>
      </c>
      <c r="H140" t="s">
        <v>58</v>
      </c>
      <c r="I140">
        <v>3</v>
      </c>
      <c r="J140">
        <v>618174</v>
      </c>
      <c r="K140">
        <v>7</v>
      </c>
      <c r="L140">
        <v>1724705.46</v>
      </c>
      <c r="M140" t="s">
        <v>42</v>
      </c>
      <c r="N140" t="s">
        <v>26</v>
      </c>
      <c r="O140" t="s">
        <v>27</v>
      </c>
      <c r="P140" t="s">
        <v>42</v>
      </c>
    </row>
    <row r="141" spans="1:16" x14ac:dyDescent="0.25">
      <c r="A141" t="s">
        <v>348</v>
      </c>
      <c r="B141" t="s">
        <v>349</v>
      </c>
      <c r="C141" t="s">
        <v>76</v>
      </c>
      <c r="D141" t="s">
        <v>30</v>
      </c>
      <c r="E141" t="s">
        <v>31</v>
      </c>
      <c r="F141" t="s">
        <v>32</v>
      </c>
      <c r="G141" t="s">
        <v>73</v>
      </c>
      <c r="H141" t="s">
        <v>24</v>
      </c>
      <c r="I141">
        <v>6</v>
      </c>
      <c r="J141">
        <v>253106</v>
      </c>
      <c r="K141">
        <v>5</v>
      </c>
      <c r="L141">
        <v>1442704.2</v>
      </c>
      <c r="M141" t="s">
        <v>42</v>
      </c>
      <c r="N141" t="s">
        <v>69</v>
      </c>
      <c r="O141" t="s">
        <v>44</v>
      </c>
      <c r="P141" t="s">
        <v>26</v>
      </c>
    </row>
    <row r="142" spans="1:16" x14ac:dyDescent="0.25">
      <c r="A142" t="s">
        <v>350</v>
      </c>
      <c r="B142" t="s">
        <v>351</v>
      </c>
      <c r="C142" t="s">
        <v>91</v>
      </c>
      <c r="D142" t="s">
        <v>47</v>
      </c>
      <c r="E142" t="s">
        <v>48</v>
      </c>
      <c r="F142" t="s">
        <v>22</v>
      </c>
      <c r="G142" t="s">
        <v>62</v>
      </c>
      <c r="H142" t="s">
        <v>53</v>
      </c>
      <c r="I142">
        <v>4</v>
      </c>
      <c r="J142">
        <v>579418</v>
      </c>
      <c r="K142">
        <v>2</v>
      </c>
      <c r="L142">
        <v>2271318.56</v>
      </c>
      <c r="M142" t="s">
        <v>54</v>
      </c>
      <c r="N142" t="s">
        <v>26</v>
      </c>
      <c r="O142" t="s">
        <v>44</v>
      </c>
      <c r="P142" t="s">
        <v>55</v>
      </c>
    </row>
    <row r="143" spans="1:16" x14ac:dyDescent="0.25">
      <c r="A143" t="s">
        <v>352</v>
      </c>
      <c r="B143" t="s">
        <v>60</v>
      </c>
      <c r="C143" t="s">
        <v>19</v>
      </c>
      <c r="D143" t="s">
        <v>30</v>
      </c>
      <c r="E143" t="s">
        <v>142</v>
      </c>
      <c r="F143" t="s">
        <v>32</v>
      </c>
      <c r="G143" t="s">
        <v>41</v>
      </c>
      <c r="H143" t="s">
        <v>24</v>
      </c>
      <c r="I143">
        <v>2</v>
      </c>
      <c r="J143">
        <v>629796</v>
      </c>
      <c r="K143">
        <v>10</v>
      </c>
      <c r="L143">
        <v>1133632.8</v>
      </c>
      <c r="M143" t="s">
        <v>25</v>
      </c>
      <c r="N143" t="s">
        <v>26</v>
      </c>
      <c r="O143" t="s">
        <v>27</v>
      </c>
      <c r="P143" t="s">
        <v>26</v>
      </c>
    </row>
    <row r="144" spans="1:16" x14ac:dyDescent="0.25">
      <c r="A144" t="s">
        <v>353</v>
      </c>
      <c r="B144" t="s">
        <v>354</v>
      </c>
      <c r="C144" t="s">
        <v>85</v>
      </c>
      <c r="D144" t="s">
        <v>154</v>
      </c>
      <c r="E144" t="s">
        <v>67</v>
      </c>
      <c r="F144" t="s">
        <v>68</v>
      </c>
      <c r="G144" t="s">
        <v>52</v>
      </c>
      <c r="H144" t="s">
        <v>58</v>
      </c>
      <c r="I144">
        <v>7</v>
      </c>
      <c r="J144">
        <v>715073</v>
      </c>
      <c r="K144">
        <v>12</v>
      </c>
      <c r="L144">
        <v>4404849.68</v>
      </c>
      <c r="M144" t="s">
        <v>42</v>
      </c>
      <c r="N144" t="s">
        <v>43</v>
      </c>
      <c r="O144" t="s">
        <v>27</v>
      </c>
      <c r="P144" t="s">
        <v>55</v>
      </c>
    </row>
    <row r="145" spans="1:16" x14ac:dyDescent="0.25">
      <c r="A145" t="s">
        <v>355</v>
      </c>
      <c r="B145" t="s">
        <v>356</v>
      </c>
      <c r="C145" t="s">
        <v>85</v>
      </c>
      <c r="D145" t="s">
        <v>66</v>
      </c>
      <c r="E145" t="s">
        <v>67</v>
      </c>
      <c r="F145" t="s">
        <v>68</v>
      </c>
      <c r="G145" t="s">
        <v>124</v>
      </c>
      <c r="H145" t="s">
        <v>24</v>
      </c>
      <c r="I145">
        <v>1</v>
      </c>
      <c r="J145">
        <v>152656</v>
      </c>
      <c r="K145">
        <v>7</v>
      </c>
      <c r="L145">
        <v>141970.07999999999</v>
      </c>
      <c r="M145" t="s">
        <v>42</v>
      </c>
      <c r="N145" t="s">
        <v>26</v>
      </c>
      <c r="O145" t="s">
        <v>44</v>
      </c>
      <c r="P145" t="s">
        <v>42</v>
      </c>
    </row>
    <row r="146" spans="1:16" x14ac:dyDescent="0.25">
      <c r="A146" t="s">
        <v>357</v>
      </c>
      <c r="B146" t="s">
        <v>358</v>
      </c>
      <c r="C146" t="s">
        <v>65</v>
      </c>
      <c r="D146" t="s">
        <v>47</v>
      </c>
      <c r="E146" t="s">
        <v>48</v>
      </c>
      <c r="F146" t="s">
        <v>22</v>
      </c>
      <c r="G146" t="s">
        <v>73</v>
      </c>
      <c r="H146" t="s">
        <v>86</v>
      </c>
      <c r="I146">
        <v>7</v>
      </c>
      <c r="J146">
        <v>695570</v>
      </c>
      <c r="K146">
        <v>10</v>
      </c>
      <c r="L146">
        <v>4382091</v>
      </c>
      <c r="M146" t="s">
        <v>25</v>
      </c>
      <c r="N146" t="s">
        <v>26</v>
      </c>
      <c r="O146" t="s">
        <v>44</v>
      </c>
      <c r="P146" t="s">
        <v>42</v>
      </c>
    </row>
    <row r="147" spans="1:16" x14ac:dyDescent="0.25">
      <c r="A147" t="s">
        <v>359</v>
      </c>
      <c r="B147" t="s">
        <v>360</v>
      </c>
      <c r="C147" t="s">
        <v>65</v>
      </c>
      <c r="D147" t="s">
        <v>47</v>
      </c>
      <c r="E147" t="s">
        <v>48</v>
      </c>
      <c r="F147" t="s">
        <v>22</v>
      </c>
      <c r="G147" t="s">
        <v>52</v>
      </c>
      <c r="H147" t="s">
        <v>24</v>
      </c>
      <c r="I147">
        <v>3</v>
      </c>
      <c r="J147">
        <v>193437</v>
      </c>
      <c r="K147">
        <v>7</v>
      </c>
      <c r="L147">
        <v>539689.23</v>
      </c>
      <c r="M147" t="s">
        <v>42</v>
      </c>
      <c r="N147" t="s">
        <v>69</v>
      </c>
      <c r="O147" t="s">
        <v>44</v>
      </c>
      <c r="P147" t="s">
        <v>26</v>
      </c>
    </row>
    <row r="148" spans="1:16" x14ac:dyDescent="0.25">
      <c r="A148" t="s">
        <v>361</v>
      </c>
      <c r="B148" t="s">
        <v>362</v>
      </c>
      <c r="C148" t="s">
        <v>91</v>
      </c>
      <c r="D148" t="s">
        <v>66</v>
      </c>
      <c r="E148" t="s">
        <v>67</v>
      </c>
      <c r="F148" t="s">
        <v>68</v>
      </c>
      <c r="G148" t="s">
        <v>52</v>
      </c>
      <c r="H148" t="s">
        <v>58</v>
      </c>
      <c r="I148">
        <v>4</v>
      </c>
      <c r="J148">
        <v>217139</v>
      </c>
      <c r="K148">
        <v>12</v>
      </c>
      <c r="L148">
        <v>764329.28</v>
      </c>
      <c r="M148" t="s">
        <v>42</v>
      </c>
      <c r="N148" t="s">
        <v>69</v>
      </c>
      <c r="O148" t="s">
        <v>27</v>
      </c>
      <c r="P148" t="s">
        <v>55</v>
      </c>
    </row>
    <row r="149" spans="1:16" x14ac:dyDescent="0.25">
      <c r="A149" t="s">
        <v>363</v>
      </c>
      <c r="B149" t="s">
        <v>364</v>
      </c>
      <c r="C149" t="s">
        <v>85</v>
      </c>
      <c r="D149" t="s">
        <v>47</v>
      </c>
      <c r="E149" t="s">
        <v>48</v>
      </c>
      <c r="F149" t="s">
        <v>22</v>
      </c>
      <c r="G149" t="s">
        <v>52</v>
      </c>
      <c r="H149" t="s">
        <v>58</v>
      </c>
      <c r="I149">
        <v>3</v>
      </c>
      <c r="J149">
        <v>649830</v>
      </c>
      <c r="K149">
        <v>12</v>
      </c>
      <c r="L149">
        <v>1715551.2</v>
      </c>
      <c r="M149" t="s">
        <v>54</v>
      </c>
      <c r="N149" t="s">
        <v>26</v>
      </c>
      <c r="O149" t="s">
        <v>44</v>
      </c>
      <c r="P149" t="s">
        <v>26</v>
      </c>
    </row>
    <row r="150" spans="1:16" x14ac:dyDescent="0.25">
      <c r="A150" t="s">
        <v>365</v>
      </c>
      <c r="B150" t="s">
        <v>366</v>
      </c>
      <c r="C150" t="s">
        <v>65</v>
      </c>
      <c r="D150" t="s">
        <v>38</v>
      </c>
      <c r="E150" t="s">
        <v>39</v>
      </c>
      <c r="F150" t="s">
        <v>40</v>
      </c>
      <c r="G150" t="s">
        <v>62</v>
      </c>
      <c r="H150" t="s">
        <v>53</v>
      </c>
      <c r="I150">
        <v>6</v>
      </c>
      <c r="J150">
        <v>521408</v>
      </c>
      <c r="K150">
        <v>0</v>
      </c>
      <c r="L150">
        <v>3128448</v>
      </c>
      <c r="M150" t="s">
        <v>25</v>
      </c>
      <c r="N150" t="s">
        <v>26</v>
      </c>
      <c r="O150" t="s">
        <v>27</v>
      </c>
      <c r="P150" t="s">
        <v>42</v>
      </c>
    </row>
    <row r="151" spans="1:16" x14ac:dyDescent="0.25">
      <c r="A151" t="s">
        <v>367</v>
      </c>
      <c r="B151" t="s">
        <v>368</v>
      </c>
      <c r="C151" t="s">
        <v>37</v>
      </c>
      <c r="D151" t="s">
        <v>66</v>
      </c>
      <c r="E151" t="s">
        <v>67</v>
      </c>
      <c r="F151" t="s">
        <v>68</v>
      </c>
      <c r="G151" t="s">
        <v>135</v>
      </c>
      <c r="H151" t="s">
        <v>58</v>
      </c>
      <c r="I151">
        <v>4</v>
      </c>
      <c r="J151">
        <v>898539</v>
      </c>
      <c r="K151">
        <v>7</v>
      </c>
      <c r="L151">
        <v>3342565.08</v>
      </c>
      <c r="M151" t="s">
        <v>42</v>
      </c>
      <c r="N151" t="s">
        <v>43</v>
      </c>
      <c r="O151" t="s">
        <v>44</v>
      </c>
      <c r="P151" t="s">
        <v>55</v>
      </c>
    </row>
    <row r="152" spans="1:16" x14ac:dyDescent="0.25">
      <c r="A152" t="s">
        <v>369</v>
      </c>
      <c r="B152" t="s">
        <v>370</v>
      </c>
      <c r="C152" t="s">
        <v>65</v>
      </c>
      <c r="D152" t="s">
        <v>106</v>
      </c>
      <c r="E152" t="s">
        <v>31</v>
      </c>
      <c r="F152" t="s">
        <v>32</v>
      </c>
      <c r="G152" t="s">
        <v>41</v>
      </c>
      <c r="H152" t="s">
        <v>86</v>
      </c>
      <c r="I152">
        <v>1</v>
      </c>
      <c r="J152">
        <v>383637</v>
      </c>
      <c r="K152">
        <v>2</v>
      </c>
      <c r="L152">
        <v>375964.26</v>
      </c>
      <c r="M152" t="s">
        <v>54</v>
      </c>
      <c r="N152" t="s">
        <v>69</v>
      </c>
      <c r="O152" t="s">
        <v>27</v>
      </c>
      <c r="P152" t="s">
        <v>55</v>
      </c>
    </row>
    <row r="153" spans="1:16" x14ac:dyDescent="0.25">
      <c r="A153" t="s">
        <v>371</v>
      </c>
      <c r="B153" t="s">
        <v>372</v>
      </c>
      <c r="C153" t="s">
        <v>85</v>
      </c>
      <c r="D153" t="s">
        <v>38</v>
      </c>
      <c r="E153" t="s">
        <v>39</v>
      </c>
      <c r="F153" t="s">
        <v>40</v>
      </c>
      <c r="G153" t="s">
        <v>62</v>
      </c>
      <c r="H153" t="s">
        <v>53</v>
      </c>
      <c r="I153">
        <v>3</v>
      </c>
      <c r="J153">
        <v>83777</v>
      </c>
      <c r="K153">
        <v>7</v>
      </c>
      <c r="L153">
        <v>233737.83</v>
      </c>
      <c r="M153" t="s">
        <v>42</v>
      </c>
      <c r="N153" t="s">
        <v>69</v>
      </c>
      <c r="O153" t="s">
        <v>44</v>
      </c>
      <c r="P153" t="s">
        <v>42</v>
      </c>
    </row>
    <row r="154" spans="1:16" x14ac:dyDescent="0.25">
      <c r="A154" t="s">
        <v>373</v>
      </c>
      <c r="B154" t="s">
        <v>374</v>
      </c>
      <c r="C154" t="s">
        <v>76</v>
      </c>
      <c r="D154" t="s">
        <v>38</v>
      </c>
      <c r="E154" t="s">
        <v>39</v>
      </c>
      <c r="F154" t="s">
        <v>40</v>
      </c>
      <c r="G154" t="s">
        <v>41</v>
      </c>
      <c r="H154" t="s">
        <v>24</v>
      </c>
      <c r="I154">
        <v>6</v>
      </c>
      <c r="J154">
        <v>818583</v>
      </c>
      <c r="K154">
        <v>10</v>
      </c>
      <c r="L154">
        <v>4420348.2</v>
      </c>
      <c r="M154" t="s">
        <v>42</v>
      </c>
      <c r="N154" t="s">
        <v>69</v>
      </c>
      <c r="O154" t="s">
        <v>27</v>
      </c>
      <c r="P154" t="s">
        <v>55</v>
      </c>
    </row>
    <row r="155" spans="1:16" x14ac:dyDescent="0.25">
      <c r="A155" t="s">
        <v>375</v>
      </c>
      <c r="B155" t="s">
        <v>376</v>
      </c>
      <c r="C155" t="s">
        <v>76</v>
      </c>
      <c r="D155" t="s">
        <v>20</v>
      </c>
      <c r="E155" t="s">
        <v>21</v>
      </c>
      <c r="F155" t="s">
        <v>22</v>
      </c>
      <c r="G155" t="s">
        <v>62</v>
      </c>
      <c r="H155" t="s">
        <v>58</v>
      </c>
      <c r="I155">
        <v>8</v>
      </c>
      <c r="J155">
        <v>98867</v>
      </c>
      <c r="M155" t="s">
        <v>25</v>
      </c>
      <c r="N155" t="s">
        <v>43</v>
      </c>
      <c r="O155" t="s">
        <v>27</v>
      </c>
      <c r="P155" t="s">
        <v>26</v>
      </c>
    </row>
    <row r="156" spans="1:16" x14ac:dyDescent="0.25">
      <c r="A156" t="s">
        <v>377</v>
      </c>
      <c r="B156" t="s">
        <v>378</v>
      </c>
      <c r="C156" t="s">
        <v>76</v>
      </c>
      <c r="D156" t="s">
        <v>47</v>
      </c>
      <c r="E156" t="s">
        <v>48</v>
      </c>
      <c r="F156" t="s">
        <v>22</v>
      </c>
      <c r="G156" t="s">
        <v>41</v>
      </c>
      <c r="H156" t="s">
        <v>58</v>
      </c>
      <c r="I156">
        <v>4</v>
      </c>
      <c r="J156">
        <v>752299</v>
      </c>
      <c r="K156">
        <v>0</v>
      </c>
      <c r="L156">
        <v>3009196</v>
      </c>
      <c r="M156" t="s">
        <v>42</v>
      </c>
      <c r="N156" t="s">
        <v>26</v>
      </c>
      <c r="O156" t="s">
        <v>27</v>
      </c>
      <c r="P156" t="s">
        <v>42</v>
      </c>
    </row>
    <row r="157" spans="1:16" x14ac:dyDescent="0.25">
      <c r="A157" t="s">
        <v>379</v>
      </c>
      <c r="B157" t="s">
        <v>380</v>
      </c>
      <c r="C157" t="s">
        <v>65</v>
      </c>
      <c r="D157" t="s">
        <v>66</v>
      </c>
      <c r="E157" t="s">
        <v>67</v>
      </c>
      <c r="F157" t="s">
        <v>68</v>
      </c>
      <c r="G157" t="s">
        <v>23</v>
      </c>
      <c r="H157" t="s">
        <v>53</v>
      </c>
      <c r="I157">
        <v>2</v>
      </c>
      <c r="J157">
        <v>177474</v>
      </c>
      <c r="M157" t="s">
        <v>54</v>
      </c>
      <c r="N157" t="s">
        <v>26</v>
      </c>
      <c r="O157" t="s">
        <v>27</v>
      </c>
      <c r="P157" t="s">
        <v>42</v>
      </c>
    </row>
    <row r="158" spans="1:16" x14ac:dyDescent="0.25">
      <c r="A158" t="s">
        <v>381</v>
      </c>
      <c r="B158" t="s">
        <v>382</v>
      </c>
      <c r="C158" t="s">
        <v>76</v>
      </c>
      <c r="D158" t="s">
        <v>47</v>
      </c>
      <c r="E158" t="s">
        <v>48</v>
      </c>
      <c r="F158" t="s">
        <v>22</v>
      </c>
      <c r="G158" t="s">
        <v>135</v>
      </c>
      <c r="H158" t="s">
        <v>24</v>
      </c>
      <c r="I158">
        <v>2</v>
      </c>
      <c r="J158">
        <v>175255</v>
      </c>
      <c r="K158">
        <v>12</v>
      </c>
      <c r="L158">
        <v>308448.8</v>
      </c>
      <c r="M158" t="s">
        <v>25</v>
      </c>
      <c r="N158" t="s">
        <v>69</v>
      </c>
      <c r="O158" t="s">
        <v>27</v>
      </c>
      <c r="P158" t="s">
        <v>26</v>
      </c>
    </row>
    <row r="159" spans="1:16" x14ac:dyDescent="0.25">
      <c r="A159" t="s">
        <v>383</v>
      </c>
      <c r="B159" t="s">
        <v>384</v>
      </c>
      <c r="C159" t="s">
        <v>37</v>
      </c>
      <c r="D159" t="s">
        <v>47</v>
      </c>
      <c r="E159" t="s">
        <v>48</v>
      </c>
      <c r="F159" t="s">
        <v>22</v>
      </c>
      <c r="G159" t="s">
        <v>73</v>
      </c>
      <c r="H159" t="s">
        <v>53</v>
      </c>
      <c r="I159">
        <v>6</v>
      </c>
      <c r="J159">
        <v>621324</v>
      </c>
      <c r="K159">
        <v>5</v>
      </c>
      <c r="L159">
        <v>3541546.8</v>
      </c>
      <c r="M159" t="s">
        <v>54</v>
      </c>
      <c r="N159" t="s">
        <v>69</v>
      </c>
      <c r="O159" t="s">
        <v>27</v>
      </c>
      <c r="P159" t="s">
        <v>42</v>
      </c>
    </row>
    <row r="160" spans="1:16" x14ac:dyDescent="0.25">
      <c r="A160" t="s">
        <v>385</v>
      </c>
      <c r="B160" t="s">
        <v>266</v>
      </c>
      <c r="C160" t="s">
        <v>65</v>
      </c>
      <c r="D160" t="s">
        <v>30</v>
      </c>
      <c r="E160" t="s">
        <v>31</v>
      </c>
      <c r="F160" t="s">
        <v>32</v>
      </c>
      <c r="G160" t="s">
        <v>41</v>
      </c>
      <c r="H160" t="s">
        <v>58</v>
      </c>
      <c r="I160">
        <v>5</v>
      </c>
      <c r="J160">
        <v>401357</v>
      </c>
      <c r="K160">
        <v>10</v>
      </c>
      <c r="L160">
        <v>1806106.5</v>
      </c>
      <c r="M160" t="s">
        <v>25</v>
      </c>
      <c r="N160" t="s">
        <v>69</v>
      </c>
      <c r="O160" t="s">
        <v>44</v>
      </c>
      <c r="P160" t="s">
        <v>26</v>
      </c>
    </row>
    <row r="161" spans="1:16" x14ac:dyDescent="0.25">
      <c r="A161" t="s">
        <v>386</v>
      </c>
      <c r="B161" t="s">
        <v>387</v>
      </c>
      <c r="C161" t="s">
        <v>85</v>
      </c>
      <c r="D161" t="s">
        <v>30</v>
      </c>
      <c r="E161" t="s">
        <v>31</v>
      </c>
      <c r="F161" t="s">
        <v>32</v>
      </c>
      <c r="G161" t="s">
        <v>62</v>
      </c>
      <c r="H161" t="s">
        <v>58</v>
      </c>
      <c r="I161">
        <v>4</v>
      </c>
      <c r="J161">
        <v>177542</v>
      </c>
      <c r="K161">
        <v>12</v>
      </c>
      <c r="L161">
        <v>624947.84</v>
      </c>
      <c r="M161" t="s">
        <v>25</v>
      </c>
      <c r="N161" t="s">
        <v>43</v>
      </c>
      <c r="O161" t="s">
        <v>27</v>
      </c>
      <c r="P161" t="s">
        <v>55</v>
      </c>
    </row>
    <row r="162" spans="1:16" x14ac:dyDescent="0.25">
      <c r="A162" t="s">
        <v>388</v>
      </c>
      <c r="B162" t="s">
        <v>389</v>
      </c>
      <c r="C162" t="s">
        <v>76</v>
      </c>
      <c r="D162" t="s">
        <v>20</v>
      </c>
      <c r="E162" t="s">
        <v>21</v>
      </c>
      <c r="F162" t="s">
        <v>22</v>
      </c>
      <c r="G162" t="s">
        <v>33</v>
      </c>
      <c r="H162" t="s">
        <v>86</v>
      </c>
      <c r="I162">
        <v>6</v>
      </c>
      <c r="J162">
        <v>682346</v>
      </c>
      <c r="K162">
        <v>7</v>
      </c>
      <c r="L162">
        <v>3807490.68</v>
      </c>
      <c r="M162" t="s">
        <v>54</v>
      </c>
      <c r="N162" t="s">
        <v>43</v>
      </c>
      <c r="O162" t="s">
        <v>27</v>
      </c>
      <c r="P162" t="s">
        <v>55</v>
      </c>
    </row>
    <row r="163" spans="1:16" x14ac:dyDescent="0.25">
      <c r="A163" t="s">
        <v>390</v>
      </c>
      <c r="B163" t="s">
        <v>391</v>
      </c>
      <c r="C163" t="s">
        <v>65</v>
      </c>
      <c r="D163" t="s">
        <v>38</v>
      </c>
      <c r="E163" t="s">
        <v>130</v>
      </c>
      <c r="F163" t="s">
        <v>40</v>
      </c>
      <c r="G163" t="s">
        <v>135</v>
      </c>
      <c r="H163" t="s">
        <v>24</v>
      </c>
      <c r="I163">
        <v>2</v>
      </c>
      <c r="J163">
        <v>685783</v>
      </c>
      <c r="K163">
        <v>10</v>
      </c>
      <c r="L163">
        <v>1234409.3999999999</v>
      </c>
      <c r="M163" t="s">
        <v>54</v>
      </c>
      <c r="N163" t="s">
        <v>69</v>
      </c>
      <c r="O163" t="s">
        <v>44</v>
      </c>
      <c r="P163" t="s">
        <v>55</v>
      </c>
    </row>
    <row r="164" spans="1:16" x14ac:dyDescent="0.25">
      <c r="A164" t="s">
        <v>392</v>
      </c>
      <c r="B164" t="s">
        <v>393</v>
      </c>
      <c r="C164" t="s">
        <v>19</v>
      </c>
      <c r="D164" t="s">
        <v>38</v>
      </c>
      <c r="E164" t="s">
        <v>39</v>
      </c>
      <c r="F164" t="s">
        <v>40</v>
      </c>
      <c r="G164" t="s">
        <v>62</v>
      </c>
      <c r="H164" t="s">
        <v>24</v>
      </c>
      <c r="I164">
        <v>4</v>
      </c>
      <c r="J164">
        <v>267219</v>
      </c>
      <c r="K164">
        <v>12</v>
      </c>
      <c r="L164">
        <v>940610.88</v>
      </c>
      <c r="M164" t="s">
        <v>42</v>
      </c>
      <c r="N164" t="s">
        <v>26</v>
      </c>
      <c r="O164" t="s">
        <v>27</v>
      </c>
      <c r="P164" t="s">
        <v>26</v>
      </c>
    </row>
    <row r="165" spans="1:16" x14ac:dyDescent="0.25">
      <c r="A165" t="s">
        <v>394</v>
      </c>
      <c r="B165" t="s">
        <v>395</v>
      </c>
      <c r="C165" t="s">
        <v>198</v>
      </c>
      <c r="D165" t="s">
        <v>47</v>
      </c>
      <c r="E165" t="s">
        <v>48</v>
      </c>
      <c r="F165" t="s">
        <v>22</v>
      </c>
      <c r="G165" t="s">
        <v>62</v>
      </c>
      <c r="H165" t="s">
        <v>24</v>
      </c>
      <c r="I165">
        <v>3</v>
      </c>
      <c r="J165">
        <v>219751</v>
      </c>
      <c r="K165">
        <v>0</v>
      </c>
      <c r="L165">
        <v>659253</v>
      </c>
      <c r="M165" t="s">
        <v>42</v>
      </c>
      <c r="N165" t="s">
        <v>26</v>
      </c>
      <c r="O165" t="s">
        <v>27</v>
      </c>
      <c r="P165" t="s">
        <v>26</v>
      </c>
    </row>
    <row r="166" spans="1:16" x14ac:dyDescent="0.25">
      <c r="A166" t="s">
        <v>396</v>
      </c>
      <c r="B166" t="s">
        <v>397</v>
      </c>
      <c r="C166" t="s">
        <v>65</v>
      </c>
      <c r="D166" t="s">
        <v>119</v>
      </c>
      <c r="E166" t="s">
        <v>21</v>
      </c>
      <c r="F166" t="s">
        <v>22</v>
      </c>
      <c r="G166" t="s">
        <v>62</v>
      </c>
      <c r="H166" t="s">
        <v>58</v>
      </c>
      <c r="I166">
        <v>6</v>
      </c>
      <c r="J166">
        <v>452836</v>
      </c>
      <c r="K166">
        <v>7</v>
      </c>
      <c r="L166">
        <v>2526824.88</v>
      </c>
      <c r="M166" t="s">
        <v>25</v>
      </c>
      <c r="N166" t="s">
        <v>69</v>
      </c>
      <c r="O166" t="s">
        <v>27</v>
      </c>
      <c r="P166" t="s">
        <v>55</v>
      </c>
    </row>
    <row r="167" spans="1:16" x14ac:dyDescent="0.25">
      <c r="A167" t="s">
        <v>398</v>
      </c>
      <c r="B167" t="s">
        <v>399</v>
      </c>
      <c r="C167" t="s">
        <v>19</v>
      </c>
      <c r="D167" t="s">
        <v>51</v>
      </c>
      <c r="E167" t="s">
        <v>48</v>
      </c>
      <c r="F167" t="s">
        <v>22</v>
      </c>
      <c r="G167" t="s">
        <v>124</v>
      </c>
      <c r="H167" t="s">
        <v>24</v>
      </c>
      <c r="I167">
        <v>4</v>
      </c>
      <c r="J167">
        <v>485480</v>
      </c>
      <c r="K167">
        <v>5</v>
      </c>
      <c r="L167">
        <v>1844824</v>
      </c>
      <c r="M167" t="s">
        <v>42</v>
      </c>
      <c r="N167" t="s">
        <v>43</v>
      </c>
      <c r="O167" t="s">
        <v>27</v>
      </c>
      <c r="P167" t="s">
        <v>26</v>
      </c>
    </row>
    <row r="168" spans="1:16" x14ac:dyDescent="0.25">
      <c r="A168" t="s">
        <v>400</v>
      </c>
      <c r="B168" t="s">
        <v>401</v>
      </c>
      <c r="C168" t="s">
        <v>65</v>
      </c>
      <c r="D168" t="s">
        <v>66</v>
      </c>
      <c r="E168" t="s">
        <v>201</v>
      </c>
      <c r="F168" t="s">
        <v>68</v>
      </c>
      <c r="G168" t="s">
        <v>52</v>
      </c>
      <c r="H168" t="s">
        <v>58</v>
      </c>
      <c r="I168">
        <v>3</v>
      </c>
      <c r="J168">
        <v>471957</v>
      </c>
      <c r="K168">
        <v>5</v>
      </c>
      <c r="L168">
        <v>1345077.45</v>
      </c>
      <c r="M168" t="s">
        <v>54</v>
      </c>
      <c r="N168" t="s">
        <v>69</v>
      </c>
      <c r="O168" t="s">
        <v>44</v>
      </c>
      <c r="P168" t="s">
        <v>26</v>
      </c>
    </row>
    <row r="169" spans="1:16" x14ac:dyDescent="0.25">
      <c r="A169" t="s">
        <v>402</v>
      </c>
      <c r="B169" t="s">
        <v>272</v>
      </c>
      <c r="C169" t="s">
        <v>76</v>
      </c>
      <c r="D169" t="s">
        <v>154</v>
      </c>
      <c r="E169" t="s">
        <v>67</v>
      </c>
      <c r="F169" t="s">
        <v>68</v>
      </c>
      <c r="G169" t="s">
        <v>41</v>
      </c>
      <c r="H169" t="s">
        <v>53</v>
      </c>
      <c r="I169">
        <v>8</v>
      </c>
      <c r="J169">
        <v>878285</v>
      </c>
      <c r="K169">
        <v>7</v>
      </c>
      <c r="L169">
        <v>6534440.3999999994</v>
      </c>
      <c r="M169" t="s">
        <v>42</v>
      </c>
      <c r="N169" t="s">
        <v>43</v>
      </c>
      <c r="O169" t="s">
        <v>44</v>
      </c>
      <c r="P169" t="s">
        <v>26</v>
      </c>
    </row>
    <row r="170" spans="1:16" x14ac:dyDescent="0.25">
      <c r="A170" t="s">
        <v>403</v>
      </c>
      <c r="B170" t="s">
        <v>404</v>
      </c>
      <c r="C170" t="s">
        <v>79</v>
      </c>
      <c r="D170" t="s">
        <v>38</v>
      </c>
      <c r="E170" t="s">
        <v>39</v>
      </c>
      <c r="F170" t="s">
        <v>40</v>
      </c>
      <c r="G170" t="s">
        <v>124</v>
      </c>
      <c r="H170" t="s">
        <v>58</v>
      </c>
      <c r="I170">
        <v>4</v>
      </c>
      <c r="J170">
        <v>657524</v>
      </c>
      <c r="K170">
        <v>5</v>
      </c>
      <c r="L170">
        <v>2498591.2000000002</v>
      </c>
      <c r="M170" t="s">
        <v>42</v>
      </c>
      <c r="N170" t="s">
        <v>43</v>
      </c>
      <c r="O170" t="s">
        <v>44</v>
      </c>
      <c r="P170" t="s">
        <v>55</v>
      </c>
    </row>
    <row r="171" spans="1:16" x14ac:dyDescent="0.25">
      <c r="A171" t="s">
        <v>405</v>
      </c>
      <c r="B171" t="s">
        <v>406</v>
      </c>
      <c r="C171" t="s">
        <v>85</v>
      </c>
      <c r="D171" t="s">
        <v>154</v>
      </c>
      <c r="E171" t="s">
        <v>67</v>
      </c>
      <c r="F171" t="s">
        <v>68</v>
      </c>
      <c r="G171" t="s">
        <v>89</v>
      </c>
      <c r="H171" t="s">
        <v>53</v>
      </c>
      <c r="I171">
        <v>5</v>
      </c>
      <c r="J171">
        <v>861732</v>
      </c>
      <c r="K171">
        <v>2</v>
      </c>
      <c r="L171">
        <v>4222486.8</v>
      </c>
      <c r="M171" t="s">
        <v>25</v>
      </c>
      <c r="N171" t="s">
        <v>26</v>
      </c>
      <c r="O171" t="s">
        <v>44</v>
      </c>
      <c r="P171" t="s">
        <v>55</v>
      </c>
    </row>
    <row r="172" spans="1:16" x14ac:dyDescent="0.25">
      <c r="A172" t="s">
        <v>407</v>
      </c>
      <c r="B172" t="s">
        <v>319</v>
      </c>
      <c r="C172" t="s">
        <v>85</v>
      </c>
      <c r="D172" t="s">
        <v>30</v>
      </c>
      <c r="E172" t="s">
        <v>31</v>
      </c>
      <c r="F172" t="s">
        <v>32</v>
      </c>
      <c r="G172" t="s">
        <v>33</v>
      </c>
      <c r="H172" t="s">
        <v>24</v>
      </c>
      <c r="I172">
        <v>7</v>
      </c>
      <c r="J172">
        <v>431444</v>
      </c>
      <c r="K172">
        <v>2</v>
      </c>
      <c r="L172">
        <v>2959705.84</v>
      </c>
      <c r="M172" t="s">
        <v>25</v>
      </c>
      <c r="N172" t="s">
        <v>43</v>
      </c>
      <c r="O172" t="s">
        <v>44</v>
      </c>
      <c r="P172" t="s">
        <v>55</v>
      </c>
    </row>
    <row r="173" spans="1:16" x14ac:dyDescent="0.25">
      <c r="A173" t="s">
        <v>408</v>
      </c>
      <c r="B173" t="s">
        <v>409</v>
      </c>
      <c r="C173" t="s">
        <v>79</v>
      </c>
      <c r="D173" t="s">
        <v>30</v>
      </c>
      <c r="E173" t="s">
        <v>31</v>
      </c>
      <c r="F173" t="s">
        <v>32</v>
      </c>
      <c r="G173" t="s">
        <v>33</v>
      </c>
      <c r="H173" t="s">
        <v>34</v>
      </c>
      <c r="I173">
        <v>1</v>
      </c>
      <c r="J173">
        <v>781237</v>
      </c>
      <c r="K173">
        <v>0</v>
      </c>
      <c r="L173">
        <v>781237</v>
      </c>
      <c r="M173" t="s">
        <v>42</v>
      </c>
      <c r="N173" t="s">
        <v>43</v>
      </c>
      <c r="O173" t="s">
        <v>27</v>
      </c>
      <c r="P173" t="s">
        <v>26</v>
      </c>
    </row>
    <row r="174" spans="1:16" x14ac:dyDescent="0.25">
      <c r="A174" t="s">
        <v>410</v>
      </c>
      <c r="B174" t="s">
        <v>411</v>
      </c>
      <c r="C174" t="s">
        <v>19</v>
      </c>
      <c r="D174" t="s">
        <v>30</v>
      </c>
      <c r="E174" t="s">
        <v>31</v>
      </c>
      <c r="F174" t="s">
        <v>32</v>
      </c>
      <c r="G174" t="s">
        <v>52</v>
      </c>
      <c r="H174" t="s">
        <v>53</v>
      </c>
      <c r="I174">
        <v>1</v>
      </c>
      <c r="J174">
        <v>477881</v>
      </c>
      <c r="K174">
        <v>5</v>
      </c>
      <c r="L174">
        <v>453986.95</v>
      </c>
      <c r="M174" t="s">
        <v>42</v>
      </c>
      <c r="N174" t="s">
        <v>26</v>
      </c>
      <c r="O174" t="s">
        <v>44</v>
      </c>
      <c r="P174" t="s">
        <v>42</v>
      </c>
    </row>
    <row r="175" spans="1:16" x14ac:dyDescent="0.25">
      <c r="A175" t="s">
        <v>412</v>
      </c>
      <c r="B175" t="s">
        <v>413</v>
      </c>
      <c r="C175" t="s">
        <v>61</v>
      </c>
      <c r="D175" t="s">
        <v>51</v>
      </c>
      <c r="E175" t="s">
        <v>48</v>
      </c>
      <c r="F175" t="s">
        <v>22</v>
      </c>
      <c r="G175" t="s">
        <v>33</v>
      </c>
      <c r="H175" t="s">
        <v>24</v>
      </c>
      <c r="I175">
        <v>1</v>
      </c>
      <c r="J175">
        <v>592548</v>
      </c>
      <c r="K175">
        <v>10</v>
      </c>
      <c r="L175">
        <v>533293.20000000007</v>
      </c>
      <c r="M175" t="s">
        <v>25</v>
      </c>
      <c r="N175" t="s">
        <v>69</v>
      </c>
      <c r="O175" t="s">
        <v>27</v>
      </c>
      <c r="P175" t="s">
        <v>42</v>
      </c>
    </row>
    <row r="176" spans="1:16" x14ac:dyDescent="0.25">
      <c r="A176" t="s">
        <v>414</v>
      </c>
      <c r="B176" t="s">
        <v>415</v>
      </c>
      <c r="C176" t="s">
        <v>91</v>
      </c>
      <c r="D176" t="s">
        <v>38</v>
      </c>
      <c r="E176" t="s">
        <v>39</v>
      </c>
      <c r="F176" t="s">
        <v>40</v>
      </c>
      <c r="G176" t="s">
        <v>62</v>
      </c>
      <c r="H176" t="s">
        <v>58</v>
      </c>
      <c r="I176">
        <v>6</v>
      </c>
      <c r="J176">
        <v>618828</v>
      </c>
      <c r="K176">
        <v>2</v>
      </c>
      <c r="L176">
        <v>3638708.64</v>
      </c>
      <c r="M176" t="s">
        <v>25</v>
      </c>
      <c r="N176" t="s">
        <v>69</v>
      </c>
      <c r="O176" t="s">
        <v>44</v>
      </c>
      <c r="P176" t="s">
        <v>42</v>
      </c>
    </row>
    <row r="177" spans="1:16" x14ac:dyDescent="0.25">
      <c r="A177" t="s">
        <v>416</v>
      </c>
      <c r="B177" t="s">
        <v>417</v>
      </c>
      <c r="C177" t="s">
        <v>99</v>
      </c>
      <c r="D177" t="s">
        <v>66</v>
      </c>
      <c r="E177" t="s">
        <v>201</v>
      </c>
      <c r="F177" t="s">
        <v>68</v>
      </c>
      <c r="G177" t="s">
        <v>62</v>
      </c>
      <c r="H177" t="s">
        <v>53</v>
      </c>
      <c r="I177">
        <v>5</v>
      </c>
      <c r="J177">
        <v>235104</v>
      </c>
      <c r="K177">
        <v>10</v>
      </c>
      <c r="L177">
        <v>1057968</v>
      </c>
      <c r="M177" t="s">
        <v>54</v>
      </c>
      <c r="N177" t="s">
        <v>69</v>
      </c>
      <c r="O177" t="s">
        <v>27</v>
      </c>
      <c r="P177" t="s">
        <v>26</v>
      </c>
    </row>
    <row r="178" spans="1:16" x14ac:dyDescent="0.25">
      <c r="A178" t="s">
        <v>418</v>
      </c>
      <c r="B178" t="s">
        <v>419</v>
      </c>
      <c r="C178" t="s">
        <v>76</v>
      </c>
      <c r="D178" t="s">
        <v>66</v>
      </c>
      <c r="E178" t="s">
        <v>67</v>
      </c>
      <c r="F178" t="s">
        <v>68</v>
      </c>
      <c r="G178" t="s">
        <v>23</v>
      </c>
      <c r="H178" t="s">
        <v>86</v>
      </c>
      <c r="I178">
        <v>5</v>
      </c>
      <c r="J178">
        <v>279132</v>
      </c>
      <c r="K178">
        <v>10</v>
      </c>
      <c r="L178">
        <v>1256094</v>
      </c>
      <c r="M178" t="s">
        <v>42</v>
      </c>
      <c r="N178" t="s">
        <v>43</v>
      </c>
      <c r="O178" t="s">
        <v>44</v>
      </c>
      <c r="P178" t="s">
        <v>55</v>
      </c>
    </row>
    <row r="179" spans="1:16" x14ac:dyDescent="0.25">
      <c r="A179" t="s">
        <v>420</v>
      </c>
      <c r="B179" t="s">
        <v>421</v>
      </c>
      <c r="C179" t="s">
        <v>19</v>
      </c>
      <c r="D179" t="s">
        <v>30</v>
      </c>
      <c r="E179" t="s">
        <v>31</v>
      </c>
      <c r="F179" t="s">
        <v>32</v>
      </c>
      <c r="G179" t="s">
        <v>62</v>
      </c>
      <c r="H179" t="s">
        <v>53</v>
      </c>
      <c r="I179">
        <v>4</v>
      </c>
      <c r="J179">
        <v>845154</v>
      </c>
      <c r="K179">
        <v>0</v>
      </c>
      <c r="L179">
        <v>3380616</v>
      </c>
      <c r="M179" t="s">
        <v>42</v>
      </c>
      <c r="N179" t="s">
        <v>69</v>
      </c>
      <c r="O179" t="s">
        <v>44</v>
      </c>
      <c r="P179" t="s">
        <v>55</v>
      </c>
    </row>
    <row r="180" spans="1:16" x14ac:dyDescent="0.25">
      <c r="A180" t="s">
        <v>422</v>
      </c>
      <c r="B180" t="s">
        <v>423</v>
      </c>
      <c r="C180" t="s">
        <v>61</v>
      </c>
      <c r="D180" t="s">
        <v>20</v>
      </c>
      <c r="E180" t="s">
        <v>21</v>
      </c>
      <c r="F180" t="s">
        <v>22</v>
      </c>
      <c r="G180" t="s">
        <v>33</v>
      </c>
      <c r="H180" t="s">
        <v>53</v>
      </c>
      <c r="I180">
        <v>1</v>
      </c>
      <c r="J180">
        <v>762543</v>
      </c>
      <c r="K180">
        <v>12</v>
      </c>
      <c r="L180">
        <v>671037.84</v>
      </c>
      <c r="M180" t="s">
        <v>42</v>
      </c>
      <c r="N180" t="s">
        <v>43</v>
      </c>
      <c r="O180" t="s">
        <v>44</v>
      </c>
      <c r="P180" t="s">
        <v>26</v>
      </c>
    </row>
    <row r="181" spans="1:16" x14ac:dyDescent="0.25">
      <c r="A181" t="s">
        <v>424</v>
      </c>
      <c r="B181" t="s">
        <v>425</v>
      </c>
      <c r="C181" t="s">
        <v>61</v>
      </c>
      <c r="D181" t="s">
        <v>66</v>
      </c>
      <c r="E181" t="s">
        <v>67</v>
      </c>
      <c r="F181" t="s">
        <v>68</v>
      </c>
      <c r="G181" t="s">
        <v>73</v>
      </c>
      <c r="H181" t="s">
        <v>58</v>
      </c>
      <c r="J181">
        <v>114973</v>
      </c>
      <c r="K181">
        <v>12</v>
      </c>
      <c r="M181" t="s">
        <v>42</v>
      </c>
      <c r="N181" t="s">
        <v>43</v>
      </c>
      <c r="O181" t="s">
        <v>27</v>
      </c>
      <c r="P181" t="s">
        <v>42</v>
      </c>
    </row>
    <row r="182" spans="1:16" x14ac:dyDescent="0.25">
      <c r="A182" t="s">
        <v>426</v>
      </c>
      <c r="B182" t="s">
        <v>427</v>
      </c>
      <c r="C182" t="s">
        <v>76</v>
      </c>
      <c r="D182" t="s">
        <v>38</v>
      </c>
      <c r="E182" t="s">
        <v>39</v>
      </c>
      <c r="F182" t="s">
        <v>40</v>
      </c>
      <c r="G182" t="s">
        <v>62</v>
      </c>
      <c r="H182" t="s">
        <v>86</v>
      </c>
      <c r="I182">
        <v>1</v>
      </c>
      <c r="J182">
        <v>114691</v>
      </c>
      <c r="K182">
        <v>5</v>
      </c>
      <c r="L182">
        <v>108956.45</v>
      </c>
      <c r="M182" t="s">
        <v>25</v>
      </c>
      <c r="N182" t="s">
        <v>26</v>
      </c>
      <c r="O182" t="s">
        <v>27</v>
      </c>
      <c r="P182" t="s">
        <v>42</v>
      </c>
    </row>
    <row r="183" spans="1:16" x14ac:dyDescent="0.25">
      <c r="A183" t="s">
        <v>428</v>
      </c>
      <c r="B183" t="s">
        <v>429</v>
      </c>
      <c r="C183" t="s">
        <v>85</v>
      </c>
      <c r="D183" t="s">
        <v>20</v>
      </c>
      <c r="E183" t="s">
        <v>21</v>
      </c>
      <c r="F183" t="s">
        <v>22</v>
      </c>
      <c r="G183" t="s">
        <v>62</v>
      </c>
      <c r="H183" t="s">
        <v>53</v>
      </c>
      <c r="I183">
        <v>2</v>
      </c>
      <c r="J183">
        <v>542640</v>
      </c>
      <c r="M183" t="s">
        <v>42</v>
      </c>
      <c r="N183" t="s">
        <v>69</v>
      </c>
      <c r="O183" t="s">
        <v>44</v>
      </c>
      <c r="P183" t="s">
        <v>55</v>
      </c>
    </row>
    <row r="184" spans="1:16" x14ac:dyDescent="0.25">
      <c r="A184" t="s">
        <v>430</v>
      </c>
      <c r="B184" t="s">
        <v>431</v>
      </c>
      <c r="C184" t="s">
        <v>85</v>
      </c>
      <c r="D184" t="s">
        <v>66</v>
      </c>
      <c r="E184" t="s">
        <v>67</v>
      </c>
      <c r="F184" t="s">
        <v>68</v>
      </c>
      <c r="G184" t="s">
        <v>41</v>
      </c>
      <c r="H184" t="s">
        <v>58</v>
      </c>
      <c r="I184">
        <v>4</v>
      </c>
      <c r="J184">
        <v>750761</v>
      </c>
      <c r="K184">
        <v>7</v>
      </c>
      <c r="L184">
        <v>2792830.92</v>
      </c>
      <c r="M184" t="s">
        <v>25</v>
      </c>
      <c r="N184" t="s">
        <v>43</v>
      </c>
      <c r="O184" t="s">
        <v>44</v>
      </c>
      <c r="P184" t="s">
        <v>42</v>
      </c>
    </row>
    <row r="185" spans="1:16" x14ac:dyDescent="0.25">
      <c r="A185" t="s">
        <v>432</v>
      </c>
      <c r="B185" t="s">
        <v>433</v>
      </c>
      <c r="C185" t="s">
        <v>76</v>
      </c>
      <c r="D185" t="s">
        <v>51</v>
      </c>
      <c r="E185" t="s">
        <v>48</v>
      </c>
      <c r="F185" t="s">
        <v>22</v>
      </c>
      <c r="G185" t="s">
        <v>52</v>
      </c>
      <c r="H185" t="s">
        <v>58</v>
      </c>
      <c r="I185">
        <v>6</v>
      </c>
      <c r="J185">
        <v>463790</v>
      </c>
      <c r="K185">
        <v>12</v>
      </c>
      <c r="L185">
        <v>2448811.2000000002</v>
      </c>
      <c r="M185" t="s">
        <v>42</v>
      </c>
      <c r="N185" t="s">
        <v>26</v>
      </c>
      <c r="O185" t="s">
        <v>44</v>
      </c>
      <c r="P185" t="s">
        <v>55</v>
      </c>
    </row>
    <row r="186" spans="1:16" x14ac:dyDescent="0.25">
      <c r="A186" t="s">
        <v>434</v>
      </c>
      <c r="B186" t="s">
        <v>435</v>
      </c>
      <c r="C186" t="s">
        <v>76</v>
      </c>
      <c r="D186" t="s">
        <v>38</v>
      </c>
      <c r="E186" t="s">
        <v>39</v>
      </c>
      <c r="F186" t="s">
        <v>40</v>
      </c>
      <c r="G186" t="s">
        <v>41</v>
      </c>
      <c r="H186" t="s">
        <v>86</v>
      </c>
      <c r="I186">
        <v>2</v>
      </c>
      <c r="J186">
        <v>584772</v>
      </c>
      <c r="K186">
        <v>0</v>
      </c>
      <c r="L186">
        <v>1169544</v>
      </c>
      <c r="M186" t="s">
        <v>25</v>
      </c>
      <c r="N186" t="s">
        <v>26</v>
      </c>
      <c r="O186" t="s">
        <v>27</v>
      </c>
      <c r="P186" t="s">
        <v>26</v>
      </c>
    </row>
    <row r="187" spans="1:16" x14ac:dyDescent="0.25">
      <c r="A187" t="s">
        <v>436</v>
      </c>
      <c r="B187" t="s">
        <v>437</v>
      </c>
      <c r="C187" t="s">
        <v>91</v>
      </c>
      <c r="D187" t="s">
        <v>119</v>
      </c>
      <c r="E187" t="s">
        <v>21</v>
      </c>
      <c r="F187" t="s">
        <v>22</v>
      </c>
      <c r="G187" t="s">
        <v>52</v>
      </c>
      <c r="H187" t="s">
        <v>24</v>
      </c>
      <c r="I187">
        <v>7</v>
      </c>
      <c r="J187">
        <v>182637</v>
      </c>
      <c r="K187">
        <v>10</v>
      </c>
      <c r="L187">
        <v>1150613.1000000001</v>
      </c>
      <c r="M187" t="s">
        <v>25</v>
      </c>
      <c r="N187" t="s">
        <v>26</v>
      </c>
      <c r="O187" t="s">
        <v>44</v>
      </c>
      <c r="P187" t="s">
        <v>26</v>
      </c>
    </row>
    <row r="188" spans="1:16" x14ac:dyDescent="0.25">
      <c r="A188" t="s">
        <v>438</v>
      </c>
      <c r="B188" t="s">
        <v>439</v>
      </c>
      <c r="C188" t="s">
        <v>198</v>
      </c>
      <c r="D188" t="s">
        <v>30</v>
      </c>
      <c r="E188" t="s">
        <v>31</v>
      </c>
      <c r="F188" t="s">
        <v>32</v>
      </c>
      <c r="G188" t="s">
        <v>62</v>
      </c>
      <c r="H188" t="s">
        <v>34</v>
      </c>
      <c r="I188">
        <v>6</v>
      </c>
      <c r="J188">
        <v>807251</v>
      </c>
      <c r="K188">
        <v>0</v>
      </c>
      <c r="L188">
        <v>4843506</v>
      </c>
      <c r="M188" t="s">
        <v>54</v>
      </c>
      <c r="N188" t="s">
        <v>69</v>
      </c>
      <c r="O188" t="s">
        <v>27</v>
      </c>
      <c r="P188" t="s">
        <v>55</v>
      </c>
    </row>
    <row r="189" spans="1:16" x14ac:dyDescent="0.25">
      <c r="A189" t="s">
        <v>440</v>
      </c>
      <c r="B189" t="s">
        <v>441</v>
      </c>
      <c r="C189" t="s">
        <v>76</v>
      </c>
      <c r="D189" t="s">
        <v>20</v>
      </c>
      <c r="E189" t="s">
        <v>21</v>
      </c>
      <c r="F189" t="s">
        <v>22</v>
      </c>
      <c r="G189" t="s">
        <v>62</v>
      </c>
      <c r="H189" t="s">
        <v>58</v>
      </c>
      <c r="I189">
        <v>8</v>
      </c>
      <c r="J189">
        <v>203294</v>
      </c>
      <c r="K189">
        <v>10</v>
      </c>
      <c r="L189">
        <v>1463716.8</v>
      </c>
      <c r="M189" t="s">
        <v>54</v>
      </c>
      <c r="N189" t="s">
        <v>26</v>
      </c>
      <c r="O189" t="s">
        <v>44</v>
      </c>
      <c r="P189" t="s">
        <v>42</v>
      </c>
    </row>
    <row r="190" spans="1:16" x14ac:dyDescent="0.25">
      <c r="A190" t="s">
        <v>442</v>
      </c>
      <c r="B190" t="s">
        <v>443</v>
      </c>
      <c r="C190" t="s">
        <v>19</v>
      </c>
      <c r="D190" t="s">
        <v>66</v>
      </c>
      <c r="E190" t="s">
        <v>67</v>
      </c>
      <c r="F190" t="s">
        <v>68</v>
      </c>
      <c r="G190" t="s">
        <v>89</v>
      </c>
      <c r="H190" t="s">
        <v>24</v>
      </c>
      <c r="I190">
        <v>2</v>
      </c>
      <c r="J190">
        <v>233579</v>
      </c>
      <c r="K190">
        <v>2</v>
      </c>
      <c r="L190">
        <v>457814.84</v>
      </c>
      <c r="M190" t="s">
        <v>42</v>
      </c>
      <c r="N190" t="s">
        <v>26</v>
      </c>
      <c r="O190" t="s">
        <v>44</v>
      </c>
      <c r="P190" t="s">
        <v>42</v>
      </c>
    </row>
    <row r="191" spans="1:16" x14ac:dyDescent="0.25">
      <c r="A191" t="s">
        <v>444</v>
      </c>
      <c r="B191" t="s">
        <v>445</v>
      </c>
      <c r="C191" t="s">
        <v>37</v>
      </c>
      <c r="D191" t="s">
        <v>20</v>
      </c>
      <c r="E191" t="s">
        <v>21</v>
      </c>
      <c r="F191" t="s">
        <v>22</v>
      </c>
      <c r="G191" t="s">
        <v>73</v>
      </c>
      <c r="H191" t="s">
        <v>53</v>
      </c>
      <c r="I191">
        <v>1</v>
      </c>
      <c r="J191">
        <v>432778</v>
      </c>
      <c r="K191">
        <v>2</v>
      </c>
      <c r="L191">
        <v>424122.44</v>
      </c>
      <c r="M191" t="s">
        <v>25</v>
      </c>
      <c r="N191" t="s">
        <v>69</v>
      </c>
      <c r="O191" t="s">
        <v>27</v>
      </c>
      <c r="P191" t="s">
        <v>26</v>
      </c>
    </row>
    <row r="192" spans="1:16" x14ac:dyDescent="0.25">
      <c r="A192" t="s">
        <v>446</v>
      </c>
      <c r="B192" t="s">
        <v>447</v>
      </c>
      <c r="C192" t="s">
        <v>65</v>
      </c>
      <c r="D192" t="s">
        <v>38</v>
      </c>
      <c r="E192" t="s">
        <v>39</v>
      </c>
      <c r="F192" t="s">
        <v>40</v>
      </c>
      <c r="G192" t="s">
        <v>73</v>
      </c>
      <c r="H192" t="s">
        <v>24</v>
      </c>
      <c r="I192">
        <v>8</v>
      </c>
      <c r="J192">
        <v>435619</v>
      </c>
      <c r="K192">
        <v>0</v>
      </c>
      <c r="L192">
        <v>3484952</v>
      </c>
      <c r="M192" t="s">
        <v>42</v>
      </c>
      <c r="N192" t="s">
        <v>43</v>
      </c>
      <c r="O192" t="s">
        <v>44</v>
      </c>
      <c r="P192" t="s">
        <v>42</v>
      </c>
    </row>
    <row r="193" spans="1:16" x14ac:dyDescent="0.25">
      <c r="A193" t="s">
        <v>448</v>
      </c>
      <c r="B193" t="s">
        <v>449</v>
      </c>
      <c r="C193" t="s">
        <v>99</v>
      </c>
      <c r="D193" t="s">
        <v>66</v>
      </c>
      <c r="E193" t="s">
        <v>67</v>
      </c>
      <c r="F193" t="s">
        <v>68</v>
      </c>
      <c r="G193" t="s">
        <v>62</v>
      </c>
      <c r="H193" t="s">
        <v>58</v>
      </c>
      <c r="I193">
        <v>2</v>
      </c>
      <c r="J193">
        <v>609532</v>
      </c>
      <c r="K193">
        <v>7</v>
      </c>
      <c r="L193">
        <v>1133729.52</v>
      </c>
      <c r="M193" t="s">
        <v>54</v>
      </c>
      <c r="N193" t="s">
        <v>26</v>
      </c>
      <c r="O193" t="s">
        <v>44</v>
      </c>
      <c r="P193" t="s">
        <v>26</v>
      </c>
    </row>
    <row r="194" spans="1:16" x14ac:dyDescent="0.25">
      <c r="A194" t="s">
        <v>450</v>
      </c>
      <c r="B194" t="s">
        <v>451</v>
      </c>
      <c r="C194" t="s">
        <v>65</v>
      </c>
      <c r="D194" t="s">
        <v>38</v>
      </c>
      <c r="E194" t="s">
        <v>39</v>
      </c>
      <c r="F194" t="s">
        <v>40</v>
      </c>
      <c r="G194" t="s">
        <v>135</v>
      </c>
      <c r="H194" t="s">
        <v>34</v>
      </c>
      <c r="I194">
        <v>5</v>
      </c>
      <c r="J194">
        <v>348791</v>
      </c>
      <c r="K194">
        <v>0</v>
      </c>
      <c r="L194">
        <v>1743955</v>
      </c>
      <c r="M194" t="s">
        <v>42</v>
      </c>
      <c r="N194" t="s">
        <v>43</v>
      </c>
      <c r="O194" t="s">
        <v>27</v>
      </c>
      <c r="P194" t="s">
        <v>26</v>
      </c>
    </row>
    <row r="195" spans="1:16" x14ac:dyDescent="0.25">
      <c r="A195" t="s">
        <v>452</v>
      </c>
      <c r="B195" t="s">
        <v>453</v>
      </c>
      <c r="C195" t="s">
        <v>37</v>
      </c>
      <c r="D195" t="s">
        <v>20</v>
      </c>
      <c r="E195" t="s">
        <v>21</v>
      </c>
      <c r="F195" t="s">
        <v>22</v>
      </c>
      <c r="G195" t="s">
        <v>62</v>
      </c>
      <c r="H195" t="s">
        <v>53</v>
      </c>
      <c r="I195">
        <v>3</v>
      </c>
      <c r="J195">
        <v>688400</v>
      </c>
      <c r="K195">
        <v>10</v>
      </c>
      <c r="L195">
        <v>1858680</v>
      </c>
      <c r="M195" t="s">
        <v>25</v>
      </c>
      <c r="N195" t="s">
        <v>43</v>
      </c>
      <c r="O195" t="s">
        <v>27</v>
      </c>
      <c r="P195" t="s">
        <v>55</v>
      </c>
    </row>
    <row r="196" spans="1:16" x14ac:dyDescent="0.25">
      <c r="A196" t="s">
        <v>454</v>
      </c>
      <c r="B196" t="s">
        <v>455</v>
      </c>
      <c r="C196" t="s">
        <v>61</v>
      </c>
      <c r="D196" t="s">
        <v>38</v>
      </c>
      <c r="E196" t="s">
        <v>39</v>
      </c>
      <c r="F196" t="s">
        <v>40</v>
      </c>
      <c r="G196" t="s">
        <v>135</v>
      </c>
      <c r="H196" t="s">
        <v>34</v>
      </c>
      <c r="I196">
        <v>7</v>
      </c>
      <c r="J196">
        <v>77536</v>
      </c>
      <c r="K196">
        <v>7</v>
      </c>
      <c r="L196">
        <v>504759.36</v>
      </c>
      <c r="M196" t="s">
        <v>42</v>
      </c>
      <c r="N196" t="s">
        <v>26</v>
      </c>
      <c r="O196" t="s">
        <v>44</v>
      </c>
      <c r="P196" t="s">
        <v>42</v>
      </c>
    </row>
    <row r="197" spans="1:16" x14ac:dyDescent="0.25">
      <c r="A197" t="s">
        <v>456</v>
      </c>
      <c r="B197" t="s">
        <v>178</v>
      </c>
      <c r="C197" t="s">
        <v>65</v>
      </c>
      <c r="D197" t="s">
        <v>47</v>
      </c>
      <c r="E197" t="s">
        <v>72</v>
      </c>
      <c r="F197" t="s">
        <v>22</v>
      </c>
      <c r="G197" t="s">
        <v>62</v>
      </c>
      <c r="H197" t="s">
        <v>34</v>
      </c>
      <c r="I197">
        <v>2</v>
      </c>
      <c r="J197">
        <v>474469</v>
      </c>
      <c r="K197">
        <v>12</v>
      </c>
      <c r="L197">
        <v>835065.44000000006</v>
      </c>
      <c r="M197" t="s">
        <v>54</v>
      </c>
      <c r="N197" t="s">
        <v>26</v>
      </c>
      <c r="O197" t="s">
        <v>27</v>
      </c>
      <c r="P197" t="s">
        <v>26</v>
      </c>
    </row>
    <row r="198" spans="1:16" x14ac:dyDescent="0.25">
      <c r="A198" t="s">
        <v>457</v>
      </c>
      <c r="B198" t="s">
        <v>458</v>
      </c>
      <c r="C198" t="s">
        <v>85</v>
      </c>
      <c r="D198" t="s">
        <v>38</v>
      </c>
      <c r="E198" t="s">
        <v>39</v>
      </c>
      <c r="F198" t="s">
        <v>40</v>
      </c>
      <c r="G198" t="s">
        <v>94</v>
      </c>
      <c r="H198" t="s">
        <v>86</v>
      </c>
      <c r="I198">
        <v>5</v>
      </c>
      <c r="J198">
        <v>849005</v>
      </c>
      <c r="K198">
        <v>10</v>
      </c>
      <c r="L198">
        <v>3820522.5</v>
      </c>
      <c r="M198" t="s">
        <v>25</v>
      </c>
      <c r="N198" t="s">
        <v>26</v>
      </c>
      <c r="O198" t="s">
        <v>44</v>
      </c>
      <c r="P198" t="s">
        <v>42</v>
      </c>
    </row>
    <row r="199" spans="1:16" x14ac:dyDescent="0.25">
      <c r="A199" t="s">
        <v>459</v>
      </c>
      <c r="B199" t="s">
        <v>460</v>
      </c>
      <c r="C199" t="s">
        <v>76</v>
      </c>
      <c r="D199" t="s">
        <v>47</v>
      </c>
      <c r="E199" t="s">
        <v>48</v>
      </c>
      <c r="F199" t="s">
        <v>22</v>
      </c>
      <c r="G199" t="s">
        <v>94</v>
      </c>
      <c r="H199" t="s">
        <v>58</v>
      </c>
      <c r="I199">
        <v>7</v>
      </c>
      <c r="J199">
        <v>142194</v>
      </c>
      <c r="K199">
        <v>5</v>
      </c>
      <c r="L199">
        <v>945590.1</v>
      </c>
      <c r="M199" t="s">
        <v>54</v>
      </c>
      <c r="N199" t="s">
        <v>69</v>
      </c>
      <c r="O199" t="s">
        <v>44</v>
      </c>
      <c r="P199" t="s">
        <v>42</v>
      </c>
    </row>
    <row r="200" spans="1:16" x14ac:dyDescent="0.25">
      <c r="A200" t="s">
        <v>461</v>
      </c>
      <c r="B200" t="s">
        <v>462</v>
      </c>
      <c r="C200" t="s">
        <v>85</v>
      </c>
      <c r="D200" t="s">
        <v>38</v>
      </c>
      <c r="E200" t="s">
        <v>39</v>
      </c>
      <c r="F200" t="s">
        <v>40</v>
      </c>
      <c r="G200" t="s">
        <v>62</v>
      </c>
      <c r="H200" t="s">
        <v>34</v>
      </c>
      <c r="I200">
        <v>8</v>
      </c>
      <c r="J200">
        <v>115488</v>
      </c>
      <c r="K200">
        <v>5</v>
      </c>
      <c r="L200">
        <v>877708.79999999993</v>
      </c>
      <c r="M200" t="s">
        <v>42</v>
      </c>
      <c r="N200" t="s">
        <v>43</v>
      </c>
      <c r="O200" t="s">
        <v>27</v>
      </c>
      <c r="P200" t="s">
        <v>55</v>
      </c>
    </row>
    <row r="201" spans="1:16" x14ac:dyDescent="0.25">
      <c r="A201" t="s">
        <v>463</v>
      </c>
      <c r="B201" t="s">
        <v>464</v>
      </c>
      <c r="C201" t="s">
        <v>91</v>
      </c>
      <c r="D201" t="s">
        <v>47</v>
      </c>
      <c r="E201" t="s">
        <v>48</v>
      </c>
      <c r="F201" t="s">
        <v>22</v>
      </c>
      <c r="G201" t="s">
        <v>33</v>
      </c>
      <c r="H201" t="s">
        <v>86</v>
      </c>
      <c r="I201">
        <v>3</v>
      </c>
      <c r="J201">
        <v>224624</v>
      </c>
      <c r="K201">
        <v>5</v>
      </c>
      <c r="L201">
        <v>640178.4</v>
      </c>
      <c r="M201" t="s">
        <v>54</v>
      </c>
      <c r="N201" t="s">
        <v>43</v>
      </c>
      <c r="O201" t="s">
        <v>44</v>
      </c>
      <c r="P201" t="s">
        <v>42</v>
      </c>
    </row>
    <row r="202" spans="1:16" x14ac:dyDescent="0.25">
      <c r="A202" t="s">
        <v>465</v>
      </c>
      <c r="B202" t="s">
        <v>466</v>
      </c>
      <c r="C202" t="s">
        <v>76</v>
      </c>
      <c r="D202" t="s">
        <v>38</v>
      </c>
      <c r="E202" t="s">
        <v>39</v>
      </c>
      <c r="F202" t="s">
        <v>40</v>
      </c>
      <c r="G202" t="s">
        <v>41</v>
      </c>
      <c r="H202" t="s">
        <v>58</v>
      </c>
      <c r="I202">
        <v>4</v>
      </c>
      <c r="J202">
        <v>768723</v>
      </c>
      <c r="K202">
        <v>2</v>
      </c>
      <c r="L202">
        <v>3013394.16</v>
      </c>
      <c r="M202" t="s">
        <v>25</v>
      </c>
      <c r="N202" t="s">
        <v>43</v>
      </c>
      <c r="O202" t="s">
        <v>44</v>
      </c>
      <c r="P202" t="s">
        <v>42</v>
      </c>
    </row>
    <row r="203" spans="1:16" x14ac:dyDescent="0.25">
      <c r="A203" t="s">
        <v>467</v>
      </c>
      <c r="B203" t="s">
        <v>468</v>
      </c>
      <c r="C203" t="s">
        <v>99</v>
      </c>
      <c r="D203" t="s">
        <v>106</v>
      </c>
      <c r="E203" t="s">
        <v>142</v>
      </c>
      <c r="F203" t="s">
        <v>32</v>
      </c>
      <c r="G203" t="s">
        <v>135</v>
      </c>
      <c r="H203" t="s">
        <v>53</v>
      </c>
      <c r="I203">
        <v>6</v>
      </c>
      <c r="J203">
        <v>312094</v>
      </c>
      <c r="K203">
        <v>0</v>
      </c>
      <c r="L203">
        <v>1872564</v>
      </c>
      <c r="M203" t="s">
        <v>42</v>
      </c>
      <c r="N203" t="s">
        <v>26</v>
      </c>
      <c r="O203" t="s">
        <v>44</v>
      </c>
      <c r="P203" t="s">
        <v>42</v>
      </c>
    </row>
    <row r="204" spans="1:16" x14ac:dyDescent="0.25">
      <c r="A204" t="s">
        <v>469</v>
      </c>
      <c r="B204" t="s">
        <v>470</v>
      </c>
      <c r="C204" t="s">
        <v>19</v>
      </c>
      <c r="D204" t="s">
        <v>106</v>
      </c>
      <c r="E204" t="s">
        <v>31</v>
      </c>
      <c r="F204" t="s">
        <v>32</v>
      </c>
      <c r="G204" t="s">
        <v>52</v>
      </c>
      <c r="H204" t="s">
        <v>34</v>
      </c>
      <c r="I204">
        <v>2</v>
      </c>
      <c r="J204">
        <v>72133</v>
      </c>
      <c r="K204">
        <v>0</v>
      </c>
      <c r="L204">
        <v>144266</v>
      </c>
      <c r="M204" t="s">
        <v>25</v>
      </c>
      <c r="N204" t="s">
        <v>43</v>
      </c>
      <c r="O204" t="s">
        <v>27</v>
      </c>
      <c r="P204" t="s">
        <v>55</v>
      </c>
    </row>
    <row r="205" spans="1:16" x14ac:dyDescent="0.25">
      <c r="A205" t="s">
        <v>471</v>
      </c>
      <c r="B205" t="s">
        <v>472</v>
      </c>
      <c r="C205" t="s">
        <v>19</v>
      </c>
      <c r="D205" t="s">
        <v>38</v>
      </c>
      <c r="E205" t="s">
        <v>39</v>
      </c>
      <c r="F205" t="s">
        <v>40</v>
      </c>
      <c r="G205" t="s">
        <v>73</v>
      </c>
      <c r="H205" t="s">
        <v>86</v>
      </c>
      <c r="I205">
        <v>7</v>
      </c>
      <c r="J205">
        <v>305252</v>
      </c>
      <c r="K205">
        <v>10</v>
      </c>
      <c r="L205">
        <v>1923087.6</v>
      </c>
      <c r="M205" t="s">
        <v>25</v>
      </c>
      <c r="N205" t="s">
        <v>26</v>
      </c>
      <c r="O205" t="s">
        <v>44</v>
      </c>
      <c r="P205" t="s">
        <v>42</v>
      </c>
    </row>
    <row r="206" spans="1:16" x14ac:dyDescent="0.25">
      <c r="A206" t="s">
        <v>473</v>
      </c>
      <c r="B206" t="s">
        <v>474</v>
      </c>
      <c r="C206" t="s">
        <v>19</v>
      </c>
      <c r="D206" t="s">
        <v>66</v>
      </c>
      <c r="E206" t="s">
        <v>67</v>
      </c>
      <c r="F206" t="s">
        <v>68</v>
      </c>
      <c r="G206" t="s">
        <v>41</v>
      </c>
      <c r="H206" t="s">
        <v>34</v>
      </c>
      <c r="I206">
        <v>6</v>
      </c>
      <c r="J206">
        <v>103219</v>
      </c>
      <c r="K206">
        <v>5</v>
      </c>
      <c r="L206">
        <v>588348.29999999993</v>
      </c>
      <c r="M206" t="s">
        <v>42</v>
      </c>
      <c r="N206" t="s">
        <v>69</v>
      </c>
      <c r="O206" t="s">
        <v>44</v>
      </c>
      <c r="P206" t="s">
        <v>55</v>
      </c>
    </row>
    <row r="207" spans="1:16" x14ac:dyDescent="0.25">
      <c r="A207" t="s">
        <v>475</v>
      </c>
      <c r="B207" t="s">
        <v>148</v>
      </c>
      <c r="C207" t="s">
        <v>37</v>
      </c>
      <c r="D207" t="s">
        <v>20</v>
      </c>
      <c r="E207" t="s">
        <v>21</v>
      </c>
      <c r="F207" t="s">
        <v>22</v>
      </c>
      <c r="G207" t="s">
        <v>33</v>
      </c>
      <c r="H207" t="s">
        <v>24</v>
      </c>
      <c r="I207">
        <v>4</v>
      </c>
      <c r="J207">
        <v>819004</v>
      </c>
      <c r="K207">
        <v>0</v>
      </c>
      <c r="L207">
        <v>3276016</v>
      </c>
      <c r="M207" t="s">
        <v>54</v>
      </c>
      <c r="N207" t="s">
        <v>69</v>
      </c>
      <c r="O207" t="s">
        <v>44</v>
      </c>
      <c r="P207" t="s">
        <v>26</v>
      </c>
    </row>
    <row r="208" spans="1:16" x14ac:dyDescent="0.25">
      <c r="A208" t="s">
        <v>476</v>
      </c>
      <c r="B208" t="s">
        <v>254</v>
      </c>
      <c r="C208" t="s">
        <v>85</v>
      </c>
      <c r="D208" t="s">
        <v>47</v>
      </c>
      <c r="E208" t="s">
        <v>48</v>
      </c>
      <c r="F208" t="s">
        <v>22</v>
      </c>
      <c r="G208" t="s">
        <v>73</v>
      </c>
      <c r="H208" t="s">
        <v>34</v>
      </c>
      <c r="I208">
        <v>8</v>
      </c>
      <c r="J208">
        <v>200434</v>
      </c>
      <c r="K208">
        <v>2</v>
      </c>
      <c r="L208">
        <v>1571402.56</v>
      </c>
      <c r="M208" t="s">
        <v>42</v>
      </c>
      <c r="N208" t="s">
        <v>69</v>
      </c>
      <c r="O208" t="s">
        <v>27</v>
      </c>
      <c r="P208" t="s">
        <v>55</v>
      </c>
    </row>
    <row r="209" spans="1:16" x14ac:dyDescent="0.25">
      <c r="A209" t="s">
        <v>477</v>
      </c>
      <c r="B209" t="s">
        <v>478</v>
      </c>
      <c r="C209" t="s">
        <v>65</v>
      </c>
      <c r="D209" t="s">
        <v>38</v>
      </c>
      <c r="E209" t="s">
        <v>39</v>
      </c>
      <c r="F209" t="s">
        <v>40</v>
      </c>
      <c r="G209" t="s">
        <v>41</v>
      </c>
      <c r="H209" t="s">
        <v>24</v>
      </c>
      <c r="I209">
        <v>3</v>
      </c>
      <c r="J209">
        <v>729227</v>
      </c>
      <c r="K209">
        <v>7</v>
      </c>
      <c r="L209">
        <v>2034543.33</v>
      </c>
      <c r="M209" t="s">
        <v>25</v>
      </c>
      <c r="N209" t="s">
        <v>69</v>
      </c>
      <c r="O209" t="s">
        <v>27</v>
      </c>
      <c r="P209" t="s">
        <v>26</v>
      </c>
    </row>
    <row r="210" spans="1:16" x14ac:dyDescent="0.25">
      <c r="A210" t="s">
        <v>479</v>
      </c>
      <c r="B210" t="s">
        <v>480</v>
      </c>
      <c r="C210" t="s">
        <v>85</v>
      </c>
      <c r="D210" t="s">
        <v>47</v>
      </c>
      <c r="E210" t="s">
        <v>48</v>
      </c>
      <c r="F210" t="s">
        <v>22</v>
      </c>
      <c r="G210" t="s">
        <v>41</v>
      </c>
      <c r="H210" t="s">
        <v>58</v>
      </c>
      <c r="I210">
        <v>3</v>
      </c>
      <c r="J210">
        <v>871002</v>
      </c>
      <c r="K210">
        <v>10</v>
      </c>
      <c r="L210">
        <v>2351705.4</v>
      </c>
      <c r="M210" t="s">
        <v>42</v>
      </c>
      <c r="N210" t="s">
        <v>26</v>
      </c>
      <c r="O210" t="s">
        <v>44</v>
      </c>
      <c r="P210" t="s">
        <v>26</v>
      </c>
    </row>
    <row r="211" spans="1:16" x14ac:dyDescent="0.25">
      <c r="A211" t="s">
        <v>481</v>
      </c>
      <c r="B211" t="s">
        <v>374</v>
      </c>
      <c r="C211" t="s">
        <v>19</v>
      </c>
      <c r="D211" t="s">
        <v>30</v>
      </c>
      <c r="E211" t="s">
        <v>31</v>
      </c>
      <c r="F211" t="s">
        <v>32</v>
      </c>
      <c r="G211" t="s">
        <v>62</v>
      </c>
      <c r="H211" t="s">
        <v>24</v>
      </c>
      <c r="I211">
        <v>1</v>
      </c>
      <c r="J211">
        <v>180059</v>
      </c>
      <c r="K211">
        <v>7</v>
      </c>
      <c r="L211">
        <v>167454.87</v>
      </c>
      <c r="M211" t="s">
        <v>54</v>
      </c>
      <c r="N211" t="s">
        <v>26</v>
      </c>
      <c r="O211" t="s">
        <v>27</v>
      </c>
      <c r="P211" t="s">
        <v>55</v>
      </c>
    </row>
    <row r="212" spans="1:16" x14ac:dyDescent="0.25">
      <c r="A212" t="s">
        <v>482</v>
      </c>
      <c r="B212" t="s">
        <v>483</v>
      </c>
      <c r="C212" t="s">
        <v>99</v>
      </c>
      <c r="D212" t="s">
        <v>66</v>
      </c>
      <c r="E212" t="s">
        <v>67</v>
      </c>
      <c r="F212" t="s">
        <v>68</v>
      </c>
      <c r="G212" t="s">
        <v>33</v>
      </c>
      <c r="H212" t="s">
        <v>53</v>
      </c>
      <c r="I212">
        <v>7</v>
      </c>
      <c r="J212">
        <v>696108</v>
      </c>
      <c r="K212">
        <v>0</v>
      </c>
      <c r="L212">
        <v>4872756</v>
      </c>
      <c r="M212" t="s">
        <v>54</v>
      </c>
      <c r="N212" t="s">
        <v>43</v>
      </c>
      <c r="O212" t="s">
        <v>44</v>
      </c>
      <c r="P212" t="s">
        <v>26</v>
      </c>
    </row>
    <row r="213" spans="1:16" x14ac:dyDescent="0.25">
      <c r="A213" t="s">
        <v>484</v>
      </c>
      <c r="B213" t="s">
        <v>485</v>
      </c>
      <c r="C213" t="s">
        <v>19</v>
      </c>
      <c r="D213" t="s">
        <v>47</v>
      </c>
      <c r="E213" t="s">
        <v>72</v>
      </c>
      <c r="F213" t="s">
        <v>22</v>
      </c>
      <c r="G213" t="s">
        <v>33</v>
      </c>
      <c r="H213" t="s">
        <v>86</v>
      </c>
      <c r="I213">
        <v>1</v>
      </c>
      <c r="J213">
        <v>596346</v>
      </c>
      <c r="K213">
        <v>10</v>
      </c>
      <c r="L213">
        <v>536711.4</v>
      </c>
      <c r="M213" t="s">
        <v>42</v>
      </c>
      <c r="N213" t="s">
        <v>26</v>
      </c>
      <c r="O213" t="s">
        <v>27</v>
      </c>
      <c r="P213" t="s">
        <v>55</v>
      </c>
    </row>
    <row r="214" spans="1:16" x14ac:dyDescent="0.25">
      <c r="A214" t="s">
        <v>486</v>
      </c>
      <c r="B214" t="s">
        <v>487</v>
      </c>
      <c r="C214" t="s">
        <v>37</v>
      </c>
      <c r="D214" t="s">
        <v>30</v>
      </c>
      <c r="E214" t="s">
        <v>31</v>
      </c>
      <c r="F214" t="s">
        <v>32</v>
      </c>
      <c r="G214" t="s">
        <v>89</v>
      </c>
      <c r="H214" t="s">
        <v>58</v>
      </c>
      <c r="I214">
        <v>4</v>
      </c>
      <c r="J214">
        <v>120527</v>
      </c>
      <c r="K214">
        <v>10</v>
      </c>
      <c r="L214">
        <v>433897.2</v>
      </c>
      <c r="M214" t="s">
        <v>25</v>
      </c>
      <c r="N214" t="s">
        <v>26</v>
      </c>
      <c r="O214" t="s">
        <v>27</v>
      </c>
      <c r="P214" t="s">
        <v>26</v>
      </c>
    </row>
    <row r="215" spans="1:16" x14ac:dyDescent="0.25">
      <c r="A215" t="s">
        <v>488</v>
      </c>
      <c r="B215" t="s">
        <v>489</v>
      </c>
      <c r="C215" t="s">
        <v>99</v>
      </c>
      <c r="D215" t="s">
        <v>129</v>
      </c>
      <c r="E215" t="s">
        <v>39</v>
      </c>
      <c r="F215" t="s">
        <v>40</v>
      </c>
      <c r="G215" t="s">
        <v>52</v>
      </c>
      <c r="H215" t="s">
        <v>53</v>
      </c>
      <c r="I215">
        <v>7</v>
      </c>
      <c r="J215">
        <v>181851</v>
      </c>
      <c r="K215">
        <v>2</v>
      </c>
      <c r="L215">
        <v>1247497.8600000001</v>
      </c>
      <c r="M215" t="s">
        <v>42</v>
      </c>
      <c r="N215" t="s">
        <v>43</v>
      </c>
      <c r="O215" t="s">
        <v>27</v>
      </c>
      <c r="P215" t="s">
        <v>55</v>
      </c>
    </row>
    <row r="216" spans="1:16" x14ac:dyDescent="0.25">
      <c r="A216" t="s">
        <v>490</v>
      </c>
      <c r="B216" t="s">
        <v>491</v>
      </c>
      <c r="C216" t="s">
        <v>65</v>
      </c>
      <c r="D216" t="s">
        <v>20</v>
      </c>
      <c r="E216" t="s">
        <v>21</v>
      </c>
      <c r="F216" t="s">
        <v>22</v>
      </c>
      <c r="G216" t="s">
        <v>33</v>
      </c>
      <c r="H216" t="s">
        <v>86</v>
      </c>
      <c r="I216">
        <v>7</v>
      </c>
      <c r="J216">
        <v>238365</v>
      </c>
      <c r="K216">
        <v>10</v>
      </c>
      <c r="L216">
        <v>1501699.5</v>
      </c>
      <c r="M216" t="s">
        <v>42</v>
      </c>
      <c r="N216" t="s">
        <v>69</v>
      </c>
      <c r="O216" t="s">
        <v>27</v>
      </c>
      <c r="P216" t="s">
        <v>42</v>
      </c>
    </row>
    <row r="217" spans="1:16" x14ac:dyDescent="0.25">
      <c r="A217" t="s">
        <v>492</v>
      </c>
      <c r="B217" t="s">
        <v>493</v>
      </c>
      <c r="C217" t="s">
        <v>19</v>
      </c>
      <c r="D217" t="s">
        <v>20</v>
      </c>
      <c r="E217" t="s">
        <v>21</v>
      </c>
      <c r="F217" t="s">
        <v>22</v>
      </c>
      <c r="G217" t="s">
        <v>52</v>
      </c>
      <c r="H217" t="s">
        <v>24</v>
      </c>
      <c r="I217">
        <v>7</v>
      </c>
      <c r="J217">
        <v>307599</v>
      </c>
      <c r="K217">
        <v>0</v>
      </c>
      <c r="L217">
        <v>2153193</v>
      </c>
      <c r="M217" t="s">
        <v>42</v>
      </c>
      <c r="N217" t="s">
        <v>26</v>
      </c>
      <c r="O217" t="s">
        <v>27</v>
      </c>
      <c r="P217" t="s">
        <v>55</v>
      </c>
    </row>
    <row r="218" spans="1:16" x14ac:dyDescent="0.25">
      <c r="A218" t="s">
        <v>494</v>
      </c>
      <c r="B218" t="s">
        <v>495</v>
      </c>
      <c r="C218" t="s">
        <v>85</v>
      </c>
      <c r="D218" t="s">
        <v>66</v>
      </c>
      <c r="E218" t="s">
        <v>67</v>
      </c>
      <c r="F218" t="s">
        <v>68</v>
      </c>
      <c r="G218" t="s">
        <v>62</v>
      </c>
      <c r="H218" t="s">
        <v>53</v>
      </c>
      <c r="I218">
        <v>2</v>
      </c>
      <c r="J218">
        <v>364443</v>
      </c>
      <c r="K218">
        <v>0</v>
      </c>
      <c r="L218">
        <v>741231</v>
      </c>
      <c r="M218" t="s">
        <v>42</v>
      </c>
      <c r="N218" t="s">
        <v>69</v>
      </c>
      <c r="O218" t="s">
        <v>27</v>
      </c>
      <c r="P218" t="s">
        <v>55</v>
      </c>
    </row>
    <row r="219" spans="1:16" x14ac:dyDescent="0.25">
      <c r="A219" t="s">
        <v>496</v>
      </c>
      <c r="B219" t="s">
        <v>497</v>
      </c>
      <c r="C219" t="s">
        <v>76</v>
      </c>
      <c r="D219" t="s">
        <v>30</v>
      </c>
      <c r="E219" t="s">
        <v>31</v>
      </c>
      <c r="F219" t="s">
        <v>32</v>
      </c>
      <c r="G219" t="s">
        <v>62</v>
      </c>
      <c r="H219" t="s">
        <v>58</v>
      </c>
      <c r="I219">
        <v>4</v>
      </c>
      <c r="J219">
        <v>361198</v>
      </c>
      <c r="K219">
        <v>10</v>
      </c>
      <c r="L219">
        <v>1300312.8</v>
      </c>
      <c r="M219" t="s">
        <v>42</v>
      </c>
      <c r="N219" t="s">
        <v>43</v>
      </c>
      <c r="O219" t="s">
        <v>27</v>
      </c>
      <c r="P219" t="s">
        <v>55</v>
      </c>
    </row>
    <row r="220" spans="1:16" x14ac:dyDescent="0.25">
      <c r="A220" t="s">
        <v>498</v>
      </c>
      <c r="B220" t="s">
        <v>499</v>
      </c>
      <c r="C220" t="s">
        <v>198</v>
      </c>
      <c r="D220" t="s">
        <v>38</v>
      </c>
      <c r="E220" t="s">
        <v>39</v>
      </c>
      <c r="F220" t="s">
        <v>40</v>
      </c>
      <c r="G220" t="s">
        <v>41</v>
      </c>
      <c r="H220" t="s">
        <v>58</v>
      </c>
      <c r="I220">
        <v>6</v>
      </c>
      <c r="J220">
        <v>125124</v>
      </c>
      <c r="K220">
        <v>7</v>
      </c>
      <c r="L220">
        <v>698191.91999999993</v>
      </c>
      <c r="M220" t="s">
        <v>54</v>
      </c>
      <c r="N220" t="s">
        <v>26</v>
      </c>
      <c r="O220" t="s">
        <v>27</v>
      </c>
      <c r="P220" t="s">
        <v>26</v>
      </c>
    </row>
    <row r="221" spans="1:16" x14ac:dyDescent="0.25">
      <c r="A221" t="s">
        <v>500</v>
      </c>
      <c r="B221" t="s">
        <v>501</v>
      </c>
      <c r="C221" t="s">
        <v>85</v>
      </c>
      <c r="D221" t="s">
        <v>47</v>
      </c>
      <c r="E221" t="s">
        <v>48</v>
      </c>
      <c r="F221" t="s">
        <v>22</v>
      </c>
      <c r="G221" t="s">
        <v>52</v>
      </c>
      <c r="H221" t="s">
        <v>24</v>
      </c>
      <c r="I221">
        <v>1</v>
      </c>
      <c r="J221">
        <v>573828</v>
      </c>
      <c r="K221">
        <v>5</v>
      </c>
      <c r="L221">
        <v>545136.6</v>
      </c>
      <c r="M221" t="s">
        <v>54</v>
      </c>
      <c r="N221" t="s">
        <v>26</v>
      </c>
      <c r="O221" t="s">
        <v>27</v>
      </c>
      <c r="P221" t="s">
        <v>26</v>
      </c>
    </row>
    <row r="222" spans="1:16" x14ac:dyDescent="0.25">
      <c r="A222" t="s">
        <v>502</v>
      </c>
      <c r="B222" t="s">
        <v>217</v>
      </c>
      <c r="C222" t="s">
        <v>76</v>
      </c>
      <c r="D222" t="s">
        <v>38</v>
      </c>
      <c r="E222" t="s">
        <v>39</v>
      </c>
      <c r="F222" t="s">
        <v>40</v>
      </c>
      <c r="G222" t="s">
        <v>135</v>
      </c>
      <c r="H222" t="s">
        <v>53</v>
      </c>
      <c r="I222">
        <v>4</v>
      </c>
      <c r="J222">
        <v>89230</v>
      </c>
      <c r="K222">
        <v>0</v>
      </c>
      <c r="L222">
        <v>356920</v>
      </c>
      <c r="M222" t="s">
        <v>54</v>
      </c>
      <c r="N222" t="s">
        <v>69</v>
      </c>
      <c r="O222" t="s">
        <v>27</v>
      </c>
      <c r="P222" t="s">
        <v>55</v>
      </c>
    </row>
    <row r="223" spans="1:16" x14ac:dyDescent="0.25">
      <c r="A223" t="s">
        <v>503</v>
      </c>
      <c r="B223" t="s">
        <v>504</v>
      </c>
      <c r="C223" t="s">
        <v>79</v>
      </c>
      <c r="D223" t="s">
        <v>20</v>
      </c>
      <c r="E223" t="s">
        <v>21</v>
      </c>
      <c r="F223" t="s">
        <v>22</v>
      </c>
      <c r="G223" t="s">
        <v>94</v>
      </c>
      <c r="H223" t="s">
        <v>58</v>
      </c>
      <c r="J223">
        <v>74453</v>
      </c>
      <c r="K223">
        <v>2</v>
      </c>
      <c r="M223" t="s">
        <v>25</v>
      </c>
      <c r="N223" t="s">
        <v>43</v>
      </c>
      <c r="O223" t="s">
        <v>44</v>
      </c>
      <c r="P223" t="s">
        <v>26</v>
      </c>
    </row>
    <row r="224" spans="1:16" x14ac:dyDescent="0.25">
      <c r="A224" t="s">
        <v>505</v>
      </c>
      <c r="B224" t="s">
        <v>506</v>
      </c>
      <c r="C224" t="s">
        <v>19</v>
      </c>
      <c r="D224" t="s">
        <v>38</v>
      </c>
      <c r="E224" t="s">
        <v>39</v>
      </c>
      <c r="F224" t="s">
        <v>40</v>
      </c>
      <c r="G224" t="s">
        <v>73</v>
      </c>
      <c r="H224" t="s">
        <v>53</v>
      </c>
      <c r="I224">
        <v>8</v>
      </c>
      <c r="J224">
        <v>308499</v>
      </c>
      <c r="K224">
        <v>7</v>
      </c>
      <c r="L224">
        <v>2295232.56</v>
      </c>
      <c r="M224" t="s">
        <v>42</v>
      </c>
      <c r="N224" t="s">
        <v>69</v>
      </c>
      <c r="O224" t="s">
        <v>27</v>
      </c>
      <c r="P224" t="s">
        <v>26</v>
      </c>
    </row>
    <row r="225" spans="1:16" x14ac:dyDescent="0.25">
      <c r="A225" t="s">
        <v>507</v>
      </c>
      <c r="B225" t="s">
        <v>508</v>
      </c>
      <c r="C225" t="s">
        <v>37</v>
      </c>
      <c r="D225" t="s">
        <v>66</v>
      </c>
      <c r="E225" t="s">
        <v>67</v>
      </c>
      <c r="F225" t="s">
        <v>68</v>
      </c>
      <c r="G225" t="s">
        <v>52</v>
      </c>
      <c r="H225" t="s">
        <v>86</v>
      </c>
      <c r="I225">
        <v>7</v>
      </c>
      <c r="J225">
        <v>745772</v>
      </c>
      <c r="K225">
        <v>5</v>
      </c>
      <c r="L225">
        <v>4959383.8</v>
      </c>
      <c r="M225" t="s">
        <v>54</v>
      </c>
      <c r="N225" t="s">
        <v>26</v>
      </c>
      <c r="O225" t="s">
        <v>44</v>
      </c>
      <c r="P225" t="s">
        <v>42</v>
      </c>
    </row>
    <row r="226" spans="1:16" x14ac:dyDescent="0.25">
      <c r="A226" t="s">
        <v>509</v>
      </c>
      <c r="B226" t="s">
        <v>510</v>
      </c>
      <c r="C226" t="s">
        <v>76</v>
      </c>
      <c r="D226" t="s">
        <v>38</v>
      </c>
      <c r="E226" t="s">
        <v>39</v>
      </c>
      <c r="F226" t="s">
        <v>40</v>
      </c>
      <c r="G226" t="s">
        <v>73</v>
      </c>
      <c r="H226" t="s">
        <v>58</v>
      </c>
      <c r="I226">
        <v>4</v>
      </c>
      <c r="J226">
        <v>862208</v>
      </c>
      <c r="K226">
        <v>12</v>
      </c>
      <c r="L226">
        <v>3034972.1600000001</v>
      </c>
      <c r="M226" t="s">
        <v>54</v>
      </c>
      <c r="N226" t="s">
        <v>26</v>
      </c>
      <c r="O226" t="s">
        <v>44</v>
      </c>
      <c r="P226" t="s">
        <v>55</v>
      </c>
    </row>
    <row r="227" spans="1:16" x14ac:dyDescent="0.25">
      <c r="A227" t="s">
        <v>511</v>
      </c>
      <c r="B227" t="s">
        <v>512</v>
      </c>
      <c r="C227" t="s">
        <v>65</v>
      </c>
      <c r="D227" t="s">
        <v>20</v>
      </c>
      <c r="E227" t="s">
        <v>21</v>
      </c>
      <c r="F227" t="s">
        <v>22</v>
      </c>
      <c r="G227" t="s">
        <v>52</v>
      </c>
      <c r="H227" t="s">
        <v>53</v>
      </c>
      <c r="I227">
        <v>8</v>
      </c>
      <c r="J227">
        <v>871600</v>
      </c>
      <c r="K227">
        <v>2</v>
      </c>
      <c r="L227">
        <v>6833344</v>
      </c>
      <c r="M227" t="s">
        <v>54</v>
      </c>
      <c r="N227" t="s">
        <v>26</v>
      </c>
      <c r="O227" t="s">
        <v>44</v>
      </c>
      <c r="P227" t="s">
        <v>26</v>
      </c>
    </row>
    <row r="228" spans="1:16" x14ac:dyDescent="0.25">
      <c r="A228" t="s">
        <v>513</v>
      </c>
      <c r="B228" t="s">
        <v>514</v>
      </c>
      <c r="C228" t="s">
        <v>76</v>
      </c>
      <c r="D228" t="s">
        <v>154</v>
      </c>
      <c r="E228" t="s">
        <v>67</v>
      </c>
      <c r="F228" t="s">
        <v>68</v>
      </c>
      <c r="G228" t="s">
        <v>135</v>
      </c>
      <c r="H228" t="s">
        <v>58</v>
      </c>
      <c r="I228">
        <v>2</v>
      </c>
      <c r="J228">
        <v>148940</v>
      </c>
      <c r="K228">
        <v>10</v>
      </c>
      <c r="L228">
        <v>268092</v>
      </c>
      <c r="M228" t="s">
        <v>54</v>
      </c>
      <c r="N228" t="s">
        <v>69</v>
      </c>
      <c r="O228" t="s">
        <v>44</v>
      </c>
      <c r="P228" t="s">
        <v>42</v>
      </c>
    </row>
    <row r="229" spans="1:16" x14ac:dyDescent="0.25">
      <c r="A229" t="s">
        <v>515</v>
      </c>
      <c r="B229" t="s">
        <v>516</v>
      </c>
      <c r="C229" t="s">
        <v>19</v>
      </c>
      <c r="D229" t="s">
        <v>20</v>
      </c>
      <c r="E229" t="s">
        <v>21</v>
      </c>
      <c r="F229" t="s">
        <v>22</v>
      </c>
      <c r="G229" t="s">
        <v>62</v>
      </c>
      <c r="H229" t="s">
        <v>86</v>
      </c>
      <c r="I229">
        <v>1</v>
      </c>
      <c r="J229">
        <v>61667</v>
      </c>
      <c r="K229">
        <v>5</v>
      </c>
      <c r="L229">
        <v>58583.649999999987</v>
      </c>
      <c r="M229" t="s">
        <v>25</v>
      </c>
      <c r="N229" t="s">
        <v>26</v>
      </c>
      <c r="O229" t="s">
        <v>44</v>
      </c>
      <c r="P229" t="s">
        <v>55</v>
      </c>
    </row>
    <row r="230" spans="1:16" x14ac:dyDescent="0.25">
      <c r="A230" t="s">
        <v>517</v>
      </c>
      <c r="B230" t="s">
        <v>518</v>
      </c>
      <c r="C230" t="s">
        <v>76</v>
      </c>
      <c r="D230" t="s">
        <v>20</v>
      </c>
      <c r="E230" t="s">
        <v>21</v>
      </c>
      <c r="F230" t="s">
        <v>22</v>
      </c>
      <c r="G230" t="s">
        <v>89</v>
      </c>
      <c r="H230" t="s">
        <v>58</v>
      </c>
      <c r="I230">
        <v>4</v>
      </c>
      <c r="J230">
        <v>815888</v>
      </c>
      <c r="K230">
        <v>0</v>
      </c>
      <c r="L230">
        <v>3263552</v>
      </c>
      <c r="M230" t="s">
        <v>25</v>
      </c>
      <c r="N230" t="s">
        <v>69</v>
      </c>
      <c r="O230" t="s">
        <v>27</v>
      </c>
      <c r="P230" t="s">
        <v>26</v>
      </c>
    </row>
    <row r="231" spans="1:16" x14ac:dyDescent="0.25">
      <c r="A231" t="s">
        <v>519</v>
      </c>
      <c r="B231" t="s">
        <v>520</v>
      </c>
      <c r="C231" t="s">
        <v>85</v>
      </c>
      <c r="D231" t="s">
        <v>30</v>
      </c>
      <c r="E231" t="s">
        <v>31</v>
      </c>
      <c r="F231" t="s">
        <v>32</v>
      </c>
      <c r="G231" t="s">
        <v>41</v>
      </c>
      <c r="H231" t="s">
        <v>86</v>
      </c>
      <c r="I231">
        <v>1</v>
      </c>
      <c r="J231">
        <v>711676</v>
      </c>
      <c r="K231">
        <v>2</v>
      </c>
      <c r="L231">
        <v>697442.48</v>
      </c>
      <c r="M231" t="s">
        <v>42</v>
      </c>
      <c r="N231" t="s">
        <v>69</v>
      </c>
      <c r="O231" t="s">
        <v>27</v>
      </c>
      <c r="P231" t="s">
        <v>26</v>
      </c>
    </row>
    <row r="232" spans="1:16" x14ac:dyDescent="0.25">
      <c r="A232" t="s">
        <v>521</v>
      </c>
      <c r="B232" t="s">
        <v>522</v>
      </c>
      <c r="C232" t="s">
        <v>37</v>
      </c>
      <c r="D232" t="s">
        <v>119</v>
      </c>
      <c r="E232" t="s">
        <v>21</v>
      </c>
      <c r="F232" t="s">
        <v>22</v>
      </c>
      <c r="G232" t="s">
        <v>135</v>
      </c>
      <c r="H232" t="s">
        <v>58</v>
      </c>
      <c r="I232">
        <v>6</v>
      </c>
      <c r="J232">
        <v>579062</v>
      </c>
      <c r="K232">
        <v>5</v>
      </c>
      <c r="L232">
        <v>3300653.4</v>
      </c>
      <c r="M232" t="s">
        <v>54</v>
      </c>
      <c r="N232" t="s">
        <v>26</v>
      </c>
      <c r="O232" t="s">
        <v>27</v>
      </c>
      <c r="P232" t="s">
        <v>26</v>
      </c>
    </row>
    <row r="233" spans="1:16" x14ac:dyDescent="0.25">
      <c r="A233" t="s">
        <v>523</v>
      </c>
      <c r="B233" t="s">
        <v>524</v>
      </c>
      <c r="C233" t="s">
        <v>37</v>
      </c>
      <c r="D233" t="s">
        <v>129</v>
      </c>
      <c r="E233" t="s">
        <v>39</v>
      </c>
      <c r="F233" t="s">
        <v>40</v>
      </c>
      <c r="G233" t="s">
        <v>94</v>
      </c>
      <c r="H233" t="s">
        <v>34</v>
      </c>
      <c r="I233">
        <v>1</v>
      </c>
      <c r="J233">
        <v>134636</v>
      </c>
      <c r="K233">
        <v>7</v>
      </c>
      <c r="L233">
        <v>125211.48</v>
      </c>
      <c r="M233" t="s">
        <v>25</v>
      </c>
      <c r="N233" t="s">
        <v>26</v>
      </c>
      <c r="O233" t="s">
        <v>27</v>
      </c>
      <c r="P233" t="s">
        <v>26</v>
      </c>
    </row>
    <row r="234" spans="1:16" x14ac:dyDescent="0.25">
      <c r="A234" t="s">
        <v>525</v>
      </c>
      <c r="B234" t="s">
        <v>526</v>
      </c>
      <c r="C234" t="s">
        <v>76</v>
      </c>
      <c r="D234" t="s">
        <v>30</v>
      </c>
      <c r="E234" t="s">
        <v>31</v>
      </c>
      <c r="F234" t="s">
        <v>32</v>
      </c>
      <c r="G234" t="s">
        <v>94</v>
      </c>
      <c r="H234" t="s">
        <v>34</v>
      </c>
      <c r="I234">
        <v>6</v>
      </c>
      <c r="J234">
        <v>122620</v>
      </c>
      <c r="K234">
        <v>0</v>
      </c>
      <c r="L234">
        <v>735720</v>
      </c>
      <c r="M234" t="s">
        <v>25</v>
      </c>
      <c r="N234" t="s">
        <v>43</v>
      </c>
      <c r="O234" t="s">
        <v>44</v>
      </c>
      <c r="P234" t="s">
        <v>42</v>
      </c>
    </row>
    <row r="235" spans="1:16" x14ac:dyDescent="0.25">
      <c r="A235" t="s">
        <v>527</v>
      </c>
      <c r="B235" t="s">
        <v>528</v>
      </c>
      <c r="C235" t="s">
        <v>91</v>
      </c>
      <c r="D235" t="s">
        <v>106</v>
      </c>
      <c r="E235" t="s">
        <v>31</v>
      </c>
      <c r="F235" t="s">
        <v>32</v>
      </c>
      <c r="G235" t="s">
        <v>89</v>
      </c>
      <c r="H235" t="s">
        <v>34</v>
      </c>
      <c r="I235">
        <v>5</v>
      </c>
      <c r="J235">
        <v>537490</v>
      </c>
      <c r="K235">
        <v>12</v>
      </c>
      <c r="L235">
        <v>2364956</v>
      </c>
      <c r="M235" t="s">
        <v>42</v>
      </c>
      <c r="N235" t="s">
        <v>43</v>
      </c>
      <c r="O235" t="s">
        <v>44</v>
      </c>
      <c r="P235" t="s">
        <v>26</v>
      </c>
    </row>
    <row r="236" spans="1:16" x14ac:dyDescent="0.25">
      <c r="A236" t="s">
        <v>529</v>
      </c>
      <c r="B236" t="s">
        <v>530</v>
      </c>
      <c r="C236" t="s">
        <v>65</v>
      </c>
      <c r="D236" t="s">
        <v>38</v>
      </c>
      <c r="E236" t="s">
        <v>39</v>
      </c>
      <c r="F236" t="s">
        <v>40</v>
      </c>
      <c r="G236" t="s">
        <v>124</v>
      </c>
      <c r="H236" t="s">
        <v>53</v>
      </c>
      <c r="I236">
        <v>7</v>
      </c>
      <c r="J236">
        <v>493566</v>
      </c>
      <c r="K236">
        <v>7</v>
      </c>
      <c r="L236">
        <v>3213114.66</v>
      </c>
      <c r="M236" t="s">
        <v>54</v>
      </c>
      <c r="N236" t="s">
        <v>69</v>
      </c>
      <c r="O236" t="s">
        <v>44</v>
      </c>
      <c r="P236" t="s">
        <v>26</v>
      </c>
    </row>
    <row r="237" spans="1:16" x14ac:dyDescent="0.25">
      <c r="A237" t="s">
        <v>531</v>
      </c>
      <c r="B237" t="s">
        <v>532</v>
      </c>
      <c r="C237" t="s">
        <v>19</v>
      </c>
      <c r="D237" t="s">
        <v>30</v>
      </c>
      <c r="E237" t="s">
        <v>31</v>
      </c>
      <c r="F237" t="s">
        <v>32</v>
      </c>
      <c r="G237" t="s">
        <v>33</v>
      </c>
      <c r="H237" t="s">
        <v>86</v>
      </c>
      <c r="I237">
        <v>2</v>
      </c>
      <c r="J237">
        <v>177146</v>
      </c>
      <c r="K237">
        <v>12</v>
      </c>
      <c r="L237">
        <v>311776.96000000002</v>
      </c>
      <c r="M237" t="s">
        <v>25</v>
      </c>
      <c r="N237" t="s">
        <v>43</v>
      </c>
      <c r="O237" t="s">
        <v>44</v>
      </c>
      <c r="P237" t="s">
        <v>26</v>
      </c>
    </row>
    <row r="238" spans="1:16" x14ac:dyDescent="0.25">
      <c r="A238" t="s">
        <v>533</v>
      </c>
      <c r="B238" t="s">
        <v>534</v>
      </c>
      <c r="C238" t="s">
        <v>65</v>
      </c>
      <c r="D238" t="s">
        <v>30</v>
      </c>
      <c r="E238" t="s">
        <v>31</v>
      </c>
      <c r="F238" t="s">
        <v>32</v>
      </c>
      <c r="G238" t="s">
        <v>33</v>
      </c>
      <c r="H238" t="s">
        <v>86</v>
      </c>
      <c r="I238">
        <v>3</v>
      </c>
      <c r="J238">
        <v>848878</v>
      </c>
      <c r="K238">
        <v>5</v>
      </c>
      <c r="L238">
        <v>2419302.2999999998</v>
      </c>
      <c r="M238" t="s">
        <v>42</v>
      </c>
      <c r="N238" t="s">
        <v>43</v>
      </c>
      <c r="O238" t="s">
        <v>27</v>
      </c>
      <c r="P238" t="s">
        <v>26</v>
      </c>
    </row>
    <row r="239" spans="1:16" x14ac:dyDescent="0.25">
      <c r="A239" t="s">
        <v>535</v>
      </c>
      <c r="B239" t="s">
        <v>293</v>
      </c>
      <c r="C239" t="s">
        <v>198</v>
      </c>
      <c r="D239" t="s">
        <v>47</v>
      </c>
      <c r="E239" t="s">
        <v>48</v>
      </c>
      <c r="F239" t="s">
        <v>22</v>
      </c>
      <c r="G239" t="s">
        <v>73</v>
      </c>
      <c r="H239" t="s">
        <v>58</v>
      </c>
      <c r="I239">
        <v>4</v>
      </c>
      <c r="J239">
        <v>482242</v>
      </c>
      <c r="K239">
        <v>0</v>
      </c>
      <c r="L239">
        <v>1928968</v>
      </c>
      <c r="M239" t="s">
        <v>42</v>
      </c>
      <c r="N239" t="s">
        <v>26</v>
      </c>
      <c r="O239" t="s">
        <v>44</v>
      </c>
      <c r="P239" t="s">
        <v>42</v>
      </c>
    </row>
    <row r="240" spans="1:16" x14ac:dyDescent="0.25">
      <c r="A240" t="s">
        <v>536</v>
      </c>
      <c r="B240" t="s">
        <v>537</v>
      </c>
      <c r="C240" t="s">
        <v>65</v>
      </c>
      <c r="D240" t="s">
        <v>119</v>
      </c>
      <c r="E240" t="s">
        <v>21</v>
      </c>
      <c r="F240" t="s">
        <v>22</v>
      </c>
      <c r="G240" t="s">
        <v>41</v>
      </c>
      <c r="H240" t="s">
        <v>34</v>
      </c>
      <c r="I240">
        <v>1</v>
      </c>
      <c r="J240">
        <v>288299</v>
      </c>
      <c r="K240">
        <v>7</v>
      </c>
      <c r="L240">
        <v>268118.07</v>
      </c>
      <c r="M240" t="s">
        <v>42</v>
      </c>
      <c r="N240" t="s">
        <v>26</v>
      </c>
      <c r="O240" t="s">
        <v>27</v>
      </c>
      <c r="P240" t="s">
        <v>55</v>
      </c>
    </row>
    <row r="241" spans="1:16" x14ac:dyDescent="0.25">
      <c r="A241" t="s">
        <v>538</v>
      </c>
      <c r="B241" t="s">
        <v>539</v>
      </c>
      <c r="C241" t="s">
        <v>76</v>
      </c>
      <c r="D241" t="s">
        <v>38</v>
      </c>
      <c r="E241" t="s">
        <v>39</v>
      </c>
      <c r="F241" t="s">
        <v>40</v>
      </c>
      <c r="G241" t="s">
        <v>62</v>
      </c>
      <c r="H241" t="s">
        <v>34</v>
      </c>
      <c r="J241">
        <v>531361</v>
      </c>
      <c r="K241">
        <v>5</v>
      </c>
      <c r="M241" t="s">
        <v>54</v>
      </c>
      <c r="N241" t="s">
        <v>26</v>
      </c>
      <c r="O241" t="s">
        <v>44</v>
      </c>
      <c r="P241" t="s">
        <v>42</v>
      </c>
    </row>
    <row r="242" spans="1:16" x14ac:dyDescent="0.25">
      <c r="A242" t="s">
        <v>540</v>
      </c>
      <c r="B242" t="s">
        <v>421</v>
      </c>
      <c r="C242" t="s">
        <v>37</v>
      </c>
      <c r="D242" t="s">
        <v>51</v>
      </c>
      <c r="E242" t="s">
        <v>48</v>
      </c>
      <c r="F242" t="s">
        <v>22</v>
      </c>
      <c r="G242" t="s">
        <v>52</v>
      </c>
      <c r="H242" t="s">
        <v>53</v>
      </c>
      <c r="I242">
        <v>5</v>
      </c>
      <c r="J242">
        <v>851114</v>
      </c>
      <c r="K242">
        <v>5</v>
      </c>
      <c r="L242">
        <v>4042791.5</v>
      </c>
      <c r="M242" t="s">
        <v>25</v>
      </c>
      <c r="N242" t="s">
        <v>26</v>
      </c>
      <c r="O242" t="s">
        <v>44</v>
      </c>
      <c r="P242" t="s">
        <v>42</v>
      </c>
    </row>
    <row r="243" spans="1:16" x14ac:dyDescent="0.25">
      <c r="A243" t="s">
        <v>541</v>
      </c>
      <c r="B243" t="s">
        <v>254</v>
      </c>
      <c r="C243" t="s">
        <v>85</v>
      </c>
      <c r="D243" t="s">
        <v>30</v>
      </c>
      <c r="E243" t="s">
        <v>31</v>
      </c>
      <c r="F243" t="s">
        <v>32</v>
      </c>
      <c r="G243" t="s">
        <v>52</v>
      </c>
      <c r="H243" t="s">
        <v>53</v>
      </c>
      <c r="I243">
        <v>1</v>
      </c>
      <c r="J243">
        <v>705027</v>
      </c>
      <c r="K243">
        <v>10</v>
      </c>
      <c r="L243">
        <v>634524.30000000005</v>
      </c>
      <c r="M243" t="s">
        <v>42</v>
      </c>
      <c r="N243" t="s">
        <v>69</v>
      </c>
      <c r="O243" t="s">
        <v>27</v>
      </c>
      <c r="P243" t="s">
        <v>42</v>
      </c>
    </row>
    <row r="244" spans="1:16" x14ac:dyDescent="0.25">
      <c r="A244" t="s">
        <v>542</v>
      </c>
      <c r="B244" t="s">
        <v>543</v>
      </c>
      <c r="C244" t="s">
        <v>76</v>
      </c>
      <c r="D244" t="s">
        <v>47</v>
      </c>
      <c r="E244" t="s">
        <v>48</v>
      </c>
      <c r="F244" t="s">
        <v>22</v>
      </c>
      <c r="G244" t="s">
        <v>124</v>
      </c>
      <c r="H244" t="s">
        <v>53</v>
      </c>
      <c r="I244">
        <v>8</v>
      </c>
      <c r="J244">
        <v>696026</v>
      </c>
      <c r="K244">
        <v>5</v>
      </c>
      <c r="L244">
        <v>5289797.5999999996</v>
      </c>
      <c r="M244" t="s">
        <v>54</v>
      </c>
      <c r="N244" t="s">
        <v>26</v>
      </c>
      <c r="O244" t="s">
        <v>27</v>
      </c>
      <c r="P244" t="s">
        <v>55</v>
      </c>
    </row>
    <row r="245" spans="1:16" x14ac:dyDescent="0.25">
      <c r="A245" t="s">
        <v>544</v>
      </c>
      <c r="B245" t="s">
        <v>545</v>
      </c>
      <c r="C245" t="s">
        <v>37</v>
      </c>
      <c r="D245" t="s">
        <v>30</v>
      </c>
      <c r="E245" t="s">
        <v>31</v>
      </c>
      <c r="F245" t="s">
        <v>32</v>
      </c>
      <c r="G245" t="s">
        <v>41</v>
      </c>
      <c r="H245" t="s">
        <v>34</v>
      </c>
      <c r="I245">
        <v>4</v>
      </c>
      <c r="J245">
        <v>87480</v>
      </c>
      <c r="K245">
        <v>5</v>
      </c>
      <c r="L245">
        <v>332424</v>
      </c>
      <c r="M245" t="s">
        <v>54</v>
      </c>
      <c r="N245" t="s">
        <v>43</v>
      </c>
      <c r="O245" t="s">
        <v>44</v>
      </c>
      <c r="P245" t="s">
        <v>42</v>
      </c>
    </row>
    <row r="246" spans="1:16" x14ac:dyDescent="0.25">
      <c r="A246" t="s">
        <v>546</v>
      </c>
      <c r="B246" t="s">
        <v>547</v>
      </c>
      <c r="C246" t="s">
        <v>61</v>
      </c>
      <c r="D246" t="s">
        <v>106</v>
      </c>
      <c r="E246" t="s">
        <v>31</v>
      </c>
      <c r="F246" t="s">
        <v>32</v>
      </c>
      <c r="G246" t="s">
        <v>41</v>
      </c>
      <c r="H246" t="s">
        <v>58</v>
      </c>
      <c r="I246">
        <v>1</v>
      </c>
      <c r="J246">
        <v>171431</v>
      </c>
      <c r="K246">
        <v>2</v>
      </c>
      <c r="L246">
        <v>168002.38</v>
      </c>
      <c r="M246" t="s">
        <v>25</v>
      </c>
      <c r="N246" t="s">
        <v>43</v>
      </c>
      <c r="O246" t="s">
        <v>27</v>
      </c>
      <c r="P246" t="s">
        <v>55</v>
      </c>
    </row>
    <row r="247" spans="1:16" x14ac:dyDescent="0.25">
      <c r="A247" t="s">
        <v>548</v>
      </c>
      <c r="B247" t="s">
        <v>549</v>
      </c>
      <c r="C247" t="s">
        <v>91</v>
      </c>
      <c r="D247" t="s">
        <v>30</v>
      </c>
      <c r="E247" t="s">
        <v>31</v>
      </c>
      <c r="F247" t="s">
        <v>32</v>
      </c>
      <c r="G247" t="s">
        <v>124</v>
      </c>
      <c r="H247" t="s">
        <v>58</v>
      </c>
      <c r="I247">
        <v>6</v>
      </c>
      <c r="J247">
        <v>567146</v>
      </c>
      <c r="K247">
        <v>5</v>
      </c>
      <c r="L247">
        <v>3232732.2</v>
      </c>
      <c r="M247" t="s">
        <v>54</v>
      </c>
      <c r="N247" t="s">
        <v>69</v>
      </c>
      <c r="O247" t="s">
        <v>44</v>
      </c>
      <c r="P247" t="s">
        <v>42</v>
      </c>
    </row>
    <row r="248" spans="1:16" x14ac:dyDescent="0.25">
      <c r="A248" t="s">
        <v>550</v>
      </c>
      <c r="B248" t="s">
        <v>286</v>
      </c>
      <c r="C248" t="s">
        <v>65</v>
      </c>
      <c r="D248" t="s">
        <v>30</v>
      </c>
      <c r="E248" t="s">
        <v>31</v>
      </c>
      <c r="F248" t="s">
        <v>32</v>
      </c>
      <c r="G248" t="s">
        <v>62</v>
      </c>
      <c r="H248" t="s">
        <v>34</v>
      </c>
      <c r="I248">
        <v>6</v>
      </c>
      <c r="J248">
        <v>393181</v>
      </c>
      <c r="K248">
        <v>10</v>
      </c>
      <c r="L248">
        <v>2123177.4</v>
      </c>
      <c r="M248" t="s">
        <v>42</v>
      </c>
      <c r="N248" t="s">
        <v>26</v>
      </c>
      <c r="O248" t="s">
        <v>27</v>
      </c>
      <c r="P248" t="s">
        <v>42</v>
      </c>
    </row>
    <row r="249" spans="1:16" x14ac:dyDescent="0.25">
      <c r="A249" t="s">
        <v>551</v>
      </c>
      <c r="B249" t="s">
        <v>552</v>
      </c>
      <c r="C249" t="s">
        <v>85</v>
      </c>
      <c r="D249" t="s">
        <v>30</v>
      </c>
      <c r="E249" t="s">
        <v>31</v>
      </c>
      <c r="F249" t="s">
        <v>32</v>
      </c>
      <c r="G249" t="s">
        <v>124</v>
      </c>
      <c r="H249" t="s">
        <v>34</v>
      </c>
      <c r="I249">
        <v>6</v>
      </c>
      <c r="J249">
        <v>424369</v>
      </c>
      <c r="K249">
        <v>7</v>
      </c>
      <c r="L249">
        <v>2367979.02</v>
      </c>
      <c r="M249" t="s">
        <v>25</v>
      </c>
      <c r="N249" t="s">
        <v>69</v>
      </c>
      <c r="O249" t="s">
        <v>44</v>
      </c>
      <c r="P249" t="s">
        <v>42</v>
      </c>
    </row>
    <row r="250" spans="1:16" x14ac:dyDescent="0.25">
      <c r="A250" t="s">
        <v>553</v>
      </c>
      <c r="B250" t="s">
        <v>554</v>
      </c>
      <c r="C250" t="s">
        <v>85</v>
      </c>
      <c r="D250" t="s">
        <v>38</v>
      </c>
      <c r="E250" t="s">
        <v>39</v>
      </c>
      <c r="F250" t="s">
        <v>40</v>
      </c>
      <c r="G250" t="s">
        <v>62</v>
      </c>
      <c r="H250" t="s">
        <v>58</v>
      </c>
      <c r="I250">
        <v>6</v>
      </c>
      <c r="J250">
        <v>527495</v>
      </c>
      <c r="K250">
        <v>0</v>
      </c>
      <c r="L250">
        <v>3164970</v>
      </c>
      <c r="M250" t="s">
        <v>42</v>
      </c>
      <c r="N250" t="s">
        <v>26</v>
      </c>
      <c r="O250" t="s">
        <v>44</v>
      </c>
      <c r="P250" t="s">
        <v>55</v>
      </c>
    </row>
    <row r="251" spans="1:16" x14ac:dyDescent="0.25">
      <c r="A251" t="s">
        <v>555</v>
      </c>
      <c r="B251" t="s">
        <v>493</v>
      </c>
      <c r="C251" t="s">
        <v>37</v>
      </c>
      <c r="D251" t="s">
        <v>30</v>
      </c>
      <c r="E251" t="s">
        <v>31</v>
      </c>
      <c r="F251" t="s">
        <v>32</v>
      </c>
      <c r="G251" t="s">
        <v>23</v>
      </c>
      <c r="H251" t="s">
        <v>34</v>
      </c>
      <c r="I251">
        <v>6</v>
      </c>
      <c r="J251">
        <v>830380</v>
      </c>
      <c r="K251">
        <v>12</v>
      </c>
      <c r="L251">
        <v>4384406.4000000004</v>
      </c>
      <c r="M251" t="s">
        <v>42</v>
      </c>
      <c r="N251" t="s">
        <v>43</v>
      </c>
      <c r="O251" t="s">
        <v>27</v>
      </c>
      <c r="P251" t="s">
        <v>42</v>
      </c>
    </row>
    <row r="252" spans="1:16" x14ac:dyDescent="0.25">
      <c r="A252" t="s">
        <v>556</v>
      </c>
      <c r="B252" t="s">
        <v>557</v>
      </c>
      <c r="C252" t="s">
        <v>19</v>
      </c>
      <c r="D252" t="s">
        <v>20</v>
      </c>
      <c r="E252" t="s">
        <v>21</v>
      </c>
      <c r="F252" t="s">
        <v>22</v>
      </c>
      <c r="G252" t="s">
        <v>94</v>
      </c>
      <c r="H252" t="s">
        <v>24</v>
      </c>
      <c r="I252">
        <v>3</v>
      </c>
      <c r="J252">
        <v>259751</v>
      </c>
      <c r="K252">
        <v>5</v>
      </c>
      <c r="L252">
        <v>740290.35</v>
      </c>
      <c r="M252" t="s">
        <v>25</v>
      </c>
      <c r="N252" t="s">
        <v>26</v>
      </c>
      <c r="O252" t="s">
        <v>27</v>
      </c>
      <c r="P252" t="s">
        <v>26</v>
      </c>
    </row>
    <row r="253" spans="1:16" x14ac:dyDescent="0.25">
      <c r="A253" t="s">
        <v>558</v>
      </c>
      <c r="B253" t="s">
        <v>559</v>
      </c>
      <c r="C253" t="s">
        <v>91</v>
      </c>
      <c r="D253" t="s">
        <v>66</v>
      </c>
      <c r="E253" t="s">
        <v>67</v>
      </c>
      <c r="F253" t="s">
        <v>68</v>
      </c>
      <c r="G253" t="s">
        <v>23</v>
      </c>
      <c r="H253" t="s">
        <v>24</v>
      </c>
      <c r="I253">
        <v>2</v>
      </c>
      <c r="J253">
        <v>857769</v>
      </c>
      <c r="K253">
        <v>5</v>
      </c>
      <c r="L253">
        <v>1629761.1</v>
      </c>
      <c r="M253" t="s">
        <v>54</v>
      </c>
      <c r="N253" t="s">
        <v>69</v>
      </c>
      <c r="O253" t="s">
        <v>27</v>
      </c>
      <c r="P253" t="s">
        <v>42</v>
      </c>
    </row>
    <row r="254" spans="1:16" x14ac:dyDescent="0.25">
      <c r="A254" t="s">
        <v>560</v>
      </c>
      <c r="B254" t="s">
        <v>561</v>
      </c>
      <c r="C254" t="s">
        <v>19</v>
      </c>
      <c r="D254" t="s">
        <v>30</v>
      </c>
      <c r="E254" t="s">
        <v>31</v>
      </c>
      <c r="F254" t="s">
        <v>32</v>
      </c>
      <c r="G254" t="s">
        <v>62</v>
      </c>
      <c r="H254" t="s">
        <v>58</v>
      </c>
      <c r="I254">
        <v>1</v>
      </c>
      <c r="J254">
        <v>217396</v>
      </c>
      <c r="K254">
        <v>2</v>
      </c>
      <c r="L254">
        <v>213048.08</v>
      </c>
      <c r="M254" t="s">
        <v>42</v>
      </c>
      <c r="N254" t="s">
        <v>43</v>
      </c>
      <c r="O254" t="s">
        <v>44</v>
      </c>
      <c r="P254" t="s">
        <v>26</v>
      </c>
    </row>
    <row r="255" spans="1:16" x14ac:dyDescent="0.25">
      <c r="A255" t="s">
        <v>562</v>
      </c>
      <c r="B255" t="s">
        <v>563</v>
      </c>
      <c r="C255" t="s">
        <v>19</v>
      </c>
      <c r="D255" t="s">
        <v>30</v>
      </c>
      <c r="E255" t="s">
        <v>31</v>
      </c>
      <c r="F255" t="s">
        <v>32</v>
      </c>
      <c r="G255" t="s">
        <v>52</v>
      </c>
      <c r="H255" t="s">
        <v>58</v>
      </c>
      <c r="I255">
        <v>2</v>
      </c>
      <c r="J255">
        <v>431835</v>
      </c>
      <c r="K255">
        <v>5</v>
      </c>
      <c r="L255">
        <v>820486.5</v>
      </c>
      <c r="M255" t="s">
        <v>54</v>
      </c>
      <c r="N255" t="s">
        <v>69</v>
      </c>
      <c r="O255" t="s">
        <v>44</v>
      </c>
      <c r="P255" t="s">
        <v>42</v>
      </c>
    </row>
    <row r="256" spans="1:16" x14ac:dyDescent="0.25">
      <c r="A256" t="s">
        <v>564</v>
      </c>
      <c r="B256" t="s">
        <v>565</v>
      </c>
      <c r="C256" t="s">
        <v>61</v>
      </c>
      <c r="D256" t="s">
        <v>38</v>
      </c>
      <c r="E256" t="s">
        <v>39</v>
      </c>
      <c r="F256" t="s">
        <v>40</v>
      </c>
      <c r="G256" t="s">
        <v>62</v>
      </c>
      <c r="H256" t="s">
        <v>58</v>
      </c>
      <c r="I256">
        <v>6</v>
      </c>
      <c r="J256">
        <v>881441</v>
      </c>
      <c r="K256">
        <v>5</v>
      </c>
      <c r="L256">
        <v>5024213.7</v>
      </c>
      <c r="M256" t="s">
        <v>42</v>
      </c>
      <c r="N256" t="s">
        <v>26</v>
      </c>
      <c r="O256" t="s">
        <v>27</v>
      </c>
      <c r="P256" t="s">
        <v>55</v>
      </c>
    </row>
    <row r="257" spans="1:16" x14ac:dyDescent="0.25">
      <c r="A257" t="s">
        <v>566</v>
      </c>
      <c r="B257" t="s">
        <v>567</v>
      </c>
      <c r="C257" t="s">
        <v>79</v>
      </c>
      <c r="D257" t="s">
        <v>20</v>
      </c>
      <c r="E257" t="s">
        <v>21</v>
      </c>
      <c r="F257" t="s">
        <v>22</v>
      </c>
      <c r="G257" t="s">
        <v>33</v>
      </c>
      <c r="H257" t="s">
        <v>34</v>
      </c>
      <c r="I257">
        <v>2</v>
      </c>
      <c r="J257">
        <v>98333</v>
      </c>
      <c r="K257">
        <v>7</v>
      </c>
      <c r="L257">
        <v>182899.38</v>
      </c>
      <c r="M257" t="s">
        <v>42</v>
      </c>
      <c r="N257" t="s">
        <v>69</v>
      </c>
      <c r="O257" t="s">
        <v>27</v>
      </c>
      <c r="P257" t="s">
        <v>42</v>
      </c>
    </row>
    <row r="258" spans="1:16" x14ac:dyDescent="0.25">
      <c r="A258" t="s">
        <v>568</v>
      </c>
      <c r="B258" t="s">
        <v>569</v>
      </c>
      <c r="C258" t="s">
        <v>76</v>
      </c>
      <c r="D258" t="s">
        <v>20</v>
      </c>
      <c r="E258" t="s">
        <v>21</v>
      </c>
      <c r="F258" t="s">
        <v>22</v>
      </c>
      <c r="G258" t="s">
        <v>62</v>
      </c>
      <c r="H258" t="s">
        <v>58</v>
      </c>
      <c r="I258">
        <v>7</v>
      </c>
      <c r="J258">
        <v>591718</v>
      </c>
      <c r="K258">
        <v>5</v>
      </c>
      <c r="L258">
        <v>3934924.7</v>
      </c>
      <c r="M258" t="s">
        <v>42</v>
      </c>
      <c r="N258" t="s">
        <v>26</v>
      </c>
      <c r="O258" t="s">
        <v>27</v>
      </c>
      <c r="P258" t="s">
        <v>42</v>
      </c>
    </row>
    <row r="259" spans="1:16" x14ac:dyDescent="0.25">
      <c r="A259" t="s">
        <v>570</v>
      </c>
      <c r="B259" t="s">
        <v>571</v>
      </c>
      <c r="C259" t="s">
        <v>65</v>
      </c>
      <c r="D259" t="s">
        <v>38</v>
      </c>
      <c r="E259" t="s">
        <v>130</v>
      </c>
      <c r="F259" t="s">
        <v>40</v>
      </c>
      <c r="G259" t="s">
        <v>73</v>
      </c>
      <c r="H259" t="s">
        <v>58</v>
      </c>
      <c r="I259">
        <v>3</v>
      </c>
      <c r="J259">
        <v>532442</v>
      </c>
      <c r="K259">
        <v>10</v>
      </c>
      <c r="L259">
        <v>1437593.4</v>
      </c>
      <c r="M259" t="s">
        <v>25</v>
      </c>
      <c r="N259" t="s">
        <v>26</v>
      </c>
      <c r="O259" t="s">
        <v>27</v>
      </c>
      <c r="P259" t="s">
        <v>42</v>
      </c>
    </row>
    <row r="260" spans="1:16" x14ac:dyDescent="0.25">
      <c r="A260" t="s">
        <v>572</v>
      </c>
      <c r="B260" t="s">
        <v>573</v>
      </c>
      <c r="C260" t="s">
        <v>37</v>
      </c>
      <c r="D260" t="s">
        <v>51</v>
      </c>
      <c r="E260" t="s">
        <v>48</v>
      </c>
      <c r="F260" t="s">
        <v>22</v>
      </c>
      <c r="G260" t="s">
        <v>62</v>
      </c>
      <c r="H260" t="s">
        <v>86</v>
      </c>
      <c r="I260">
        <v>8</v>
      </c>
      <c r="J260">
        <v>356359</v>
      </c>
      <c r="K260">
        <v>12</v>
      </c>
      <c r="L260">
        <v>2508767.36</v>
      </c>
      <c r="M260" t="s">
        <v>25</v>
      </c>
      <c r="N260" t="s">
        <v>43</v>
      </c>
      <c r="O260" t="s">
        <v>44</v>
      </c>
      <c r="P260" t="s">
        <v>55</v>
      </c>
    </row>
    <row r="261" spans="1:16" x14ac:dyDescent="0.25">
      <c r="A261" t="s">
        <v>574</v>
      </c>
      <c r="B261" t="s">
        <v>575</v>
      </c>
      <c r="C261" t="s">
        <v>37</v>
      </c>
      <c r="D261" t="s">
        <v>154</v>
      </c>
      <c r="E261" t="s">
        <v>67</v>
      </c>
      <c r="F261" t="s">
        <v>68</v>
      </c>
      <c r="G261" t="s">
        <v>23</v>
      </c>
      <c r="H261" t="s">
        <v>53</v>
      </c>
      <c r="I261">
        <v>5</v>
      </c>
      <c r="J261">
        <v>636217</v>
      </c>
      <c r="K261">
        <v>10</v>
      </c>
      <c r="L261">
        <v>2862976.5</v>
      </c>
      <c r="M261" t="s">
        <v>25</v>
      </c>
      <c r="N261" t="s">
        <v>69</v>
      </c>
      <c r="O261" t="s">
        <v>44</v>
      </c>
      <c r="P261" t="s">
        <v>26</v>
      </c>
    </row>
    <row r="262" spans="1:16" x14ac:dyDescent="0.25">
      <c r="A262" t="s">
        <v>576</v>
      </c>
      <c r="B262" t="s">
        <v>577</v>
      </c>
      <c r="C262" t="s">
        <v>19</v>
      </c>
      <c r="D262" t="s">
        <v>30</v>
      </c>
      <c r="E262" t="s">
        <v>31</v>
      </c>
      <c r="F262" t="s">
        <v>32</v>
      </c>
      <c r="G262" t="s">
        <v>33</v>
      </c>
      <c r="H262" t="s">
        <v>53</v>
      </c>
      <c r="I262">
        <v>1</v>
      </c>
      <c r="J262">
        <v>521202</v>
      </c>
      <c r="K262">
        <v>10</v>
      </c>
      <c r="L262">
        <v>469081.8</v>
      </c>
      <c r="M262" t="s">
        <v>25</v>
      </c>
      <c r="N262" t="s">
        <v>43</v>
      </c>
      <c r="O262" t="s">
        <v>44</v>
      </c>
      <c r="P262" t="s">
        <v>42</v>
      </c>
    </row>
    <row r="263" spans="1:16" x14ac:dyDescent="0.25">
      <c r="A263" t="s">
        <v>578</v>
      </c>
      <c r="B263" t="s">
        <v>579</v>
      </c>
      <c r="C263" t="s">
        <v>85</v>
      </c>
      <c r="D263" t="s">
        <v>20</v>
      </c>
      <c r="E263" t="s">
        <v>189</v>
      </c>
      <c r="F263" t="s">
        <v>22</v>
      </c>
      <c r="G263" t="s">
        <v>52</v>
      </c>
      <c r="H263" t="s">
        <v>86</v>
      </c>
      <c r="I263">
        <v>4</v>
      </c>
      <c r="J263">
        <v>380978</v>
      </c>
      <c r="K263">
        <v>0</v>
      </c>
      <c r="L263">
        <v>1523912</v>
      </c>
      <c r="M263" t="s">
        <v>25</v>
      </c>
      <c r="N263" t="s">
        <v>26</v>
      </c>
      <c r="O263" t="s">
        <v>44</v>
      </c>
      <c r="P263" t="s">
        <v>42</v>
      </c>
    </row>
    <row r="264" spans="1:16" x14ac:dyDescent="0.25">
      <c r="A264" t="s">
        <v>580</v>
      </c>
      <c r="B264" t="s">
        <v>581</v>
      </c>
      <c r="C264" t="s">
        <v>85</v>
      </c>
      <c r="D264" t="s">
        <v>38</v>
      </c>
      <c r="E264" t="s">
        <v>39</v>
      </c>
      <c r="F264" t="s">
        <v>40</v>
      </c>
      <c r="G264" t="s">
        <v>135</v>
      </c>
      <c r="H264" t="s">
        <v>53</v>
      </c>
      <c r="I264">
        <v>2</v>
      </c>
      <c r="J264">
        <v>848838</v>
      </c>
      <c r="K264">
        <v>10</v>
      </c>
      <c r="L264">
        <v>1527908.4</v>
      </c>
      <c r="M264" t="s">
        <v>25</v>
      </c>
      <c r="N264" t="s">
        <v>69</v>
      </c>
      <c r="O264" t="s">
        <v>44</v>
      </c>
      <c r="P264" t="s">
        <v>42</v>
      </c>
    </row>
    <row r="265" spans="1:16" x14ac:dyDescent="0.25">
      <c r="A265" t="s">
        <v>582</v>
      </c>
      <c r="B265" t="s">
        <v>349</v>
      </c>
      <c r="C265" t="s">
        <v>85</v>
      </c>
      <c r="D265" t="s">
        <v>20</v>
      </c>
      <c r="E265" t="s">
        <v>21</v>
      </c>
      <c r="F265" t="s">
        <v>22</v>
      </c>
      <c r="G265" t="s">
        <v>52</v>
      </c>
      <c r="H265" t="s">
        <v>24</v>
      </c>
      <c r="I265">
        <v>8</v>
      </c>
      <c r="J265">
        <v>624130</v>
      </c>
      <c r="K265">
        <v>2</v>
      </c>
      <c r="L265">
        <v>4893179.2</v>
      </c>
      <c r="M265" t="s">
        <v>25</v>
      </c>
      <c r="N265" t="s">
        <v>69</v>
      </c>
      <c r="O265" t="s">
        <v>44</v>
      </c>
      <c r="P265" t="s">
        <v>55</v>
      </c>
    </row>
    <row r="266" spans="1:16" x14ac:dyDescent="0.25">
      <c r="A266" t="s">
        <v>583</v>
      </c>
      <c r="B266" t="s">
        <v>584</v>
      </c>
      <c r="C266" t="s">
        <v>37</v>
      </c>
      <c r="D266" t="s">
        <v>20</v>
      </c>
      <c r="E266" t="s">
        <v>21</v>
      </c>
      <c r="F266" t="s">
        <v>22</v>
      </c>
      <c r="G266" t="s">
        <v>124</v>
      </c>
      <c r="H266" t="s">
        <v>53</v>
      </c>
      <c r="I266">
        <v>2</v>
      </c>
      <c r="J266">
        <v>348196</v>
      </c>
      <c r="K266">
        <v>10</v>
      </c>
      <c r="L266">
        <v>626752.80000000005</v>
      </c>
      <c r="M266" t="s">
        <v>54</v>
      </c>
      <c r="N266" t="s">
        <v>26</v>
      </c>
      <c r="O266" t="s">
        <v>44</v>
      </c>
      <c r="P266" t="s">
        <v>55</v>
      </c>
    </row>
    <row r="267" spans="1:16" x14ac:dyDescent="0.25">
      <c r="A267" t="s">
        <v>585</v>
      </c>
      <c r="B267" t="s">
        <v>586</v>
      </c>
      <c r="C267" t="s">
        <v>76</v>
      </c>
      <c r="D267" t="s">
        <v>20</v>
      </c>
      <c r="E267" t="s">
        <v>21</v>
      </c>
      <c r="F267" t="s">
        <v>22</v>
      </c>
      <c r="G267" t="s">
        <v>62</v>
      </c>
      <c r="H267" t="s">
        <v>53</v>
      </c>
      <c r="J267">
        <v>716647</v>
      </c>
      <c r="K267">
        <v>5</v>
      </c>
      <c r="M267" t="s">
        <v>42</v>
      </c>
      <c r="N267" t="s">
        <v>26</v>
      </c>
      <c r="O267" t="s">
        <v>44</v>
      </c>
      <c r="P267" t="s">
        <v>55</v>
      </c>
    </row>
    <row r="268" spans="1:16" x14ac:dyDescent="0.25">
      <c r="A268" t="s">
        <v>574</v>
      </c>
      <c r="B268" t="s">
        <v>587</v>
      </c>
      <c r="C268" t="s">
        <v>76</v>
      </c>
      <c r="D268" t="s">
        <v>66</v>
      </c>
      <c r="E268" t="s">
        <v>67</v>
      </c>
      <c r="F268" t="s">
        <v>68</v>
      </c>
      <c r="G268" t="s">
        <v>73</v>
      </c>
      <c r="H268" t="s">
        <v>34</v>
      </c>
      <c r="I268">
        <v>6</v>
      </c>
      <c r="J268">
        <v>541318</v>
      </c>
      <c r="K268">
        <v>5</v>
      </c>
      <c r="L268">
        <v>3085512.6</v>
      </c>
      <c r="M268" t="s">
        <v>25</v>
      </c>
      <c r="N268" t="s">
        <v>69</v>
      </c>
      <c r="O268" t="s">
        <v>44</v>
      </c>
      <c r="P268" t="s">
        <v>42</v>
      </c>
    </row>
    <row r="269" spans="1:16" x14ac:dyDescent="0.25">
      <c r="A269" t="s">
        <v>588</v>
      </c>
      <c r="B269" t="s">
        <v>589</v>
      </c>
      <c r="C269" t="s">
        <v>19</v>
      </c>
      <c r="D269" t="s">
        <v>47</v>
      </c>
      <c r="E269" t="s">
        <v>48</v>
      </c>
      <c r="F269" t="s">
        <v>22</v>
      </c>
      <c r="G269" t="s">
        <v>89</v>
      </c>
      <c r="H269" t="s">
        <v>34</v>
      </c>
      <c r="I269">
        <v>1</v>
      </c>
      <c r="J269">
        <v>661173</v>
      </c>
      <c r="K269">
        <v>12</v>
      </c>
      <c r="L269">
        <v>581832.24</v>
      </c>
      <c r="M269" t="s">
        <v>54</v>
      </c>
      <c r="N269" t="s">
        <v>69</v>
      </c>
      <c r="O269" t="s">
        <v>27</v>
      </c>
      <c r="P269" t="s">
        <v>42</v>
      </c>
    </row>
    <row r="270" spans="1:16" x14ac:dyDescent="0.25">
      <c r="A270" t="s">
        <v>590</v>
      </c>
      <c r="B270" t="s">
        <v>591</v>
      </c>
      <c r="C270" t="s">
        <v>65</v>
      </c>
      <c r="D270" t="s">
        <v>66</v>
      </c>
      <c r="E270" t="s">
        <v>67</v>
      </c>
      <c r="F270" t="s">
        <v>68</v>
      </c>
      <c r="G270" t="s">
        <v>62</v>
      </c>
      <c r="H270" t="s">
        <v>34</v>
      </c>
      <c r="I270">
        <v>1</v>
      </c>
      <c r="J270">
        <v>318100</v>
      </c>
      <c r="K270">
        <v>0</v>
      </c>
      <c r="L270">
        <v>318100</v>
      </c>
      <c r="M270" t="s">
        <v>54</v>
      </c>
      <c r="N270" t="s">
        <v>69</v>
      </c>
      <c r="O270" t="s">
        <v>27</v>
      </c>
      <c r="P270" t="s">
        <v>55</v>
      </c>
    </row>
    <row r="271" spans="1:16" x14ac:dyDescent="0.25">
      <c r="A271" t="s">
        <v>592</v>
      </c>
      <c r="B271" t="s">
        <v>501</v>
      </c>
      <c r="C271" t="s">
        <v>76</v>
      </c>
      <c r="D271" t="s">
        <v>66</v>
      </c>
      <c r="E271" t="s">
        <v>67</v>
      </c>
      <c r="F271" t="s">
        <v>68</v>
      </c>
      <c r="G271" t="s">
        <v>41</v>
      </c>
      <c r="H271" t="s">
        <v>34</v>
      </c>
      <c r="I271">
        <v>4</v>
      </c>
      <c r="J271">
        <v>584592</v>
      </c>
      <c r="K271">
        <v>7</v>
      </c>
      <c r="L271">
        <v>2174682.2400000002</v>
      </c>
      <c r="M271" t="s">
        <v>54</v>
      </c>
      <c r="N271" t="s">
        <v>26</v>
      </c>
      <c r="O271" t="s">
        <v>27</v>
      </c>
      <c r="P271" t="s">
        <v>26</v>
      </c>
    </row>
    <row r="272" spans="1:16" x14ac:dyDescent="0.25">
      <c r="A272" t="s">
        <v>593</v>
      </c>
      <c r="B272" t="s">
        <v>594</v>
      </c>
      <c r="C272" t="s">
        <v>19</v>
      </c>
      <c r="D272" t="s">
        <v>129</v>
      </c>
      <c r="E272" t="s">
        <v>39</v>
      </c>
      <c r="F272" t="s">
        <v>40</v>
      </c>
      <c r="G272" t="s">
        <v>41</v>
      </c>
      <c r="H272" t="s">
        <v>34</v>
      </c>
      <c r="I272">
        <v>3</v>
      </c>
      <c r="J272">
        <v>488816</v>
      </c>
      <c r="K272">
        <v>5</v>
      </c>
      <c r="L272">
        <v>1393125.6</v>
      </c>
      <c r="M272" t="s">
        <v>25</v>
      </c>
      <c r="N272" t="s">
        <v>26</v>
      </c>
      <c r="O272" t="s">
        <v>44</v>
      </c>
      <c r="P272" t="s">
        <v>55</v>
      </c>
    </row>
    <row r="273" spans="1:16" x14ac:dyDescent="0.25">
      <c r="A273" t="s">
        <v>595</v>
      </c>
      <c r="B273" t="s">
        <v>596</v>
      </c>
      <c r="C273" t="s">
        <v>76</v>
      </c>
      <c r="D273" t="s">
        <v>30</v>
      </c>
      <c r="E273" t="s">
        <v>31</v>
      </c>
      <c r="F273" t="s">
        <v>32</v>
      </c>
      <c r="G273" t="s">
        <v>52</v>
      </c>
      <c r="H273" t="s">
        <v>86</v>
      </c>
      <c r="I273">
        <v>5</v>
      </c>
      <c r="J273">
        <v>136361</v>
      </c>
      <c r="M273" t="s">
        <v>25</v>
      </c>
      <c r="N273" t="s">
        <v>69</v>
      </c>
      <c r="O273" t="s">
        <v>44</v>
      </c>
      <c r="P273" t="s">
        <v>42</v>
      </c>
    </row>
    <row r="274" spans="1:16" x14ac:dyDescent="0.25">
      <c r="A274" t="s">
        <v>597</v>
      </c>
      <c r="B274" t="s">
        <v>598</v>
      </c>
      <c r="C274" t="s">
        <v>76</v>
      </c>
      <c r="D274" t="s">
        <v>66</v>
      </c>
      <c r="E274" t="s">
        <v>67</v>
      </c>
      <c r="F274" t="s">
        <v>68</v>
      </c>
      <c r="G274" t="s">
        <v>52</v>
      </c>
      <c r="H274" t="s">
        <v>58</v>
      </c>
      <c r="I274">
        <v>5</v>
      </c>
      <c r="J274">
        <v>577434</v>
      </c>
      <c r="K274">
        <v>0</v>
      </c>
      <c r="L274">
        <v>2887170</v>
      </c>
      <c r="M274" t="s">
        <v>42</v>
      </c>
      <c r="N274" t="s">
        <v>43</v>
      </c>
      <c r="O274" t="s">
        <v>27</v>
      </c>
      <c r="P274" t="s">
        <v>26</v>
      </c>
    </row>
    <row r="275" spans="1:16" x14ac:dyDescent="0.25">
      <c r="A275" t="s">
        <v>599</v>
      </c>
      <c r="B275" t="s">
        <v>600</v>
      </c>
      <c r="C275" t="s">
        <v>37</v>
      </c>
      <c r="D275" t="s">
        <v>47</v>
      </c>
      <c r="E275" t="s">
        <v>48</v>
      </c>
      <c r="F275" t="s">
        <v>22</v>
      </c>
      <c r="G275" t="s">
        <v>94</v>
      </c>
      <c r="H275" t="s">
        <v>34</v>
      </c>
      <c r="I275">
        <v>1</v>
      </c>
      <c r="J275">
        <v>116943</v>
      </c>
      <c r="K275">
        <v>10</v>
      </c>
      <c r="L275">
        <v>105248.7</v>
      </c>
      <c r="M275" t="s">
        <v>54</v>
      </c>
      <c r="N275" t="s">
        <v>69</v>
      </c>
      <c r="O275" t="s">
        <v>27</v>
      </c>
      <c r="P275" t="s">
        <v>42</v>
      </c>
    </row>
    <row r="276" spans="1:16" x14ac:dyDescent="0.25">
      <c r="A276" t="s">
        <v>601</v>
      </c>
      <c r="B276" t="s">
        <v>389</v>
      </c>
      <c r="C276" t="s">
        <v>99</v>
      </c>
      <c r="D276" t="s">
        <v>20</v>
      </c>
      <c r="E276" t="s">
        <v>21</v>
      </c>
      <c r="F276" t="s">
        <v>22</v>
      </c>
      <c r="G276" t="s">
        <v>33</v>
      </c>
      <c r="H276" t="s">
        <v>24</v>
      </c>
      <c r="J276">
        <v>429094</v>
      </c>
      <c r="K276">
        <v>5</v>
      </c>
      <c r="M276" t="s">
        <v>42</v>
      </c>
      <c r="N276" t="s">
        <v>43</v>
      </c>
      <c r="O276" t="s">
        <v>27</v>
      </c>
      <c r="P276" t="s">
        <v>42</v>
      </c>
    </row>
    <row r="277" spans="1:16" x14ac:dyDescent="0.25">
      <c r="A277" t="s">
        <v>602</v>
      </c>
      <c r="B277" t="s">
        <v>603</v>
      </c>
      <c r="C277" t="s">
        <v>76</v>
      </c>
      <c r="D277" t="s">
        <v>20</v>
      </c>
      <c r="E277" t="s">
        <v>21</v>
      </c>
      <c r="F277" t="s">
        <v>22</v>
      </c>
      <c r="G277" t="s">
        <v>89</v>
      </c>
      <c r="H277" t="s">
        <v>53</v>
      </c>
      <c r="I277">
        <v>4</v>
      </c>
      <c r="J277">
        <v>626790</v>
      </c>
      <c r="K277">
        <v>2</v>
      </c>
      <c r="L277">
        <v>2457016.7999999998</v>
      </c>
      <c r="M277" t="s">
        <v>54</v>
      </c>
      <c r="N277" t="s">
        <v>69</v>
      </c>
      <c r="O277" t="s">
        <v>27</v>
      </c>
      <c r="P277" t="s">
        <v>26</v>
      </c>
    </row>
    <row r="278" spans="1:16" x14ac:dyDescent="0.25">
      <c r="A278" t="s">
        <v>604</v>
      </c>
      <c r="B278" t="s">
        <v>605</v>
      </c>
      <c r="C278" t="s">
        <v>37</v>
      </c>
      <c r="D278" t="s">
        <v>20</v>
      </c>
      <c r="E278" t="s">
        <v>21</v>
      </c>
      <c r="F278" t="s">
        <v>22</v>
      </c>
      <c r="G278" t="s">
        <v>52</v>
      </c>
      <c r="H278" t="s">
        <v>24</v>
      </c>
      <c r="I278">
        <v>6</v>
      </c>
      <c r="J278">
        <v>794165</v>
      </c>
      <c r="K278">
        <v>2</v>
      </c>
      <c r="L278">
        <v>4669690.2</v>
      </c>
      <c r="M278" t="s">
        <v>54</v>
      </c>
      <c r="N278" t="s">
        <v>69</v>
      </c>
      <c r="O278" t="s">
        <v>27</v>
      </c>
      <c r="P278" t="s">
        <v>55</v>
      </c>
    </row>
    <row r="279" spans="1:16" x14ac:dyDescent="0.25">
      <c r="A279" t="s">
        <v>606</v>
      </c>
      <c r="B279" t="s">
        <v>518</v>
      </c>
      <c r="C279" t="s">
        <v>85</v>
      </c>
      <c r="D279" t="s">
        <v>51</v>
      </c>
      <c r="E279" t="s">
        <v>48</v>
      </c>
      <c r="F279" t="s">
        <v>22</v>
      </c>
      <c r="G279" t="s">
        <v>23</v>
      </c>
      <c r="H279" t="s">
        <v>24</v>
      </c>
      <c r="I279">
        <v>5</v>
      </c>
      <c r="J279">
        <v>177570</v>
      </c>
      <c r="K279">
        <v>2</v>
      </c>
      <c r="L279">
        <v>870093</v>
      </c>
      <c r="M279" t="s">
        <v>42</v>
      </c>
      <c r="N279" t="s">
        <v>69</v>
      </c>
      <c r="O279" t="s">
        <v>44</v>
      </c>
      <c r="P279" t="s">
        <v>55</v>
      </c>
    </row>
    <row r="280" spans="1:16" x14ac:dyDescent="0.25">
      <c r="A280" t="s">
        <v>607</v>
      </c>
      <c r="B280" t="s">
        <v>608</v>
      </c>
      <c r="C280" t="s">
        <v>65</v>
      </c>
      <c r="D280" t="s">
        <v>66</v>
      </c>
      <c r="E280" t="s">
        <v>201</v>
      </c>
      <c r="F280" t="s">
        <v>68</v>
      </c>
      <c r="G280" t="s">
        <v>41</v>
      </c>
      <c r="H280" t="s">
        <v>86</v>
      </c>
      <c r="I280">
        <v>2</v>
      </c>
      <c r="J280">
        <v>501140</v>
      </c>
      <c r="K280">
        <v>10</v>
      </c>
      <c r="L280">
        <v>902052</v>
      </c>
      <c r="M280" t="s">
        <v>25</v>
      </c>
      <c r="N280" t="s">
        <v>26</v>
      </c>
      <c r="O280" t="s">
        <v>27</v>
      </c>
      <c r="P280" t="s">
        <v>55</v>
      </c>
    </row>
    <row r="281" spans="1:16" x14ac:dyDescent="0.25">
      <c r="A281" t="s">
        <v>609</v>
      </c>
      <c r="B281" t="s">
        <v>610</v>
      </c>
      <c r="C281" t="s">
        <v>37</v>
      </c>
      <c r="D281" t="s">
        <v>20</v>
      </c>
      <c r="E281" t="s">
        <v>21</v>
      </c>
      <c r="F281" t="s">
        <v>22</v>
      </c>
      <c r="G281" t="s">
        <v>41</v>
      </c>
      <c r="H281" t="s">
        <v>53</v>
      </c>
      <c r="I281">
        <v>3</v>
      </c>
      <c r="J281">
        <v>205653</v>
      </c>
      <c r="K281">
        <v>12</v>
      </c>
      <c r="L281">
        <v>542923.92000000004</v>
      </c>
      <c r="M281" t="s">
        <v>54</v>
      </c>
      <c r="N281" t="s">
        <v>43</v>
      </c>
      <c r="O281" t="s">
        <v>44</v>
      </c>
      <c r="P281" t="s">
        <v>42</v>
      </c>
    </row>
    <row r="282" spans="1:16" x14ac:dyDescent="0.25">
      <c r="A282" t="s">
        <v>611</v>
      </c>
      <c r="B282" t="s">
        <v>528</v>
      </c>
      <c r="C282" t="s">
        <v>65</v>
      </c>
      <c r="D282" t="s">
        <v>129</v>
      </c>
      <c r="E282" t="s">
        <v>39</v>
      </c>
      <c r="F282" t="s">
        <v>40</v>
      </c>
      <c r="G282" t="s">
        <v>89</v>
      </c>
      <c r="H282" t="s">
        <v>53</v>
      </c>
      <c r="I282">
        <v>8</v>
      </c>
      <c r="J282">
        <v>564393</v>
      </c>
      <c r="K282">
        <v>2</v>
      </c>
      <c r="L282">
        <v>4424841.12</v>
      </c>
      <c r="M282" t="s">
        <v>54</v>
      </c>
      <c r="N282" t="s">
        <v>69</v>
      </c>
      <c r="O282" t="s">
        <v>27</v>
      </c>
      <c r="P282" t="s">
        <v>42</v>
      </c>
    </row>
    <row r="283" spans="1:16" x14ac:dyDescent="0.25">
      <c r="A283" t="s">
        <v>612</v>
      </c>
      <c r="B283" t="s">
        <v>613</v>
      </c>
      <c r="C283" t="s">
        <v>79</v>
      </c>
      <c r="D283" t="s">
        <v>38</v>
      </c>
      <c r="E283" t="s">
        <v>39</v>
      </c>
      <c r="F283" t="s">
        <v>40</v>
      </c>
      <c r="G283" t="s">
        <v>23</v>
      </c>
      <c r="H283" t="s">
        <v>34</v>
      </c>
      <c r="I283">
        <v>6</v>
      </c>
      <c r="J283">
        <v>303400</v>
      </c>
      <c r="K283">
        <v>0</v>
      </c>
      <c r="L283">
        <v>1820400</v>
      </c>
      <c r="M283" t="s">
        <v>42</v>
      </c>
      <c r="N283" t="s">
        <v>26</v>
      </c>
      <c r="O283" t="s">
        <v>27</v>
      </c>
      <c r="P283" t="s">
        <v>26</v>
      </c>
    </row>
    <row r="284" spans="1:16" x14ac:dyDescent="0.25">
      <c r="A284" t="s">
        <v>614</v>
      </c>
      <c r="B284" t="s">
        <v>615</v>
      </c>
      <c r="C284" t="s">
        <v>61</v>
      </c>
      <c r="D284" t="s">
        <v>30</v>
      </c>
      <c r="E284" t="s">
        <v>31</v>
      </c>
      <c r="F284" t="s">
        <v>32</v>
      </c>
      <c r="G284" t="s">
        <v>41</v>
      </c>
      <c r="H284" t="s">
        <v>24</v>
      </c>
      <c r="I284">
        <v>6</v>
      </c>
      <c r="J284">
        <v>308437</v>
      </c>
      <c r="K284">
        <v>0</v>
      </c>
      <c r="L284">
        <v>1850622</v>
      </c>
      <c r="M284" t="s">
        <v>25</v>
      </c>
      <c r="N284" t="s">
        <v>69</v>
      </c>
      <c r="O284" t="s">
        <v>44</v>
      </c>
      <c r="P284" t="s">
        <v>55</v>
      </c>
    </row>
    <row r="285" spans="1:16" x14ac:dyDescent="0.25">
      <c r="A285" t="s">
        <v>616</v>
      </c>
      <c r="B285" t="s">
        <v>617</v>
      </c>
      <c r="C285" t="s">
        <v>76</v>
      </c>
      <c r="D285" t="s">
        <v>20</v>
      </c>
      <c r="E285" t="s">
        <v>21</v>
      </c>
      <c r="F285" t="s">
        <v>22</v>
      </c>
      <c r="G285" t="s">
        <v>33</v>
      </c>
      <c r="H285" t="s">
        <v>58</v>
      </c>
      <c r="I285">
        <v>4</v>
      </c>
      <c r="J285">
        <v>289347</v>
      </c>
      <c r="K285">
        <v>10</v>
      </c>
      <c r="L285">
        <v>1041649.2</v>
      </c>
      <c r="M285" t="s">
        <v>42</v>
      </c>
      <c r="N285" t="s">
        <v>69</v>
      </c>
      <c r="O285" t="s">
        <v>27</v>
      </c>
      <c r="P285" t="s">
        <v>26</v>
      </c>
    </row>
    <row r="286" spans="1:16" x14ac:dyDescent="0.25">
      <c r="A286" t="s">
        <v>618</v>
      </c>
      <c r="B286" t="s">
        <v>619</v>
      </c>
      <c r="C286" t="s">
        <v>79</v>
      </c>
      <c r="D286" t="s">
        <v>20</v>
      </c>
      <c r="E286" t="s">
        <v>189</v>
      </c>
      <c r="F286" t="s">
        <v>22</v>
      </c>
      <c r="G286" t="s">
        <v>73</v>
      </c>
      <c r="H286" t="s">
        <v>53</v>
      </c>
      <c r="I286">
        <v>1</v>
      </c>
      <c r="J286">
        <v>637421</v>
      </c>
      <c r="K286">
        <v>2</v>
      </c>
      <c r="L286">
        <v>624672.57999999996</v>
      </c>
      <c r="M286" t="s">
        <v>54</v>
      </c>
      <c r="N286" t="s">
        <v>69</v>
      </c>
      <c r="O286" t="s">
        <v>44</v>
      </c>
      <c r="P286" t="s">
        <v>26</v>
      </c>
    </row>
    <row r="287" spans="1:16" x14ac:dyDescent="0.25">
      <c r="A287" t="s">
        <v>620</v>
      </c>
      <c r="B287" t="s">
        <v>621</v>
      </c>
      <c r="C287" t="s">
        <v>85</v>
      </c>
      <c r="D287" t="s">
        <v>20</v>
      </c>
      <c r="E287" t="s">
        <v>21</v>
      </c>
      <c r="F287" t="s">
        <v>22</v>
      </c>
      <c r="G287" t="s">
        <v>33</v>
      </c>
      <c r="H287" t="s">
        <v>24</v>
      </c>
      <c r="I287">
        <v>1</v>
      </c>
      <c r="J287">
        <v>356683</v>
      </c>
      <c r="K287">
        <v>0</v>
      </c>
      <c r="L287">
        <v>356683</v>
      </c>
      <c r="M287" t="s">
        <v>25</v>
      </c>
      <c r="N287" t="s">
        <v>43</v>
      </c>
      <c r="O287" t="s">
        <v>27</v>
      </c>
      <c r="P287" t="s">
        <v>55</v>
      </c>
    </row>
    <row r="288" spans="1:16" x14ac:dyDescent="0.25">
      <c r="A288" t="s">
        <v>622</v>
      </c>
      <c r="B288" t="s">
        <v>623</v>
      </c>
      <c r="C288" t="s">
        <v>37</v>
      </c>
      <c r="D288" t="s">
        <v>30</v>
      </c>
      <c r="E288" t="s">
        <v>31</v>
      </c>
      <c r="F288" t="s">
        <v>32</v>
      </c>
      <c r="G288" t="s">
        <v>62</v>
      </c>
      <c r="H288" t="s">
        <v>34</v>
      </c>
      <c r="I288">
        <v>6</v>
      </c>
      <c r="J288">
        <v>888244</v>
      </c>
      <c r="K288">
        <v>12</v>
      </c>
      <c r="L288">
        <v>4689928.32</v>
      </c>
      <c r="M288" t="s">
        <v>54</v>
      </c>
      <c r="N288" t="s">
        <v>43</v>
      </c>
      <c r="O288" t="s">
        <v>44</v>
      </c>
      <c r="P288" t="s">
        <v>55</v>
      </c>
    </row>
    <row r="289" spans="1:16" x14ac:dyDescent="0.25">
      <c r="A289" t="s">
        <v>624</v>
      </c>
      <c r="B289" t="s">
        <v>625</v>
      </c>
      <c r="C289" t="s">
        <v>65</v>
      </c>
      <c r="D289" t="s">
        <v>30</v>
      </c>
      <c r="E289" t="s">
        <v>31</v>
      </c>
      <c r="F289" t="s">
        <v>32</v>
      </c>
      <c r="G289" t="s">
        <v>33</v>
      </c>
      <c r="H289" t="s">
        <v>58</v>
      </c>
      <c r="I289">
        <v>2</v>
      </c>
      <c r="J289">
        <v>254001</v>
      </c>
      <c r="K289">
        <v>12</v>
      </c>
      <c r="L289">
        <v>447041.76</v>
      </c>
      <c r="M289" t="s">
        <v>25</v>
      </c>
      <c r="N289" t="s">
        <v>69</v>
      </c>
      <c r="O289" t="s">
        <v>44</v>
      </c>
      <c r="P289" t="s">
        <v>42</v>
      </c>
    </row>
    <row r="290" spans="1:16" x14ac:dyDescent="0.25">
      <c r="A290" t="s">
        <v>626</v>
      </c>
      <c r="B290" t="s">
        <v>627</v>
      </c>
      <c r="C290" t="s">
        <v>76</v>
      </c>
      <c r="D290" t="s">
        <v>20</v>
      </c>
      <c r="E290" t="s">
        <v>21</v>
      </c>
      <c r="F290" t="s">
        <v>22</v>
      </c>
      <c r="G290" t="s">
        <v>33</v>
      </c>
      <c r="H290" t="s">
        <v>58</v>
      </c>
      <c r="I290">
        <v>3</v>
      </c>
      <c r="J290">
        <v>702698</v>
      </c>
      <c r="K290">
        <v>0</v>
      </c>
      <c r="L290">
        <v>2108094</v>
      </c>
      <c r="M290" t="s">
        <v>25</v>
      </c>
      <c r="N290" t="s">
        <v>43</v>
      </c>
      <c r="O290" t="s">
        <v>27</v>
      </c>
      <c r="P290" t="s">
        <v>42</v>
      </c>
    </row>
    <row r="291" spans="1:16" x14ac:dyDescent="0.25">
      <c r="A291" t="s">
        <v>628</v>
      </c>
      <c r="B291" t="s">
        <v>629</v>
      </c>
      <c r="C291" t="s">
        <v>85</v>
      </c>
      <c r="D291" t="s">
        <v>47</v>
      </c>
      <c r="E291" t="s">
        <v>72</v>
      </c>
      <c r="F291" t="s">
        <v>22</v>
      </c>
      <c r="G291" t="s">
        <v>62</v>
      </c>
      <c r="H291" t="s">
        <v>58</v>
      </c>
      <c r="I291">
        <v>3</v>
      </c>
      <c r="J291">
        <v>689288</v>
      </c>
      <c r="K291">
        <v>12</v>
      </c>
      <c r="L291">
        <v>1819720.32</v>
      </c>
      <c r="M291" t="s">
        <v>42</v>
      </c>
      <c r="N291" t="s">
        <v>69</v>
      </c>
      <c r="O291" t="s">
        <v>44</v>
      </c>
      <c r="P291" t="s">
        <v>42</v>
      </c>
    </row>
    <row r="292" spans="1:16" x14ac:dyDescent="0.25">
      <c r="A292" t="s">
        <v>630</v>
      </c>
      <c r="B292" t="s">
        <v>631</v>
      </c>
      <c r="C292" t="s">
        <v>19</v>
      </c>
      <c r="D292" t="s">
        <v>66</v>
      </c>
      <c r="E292" t="s">
        <v>67</v>
      </c>
      <c r="F292" t="s">
        <v>68</v>
      </c>
      <c r="G292" t="s">
        <v>52</v>
      </c>
      <c r="H292" t="s">
        <v>58</v>
      </c>
      <c r="I292">
        <v>6</v>
      </c>
      <c r="J292">
        <v>170014</v>
      </c>
      <c r="K292">
        <v>2</v>
      </c>
      <c r="L292">
        <v>999682.32</v>
      </c>
      <c r="M292" t="s">
        <v>25</v>
      </c>
      <c r="N292" t="s">
        <v>26</v>
      </c>
      <c r="O292" t="s">
        <v>44</v>
      </c>
      <c r="P292" t="s">
        <v>42</v>
      </c>
    </row>
    <row r="293" spans="1:16" x14ac:dyDescent="0.25">
      <c r="A293" t="s">
        <v>632</v>
      </c>
      <c r="B293" t="s">
        <v>633</v>
      </c>
      <c r="C293" t="s">
        <v>19</v>
      </c>
      <c r="D293" t="s">
        <v>38</v>
      </c>
      <c r="E293" t="s">
        <v>39</v>
      </c>
      <c r="F293" t="s">
        <v>40</v>
      </c>
      <c r="G293" t="s">
        <v>124</v>
      </c>
      <c r="H293" t="s">
        <v>24</v>
      </c>
      <c r="I293">
        <v>2</v>
      </c>
      <c r="J293">
        <v>747006</v>
      </c>
      <c r="K293">
        <v>0</v>
      </c>
      <c r="L293">
        <v>1506357</v>
      </c>
      <c r="M293" t="s">
        <v>42</v>
      </c>
      <c r="N293" t="s">
        <v>43</v>
      </c>
      <c r="O293" t="s">
        <v>27</v>
      </c>
      <c r="P293" t="s">
        <v>26</v>
      </c>
    </row>
    <row r="294" spans="1:16" x14ac:dyDescent="0.25">
      <c r="A294" t="s">
        <v>634</v>
      </c>
      <c r="B294" t="s">
        <v>497</v>
      </c>
      <c r="C294" t="s">
        <v>76</v>
      </c>
      <c r="D294" t="s">
        <v>66</v>
      </c>
      <c r="E294" t="s">
        <v>67</v>
      </c>
      <c r="F294" t="s">
        <v>68</v>
      </c>
      <c r="G294" t="s">
        <v>135</v>
      </c>
      <c r="H294" t="s">
        <v>86</v>
      </c>
      <c r="I294">
        <v>4</v>
      </c>
      <c r="J294">
        <v>247075</v>
      </c>
      <c r="K294">
        <v>0</v>
      </c>
      <c r="L294">
        <v>988300</v>
      </c>
      <c r="M294" t="s">
        <v>25</v>
      </c>
      <c r="N294" t="s">
        <v>26</v>
      </c>
      <c r="O294" t="s">
        <v>44</v>
      </c>
      <c r="P294" t="s">
        <v>42</v>
      </c>
    </row>
    <row r="295" spans="1:16" x14ac:dyDescent="0.25">
      <c r="A295" t="s">
        <v>635</v>
      </c>
      <c r="B295" t="s">
        <v>636</v>
      </c>
      <c r="C295" t="s">
        <v>198</v>
      </c>
      <c r="D295" t="s">
        <v>38</v>
      </c>
      <c r="E295" t="s">
        <v>39</v>
      </c>
      <c r="F295" t="s">
        <v>40</v>
      </c>
      <c r="G295" t="s">
        <v>33</v>
      </c>
      <c r="H295" t="s">
        <v>34</v>
      </c>
      <c r="I295">
        <v>3</v>
      </c>
      <c r="J295">
        <v>51705</v>
      </c>
      <c r="K295">
        <v>7</v>
      </c>
      <c r="L295">
        <v>144256.95000000001</v>
      </c>
      <c r="M295" t="s">
        <v>42</v>
      </c>
      <c r="N295" t="s">
        <v>43</v>
      </c>
      <c r="O295" t="s">
        <v>44</v>
      </c>
      <c r="P295" t="s">
        <v>55</v>
      </c>
    </row>
    <row r="296" spans="1:16" x14ac:dyDescent="0.25">
      <c r="A296" t="s">
        <v>637</v>
      </c>
      <c r="B296" t="s">
        <v>399</v>
      </c>
      <c r="C296" t="s">
        <v>37</v>
      </c>
      <c r="D296" t="s">
        <v>47</v>
      </c>
      <c r="E296" t="s">
        <v>48</v>
      </c>
      <c r="F296" t="s">
        <v>22</v>
      </c>
      <c r="G296" t="s">
        <v>52</v>
      </c>
      <c r="H296" t="s">
        <v>86</v>
      </c>
      <c r="I296">
        <v>6</v>
      </c>
      <c r="J296">
        <v>126314</v>
      </c>
      <c r="K296">
        <v>12</v>
      </c>
      <c r="L296">
        <v>666937.92000000004</v>
      </c>
      <c r="M296" t="s">
        <v>42</v>
      </c>
      <c r="N296" t="s">
        <v>43</v>
      </c>
      <c r="O296" t="s">
        <v>27</v>
      </c>
      <c r="P296" t="s">
        <v>55</v>
      </c>
    </row>
    <row r="297" spans="1:16" x14ac:dyDescent="0.25">
      <c r="A297" t="s">
        <v>638</v>
      </c>
      <c r="B297" t="s">
        <v>639</v>
      </c>
      <c r="C297" t="s">
        <v>85</v>
      </c>
      <c r="D297" t="s">
        <v>119</v>
      </c>
      <c r="E297" t="s">
        <v>21</v>
      </c>
      <c r="F297" t="s">
        <v>22</v>
      </c>
      <c r="G297" t="s">
        <v>73</v>
      </c>
      <c r="H297" t="s">
        <v>86</v>
      </c>
      <c r="I297">
        <v>7</v>
      </c>
      <c r="J297">
        <v>269822</v>
      </c>
      <c r="K297">
        <v>12</v>
      </c>
      <c r="L297">
        <v>1662103.52</v>
      </c>
      <c r="M297" t="s">
        <v>42</v>
      </c>
      <c r="N297" t="s">
        <v>43</v>
      </c>
      <c r="O297" t="s">
        <v>44</v>
      </c>
      <c r="P297" t="s">
        <v>42</v>
      </c>
    </row>
    <row r="298" spans="1:16" x14ac:dyDescent="0.25">
      <c r="A298" t="s">
        <v>640</v>
      </c>
      <c r="B298" t="s">
        <v>641</v>
      </c>
      <c r="C298" t="s">
        <v>85</v>
      </c>
      <c r="D298" t="s">
        <v>154</v>
      </c>
      <c r="E298" t="s">
        <v>67</v>
      </c>
      <c r="F298" t="s">
        <v>68</v>
      </c>
      <c r="G298" t="s">
        <v>41</v>
      </c>
      <c r="H298" t="s">
        <v>24</v>
      </c>
      <c r="I298">
        <v>4</v>
      </c>
      <c r="J298">
        <v>469142</v>
      </c>
      <c r="K298">
        <v>12</v>
      </c>
      <c r="L298">
        <v>1651379.84</v>
      </c>
      <c r="M298" t="s">
        <v>42</v>
      </c>
      <c r="N298" t="s">
        <v>26</v>
      </c>
      <c r="O298" t="s">
        <v>44</v>
      </c>
      <c r="P298" t="s">
        <v>26</v>
      </c>
    </row>
    <row r="299" spans="1:16" x14ac:dyDescent="0.25">
      <c r="A299" t="s">
        <v>642</v>
      </c>
      <c r="B299" t="s">
        <v>219</v>
      </c>
      <c r="C299" t="s">
        <v>76</v>
      </c>
      <c r="D299" t="s">
        <v>154</v>
      </c>
      <c r="E299" t="s">
        <v>67</v>
      </c>
      <c r="F299" t="s">
        <v>68</v>
      </c>
      <c r="G299" t="s">
        <v>62</v>
      </c>
      <c r="H299" t="s">
        <v>24</v>
      </c>
      <c r="I299">
        <v>1</v>
      </c>
      <c r="J299">
        <v>666537</v>
      </c>
      <c r="K299">
        <v>2</v>
      </c>
      <c r="L299">
        <v>653206.26</v>
      </c>
      <c r="M299" t="s">
        <v>54</v>
      </c>
      <c r="N299" t="s">
        <v>69</v>
      </c>
      <c r="O299" t="s">
        <v>27</v>
      </c>
      <c r="P299" t="s">
        <v>26</v>
      </c>
    </row>
    <row r="300" spans="1:16" x14ac:dyDescent="0.25">
      <c r="A300" t="s">
        <v>643</v>
      </c>
      <c r="B300" t="s">
        <v>644</v>
      </c>
      <c r="C300" t="s">
        <v>65</v>
      </c>
      <c r="D300" t="s">
        <v>30</v>
      </c>
      <c r="E300" t="s">
        <v>31</v>
      </c>
      <c r="F300" t="s">
        <v>32</v>
      </c>
      <c r="G300" t="s">
        <v>33</v>
      </c>
      <c r="H300" t="s">
        <v>34</v>
      </c>
      <c r="I300">
        <v>1</v>
      </c>
      <c r="J300">
        <v>183525</v>
      </c>
      <c r="K300">
        <v>0</v>
      </c>
      <c r="L300">
        <v>183525</v>
      </c>
      <c r="M300" t="s">
        <v>25</v>
      </c>
      <c r="N300" t="s">
        <v>26</v>
      </c>
      <c r="O300" t="s">
        <v>44</v>
      </c>
      <c r="P300" t="s">
        <v>55</v>
      </c>
    </row>
    <row r="301" spans="1:16" x14ac:dyDescent="0.25">
      <c r="A301" t="s">
        <v>645</v>
      </c>
      <c r="B301" t="s">
        <v>646</v>
      </c>
      <c r="C301" t="s">
        <v>76</v>
      </c>
      <c r="D301" t="s">
        <v>30</v>
      </c>
      <c r="E301" t="s">
        <v>31</v>
      </c>
      <c r="F301" t="s">
        <v>32</v>
      </c>
      <c r="G301" t="s">
        <v>62</v>
      </c>
      <c r="H301" t="s">
        <v>58</v>
      </c>
      <c r="I301">
        <v>3</v>
      </c>
      <c r="J301">
        <v>410312</v>
      </c>
      <c r="K301">
        <v>2</v>
      </c>
      <c r="L301">
        <v>1206317.28</v>
      </c>
      <c r="M301" t="s">
        <v>42</v>
      </c>
      <c r="N301" t="s">
        <v>43</v>
      </c>
      <c r="O301" t="s">
        <v>44</v>
      </c>
      <c r="P301" t="s">
        <v>42</v>
      </c>
    </row>
    <row r="302" spans="1:16" x14ac:dyDescent="0.25">
      <c r="A302" t="s">
        <v>647</v>
      </c>
      <c r="B302" t="s">
        <v>648</v>
      </c>
      <c r="C302" t="s">
        <v>19</v>
      </c>
      <c r="D302" t="s">
        <v>20</v>
      </c>
      <c r="E302" t="s">
        <v>21</v>
      </c>
      <c r="F302" t="s">
        <v>22</v>
      </c>
      <c r="G302" t="s">
        <v>33</v>
      </c>
      <c r="H302" t="s">
        <v>24</v>
      </c>
      <c r="I302">
        <v>1</v>
      </c>
      <c r="J302">
        <v>467479</v>
      </c>
      <c r="K302">
        <v>2</v>
      </c>
      <c r="L302">
        <v>458129.42</v>
      </c>
      <c r="M302" t="s">
        <v>25</v>
      </c>
      <c r="N302" t="s">
        <v>69</v>
      </c>
      <c r="O302" t="s">
        <v>44</v>
      </c>
      <c r="P302" t="s">
        <v>55</v>
      </c>
    </row>
    <row r="303" spans="1:16" x14ac:dyDescent="0.25">
      <c r="A303" t="s">
        <v>649</v>
      </c>
      <c r="B303" t="s">
        <v>650</v>
      </c>
      <c r="C303" t="s">
        <v>76</v>
      </c>
      <c r="D303" t="s">
        <v>66</v>
      </c>
      <c r="E303" t="s">
        <v>67</v>
      </c>
      <c r="F303" t="s">
        <v>68</v>
      </c>
      <c r="G303" t="s">
        <v>62</v>
      </c>
      <c r="H303" t="s">
        <v>53</v>
      </c>
      <c r="I303">
        <v>6</v>
      </c>
      <c r="J303">
        <v>792871</v>
      </c>
      <c r="K303">
        <v>12</v>
      </c>
      <c r="L303">
        <v>4186358.88</v>
      </c>
      <c r="M303" t="s">
        <v>25</v>
      </c>
      <c r="N303" t="s">
        <v>69</v>
      </c>
      <c r="O303" t="s">
        <v>44</v>
      </c>
      <c r="P303" t="s">
        <v>42</v>
      </c>
    </row>
    <row r="304" spans="1:16" x14ac:dyDescent="0.25">
      <c r="A304" t="s">
        <v>651</v>
      </c>
      <c r="B304" t="s">
        <v>652</v>
      </c>
      <c r="C304" t="s">
        <v>65</v>
      </c>
      <c r="D304" t="s">
        <v>154</v>
      </c>
      <c r="E304" t="s">
        <v>201</v>
      </c>
      <c r="F304" t="s">
        <v>68</v>
      </c>
      <c r="G304" t="s">
        <v>62</v>
      </c>
      <c r="H304" t="s">
        <v>34</v>
      </c>
      <c r="I304">
        <v>5</v>
      </c>
      <c r="J304">
        <v>216896</v>
      </c>
      <c r="K304">
        <v>0</v>
      </c>
      <c r="L304">
        <v>1084480</v>
      </c>
      <c r="M304" t="s">
        <v>54</v>
      </c>
      <c r="N304" t="s">
        <v>43</v>
      </c>
      <c r="O304" t="s">
        <v>27</v>
      </c>
      <c r="P304" t="s">
        <v>55</v>
      </c>
    </row>
    <row r="305" spans="1:16" x14ac:dyDescent="0.25">
      <c r="A305" t="s">
        <v>653</v>
      </c>
      <c r="B305" t="s">
        <v>654</v>
      </c>
      <c r="C305" t="s">
        <v>65</v>
      </c>
      <c r="D305" t="s">
        <v>38</v>
      </c>
      <c r="E305" t="s">
        <v>39</v>
      </c>
      <c r="F305" t="s">
        <v>40</v>
      </c>
      <c r="G305" t="s">
        <v>52</v>
      </c>
      <c r="H305" t="s">
        <v>58</v>
      </c>
      <c r="I305">
        <v>8</v>
      </c>
      <c r="J305">
        <v>812277</v>
      </c>
      <c r="K305">
        <v>5</v>
      </c>
      <c r="L305">
        <v>6173305.1999999993</v>
      </c>
      <c r="M305" t="s">
        <v>25</v>
      </c>
      <c r="N305" t="s">
        <v>43</v>
      </c>
      <c r="O305" t="s">
        <v>27</v>
      </c>
      <c r="P305" t="s">
        <v>26</v>
      </c>
    </row>
    <row r="306" spans="1:16" x14ac:dyDescent="0.25">
      <c r="A306" t="s">
        <v>655</v>
      </c>
      <c r="B306" t="s">
        <v>656</v>
      </c>
      <c r="C306" t="s">
        <v>79</v>
      </c>
      <c r="D306" t="s">
        <v>129</v>
      </c>
      <c r="E306" t="s">
        <v>130</v>
      </c>
      <c r="F306" t="s">
        <v>40</v>
      </c>
      <c r="G306" t="s">
        <v>41</v>
      </c>
      <c r="H306" t="s">
        <v>53</v>
      </c>
      <c r="I306">
        <v>3</v>
      </c>
      <c r="J306">
        <v>225224</v>
      </c>
      <c r="K306">
        <v>12</v>
      </c>
      <c r="L306">
        <v>594591.36</v>
      </c>
      <c r="M306" t="s">
        <v>54</v>
      </c>
      <c r="N306" t="s">
        <v>26</v>
      </c>
      <c r="O306" t="s">
        <v>27</v>
      </c>
      <c r="P306" t="s">
        <v>26</v>
      </c>
    </row>
    <row r="307" spans="1:16" x14ac:dyDescent="0.25">
      <c r="A307" t="s">
        <v>657</v>
      </c>
      <c r="B307" t="s">
        <v>658</v>
      </c>
      <c r="C307" t="s">
        <v>37</v>
      </c>
      <c r="D307" t="s">
        <v>20</v>
      </c>
      <c r="E307" t="s">
        <v>21</v>
      </c>
      <c r="F307" t="s">
        <v>22</v>
      </c>
      <c r="G307" t="s">
        <v>52</v>
      </c>
      <c r="H307" t="s">
        <v>53</v>
      </c>
      <c r="I307">
        <v>7</v>
      </c>
      <c r="J307">
        <v>705908</v>
      </c>
      <c r="K307">
        <v>12</v>
      </c>
      <c r="L307">
        <v>4348393.28</v>
      </c>
      <c r="M307" t="s">
        <v>42</v>
      </c>
      <c r="N307" t="s">
        <v>43</v>
      </c>
      <c r="O307" t="s">
        <v>44</v>
      </c>
      <c r="P307" t="s">
        <v>42</v>
      </c>
    </row>
    <row r="308" spans="1:16" x14ac:dyDescent="0.25">
      <c r="A308" t="s">
        <v>659</v>
      </c>
      <c r="B308" t="s">
        <v>660</v>
      </c>
      <c r="C308" t="s">
        <v>65</v>
      </c>
      <c r="D308" t="s">
        <v>38</v>
      </c>
      <c r="E308" t="s">
        <v>39</v>
      </c>
      <c r="F308" t="s">
        <v>40</v>
      </c>
      <c r="G308" t="s">
        <v>52</v>
      </c>
      <c r="H308" t="s">
        <v>24</v>
      </c>
      <c r="I308">
        <v>2</v>
      </c>
      <c r="J308">
        <v>451942</v>
      </c>
      <c r="K308">
        <v>0</v>
      </c>
      <c r="L308">
        <v>903884</v>
      </c>
      <c r="M308" t="s">
        <v>25</v>
      </c>
      <c r="N308" t="s">
        <v>69</v>
      </c>
      <c r="O308" t="s">
        <v>27</v>
      </c>
      <c r="P308" t="s">
        <v>42</v>
      </c>
    </row>
    <row r="309" spans="1:16" x14ac:dyDescent="0.25">
      <c r="A309" t="s">
        <v>661</v>
      </c>
      <c r="B309" t="s">
        <v>662</v>
      </c>
      <c r="C309" t="s">
        <v>37</v>
      </c>
      <c r="D309" t="s">
        <v>20</v>
      </c>
      <c r="E309" t="s">
        <v>21</v>
      </c>
      <c r="F309" t="s">
        <v>22</v>
      </c>
      <c r="G309" t="s">
        <v>62</v>
      </c>
      <c r="H309" t="s">
        <v>86</v>
      </c>
      <c r="I309">
        <v>2</v>
      </c>
      <c r="J309">
        <v>768976</v>
      </c>
      <c r="K309">
        <v>10</v>
      </c>
      <c r="L309">
        <v>1384156.8</v>
      </c>
      <c r="M309" t="s">
        <v>54</v>
      </c>
      <c r="N309" t="s">
        <v>26</v>
      </c>
      <c r="O309" t="s">
        <v>44</v>
      </c>
      <c r="P309" t="s">
        <v>42</v>
      </c>
    </row>
    <row r="310" spans="1:16" x14ac:dyDescent="0.25">
      <c r="A310" t="s">
        <v>663</v>
      </c>
      <c r="B310" t="s">
        <v>664</v>
      </c>
      <c r="C310" t="s">
        <v>76</v>
      </c>
      <c r="D310" t="s">
        <v>47</v>
      </c>
      <c r="E310" t="s">
        <v>48</v>
      </c>
      <c r="F310" t="s">
        <v>22</v>
      </c>
      <c r="G310" t="s">
        <v>124</v>
      </c>
      <c r="H310" t="s">
        <v>24</v>
      </c>
      <c r="I310">
        <v>4</v>
      </c>
      <c r="J310">
        <v>879039</v>
      </c>
      <c r="K310">
        <v>10</v>
      </c>
      <c r="L310">
        <v>3164540.4</v>
      </c>
      <c r="M310" t="s">
        <v>54</v>
      </c>
      <c r="N310" t="s">
        <v>26</v>
      </c>
      <c r="O310" t="s">
        <v>27</v>
      </c>
      <c r="P310" t="s">
        <v>26</v>
      </c>
    </row>
    <row r="311" spans="1:16" x14ac:dyDescent="0.25">
      <c r="A311" t="s">
        <v>665</v>
      </c>
      <c r="B311" t="s">
        <v>151</v>
      </c>
      <c r="C311" t="s">
        <v>65</v>
      </c>
      <c r="D311" t="s">
        <v>66</v>
      </c>
      <c r="E311" t="s">
        <v>67</v>
      </c>
      <c r="F311" t="s">
        <v>68</v>
      </c>
      <c r="G311" t="s">
        <v>73</v>
      </c>
      <c r="H311" t="s">
        <v>34</v>
      </c>
      <c r="I311">
        <v>2</v>
      </c>
      <c r="J311">
        <v>699336</v>
      </c>
      <c r="K311">
        <v>5</v>
      </c>
      <c r="L311">
        <v>1328738.3999999999</v>
      </c>
      <c r="M311" t="s">
        <v>42</v>
      </c>
      <c r="N311" t="s">
        <v>43</v>
      </c>
      <c r="O311" t="s">
        <v>27</v>
      </c>
      <c r="P311" t="s">
        <v>55</v>
      </c>
    </row>
    <row r="312" spans="1:16" x14ac:dyDescent="0.25">
      <c r="A312" t="s">
        <v>666</v>
      </c>
      <c r="B312" t="s">
        <v>264</v>
      </c>
      <c r="C312" t="s">
        <v>76</v>
      </c>
      <c r="D312" t="s">
        <v>20</v>
      </c>
      <c r="E312" t="s">
        <v>21</v>
      </c>
      <c r="F312" t="s">
        <v>22</v>
      </c>
      <c r="G312" t="s">
        <v>73</v>
      </c>
      <c r="H312" t="s">
        <v>34</v>
      </c>
      <c r="I312">
        <v>3</v>
      </c>
      <c r="J312">
        <v>717501</v>
      </c>
      <c r="K312">
        <v>10</v>
      </c>
      <c r="L312">
        <v>1937252.7</v>
      </c>
      <c r="M312" t="s">
        <v>42</v>
      </c>
      <c r="N312" t="s">
        <v>69</v>
      </c>
      <c r="O312" t="s">
        <v>44</v>
      </c>
      <c r="P312" t="s">
        <v>42</v>
      </c>
    </row>
    <row r="313" spans="1:16" x14ac:dyDescent="0.25">
      <c r="A313" t="s">
        <v>667</v>
      </c>
      <c r="B313" t="s">
        <v>534</v>
      </c>
      <c r="C313" t="s">
        <v>65</v>
      </c>
      <c r="D313" t="s">
        <v>20</v>
      </c>
      <c r="E313" t="s">
        <v>21</v>
      </c>
      <c r="F313" t="s">
        <v>22</v>
      </c>
      <c r="G313" t="s">
        <v>62</v>
      </c>
      <c r="H313" t="s">
        <v>34</v>
      </c>
      <c r="I313">
        <v>3</v>
      </c>
      <c r="J313">
        <v>541769</v>
      </c>
      <c r="K313">
        <v>0</v>
      </c>
      <c r="L313">
        <v>1625307</v>
      </c>
      <c r="M313" t="s">
        <v>54</v>
      </c>
      <c r="N313" t="s">
        <v>69</v>
      </c>
      <c r="O313" t="s">
        <v>27</v>
      </c>
      <c r="P313" t="s">
        <v>42</v>
      </c>
    </row>
    <row r="314" spans="1:16" x14ac:dyDescent="0.25">
      <c r="A314" t="s">
        <v>668</v>
      </c>
      <c r="B314" t="s">
        <v>669</v>
      </c>
      <c r="C314" t="s">
        <v>76</v>
      </c>
      <c r="D314" t="s">
        <v>30</v>
      </c>
      <c r="E314" t="s">
        <v>31</v>
      </c>
      <c r="F314" t="s">
        <v>32</v>
      </c>
      <c r="G314" t="s">
        <v>33</v>
      </c>
      <c r="H314" t="s">
        <v>53</v>
      </c>
      <c r="I314">
        <v>1</v>
      </c>
      <c r="J314">
        <v>792032</v>
      </c>
      <c r="K314">
        <v>7</v>
      </c>
      <c r="L314">
        <v>736589.75999999989</v>
      </c>
      <c r="M314" t="s">
        <v>54</v>
      </c>
      <c r="N314" t="s">
        <v>69</v>
      </c>
      <c r="O314" t="s">
        <v>27</v>
      </c>
      <c r="P314" t="s">
        <v>26</v>
      </c>
    </row>
    <row r="315" spans="1:16" x14ac:dyDescent="0.25">
      <c r="A315" t="s">
        <v>670</v>
      </c>
      <c r="B315" t="s">
        <v>671</v>
      </c>
      <c r="C315" t="s">
        <v>19</v>
      </c>
      <c r="D315" t="s">
        <v>129</v>
      </c>
      <c r="E315" t="s">
        <v>39</v>
      </c>
      <c r="F315" t="s">
        <v>40</v>
      </c>
      <c r="G315" t="s">
        <v>135</v>
      </c>
      <c r="H315" t="s">
        <v>86</v>
      </c>
      <c r="I315">
        <v>5</v>
      </c>
      <c r="J315">
        <v>606236</v>
      </c>
      <c r="M315" t="s">
        <v>25</v>
      </c>
      <c r="N315" t="s">
        <v>69</v>
      </c>
      <c r="O315" t="s">
        <v>44</v>
      </c>
      <c r="P315" t="s">
        <v>26</v>
      </c>
    </row>
    <row r="316" spans="1:16" x14ac:dyDescent="0.25">
      <c r="A316" t="s">
        <v>672</v>
      </c>
      <c r="B316" t="s">
        <v>193</v>
      </c>
      <c r="C316" t="s">
        <v>198</v>
      </c>
      <c r="D316" t="s">
        <v>38</v>
      </c>
      <c r="E316" t="s">
        <v>39</v>
      </c>
      <c r="F316" t="s">
        <v>40</v>
      </c>
      <c r="G316" t="s">
        <v>52</v>
      </c>
      <c r="H316" t="s">
        <v>24</v>
      </c>
      <c r="I316">
        <v>6</v>
      </c>
      <c r="J316">
        <v>634475</v>
      </c>
      <c r="K316">
        <v>7</v>
      </c>
      <c r="L316">
        <v>3540370.5</v>
      </c>
      <c r="M316" t="s">
        <v>42</v>
      </c>
      <c r="N316" t="s">
        <v>69</v>
      </c>
      <c r="O316" t="s">
        <v>44</v>
      </c>
      <c r="P316" t="s">
        <v>42</v>
      </c>
    </row>
    <row r="317" spans="1:16" x14ac:dyDescent="0.25">
      <c r="A317" t="s">
        <v>673</v>
      </c>
      <c r="B317" t="s">
        <v>674</v>
      </c>
      <c r="C317" t="s">
        <v>65</v>
      </c>
      <c r="D317" t="s">
        <v>154</v>
      </c>
      <c r="E317" t="s">
        <v>67</v>
      </c>
      <c r="F317" t="s">
        <v>68</v>
      </c>
      <c r="G317" t="s">
        <v>41</v>
      </c>
      <c r="H317" t="s">
        <v>58</v>
      </c>
      <c r="I317">
        <v>7</v>
      </c>
      <c r="J317">
        <v>231062</v>
      </c>
      <c r="M317" t="s">
        <v>54</v>
      </c>
      <c r="N317" t="s">
        <v>26</v>
      </c>
      <c r="O317" t="s">
        <v>27</v>
      </c>
      <c r="P317" t="s">
        <v>55</v>
      </c>
    </row>
    <row r="318" spans="1:16" x14ac:dyDescent="0.25">
      <c r="A318" t="s">
        <v>675</v>
      </c>
      <c r="B318" t="s">
        <v>293</v>
      </c>
      <c r="C318" t="s">
        <v>85</v>
      </c>
      <c r="D318" t="s">
        <v>30</v>
      </c>
      <c r="E318" t="s">
        <v>31</v>
      </c>
      <c r="F318" t="s">
        <v>32</v>
      </c>
      <c r="G318" t="s">
        <v>41</v>
      </c>
      <c r="H318" t="s">
        <v>34</v>
      </c>
      <c r="I318">
        <v>4</v>
      </c>
      <c r="J318">
        <v>617795</v>
      </c>
      <c r="K318">
        <v>7</v>
      </c>
      <c r="L318">
        <v>2298197.4</v>
      </c>
      <c r="M318" t="s">
        <v>42</v>
      </c>
      <c r="N318" t="s">
        <v>43</v>
      </c>
      <c r="O318" t="s">
        <v>44</v>
      </c>
      <c r="P318" t="s">
        <v>26</v>
      </c>
    </row>
    <row r="319" spans="1:16" x14ac:dyDescent="0.25">
      <c r="A319" t="s">
        <v>676</v>
      </c>
      <c r="B319" t="s">
        <v>677</v>
      </c>
      <c r="C319" t="s">
        <v>19</v>
      </c>
      <c r="D319" t="s">
        <v>38</v>
      </c>
      <c r="E319" t="s">
        <v>39</v>
      </c>
      <c r="F319" t="s">
        <v>40</v>
      </c>
      <c r="G319" t="s">
        <v>33</v>
      </c>
      <c r="H319" t="s">
        <v>34</v>
      </c>
      <c r="I319">
        <v>8</v>
      </c>
      <c r="J319">
        <v>790234</v>
      </c>
      <c r="K319">
        <v>2</v>
      </c>
      <c r="L319">
        <v>6195434.5599999996</v>
      </c>
      <c r="M319" t="s">
        <v>42</v>
      </c>
      <c r="N319" t="s">
        <v>26</v>
      </c>
      <c r="O319" t="s">
        <v>27</v>
      </c>
      <c r="P319" t="s">
        <v>55</v>
      </c>
    </row>
    <row r="320" spans="1:16" x14ac:dyDescent="0.25">
      <c r="A320" t="s">
        <v>678</v>
      </c>
      <c r="B320" t="s">
        <v>679</v>
      </c>
      <c r="C320" t="s">
        <v>76</v>
      </c>
      <c r="D320" t="s">
        <v>129</v>
      </c>
      <c r="E320" t="s">
        <v>39</v>
      </c>
      <c r="F320" t="s">
        <v>40</v>
      </c>
      <c r="G320" t="s">
        <v>62</v>
      </c>
      <c r="H320" t="s">
        <v>34</v>
      </c>
      <c r="I320">
        <v>3</v>
      </c>
      <c r="J320">
        <v>878674</v>
      </c>
      <c r="K320">
        <v>2</v>
      </c>
      <c r="L320">
        <v>2583301.56</v>
      </c>
      <c r="M320" t="s">
        <v>54</v>
      </c>
      <c r="N320" t="s">
        <v>43</v>
      </c>
      <c r="O320" t="s">
        <v>44</v>
      </c>
      <c r="P320" t="s">
        <v>55</v>
      </c>
    </row>
    <row r="321" spans="1:16" x14ac:dyDescent="0.25">
      <c r="A321" t="s">
        <v>680</v>
      </c>
      <c r="B321" t="s">
        <v>681</v>
      </c>
      <c r="C321" t="s">
        <v>85</v>
      </c>
      <c r="D321" t="s">
        <v>154</v>
      </c>
      <c r="E321" t="s">
        <v>67</v>
      </c>
      <c r="F321" t="s">
        <v>68</v>
      </c>
      <c r="G321" t="s">
        <v>33</v>
      </c>
      <c r="H321" t="s">
        <v>34</v>
      </c>
      <c r="I321">
        <v>5</v>
      </c>
      <c r="J321">
        <v>586666</v>
      </c>
      <c r="M321" t="s">
        <v>54</v>
      </c>
      <c r="N321" t="s">
        <v>69</v>
      </c>
      <c r="O321" t="s">
        <v>27</v>
      </c>
      <c r="P321" t="s">
        <v>26</v>
      </c>
    </row>
    <row r="322" spans="1:16" x14ac:dyDescent="0.25">
      <c r="A322" t="s">
        <v>682</v>
      </c>
      <c r="B322" t="s">
        <v>683</v>
      </c>
      <c r="C322" t="s">
        <v>19</v>
      </c>
      <c r="D322" t="s">
        <v>47</v>
      </c>
      <c r="E322" t="s">
        <v>48</v>
      </c>
      <c r="F322" t="s">
        <v>22</v>
      </c>
      <c r="G322" t="s">
        <v>89</v>
      </c>
      <c r="H322" t="s">
        <v>53</v>
      </c>
      <c r="I322">
        <v>6</v>
      </c>
      <c r="J322">
        <v>835465</v>
      </c>
      <c r="K322">
        <v>5</v>
      </c>
      <c r="L322">
        <v>4762150.5</v>
      </c>
      <c r="M322" t="s">
        <v>54</v>
      </c>
      <c r="N322" t="s">
        <v>26</v>
      </c>
      <c r="O322" t="s">
        <v>27</v>
      </c>
      <c r="P322" t="s">
        <v>55</v>
      </c>
    </row>
    <row r="323" spans="1:16" x14ac:dyDescent="0.25">
      <c r="A323" t="s">
        <v>684</v>
      </c>
      <c r="B323" t="s">
        <v>685</v>
      </c>
      <c r="C323" t="s">
        <v>37</v>
      </c>
      <c r="D323" t="s">
        <v>30</v>
      </c>
      <c r="E323" t="s">
        <v>31</v>
      </c>
      <c r="F323" t="s">
        <v>32</v>
      </c>
      <c r="G323" t="s">
        <v>94</v>
      </c>
      <c r="H323" t="s">
        <v>24</v>
      </c>
      <c r="I323">
        <v>6</v>
      </c>
      <c r="J323">
        <v>491860</v>
      </c>
      <c r="K323">
        <v>10</v>
      </c>
      <c r="L323">
        <v>2656044</v>
      </c>
      <c r="M323" t="s">
        <v>25</v>
      </c>
      <c r="N323" t="s">
        <v>69</v>
      </c>
      <c r="O323" t="s">
        <v>44</v>
      </c>
      <c r="P323" t="s">
        <v>26</v>
      </c>
    </row>
    <row r="324" spans="1:16" x14ac:dyDescent="0.25">
      <c r="A324" t="s">
        <v>686</v>
      </c>
      <c r="B324" t="s">
        <v>687</v>
      </c>
      <c r="C324" t="s">
        <v>76</v>
      </c>
      <c r="D324" t="s">
        <v>47</v>
      </c>
      <c r="E324" t="s">
        <v>48</v>
      </c>
      <c r="F324" t="s">
        <v>22</v>
      </c>
      <c r="G324" t="s">
        <v>73</v>
      </c>
      <c r="H324" t="s">
        <v>53</v>
      </c>
      <c r="I324">
        <v>3</v>
      </c>
      <c r="J324">
        <v>397411</v>
      </c>
      <c r="K324">
        <v>12</v>
      </c>
      <c r="L324">
        <v>1049165.04</v>
      </c>
      <c r="M324" t="s">
        <v>42</v>
      </c>
      <c r="N324" t="s">
        <v>43</v>
      </c>
      <c r="O324" t="s">
        <v>27</v>
      </c>
      <c r="P324" t="s">
        <v>26</v>
      </c>
    </row>
    <row r="325" spans="1:16" x14ac:dyDescent="0.25">
      <c r="A325" t="s">
        <v>688</v>
      </c>
      <c r="B325" t="s">
        <v>689</v>
      </c>
      <c r="C325" t="s">
        <v>61</v>
      </c>
      <c r="D325" t="s">
        <v>30</v>
      </c>
      <c r="E325" t="s">
        <v>31</v>
      </c>
      <c r="F325" t="s">
        <v>32</v>
      </c>
      <c r="G325" t="s">
        <v>41</v>
      </c>
      <c r="H325" t="s">
        <v>53</v>
      </c>
      <c r="I325">
        <v>4</v>
      </c>
      <c r="J325">
        <v>113202</v>
      </c>
      <c r="K325">
        <v>10</v>
      </c>
      <c r="L325">
        <v>407527.2</v>
      </c>
      <c r="M325" t="s">
        <v>42</v>
      </c>
      <c r="N325" t="s">
        <v>26</v>
      </c>
      <c r="O325" t="s">
        <v>27</v>
      </c>
      <c r="P325" t="s">
        <v>55</v>
      </c>
    </row>
    <row r="326" spans="1:16" x14ac:dyDescent="0.25">
      <c r="A326" t="s">
        <v>690</v>
      </c>
      <c r="B326" t="s">
        <v>691</v>
      </c>
      <c r="C326" t="s">
        <v>85</v>
      </c>
      <c r="D326" t="s">
        <v>66</v>
      </c>
      <c r="E326" t="s">
        <v>201</v>
      </c>
      <c r="F326" t="s">
        <v>68</v>
      </c>
      <c r="G326" t="s">
        <v>41</v>
      </c>
      <c r="H326" t="s">
        <v>24</v>
      </c>
      <c r="I326">
        <v>2</v>
      </c>
      <c r="J326">
        <v>483377</v>
      </c>
      <c r="K326">
        <v>7</v>
      </c>
      <c r="L326">
        <v>899081.22</v>
      </c>
      <c r="M326" t="s">
        <v>54</v>
      </c>
      <c r="N326" t="s">
        <v>69</v>
      </c>
      <c r="O326" t="s">
        <v>27</v>
      </c>
      <c r="P326" t="s">
        <v>42</v>
      </c>
    </row>
    <row r="327" spans="1:16" x14ac:dyDescent="0.25">
      <c r="A327" t="s">
        <v>692</v>
      </c>
      <c r="B327" t="s">
        <v>693</v>
      </c>
      <c r="C327" t="s">
        <v>65</v>
      </c>
      <c r="D327" t="s">
        <v>47</v>
      </c>
      <c r="E327" t="s">
        <v>48</v>
      </c>
      <c r="F327" t="s">
        <v>22</v>
      </c>
      <c r="G327" t="s">
        <v>62</v>
      </c>
      <c r="H327" t="s">
        <v>24</v>
      </c>
      <c r="I327">
        <v>8</v>
      </c>
      <c r="J327">
        <v>873525</v>
      </c>
      <c r="K327">
        <v>5</v>
      </c>
      <c r="L327">
        <v>6638790</v>
      </c>
      <c r="M327" t="s">
        <v>25</v>
      </c>
      <c r="N327" t="s">
        <v>26</v>
      </c>
      <c r="O327" t="s">
        <v>44</v>
      </c>
      <c r="P327" t="s">
        <v>55</v>
      </c>
    </row>
    <row r="328" spans="1:16" x14ac:dyDescent="0.25">
      <c r="A328" t="s">
        <v>694</v>
      </c>
      <c r="B328" t="s">
        <v>695</v>
      </c>
      <c r="C328" t="s">
        <v>76</v>
      </c>
      <c r="D328" t="s">
        <v>38</v>
      </c>
      <c r="E328" t="s">
        <v>39</v>
      </c>
      <c r="F328" t="s">
        <v>40</v>
      </c>
      <c r="G328" t="s">
        <v>23</v>
      </c>
      <c r="H328" t="s">
        <v>58</v>
      </c>
      <c r="I328">
        <v>1</v>
      </c>
      <c r="J328">
        <v>861669</v>
      </c>
      <c r="K328">
        <v>10</v>
      </c>
      <c r="L328">
        <v>775502.1</v>
      </c>
      <c r="M328" t="s">
        <v>25</v>
      </c>
      <c r="N328" t="s">
        <v>26</v>
      </c>
      <c r="O328" t="s">
        <v>27</v>
      </c>
      <c r="P328" t="s">
        <v>26</v>
      </c>
    </row>
    <row r="329" spans="1:16" x14ac:dyDescent="0.25">
      <c r="A329" t="s">
        <v>696</v>
      </c>
      <c r="B329" t="s">
        <v>697</v>
      </c>
      <c r="C329" t="s">
        <v>61</v>
      </c>
      <c r="D329" t="s">
        <v>20</v>
      </c>
      <c r="E329" t="s">
        <v>21</v>
      </c>
      <c r="F329" t="s">
        <v>22</v>
      </c>
      <c r="G329" t="s">
        <v>52</v>
      </c>
      <c r="H329" t="s">
        <v>24</v>
      </c>
      <c r="I329">
        <v>5</v>
      </c>
      <c r="J329">
        <v>546362</v>
      </c>
      <c r="K329">
        <v>5</v>
      </c>
      <c r="L329">
        <v>2595219.5</v>
      </c>
      <c r="M329" t="s">
        <v>42</v>
      </c>
      <c r="N329" t="s">
        <v>69</v>
      </c>
      <c r="O329" t="s">
        <v>44</v>
      </c>
      <c r="P329" t="s">
        <v>42</v>
      </c>
    </row>
    <row r="330" spans="1:16" x14ac:dyDescent="0.25">
      <c r="A330" t="s">
        <v>698</v>
      </c>
      <c r="B330" t="s">
        <v>699</v>
      </c>
      <c r="C330" t="s">
        <v>37</v>
      </c>
      <c r="D330" t="s">
        <v>129</v>
      </c>
      <c r="E330" t="s">
        <v>39</v>
      </c>
      <c r="F330" t="s">
        <v>40</v>
      </c>
      <c r="G330" t="s">
        <v>62</v>
      </c>
      <c r="H330" t="s">
        <v>53</v>
      </c>
      <c r="I330">
        <v>8</v>
      </c>
      <c r="J330">
        <v>865659</v>
      </c>
      <c r="K330">
        <v>12</v>
      </c>
      <c r="L330">
        <v>6094239.3600000003</v>
      </c>
      <c r="M330" t="s">
        <v>42</v>
      </c>
      <c r="N330" t="s">
        <v>43</v>
      </c>
      <c r="O330" t="s">
        <v>44</v>
      </c>
      <c r="P330" t="s">
        <v>26</v>
      </c>
    </row>
    <row r="331" spans="1:16" x14ac:dyDescent="0.25">
      <c r="A331" t="s">
        <v>700</v>
      </c>
      <c r="B331" t="s">
        <v>370</v>
      </c>
      <c r="C331" t="s">
        <v>37</v>
      </c>
      <c r="D331" t="s">
        <v>47</v>
      </c>
      <c r="E331" t="s">
        <v>48</v>
      </c>
      <c r="F331" t="s">
        <v>22</v>
      </c>
      <c r="G331" t="s">
        <v>33</v>
      </c>
      <c r="H331" t="s">
        <v>86</v>
      </c>
      <c r="I331">
        <v>5</v>
      </c>
      <c r="J331">
        <v>573127</v>
      </c>
      <c r="K331">
        <v>2</v>
      </c>
      <c r="L331">
        <v>2808322.3</v>
      </c>
      <c r="M331" t="s">
        <v>54</v>
      </c>
      <c r="N331" t="s">
        <v>69</v>
      </c>
      <c r="O331" t="s">
        <v>27</v>
      </c>
      <c r="P331" t="s">
        <v>26</v>
      </c>
    </row>
    <row r="332" spans="1:16" x14ac:dyDescent="0.25">
      <c r="A332" t="s">
        <v>701</v>
      </c>
      <c r="B332" t="s">
        <v>702</v>
      </c>
      <c r="C332" t="s">
        <v>76</v>
      </c>
      <c r="D332" t="s">
        <v>66</v>
      </c>
      <c r="E332" t="s">
        <v>67</v>
      </c>
      <c r="F332" t="s">
        <v>68</v>
      </c>
      <c r="G332" t="s">
        <v>33</v>
      </c>
      <c r="H332" t="s">
        <v>24</v>
      </c>
      <c r="I332">
        <v>4</v>
      </c>
      <c r="J332">
        <v>195445</v>
      </c>
      <c r="K332">
        <v>10</v>
      </c>
      <c r="L332">
        <v>703602</v>
      </c>
      <c r="M332" t="s">
        <v>54</v>
      </c>
      <c r="N332" t="s">
        <v>26</v>
      </c>
      <c r="O332" t="s">
        <v>44</v>
      </c>
      <c r="P332" t="s">
        <v>55</v>
      </c>
    </row>
    <row r="333" spans="1:16" x14ac:dyDescent="0.25">
      <c r="A333" t="s">
        <v>703</v>
      </c>
      <c r="B333" t="s">
        <v>704</v>
      </c>
      <c r="C333" t="s">
        <v>76</v>
      </c>
      <c r="D333" t="s">
        <v>154</v>
      </c>
      <c r="E333" t="s">
        <v>67</v>
      </c>
      <c r="F333" t="s">
        <v>68</v>
      </c>
      <c r="G333" t="s">
        <v>52</v>
      </c>
      <c r="H333" t="s">
        <v>34</v>
      </c>
      <c r="I333">
        <v>3</v>
      </c>
      <c r="J333">
        <v>818237</v>
      </c>
      <c r="K333">
        <v>7</v>
      </c>
      <c r="L333">
        <v>2282881.23</v>
      </c>
      <c r="M333" t="s">
        <v>42</v>
      </c>
      <c r="N333" t="s">
        <v>43</v>
      </c>
      <c r="O333" t="s">
        <v>44</v>
      </c>
      <c r="P333" t="s">
        <v>55</v>
      </c>
    </row>
    <row r="334" spans="1:16" x14ac:dyDescent="0.25">
      <c r="A334" t="s">
        <v>705</v>
      </c>
      <c r="B334" t="s">
        <v>706</v>
      </c>
      <c r="C334" t="s">
        <v>37</v>
      </c>
      <c r="D334" t="s">
        <v>106</v>
      </c>
      <c r="E334" t="s">
        <v>31</v>
      </c>
      <c r="F334" t="s">
        <v>32</v>
      </c>
      <c r="G334" t="s">
        <v>41</v>
      </c>
      <c r="H334" t="s">
        <v>24</v>
      </c>
      <c r="I334">
        <v>3</v>
      </c>
      <c r="J334">
        <v>635701</v>
      </c>
      <c r="K334">
        <v>7</v>
      </c>
      <c r="L334">
        <v>1773605.79</v>
      </c>
      <c r="M334" t="s">
        <v>42</v>
      </c>
      <c r="N334" t="s">
        <v>26</v>
      </c>
      <c r="O334" t="s">
        <v>44</v>
      </c>
      <c r="P334" t="s">
        <v>26</v>
      </c>
    </row>
    <row r="335" spans="1:16" x14ac:dyDescent="0.25">
      <c r="A335" t="s">
        <v>707</v>
      </c>
      <c r="B335" t="s">
        <v>708</v>
      </c>
      <c r="C335" t="s">
        <v>76</v>
      </c>
      <c r="D335" t="s">
        <v>106</v>
      </c>
      <c r="E335" t="s">
        <v>31</v>
      </c>
      <c r="F335" t="s">
        <v>32</v>
      </c>
      <c r="G335" t="s">
        <v>33</v>
      </c>
      <c r="H335" t="s">
        <v>34</v>
      </c>
      <c r="I335">
        <v>1</v>
      </c>
      <c r="J335">
        <v>470420</v>
      </c>
      <c r="K335">
        <v>5</v>
      </c>
      <c r="L335">
        <v>446899</v>
      </c>
      <c r="M335" t="s">
        <v>54</v>
      </c>
      <c r="N335" t="s">
        <v>69</v>
      </c>
      <c r="O335" t="s">
        <v>44</v>
      </c>
      <c r="P335" t="s">
        <v>26</v>
      </c>
    </row>
    <row r="336" spans="1:16" x14ac:dyDescent="0.25">
      <c r="A336" t="s">
        <v>709</v>
      </c>
      <c r="B336" t="s">
        <v>710</v>
      </c>
      <c r="C336" t="s">
        <v>65</v>
      </c>
      <c r="D336" t="s">
        <v>66</v>
      </c>
      <c r="E336" t="s">
        <v>67</v>
      </c>
      <c r="F336" t="s">
        <v>68</v>
      </c>
      <c r="G336" t="s">
        <v>135</v>
      </c>
      <c r="H336" t="s">
        <v>34</v>
      </c>
      <c r="I336">
        <v>2</v>
      </c>
      <c r="J336">
        <v>453544</v>
      </c>
      <c r="K336">
        <v>10</v>
      </c>
      <c r="L336">
        <v>816379.20000000007</v>
      </c>
      <c r="M336" t="s">
        <v>54</v>
      </c>
      <c r="N336" t="s">
        <v>26</v>
      </c>
      <c r="O336" t="s">
        <v>44</v>
      </c>
      <c r="P336" t="s">
        <v>55</v>
      </c>
    </row>
    <row r="337" spans="1:16" x14ac:dyDescent="0.25">
      <c r="A337" t="s">
        <v>711</v>
      </c>
      <c r="B337" t="s">
        <v>712</v>
      </c>
      <c r="C337" t="s">
        <v>85</v>
      </c>
      <c r="D337" t="s">
        <v>106</v>
      </c>
      <c r="E337" t="s">
        <v>142</v>
      </c>
      <c r="F337" t="s">
        <v>32</v>
      </c>
      <c r="G337" t="s">
        <v>73</v>
      </c>
      <c r="H337" t="s">
        <v>58</v>
      </c>
      <c r="I337">
        <v>1</v>
      </c>
      <c r="J337">
        <v>418575</v>
      </c>
      <c r="K337">
        <v>12</v>
      </c>
      <c r="L337">
        <v>368346</v>
      </c>
      <c r="M337" t="s">
        <v>42</v>
      </c>
      <c r="N337" t="s">
        <v>69</v>
      </c>
      <c r="O337" t="s">
        <v>44</v>
      </c>
      <c r="P337" t="s">
        <v>26</v>
      </c>
    </row>
    <row r="338" spans="1:16" x14ac:dyDescent="0.25">
      <c r="A338" t="s">
        <v>713</v>
      </c>
      <c r="B338" t="s">
        <v>714</v>
      </c>
      <c r="C338" t="s">
        <v>198</v>
      </c>
      <c r="D338" t="s">
        <v>30</v>
      </c>
      <c r="E338" t="s">
        <v>31</v>
      </c>
      <c r="F338" t="s">
        <v>32</v>
      </c>
      <c r="G338" t="s">
        <v>62</v>
      </c>
      <c r="H338" t="s">
        <v>53</v>
      </c>
      <c r="I338">
        <v>5</v>
      </c>
      <c r="J338">
        <v>454484</v>
      </c>
      <c r="K338">
        <v>7</v>
      </c>
      <c r="L338">
        <v>2113350.6</v>
      </c>
      <c r="M338" t="s">
        <v>25</v>
      </c>
      <c r="N338" t="s">
        <v>69</v>
      </c>
      <c r="O338" t="s">
        <v>44</v>
      </c>
      <c r="P338" t="s">
        <v>55</v>
      </c>
    </row>
    <row r="339" spans="1:16" x14ac:dyDescent="0.25">
      <c r="A339" t="s">
        <v>715</v>
      </c>
      <c r="B339" t="s">
        <v>716</v>
      </c>
      <c r="C339" t="s">
        <v>76</v>
      </c>
      <c r="D339" t="s">
        <v>20</v>
      </c>
      <c r="E339" t="s">
        <v>21</v>
      </c>
      <c r="F339" t="s">
        <v>22</v>
      </c>
      <c r="G339" t="s">
        <v>41</v>
      </c>
      <c r="H339" t="s">
        <v>58</v>
      </c>
      <c r="I339">
        <v>3</v>
      </c>
      <c r="J339">
        <v>57904</v>
      </c>
      <c r="K339">
        <v>7</v>
      </c>
      <c r="L339">
        <v>161552.16</v>
      </c>
      <c r="M339" t="s">
        <v>25</v>
      </c>
      <c r="N339" t="s">
        <v>26</v>
      </c>
      <c r="O339" t="s">
        <v>44</v>
      </c>
      <c r="P339" t="s">
        <v>26</v>
      </c>
    </row>
    <row r="340" spans="1:16" x14ac:dyDescent="0.25">
      <c r="A340" t="s">
        <v>717</v>
      </c>
      <c r="B340" t="s">
        <v>718</v>
      </c>
      <c r="C340" t="s">
        <v>37</v>
      </c>
      <c r="D340" t="s">
        <v>47</v>
      </c>
      <c r="E340" t="s">
        <v>48</v>
      </c>
      <c r="F340" t="s">
        <v>22</v>
      </c>
      <c r="G340" t="s">
        <v>33</v>
      </c>
      <c r="H340" t="s">
        <v>58</v>
      </c>
      <c r="I340">
        <v>7</v>
      </c>
      <c r="J340">
        <v>226450</v>
      </c>
      <c r="K340">
        <v>0</v>
      </c>
      <c r="L340">
        <v>1585150</v>
      </c>
      <c r="M340" t="s">
        <v>42</v>
      </c>
      <c r="N340" t="s">
        <v>69</v>
      </c>
      <c r="O340" t="s">
        <v>44</v>
      </c>
      <c r="P340" t="s">
        <v>26</v>
      </c>
    </row>
    <row r="341" spans="1:16" x14ac:dyDescent="0.25">
      <c r="A341" t="s">
        <v>719</v>
      </c>
      <c r="B341" t="s">
        <v>370</v>
      </c>
      <c r="C341" t="s">
        <v>65</v>
      </c>
      <c r="D341" t="s">
        <v>30</v>
      </c>
      <c r="E341" t="s">
        <v>31</v>
      </c>
      <c r="F341" t="s">
        <v>32</v>
      </c>
      <c r="G341" t="s">
        <v>33</v>
      </c>
      <c r="H341" t="s">
        <v>53</v>
      </c>
      <c r="I341">
        <v>4</v>
      </c>
      <c r="J341">
        <v>200818</v>
      </c>
      <c r="K341">
        <v>0</v>
      </c>
      <c r="L341">
        <v>803272</v>
      </c>
      <c r="M341" t="s">
        <v>54</v>
      </c>
      <c r="N341" t="s">
        <v>69</v>
      </c>
      <c r="O341" t="s">
        <v>27</v>
      </c>
      <c r="P341" t="s">
        <v>26</v>
      </c>
    </row>
    <row r="342" spans="1:16" x14ac:dyDescent="0.25">
      <c r="A342" t="s">
        <v>720</v>
      </c>
      <c r="B342" t="s">
        <v>435</v>
      </c>
      <c r="C342" t="s">
        <v>85</v>
      </c>
      <c r="D342" t="s">
        <v>38</v>
      </c>
      <c r="E342" t="s">
        <v>39</v>
      </c>
      <c r="F342" t="s">
        <v>40</v>
      </c>
      <c r="G342" t="s">
        <v>52</v>
      </c>
      <c r="H342" t="s">
        <v>24</v>
      </c>
      <c r="I342">
        <v>1</v>
      </c>
      <c r="J342">
        <v>659131</v>
      </c>
      <c r="K342">
        <v>10</v>
      </c>
      <c r="L342">
        <v>593217.9</v>
      </c>
      <c r="M342" t="s">
        <v>54</v>
      </c>
      <c r="N342" t="s">
        <v>69</v>
      </c>
      <c r="O342" t="s">
        <v>44</v>
      </c>
      <c r="P342" t="s">
        <v>26</v>
      </c>
    </row>
    <row r="343" spans="1:16" x14ac:dyDescent="0.25">
      <c r="A343" t="s">
        <v>721</v>
      </c>
      <c r="B343" t="s">
        <v>397</v>
      </c>
      <c r="C343" t="s">
        <v>19</v>
      </c>
      <c r="D343" t="s">
        <v>30</v>
      </c>
      <c r="E343" t="s">
        <v>31</v>
      </c>
      <c r="F343" t="s">
        <v>32</v>
      </c>
      <c r="G343" t="s">
        <v>62</v>
      </c>
      <c r="H343" t="s">
        <v>24</v>
      </c>
      <c r="I343">
        <v>4</v>
      </c>
      <c r="J343">
        <v>529345</v>
      </c>
      <c r="M343" t="s">
        <v>54</v>
      </c>
      <c r="N343" t="s">
        <v>43</v>
      </c>
      <c r="O343" t="s">
        <v>27</v>
      </c>
      <c r="P343" t="s">
        <v>42</v>
      </c>
    </row>
    <row r="344" spans="1:16" x14ac:dyDescent="0.25">
      <c r="A344" t="s">
        <v>722</v>
      </c>
      <c r="B344" t="s">
        <v>723</v>
      </c>
      <c r="C344" t="s">
        <v>19</v>
      </c>
      <c r="D344" t="s">
        <v>154</v>
      </c>
      <c r="E344" t="s">
        <v>67</v>
      </c>
      <c r="F344" t="s">
        <v>68</v>
      </c>
      <c r="G344" t="s">
        <v>33</v>
      </c>
      <c r="H344" t="s">
        <v>34</v>
      </c>
      <c r="I344">
        <v>5</v>
      </c>
      <c r="J344">
        <v>294203</v>
      </c>
      <c r="K344">
        <v>10</v>
      </c>
      <c r="L344">
        <v>1323913.5</v>
      </c>
      <c r="M344" t="s">
        <v>25</v>
      </c>
      <c r="N344" t="s">
        <v>43</v>
      </c>
      <c r="O344" t="s">
        <v>44</v>
      </c>
      <c r="P344" t="s">
        <v>42</v>
      </c>
    </row>
    <row r="345" spans="1:16" x14ac:dyDescent="0.25">
      <c r="A345" t="s">
        <v>724</v>
      </c>
      <c r="B345" t="s">
        <v>725</v>
      </c>
      <c r="C345" t="s">
        <v>37</v>
      </c>
      <c r="D345" t="s">
        <v>129</v>
      </c>
      <c r="E345" t="s">
        <v>39</v>
      </c>
      <c r="F345" t="s">
        <v>40</v>
      </c>
      <c r="G345" t="s">
        <v>52</v>
      </c>
      <c r="H345" t="s">
        <v>53</v>
      </c>
      <c r="I345">
        <v>5</v>
      </c>
      <c r="J345">
        <v>243628</v>
      </c>
      <c r="K345">
        <v>10</v>
      </c>
      <c r="L345">
        <v>1096326</v>
      </c>
      <c r="M345" t="s">
        <v>25</v>
      </c>
      <c r="N345" t="s">
        <v>69</v>
      </c>
      <c r="O345" t="s">
        <v>44</v>
      </c>
      <c r="P345" t="s">
        <v>26</v>
      </c>
    </row>
    <row r="346" spans="1:16" x14ac:dyDescent="0.25">
      <c r="A346" t="s">
        <v>726</v>
      </c>
      <c r="B346" t="s">
        <v>727</v>
      </c>
      <c r="C346" t="s">
        <v>85</v>
      </c>
      <c r="D346" t="s">
        <v>20</v>
      </c>
      <c r="E346" t="s">
        <v>21</v>
      </c>
      <c r="F346" t="s">
        <v>22</v>
      </c>
      <c r="G346" t="s">
        <v>33</v>
      </c>
      <c r="H346" t="s">
        <v>34</v>
      </c>
      <c r="I346">
        <v>3</v>
      </c>
      <c r="J346">
        <v>182819</v>
      </c>
      <c r="K346">
        <v>2</v>
      </c>
      <c r="L346">
        <v>537487.86</v>
      </c>
      <c r="M346" t="s">
        <v>54</v>
      </c>
      <c r="N346" t="s">
        <v>26</v>
      </c>
      <c r="O346" t="s">
        <v>27</v>
      </c>
      <c r="P346" t="s">
        <v>55</v>
      </c>
    </row>
    <row r="347" spans="1:16" x14ac:dyDescent="0.25">
      <c r="A347" t="s">
        <v>728</v>
      </c>
      <c r="B347" t="s">
        <v>729</v>
      </c>
      <c r="C347" t="s">
        <v>85</v>
      </c>
      <c r="D347" t="s">
        <v>51</v>
      </c>
      <c r="E347" t="s">
        <v>48</v>
      </c>
      <c r="F347" t="s">
        <v>22</v>
      </c>
      <c r="G347" t="s">
        <v>33</v>
      </c>
      <c r="H347" t="s">
        <v>53</v>
      </c>
      <c r="I347">
        <v>7</v>
      </c>
      <c r="J347">
        <v>554583</v>
      </c>
      <c r="M347" t="s">
        <v>54</v>
      </c>
      <c r="N347" t="s">
        <v>43</v>
      </c>
      <c r="O347" t="s">
        <v>44</v>
      </c>
      <c r="P347" t="s">
        <v>42</v>
      </c>
    </row>
    <row r="348" spans="1:16" x14ac:dyDescent="0.25">
      <c r="A348" t="s">
        <v>730</v>
      </c>
      <c r="B348" t="s">
        <v>731</v>
      </c>
      <c r="C348" t="s">
        <v>76</v>
      </c>
      <c r="D348" t="s">
        <v>20</v>
      </c>
      <c r="E348" t="s">
        <v>21</v>
      </c>
      <c r="F348" t="s">
        <v>22</v>
      </c>
      <c r="G348" t="s">
        <v>62</v>
      </c>
      <c r="H348" t="s">
        <v>86</v>
      </c>
      <c r="I348">
        <v>4</v>
      </c>
      <c r="J348">
        <v>816526</v>
      </c>
      <c r="K348">
        <v>7</v>
      </c>
      <c r="L348">
        <v>3037476.72</v>
      </c>
      <c r="M348" t="s">
        <v>42</v>
      </c>
      <c r="N348" t="s">
        <v>69</v>
      </c>
      <c r="O348" t="s">
        <v>44</v>
      </c>
      <c r="P348" t="s">
        <v>55</v>
      </c>
    </row>
    <row r="349" spans="1:16" x14ac:dyDescent="0.25">
      <c r="A349" t="s">
        <v>732</v>
      </c>
      <c r="B349" t="s">
        <v>733</v>
      </c>
      <c r="C349" t="s">
        <v>61</v>
      </c>
      <c r="D349" t="s">
        <v>38</v>
      </c>
      <c r="E349" t="s">
        <v>39</v>
      </c>
      <c r="F349" t="s">
        <v>40</v>
      </c>
      <c r="G349" t="s">
        <v>33</v>
      </c>
      <c r="H349" t="s">
        <v>86</v>
      </c>
      <c r="I349">
        <v>5</v>
      </c>
      <c r="J349">
        <v>344508</v>
      </c>
      <c r="K349">
        <v>2</v>
      </c>
      <c r="L349">
        <v>1688089.2</v>
      </c>
      <c r="M349" t="s">
        <v>42</v>
      </c>
      <c r="N349" t="s">
        <v>26</v>
      </c>
      <c r="O349" t="s">
        <v>44</v>
      </c>
      <c r="P349" t="s">
        <v>42</v>
      </c>
    </row>
    <row r="350" spans="1:16" x14ac:dyDescent="0.25">
      <c r="A350" t="s">
        <v>734</v>
      </c>
      <c r="B350" t="s">
        <v>735</v>
      </c>
      <c r="C350" t="s">
        <v>85</v>
      </c>
      <c r="D350" t="s">
        <v>66</v>
      </c>
      <c r="E350" t="s">
        <v>67</v>
      </c>
      <c r="F350" t="s">
        <v>68</v>
      </c>
      <c r="G350" t="s">
        <v>41</v>
      </c>
      <c r="H350" t="s">
        <v>53</v>
      </c>
      <c r="I350">
        <v>6</v>
      </c>
      <c r="J350">
        <v>723145</v>
      </c>
      <c r="K350">
        <v>5</v>
      </c>
      <c r="L350">
        <v>4121926.5</v>
      </c>
      <c r="M350" t="s">
        <v>54</v>
      </c>
      <c r="N350" t="s">
        <v>43</v>
      </c>
      <c r="O350" t="s">
        <v>44</v>
      </c>
      <c r="P350" t="s">
        <v>26</v>
      </c>
    </row>
    <row r="351" spans="1:16" x14ac:dyDescent="0.25">
      <c r="A351" t="s">
        <v>736</v>
      </c>
      <c r="B351" t="s">
        <v>737</v>
      </c>
      <c r="C351" t="s">
        <v>37</v>
      </c>
      <c r="D351" t="s">
        <v>66</v>
      </c>
      <c r="E351" t="s">
        <v>67</v>
      </c>
      <c r="F351" t="s">
        <v>68</v>
      </c>
      <c r="G351" t="s">
        <v>41</v>
      </c>
      <c r="H351" t="s">
        <v>58</v>
      </c>
      <c r="I351">
        <v>4</v>
      </c>
      <c r="J351">
        <v>342530</v>
      </c>
      <c r="K351">
        <v>10</v>
      </c>
      <c r="L351">
        <v>1245453</v>
      </c>
      <c r="M351" t="s">
        <v>25</v>
      </c>
      <c r="N351" t="s">
        <v>43</v>
      </c>
      <c r="O351" t="s">
        <v>27</v>
      </c>
      <c r="P351" t="s">
        <v>55</v>
      </c>
    </row>
    <row r="352" spans="1:16" x14ac:dyDescent="0.25">
      <c r="A352" t="s">
        <v>738</v>
      </c>
      <c r="B352" t="s">
        <v>103</v>
      </c>
      <c r="C352" t="s">
        <v>61</v>
      </c>
      <c r="D352" t="s">
        <v>51</v>
      </c>
      <c r="E352" t="s">
        <v>48</v>
      </c>
      <c r="F352" t="s">
        <v>22</v>
      </c>
      <c r="G352" t="s">
        <v>73</v>
      </c>
      <c r="H352" t="s">
        <v>24</v>
      </c>
      <c r="I352">
        <v>1</v>
      </c>
      <c r="J352">
        <v>126793</v>
      </c>
      <c r="K352">
        <v>7</v>
      </c>
      <c r="L352">
        <v>117917.49</v>
      </c>
      <c r="M352" t="s">
        <v>42</v>
      </c>
      <c r="N352" t="s">
        <v>69</v>
      </c>
      <c r="O352" t="s">
        <v>44</v>
      </c>
      <c r="P352" t="s">
        <v>55</v>
      </c>
    </row>
    <row r="353" spans="1:16" x14ac:dyDescent="0.25">
      <c r="A353" t="s">
        <v>739</v>
      </c>
      <c r="B353" t="s">
        <v>423</v>
      </c>
      <c r="C353" t="s">
        <v>65</v>
      </c>
      <c r="D353" t="s">
        <v>47</v>
      </c>
      <c r="E353" t="s">
        <v>48</v>
      </c>
      <c r="F353" t="s">
        <v>22</v>
      </c>
      <c r="G353" t="s">
        <v>41</v>
      </c>
      <c r="H353" t="s">
        <v>58</v>
      </c>
      <c r="I353">
        <v>1</v>
      </c>
      <c r="J353">
        <v>251731</v>
      </c>
      <c r="K353">
        <v>2</v>
      </c>
      <c r="L353">
        <v>246696.38</v>
      </c>
      <c r="M353" t="s">
        <v>25</v>
      </c>
      <c r="N353" t="s">
        <v>43</v>
      </c>
      <c r="O353" t="s">
        <v>27</v>
      </c>
      <c r="P353" t="s">
        <v>42</v>
      </c>
    </row>
    <row r="354" spans="1:16" x14ac:dyDescent="0.25">
      <c r="A354" t="s">
        <v>740</v>
      </c>
      <c r="B354" t="s">
        <v>532</v>
      </c>
      <c r="C354" t="s">
        <v>19</v>
      </c>
      <c r="D354" t="s">
        <v>66</v>
      </c>
      <c r="E354" t="s">
        <v>67</v>
      </c>
      <c r="F354" t="s">
        <v>68</v>
      </c>
      <c r="G354" t="s">
        <v>62</v>
      </c>
      <c r="H354" t="s">
        <v>86</v>
      </c>
      <c r="I354">
        <v>8</v>
      </c>
      <c r="J354">
        <v>264680</v>
      </c>
      <c r="K354">
        <v>5</v>
      </c>
      <c r="L354">
        <v>2011568</v>
      </c>
      <c r="M354" t="s">
        <v>42</v>
      </c>
      <c r="N354" t="s">
        <v>69</v>
      </c>
      <c r="O354" t="s">
        <v>27</v>
      </c>
      <c r="P354" t="s">
        <v>55</v>
      </c>
    </row>
    <row r="355" spans="1:16" x14ac:dyDescent="0.25">
      <c r="A355" t="s">
        <v>741</v>
      </c>
      <c r="B355" t="s">
        <v>742</v>
      </c>
      <c r="C355" t="s">
        <v>65</v>
      </c>
      <c r="D355" t="s">
        <v>119</v>
      </c>
      <c r="E355" t="s">
        <v>21</v>
      </c>
      <c r="F355" t="s">
        <v>22</v>
      </c>
      <c r="G355" t="s">
        <v>33</v>
      </c>
      <c r="H355" t="s">
        <v>24</v>
      </c>
      <c r="I355">
        <v>5</v>
      </c>
      <c r="J355">
        <v>853338</v>
      </c>
      <c r="K355">
        <v>12</v>
      </c>
      <c r="L355">
        <v>3754687.2</v>
      </c>
      <c r="M355" t="s">
        <v>42</v>
      </c>
      <c r="N355" t="s">
        <v>43</v>
      </c>
      <c r="O355" t="s">
        <v>27</v>
      </c>
      <c r="P355" t="s">
        <v>55</v>
      </c>
    </row>
    <row r="356" spans="1:16" x14ac:dyDescent="0.25">
      <c r="A356" t="s">
        <v>720</v>
      </c>
      <c r="B356" t="s">
        <v>743</v>
      </c>
      <c r="C356" t="s">
        <v>85</v>
      </c>
      <c r="D356" t="s">
        <v>30</v>
      </c>
      <c r="E356" t="s">
        <v>31</v>
      </c>
      <c r="F356" t="s">
        <v>32</v>
      </c>
      <c r="G356" t="s">
        <v>33</v>
      </c>
      <c r="H356" t="s">
        <v>53</v>
      </c>
      <c r="I356">
        <v>3</v>
      </c>
      <c r="J356">
        <v>105910</v>
      </c>
      <c r="K356">
        <v>10</v>
      </c>
      <c r="L356">
        <v>285957</v>
      </c>
      <c r="M356" t="s">
        <v>42</v>
      </c>
      <c r="N356" t="s">
        <v>69</v>
      </c>
      <c r="O356" t="s">
        <v>44</v>
      </c>
      <c r="P356" t="s">
        <v>55</v>
      </c>
    </row>
    <row r="357" spans="1:16" x14ac:dyDescent="0.25">
      <c r="A357" t="s">
        <v>744</v>
      </c>
      <c r="B357" t="s">
        <v>745</v>
      </c>
      <c r="C357" t="s">
        <v>76</v>
      </c>
      <c r="D357" t="s">
        <v>30</v>
      </c>
      <c r="E357" t="s">
        <v>31</v>
      </c>
      <c r="F357" t="s">
        <v>32</v>
      </c>
      <c r="G357" t="s">
        <v>52</v>
      </c>
      <c r="H357" t="s">
        <v>34</v>
      </c>
      <c r="I357">
        <v>4</v>
      </c>
      <c r="J357">
        <v>405463</v>
      </c>
      <c r="K357">
        <v>10</v>
      </c>
      <c r="L357">
        <v>1459666.8</v>
      </c>
      <c r="M357" t="s">
        <v>25</v>
      </c>
      <c r="N357" t="s">
        <v>26</v>
      </c>
      <c r="O357" t="s">
        <v>27</v>
      </c>
      <c r="P357" t="s">
        <v>42</v>
      </c>
    </row>
    <row r="358" spans="1:16" x14ac:dyDescent="0.25">
      <c r="A358" t="s">
        <v>746</v>
      </c>
      <c r="B358" t="s">
        <v>747</v>
      </c>
      <c r="C358" t="s">
        <v>65</v>
      </c>
      <c r="D358" t="s">
        <v>20</v>
      </c>
      <c r="E358" t="s">
        <v>189</v>
      </c>
      <c r="F358" t="s">
        <v>22</v>
      </c>
      <c r="G358" t="s">
        <v>62</v>
      </c>
      <c r="H358" t="s">
        <v>86</v>
      </c>
      <c r="I358">
        <v>1</v>
      </c>
      <c r="J358">
        <v>547511</v>
      </c>
      <c r="K358">
        <v>2</v>
      </c>
      <c r="L358">
        <v>536560.78</v>
      </c>
      <c r="M358" t="s">
        <v>25</v>
      </c>
      <c r="N358" t="s">
        <v>43</v>
      </c>
      <c r="O358" t="s">
        <v>27</v>
      </c>
      <c r="P358" t="s">
        <v>26</v>
      </c>
    </row>
    <row r="359" spans="1:16" x14ac:dyDescent="0.25">
      <c r="A359" t="s">
        <v>748</v>
      </c>
      <c r="B359" t="s">
        <v>749</v>
      </c>
      <c r="C359" t="s">
        <v>85</v>
      </c>
      <c r="D359" t="s">
        <v>119</v>
      </c>
      <c r="E359" t="s">
        <v>189</v>
      </c>
      <c r="F359" t="s">
        <v>22</v>
      </c>
      <c r="G359" t="s">
        <v>41</v>
      </c>
      <c r="H359" t="s">
        <v>58</v>
      </c>
      <c r="I359">
        <v>3</v>
      </c>
      <c r="J359">
        <v>693120</v>
      </c>
      <c r="K359">
        <v>0</v>
      </c>
      <c r="L359">
        <v>2079360</v>
      </c>
      <c r="M359" t="s">
        <v>25</v>
      </c>
      <c r="N359" t="s">
        <v>69</v>
      </c>
      <c r="O359" t="s">
        <v>27</v>
      </c>
      <c r="P359" t="s">
        <v>26</v>
      </c>
    </row>
    <row r="360" spans="1:16" x14ac:dyDescent="0.25">
      <c r="A360" t="s">
        <v>750</v>
      </c>
      <c r="B360" t="s">
        <v>751</v>
      </c>
      <c r="C360" t="s">
        <v>76</v>
      </c>
      <c r="D360" t="s">
        <v>38</v>
      </c>
      <c r="E360" t="s">
        <v>39</v>
      </c>
      <c r="F360" t="s">
        <v>40</v>
      </c>
      <c r="G360" t="s">
        <v>73</v>
      </c>
      <c r="H360" t="s">
        <v>86</v>
      </c>
      <c r="I360">
        <v>4</v>
      </c>
      <c r="J360">
        <v>423177</v>
      </c>
      <c r="K360">
        <v>0</v>
      </c>
      <c r="L360">
        <v>1692708</v>
      </c>
      <c r="M360" t="s">
        <v>42</v>
      </c>
      <c r="N360" t="s">
        <v>43</v>
      </c>
      <c r="O360" t="s">
        <v>27</v>
      </c>
      <c r="P360" t="s">
        <v>26</v>
      </c>
    </row>
    <row r="361" spans="1:16" x14ac:dyDescent="0.25">
      <c r="A361" t="s">
        <v>752</v>
      </c>
      <c r="B361" t="s">
        <v>753</v>
      </c>
      <c r="C361" t="s">
        <v>85</v>
      </c>
      <c r="D361" t="s">
        <v>106</v>
      </c>
      <c r="E361" t="s">
        <v>31</v>
      </c>
      <c r="F361" t="s">
        <v>32</v>
      </c>
      <c r="G361" t="s">
        <v>52</v>
      </c>
      <c r="H361" t="s">
        <v>34</v>
      </c>
      <c r="I361">
        <v>2</v>
      </c>
      <c r="J361">
        <v>875208</v>
      </c>
      <c r="K361">
        <v>2</v>
      </c>
      <c r="L361">
        <v>1715407.68</v>
      </c>
      <c r="M361" t="s">
        <v>54</v>
      </c>
      <c r="N361" t="s">
        <v>26</v>
      </c>
      <c r="O361" t="s">
        <v>27</v>
      </c>
      <c r="P361" t="s">
        <v>42</v>
      </c>
    </row>
    <row r="362" spans="1:16" x14ac:dyDescent="0.25">
      <c r="A362" t="s">
        <v>754</v>
      </c>
      <c r="B362" t="s">
        <v>755</v>
      </c>
      <c r="C362" t="s">
        <v>76</v>
      </c>
      <c r="D362" t="s">
        <v>66</v>
      </c>
      <c r="E362" t="s">
        <v>201</v>
      </c>
      <c r="F362" t="s">
        <v>68</v>
      </c>
      <c r="G362" t="s">
        <v>41</v>
      </c>
      <c r="H362" t="s">
        <v>24</v>
      </c>
      <c r="I362">
        <v>4</v>
      </c>
      <c r="J362">
        <v>102444</v>
      </c>
      <c r="K362">
        <v>7</v>
      </c>
      <c r="L362">
        <v>381091.68</v>
      </c>
      <c r="M362" t="s">
        <v>25</v>
      </c>
      <c r="N362" t="s">
        <v>26</v>
      </c>
      <c r="O362" t="s">
        <v>44</v>
      </c>
      <c r="P362" t="s">
        <v>42</v>
      </c>
    </row>
    <row r="363" spans="1:16" x14ac:dyDescent="0.25">
      <c r="A363" t="s">
        <v>212</v>
      </c>
      <c r="B363" t="s">
        <v>756</v>
      </c>
      <c r="C363" t="s">
        <v>85</v>
      </c>
      <c r="D363" t="s">
        <v>47</v>
      </c>
      <c r="E363" t="s">
        <v>48</v>
      </c>
      <c r="F363" t="s">
        <v>22</v>
      </c>
      <c r="G363" t="s">
        <v>52</v>
      </c>
      <c r="H363" t="s">
        <v>24</v>
      </c>
      <c r="I363">
        <v>7</v>
      </c>
      <c r="J363">
        <v>406213</v>
      </c>
      <c r="K363">
        <v>12</v>
      </c>
      <c r="L363">
        <v>2502272.08</v>
      </c>
      <c r="M363" t="s">
        <v>54</v>
      </c>
      <c r="N363" t="s">
        <v>26</v>
      </c>
      <c r="O363" t="s">
        <v>27</v>
      </c>
      <c r="P363" t="s">
        <v>55</v>
      </c>
    </row>
    <row r="364" spans="1:16" x14ac:dyDescent="0.25">
      <c r="A364" t="s">
        <v>757</v>
      </c>
      <c r="B364" t="s">
        <v>415</v>
      </c>
      <c r="C364" t="s">
        <v>85</v>
      </c>
      <c r="D364" t="s">
        <v>66</v>
      </c>
      <c r="E364" t="s">
        <v>67</v>
      </c>
      <c r="F364" t="s">
        <v>68</v>
      </c>
      <c r="G364" t="s">
        <v>52</v>
      </c>
      <c r="H364" t="s">
        <v>24</v>
      </c>
      <c r="I364">
        <v>6</v>
      </c>
      <c r="J364">
        <v>128455</v>
      </c>
      <c r="K364">
        <v>0</v>
      </c>
      <c r="L364">
        <v>770730</v>
      </c>
      <c r="M364" t="s">
        <v>42</v>
      </c>
      <c r="N364" t="s">
        <v>69</v>
      </c>
      <c r="O364" t="s">
        <v>44</v>
      </c>
      <c r="P364" t="s">
        <v>42</v>
      </c>
    </row>
    <row r="365" spans="1:16" x14ac:dyDescent="0.25">
      <c r="A365" t="s">
        <v>758</v>
      </c>
      <c r="B365" t="s">
        <v>759</v>
      </c>
      <c r="C365" t="s">
        <v>85</v>
      </c>
      <c r="D365" t="s">
        <v>129</v>
      </c>
      <c r="E365" t="s">
        <v>39</v>
      </c>
      <c r="F365" t="s">
        <v>40</v>
      </c>
      <c r="G365" t="s">
        <v>73</v>
      </c>
      <c r="H365" t="s">
        <v>58</v>
      </c>
      <c r="I365">
        <v>8</v>
      </c>
      <c r="J365">
        <v>725092</v>
      </c>
      <c r="K365">
        <v>10</v>
      </c>
      <c r="L365">
        <v>5220662.4000000004</v>
      </c>
      <c r="M365" t="s">
        <v>42</v>
      </c>
      <c r="N365" t="s">
        <v>69</v>
      </c>
      <c r="O365" t="s">
        <v>44</v>
      </c>
      <c r="P365" t="s">
        <v>42</v>
      </c>
    </row>
    <row r="366" spans="1:16" x14ac:dyDescent="0.25">
      <c r="A366" t="s">
        <v>760</v>
      </c>
      <c r="B366" t="s">
        <v>761</v>
      </c>
      <c r="C366" t="s">
        <v>79</v>
      </c>
      <c r="D366" t="s">
        <v>20</v>
      </c>
      <c r="E366" t="s">
        <v>21</v>
      </c>
      <c r="F366" t="s">
        <v>22</v>
      </c>
      <c r="G366" t="s">
        <v>41</v>
      </c>
      <c r="H366" t="s">
        <v>86</v>
      </c>
      <c r="I366">
        <v>5</v>
      </c>
      <c r="J366">
        <v>618678</v>
      </c>
      <c r="K366">
        <v>7</v>
      </c>
      <c r="L366">
        <v>2876852.7</v>
      </c>
      <c r="M366" t="s">
        <v>25</v>
      </c>
      <c r="N366" t="s">
        <v>26</v>
      </c>
      <c r="O366" t="s">
        <v>27</v>
      </c>
      <c r="P366" t="s">
        <v>55</v>
      </c>
    </row>
    <row r="367" spans="1:16" x14ac:dyDescent="0.25">
      <c r="A367" t="s">
        <v>762</v>
      </c>
      <c r="B367" t="s">
        <v>763</v>
      </c>
      <c r="C367" t="s">
        <v>79</v>
      </c>
      <c r="D367" t="s">
        <v>30</v>
      </c>
      <c r="E367" t="s">
        <v>31</v>
      </c>
      <c r="F367" t="s">
        <v>32</v>
      </c>
      <c r="G367" t="s">
        <v>41</v>
      </c>
      <c r="H367" t="s">
        <v>86</v>
      </c>
      <c r="J367">
        <v>634001</v>
      </c>
      <c r="K367">
        <v>7</v>
      </c>
      <c r="M367" t="s">
        <v>42</v>
      </c>
      <c r="N367" t="s">
        <v>69</v>
      </c>
      <c r="O367" t="s">
        <v>27</v>
      </c>
      <c r="P367" t="s">
        <v>42</v>
      </c>
    </row>
    <row r="368" spans="1:16" x14ac:dyDescent="0.25">
      <c r="A368" t="s">
        <v>764</v>
      </c>
      <c r="B368" t="s">
        <v>765</v>
      </c>
      <c r="C368" t="s">
        <v>76</v>
      </c>
      <c r="D368" t="s">
        <v>38</v>
      </c>
      <c r="E368" t="s">
        <v>39</v>
      </c>
      <c r="F368" t="s">
        <v>40</v>
      </c>
      <c r="G368" t="s">
        <v>89</v>
      </c>
      <c r="H368" t="s">
        <v>58</v>
      </c>
      <c r="I368">
        <v>1</v>
      </c>
      <c r="J368">
        <v>328109</v>
      </c>
      <c r="K368">
        <v>10</v>
      </c>
      <c r="L368">
        <v>295298.09999999998</v>
      </c>
      <c r="M368" t="s">
        <v>54</v>
      </c>
      <c r="N368" t="s">
        <v>69</v>
      </c>
      <c r="O368" t="s">
        <v>27</v>
      </c>
      <c r="P368" t="s">
        <v>26</v>
      </c>
    </row>
    <row r="369" spans="1:16" x14ac:dyDescent="0.25">
      <c r="A369" t="s">
        <v>766</v>
      </c>
      <c r="B369" t="s">
        <v>767</v>
      </c>
      <c r="C369" t="s">
        <v>85</v>
      </c>
      <c r="D369" t="s">
        <v>47</v>
      </c>
      <c r="E369" t="s">
        <v>72</v>
      </c>
      <c r="F369" t="s">
        <v>22</v>
      </c>
      <c r="G369" t="s">
        <v>89</v>
      </c>
      <c r="H369" t="s">
        <v>24</v>
      </c>
      <c r="I369">
        <v>1</v>
      </c>
      <c r="J369">
        <v>372606</v>
      </c>
      <c r="K369">
        <v>7</v>
      </c>
      <c r="L369">
        <v>346523.58</v>
      </c>
      <c r="M369" t="s">
        <v>25</v>
      </c>
      <c r="N369" t="s">
        <v>43</v>
      </c>
      <c r="O369" t="s">
        <v>27</v>
      </c>
      <c r="P369" t="s">
        <v>42</v>
      </c>
    </row>
    <row r="370" spans="1:16" x14ac:dyDescent="0.25">
      <c r="A370" t="s">
        <v>768</v>
      </c>
      <c r="B370" t="s">
        <v>769</v>
      </c>
      <c r="C370" t="s">
        <v>65</v>
      </c>
      <c r="D370" t="s">
        <v>47</v>
      </c>
      <c r="E370" t="s">
        <v>48</v>
      </c>
      <c r="F370" t="s">
        <v>22</v>
      </c>
      <c r="G370" t="s">
        <v>124</v>
      </c>
      <c r="H370" t="s">
        <v>86</v>
      </c>
      <c r="I370">
        <v>1</v>
      </c>
      <c r="J370">
        <v>162109</v>
      </c>
      <c r="K370">
        <v>2</v>
      </c>
      <c r="L370">
        <v>158866.82</v>
      </c>
      <c r="M370" t="s">
        <v>25</v>
      </c>
      <c r="N370" t="s">
        <v>43</v>
      </c>
      <c r="O370" t="s">
        <v>27</v>
      </c>
      <c r="P370" t="s">
        <v>42</v>
      </c>
    </row>
    <row r="371" spans="1:16" x14ac:dyDescent="0.25">
      <c r="A371" t="s">
        <v>770</v>
      </c>
      <c r="B371" t="s">
        <v>771</v>
      </c>
      <c r="C371" t="s">
        <v>65</v>
      </c>
      <c r="D371" t="s">
        <v>119</v>
      </c>
      <c r="E371" t="s">
        <v>21</v>
      </c>
      <c r="F371" t="s">
        <v>22</v>
      </c>
      <c r="G371" t="s">
        <v>62</v>
      </c>
      <c r="H371" t="s">
        <v>24</v>
      </c>
      <c r="I371">
        <v>8</v>
      </c>
      <c r="J371">
        <v>793445</v>
      </c>
      <c r="M371" t="s">
        <v>25</v>
      </c>
      <c r="N371" t="s">
        <v>43</v>
      </c>
      <c r="O371" t="s">
        <v>27</v>
      </c>
      <c r="P371" t="s">
        <v>26</v>
      </c>
    </row>
    <row r="372" spans="1:16" x14ac:dyDescent="0.25">
      <c r="A372" t="s">
        <v>772</v>
      </c>
      <c r="B372" t="s">
        <v>773</v>
      </c>
      <c r="C372" t="s">
        <v>19</v>
      </c>
      <c r="D372" t="s">
        <v>154</v>
      </c>
      <c r="E372" t="s">
        <v>67</v>
      </c>
      <c r="F372" t="s">
        <v>68</v>
      </c>
      <c r="G372" t="s">
        <v>73</v>
      </c>
      <c r="H372" t="s">
        <v>34</v>
      </c>
      <c r="I372">
        <v>2</v>
      </c>
      <c r="J372">
        <v>88874</v>
      </c>
      <c r="K372">
        <v>7</v>
      </c>
      <c r="L372">
        <v>165305.64000000001</v>
      </c>
      <c r="M372" t="s">
        <v>25</v>
      </c>
      <c r="N372" t="s">
        <v>43</v>
      </c>
      <c r="O372" t="s">
        <v>27</v>
      </c>
      <c r="P372" t="s">
        <v>26</v>
      </c>
    </row>
    <row r="373" spans="1:16" x14ac:dyDescent="0.25">
      <c r="A373" t="s">
        <v>774</v>
      </c>
      <c r="B373" t="s">
        <v>775</v>
      </c>
      <c r="C373" t="s">
        <v>76</v>
      </c>
      <c r="D373" t="s">
        <v>66</v>
      </c>
      <c r="E373" t="s">
        <v>67</v>
      </c>
      <c r="F373" t="s">
        <v>68</v>
      </c>
      <c r="G373" t="s">
        <v>52</v>
      </c>
      <c r="H373" t="s">
        <v>53</v>
      </c>
      <c r="I373">
        <v>5</v>
      </c>
      <c r="J373">
        <v>497323</v>
      </c>
      <c r="K373">
        <v>10</v>
      </c>
      <c r="L373">
        <v>2237953.5</v>
      </c>
      <c r="M373" t="s">
        <v>42</v>
      </c>
      <c r="N373" t="s">
        <v>26</v>
      </c>
      <c r="O373" t="s">
        <v>27</v>
      </c>
      <c r="P373" t="s">
        <v>55</v>
      </c>
    </row>
    <row r="374" spans="1:16" x14ac:dyDescent="0.25">
      <c r="A374" t="s">
        <v>776</v>
      </c>
      <c r="B374" t="s">
        <v>777</v>
      </c>
      <c r="C374" t="s">
        <v>79</v>
      </c>
      <c r="D374" t="s">
        <v>47</v>
      </c>
      <c r="E374" t="s">
        <v>48</v>
      </c>
      <c r="F374" t="s">
        <v>22</v>
      </c>
      <c r="G374" t="s">
        <v>33</v>
      </c>
      <c r="H374" t="s">
        <v>24</v>
      </c>
      <c r="I374">
        <v>1</v>
      </c>
      <c r="J374">
        <v>893259</v>
      </c>
      <c r="K374">
        <v>0</v>
      </c>
      <c r="L374">
        <v>893259</v>
      </c>
      <c r="M374" t="s">
        <v>54</v>
      </c>
      <c r="N374" t="s">
        <v>69</v>
      </c>
      <c r="O374" t="s">
        <v>44</v>
      </c>
      <c r="P374" t="s">
        <v>42</v>
      </c>
    </row>
    <row r="375" spans="1:16" x14ac:dyDescent="0.25">
      <c r="A375" t="s">
        <v>778</v>
      </c>
      <c r="B375" t="s">
        <v>57</v>
      </c>
      <c r="C375" t="s">
        <v>85</v>
      </c>
      <c r="D375" t="s">
        <v>66</v>
      </c>
      <c r="E375" t="s">
        <v>67</v>
      </c>
      <c r="F375" t="s">
        <v>68</v>
      </c>
      <c r="G375" t="s">
        <v>62</v>
      </c>
      <c r="H375" t="s">
        <v>86</v>
      </c>
      <c r="I375">
        <v>2</v>
      </c>
      <c r="J375">
        <v>481827</v>
      </c>
      <c r="K375">
        <v>7</v>
      </c>
      <c r="L375">
        <v>896198.22</v>
      </c>
      <c r="M375" t="s">
        <v>54</v>
      </c>
      <c r="N375" t="s">
        <v>43</v>
      </c>
      <c r="O375" t="s">
        <v>27</v>
      </c>
      <c r="P375" t="s">
        <v>26</v>
      </c>
    </row>
    <row r="376" spans="1:16" x14ac:dyDescent="0.25">
      <c r="A376" t="s">
        <v>779</v>
      </c>
      <c r="B376" t="s">
        <v>203</v>
      </c>
      <c r="C376" t="s">
        <v>37</v>
      </c>
      <c r="D376" t="s">
        <v>66</v>
      </c>
      <c r="E376" t="s">
        <v>67</v>
      </c>
      <c r="F376" t="s">
        <v>68</v>
      </c>
      <c r="G376" t="s">
        <v>89</v>
      </c>
      <c r="H376" t="s">
        <v>24</v>
      </c>
      <c r="I376">
        <v>6</v>
      </c>
      <c r="J376">
        <v>299647</v>
      </c>
      <c r="K376">
        <v>2</v>
      </c>
      <c r="L376">
        <v>1761924.36</v>
      </c>
      <c r="M376" t="s">
        <v>54</v>
      </c>
      <c r="N376" t="s">
        <v>26</v>
      </c>
      <c r="O376" t="s">
        <v>44</v>
      </c>
      <c r="P376" t="s">
        <v>42</v>
      </c>
    </row>
    <row r="377" spans="1:16" x14ac:dyDescent="0.25">
      <c r="A377" t="s">
        <v>780</v>
      </c>
      <c r="B377" t="s">
        <v>781</v>
      </c>
      <c r="C377" t="s">
        <v>37</v>
      </c>
      <c r="D377" t="s">
        <v>66</v>
      </c>
      <c r="E377" t="s">
        <v>67</v>
      </c>
      <c r="F377" t="s">
        <v>68</v>
      </c>
      <c r="G377" t="s">
        <v>41</v>
      </c>
      <c r="H377" t="s">
        <v>24</v>
      </c>
      <c r="I377">
        <v>3</v>
      </c>
      <c r="J377">
        <v>872775</v>
      </c>
      <c r="K377">
        <v>5</v>
      </c>
      <c r="L377">
        <v>2487408.75</v>
      </c>
      <c r="M377" t="s">
        <v>54</v>
      </c>
      <c r="N377" t="s">
        <v>26</v>
      </c>
      <c r="O377" t="s">
        <v>27</v>
      </c>
      <c r="P377" t="s">
        <v>42</v>
      </c>
    </row>
    <row r="378" spans="1:16" x14ac:dyDescent="0.25">
      <c r="A378" t="s">
        <v>782</v>
      </c>
      <c r="B378" t="s">
        <v>674</v>
      </c>
      <c r="C378" t="s">
        <v>61</v>
      </c>
      <c r="D378" t="s">
        <v>119</v>
      </c>
      <c r="E378" t="s">
        <v>21</v>
      </c>
      <c r="F378" t="s">
        <v>22</v>
      </c>
      <c r="G378" t="s">
        <v>41</v>
      </c>
      <c r="H378" t="s">
        <v>53</v>
      </c>
      <c r="I378">
        <v>2</v>
      </c>
      <c r="J378">
        <v>229255</v>
      </c>
      <c r="K378">
        <v>10</v>
      </c>
      <c r="L378">
        <v>412659</v>
      </c>
      <c r="M378" t="s">
        <v>42</v>
      </c>
      <c r="N378" t="s">
        <v>26</v>
      </c>
      <c r="O378" t="s">
        <v>27</v>
      </c>
      <c r="P378" t="s">
        <v>26</v>
      </c>
    </row>
    <row r="379" spans="1:16" x14ac:dyDescent="0.25">
      <c r="A379" t="s">
        <v>783</v>
      </c>
      <c r="B379" t="s">
        <v>784</v>
      </c>
      <c r="C379" t="s">
        <v>85</v>
      </c>
      <c r="D379" t="s">
        <v>30</v>
      </c>
      <c r="E379" t="s">
        <v>31</v>
      </c>
      <c r="F379" t="s">
        <v>32</v>
      </c>
      <c r="G379" t="s">
        <v>62</v>
      </c>
      <c r="H379" t="s">
        <v>58</v>
      </c>
      <c r="I379">
        <v>3</v>
      </c>
      <c r="J379">
        <v>467882</v>
      </c>
      <c r="K379">
        <v>12</v>
      </c>
      <c r="L379">
        <v>1235208.48</v>
      </c>
      <c r="M379" t="s">
        <v>25</v>
      </c>
      <c r="N379" t="s">
        <v>43</v>
      </c>
      <c r="O379" t="s">
        <v>44</v>
      </c>
      <c r="P379" t="s">
        <v>26</v>
      </c>
    </row>
    <row r="380" spans="1:16" x14ac:dyDescent="0.25">
      <c r="A380" t="s">
        <v>785</v>
      </c>
      <c r="B380" t="s">
        <v>360</v>
      </c>
      <c r="C380" t="s">
        <v>91</v>
      </c>
      <c r="D380" t="s">
        <v>20</v>
      </c>
      <c r="E380" t="s">
        <v>21</v>
      </c>
      <c r="F380" t="s">
        <v>22</v>
      </c>
      <c r="G380" t="s">
        <v>135</v>
      </c>
      <c r="H380" t="s">
        <v>24</v>
      </c>
      <c r="I380">
        <v>7</v>
      </c>
      <c r="J380">
        <v>98443</v>
      </c>
      <c r="K380">
        <v>2</v>
      </c>
      <c r="L380">
        <v>675318.98</v>
      </c>
      <c r="M380" t="s">
        <v>42</v>
      </c>
      <c r="N380" t="s">
        <v>43</v>
      </c>
      <c r="O380" t="s">
        <v>44</v>
      </c>
      <c r="P380" t="s">
        <v>42</v>
      </c>
    </row>
    <row r="381" spans="1:16" x14ac:dyDescent="0.25">
      <c r="A381" t="s">
        <v>786</v>
      </c>
      <c r="B381" t="s">
        <v>787</v>
      </c>
      <c r="C381" t="s">
        <v>37</v>
      </c>
      <c r="D381" t="s">
        <v>47</v>
      </c>
      <c r="E381" t="s">
        <v>72</v>
      </c>
      <c r="F381" t="s">
        <v>22</v>
      </c>
      <c r="G381" t="s">
        <v>33</v>
      </c>
      <c r="H381" t="s">
        <v>58</v>
      </c>
      <c r="I381">
        <v>4</v>
      </c>
      <c r="J381">
        <v>90562</v>
      </c>
      <c r="K381">
        <v>7</v>
      </c>
      <c r="L381">
        <v>349235.64</v>
      </c>
      <c r="M381" t="s">
        <v>42</v>
      </c>
      <c r="N381" t="s">
        <v>26</v>
      </c>
      <c r="O381" t="s">
        <v>44</v>
      </c>
      <c r="P381" t="s">
        <v>42</v>
      </c>
    </row>
    <row r="382" spans="1:16" x14ac:dyDescent="0.25">
      <c r="A382" t="s">
        <v>788</v>
      </c>
      <c r="B382" t="s">
        <v>789</v>
      </c>
      <c r="C382" t="s">
        <v>79</v>
      </c>
      <c r="D382" t="s">
        <v>154</v>
      </c>
      <c r="E382" t="s">
        <v>67</v>
      </c>
      <c r="F382" t="s">
        <v>68</v>
      </c>
      <c r="G382" t="s">
        <v>62</v>
      </c>
      <c r="H382" t="s">
        <v>58</v>
      </c>
      <c r="I382">
        <v>1</v>
      </c>
      <c r="J382">
        <v>438161</v>
      </c>
      <c r="K382">
        <v>0</v>
      </c>
      <c r="L382">
        <v>438161</v>
      </c>
      <c r="M382" t="s">
        <v>54</v>
      </c>
      <c r="N382" t="s">
        <v>43</v>
      </c>
      <c r="O382" t="s">
        <v>44</v>
      </c>
      <c r="P382" t="s">
        <v>42</v>
      </c>
    </row>
    <row r="383" spans="1:16" x14ac:dyDescent="0.25">
      <c r="A383" t="s">
        <v>790</v>
      </c>
      <c r="B383" t="s">
        <v>791</v>
      </c>
      <c r="C383" t="s">
        <v>76</v>
      </c>
      <c r="D383" t="s">
        <v>66</v>
      </c>
      <c r="E383" t="s">
        <v>67</v>
      </c>
      <c r="F383" t="s">
        <v>68</v>
      </c>
      <c r="G383" t="s">
        <v>41</v>
      </c>
      <c r="H383" t="s">
        <v>53</v>
      </c>
      <c r="I383">
        <v>7</v>
      </c>
      <c r="J383">
        <v>798776</v>
      </c>
      <c r="K383">
        <v>0</v>
      </c>
      <c r="L383">
        <v>5591432</v>
      </c>
      <c r="M383" t="s">
        <v>25</v>
      </c>
      <c r="N383" t="s">
        <v>43</v>
      </c>
      <c r="O383" t="s">
        <v>44</v>
      </c>
      <c r="P383" t="s">
        <v>26</v>
      </c>
    </row>
    <row r="384" spans="1:16" x14ac:dyDescent="0.25">
      <c r="A384" t="s">
        <v>792</v>
      </c>
      <c r="B384" t="s">
        <v>793</v>
      </c>
      <c r="C384" t="s">
        <v>19</v>
      </c>
      <c r="D384" t="s">
        <v>20</v>
      </c>
      <c r="E384" t="s">
        <v>21</v>
      </c>
      <c r="F384" t="s">
        <v>22</v>
      </c>
      <c r="G384" t="s">
        <v>62</v>
      </c>
      <c r="H384" t="s">
        <v>58</v>
      </c>
      <c r="I384">
        <v>5</v>
      </c>
      <c r="J384">
        <v>309154</v>
      </c>
      <c r="K384">
        <v>5</v>
      </c>
      <c r="L384">
        <v>1468481.5</v>
      </c>
      <c r="M384" t="s">
        <v>54</v>
      </c>
      <c r="N384" t="s">
        <v>26</v>
      </c>
      <c r="O384" t="s">
        <v>27</v>
      </c>
      <c r="P384" t="s">
        <v>42</v>
      </c>
    </row>
    <row r="385" spans="1:16" x14ac:dyDescent="0.25">
      <c r="A385" t="s">
        <v>794</v>
      </c>
      <c r="B385" t="s">
        <v>795</v>
      </c>
      <c r="C385" t="s">
        <v>37</v>
      </c>
      <c r="D385" t="s">
        <v>38</v>
      </c>
      <c r="E385" t="s">
        <v>39</v>
      </c>
      <c r="F385" t="s">
        <v>40</v>
      </c>
      <c r="G385" t="s">
        <v>41</v>
      </c>
      <c r="H385" t="s">
        <v>58</v>
      </c>
      <c r="I385">
        <v>2</v>
      </c>
      <c r="J385">
        <v>547095</v>
      </c>
      <c r="K385">
        <v>5</v>
      </c>
      <c r="L385">
        <v>1039480.5</v>
      </c>
      <c r="M385" t="s">
        <v>54</v>
      </c>
      <c r="N385" t="s">
        <v>26</v>
      </c>
      <c r="O385" t="s">
        <v>44</v>
      </c>
      <c r="P385" t="s">
        <v>55</v>
      </c>
    </row>
    <row r="386" spans="1:16" x14ac:dyDescent="0.25">
      <c r="A386" t="s">
        <v>796</v>
      </c>
      <c r="B386" t="s">
        <v>797</v>
      </c>
      <c r="C386" t="s">
        <v>79</v>
      </c>
      <c r="D386" t="s">
        <v>47</v>
      </c>
      <c r="E386" t="s">
        <v>48</v>
      </c>
      <c r="F386" t="s">
        <v>22</v>
      </c>
      <c r="G386" t="s">
        <v>94</v>
      </c>
      <c r="H386" t="s">
        <v>86</v>
      </c>
      <c r="I386">
        <v>5</v>
      </c>
      <c r="J386">
        <v>105345</v>
      </c>
      <c r="M386" t="s">
        <v>42</v>
      </c>
      <c r="N386" t="s">
        <v>26</v>
      </c>
      <c r="O386" t="s">
        <v>44</v>
      </c>
      <c r="P386" t="s">
        <v>42</v>
      </c>
    </row>
    <row r="387" spans="1:16" x14ac:dyDescent="0.25">
      <c r="A387" t="s">
        <v>798</v>
      </c>
      <c r="B387" t="s">
        <v>745</v>
      </c>
      <c r="C387" t="s">
        <v>19</v>
      </c>
      <c r="D387" t="s">
        <v>51</v>
      </c>
      <c r="E387" t="s">
        <v>48</v>
      </c>
      <c r="F387" t="s">
        <v>22</v>
      </c>
      <c r="G387" t="s">
        <v>33</v>
      </c>
      <c r="H387" t="s">
        <v>86</v>
      </c>
      <c r="I387">
        <v>4</v>
      </c>
      <c r="J387">
        <v>833623</v>
      </c>
      <c r="K387">
        <v>7</v>
      </c>
      <c r="L387">
        <v>3101077.56</v>
      </c>
      <c r="M387" t="s">
        <v>54</v>
      </c>
      <c r="N387" t="s">
        <v>69</v>
      </c>
      <c r="O387" t="s">
        <v>27</v>
      </c>
      <c r="P387" t="s">
        <v>26</v>
      </c>
    </row>
    <row r="388" spans="1:16" x14ac:dyDescent="0.25">
      <c r="A388" t="s">
        <v>799</v>
      </c>
      <c r="B388" t="s">
        <v>800</v>
      </c>
      <c r="C388" t="s">
        <v>85</v>
      </c>
      <c r="D388" t="s">
        <v>106</v>
      </c>
      <c r="E388" t="s">
        <v>31</v>
      </c>
      <c r="F388" t="s">
        <v>32</v>
      </c>
      <c r="G388" t="s">
        <v>41</v>
      </c>
      <c r="H388" t="s">
        <v>53</v>
      </c>
      <c r="I388">
        <v>4</v>
      </c>
      <c r="J388">
        <v>99187</v>
      </c>
      <c r="K388">
        <v>7</v>
      </c>
      <c r="L388">
        <v>368975.64</v>
      </c>
      <c r="M388" t="s">
        <v>54</v>
      </c>
      <c r="N388" t="s">
        <v>43</v>
      </c>
      <c r="O388" t="s">
        <v>44</v>
      </c>
      <c r="P388" t="s">
        <v>42</v>
      </c>
    </row>
    <row r="389" spans="1:16" x14ac:dyDescent="0.25">
      <c r="A389" t="s">
        <v>801</v>
      </c>
      <c r="B389" t="s">
        <v>802</v>
      </c>
      <c r="C389" t="s">
        <v>65</v>
      </c>
      <c r="D389" t="s">
        <v>30</v>
      </c>
      <c r="E389" t="s">
        <v>31</v>
      </c>
      <c r="F389" t="s">
        <v>32</v>
      </c>
      <c r="G389" t="s">
        <v>52</v>
      </c>
      <c r="H389" t="s">
        <v>58</v>
      </c>
      <c r="I389">
        <v>1</v>
      </c>
      <c r="J389">
        <v>351592</v>
      </c>
      <c r="K389">
        <v>2</v>
      </c>
      <c r="L389">
        <v>344560.16</v>
      </c>
      <c r="M389" t="s">
        <v>25</v>
      </c>
      <c r="N389" t="s">
        <v>43</v>
      </c>
      <c r="O389" t="s">
        <v>44</v>
      </c>
      <c r="P389" t="s">
        <v>26</v>
      </c>
    </row>
    <row r="390" spans="1:16" x14ac:dyDescent="0.25">
      <c r="A390" t="s">
        <v>803</v>
      </c>
      <c r="B390" t="s">
        <v>804</v>
      </c>
      <c r="C390" t="s">
        <v>65</v>
      </c>
      <c r="D390" t="s">
        <v>30</v>
      </c>
      <c r="E390" t="s">
        <v>31</v>
      </c>
      <c r="F390" t="s">
        <v>32</v>
      </c>
      <c r="G390" t="s">
        <v>33</v>
      </c>
      <c r="H390" t="s">
        <v>34</v>
      </c>
      <c r="I390">
        <v>8</v>
      </c>
      <c r="J390">
        <v>837900</v>
      </c>
      <c r="K390">
        <v>2</v>
      </c>
      <c r="L390">
        <v>6569136</v>
      </c>
      <c r="M390" t="s">
        <v>25</v>
      </c>
      <c r="N390" t="s">
        <v>69</v>
      </c>
      <c r="O390" t="s">
        <v>44</v>
      </c>
      <c r="P390" t="s">
        <v>42</v>
      </c>
    </row>
    <row r="391" spans="1:16" x14ac:dyDescent="0.25">
      <c r="A391" t="s">
        <v>805</v>
      </c>
      <c r="B391" t="s">
        <v>217</v>
      </c>
      <c r="C391" t="s">
        <v>37</v>
      </c>
      <c r="D391" t="s">
        <v>66</v>
      </c>
      <c r="E391" t="s">
        <v>67</v>
      </c>
      <c r="F391" t="s">
        <v>68</v>
      </c>
      <c r="G391" t="s">
        <v>62</v>
      </c>
      <c r="H391" t="s">
        <v>34</v>
      </c>
      <c r="I391">
        <v>4</v>
      </c>
      <c r="J391">
        <v>460050</v>
      </c>
      <c r="K391">
        <v>12</v>
      </c>
      <c r="L391">
        <v>1619376</v>
      </c>
      <c r="M391" t="s">
        <v>54</v>
      </c>
      <c r="N391" t="s">
        <v>43</v>
      </c>
      <c r="O391" t="s">
        <v>27</v>
      </c>
      <c r="P391" t="s">
        <v>55</v>
      </c>
    </row>
    <row r="392" spans="1:16" x14ac:dyDescent="0.25">
      <c r="A392" t="s">
        <v>806</v>
      </c>
      <c r="B392" t="s">
        <v>807</v>
      </c>
      <c r="C392" t="s">
        <v>85</v>
      </c>
      <c r="D392" t="s">
        <v>30</v>
      </c>
      <c r="E392" t="s">
        <v>31</v>
      </c>
      <c r="F392" t="s">
        <v>32</v>
      </c>
      <c r="G392" t="s">
        <v>33</v>
      </c>
      <c r="H392" t="s">
        <v>86</v>
      </c>
      <c r="I392">
        <v>6</v>
      </c>
      <c r="J392">
        <v>493186</v>
      </c>
      <c r="K392">
        <v>10</v>
      </c>
      <c r="L392">
        <v>2663204.4</v>
      </c>
      <c r="M392" t="s">
        <v>25</v>
      </c>
      <c r="N392" t="s">
        <v>69</v>
      </c>
      <c r="O392" t="s">
        <v>27</v>
      </c>
      <c r="P392" t="s">
        <v>55</v>
      </c>
    </row>
    <row r="393" spans="1:16" x14ac:dyDescent="0.25">
      <c r="A393" t="s">
        <v>808</v>
      </c>
      <c r="B393" t="s">
        <v>809</v>
      </c>
      <c r="C393" t="s">
        <v>37</v>
      </c>
      <c r="D393" t="s">
        <v>47</v>
      </c>
      <c r="E393" t="s">
        <v>48</v>
      </c>
      <c r="F393" t="s">
        <v>22</v>
      </c>
      <c r="G393" t="s">
        <v>52</v>
      </c>
      <c r="H393" t="s">
        <v>86</v>
      </c>
      <c r="I393">
        <v>7</v>
      </c>
      <c r="J393">
        <v>139129</v>
      </c>
      <c r="K393">
        <v>0</v>
      </c>
      <c r="L393">
        <v>986248</v>
      </c>
      <c r="M393" t="s">
        <v>25</v>
      </c>
      <c r="N393" t="s">
        <v>43</v>
      </c>
      <c r="O393" t="s">
        <v>44</v>
      </c>
      <c r="P393" t="s">
        <v>42</v>
      </c>
    </row>
    <row r="394" spans="1:16" x14ac:dyDescent="0.25">
      <c r="A394" t="s">
        <v>810</v>
      </c>
      <c r="B394" t="s">
        <v>811</v>
      </c>
      <c r="C394" t="s">
        <v>37</v>
      </c>
      <c r="D394" t="s">
        <v>47</v>
      </c>
      <c r="E394" t="s">
        <v>48</v>
      </c>
      <c r="F394" t="s">
        <v>22</v>
      </c>
      <c r="G394" t="s">
        <v>73</v>
      </c>
      <c r="H394" t="s">
        <v>58</v>
      </c>
      <c r="I394">
        <v>4</v>
      </c>
      <c r="J394">
        <v>479807</v>
      </c>
      <c r="K394">
        <v>10</v>
      </c>
      <c r="L394">
        <v>1727305.2</v>
      </c>
      <c r="M394" t="s">
        <v>42</v>
      </c>
      <c r="N394" t="s">
        <v>69</v>
      </c>
      <c r="O394" t="s">
        <v>27</v>
      </c>
      <c r="P394" t="s">
        <v>55</v>
      </c>
    </row>
    <row r="395" spans="1:16" x14ac:dyDescent="0.25">
      <c r="A395" t="s">
        <v>812</v>
      </c>
      <c r="B395" t="s">
        <v>813</v>
      </c>
      <c r="C395" t="s">
        <v>65</v>
      </c>
      <c r="D395" t="s">
        <v>20</v>
      </c>
      <c r="E395" t="s">
        <v>21</v>
      </c>
      <c r="F395" t="s">
        <v>22</v>
      </c>
      <c r="G395" t="s">
        <v>73</v>
      </c>
      <c r="H395" t="s">
        <v>86</v>
      </c>
      <c r="I395">
        <v>7</v>
      </c>
      <c r="J395">
        <v>114065</v>
      </c>
      <c r="K395">
        <v>7</v>
      </c>
      <c r="L395">
        <v>742563.14999999991</v>
      </c>
      <c r="M395" t="s">
        <v>54</v>
      </c>
      <c r="N395" t="s">
        <v>43</v>
      </c>
      <c r="O395" t="s">
        <v>44</v>
      </c>
      <c r="P395" t="s">
        <v>55</v>
      </c>
    </row>
    <row r="396" spans="1:16" x14ac:dyDescent="0.25">
      <c r="A396" t="s">
        <v>814</v>
      </c>
      <c r="B396" t="s">
        <v>815</v>
      </c>
      <c r="C396" t="s">
        <v>76</v>
      </c>
      <c r="D396" t="s">
        <v>20</v>
      </c>
      <c r="E396" t="s">
        <v>189</v>
      </c>
      <c r="F396" t="s">
        <v>22</v>
      </c>
      <c r="G396" t="s">
        <v>52</v>
      </c>
      <c r="H396" t="s">
        <v>58</v>
      </c>
      <c r="I396">
        <v>6</v>
      </c>
      <c r="J396">
        <v>465239</v>
      </c>
      <c r="K396">
        <v>10</v>
      </c>
      <c r="L396">
        <v>2512290.6</v>
      </c>
      <c r="M396" t="s">
        <v>42</v>
      </c>
      <c r="N396" t="s">
        <v>69</v>
      </c>
      <c r="O396" t="s">
        <v>27</v>
      </c>
      <c r="P396" t="s">
        <v>42</v>
      </c>
    </row>
    <row r="397" spans="1:16" x14ac:dyDescent="0.25">
      <c r="A397" t="s">
        <v>816</v>
      </c>
      <c r="B397" t="s">
        <v>329</v>
      </c>
      <c r="C397" t="s">
        <v>85</v>
      </c>
      <c r="D397" t="s">
        <v>66</v>
      </c>
      <c r="E397" t="s">
        <v>67</v>
      </c>
      <c r="F397" t="s">
        <v>68</v>
      </c>
      <c r="G397" t="s">
        <v>52</v>
      </c>
      <c r="H397" t="s">
        <v>58</v>
      </c>
      <c r="I397">
        <v>7</v>
      </c>
      <c r="J397">
        <v>501856</v>
      </c>
      <c r="K397">
        <v>2</v>
      </c>
      <c r="L397">
        <v>3442732.16</v>
      </c>
      <c r="M397" t="s">
        <v>54</v>
      </c>
      <c r="N397" t="s">
        <v>26</v>
      </c>
      <c r="O397" t="s">
        <v>44</v>
      </c>
      <c r="P397" t="s">
        <v>55</v>
      </c>
    </row>
    <row r="398" spans="1:16" x14ac:dyDescent="0.25">
      <c r="A398" t="s">
        <v>817</v>
      </c>
      <c r="B398" t="s">
        <v>818</v>
      </c>
      <c r="C398" t="s">
        <v>76</v>
      </c>
      <c r="D398" t="s">
        <v>47</v>
      </c>
      <c r="E398" t="s">
        <v>48</v>
      </c>
      <c r="F398" t="s">
        <v>22</v>
      </c>
      <c r="G398" t="s">
        <v>135</v>
      </c>
      <c r="H398" t="s">
        <v>34</v>
      </c>
      <c r="I398">
        <v>8</v>
      </c>
      <c r="J398">
        <v>235344</v>
      </c>
      <c r="K398">
        <v>12</v>
      </c>
      <c r="L398">
        <v>1656821.76</v>
      </c>
      <c r="M398" t="s">
        <v>54</v>
      </c>
      <c r="N398" t="s">
        <v>43</v>
      </c>
      <c r="O398" t="s">
        <v>44</v>
      </c>
      <c r="P398" t="s">
        <v>42</v>
      </c>
    </row>
    <row r="399" spans="1:16" x14ac:dyDescent="0.25">
      <c r="A399" t="s">
        <v>819</v>
      </c>
      <c r="B399" t="s">
        <v>236</v>
      </c>
      <c r="C399" t="s">
        <v>76</v>
      </c>
      <c r="D399" t="s">
        <v>47</v>
      </c>
      <c r="E399" t="s">
        <v>48</v>
      </c>
      <c r="F399" t="s">
        <v>22</v>
      </c>
      <c r="G399" t="s">
        <v>73</v>
      </c>
      <c r="H399" t="s">
        <v>34</v>
      </c>
      <c r="I399">
        <v>3</v>
      </c>
      <c r="J399">
        <v>200562</v>
      </c>
      <c r="K399">
        <v>7</v>
      </c>
      <c r="L399">
        <v>559567.98</v>
      </c>
      <c r="M399" t="s">
        <v>42</v>
      </c>
      <c r="N399" t="s">
        <v>69</v>
      </c>
      <c r="O399" t="s">
        <v>27</v>
      </c>
      <c r="P399" t="s">
        <v>42</v>
      </c>
    </row>
    <row r="400" spans="1:16" x14ac:dyDescent="0.25">
      <c r="A400" t="s">
        <v>820</v>
      </c>
      <c r="B400" t="s">
        <v>821</v>
      </c>
      <c r="C400" t="s">
        <v>37</v>
      </c>
      <c r="D400" t="s">
        <v>47</v>
      </c>
      <c r="E400" t="s">
        <v>48</v>
      </c>
      <c r="F400" t="s">
        <v>22</v>
      </c>
      <c r="G400" t="s">
        <v>62</v>
      </c>
      <c r="H400" t="s">
        <v>24</v>
      </c>
      <c r="I400">
        <v>2</v>
      </c>
      <c r="J400">
        <v>695438</v>
      </c>
      <c r="K400">
        <v>10</v>
      </c>
      <c r="L400">
        <v>1251788.3999999999</v>
      </c>
      <c r="M400" t="s">
        <v>25</v>
      </c>
      <c r="N400" t="s">
        <v>26</v>
      </c>
      <c r="O400" t="s">
        <v>44</v>
      </c>
      <c r="P400" t="s">
        <v>55</v>
      </c>
    </row>
    <row r="401" spans="1:16" x14ac:dyDescent="0.25">
      <c r="A401" t="s">
        <v>822</v>
      </c>
      <c r="B401" t="s">
        <v>290</v>
      </c>
      <c r="C401" t="s">
        <v>76</v>
      </c>
      <c r="D401" t="s">
        <v>47</v>
      </c>
      <c r="E401" t="s">
        <v>48</v>
      </c>
      <c r="F401" t="s">
        <v>22</v>
      </c>
      <c r="G401" t="s">
        <v>23</v>
      </c>
      <c r="H401" t="s">
        <v>53</v>
      </c>
      <c r="I401">
        <v>4</v>
      </c>
      <c r="J401">
        <v>459194</v>
      </c>
      <c r="K401">
        <v>2</v>
      </c>
      <c r="L401">
        <v>1800040.48</v>
      </c>
      <c r="M401" t="s">
        <v>25</v>
      </c>
      <c r="N401" t="s">
        <v>26</v>
      </c>
      <c r="O401" t="s">
        <v>44</v>
      </c>
      <c r="P401" t="s">
        <v>55</v>
      </c>
    </row>
    <row r="402" spans="1:16" x14ac:dyDescent="0.25">
      <c r="A402" t="s">
        <v>823</v>
      </c>
      <c r="B402" t="s">
        <v>493</v>
      </c>
      <c r="C402" t="s">
        <v>76</v>
      </c>
      <c r="D402" t="s">
        <v>119</v>
      </c>
      <c r="E402" t="s">
        <v>21</v>
      </c>
      <c r="F402" t="s">
        <v>22</v>
      </c>
      <c r="G402" t="s">
        <v>23</v>
      </c>
      <c r="H402" t="s">
        <v>53</v>
      </c>
      <c r="I402">
        <v>3</v>
      </c>
      <c r="J402">
        <v>144168</v>
      </c>
      <c r="K402">
        <v>5</v>
      </c>
      <c r="L402">
        <v>410878.8</v>
      </c>
      <c r="M402" t="s">
        <v>54</v>
      </c>
      <c r="N402" t="s">
        <v>26</v>
      </c>
      <c r="O402" t="s">
        <v>44</v>
      </c>
      <c r="P402" t="s">
        <v>55</v>
      </c>
    </row>
    <row r="403" spans="1:16" x14ac:dyDescent="0.25">
      <c r="A403" t="s">
        <v>824</v>
      </c>
      <c r="B403" t="s">
        <v>825</v>
      </c>
      <c r="C403" t="s">
        <v>37</v>
      </c>
      <c r="D403" t="s">
        <v>106</v>
      </c>
      <c r="E403" t="s">
        <v>31</v>
      </c>
      <c r="F403" t="s">
        <v>32</v>
      </c>
      <c r="G403" t="s">
        <v>41</v>
      </c>
      <c r="H403" t="s">
        <v>24</v>
      </c>
      <c r="I403">
        <v>2</v>
      </c>
      <c r="J403">
        <v>349341</v>
      </c>
      <c r="M403" t="s">
        <v>25</v>
      </c>
      <c r="N403" t="s">
        <v>69</v>
      </c>
      <c r="O403" t="s">
        <v>44</v>
      </c>
      <c r="P403" t="s">
        <v>26</v>
      </c>
    </row>
    <row r="404" spans="1:16" x14ac:dyDescent="0.25">
      <c r="A404" t="s">
        <v>826</v>
      </c>
      <c r="B404" t="s">
        <v>827</v>
      </c>
      <c r="C404" t="s">
        <v>99</v>
      </c>
      <c r="D404" t="s">
        <v>20</v>
      </c>
      <c r="E404" t="s">
        <v>21</v>
      </c>
      <c r="F404" t="s">
        <v>22</v>
      </c>
      <c r="G404" t="s">
        <v>94</v>
      </c>
      <c r="H404" t="s">
        <v>24</v>
      </c>
      <c r="I404">
        <v>1</v>
      </c>
      <c r="J404">
        <v>576989</v>
      </c>
      <c r="K404">
        <v>5</v>
      </c>
      <c r="L404">
        <v>548139.54999999993</v>
      </c>
      <c r="M404" t="s">
        <v>25</v>
      </c>
      <c r="N404" t="s">
        <v>43</v>
      </c>
      <c r="O404" t="s">
        <v>44</v>
      </c>
      <c r="P404" t="s">
        <v>26</v>
      </c>
    </row>
    <row r="405" spans="1:16" x14ac:dyDescent="0.25">
      <c r="A405" t="s">
        <v>828</v>
      </c>
      <c r="B405" t="s">
        <v>829</v>
      </c>
      <c r="C405" t="s">
        <v>85</v>
      </c>
      <c r="D405" t="s">
        <v>38</v>
      </c>
      <c r="E405" t="s">
        <v>39</v>
      </c>
      <c r="F405" t="s">
        <v>40</v>
      </c>
      <c r="G405" t="s">
        <v>33</v>
      </c>
      <c r="H405" t="s">
        <v>58</v>
      </c>
      <c r="I405">
        <v>1</v>
      </c>
      <c r="J405">
        <v>305133</v>
      </c>
      <c r="K405">
        <v>7</v>
      </c>
      <c r="L405">
        <v>283773.69</v>
      </c>
      <c r="M405" t="s">
        <v>42</v>
      </c>
      <c r="N405" t="s">
        <v>69</v>
      </c>
      <c r="O405" t="s">
        <v>27</v>
      </c>
      <c r="P405" t="s">
        <v>42</v>
      </c>
    </row>
    <row r="406" spans="1:16" x14ac:dyDescent="0.25">
      <c r="A406" t="s">
        <v>830</v>
      </c>
      <c r="B406" t="s">
        <v>232</v>
      </c>
      <c r="C406" t="s">
        <v>37</v>
      </c>
      <c r="D406" t="s">
        <v>119</v>
      </c>
      <c r="E406" t="s">
        <v>21</v>
      </c>
      <c r="F406" t="s">
        <v>22</v>
      </c>
      <c r="G406" t="s">
        <v>33</v>
      </c>
      <c r="H406" t="s">
        <v>34</v>
      </c>
      <c r="I406">
        <v>7</v>
      </c>
      <c r="J406">
        <v>831211</v>
      </c>
      <c r="K406">
        <v>10</v>
      </c>
      <c r="L406">
        <v>5236629.3</v>
      </c>
      <c r="M406" t="s">
        <v>42</v>
      </c>
      <c r="N406" t="s">
        <v>43</v>
      </c>
      <c r="O406" t="s">
        <v>44</v>
      </c>
      <c r="P406" t="s">
        <v>42</v>
      </c>
    </row>
    <row r="407" spans="1:16" x14ac:dyDescent="0.25">
      <c r="A407" t="s">
        <v>831</v>
      </c>
      <c r="B407" t="s">
        <v>313</v>
      </c>
      <c r="C407" t="s">
        <v>19</v>
      </c>
      <c r="D407" t="s">
        <v>38</v>
      </c>
      <c r="E407" t="s">
        <v>39</v>
      </c>
      <c r="F407" t="s">
        <v>40</v>
      </c>
      <c r="G407" t="s">
        <v>33</v>
      </c>
      <c r="H407" t="s">
        <v>24</v>
      </c>
      <c r="I407">
        <v>6</v>
      </c>
      <c r="J407">
        <v>223908</v>
      </c>
      <c r="K407">
        <v>7</v>
      </c>
      <c r="L407">
        <v>1249406.6399999999</v>
      </c>
      <c r="M407" t="s">
        <v>25</v>
      </c>
      <c r="N407" t="s">
        <v>43</v>
      </c>
      <c r="O407" t="s">
        <v>44</v>
      </c>
      <c r="P407" t="s">
        <v>42</v>
      </c>
    </row>
    <row r="408" spans="1:16" x14ac:dyDescent="0.25">
      <c r="A408" t="s">
        <v>832</v>
      </c>
      <c r="B408" t="s">
        <v>833</v>
      </c>
      <c r="C408" t="s">
        <v>19</v>
      </c>
      <c r="D408" t="s">
        <v>129</v>
      </c>
      <c r="E408" t="s">
        <v>39</v>
      </c>
      <c r="F408" t="s">
        <v>40</v>
      </c>
      <c r="G408" t="s">
        <v>41</v>
      </c>
      <c r="H408" t="s">
        <v>24</v>
      </c>
      <c r="I408">
        <v>5</v>
      </c>
      <c r="J408">
        <v>359979</v>
      </c>
      <c r="K408">
        <v>12</v>
      </c>
      <c r="L408">
        <v>1583907.6</v>
      </c>
      <c r="M408" t="s">
        <v>42</v>
      </c>
      <c r="N408" t="s">
        <v>43</v>
      </c>
      <c r="O408" t="s">
        <v>44</v>
      </c>
      <c r="P408" t="s">
        <v>26</v>
      </c>
    </row>
    <row r="409" spans="1:16" x14ac:dyDescent="0.25">
      <c r="A409" t="s">
        <v>834</v>
      </c>
      <c r="B409" t="s">
        <v>364</v>
      </c>
      <c r="C409" t="s">
        <v>99</v>
      </c>
      <c r="D409" t="s">
        <v>66</v>
      </c>
      <c r="E409" t="s">
        <v>67</v>
      </c>
      <c r="F409" t="s">
        <v>68</v>
      </c>
      <c r="G409" t="s">
        <v>23</v>
      </c>
      <c r="H409" t="s">
        <v>86</v>
      </c>
      <c r="I409">
        <v>6</v>
      </c>
      <c r="J409">
        <v>858308</v>
      </c>
      <c r="K409">
        <v>2</v>
      </c>
      <c r="L409">
        <v>5046851.04</v>
      </c>
      <c r="M409" t="s">
        <v>25</v>
      </c>
      <c r="N409" t="s">
        <v>26</v>
      </c>
      <c r="O409" t="s">
        <v>27</v>
      </c>
      <c r="P409" t="s">
        <v>26</v>
      </c>
    </row>
    <row r="410" spans="1:16" x14ac:dyDescent="0.25">
      <c r="A410" t="s">
        <v>835</v>
      </c>
      <c r="B410" t="s">
        <v>836</v>
      </c>
      <c r="C410" t="s">
        <v>19</v>
      </c>
      <c r="D410" t="s">
        <v>66</v>
      </c>
      <c r="E410" t="s">
        <v>67</v>
      </c>
      <c r="F410" t="s">
        <v>68</v>
      </c>
      <c r="G410" t="s">
        <v>41</v>
      </c>
      <c r="H410" t="s">
        <v>58</v>
      </c>
      <c r="I410">
        <v>7</v>
      </c>
      <c r="J410">
        <v>636398</v>
      </c>
      <c r="K410">
        <v>2</v>
      </c>
      <c r="L410">
        <v>4365690.28</v>
      </c>
      <c r="M410" t="s">
        <v>42</v>
      </c>
      <c r="N410" t="s">
        <v>43</v>
      </c>
      <c r="O410" t="s">
        <v>44</v>
      </c>
      <c r="P410" t="s">
        <v>55</v>
      </c>
    </row>
    <row r="411" spans="1:16" x14ac:dyDescent="0.25">
      <c r="A411" t="s">
        <v>837</v>
      </c>
      <c r="B411" t="s">
        <v>838</v>
      </c>
      <c r="C411" t="s">
        <v>76</v>
      </c>
      <c r="D411" t="s">
        <v>38</v>
      </c>
      <c r="E411" t="s">
        <v>130</v>
      </c>
      <c r="F411" t="s">
        <v>40</v>
      </c>
      <c r="G411" t="s">
        <v>41</v>
      </c>
      <c r="H411" t="s">
        <v>86</v>
      </c>
      <c r="I411">
        <v>3</v>
      </c>
      <c r="J411">
        <v>776263</v>
      </c>
      <c r="M411" t="s">
        <v>42</v>
      </c>
      <c r="N411" t="s">
        <v>26</v>
      </c>
      <c r="O411" t="s">
        <v>44</v>
      </c>
      <c r="P411" t="s">
        <v>26</v>
      </c>
    </row>
    <row r="412" spans="1:16" x14ac:dyDescent="0.25">
      <c r="A412" t="s">
        <v>839</v>
      </c>
      <c r="B412" t="s">
        <v>840</v>
      </c>
      <c r="C412" t="s">
        <v>37</v>
      </c>
      <c r="D412" t="s">
        <v>20</v>
      </c>
      <c r="E412" t="s">
        <v>21</v>
      </c>
      <c r="F412" t="s">
        <v>22</v>
      </c>
      <c r="G412" t="s">
        <v>52</v>
      </c>
      <c r="H412" t="s">
        <v>34</v>
      </c>
      <c r="I412">
        <v>2</v>
      </c>
      <c r="J412">
        <v>535365</v>
      </c>
      <c r="K412">
        <v>0</v>
      </c>
      <c r="L412">
        <v>1070730</v>
      </c>
      <c r="M412" t="s">
        <v>54</v>
      </c>
      <c r="N412" t="s">
        <v>43</v>
      </c>
      <c r="O412" t="s">
        <v>27</v>
      </c>
      <c r="P412" t="s">
        <v>55</v>
      </c>
    </row>
    <row r="413" spans="1:16" x14ac:dyDescent="0.25">
      <c r="A413" t="s">
        <v>841</v>
      </c>
      <c r="B413" t="s">
        <v>842</v>
      </c>
      <c r="C413" t="s">
        <v>37</v>
      </c>
      <c r="D413" t="s">
        <v>51</v>
      </c>
      <c r="E413" t="s">
        <v>48</v>
      </c>
      <c r="F413" t="s">
        <v>22</v>
      </c>
      <c r="G413" t="s">
        <v>62</v>
      </c>
      <c r="H413" t="s">
        <v>58</v>
      </c>
      <c r="I413">
        <v>4</v>
      </c>
      <c r="J413">
        <v>553847</v>
      </c>
      <c r="K413">
        <v>0</v>
      </c>
      <c r="L413">
        <v>2215388</v>
      </c>
      <c r="M413" t="s">
        <v>25</v>
      </c>
      <c r="N413" t="s">
        <v>69</v>
      </c>
      <c r="O413" t="s">
        <v>27</v>
      </c>
      <c r="P413" t="s">
        <v>42</v>
      </c>
    </row>
    <row r="414" spans="1:16" x14ac:dyDescent="0.25">
      <c r="A414" t="s">
        <v>843</v>
      </c>
      <c r="B414" t="s">
        <v>844</v>
      </c>
      <c r="C414" t="s">
        <v>61</v>
      </c>
      <c r="D414" t="s">
        <v>47</v>
      </c>
      <c r="E414" t="s">
        <v>48</v>
      </c>
      <c r="F414" t="s">
        <v>22</v>
      </c>
      <c r="G414" t="s">
        <v>33</v>
      </c>
      <c r="H414" t="s">
        <v>34</v>
      </c>
      <c r="I414">
        <v>8</v>
      </c>
      <c r="J414">
        <v>131305</v>
      </c>
      <c r="K414">
        <v>10</v>
      </c>
      <c r="L414">
        <v>945396</v>
      </c>
      <c r="M414" t="s">
        <v>42</v>
      </c>
      <c r="N414" t="s">
        <v>26</v>
      </c>
      <c r="O414" t="s">
        <v>44</v>
      </c>
      <c r="P414" t="s">
        <v>55</v>
      </c>
    </row>
    <row r="415" spans="1:16" x14ac:dyDescent="0.25">
      <c r="A415" t="s">
        <v>845</v>
      </c>
      <c r="B415" t="s">
        <v>846</v>
      </c>
      <c r="C415" t="s">
        <v>19</v>
      </c>
      <c r="D415" t="s">
        <v>47</v>
      </c>
      <c r="E415" t="s">
        <v>48</v>
      </c>
      <c r="F415" t="s">
        <v>22</v>
      </c>
      <c r="G415" t="s">
        <v>73</v>
      </c>
      <c r="H415" t="s">
        <v>53</v>
      </c>
      <c r="I415">
        <v>6</v>
      </c>
      <c r="J415">
        <v>617549</v>
      </c>
      <c r="K415">
        <v>2</v>
      </c>
      <c r="L415">
        <v>3631188.12</v>
      </c>
      <c r="M415" t="s">
        <v>54</v>
      </c>
      <c r="N415" t="s">
        <v>43</v>
      </c>
      <c r="O415" t="s">
        <v>27</v>
      </c>
      <c r="P415" t="s">
        <v>26</v>
      </c>
    </row>
    <row r="416" spans="1:16" x14ac:dyDescent="0.25">
      <c r="A416" t="s">
        <v>847</v>
      </c>
      <c r="B416" t="s">
        <v>848</v>
      </c>
      <c r="C416" t="s">
        <v>65</v>
      </c>
      <c r="D416" t="s">
        <v>47</v>
      </c>
      <c r="E416" t="s">
        <v>72</v>
      </c>
      <c r="F416" t="s">
        <v>22</v>
      </c>
      <c r="G416" t="s">
        <v>73</v>
      </c>
      <c r="H416" t="s">
        <v>53</v>
      </c>
      <c r="I416">
        <v>7</v>
      </c>
      <c r="J416">
        <v>251145</v>
      </c>
      <c r="K416">
        <v>0</v>
      </c>
      <c r="L416">
        <v>1758015</v>
      </c>
      <c r="M416" t="s">
        <v>25</v>
      </c>
      <c r="N416" t="s">
        <v>26</v>
      </c>
      <c r="O416" t="s">
        <v>44</v>
      </c>
      <c r="P416" t="s">
        <v>26</v>
      </c>
    </row>
    <row r="417" spans="1:16" x14ac:dyDescent="0.25">
      <c r="A417" t="s">
        <v>849</v>
      </c>
      <c r="B417" t="s">
        <v>850</v>
      </c>
      <c r="C417" t="s">
        <v>85</v>
      </c>
      <c r="D417" t="s">
        <v>38</v>
      </c>
      <c r="E417" t="s">
        <v>39</v>
      </c>
      <c r="F417" t="s">
        <v>40</v>
      </c>
      <c r="G417" t="s">
        <v>52</v>
      </c>
      <c r="H417" t="s">
        <v>24</v>
      </c>
      <c r="I417">
        <v>5</v>
      </c>
      <c r="J417">
        <v>874226</v>
      </c>
      <c r="K417">
        <v>5</v>
      </c>
      <c r="L417">
        <v>4152573.5</v>
      </c>
      <c r="M417" t="s">
        <v>25</v>
      </c>
      <c r="N417" t="s">
        <v>26</v>
      </c>
      <c r="O417" t="s">
        <v>27</v>
      </c>
      <c r="P417" t="s">
        <v>42</v>
      </c>
    </row>
    <row r="418" spans="1:16" x14ac:dyDescent="0.25">
      <c r="A418" t="s">
        <v>851</v>
      </c>
      <c r="B418" t="s">
        <v>852</v>
      </c>
      <c r="C418" t="s">
        <v>85</v>
      </c>
      <c r="D418" t="s">
        <v>129</v>
      </c>
      <c r="E418" t="s">
        <v>130</v>
      </c>
      <c r="F418" t="s">
        <v>40</v>
      </c>
      <c r="G418" t="s">
        <v>23</v>
      </c>
      <c r="H418" t="s">
        <v>24</v>
      </c>
      <c r="I418">
        <v>1</v>
      </c>
      <c r="J418">
        <v>270182</v>
      </c>
      <c r="K418">
        <v>10</v>
      </c>
      <c r="L418">
        <v>243163.8</v>
      </c>
      <c r="M418" t="s">
        <v>42</v>
      </c>
      <c r="N418" t="s">
        <v>26</v>
      </c>
      <c r="O418" t="s">
        <v>27</v>
      </c>
      <c r="P418" t="s">
        <v>26</v>
      </c>
    </row>
    <row r="419" spans="1:16" x14ac:dyDescent="0.25">
      <c r="A419" t="s">
        <v>853</v>
      </c>
      <c r="B419" t="s">
        <v>854</v>
      </c>
      <c r="C419" t="s">
        <v>76</v>
      </c>
      <c r="D419" t="s">
        <v>106</v>
      </c>
      <c r="E419" t="s">
        <v>142</v>
      </c>
      <c r="F419" t="s">
        <v>32</v>
      </c>
      <c r="G419" t="s">
        <v>73</v>
      </c>
      <c r="H419" t="s">
        <v>58</v>
      </c>
      <c r="I419">
        <v>1</v>
      </c>
      <c r="J419">
        <v>305277</v>
      </c>
      <c r="K419">
        <v>7</v>
      </c>
      <c r="L419">
        <v>283907.61</v>
      </c>
      <c r="M419" t="s">
        <v>25</v>
      </c>
      <c r="N419" t="s">
        <v>26</v>
      </c>
      <c r="O419" t="s">
        <v>44</v>
      </c>
      <c r="P419" t="s">
        <v>26</v>
      </c>
    </row>
    <row r="420" spans="1:16" x14ac:dyDescent="0.25">
      <c r="A420" t="s">
        <v>855</v>
      </c>
      <c r="B420" t="s">
        <v>856</v>
      </c>
      <c r="C420" t="s">
        <v>91</v>
      </c>
      <c r="D420" t="s">
        <v>20</v>
      </c>
      <c r="E420" t="s">
        <v>21</v>
      </c>
      <c r="F420" t="s">
        <v>22</v>
      </c>
      <c r="G420" t="s">
        <v>73</v>
      </c>
      <c r="H420" t="s">
        <v>53</v>
      </c>
      <c r="I420">
        <v>3</v>
      </c>
      <c r="J420">
        <v>301403</v>
      </c>
      <c r="K420">
        <v>7</v>
      </c>
      <c r="L420">
        <v>840914.37</v>
      </c>
      <c r="M420" t="s">
        <v>25</v>
      </c>
      <c r="N420" t="s">
        <v>26</v>
      </c>
      <c r="O420" t="s">
        <v>27</v>
      </c>
      <c r="P420" t="s">
        <v>42</v>
      </c>
    </row>
    <row r="421" spans="1:16" x14ac:dyDescent="0.25">
      <c r="A421" t="s">
        <v>857</v>
      </c>
      <c r="B421" t="s">
        <v>858</v>
      </c>
      <c r="C421" t="s">
        <v>61</v>
      </c>
      <c r="D421" t="s">
        <v>20</v>
      </c>
      <c r="E421" t="s">
        <v>21</v>
      </c>
      <c r="F421" t="s">
        <v>22</v>
      </c>
      <c r="G421" t="s">
        <v>41</v>
      </c>
      <c r="H421" t="s">
        <v>34</v>
      </c>
      <c r="I421">
        <v>2</v>
      </c>
      <c r="J421">
        <v>407833</v>
      </c>
      <c r="K421">
        <v>12</v>
      </c>
      <c r="L421">
        <v>717786.08</v>
      </c>
      <c r="M421" t="s">
        <v>54</v>
      </c>
      <c r="N421" t="s">
        <v>69</v>
      </c>
      <c r="O421" t="s">
        <v>27</v>
      </c>
      <c r="P421" t="s">
        <v>42</v>
      </c>
    </row>
    <row r="422" spans="1:16" x14ac:dyDescent="0.25">
      <c r="A422" t="s">
        <v>859</v>
      </c>
      <c r="B422" t="s">
        <v>860</v>
      </c>
      <c r="C422" t="s">
        <v>85</v>
      </c>
      <c r="D422" t="s">
        <v>30</v>
      </c>
      <c r="E422" t="s">
        <v>31</v>
      </c>
      <c r="F422" t="s">
        <v>32</v>
      </c>
      <c r="G422" t="s">
        <v>62</v>
      </c>
      <c r="H422" t="s">
        <v>34</v>
      </c>
      <c r="I422">
        <v>3</v>
      </c>
      <c r="J422">
        <v>858064</v>
      </c>
      <c r="K422">
        <v>2</v>
      </c>
      <c r="L422">
        <v>2522708.16</v>
      </c>
      <c r="M422" t="s">
        <v>54</v>
      </c>
      <c r="N422" t="s">
        <v>26</v>
      </c>
      <c r="O422" t="s">
        <v>27</v>
      </c>
      <c r="P422" t="s">
        <v>55</v>
      </c>
    </row>
    <row r="423" spans="1:16" x14ac:dyDescent="0.25">
      <c r="A423" t="s">
        <v>861</v>
      </c>
      <c r="B423" t="s">
        <v>374</v>
      </c>
      <c r="C423" t="s">
        <v>85</v>
      </c>
      <c r="D423" t="s">
        <v>47</v>
      </c>
      <c r="E423" t="s">
        <v>48</v>
      </c>
      <c r="F423" t="s">
        <v>22</v>
      </c>
      <c r="G423" t="s">
        <v>73</v>
      </c>
      <c r="H423" t="s">
        <v>58</v>
      </c>
      <c r="I423">
        <v>8</v>
      </c>
      <c r="J423">
        <v>552535</v>
      </c>
      <c r="K423">
        <v>12</v>
      </c>
      <c r="L423">
        <v>3889846.4</v>
      </c>
      <c r="M423" t="s">
        <v>42</v>
      </c>
      <c r="N423" t="s">
        <v>43</v>
      </c>
      <c r="O423" t="s">
        <v>27</v>
      </c>
      <c r="P423" t="s">
        <v>26</v>
      </c>
    </row>
    <row r="424" spans="1:16" x14ac:dyDescent="0.25">
      <c r="A424" t="s">
        <v>862</v>
      </c>
      <c r="B424" t="s">
        <v>863</v>
      </c>
      <c r="C424" t="s">
        <v>91</v>
      </c>
      <c r="D424" t="s">
        <v>30</v>
      </c>
      <c r="E424" t="s">
        <v>31</v>
      </c>
      <c r="F424" t="s">
        <v>32</v>
      </c>
      <c r="G424" t="s">
        <v>73</v>
      </c>
      <c r="H424" t="s">
        <v>58</v>
      </c>
      <c r="I424">
        <v>5</v>
      </c>
      <c r="J424">
        <v>353509</v>
      </c>
      <c r="K424">
        <v>12</v>
      </c>
      <c r="L424">
        <v>1555439.6</v>
      </c>
      <c r="M424" t="s">
        <v>42</v>
      </c>
      <c r="N424" t="s">
        <v>43</v>
      </c>
      <c r="O424" t="s">
        <v>27</v>
      </c>
      <c r="P424" t="s">
        <v>42</v>
      </c>
    </row>
    <row r="425" spans="1:16" x14ac:dyDescent="0.25">
      <c r="A425" t="s">
        <v>864</v>
      </c>
      <c r="B425" t="s">
        <v>865</v>
      </c>
      <c r="C425" t="s">
        <v>19</v>
      </c>
      <c r="D425" t="s">
        <v>20</v>
      </c>
      <c r="E425" t="s">
        <v>21</v>
      </c>
      <c r="F425" t="s">
        <v>22</v>
      </c>
      <c r="G425" t="s">
        <v>89</v>
      </c>
      <c r="H425" t="s">
        <v>24</v>
      </c>
      <c r="I425">
        <v>5</v>
      </c>
      <c r="J425">
        <v>717410</v>
      </c>
      <c r="K425">
        <v>2</v>
      </c>
      <c r="L425">
        <v>3515309</v>
      </c>
      <c r="M425" t="s">
        <v>42</v>
      </c>
      <c r="N425" t="s">
        <v>69</v>
      </c>
      <c r="O425" t="s">
        <v>44</v>
      </c>
      <c r="P425" t="s">
        <v>55</v>
      </c>
    </row>
    <row r="426" spans="1:16" x14ac:dyDescent="0.25">
      <c r="A426" t="s">
        <v>866</v>
      </c>
      <c r="B426" t="s">
        <v>36</v>
      </c>
      <c r="C426" t="s">
        <v>76</v>
      </c>
      <c r="D426" t="s">
        <v>154</v>
      </c>
      <c r="E426" t="s">
        <v>67</v>
      </c>
      <c r="F426" t="s">
        <v>68</v>
      </c>
      <c r="G426" t="s">
        <v>52</v>
      </c>
      <c r="H426" t="s">
        <v>58</v>
      </c>
      <c r="I426">
        <v>7</v>
      </c>
      <c r="J426">
        <v>229631</v>
      </c>
      <c r="K426">
        <v>10</v>
      </c>
      <c r="L426">
        <v>1446675.3</v>
      </c>
      <c r="M426" t="s">
        <v>25</v>
      </c>
      <c r="N426" t="s">
        <v>69</v>
      </c>
      <c r="O426" t="s">
        <v>27</v>
      </c>
      <c r="P426" t="s">
        <v>26</v>
      </c>
    </row>
    <row r="427" spans="1:16" x14ac:dyDescent="0.25">
      <c r="A427" t="s">
        <v>867</v>
      </c>
      <c r="B427" t="s">
        <v>868</v>
      </c>
      <c r="C427" t="s">
        <v>99</v>
      </c>
      <c r="D427" t="s">
        <v>30</v>
      </c>
      <c r="E427" t="s">
        <v>142</v>
      </c>
      <c r="F427" t="s">
        <v>32</v>
      </c>
      <c r="G427" t="s">
        <v>52</v>
      </c>
      <c r="H427" t="s">
        <v>58</v>
      </c>
      <c r="I427">
        <v>1</v>
      </c>
      <c r="J427">
        <v>640970</v>
      </c>
      <c r="K427">
        <v>0</v>
      </c>
      <c r="L427">
        <v>640970</v>
      </c>
      <c r="M427" t="s">
        <v>25</v>
      </c>
      <c r="N427" t="s">
        <v>69</v>
      </c>
      <c r="O427" t="s">
        <v>44</v>
      </c>
      <c r="P427" t="s">
        <v>26</v>
      </c>
    </row>
    <row r="428" spans="1:16" x14ac:dyDescent="0.25">
      <c r="A428" t="s">
        <v>869</v>
      </c>
      <c r="B428" t="s">
        <v>240</v>
      </c>
      <c r="C428" t="s">
        <v>76</v>
      </c>
      <c r="D428" t="s">
        <v>38</v>
      </c>
      <c r="E428" t="s">
        <v>39</v>
      </c>
      <c r="F428" t="s">
        <v>40</v>
      </c>
      <c r="G428" t="s">
        <v>52</v>
      </c>
      <c r="H428" t="s">
        <v>86</v>
      </c>
      <c r="I428">
        <v>2</v>
      </c>
      <c r="J428">
        <v>307955</v>
      </c>
      <c r="K428">
        <v>5</v>
      </c>
      <c r="L428">
        <v>585114.5</v>
      </c>
      <c r="M428" t="s">
        <v>54</v>
      </c>
      <c r="N428" t="s">
        <v>43</v>
      </c>
      <c r="O428" t="s">
        <v>27</v>
      </c>
      <c r="P428" t="s">
        <v>26</v>
      </c>
    </row>
    <row r="429" spans="1:16" x14ac:dyDescent="0.25">
      <c r="A429" t="s">
        <v>870</v>
      </c>
      <c r="B429" t="s">
        <v>871</v>
      </c>
      <c r="C429" t="s">
        <v>19</v>
      </c>
      <c r="D429" t="s">
        <v>38</v>
      </c>
      <c r="E429" t="s">
        <v>39</v>
      </c>
      <c r="F429" t="s">
        <v>40</v>
      </c>
      <c r="G429" t="s">
        <v>52</v>
      </c>
      <c r="H429" t="s">
        <v>53</v>
      </c>
      <c r="I429">
        <v>2</v>
      </c>
      <c r="J429">
        <v>268267</v>
      </c>
      <c r="K429">
        <v>12</v>
      </c>
      <c r="L429">
        <v>472149.92</v>
      </c>
      <c r="M429" t="s">
        <v>25</v>
      </c>
      <c r="N429" t="s">
        <v>43</v>
      </c>
      <c r="O429" t="s">
        <v>27</v>
      </c>
      <c r="P429" t="s">
        <v>26</v>
      </c>
    </row>
    <row r="430" spans="1:16" x14ac:dyDescent="0.25">
      <c r="A430" t="s">
        <v>872</v>
      </c>
      <c r="B430" t="s">
        <v>873</v>
      </c>
      <c r="C430" t="s">
        <v>76</v>
      </c>
      <c r="D430" t="s">
        <v>30</v>
      </c>
      <c r="E430" t="s">
        <v>31</v>
      </c>
      <c r="F430" t="s">
        <v>32</v>
      </c>
      <c r="G430" t="s">
        <v>94</v>
      </c>
      <c r="H430" t="s">
        <v>24</v>
      </c>
      <c r="I430">
        <v>6</v>
      </c>
      <c r="J430">
        <v>755092</v>
      </c>
      <c r="K430">
        <v>7</v>
      </c>
      <c r="L430">
        <v>4213413.3599999994</v>
      </c>
      <c r="M430" t="s">
        <v>54</v>
      </c>
      <c r="N430" t="s">
        <v>43</v>
      </c>
      <c r="O430" t="s">
        <v>44</v>
      </c>
      <c r="P430" t="s">
        <v>55</v>
      </c>
    </row>
    <row r="431" spans="1:16" x14ac:dyDescent="0.25">
      <c r="A431" t="s">
        <v>874</v>
      </c>
      <c r="B431" t="s">
        <v>875</v>
      </c>
      <c r="C431" t="s">
        <v>99</v>
      </c>
      <c r="D431" t="s">
        <v>47</v>
      </c>
      <c r="E431" t="s">
        <v>48</v>
      </c>
      <c r="F431" t="s">
        <v>22</v>
      </c>
      <c r="G431" t="s">
        <v>73</v>
      </c>
      <c r="H431" t="s">
        <v>86</v>
      </c>
      <c r="I431">
        <v>7</v>
      </c>
      <c r="J431">
        <v>534998</v>
      </c>
      <c r="K431">
        <v>10</v>
      </c>
      <c r="L431">
        <v>3370487.4</v>
      </c>
      <c r="M431" t="s">
        <v>42</v>
      </c>
      <c r="N431" t="s">
        <v>69</v>
      </c>
      <c r="O431" t="s">
        <v>44</v>
      </c>
      <c r="P431" t="s">
        <v>26</v>
      </c>
    </row>
    <row r="432" spans="1:16" x14ac:dyDescent="0.25">
      <c r="A432" t="s">
        <v>876</v>
      </c>
      <c r="B432" t="s">
        <v>877</v>
      </c>
      <c r="C432" t="s">
        <v>76</v>
      </c>
      <c r="D432" t="s">
        <v>20</v>
      </c>
      <c r="E432" t="s">
        <v>21</v>
      </c>
      <c r="F432" t="s">
        <v>22</v>
      </c>
      <c r="G432" t="s">
        <v>41</v>
      </c>
      <c r="H432" t="s">
        <v>58</v>
      </c>
      <c r="I432">
        <v>2</v>
      </c>
      <c r="J432">
        <v>201163</v>
      </c>
      <c r="K432">
        <v>10</v>
      </c>
      <c r="L432">
        <v>362093.4</v>
      </c>
      <c r="M432" t="s">
        <v>54</v>
      </c>
      <c r="N432" t="s">
        <v>43</v>
      </c>
      <c r="O432" t="s">
        <v>44</v>
      </c>
      <c r="P432" t="s">
        <v>26</v>
      </c>
    </row>
    <row r="433" spans="1:16" x14ac:dyDescent="0.25">
      <c r="A433" t="s">
        <v>878</v>
      </c>
      <c r="B433" t="s">
        <v>879</v>
      </c>
      <c r="C433" t="s">
        <v>37</v>
      </c>
      <c r="D433" t="s">
        <v>47</v>
      </c>
      <c r="E433" t="s">
        <v>48</v>
      </c>
      <c r="F433" t="s">
        <v>22</v>
      </c>
      <c r="G433" t="s">
        <v>23</v>
      </c>
      <c r="H433" t="s">
        <v>24</v>
      </c>
      <c r="I433">
        <v>5</v>
      </c>
      <c r="J433">
        <v>540370</v>
      </c>
      <c r="K433">
        <v>0</v>
      </c>
      <c r="L433">
        <v>2701850</v>
      </c>
      <c r="M433" t="s">
        <v>54</v>
      </c>
      <c r="N433" t="s">
        <v>26</v>
      </c>
      <c r="O433" t="s">
        <v>27</v>
      </c>
      <c r="P433" t="s">
        <v>42</v>
      </c>
    </row>
    <row r="434" spans="1:16" x14ac:dyDescent="0.25">
      <c r="A434" t="s">
        <v>880</v>
      </c>
      <c r="B434" t="s">
        <v>881</v>
      </c>
      <c r="C434" t="s">
        <v>65</v>
      </c>
      <c r="D434" t="s">
        <v>38</v>
      </c>
      <c r="E434" t="s">
        <v>39</v>
      </c>
      <c r="F434" t="s">
        <v>40</v>
      </c>
      <c r="G434" t="s">
        <v>73</v>
      </c>
      <c r="H434" t="s">
        <v>53</v>
      </c>
      <c r="I434">
        <v>7</v>
      </c>
      <c r="J434">
        <v>412820</v>
      </c>
      <c r="M434" t="s">
        <v>54</v>
      </c>
      <c r="N434" t="s">
        <v>26</v>
      </c>
      <c r="O434" t="s">
        <v>44</v>
      </c>
      <c r="P434" t="s">
        <v>42</v>
      </c>
    </row>
    <row r="435" spans="1:16" x14ac:dyDescent="0.25">
      <c r="A435" t="s">
        <v>882</v>
      </c>
      <c r="B435" t="s">
        <v>506</v>
      </c>
      <c r="C435" t="s">
        <v>61</v>
      </c>
      <c r="D435" t="s">
        <v>47</v>
      </c>
      <c r="E435" t="s">
        <v>48</v>
      </c>
      <c r="F435" t="s">
        <v>22</v>
      </c>
      <c r="G435" t="s">
        <v>33</v>
      </c>
      <c r="H435" t="s">
        <v>58</v>
      </c>
      <c r="I435">
        <v>6</v>
      </c>
      <c r="J435">
        <v>867867</v>
      </c>
      <c r="K435">
        <v>10</v>
      </c>
      <c r="L435">
        <v>4686481.8</v>
      </c>
      <c r="M435" t="s">
        <v>25</v>
      </c>
      <c r="N435" t="s">
        <v>26</v>
      </c>
      <c r="O435" t="s">
        <v>44</v>
      </c>
      <c r="P435" t="s">
        <v>55</v>
      </c>
    </row>
    <row r="436" spans="1:16" x14ac:dyDescent="0.25">
      <c r="A436" t="s">
        <v>883</v>
      </c>
      <c r="B436" t="s">
        <v>884</v>
      </c>
      <c r="C436" t="s">
        <v>76</v>
      </c>
      <c r="D436" t="s">
        <v>47</v>
      </c>
      <c r="E436" t="s">
        <v>48</v>
      </c>
      <c r="F436" t="s">
        <v>22</v>
      </c>
      <c r="G436" t="s">
        <v>73</v>
      </c>
      <c r="H436" t="s">
        <v>24</v>
      </c>
      <c r="I436">
        <v>5</v>
      </c>
      <c r="J436">
        <v>139560</v>
      </c>
      <c r="K436">
        <v>5</v>
      </c>
      <c r="L436">
        <v>662910</v>
      </c>
      <c r="M436" t="s">
        <v>25</v>
      </c>
      <c r="N436" t="s">
        <v>43</v>
      </c>
      <c r="O436" t="s">
        <v>44</v>
      </c>
      <c r="P436" t="s">
        <v>42</v>
      </c>
    </row>
    <row r="437" spans="1:16" x14ac:dyDescent="0.25">
      <c r="A437" t="s">
        <v>885</v>
      </c>
      <c r="B437" t="s">
        <v>886</v>
      </c>
      <c r="C437" t="s">
        <v>85</v>
      </c>
      <c r="D437" t="s">
        <v>51</v>
      </c>
      <c r="E437" t="s">
        <v>48</v>
      </c>
      <c r="F437" t="s">
        <v>22</v>
      </c>
      <c r="G437" t="s">
        <v>33</v>
      </c>
      <c r="H437" t="s">
        <v>34</v>
      </c>
      <c r="I437">
        <v>6</v>
      </c>
      <c r="J437">
        <v>831245</v>
      </c>
      <c r="K437">
        <v>2</v>
      </c>
      <c r="L437">
        <v>4887720.5999999996</v>
      </c>
      <c r="M437" t="s">
        <v>54</v>
      </c>
      <c r="N437" t="s">
        <v>26</v>
      </c>
      <c r="O437" t="s">
        <v>27</v>
      </c>
      <c r="P437" t="s">
        <v>55</v>
      </c>
    </row>
    <row r="438" spans="1:16" x14ac:dyDescent="0.25">
      <c r="A438" t="s">
        <v>887</v>
      </c>
      <c r="B438" t="s">
        <v>888</v>
      </c>
      <c r="C438" t="s">
        <v>85</v>
      </c>
      <c r="D438" t="s">
        <v>30</v>
      </c>
      <c r="E438" t="s">
        <v>31</v>
      </c>
      <c r="F438" t="s">
        <v>32</v>
      </c>
      <c r="G438" t="s">
        <v>135</v>
      </c>
      <c r="H438" t="s">
        <v>53</v>
      </c>
      <c r="I438">
        <v>2</v>
      </c>
      <c r="J438">
        <v>838592</v>
      </c>
      <c r="K438">
        <v>0</v>
      </c>
      <c r="L438">
        <v>1677184</v>
      </c>
      <c r="M438" t="s">
        <v>54</v>
      </c>
      <c r="N438" t="s">
        <v>69</v>
      </c>
      <c r="O438" t="s">
        <v>44</v>
      </c>
      <c r="P438" t="s">
        <v>42</v>
      </c>
    </row>
    <row r="439" spans="1:16" x14ac:dyDescent="0.25">
      <c r="A439" t="s">
        <v>889</v>
      </c>
      <c r="B439" t="s">
        <v>809</v>
      </c>
      <c r="C439" t="s">
        <v>37</v>
      </c>
      <c r="D439" t="s">
        <v>38</v>
      </c>
      <c r="E439" t="s">
        <v>39</v>
      </c>
      <c r="F439" t="s">
        <v>40</v>
      </c>
      <c r="G439" t="s">
        <v>52</v>
      </c>
      <c r="H439" t="s">
        <v>34</v>
      </c>
      <c r="I439">
        <v>5</v>
      </c>
      <c r="J439">
        <v>590984</v>
      </c>
      <c r="K439">
        <v>5</v>
      </c>
      <c r="L439">
        <v>2807174</v>
      </c>
      <c r="M439" t="s">
        <v>25</v>
      </c>
      <c r="N439" t="s">
        <v>43</v>
      </c>
      <c r="O439" t="s">
        <v>27</v>
      </c>
      <c r="P439" t="s">
        <v>26</v>
      </c>
    </row>
    <row r="440" spans="1:16" x14ac:dyDescent="0.25">
      <c r="A440" t="s">
        <v>890</v>
      </c>
      <c r="B440" t="s">
        <v>891</v>
      </c>
      <c r="C440" t="s">
        <v>85</v>
      </c>
      <c r="D440" t="s">
        <v>38</v>
      </c>
      <c r="E440" t="s">
        <v>39</v>
      </c>
      <c r="F440" t="s">
        <v>40</v>
      </c>
      <c r="G440" t="s">
        <v>124</v>
      </c>
      <c r="H440" t="s">
        <v>34</v>
      </c>
      <c r="I440">
        <v>7</v>
      </c>
      <c r="J440">
        <v>523967</v>
      </c>
      <c r="K440">
        <v>0</v>
      </c>
      <c r="L440">
        <v>3667769</v>
      </c>
      <c r="M440" t="s">
        <v>42</v>
      </c>
      <c r="N440" t="s">
        <v>26</v>
      </c>
      <c r="O440" t="s">
        <v>27</v>
      </c>
      <c r="P440" t="s">
        <v>26</v>
      </c>
    </row>
    <row r="441" spans="1:16" x14ac:dyDescent="0.25">
      <c r="A441" t="s">
        <v>892</v>
      </c>
      <c r="B441" t="s">
        <v>325</v>
      </c>
      <c r="C441" t="s">
        <v>19</v>
      </c>
      <c r="D441" t="s">
        <v>20</v>
      </c>
      <c r="E441" t="s">
        <v>21</v>
      </c>
      <c r="F441" t="s">
        <v>22</v>
      </c>
      <c r="G441" t="s">
        <v>73</v>
      </c>
      <c r="H441" t="s">
        <v>24</v>
      </c>
      <c r="I441">
        <v>1</v>
      </c>
      <c r="J441">
        <v>770331</v>
      </c>
      <c r="K441">
        <v>0</v>
      </c>
      <c r="L441">
        <v>770331</v>
      </c>
      <c r="M441" t="s">
        <v>42</v>
      </c>
      <c r="N441" t="s">
        <v>69</v>
      </c>
      <c r="O441" t="s">
        <v>44</v>
      </c>
      <c r="P441" t="s">
        <v>26</v>
      </c>
    </row>
    <row r="442" spans="1:16" x14ac:dyDescent="0.25">
      <c r="A442" t="s">
        <v>893</v>
      </c>
      <c r="B442" t="s">
        <v>894</v>
      </c>
      <c r="C442" t="s">
        <v>85</v>
      </c>
      <c r="D442" t="s">
        <v>38</v>
      </c>
      <c r="E442" t="s">
        <v>39</v>
      </c>
      <c r="F442" t="s">
        <v>40</v>
      </c>
      <c r="G442" t="s">
        <v>135</v>
      </c>
      <c r="H442" t="s">
        <v>53</v>
      </c>
      <c r="I442">
        <v>7</v>
      </c>
      <c r="J442">
        <v>298636</v>
      </c>
      <c r="K442">
        <v>7</v>
      </c>
      <c r="L442">
        <v>1944120.36</v>
      </c>
      <c r="M442" t="s">
        <v>42</v>
      </c>
      <c r="N442" t="s">
        <v>69</v>
      </c>
      <c r="O442" t="s">
        <v>44</v>
      </c>
      <c r="P442" t="s">
        <v>55</v>
      </c>
    </row>
    <row r="443" spans="1:16" x14ac:dyDescent="0.25">
      <c r="A443" t="s">
        <v>895</v>
      </c>
      <c r="B443" t="s">
        <v>896</v>
      </c>
      <c r="C443" t="s">
        <v>37</v>
      </c>
      <c r="D443" t="s">
        <v>30</v>
      </c>
      <c r="E443" t="s">
        <v>31</v>
      </c>
      <c r="F443" t="s">
        <v>32</v>
      </c>
      <c r="G443" t="s">
        <v>33</v>
      </c>
      <c r="H443" t="s">
        <v>24</v>
      </c>
      <c r="I443">
        <v>4</v>
      </c>
      <c r="J443">
        <v>53426</v>
      </c>
      <c r="K443">
        <v>10</v>
      </c>
      <c r="L443">
        <v>192333.6</v>
      </c>
      <c r="M443" t="s">
        <v>42</v>
      </c>
      <c r="N443" t="s">
        <v>43</v>
      </c>
      <c r="O443" t="s">
        <v>44</v>
      </c>
      <c r="P443" t="s">
        <v>42</v>
      </c>
    </row>
    <row r="444" spans="1:16" x14ac:dyDescent="0.25">
      <c r="A444" t="s">
        <v>897</v>
      </c>
      <c r="B444" t="s">
        <v>898</v>
      </c>
      <c r="C444" t="s">
        <v>37</v>
      </c>
      <c r="D444" t="s">
        <v>20</v>
      </c>
      <c r="E444" t="s">
        <v>189</v>
      </c>
      <c r="F444" t="s">
        <v>22</v>
      </c>
      <c r="G444" t="s">
        <v>89</v>
      </c>
      <c r="H444" t="s">
        <v>86</v>
      </c>
      <c r="I444">
        <v>6</v>
      </c>
      <c r="J444">
        <v>802919</v>
      </c>
      <c r="K444">
        <v>5</v>
      </c>
      <c r="L444">
        <v>4576638.3</v>
      </c>
      <c r="M444" t="s">
        <v>54</v>
      </c>
      <c r="N444" t="s">
        <v>26</v>
      </c>
      <c r="O444" t="s">
        <v>27</v>
      </c>
      <c r="P444" t="s">
        <v>55</v>
      </c>
    </row>
    <row r="445" spans="1:16" x14ac:dyDescent="0.25">
      <c r="A445" t="s">
        <v>899</v>
      </c>
      <c r="B445" t="s">
        <v>900</v>
      </c>
      <c r="C445" t="s">
        <v>76</v>
      </c>
      <c r="D445" t="s">
        <v>106</v>
      </c>
      <c r="E445" t="s">
        <v>31</v>
      </c>
      <c r="F445" t="s">
        <v>32</v>
      </c>
      <c r="G445" t="s">
        <v>73</v>
      </c>
      <c r="H445" t="s">
        <v>34</v>
      </c>
      <c r="I445">
        <v>6</v>
      </c>
      <c r="J445">
        <v>426940</v>
      </c>
      <c r="K445">
        <v>2</v>
      </c>
      <c r="L445">
        <v>2510407.2000000002</v>
      </c>
      <c r="M445" t="s">
        <v>42</v>
      </c>
      <c r="N445" t="s">
        <v>69</v>
      </c>
      <c r="O445" t="s">
        <v>44</v>
      </c>
      <c r="P445" t="s">
        <v>26</v>
      </c>
    </row>
    <row r="446" spans="1:16" x14ac:dyDescent="0.25">
      <c r="A446" t="s">
        <v>901</v>
      </c>
      <c r="B446" t="s">
        <v>902</v>
      </c>
      <c r="C446" t="s">
        <v>99</v>
      </c>
      <c r="D446" t="s">
        <v>30</v>
      </c>
      <c r="E446" t="s">
        <v>31</v>
      </c>
      <c r="F446" t="s">
        <v>32</v>
      </c>
      <c r="G446" t="s">
        <v>135</v>
      </c>
      <c r="H446" t="s">
        <v>86</v>
      </c>
      <c r="I446">
        <v>5</v>
      </c>
      <c r="J446">
        <v>288241</v>
      </c>
      <c r="K446">
        <v>10</v>
      </c>
      <c r="L446">
        <v>1297084.5</v>
      </c>
      <c r="M446" t="s">
        <v>25</v>
      </c>
      <c r="N446" t="s">
        <v>43</v>
      </c>
      <c r="O446" t="s">
        <v>44</v>
      </c>
      <c r="P446" t="s">
        <v>55</v>
      </c>
    </row>
    <row r="447" spans="1:16" x14ac:dyDescent="0.25">
      <c r="A447" t="s">
        <v>903</v>
      </c>
      <c r="B447" t="s">
        <v>904</v>
      </c>
      <c r="C447" t="s">
        <v>85</v>
      </c>
      <c r="D447" t="s">
        <v>38</v>
      </c>
      <c r="E447" t="s">
        <v>130</v>
      </c>
      <c r="F447" t="s">
        <v>40</v>
      </c>
      <c r="G447" t="s">
        <v>41</v>
      </c>
      <c r="H447" t="s">
        <v>53</v>
      </c>
      <c r="J447">
        <v>821405</v>
      </c>
      <c r="K447">
        <v>7</v>
      </c>
      <c r="M447" t="s">
        <v>42</v>
      </c>
      <c r="N447" t="s">
        <v>26</v>
      </c>
      <c r="O447" t="s">
        <v>27</v>
      </c>
      <c r="P447" t="s">
        <v>42</v>
      </c>
    </row>
    <row r="448" spans="1:16" x14ac:dyDescent="0.25">
      <c r="A448" t="s">
        <v>905</v>
      </c>
      <c r="B448" t="s">
        <v>906</v>
      </c>
      <c r="C448" t="s">
        <v>37</v>
      </c>
      <c r="D448" t="s">
        <v>129</v>
      </c>
      <c r="E448" t="s">
        <v>39</v>
      </c>
      <c r="F448" t="s">
        <v>40</v>
      </c>
      <c r="G448" t="s">
        <v>33</v>
      </c>
      <c r="H448" t="s">
        <v>86</v>
      </c>
      <c r="I448">
        <v>4</v>
      </c>
      <c r="J448">
        <v>430852</v>
      </c>
      <c r="K448">
        <v>0</v>
      </c>
      <c r="L448">
        <v>1723408</v>
      </c>
      <c r="M448" t="s">
        <v>54</v>
      </c>
      <c r="N448" t="s">
        <v>69</v>
      </c>
      <c r="O448" t="s">
        <v>27</v>
      </c>
      <c r="P448" t="s">
        <v>55</v>
      </c>
    </row>
    <row r="449" spans="1:16" x14ac:dyDescent="0.25">
      <c r="A449" t="s">
        <v>907</v>
      </c>
      <c r="B449" t="s">
        <v>908</v>
      </c>
      <c r="C449" t="s">
        <v>79</v>
      </c>
      <c r="D449" t="s">
        <v>20</v>
      </c>
      <c r="E449" t="s">
        <v>21</v>
      </c>
      <c r="F449" t="s">
        <v>22</v>
      </c>
      <c r="G449" t="s">
        <v>41</v>
      </c>
      <c r="H449" t="s">
        <v>24</v>
      </c>
      <c r="I449">
        <v>2</v>
      </c>
      <c r="J449">
        <v>347042</v>
      </c>
      <c r="K449">
        <v>10</v>
      </c>
      <c r="L449">
        <v>624675.6</v>
      </c>
      <c r="M449" t="s">
        <v>54</v>
      </c>
      <c r="N449" t="s">
        <v>43</v>
      </c>
      <c r="O449" t="s">
        <v>44</v>
      </c>
      <c r="P449" t="s">
        <v>26</v>
      </c>
    </row>
    <row r="450" spans="1:16" x14ac:dyDescent="0.25">
      <c r="A450" t="s">
        <v>909</v>
      </c>
      <c r="B450" t="s">
        <v>910</v>
      </c>
      <c r="C450" t="s">
        <v>85</v>
      </c>
      <c r="D450" t="s">
        <v>30</v>
      </c>
      <c r="E450" t="s">
        <v>142</v>
      </c>
      <c r="F450" t="s">
        <v>32</v>
      </c>
      <c r="G450" t="s">
        <v>62</v>
      </c>
      <c r="H450" t="s">
        <v>53</v>
      </c>
      <c r="I450">
        <v>7</v>
      </c>
      <c r="J450">
        <v>264705</v>
      </c>
      <c r="K450">
        <v>2</v>
      </c>
      <c r="L450">
        <v>1815876.3</v>
      </c>
      <c r="M450" t="s">
        <v>54</v>
      </c>
      <c r="N450" t="s">
        <v>69</v>
      </c>
      <c r="O450" t="s">
        <v>44</v>
      </c>
      <c r="P450" t="s">
        <v>55</v>
      </c>
    </row>
    <row r="451" spans="1:16" x14ac:dyDescent="0.25">
      <c r="A451" t="s">
        <v>911</v>
      </c>
      <c r="B451" t="s">
        <v>727</v>
      </c>
      <c r="C451" t="s">
        <v>79</v>
      </c>
      <c r="D451" t="s">
        <v>47</v>
      </c>
      <c r="E451" t="s">
        <v>48</v>
      </c>
      <c r="F451" t="s">
        <v>22</v>
      </c>
      <c r="G451" t="s">
        <v>135</v>
      </c>
      <c r="H451" t="s">
        <v>58</v>
      </c>
      <c r="I451">
        <v>8</v>
      </c>
      <c r="J451">
        <v>145011</v>
      </c>
      <c r="K451">
        <v>5</v>
      </c>
      <c r="L451">
        <v>1102083.6000000001</v>
      </c>
      <c r="M451" t="s">
        <v>54</v>
      </c>
      <c r="N451" t="s">
        <v>43</v>
      </c>
      <c r="O451" t="s">
        <v>44</v>
      </c>
      <c r="P451" t="s">
        <v>26</v>
      </c>
    </row>
    <row r="452" spans="1:16" x14ac:dyDescent="0.25">
      <c r="A452" t="s">
        <v>912</v>
      </c>
      <c r="B452" t="s">
        <v>913</v>
      </c>
      <c r="C452" t="s">
        <v>65</v>
      </c>
      <c r="D452" t="s">
        <v>66</v>
      </c>
      <c r="E452" t="s">
        <v>201</v>
      </c>
      <c r="F452" t="s">
        <v>68</v>
      </c>
      <c r="G452" t="s">
        <v>52</v>
      </c>
      <c r="H452" t="s">
        <v>53</v>
      </c>
      <c r="I452">
        <v>2</v>
      </c>
      <c r="J452">
        <v>96489</v>
      </c>
      <c r="K452">
        <v>5</v>
      </c>
      <c r="L452">
        <v>183329.1</v>
      </c>
      <c r="M452" t="s">
        <v>42</v>
      </c>
      <c r="N452" t="s">
        <v>43</v>
      </c>
      <c r="O452" t="s">
        <v>44</v>
      </c>
      <c r="P452" t="s">
        <v>26</v>
      </c>
    </row>
    <row r="453" spans="1:16" x14ac:dyDescent="0.25">
      <c r="A453" t="s">
        <v>914</v>
      </c>
      <c r="B453" t="s">
        <v>915</v>
      </c>
      <c r="C453" t="s">
        <v>19</v>
      </c>
      <c r="D453" t="s">
        <v>20</v>
      </c>
      <c r="E453" t="s">
        <v>21</v>
      </c>
      <c r="F453" t="s">
        <v>22</v>
      </c>
      <c r="G453" t="s">
        <v>23</v>
      </c>
      <c r="H453" t="s">
        <v>86</v>
      </c>
      <c r="I453">
        <v>7</v>
      </c>
      <c r="J453">
        <v>628780</v>
      </c>
      <c r="K453">
        <v>7</v>
      </c>
      <c r="L453">
        <v>4093357.8</v>
      </c>
      <c r="M453" t="s">
        <v>42</v>
      </c>
      <c r="N453" t="s">
        <v>69</v>
      </c>
      <c r="O453" t="s">
        <v>27</v>
      </c>
      <c r="P453" t="s">
        <v>42</v>
      </c>
    </row>
    <row r="454" spans="1:16" x14ac:dyDescent="0.25">
      <c r="A454" t="s">
        <v>916</v>
      </c>
      <c r="B454" t="s">
        <v>917</v>
      </c>
      <c r="C454" t="s">
        <v>99</v>
      </c>
      <c r="D454" t="s">
        <v>66</v>
      </c>
      <c r="E454" t="s">
        <v>67</v>
      </c>
      <c r="F454" t="s">
        <v>68</v>
      </c>
      <c r="G454" t="s">
        <v>62</v>
      </c>
      <c r="H454" t="s">
        <v>58</v>
      </c>
      <c r="I454">
        <v>1</v>
      </c>
      <c r="J454">
        <v>213350</v>
      </c>
      <c r="K454">
        <v>5</v>
      </c>
      <c r="L454">
        <v>202682.5</v>
      </c>
      <c r="M454" t="s">
        <v>54</v>
      </c>
      <c r="N454" t="s">
        <v>43</v>
      </c>
      <c r="O454" t="s">
        <v>44</v>
      </c>
      <c r="P454" t="s">
        <v>55</v>
      </c>
    </row>
    <row r="455" spans="1:16" x14ac:dyDescent="0.25">
      <c r="A455" t="s">
        <v>918</v>
      </c>
      <c r="B455" t="s">
        <v>919</v>
      </c>
      <c r="C455" t="s">
        <v>65</v>
      </c>
      <c r="D455" t="s">
        <v>20</v>
      </c>
      <c r="E455" t="s">
        <v>21</v>
      </c>
      <c r="F455" t="s">
        <v>22</v>
      </c>
      <c r="G455" t="s">
        <v>33</v>
      </c>
      <c r="H455" t="s">
        <v>58</v>
      </c>
      <c r="I455">
        <v>6</v>
      </c>
      <c r="J455">
        <v>56254</v>
      </c>
      <c r="K455">
        <v>7</v>
      </c>
      <c r="L455">
        <v>326242.32</v>
      </c>
      <c r="M455" t="s">
        <v>54</v>
      </c>
      <c r="N455" t="s">
        <v>26</v>
      </c>
      <c r="O455" t="s">
        <v>44</v>
      </c>
      <c r="P455" t="s">
        <v>42</v>
      </c>
    </row>
    <row r="456" spans="1:16" x14ac:dyDescent="0.25">
      <c r="A456" t="s">
        <v>920</v>
      </c>
      <c r="B456" t="s">
        <v>921</v>
      </c>
      <c r="C456" t="s">
        <v>65</v>
      </c>
      <c r="D456" t="s">
        <v>30</v>
      </c>
      <c r="E456" t="s">
        <v>31</v>
      </c>
      <c r="F456" t="s">
        <v>32</v>
      </c>
      <c r="G456" t="s">
        <v>33</v>
      </c>
      <c r="H456" t="s">
        <v>86</v>
      </c>
      <c r="I456">
        <v>3</v>
      </c>
      <c r="J456">
        <v>862954</v>
      </c>
      <c r="K456">
        <v>10</v>
      </c>
      <c r="L456">
        <v>2342320.7999999998</v>
      </c>
      <c r="M456" t="s">
        <v>42</v>
      </c>
      <c r="N456" t="s">
        <v>43</v>
      </c>
      <c r="O456" t="s">
        <v>27</v>
      </c>
      <c r="P456" t="s">
        <v>26</v>
      </c>
    </row>
    <row r="457" spans="1:16" x14ac:dyDescent="0.25">
      <c r="A457" t="s">
        <v>922</v>
      </c>
      <c r="B457" t="s">
        <v>923</v>
      </c>
      <c r="C457" t="s">
        <v>76</v>
      </c>
      <c r="D457" t="s">
        <v>20</v>
      </c>
      <c r="E457" t="s">
        <v>21</v>
      </c>
      <c r="F457" t="s">
        <v>22</v>
      </c>
      <c r="G457" t="s">
        <v>41</v>
      </c>
      <c r="H457" t="s">
        <v>58</v>
      </c>
      <c r="I457">
        <v>5</v>
      </c>
      <c r="J457">
        <v>788109</v>
      </c>
      <c r="K457">
        <v>12</v>
      </c>
      <c r="L457">
        <v>3467679.6</v>
      </c>
      <c r="M457" t="s">
        <v>54</v>
      </c>
      <c r="N457" t="s">
        <v>26</v>
      </c>
      <c r="O457" t="s">
        <v>27</v>
      </c>
      <c r="P457" t="s">
        <v>26</v>
      </c>
    </row>
    <row r="458" spans="1:16" x14ac:dyDescent="0.25">
      <c r="A458" t="s">
        <v>924</v>
      </c>
      <c r="B458" t="s">
        <v>925</v>
      </c>
      <c r="C458" t="s">
        <v>76</v>
      </c>
      <c r="D458" t="s">
        <v>30</v>
      </c>
      <c r="E458" t="s">
        <v>31</v>
      </c>
      <c r="F458" t="s">
        <v>32</v>
      </c>
      <c r="G458" t="s">
        <v>33</v>
      </c>
      <c r="H458" t="s">
        <v>58</v>
      </c>
      <c r="I458">
        <v>3</v>
      </c>
      <c r="J458">
        <v>810472</v>
      </c>
      <c r="K458">
        <v>0</v>
      </c>
      <c r="L458">
        <v>2431416</v>
      </c>
      <c r="M458" t="s">
        <v>42</v>
      </c>
      <c r="N458" t="s">
        <v>26</v>
      </c>
      <c r="O458" t="s">
        <v>27</v>
      </c>
      <c r="P458" t="s">
        <v>42</v>
      </c>
    </row>
    <row r="459" spans="1:16" x14ac:dyDescent="0.25">
      <c r="A459" t="s">
        <v>926</v>
      </c>
      <c r="B459" t="s">
        <v>927</v>
      </c>
      <c r="C459" t="s">
        <v>19</v>
      </c>
      <c r="D459" t="s">
        <v>20</v>
      </c>
      <c r="E459" t="s">
        <v>21</v>
      </c>
      <c r="F459" t="s">
        <v>22</v>
      </c>
      <c r="G459" t="s">
        <v>33</v>
      </c>
      <c r="H459" t="s">
        <v>58</v>
      </c>
      <c r="I459">
        <v>6</v>
      </c>
      <c r="J459">
        <v>869470</v>
      </c>
      <c r="K459">
        <v>12</v>
      </c>
      <c r="L459">
        <v>4590801.5999999996</v>
      </c>
      <c r="M459" t="s">
        <v>25</v>
      </c>
      <c r="N459" t="s">
        <v>43</v>
      </c>
      <c r="O459" t="s">
        <v>44</v>
      </c>
      <c r="P459" t="s">
        <v>42</v>
      </c>
    </row>
    <row r="460" spans="1:16" x14ac:dyDescent="0.25">
      <c r="A460" t="s">
        <v>928</v>
      </c>
      <c r="B460" t="s">
        <v>929</v>
      </c>
      <c r="C460" t="s">
        <v>91</v>
      </c>
      <c r="D460" t="s">
        <v>47</v>
      </c>
      <c r="E460" t="s">
        <v>48</v>
      </c>
      <c r="F460" t="s">
        <v>22</v>
      </c>
      <c r="G460" t="s">
        <v>41</v>
      </c>
      <c r="H460" t="s">
        <v>34</v>
      </c>
      <c r="I460">
        <v>7</v>
      </c>
      <c r="J460">
        <v>311295</v>
      </c>
      <c r="K460">
        <v>2</v>
      </c>
      <c r="L460">
        <v>2135483.7000000002</v>
      </c>
      <c r="M460" t="s">
        <v>25</v>
      </c>
      <c r="N460" t="s">
        <v>69</v>
      </c>
      <c r="O460" t="s">
        <v>27</v>
      </c>
      <c r="P460" t="s">
        <v>55</v>
      </c>
    </row>
    <row r="461" spans="1:16" x14ac:dyDescent="0.25">
      <c r="A461" t="s">
        <v>930</v>
      </c>
      <c r="B461" t="s">
        <v>931</v>
      </c>
      <c r="C461" t="s">
        <v>37</v>
      </c>
      <c r="D461" t="s">
        <v>20</v>
      </c>
      <c r="E461" t="s">
        <v>21</v>
      </c>
      <c r="F461" t="s">
        <v>22</v>
      </c>
      <c r="G461" t="s">
        <v>52</v>
      </c>
      <c r="H461" t="s">
        <v>58</v>
      </c>
      <c r="I461">
        <v>1</v>
      </c>
      <c r="J461">
        <v>151624</v>
      </c>
      <c r="K461">
        <v>2</v>
      </c>
      <c r="L461">
        <v>148591.51999999999</v>
      </c>
      <c r="M461" t="s">
        <v>42</v>
      </c>
      <c r="N461" t="s">
        <v>43</v>
      </c>
      <c r="O461" t="s">
        <v>44</v>
      </c>
      <c r="P461" t="s">
        <v>55</v>
      </c>
    </row>
    <row r="462" spans="1:16" x14ac:dyDescent="0.25">
      <c r="A462" t="s">
        <v>932</v>
      </c>
      <c r="B462" t="s">
        <v>933</v>
      </c>
      <c r="C462" t="s">
        <v>76</v>
      </c>
      <c r="D462" t="s">
        <v>20</v>
      </c>
      <c r="E462" t="s">
        <v>21</v>
      </c>
      <c r="F462" t="s">
        <v>22</v>
      </c>
      <c r="G462" t="s">
        <v>52</v>
      </c>
      <c r="H462" t="s">
        <v>53</v>
      </c>
      <c r="I462">
        <v>5</v>
      </c>
      <c r="J462">
        <v>318972</v>
      </c>
      <c r="K462">
        <v>5</v>
      </c>
      <c r="L462">
        <v>1515117</v>
      </c>
      <c r="M462" t="s">
        <v>42</v>
      </c>
      <c r="N462" t="s">
        <v>43</v>
      </c>
      <c r="O462" t="s">
        <v>27</v>
      </c>
      <c r="P462" t="s">
        <v>42</v>
      </c>
    </row>
    <row r="463" spans="1:16" x14ac:dyDescent="0.25">
      <c r="A463" t="s">
        <v>934</v>
      </c>
      <c r="B463" t="s">
        <v>935</v>
      </c>
      <c r="C463" t="s">
        <v>85</v>
      </c>
      <c r="D463" t="s">
        <v>47</v>
      </c>
      <c r="E463" t="s">
        <v>48</v>
      </c>
      <c r="F463" t="s">
        <v>22</v>
      </c>
      <c r="G463" t="s">
        <v>135</v>
      </c>
      <c r="H463" t="s">
        <v>24</v>
      </c>
      <c r="I463">
        <v>6</v>
      </c>
      <c r="J463">
        <v>383952</v>
      </c>
      <c r="K463">
        <v>0</v>
      </c>
      <c r="L463">
        <v>2303712</v>
      </c>
      <c r="M463" t="s">
        <v>54</v>
      </c>
      <c r="N463" t="s">
        <v>43</v>
      </c>
      <c r="O463" t="s">
        <v>27</v>
      </c>
      <c r="P463" t="s">
        <v>55</v>
      </c>
    </row>
    <row r="464" spans="1:16" x14ac:dyDescent="0.25">
      <c r="A464" t="s">
        <v>936</v>
      </c>
      <c r="B464" t="s">
        <v>307</v>
      </c>
      <c r="C464" t="s">
        <v>85</v>
      </c>
      <c r="D464" t="s">
        <v>38</v>
      </c>
      <c r="E464" t="s">
        <v>39</v>
      </c>
      <c r="F464" t="s">
        <v>40</v>
      </c>
      <c r="G464" t="s">
        <v>135</v>
      </c>
      <c r="H464" t="s">
        <v>34</v>
      </c>
      <c r="I464">
        <v>1</v>
      </c>
      <c r="J464">
        <v>746341</v>
      </c>
      <c r="K464">
        <v>12</v>
      </c>
      <c r="L464">
        <v>656780.07999999996</v>
      </c>
      <c r="M464" t="s">
        <v>25</v>
      </c>
      <c r="N464" t="s">
        <v>43</v>
      </c>
      <c r="O464" t="s">
        <v>27</v>
      </c>
      <c r="P464" t="s">
        <v>42</v>
      </c>
    </row>
    <row r="465" spans="1:16" x14ac:dyDescent="0.25">
      <c r="A465" t="s">
        <v>937</v>
      </c>
      <c r="B465" t="s">
        <v>685</v>
      </c>
      <c r="C465" t="s">
        <v>61</v>
      </c>
      <c r="D465" t="s">
        <v>47</v>
      </c>
      <c r="E465" t="s">
        <v>72</v>
      </c>
      <c r="F465" t="s">
        <v>22</v>
      </c>
      <c r="G465" t="s">
        <v>33</v>
      </c>
      <c r="H465" t="s">
        <v>24</v>
      </c>
      <c r="I465">
        <v>2</v>
      </c>
      <c r="J465">
        <v>298827</v>
      </c>
      <c r="K465">
        <v>7</v>
      </c>
      <c r="L465">
        <v>555818.22</v>
      </c>
      <c r="M465" t="s">
        <v>25</v>
      </c>
      <c r="N465" t="s">
        <v>43</v>
      </c>
      <c r="O465" t="s">
        <v>27</v>
      </c>
      <c r="P465" t="s">
        <v>26</v>
      </c>
    </row>
    <row r="466" spans="1:16" x14ac:dyDescent="0.25">
      <c r="A466" t="s">
        <v>938</v>
      </c>
      <c r="B466" t="s">
        <v>939</v>
      </c>
      <c r="C466" t="s">
        <v>198</v>
      </c>
      <c r="D466" t="s">
        <v>20</v>
      </c>
      <c r="E466" t="s">
        <v>21</v>
      </c>
      <c r="F466" t="s">
        <v>22</v>
      </c>
      <c r="G466" t="s">
        <v>73</v>
      </c>
      <c r="H466" t="s">
        <v>24</v>
      </c>
      <c r="I466">
        <v>8</v>
      </c>
      <c r="J466">
        <v>196286</v>
      </c>
      <c r="K466">
        <v>12</v>
      </c>
      <c r="L466">
        <v>1381853.44</v>
      </c>
      <c r="M466" t="s">
        <v>25</v>
      </c>
      <c r="N466" t="s">
        <v>26</v>
      </c>
      <c r="O466" t="s">
        <v>27</v>
      </c>
      <c r="P466" t="s">
        <v>42</v>
      </c>
    </row>
    <row r="467" spans="1:16" x14ac:dyDescent="0.25">
      <c r="A467" t="s">
        <v>940</v>
      </c>
      <c r="B467" t="s">
        <v>941</v>
      </c>
      <c r="C467" t="s">
        <v>37</v>
      </c>
      <c r="D467" t="s">
        <v>66</v>
      </c>
      <c r="E467" t="s">
        <v>67</v>
      </c>
      <c r="F467" t="s">
        <v>68</v>
      </c>
      <c r="G467" t="s">
        <v>62</v>
      </c>
      <c r="H467" t="s">
        <v>24</v>
      </c>
      <c r="I467">
        <v>4</v>
      </c>
      <c r="J467">
        <v>481997</v>
      </c>
      <c r="M467" t="s">
        <v>25</v>
      </c>
      <c r="N467" t="s">
        <v>26</v>
      </c>
      <c r="O467" t="s">
        <v>27</v>
      </c>
      <c r="P467" t="s">
        <v>26</v>
      </c>
    </row>
    <row r="468" spans="1:16" x14ac:dyDescent="0.25">
      <c r="A468" t="s">
        <v>942</v>
      </c>
      <c r="B468" t="s">
        <v>943</v>
      </c>
      <c r="C468" t="s">
        <v>19</v>
      </c>
      <c r="D468" t="s">
        <v>119</v>
      </c>
      <c r="E468" t="s">
        <v>189</v>
      </c>
      <c r="F468" t="s">
        <v>22</v>
      </c>
      <c r="G468" t="s">
        <v>41</v>
      </c>
      <c r="H468" t="s">
        <v>58</v>
      </c>
      <c r="I468">
        <v>6</v>
      </c>
      <c r="J468">
        <v>89238</v>
      </c>
      <c r="M468" t="s">
        <v>25</v>
      </c>
      <c r="N468" t="s">
        <v>43</v>
      </c>
      <c r="O468" t="s">
        <v>44</v>
      </c>
      <c r="P468" t="s">
        <v>26</v>
      </c>
    </row>
    <row r="469" spans="1:16" x14ac:dyDescent="0.25">
      <c r="A469" t="s">
        <v>944</v>
      </c>
      <c r="B469" t="s">
        <v>945</v>
      </c>
      <c r="C469" t="s">
        <v>37</v>
      </c>
      <c r="D469" t="s">
        <v>106</v>
      </c>
      <c r="E469" t="s">
        <v>31</v>
      </c>
      <c r="F469" t="s">
        <v>32</v>
      </c>
      <c r="G469" t="s">
        <v>124</v>
      </c>
      <c r="H469" t="s">
        <v>58</v>
      </c>
      <c r="I469">
        <v>5</v>
      </c>
      <c r="J469">
        <v>288123</v>
      </c>
      <c r="K469">
        <v>7</v>
      </c>
      <c r="L469">
        <v>1339771.95</v>
      </c>
      <c r="M469" t="s">
        <v>25</v>
      </c>
      <c r="N469" t="s">
        <v>26</v>
      </c>
      <c r="O469" t="s">
        <v>44</v>
      </c>
      <c r="P469" t="s">
        <v>42</v>
      </c>
    </row>
    <row r="470" spans="1:16" x14ac:dyDescent="0.25">
      <c r="A470" t="s">
        <v>946</v>
      </c>
      <c r="B470" t="s">
        <v>947</v>
      </c>
      <c r="C470" t="s">
        <v>37</v>
      </c>
      <c r="D470" t="s">
        <v>20</v>
      </c>
      <c r="E470" t="s">
        <v>21</v>
      </c>
      <c r="F470" t="s">
        <v>22</v>
      </c>
      <c r="G470" t="s">
        <v>52</v>
      </c>
      <c r="H470" t="s">
        <v>58</v>
      </c>
      <c r="I470">
        <v>7</v>
      </c>
      <c r="J470">
        <v>808270</v>
      </c>
      <c r="K470">
        <v>12</v>
      </c>
      <c r="L470">
        <v>4978943.2</v>
      </c>
      <c r="M470" t="s">
        <v>54</v>
      </c>
      <c r="N470" t="s">
        <v>43</v>
      </c>
      <c r="O470" t="s">
        <v>27</v>
      </c>
      <c r="P470" t="s">
        <v>26</v>
      </c>
    </row>
    <row r="471" spans="1:16" x14ac:dyDescent="0.25">
      <c r="A471" t="s">
        <v>948</v>
      </c>
      <c r="B471" t="s">
        <v>252</v>
      </c>
      <c r="C471" t="s">
        <v>19</v>
      </c>
      <c r="D471" t="s">
        <v>38</v>
      </c>
      <c r="E471" t="s">
        <v>39</v>
      </c>
      <c r="F471" t="s">
        <v>40</v>
      </c>
      <c r="G471" t="s">
        <v>33</v>
      </c>
      <c r="H471" t="s">
        <v>24</v>
      </c>
      <c r="I471">
        <v>2</v>
      </c>
      <c r="J471">
        <v>88695</v>
      </c>
      <c r="K471">
        <v>10</v>
      </c>
      <c r="L471">
        <v>159651</v>
      </c>
      <c r="M471" t="s">
        <v>42</v>
      </c>
      <c r="N471" t="s">
        <v>26</v>
      </c>
      <c r="O471" t="s">
        <v>27</v>
      </c>
      <c r="P471" t="s">
        <v>55</v>
      </c>
    </row>
    <row r="472" spans="1:16" x14ac:dyDescent="0.25">
      <c r="A472" t="s">
        <v>949</v>
      </c>
      <c r="B472" t="s">
        <v>950</v>
      </c>
      <c r="C472" t="s">
        <v>19</v>
      </c>
      <c r="D472" t="s">
        <v>38</v>
      </c>
      <c r="E472" t="s">
        <v>39</v>
      </c>
      <c r="F472" t="s">
        <v>40</v>
      </c>
      <c r="G472" t="s">
        <v>62</v>
      </c>
      <c r="H472" t="s">
        <v>86</v>
      </c>
      <c r="I472">
        <v>4</v>
      </c>
      <c r="J472">
        <v>569409</v>
      </c>
      <c r="K472">
        <v>5</v>
      </c>
      <c r="L472">
        <v>2163754.2000000002</v>
      </c>
      <c r="M472" t="s">
        <v>25</v>
      </c>
      <c r="N472" t="s">
        <v>43</v>
      </c>
      <c r="O472" t="s">
        <v>27</v>
      </c>
      <c r="P472" t="s">
        <v>55</v>
      </c>
    </row>
    <row r="473" spans="1:16" x14ac:dyDescent="0.25">
      <c r="A473" t="s">
        <v>951</v>
      </c>
      <c r="B473" t="s">
        <v>952</v>
      </c>
      <c r="C473" t="s">
        <v>19</v>
      </c>
      <c r="D473" t="s">
        <v>20</v>
      </c>
      <c r="E473" t="s">
        <v>21</v>
      </c>
      <c r="F473" t="s">
        <v>22</v>
      </c>
      <c r="G473" t="s">
        <v>23</v>
      </c>
      <c r="H473" t="s">
        <v>58</v>
      </c>
      <c r="I473">
        <v>2</v>
      </c>
      <c r="J473">
        <v>737767</v>
      </c>
      <c r="K473">
        <v>2</v>
      </c>
      <c r="L473">
        <v>1446023.32</v>
      </c>
      <c r="M473" t="s">
        <v>25</v>
      </c>
      <c r="N473" t="s">
        <v>69</v>
      </c>
      <c r="O473" t="s">
        <v>44</v>
      </c>
      <c r="P473" t="s">
        <v>26</v>
      </c>
    </row>
    <row r="474" spans="1:16" x14ac:dyDescent="0.25">
      <c r="A474" t="s">
        <v>953</v>
      </c>
      <c r="B474" t="s">
        <v>954</v>
      </c>
      <c r="C474" t="s">
        <v>91</v>
      </c>
      <c r="D474" t="s">
        <v>30</v>
      </c>
      <c r="E474" t="s">
        <v>31</v>
      </c>
      <c r="F474" t="s">
        <v>32</v>
      </c>
      <c r="G474" t="s">
        <v>52</v>
      </c>
      <c r="H474" t="s">
        <v>58</v>
      </c>
      <c r="I474">
        <v>7</v>
      </c>
      <c r="J474">
        <v>541731</v>
      </c>
      <c r="K474">
        <v>2</v>
      </c>
      <c r="L474">
        <v>3716274.66</v>
      </c>
      <c r="M474" t="s">
        <v>42</v>
      </c>
      <c r="N474" t="s">
        <v>43</v>
      </c>
      <c r="O474" t="s">
        <v>44</v>
      </c>
      <c r="P474" t="s">
        <v>55</v>
      </c>
    </row>
    <row r="475" spans="1:16" x14ac:dyDescent="0.25">
      <c r="A475" t="s">
        <v>955</v>
      </c>
      <c r="B475" t="s">
        <v>221</v>
      </c>
      <c r="C475" t="s">
        <v>76</v>
      </c>
      <c r="D475" t="s">
        <v>20</v>
      </c>
      <c r="E475" t="s">
        <v>21</v>
      </c>
      <c r="F475" t="s">
        <v>22</v>
      </c>
      <c r="G475" t="s">
        <v>52</v>
      </c>
      <c r="H475" t="s">
        <v>24</v>
      </c>
      <c r="I475">
        <v>1</v>
      </c>
      <c r="J475">
        <v>703073</v>
      </c>
      <c r="K475">
        <v>0</v>
      </c>
      <c r="L475">
        <v>703073</v>
      </c>
      <c r="M475" t="s">
        <v>25</v>
      </c>
      <c r="N475" t="s">
        <v>43</v>
      </c>
      <c r="O475" t="s">
        <v>27</v>
      </c>
      <c r="P475" t="s">
        <v>55</v>
      </c>
    </row>
    <row r="476" spans="1:16" x14ac:dyDescent="0.25">
      <c r="A476" t="s">
        <v>956</v>
      </c>
      <c r="B476" t="s">
        <v>957</v>
      </c>
      <c r="C476" t="s">
        <v>65</v>
      </c>
      <c r="D476" t="s">
        <v>38</v>
      </c>
      <c r="E476" t="s">
        <v>39</v>
      </c>
      <c r="F476" t="s">
        <v>40</v>
      </c>
      <c r="G476" t="s">
        <v>62</v>
      </c>
      <c r="H476" t="s">
        <v>34</v>
      </c>
      <c r="I476">
        <v>4</v>
      </c>
      <c r="J476">
        <v>253411</v>
      </c>
      <c r="K476">
        <v>2</v>
      </c>
      <c r="L476">
        <v>993371.12</v>
      </c>
      <c r="M476" t="s">
        <v>54</v>
      </c>
      <c r="N476" t="s">
        <v>69</v>
      </c>
      <c r="O476" t="s">
        <v>27</v>
      </c>
      <c r="P476" t="s">
        <v>55</v>
      </c>
    </row>
    <row r="477" spans="1:16" x14ac:dyDescent="0.25">
      <c r="A477" t="s">
        <v>958</v>
      </c>
      <c r="B477" t="s">
        <v>959</v>
      </c>
      <c r="C477" t="s">
        <v>65</v>
      </c>
      <c r="D477" t="s">
        <v>66</v>
      </c>
      <c r="E477" t="s">
        <v>67</v>
      </c>
      <c r="F477" t="s">
        <v>68</v>
      </c>
      <c r="G477" t="s">
        <v>52</v>
      </c>
      <c r="H477" t="s">
        <v>53</v>
      </c>
      <c r="I477">
        <v>1</v>
      </c>
      <c r="J477">
        <v>74797</v>
      </c>
      <c r="K477">
        <v>0</v>
      </c>
      <c r="L477">
        <v>74797</v>
      </c>
      <c r="M477" t="s">
        <v>25</v>
      </c>
      <c r="N477" t="s">
        <v>43</v>
      </c>
      <c r="O477" t="s">
        <v>44</v>
      </c>
      <c r="P477" t="s">
        <v>42</v>
      </c>
    </row>
    <row r="478" spans="1:16" x14ac:dyDescent="0.25">
      <c r="A478" t="s">
        <v>960</v>
      </c>
      <c r="B478" t="s">
        <v>961</v>
      </c>
      <c r="C478" t="s">
        <v>19</v>
      </c>
      <c r="D478" t="s">
        <v>20</v>
      </c>
      <c r="E478" t="s">
        <v>21</v>
      </c>
      <c r="F478" t="s">
        <v>22</v>
      </c>
      <c r="G478" t="s">
        <v>94</v>
      </c>
      <c r="H478" t="s">
        <v>58</v>
      </c>
      <c r="I478">
        <v>6</v>
      </c>
      <c r="J478">
        <v>227295</v>
      </c>
      <c r="K478">
        <v>7</v>
      </c>
      <c r="L478">
        <v>1268306.1000000001</v>
      </c>
      <c r="M478" t="s">
        <v>25</v>
      </c>
      <c r="N478" t="s">
        <v>43</v>
      </c>
      <c r="O478" t="s">
        <v>44</v>
      </c>
      <c r="P478" t="s">
        <v>42</v>
      </c>
    </row>
    <row r="479" spans="1:16" x14ac:dyDescent="0.25">
      <c r="A479" t="s">
        <v>962</v>
      </c>
      <c r="B479" t="s">
        <v>963</v>
      </c>
      <c r="C479" t="s">
        <v>37</v>
      </c>
      <c r="D479" t="s">
        <v>20</v>
      </c>
      <c r="E479" t="s">
        <v>21</v>
      </c>
      <c r="F479" t="s">
        <v>22</v>
      </c>
      <c r="G479" t="s">
        <v>135</v>
      </c>
      <c r="H479" t="s">
        <v>24</v>
      </c>
      <c r="I479">
        <v>1</v>
      </c>
      <c r="J479">
        <v>670230</v>
      </c>
      <c r="K479">
        <v>7</v>
      </c>
      <c r="L479">
        <v>623313.89999999991</v>
      </c>
      <c r="M479" t="s">
        <v>54</v>
      </c>
      <c r="N479" t="s">
        <v>26</v>
      </c>
      <c r="O479" t="s">
        <v>44</v>
      </c>
      <c r="P479" t="s">
        <v>42</v>
      </c>
    </row>
    <row r="480" spans="1:16" x14ac:dyDescent="0.25">
      <c r="A480" t="s">
        <v>964</v>
      </c>
      <c r="B480" t="s">
        <v>965</v>
      </c>
      <c r="C480" t="s">
        <v>19</v>
      </c>
      <c r="D480" t="s">
        <v>20</v>
      </c>
      <c r="E480" t="s">
        <v>21</v>
      </c>
      <c r="F480" t="s">
        <v>22</v>
      </c>
      <c r="G480" t="s">
        <v>62</v>
      </c>
      <c r="H480" t="s">
        <v>58</v>
      </c>
      <c r="I480">
        <v>2</v>
      </c>
      <c r="J480">
        <v>103121</v>
      </c>
      <c r="K480">
        <v>10</v>
      </c>
      <c r="L480">
        <v>185617.8</v>
      </c>
      <c r="M480" t="s">
        <v>54</v>
      </c>
      <c r="N480" t="s">
        <v>43</v>
      </c>
      <c r="O480" t="s">
        <v>27</v>
      </c>
      <c r="P480" t="s">
        <v>42</v>
      </c>
    </row>
    <row r="481" spans="1:16" x14ac:dyDescent="0.25">
      <c r="A481" t="s">
        <v>966</v>
      </c>
      <c r="B481" t="s">
        <v>967</v>
      </c>
      <c r="C481" t="s">
        <v>61</v>
      </c>
      <c r="D481" t="s">
        <v>66</v>
      </c>
      <c r="E481" t="s">
        <v>67</v>
      </c>
      <c r="F481" t="s">
        <v>68</v>
      </c>
      <c r="G481" t="s">
        <v>94</v>
      </c>
      <c r="H481" t="s">
        <v>53</v>
      </c>
      <c r="I481">
        <v>8</v>
      </c>
      <c r="J481">
        <v>814848</v>
      </c>
      <c r="K481">
        <v>0</v>
      </c>
      <c r="L481">
        <v>6518784</v>
      </c>
      <c r="M481" t="s">
        <v>42</v>
      </c>
      <c r="N481" t="s">
        <v>69</v>
      </c>
      <c r="O481" t="s">
        <v>44</v>
      </c>
      <c r="P481" t="s">
        <v>26</v>
      </c>
    </row>
    <row r="482" spans="1:16" x14ac:dyDescent="0.25">
      <c r="A482" t="s">
        <v>968</v>
      </c>
      <c r="B482" t="s">
        <v>148</v>
      </c>
      <c r="C482" t="s">
        <v>19</v>
      </c>
      <c r="D482" t="s">
        <v>38</v>
      </c>
      <c r="E482" t="s">
        <v>39</v>
      </c>
      <c r="F482" t="s">
        <v>40</v>
      </c>
      <c r="G482" t="s">
        <v>41</v>
      </c>
      <c r="H482" t="s">
        <v>53</v>
      </c>
      <c r="I482">
        <v>5</v>
      </c>
      <c r="J482">
        <v>561001</v>
      </c>
      <c r="M482" t="s">
        <v>54</v>
      </c>
      <c r="N482" t="s">
        <v>69</v>
      </c>
      <c r="O482" t="s">
        <v>44</v>
      </c>
      <c r="P482" t="s">
        <v>26</v>
      </c>
    </row>
    <row r="483" spans="1:16" x14ac:dyDescent="0.25">
      <c r="A483" t="s">
        <v>969</v>
      </c>
      <c r="B483" t="s">
        <v>180</v>
      </c>
      <c r="C483" t="s">
        <v>65</v>
      </c>
      <c r="D483" t="s">
        <v>66</v>
      </c>
      <c r="E483" t="s">
        <v>201</v>
      </c>
      <c r="F483" t="s">
        <v>68</v>
      </c>
      <c r="G483" t="s">
        <v>41</v>
      </c>
      <c r="H483" t="s">
        <v>58</v>
      </c>
      <c r="I483">
        <v>7</v>
      </c>
      <c r="J483">
        <v>316096</v>
      </c>
      <c r="K483">
        <v>7</v>
      </c>
      <c r="L483">
        <v>2057784.96</v>
      </c>
      <c r="M483" t="s">
        <v>54</v>
      </c>
      <c r="N483" t="s">
        <v>69</v>
      </c>
      <c r="O483" t="s">
        <v>27</v>
      </c>
      <c r="P483" t="s">
        <v>42</v>
      </c>
    </row>
    <row r="484" spans="1:16" x14ac:dyDescent="0.25">
      <c r="A484" t="s">
        <v>970</v>
      </c>
      <c r="B484" t="s">
        <v>971</v>
      </c>
      <c r="C484" t="s">
        <v>79</v>
      </c>
      <c r="D484" t="s">
        <v>20</v>
      </c>
      <c r="E484" t="s">
        <v>21</v>
      </c>
      <c r="F484" t="s">
        <v>22</v>
      </c>
      <c r="G484" t="s">
        <v>52</v>
      </c>
      <c r="H484" t="s">
        <v>53</v>
      </c>
      <c r="I484">
        <v>2</v>
      </c>
      <c r="J484">
        <v>649333</v>
      </c>
      <c r="K484">
        <v>7</v>
      </c>
      <c r="L484">
        <v>1220104.3799999999</v>
      </c>
      <c r="M484" t="s">
        <v>54</v>
      </c>
      <c r="N484" t="s">
        <v>26</v>
      </c>
      <c r="O484" t="s">
        <v>27</v>
      </c>
      <c r="P484" t="s">
        <v>55</v>
      </c>
    </row>
    <row r="485" spans="1:16" x14ac:dyDescent="0.25">
      <c r="A485" t="s">
        <v>972</v>
      </c>
      <c r="B485" t="s">
        <v>453</v>
      </c>
      <c r="C485" t="s">
        <v>19</v>
      </c>
      <c r="D485" t="s">
        <v>30</v>
      </c>
      <c r="E485" t="s">
        <v>31</v>
      </c>
      <c r="F485" t="s">
        <v>32</v>
      </c>
      <c r="G485" t="s">
        <v>62</v>
      </c>
      <c r="H485" t="s">
        <v>24</v>
      </c>
      <c r="I485">
        <v>8</v>
      </c>
      <c r="J485">
        <v>576963</v>
      </c>
      <c r="K485">
        <v>12</v>
      </c>
      <c r="L485">
        <v>4061819.52</v>
      </c>
      <c r="M485" t="s">
        <v>25</v>
      </c>
      <c r="N485" t="s">
        <v>26</v>
      </c>
      <c r="O485" t="s">
        <v>27</v>
      </c>
      <c r="P485" t="s">
        <v>26</v>
      </c>
    </row>
    <row r="486" spans="1:16" x14ac:dyDescent="0.25">
      <c r="A486" t="s">
        <v>973</v>
      </c>
      <c r="B486" t="s">
        <v>974</v>
      </c>
      <c r="C486" t="s">
        <v>198</v>
      </c>
      <c r="D486" t="s">
        <v>154</v>
      </c>
      <c r="E486" t="s">
        <v>67</v>
      </c>
      <c r="F486" t="s">
        <v>68</v>
      </c>
      <c r="G486" t="s">
        <v>62</v>
      </c>
      <c r="H486" t="s">
        <v>58</v>
      </c>
      <c r="I486">
        <v>3</v>
      </c>
      <c r="J486">
        <v>244917</v>
      </c>
      <c r="K486">
        <v>0</v>
      </c>
      <c r="L486">
        <v>734751</v>
      </c>
      <c r="M486" t="s">
        <v>42</v>
      </c>
      <c r="N486" t="s">
        <v>26</v>
      </c>
      <c r="O486" t="s">
        <v>44</v>
      </c>
      <c r="P486" t="s">
        <v>42</v>
      </c>
    </row>
    <row r="487" spans="1:16" x14ac:dyDescent="0.25">
      <c r="A487" t="s">
        <v>975</v>
      </c>
      <c r="B487" t="s">
        <v>437</v>
      </c>
      <c r="C487" t="s">
        <v>79</v>
      </c>
      <c r="D487" t="s">
        <v>20</v>
      </c>
      <c r="E487" t="s">
        <v>21</v>
      </c>
      <c r="F487" t="s">
        <v>22</v>
      </c>
      <c r="G487" t="s">
        <v>94</v>
      </c>
      <c r="H487" t="s">
        <v>24</v>
      </c>
      <c r="I487">
        <v>1</v>
      </c>
      <c r="J487">
        <v>352203</v>
      </c>
      <c r="K487">
        <v>10</v>
      </c>
      <c r="L487">
        <v>316982.7</v>
      </c>
      <c r="M487" t="s">
        <v>42</v>
      </c>
      <c r="N487" t="s">
        <v>26</v>
      </c>
      <c r="O487" t="s">
        <v>27</v>
      </c>
      <c r="P487" t="s">
        <v>42</v>
      </c>
    </row>
    <row r="488" spans="1:16" x14ac:dyDescent="0.25">
      <c r="A488" t="s">
        <v>976</v>
      </c>
      <c r="B488" t="s">
        <v>977</v>
      </c>
      <c r="C488" t="s">
        <v>65</v>
      </c>
      <c r="D488" t="s">
        <v>47</v>
      </c>
      <c r="E488" t="s">
        <v>48</v>
      </c>
      <c r="F488" t="s">
        <v>22</v>
      </c>
      <c r="G488" t="s">
        <v>33</v>
      </c>
      <c r="H488" t="s">
        <v>24</v>
      </c>
      <c r="I488">
        <v>1</v>
      </c>
      <c r="J488">
        <v>92558</v>
      </c>
      <c r="K488">
        <v>12</v>
      </c>
      <c r="L488">
        <v>81451.039999999994</v>
      </c>
      <c r="M488" t="s">
        <v>54</v>
      </c>
      <c r="N488" t="s">
        <v>43</v>
      </c>
      <c r="O488" t="s">
        <v>44</v>
      </c>
      <c r="P488" t="s">
        <v>55</v>
      </c>
    </row>
    <row r="489" spans="1:16" x14ac:dyDescent="0.25">
      <c r="A489" t="s">
        <v>978</v>
      </c>
      <c r="B489" t="s">
        <v>979</v>
      </c>
      <c r="C489" t="s">
        <v>85</v>
      </c>
      <c r="D489" t="s">
        <v>38</v>
      </c>
      <c r="E489" t="s">
        <v>39</v>
      </c>
      <c r="F489" t="s">
        <v>40</v>
      </c>
      <c r="G489" t="s">
        <v>23</v>
      </c>
      <c r="H489" t="s">
        <v>58</v>
      </c>
      <c r="I489">
        <v>1</v>
      </c>
      <c r="J489">
        <v>704399</v>
      </c>
      <c r="K489">
        <v>0</v>
      </c>
      <c r="L489">
        <v>704399</v>
      </c>
      <c r="M489" t="s">
        <v>25</v>
      </c>
      <c r="N489" t="s">
        <v>69</v>
      </c>
      <c r="O489" t="s">
        <v>44</v>
      </c>
      <c r="P489" t="s">
        <v>55</v>
      </c>
    </row>
    <row r="490" spans="1:16" x14ac:dyDescent="0.25">
      <c r="A490" t="s">
        <v>980</v>
      </c>
      <c r="B490" t="s">
        <v>981</v>
      </c>
      <c r="C490" t="s">
        <v>37</v>
      </c>
      <c r="D490" t="s">
        <v>66</v>
      </c>
      <c r="E490" t="s">
        <v>67</v>
      </c>
      <c r="F490" t="s">
        <v>68</v>
      </c>
      <c r="G490" t="s">
        <v>62</v>
      </c>
      <c r="H490" t="s">
        <v>34</v>
      </c>
      <c r="I490">
        <v>7</v>
      </c>
      <c r="J490">
        <v>248882</v>
      </c>
      <c r="M490" t="s">
        <v>42</v>
      </c>
      <c r="N490" t="s">
        <v>43</v>
      </c>
      <c r="O490" t="s">
        <v>27</v>
      </c>
      <c r="P490" t="s">
        <v>26</v>
      </c>
    </row>
    <row r="491" spans="1:16" x14ac:dyDescent="0.25">
      <c r="A491" t="s">
        <v>982</v>
      </c>
      <c r="B491" t="s">
        <v>983</v>
      </c>
      <c r="C491" t="s">
        <v>37</v>
      </c>
      <c r="D491" t="s">
        <v>154</v>
      </c>
      <c r="E491" t="s">
        <v>67</v>
      </c>
      <c r="F491" t="s">
        <v>68</v>
      </c>
      <c r="G491" t="s">
        <v>41</v>
      </c>
      <c r="H491" t="s">
        <v>24</v>
      </c>
      <c r="I491">
        <v>7</v>
      </c>
      <c r="J491">
        <v>160083</v>
      </c>
      <c r="K491">
        <v>7</v>
      </c>
      <c r="L491">
        <v>1042140.33</v>
      </c>
      <c r="M491" t="s">
        <v>54</v>
      </c>
      <c r="N491" t="s">
        <v>26</v>
      </c>
      <c r="O491" t="s">
        <v>44</v>
      </c>
      <c r="P491" t="s">
        <v>26</v>
      </c>
    </row>
    <row r="492" spans="1:16" x14ac:dyDescent="0.25">
      <c r="A492" t="s">
        <v>984</v>
      </c>
      <c r="B492" t="s">
        <v>985</v>
      </c>
      <c r="C492" t="s">
        <v>19</v>
      </c>
      <c r="D492" t="s">
        <v>47</v>
      </c>
      <c r="E492" t="s">
        <v>48</v>
      </c>
      <c r="F492" t="s">
        <v>22</v>
      </c>
      <c r="G492" t="s">
        <v>23</v>
      </c>
      <c r="H492" t="s">
        <v>53</v>
      </c>
      <c r="I492">
        <v>6</v>
      </c>
      <c r="J492">
        <v>89734</v>
      </c>
      <c r="K492">
        <v>12</v>
      </c>
      <c r="L492">
        <v>473795.52</v>
      </c>
      <c r="M492" t="s">
        <v>42</v>
      </c>
      <c r="N492" t="s">
        <v>69</v>
      </c>
      <c r="O492" t="s">
        <v>44</v>
      </c>
      <c r="P492" t="s">
        <v>42</v>
      </c>
    </row>
    <row r="493" spans="1:16" x14ac:dyDescent="0.25">
      <c r="A493" t="s">
        <v>986</v>
      </c>
      <c r="B493" t="s">
        <v>987</v>
      </c>
      <c r="C493" t="s">
        <v>76</v>
      </c>
      <c r="D493" t="s">
        <v>38</v>
      </c>
      <c r="E493" t="s">
        <v>39</v>
      </c>
      <c r="F493" t="s">
        <v>40</v>
      </c>
      <c r="G493" t="s">
        <v>33</v>
      </c>
      <c r="H493" t="s">
        <v>24</v>
      </c>
      <c r="I493">
        <v>5</v>
      </c>
      <c r="J493">
        <v>884996</v>
      </c>
      <c r="K493">
        <v>5</v>
      </c>
      <c r="L493">
        <v>4203731</v>
      </c>
      <c r="M493" t="s">
        <v>54</v>
      </c>
      <c r="N493" t="s">
        <v>69</v>
      </c>
      <c r="O493" t="s">
        <v>27</v>
      </c>
      <c r="P493" t="s">
        <v>26</v>
      </c>
    </row>
    <row r="494" spans="1:16" x14ac:dyDescent="0.25">
      <c r="A494" t="s">
        <v>988</v>
      </c>
      <c r="B494" t="s">
        <v>989</v>
      </c>
      <c r="C494" t="s">
        <v>19</v>
      </c>
      <c r="D494" t="s">
        <v>66</v>
      </c>
      <c r="E494" t="s">
        <v>67</v>
      </c>
      <c r="F494" t="s">
        <v>68</v>
      </c>
      <c r="G494" t="s">
        <v>62</v>
      </c>
      <c r="H494" t="s">
        <v>34</v>
      </c>
      <c r="I494">
        <v>6</v>
      </c>
      <c r="J494">
        <v>298062</v>
      </c>
      <c r="K494">
        <v>12</v>
      </c>
      <c r="L494">
        <v>1573767.36</v>
      </c>
      <c r="M494" t="s">
        <v>54</v>
      </c>
      <c r="N494" t="s">
        <v>69</v>
      </c>
      <c r="O494" t="s">
        <v>44</v>
      </c>
      <c r="P494" t="s">
        <v>55</v>
      </c>
    </row>
    <row r="495" spans="1:16" x14ac:dyDescent="0.25">
      <c r="A495" t="s">
        <v>990</v>
      </c>
      <c r="B495" t="s">
        <v>991</v>
      </c>
      <c r="C495" t="s">
        <v>19</v>
      </c>
      <c r="D495" t="s">
        <v>154</v>
      </c>
      <c r="E495" t="s">
        <v>67</v>
      </c>
      <c r="F495" t="s">
        <v>68</v>
      </c>
      <c r="G495" t="s">
        <v>33</v>
      </c>
      <c r="H495" t="s">
        <v>58</v>
      </c>
      <c r="I495">
        <v>5</v>
      </c>
      <c r="J495">
        <v>314814</v>
      </c>
      <c r="K495">
        <v>7</v>
      </c>
      <c r="L495">
        <v>1476230.1</v>
      </c>
      <c r="M495" t="s">
        <v>25</v>
      </c>
      <c r="N495" t="s">
        <v>26</v>
      </c>
      <c r="O495" t="s">
        <v>44</v>
      </c>
      <c r="P495" t="s">
        <v>26</v>
      </c>
    </row>
    <row r="496" spans="1:16" x14ac:dyDescent="0.25">
      <c r="A496" t="s">
        <v>992</v>
      </c>
      <c r="B496" t="s">
        <v>993</v>
      </c>
      <c r="C496" t="s">
        <v>19</v>
      </c>
      <c r="D496" t="s">
        <v>154</v>
      </c>
      <c r="E496" t="s">
        <v>67</v>
      </c>
      <c r="F496" t="s">
        <v>68</v>
      </c>
      <c r="G496" t="s">
        <v>52</v>
      </c>
      <c r="H496" t="s">
        <v>24</v>
      </c>
      <c r="I496">
        <v>8</v>
      </c>
      <c r="J496">
        <v>182530</v>
      </c>
      <c r="K496">
        <v>7</v>
      </c>
      <c r="L496">
        <v>1358023.2</v>
      </c>
      <c r="M496" t="s">
        <v>25</v>
      </c>
      <c r="N496" t="s">
        <v>43</v>
      </c>
      <c r="O496" t="s">
        <v>44</v>
      </c>
      <c r="P496" t="s">
        <v>26</v>
      </c>
    </row>
    <row r="497" spans="1:16" x14ac:dyDescent="0.25">
      <c r="A497" t="s">
        <v>994</v>
      </c>
      <c r="B497" t="s">
        <v>995</v>
      </c>
      <c r="C497" t="s">
        <v>37</v>
      </c>
      <c r="D497" t="s">
        <v>30</v>
      </c>
      <c r="E497" t="s">
        <v>31</v>
      </c>
      <c r="F497" t="s">
        <v>32</v>
      </c>
      <c r="G497" t="s">
        <v>33</v>
      </c>
      <c r="H497" t="s">
        <v>53</v>
      </c>
      <c r="I497">
        <v>4</v>
      </c>
      <c r="J497">
        <v>224659</v>
      </c>
      <c r="K497">
        <v>10</v>
      </c>
      <c r="L497">
        <v>808772.4</v>
      </c>
      <c r="M497" t="s">
        <v>42</v>
      </c>
      <c r="N497" t="s">
        <v>26</v>
      </c>
      <c r="O497" t="s">
        <v>27</v>
      </c>
      <c r="P497" t="s">
        <v>55</v>
      </c>
    </row>
    <row r="498" spans="1:16" x14ac:dyDescent="0.25">
      <c r="A498" t="s">
        <v>996</v>
      </c>
      <c r="B498" t="s">
        <v>997</v>
      </c>
      <c r="C498" t="s">
        <v>19</v>
      </c>
      <c r="D498" t="s">
        <v>47</v>
      </c>
      <c r="E498" t="s">
        <v>48</v>
      </c>
      <c r="F498" t="s">
        <v>22</v>
      </c>
      <c r="G498" t="s">
        <v>41</v>
      </c>
      <c r="H498" t="s">
        <v>86</v>
      </c>
      <c r="I498">
        <v>6</v>
      </c>
      <c r="J498">
        <v>629744</v>
      </c>
      <c r="K498">
        <v>10</v>
      </c>
      <c r="L498">
        <v>3400617.6</v>
      </c>
      <c r="M498" t="s">
        <v>54</v>
      </c>
      <c r="N498" t="s">
        <v>69</v>
      </c>
      <c r="O498" t="s">
        <v>44</v>
      </c>
      <c r="P498" t="s">
        <v>42</v>
      </c>
    </row>
    <row r="499" spans="1:16" x14ac:dyDescent="0.25">
      <c r="A499" t="s">
        <v>998</v>
      </c>
      <c r="B499" t="s">
        <v>898</v>
      </c>
      <c r="C499" t="s">
        <v>85</v>
      </c>
      <c r="D499" t="s">
        <v>51</v>
      </c>
      <c r="E499" t="s">
        <v>72</v>
      </c>
      <c r="F499" t="s">
        <v>22</v>
      </c>
      <c r="G499" t="s">
        <v>52</v>
      </c>
      <c r="H499" t="s">
        <v>58</v>
      </c>
      <c r="I499">
        <v>2</v>
      </c>
      <c r="J499">
        <v>616190</v>
      </c>
      <c r="K499">
        <v>2</v>
      </c>
      <c r="L499">
        <v>1207732.3999999999</v>
      </c>
      <c r="M499" t="s">
        <v>42</v>
      </c>
      <c r="N499" t="s">
        <v>26</v>
      </c>
      <c r="O499" t="s">
        <v>44</v>
      </c>
      <c r="P499" t="s">
        <v>42</v>
      </c>
    </row>
    <row r="500" spans="1:16" x14ac:dyDescent="0.25">
      <c r="A500" t="s">
        <v>999</v>
      </c>
      <c r="B500" t="s">
        <v>1000</v>
      </c>
      <c r="C500" t="s">
        <v>85</v>
      </c>
      <c r="D500" t="s">
        <v>30</v>
      </c>
      <c r="E500" t="s">
        <v>31</v>
      </c>
      <c r="F500" t="s">
        <v>32</v>
      </c>
      <c r="G500" t="s">
        <v>41</v>
      </c>
      <c r="H500" t="s">
        <v>34</v>
      </c>
      <c r="I500">
        <v>5</v>
      </c>
      <c r="J500">
        <v>670557</v>
      </c>
      <c r="K500">
        <v>7</v>
      </c>
      <c r="L500">
        <v>3118090.05</v>
      </c>
      <c r="M500" t="s">
        <v>25</v>
      </c>
      <c r="N500" t="s">
        <v>26</v>
      </c>
      <c r="O500" t="s">
        <v>27</v>
      </c>
      <c r="P500" t="s">
        <v>42</v>
      </c>
    </row>
    <row r="501" spans="1:16" x14ac:dyDescent="0.25">
      <c r="A501" t="s">
        <v>1001</v>
      </c>
      <c r="B501" t="s">
        <v>1002</v>
      </c>
      <c r="C501" t="s">
        <v>99</v>
      </c>
      <c r="D501" t="s">
        <v>154</v>
      </c>
      <c r="E501" t="s">
        <v>67</v>
      </c>
      <c r="F501" t="s">
        <v>68</v>
      </c>
      <c r="G501" t="s">
        <v>33</v>
      </c>
      <c r="H501" t="s">
        <v>58</v>
      </c>
      <c r="I501">
        <v>6</v>
      </c>
      <c r="J501">
        <v>348137</v>
      </c>
      <c r="K501">
        <v>12</v>
      </c>
      <c r="L501">
        <v>1838163.36</v>
      </c>
      <c r="M501" t="s">
        <v>25</v>
      </c>
      <c r="N501" t="s">
        <v>26</v>
      </c>
      <c r="O501" t="s">
        <v>27</v>
      </c>
      <c r="P501" t="s">
        <v>26</v>
      </c>
    </row>
    <row r="502" spans="1:16" x14ac:dyDescent="0.25">
      <c r="A502" t="s">
        <v>1003</v>
      </c>
      <c r="B502" t="s">
        <v>1004</v>
      </c>
      <c r="C502" t="s">
        <v>65</v>
      </c>
      <c r="D502" t="s">
        <v>154</v>
      </c>
      <c r="E502" t="s">
        <v>67</v>
      </c>
      <c r="F502" t="s">
        <v>68</v>
      </c>
      <c r="G502" t="s">
        <v>52</v>
      </c>
      <c r="H502" t="s">
        <v>58</v>
      </c>
      <c r="I502">
        <v>8</v>
      </c>
      <c r="J502">
        <v>263341</v>
      </c>
      <c r="K502">
        <v>0</v>
      </c>
      <c r="L502">
        <v>2106728</v>
      </c>
      <c r="M502" t="s">
        <v>42</v>
      </c>
      <c r="N502" t="s">
        <v>43</v>
      </c>
      <c r="O502" t="s">
        <v>44</v>
      </c>
      <c r="P502" t="s">
        <v>26</v>
      </c>
    </row>
    <row r="503" spans="1:16" x14ac:dyDescent="0.25">
      <c r="A503" t="s">
        <v>1005</v>
      </c>
      <c r="B503" t="s">
        <v>217</v>
      </c>
      <c r="C503" t="s">
        <v>76</v>
      </c>
      <c r="D503" t="s">
        <v>154</v>
      </c>
      <c r="E503" t="s">
        <v>67</v>
      </c>
      <c r="F503" t="s">
        <v>68</v>
      </c>
      <c r="G503" t="s">
        <v>62</v>
      </c>
      <c r="H503" t="s">
        <v>58</v>
      </c>
      <c r="I503">
        <v>3</v>
      </c>
      <c r="J503">
        <v>60901</v>
      </c>
      <c r="K503">
        <v>2</v>
      </c>
      <c r="L503">
        <v>179048.94</v>
      </c>
      <c r="M503" t="s">
        <v>42</v>
      </c>
      <c r="N503" t="s">
        <v>69</v>
      </c>
      <c r="O503" t="s">
        <v>44</v>
      </c>
      <c r="P503" t="s">
        <v>55</v>
      </c>
    </row>
    <row r="504" spans="1:16" x14ac:dyDescent="0.25">
      <c r="A504" t="s">
        <v>1006</v>
      </c>
      <c r="B504" t="s">
        <v>1007</v>
      </c>
      <c r="C504" t="s">
        <v>91</v>
      </c>
      <c r="D504" t="s">
        <v>38</v>
      </c>
      <c r="E504" t="s">
        <v>39</v>
      </c>
      <c r="F504" t="s">
        <v>40</v>
      </c>
      <c r="G504" t="s">
        <v>52</v>
      </c>
      <c r="H504" t="s">
        <v>86</v>
      </c>
      <c r="I504">
        <v>2</v>
      </c>
      <c r="J504">
        <v>332735</v>
      </c>
      <c r="K504">
        <v>0</v>
      </c>
      <c r="L504">
        <v>665470</v>
      </c>
      <c r="M504" t="s">
        <v>42</v>
      </c>
      <c r="N504" t="s">
        <v>26</v>
      </c>
      <c r="O504" t="s">
        <v>27</v>
      </c>
      <c r="P504" t="s">
        <v>26</v>
      </c>
    </row>
    <row r="505" spans="1:16" x14ac:dyDescent="0.25">
      <c r="A505" t="s">
        <v>1008</v>
      </c>
      <c r="B505" t="s">
        <v>1009</v>
      </c>
      <c r="C505" t="s">
        <v>65</v>
      </c>
      <c r="D505" t="s">
        <v>38</v>
      </c>
      <c r="E505" t="s">
        <v>39</v>
      </c>
      <c r="F505" t="s">
        <v>40</v>
      </c>
      <c r="G505" t="s">
        <v>33</v>
      </c>
      <c r="H505" t="s">
        <v>24</v>
      </c>
      <c r="I505">
        <v>1</v>
      </c>
      <c r="J505">
        <v>595381</v>
      </c>
      <c r="K505">
        <v>10</v>
      </c>
      <c r="L505">
        <v>535842.9</v>
      </c>
      <c r="M505" t="s">
        <v>42</v>
      </c>
      <c r="N505" t="s">
        <v>26</v>
      </c>
      <c r="O505" t="s">
        <v>27</v>
      </c>
      <c r="P505" t="s">
        <v>55</v>
      </c>
    </row>
    <row r="506" spans="1:16" x14ac:dyDescent="0.25">
      <c r="A506" t="s">
        <v>1010</v>
      </c>
      <c r="B506" t="s">
        <v>1011</v>
      </c>
      <c r="C506" t="s">
        <v>76</v>
      </c>
      <c r="D506" t="s">
        <v>38</v>
      </c>
      <c r="E506" t="s">
        <v>39</v>
      </c>
      <c r="F506" t="s">
        <v>40</v>
      </c>
      <c r="G506" t="s">
        <v>23</v>
      </c>
      <c r="H506" t="s">
        <v>58</v>
      </c>
      <c r="I506">
        <v>8</v>
      </c>
      <c r="J506">
        <v>671742</v>
      </c>
      <c r="K506">
        <v>2</v>
      </c>
      <c r="L506">
        <v>5266457.28</v>
      </c>
      <c r="M506" t="s">
        <v>54</v>
      </c>
      <c r="N506" t="s">
        <v>43</v>
      </c>
      <c r="O506" t="s">
        <v>27</v>
      </c>
      <c r="P506" t="s">
        <v>42</v>
      </c>
    </row>
    <row r="507" spans="1:16" x14ac:dyDescent="0.25">
      <c r="A507" t="s">
        <v>1012</v>
      </c>
      <c r="B507" t="s">
        <v>1013</v>
      </c>
      <c r="C507" t="s">
        <v>19</v>
      </c>
      <c r="D507" t="s">
        <v>47</v>
      </c>
      <c r="E507" t="s">
        <v>48</v>
      </c>
      <c r="F507" t="s">
        <v>22</v>
      </c>
      <c r="G507" t="s">
        <v>52</v>
      </c>
      <c r="H507" t="s">
        <v>53</v>
      </c>
      <c r="I507">
        <v>7</v>
      </c>
      <c r="J507">
        <v>491563</v>
      </c>
      <c r="K507">
        <v>0</v>
      </c>
      <c r="L507">
        <v>3440941</v>
      </c>
      <c r="M507" t="s">
        <v>54</v>
      </c>
      <c r="N507" t="s">
        <v>69</v>
      </c>
      <c r="O507" t="s">
        <v>44</v>
      </c>
      <c r="P507" t="s">
        <v>55</v>
      </c>
    </row>
    <row r="508" spans="1:16" x14ac:dyDescent="0.25">
      <c r="A508" t="s">
        <v>1014</v>
      </c>
      <c r="B508" t="s">
        <v>1015</v>
      </c>
      <c r="C508" t="s">
        <v>76</v>
      </c>
      <c r="D508" t="s">
        <v>38</v>
      </c>
      <c r="E508" t="s">
        <v>130</v>
      </c>
      <c r="F508" t="s">
        <v>40</v>
      </c>
      <c r="G508" t="s">
        <v>135</v>
      </c>
      <c r="H508" t="s">
        <v>24</v>
      </c>
      <c r="I508">
        <v>8</v>
      </c>
      <c r="J508">
        <v>180808</v>
      </c>
      <c r="K508">
        <v>0</v>
      </c>
      <c r="L508">
        <v>1446464</v>
      </c>
      <c r="M508" t="s">
        <v>42</v>
      </c>
      <c r="N508" t="s">
        <v>43</v>
      </c>
      <c r="O508" t="s">
        <v>44</v>
      </c>
      <c r="P508" t="s">
        <v>26</v>
      </c>
    </row>
    <row r="509" spans="1:16" x14ac:dyDescent="0.25">
      <c r="A509" t="s">
        <v>982</v>
      </c>
      <c r="B509" t="s">
        <v>1016</v>
      </c>
      <c r="C509" t="s">
        <v>76</v>
      </c>
      <c r="D509" t="s">
        <v>47</v>
      </c>
      <c r="E509" t="s">
        <v>48</v>
      </c>
      <c r="F509" t="s">
        <v>22</v>
      </c>
      <c r="G509" t="s">
        <v>52</v>
      </c>
      <c r="H509" t="s">
        <v>53</v>
      </c>
      <c r="I509">
        <v>1</v>
      </c>
      <c r="J509">
        <v>646030</v>
      </c>
      <c r="K509">
        <v>7</v>
      </c>
      <c r="L509">
        <v>600807.89999999991</v>
      </c>
      <c r="M509" t="s">
        <v>42</v>
      </c>
      <c r="N509" t="s">
        <v>43</v>
      </c>
      <c r="O509" t="s">
        <v>27</v>
      </c>
      <c r="P509" t="s">
        <v>26</v>
      </c>
    </row>
    <row r="510" spans="1:16" x14ac:dyDescent="0.25">
      <c r="A510" t="s">
        <v>1017</v>
      </c>
      <c r="B510" t="s">
        <v>1018</v>
      </c>
      <c r="C510" t="s">
        <v>19</v>
      </c>
      <c r="D510" t="s">
        <v>129</v>
      </c>
      <c r="E510" t="s">
        <v>39</v>
      </c>
      <c r="F510" t="s">
        <v>40</v>
      </c>
      <c r="G510" t="s">
        <v>33</v>
      </c>
      <c r="H510" t="s">
        <v>24</v>
      </c>
      <c r="I510">
        <v>8</v>
      </c>
      <c r="J510">
        <v>274821</v>
      </c>
      <c r="K510">
        <v>10</v>
      </c>
      <c r="L510">
        <v>1978711.2</v>
      </c>
      <c r="M510" t="s">
        <v>54</v>
      </c>
      <c r="N510" t="s">
        <v>43</v>
      </c>
      <c r="O510" t="s">
        <v>27</v>
      </c>
      <c r="P510" t="s">
        <v>26</v>
      </c>
    </row>
    <row r="511" spans="1:16" x14ac:dyDescent="0.25">
      <c r="A511" t="s">
        <v>1019</v>
      </c>
      <c r="B511" t="s">
        <v>1020</v>
      </c>
      <c r="C511" t="s">
        <v>85</v>
      </c>
      <c r="D511" t="s">
        <v>47</v>
      </c>
      <c r="E511" t="s">
        <v>48</v>
      </c>
      <c r="F511" t="s">
        <v>22</v>
      </c>
      <c r="G511" t="s">
        <v>94</v>
      </c>
      <c r="H511" t="s">
        <v>86</v>
      </c>
      <c r="I511">
        <v>5</v>
      </c>
      <c r="J511">
        <v>245660</v>
      </c>
      <c r="K511">
        <v>0</v>
      </c>
      <c r="L511">
        <v>1228300</v>
      </c>
      <c r="M511" t="s">
        <v>42</v>
      </c>
      <c r="N511" t="s">
        <v>43</v>
      </c>
      <c r="O511" t="s">
        <v>44</v>
      </c>
      <c r="P511" t="s">
        <v>26</v>
      </c>
    </row>
    <row r="512" spans="1:16" x14ac:dyDescent="0.25">
      <c r="A512" t="s">
        <v>1021</v>
      </c>
      <c r="B512" t="s">
        <v>1022</v>
      </c>
      <c r="C512" t="s">
        <v>19</v>
      </c>
      <c r="D512" t="s">
        <v>129</v>
      </c>
      <c r="E512" t="s">
        <v>39</v>
      </c>
      <c r="F512" t="s">
        <v>40</v>
      </c>
      <c r="G512" t="s">
        <v>23</v>
      </c>
      <c r="H512" t="s">
        <v>24</v>
      </c>
      <c r="I512">
        <v>3</v>
      </c>
      <c r="J512">
        <v>894402</v>
      </c>
      <c r="K512">
        <v>5</v>
      </c>
      <c r="L512">
        <v>2549045.7000000002</v>
      </c>
      <c r="M512" t="s">
        <v>25</v>
      </c>
      <c r="N512" t="s">
        <v>43</v>
      </c>
      <c r="O512" t="s">
        <v>27</v>
      </c>
      <c r="P512" t="s">
        <v>42</v>
      </c>
    </row>
    <row r="513" spans="1:16" x14ac:dyDescent="0.25">
      <c r="A513" t="s">
        <v>1023</v>
      </c>
      <c r="B513" t="s">
        <v>1024</v>
      </c>
      <c r="C513" t="s">
        <v>37</v>
      </c>
      <c r="D513" t="s">
        <v>38</v>
      </c>
      <c r="E513" t="s">
        <v>39</v>
      </c>
      <c r="F513" t="s">
        <v>40</v>
      </c>
      <c r="G513" t="s">
        <v>41</v>
      </c>
      <c r="H513" t="s">
        <v>58</v>
      </c>
      <c r="I513">
        <v>5</v>
      </c>
      <c r="J513">
        <v>839598</v>
      </c>
      <c r="K513">
        <v>10</v>
      </c>
      <c r="L513">
        <v>3778191</v>
      </c>
      <c r="M513" t="s">
        <v>25</v>
      </c>
      <c r="N513" t="s">
        <v>43</v>
      </c>
      <c r="O513" t="s">
        <v>44</v>
      </c>
      <c r="P513" t="s">
        <v>42</v>
      </c>
    </row>
    <row r="514" spans="1:16" x14ac:dyDescent="0.25">
      <c r="A514" t="s">
        <v>1025</v>
      </c>
      <c r="B514" t="s">
        <v>1026</v>
      </c>
      <c r="C514" t="s">
        <v>76</v>
      </c>
      <c r="D514" t="s">
        <v>20</v>
      </c>
      <c r="E514" t="s">
        <v>21</v>
      </c>
      <c r="F514" t="s">
        <v>22</v>
      </c>
      <c r="G514" t="s">
        <v>52</v>
      </c>
      <c r="H514" t="s">
        <v>34</v>
      </c>
      <c r="I514">
        <v>6</v>
      </c>
      <c r="J514">
        <v>885190</v>
      </c>
      <c r="K514">
        <v>7</v>
      </c>
      <c r="L514">
        <v>4939360.1999999993</v>
      </c>
      <c r="M514" t="s">
        <v>42</v>
      </c>
      <c r="N514" t="s">
        <v>43</v>
      </c>
      <c r="O514" t="s">
        <v>44</v>
      </c>
      <c r="P514" t="s">
        <v>42</v>
      </c>
    </row>
    <row r="515" spans="1:16" x14ac:dyDescent="0.25">
      <c r="A515" t="s">
        <v>1027</v>
      </c>
      <c r="B515" t="s">
        <v>195</v>
      </c>
      <c r="C515" t="s">
        <v>61</v>
      </c>
      <c r="D515" t="s">
        <v>30</v>
      </c>
      <c r="E515" t="s">
        <v>31</v>
      </c>
      <c r="F515" t="s">
        <v>32</v>
      </c>
      <c r="G515" t="s">
        <v>62</v>
      </c>
      <c r="H515" t="s">
        <v>86</v>
      </c>
      <c r="I515">
        <v>7</v>
      </c>
      <c r="J515">
        <v>329519</v>
      </c>
      <c r="K515">
        <v>0</v>
      </c>
      <c r="L515">
        <v>2306633</v>
      </c>
      <c r="M515" t="s">
        <v>54</v>
      </c>
      <c r="N515" t="s">
        <v>69</v>
      </c>
      <c r="O515" t="s">
        <v>44</v>
      </c>
      <c r="P515" t="s">
        <v>42</v>
      </c>
    </row>
    <row r="516" spans="1:16" x14ac:dyDescent="0.25">
      <c r="A516" t="s">
        <v>1028</v>
      </c>
      <c r="B516" t="s">
        <v>1029</v>
      </c>
      <c r="C516" t="s">
        <v>19</v>
      </c>
      <c r="D516" t="s">
        <v>66</v>
      </c>
      <c r="E516" t="s">
        <v>67</v>
      </c>
      <c r="F516" t="s">
        <v>68</v>
      </c>
      <c r="G516" t="s">
        <v>94</v>
      </c>
      <c r="H516" t="s">
        <v>58</v>
      </c>
      <c r="I516">
        <v>7</v>
      </c>
      <c r="J516">
        <v>122089</v>
      </c>
      <c r="K516">
        <v>10</v>
      </c>
      <c r="L516">
        <v>769160.70000000007</v>
      </c>
      <c r="M516" t="s">
        <v>42</v>
      </c>
      <c r="N516" t="s">
        <v>26</v>
      </c>
      <c r="O516" t="s">
        <v>27</v>
      </c>
      <c r="P516" t="s">
        <v>55</v>
      </c>
    </row>
    <row r="517" spans="1:16" x14ac:dyDescent="0.25">
      <c r="A517" t="s">
        <v>1030</v>
      </c>
      <c r="B517" t="s">
        <v>1031</v>
      </c>
      <c r="C517" t="s">
        <v>65</v>
      </c>
      <c r="D517" t="s">
        <v>51</v>
      </c>
      <c r="E517" t="s">
        <v>48</v>
      </c>
      <c r="F517" t="s">
        <v>22</v>
      </c>
      <c r="G517" t="s">
        <v>33</v>
      </c>
      <c r="H517" t="s">
        <v>53</v>
      </c>
      <c r="I517">
        <v>4</v>
      </c>
      <c r="J517">
        <v>312291</v>
      </c>
      <c r="K517">
        <v>0</v>
      </c>
      <c r="L517">
        <v>1249164</v>
      </c>
      <c r="M517" t="s">
        <v>25</v>
      </c>
      <c r="N517" t="s">
        <v>69</v>
      </c>
      <c r="O517" t="s">
        <v>44</v>
      </c>
      <c r="P517" t="s">
        <v>26</v>
      </c>
    </row>
    <row r="518" spans="1:16" x14ac:dyDescent="0.25">
      <c r="A518" t="s">
        <v>1032</v>
      </c>
      <c r="B518" t="s">
        <v>219</v>
      </c>
      <c r="C518" t="s">
        <v>85</v>
      </c>
      <c r="D518" t="s">
        <v>30</v>
      </c>
      <c r="E518" t="s">
        <v>31</v>
      </c>
      <c r="F518" t="s">
        <v>32</v>
      </c>
      <c r="G518" t="s">
        <v>124</v>
      </c>
      <c r="H518" t="s">
        <v>34</v>
      </c>
      <c r="I518">
        <v>5</v>
      </c>
      <c r="J518">
        <v>69333</v>
      </c>
      <c r="K518">
        <v>7</v>
      </c>
      <c r="L518">
        <v>322398.45</v>
      </c>
      <c r="M518" t="s">
        <v>54</v>
      </c>
      <c r="N518" t="s">
        <v>26</v>
      </c>
      <c r="O518" t="s">
        <v>44</v>
      </c>
      <c r="P518" t="s">
        <v>42</v>
      </c>
    </row>
    <row r="519" spans="1:16" x14ac:dyDescent="0.25">
      <c r="A519" t="s">
        <v>1033</v>
      </c>
      <c r="B519" t="s">
        <v>1034</v>
      </c>
      <c r="C519" t="s">
        <v>76</v>
      </c>
      <c r="D519" t="s">
        <v>38</v>
      </c>
      <c r="E519" t="s">
        <v>39</v>
      </c>
      <c r="F519" t="s">
        <v>40</v>
      </c>
      <c r="G519" t="s">
        <v>73</v>
      </c>
      <c r="H519" t="s">
        <v>24</v>
      </c>
      <c r="I519">
        <v>5</v>
      </c>
      <c r="J519">
        <v>603055</v>
      </c>
      <c r="K519">
        <v>10</v>
      </c>
      <c r="L519">
        <v>2713747.5</v>
      </c>
      <c r="M519" t="s">
        <v>42</v>
      </c>
      <c r="N519" t="s">
        <v>26</v>
      </c>
      <c r="O519" t="s">
        <v>27</v>
      </c>
      <c r="P519" t="s">
        <v>26</v>
      </c>
    </row>
    <row r="520" spans="1:16" x14ac:dyDescent="0.25">
      <c r="A520" t="s">
        <v>1035</v>
      </c>
      <c r="B520" t="s">
        <v>1036</v>
      </c>
      <c r="C520" t="s">
        <v>76</v>
      </c>
      <c r="D520" t="s">
        <v>119</v>
      </c>
      <c r="E520" t="s">
        <v>21</v>
      </c>
      <c r="F520" t="s">
        <v>22</v>
      </c>
      <c r="G520" t="s">
        <v>73</v>
      </c>
      <c r="H520" t="s">
        <v>53</v>
      </c>
      <c r="I520">
        <v>8</v>
      </c>
      <c r="J520">
        <v>824610</v>
      </c>
      <c r="K520">
        <v>7</v>
      </c>
      <c r="L520">
        <v>6135098.3999999994</v>
      </c>
      <c r="M520" t="s">
        <v>25</v>
      </c>
      <c r="N520" t="s">
        <v>26</v>
      </c>
      <c r="O520" t="s">
        <v>44</v>
      </c>
      <c r="P520" t="s">
        <v>55</v>
      </c>
    </row>
    <row r="521" spans="1:16" x14ac:dyDescent="0.25">
      <c r="A521" t="s">
        <v>1037</v>
      </c>
      <c r="B521" t="s">
        <v>1038</v>
      </c>
      <c r="C521" t="s">
        <v>37</v>
      </c>
      <c r="D521" t="s">
        <v>47</v>
      </c>
      <c r="E521" t="s">
        <v>48</v>
      </c>
      <c r="F521" t="s">
        <v>22</v>
      </c>
      <c r="G521" t="s">
        <v>52</v>
      </c>
      <c r="H521" t="s">
        <v>58</v>
      </c>
      <c r="I521">
        <v>6</v>
      </c>
      <c r="J521">
        <v>728531</v>
      </c>
      <c r="K521">
        <v>10</v>
      </c>
      <c r="L521">
        <v>3934067.4</v>
      </c>
      <c r="M521" t="s">
        <v>42</v>
      </c>
      <c r="N521" t="s">
        <v>26</v>
      </c>
      <c r="O521" t="s">
        <v>27</v>
      </c>
      <c r="P521" t="s">
        <v>26</v>
      </c>
    </row>
    <row r="522" spans="1:16" x14ac:dyDescent="0.25">
      <c r="A522" t="s">
        <v>1039</v>
      </c>
      <c r="B522" t="s">
        <v>197</v>
      </c>
      <c r="C522" t="s">
        <v>37</v>
      </c>
      <c r="D522" t="s">
        <v>129</v>
      </c>
      <c r="E522" t="s">
        <v>39</v>
      </c>
      <c r="F522" t="s">
        <v>40</v>
      </c>
      <c r="G522" t="s">
        <v>33</v>
      </c>
      <c r="H522" t="s">
        <v>34</v>
      </c>
      <c r="I522">
        <v>2</v>
      </c>
      <c r="J522">
        <v>373945</v>
      </c>
      <c r="K522">
        <v>10</v>
      </c>
      <c r="L522">
        <v>673101</v>
      </c>
      <c r="M522" t="s">
        <v>42</v>
      </c>
      <c r="N522" t="s">
        <v>69</v>
      </c>
      <c r="O522" t="s">
        <v>27</v>
      </c>
      <c r="P522" t="s">
        <v>55</v>
      </c>
    </row>
    <row r="523" spans="1:16" x14ac:dyDescent="0.25">
      <c r="A523" t="s">
        <v>1040</v>
      </c>
      <c r="B523" t="s">
        <v>1041</v>
      </c>
      <c r="C523" t="s">
        <v>61</v>
      </c>
      <c r="D523" t="s">
        <v>47</v>
      </c>
      <c r="E523" t="s">
        <v>48</v>
      </c>
      <c r="F523" t="s">
        <v>22</v>
      </c>
      <c r="G523" t="s">
        <v>89</v>
      </c>
      <c r="H523" t="s">
        <v>24</v>
      </c>
      <c r="I523">
        <v>2</v>
      </c>
      <c r="J523">
        <v>208060</v>
      </c>
      <c r="K523">
        <v>7</v>
      </c>
      <c r="L523">
        <v>386991.6</v>
      </c>
      <c r="M523" t="s">
        <v>25</v>
      </c>
      <c r="N523" t="s">
        <v>26</v>
      </c>
      <c r="O523" t="s">
        <v>44</v>
      </c>
      <c r="P523" t="s">
        <v>55</v>
      </c>
    </row>
    <row r="524" spans="1:16" x14ac:dyDescent="0.25">
      <c r="A524" t="s">
        <v>1042</v>
      </c>
      <c r="B524" t="s">
        <v>146</v>
      </c>
      <c r="C524" t="s">
        <v>37</v>
      </c>
      <c r="D524" t="s">
        <v>66</v>
      </c>
      <c r="E524" t="s">
        <v>67</v>
      </c>
      <c r="F524" t="s">
        <v>68</v>
      </c>
      <c r="G524" t="s">
        <v>73</v>
      </c>
      <c r="H524" t="s">
        <v>58</v>
      </c>
      <c r="I524">
        <v>2</v>
      </c>
      <c r="J524">
        <v>203861</v>
      </c>
      <c r="K524">
        <v>12</v>
      </c>
      <c r="L524">
        <v>358795.36</v>
      </c>
      <c r="M524" t="s">
        <v>54</v>
      </c>
      <c r="N524" t="s">
        <v>26</v>
      </c>
      <c r="O524" t="s">
        <v>27</v>
      </c>
      <c r="P524" t="s">
        <v>42</v>
      </c>
    </row>
    <row r="525" spans="1:16" x14ac:dyDescent="0.25">
      <c r="A525" t="s">
        <v>1043</v>
      </c>
      <c r="B525" t="s">
        <v>1044</v>
      </c>
      <c r="C525" t="s">
        <v>79</v>
      </c>
      <c r="D525" t="s">
        <v>119</v>
      </c>
      <c r="E525" t="s">
        <v>21</v>
      </c>
      <c r="F525" t="s">
        <v>22</v>
      </c>
      <c r="G525" t="s">
        <v>94</v>
      </c>
      <c r="H525" t="s">
        <v>34</v>
      </c>
      <c r="I525">
        <v>4</v>
      </c>
      <c r="J525">
        <v>565966</v>
      </c>
      <c r="K525">
        <v>5</v>
      </c>
      <c r="L525">
        <v>2150670.7999999998</v>
      </c>
      <c r="M525" t="s">
        <v>42</v>
      </c>
      <c r="N525" t="s">
        <v>69</v>
      </c>
      <c r="O525" t="s">
        <v>27</v>
      </c>
      <c r="P525" t="s">
        <v>42</v>
      </c>
    </row>
    <row r="526" spans="1:16" x14ac:dyDescent="0.25">
      <c r="A526" t="s">
        <v>1045</v>
      </c>
      <c r="B526" t="s">
        <v>439</v>
      </c>
      <c r="C526" t="s">
        <v>76</v>
      </c>
      <c r="D526" t="s">
        <v>38</v>
      </c>
      <c r="E526" t="s">
        <v>39</v>
      </c>
      <c r="F526" t="s">
        <v>40</v>
      </c>
      <c r="G526" t="s">
        <v>41</v>
      </c>
      <c r="H526" t="s">
        <v>34</v>
      </c>
      <c r="I526">
        <v>6</v>
      </c>
      <c r="J526">
        <v>861670</v>
      </c>
      <c r="K526">
        <v>2</v>
      </c>
      <c r="L526">
        <v>5066619.5999999996</v>
      </c>
      <c r="M526" t="s">
        <v>25</v>
      </c>
      <c r="N526" t="s">
        <v>43</v>
      </c>
      <c r="O526" t="s">
        <v>27</v>
      </c>
      <c r="P526" t="s">
        <v>42</v>
      </c>
    </row>
    <row r="527" spans="1:16" x14ac:dyDescent="0.25">
      <c r="A527" t="s">
        <v>1046</v>
      </c>
      <c r="B527" t="s">
        <v>613</v>
      </c>
      <c r="C527" t="s">
        <v>85</v>
      </c>
      <c r="D527" t="s">
        <v>30</v>
      </c>
      <c r="E527" t="s">
        <v>31</v>
      </c>
      <c r="F527" t="s">
        <v>32</v>
      </c>
      <c r="G527" t="s">
        <v>52</v>
      </c>
      <c r="H527" t="s">
        <v>58</v>
      </c>
      <c r="I527">
        <v>1</v>
      </c>
      <c r="J527">
        <v>679712</v>
      </c>
      <c r="K527">
        <v>10</v>
      </c>
      <c r="L527">
        <v>611740.80000000005</v>
      </c>
      <c r="M527" t="s">
        <v>25</v>
      </c>
      <c r="N527" t="s">
        <v>69</v>
      </c>
      <c r="O527" t="s">
        <v>44</v>
      </c>
      <c r="P527" t="s">
        <v>42</v>
      </c>
    </row>
    <row r="528" spans="1:16" x14ac:dyDescent="0.25">
      <c r="A528" t="s">
        <v>1047</v>
      </c>
      <c r="B528" t="s">
        <v>1048</v>
      </c>
      <c r="C528" t="s">
        <v>61</v>
      </c>
      <c r="D528" t="s">
        <v>30</v>
      </c>
      <c r="E528" t="s">
        <v>142</v>
      </c>
      <c r="F528" t="s">
        <v>32</v>
      </c>
      <c r="G528" t="s">
        <v>73</v>
      </c>
      <c r="H528" t="s">
        <v>34</v>
      </c>
      <c r="I528">
        <v>8</v>
      </c>
      <c r="J528">
        <v>422524</v>
      </c>
      <c r="K528">
        <v>7</v>
      </c>
      <c r="L528">
        <v>3143578.56</v>
      </c>
      <c r="M528" t="s">
        <v>42</v>
      </c>
      <c r="N528" t="s">
        <v>43</v>
      </c>
      <c r="O528" t="s">
        <v>27</v>
      </c>
      <c r="P528" t="s">
        <v>26</v>
      </c>
    </row>
    <row r="529" spans="1:16" x14ac:dyDescent="0.25">
      <c r="A529" t="s">
        <v>1049</v>
      </c>
      <c r="B529" t="s">
        <v>1050</v>
      </c>
      <c r="C529" t="s">
        <v>85</v>
      </c>
      <c r="D529" t="s">
        <v>154</v>
      </c>
      <c r="E529" t="s">
        <v>201</v>
      </c>
      <c r="F529" t="s">
        <v>68</v>
      </c>
      <c r="G529" t="s">
        <v>41</v>
      </c>
      <c r="H529" t="s">
        <v>34</v>
      </c>
      <c r="I529">
        <v>7</v>
      </c>
      <c r="J529">
        <v>834400</v>
      </c>
      <c r="K529">
        <v>10</v>
      </c>
      <c r="L529">
        <v>5256720</v>
      </c>
      <c r="M529" t="s">
        <v>54</v>
      </c>
      <c r="N529" t="s">
        <v>26</v>
      </c>
      <c r="O529" t="s">
        <v>27</v>
      </c>
      <c r="P529" t="s">
        <v>42</v>
      </c>
    </row>
    <row r="530" spans="1:16" x14ac:dyDescent="0.25">
      <c r="A530" t="s">
        <v>1051</v>
      </c>
      <c r="B530" t="s">
        <v>1052</v>
      </c>
      <c r="C530" t="s">
        <v>85</v>
      </c>
      <c r="D530" t="s">
        <v>51</v>
      </c>
      <c r="E530" t="s">
        <v>48</v>
      </c>
      <c r="F530" t="s">
        <v>22</v>
      </c>
      <c r="G530" t="s">
        <v>62</v>
      </c>
      <c r="H530" t="s">
        <v>24</v>
      </c>
      <c r="I530">
        <v>8</v>
      </c>
      <c r="J530">
        <v>734008</v>
      </c>
      <c r="K530">
        <v>5</v>
      </c>
      <c r="L530">
        <v>5578460.7999999998</v>
      </c>
      <c r="M530" t="s">
        <v>42</v>
      </c>
      <c r="N530" t="s">
        <v>43</v>
      </c>
      <c r="O530" t="s">
        <v>44</v>
      </c>
      <c r="P530" t="s">
        <v>26</v>
      </c>
    </row>
    <row r="531" spans="1:16" x14ac:dyDescent="0.25">
      <c r="A531" t="s">
        <v>1053</v>
      </c>
      <c r="B531" t="s">
        <v>545</v>
      </c>
      <c r="C531" t="s">
        <v>99</v>
      </c>
      <c r="D531" t="s">
        <v>20</v>
      </c>
      <c r="E531" t="s">
        <v>21</v>
      </c>
      <c r="F531" t="s">
        <v>22</v>
      </c>
      <c r="G531" t="s">
        <v>124</v>
      </c>
      <c r="H531" t="s">
        <v>24</v>
      </c>
      <c r="I531">
        <v>4</v>
      </c>
      <c r="J531">
        <v>368284</v>
      </c>
      <c r="K531">
        <v>12</v>
      </c>
      <c r="L531">
        <v>1296359.68</v>
      </c>
      <c r="M531" t="s">
        <v>54</v>
      </c>
      <c r="N531" t="s">
        <v>43</v>
      </c>
      <c r="O531" t="s">
        <v>27</v>
      </c>
      <c r="P531" t="s">
        <v>26</v>
      </c>
    </row>
    <row r="532" spans="1:16" x14ac:dyDescent="0.25">
      <c r="A532" t="s">
        <v>1054</v>
      </c>
      <c r="B532" t="s">
        <v>1055</v>
      </c>
      <c r="C532" t="s">
        <v>76</v>
      </c>
      <c r="D532" t="s">
        <v>47</v>
      </c>
      <c r="E532" t="s">
        <v>48</v>
      </c>
      <c r="F532" t="s">
        <v>22</v>
      </c>
      <c r="G532" t="s">
        <v>124</v>
      </c>
      <c r="H532" t="s">
        <v>58</v>
      </c>
      <c r="I532">
        <v>2</v>
      </c>
      <c r="J532">
        <v>362436</v>
      </c>
      <c r="K532">
        <v>5</v>
      </c>
      <c r="L532">
        <v>700973.4</v>
      </c>
      <c r="M532" t="s">
        <v>42</v>
      </c>
      <c r="N532" t="s">
        <v>69</v>
      </c>
      <c r="O532" t="s">
        <v>27</v>
      </c>
      <c r="P532" t="s">
        <v>42</v>
      </c>
    </row>
    <row r="533" spans="1:16" x14ac:dyDescent="0.25">
      <c r="A533" t="s">
        <v>1056</v>
      </c>
      <c r="B533" t="s">
        <v>921</v>
      </c>
      <c r="C533" t="s">
        <v>76</v>
      </c>
      <c r="D533" t="s">
        <v>30</v>
      </c>
      <c r="E533" t="s">
        <v>31</v>
      </c>
      <c r="F533" t="s">
        <v>32</v>
      </c>
      <c r="G533" t="s">
        <v>33</v>
      </c>
      <c r="H533" t="s">
        <v>53</v>
      </c>
      <c r="I533">
        <v>6</v>
      </c>
      <c r="J533">
        <v>227635</v>
      </c>
      <c r="K533">
        <v>5</v>
      </c>
      <c r="L533">
        <v>1297519.5</v>
      </c>
      <c r="M533" t="s">
        <v>54</v>
      </c>
      <c r="N533" t="s">
        <v>69</v>
      </c>
      <c r="O533" t="s">
        <v>27</v>
      </c>
      <c r="P533" t="s">
        <v>26</v>
      </c>
    </row>
    <row r="534" spans="1:16" x14ac:dyDescent="0.25">
      <c r="A534" t="s">
        <v>1057</v>
      </c>
      <c r="B534" t="s">
        <v>1058</v>
      </c>
      <c r="C534" t="s">
        <v>19</v>
      </c>
      <c r="D534" t="s">
        <v>106</v>
      </c>
      <c r="E534" t="s">
        <v>31</v>
      </c>
      <c r="F534" t="s">
        <v>32</v>
      </c>
      <c r="G534" t="s">
        <v>52</v>
      </c>
      <c r="H534" t="s">
        <v>86</v>
      </c>
      <c r="I534">
        <v>6</v>
      </c>
      <c r="J534">
        <v>527755</v>
      </c>
      <c r="K534">
        <v>10</v>
      </c>
      <c r="L534">
        <v>2849877</v>
      </c>
      <c r="M534" t="s">
        <v>42</v>
      </c>
      <c r="N534" t="s">
        <v>69</v>
      </c>
      <c r="O534" t="s">
        <v>44</v>
      </c>
      <c r="P534" t="s">
        <v>55</v>
      </c>
    </row>
    <row r="535" spans="1:16" x14ac:dyDescent="0.25">
      <c r="A535" t="s">
        <v>1059</v>
      </c>
      <c r="B535" t="s">
        <v>697</v>
      </c>
      <c r="C535" t="s">
        <v>198</v>
      </c>
      <c r="D535" t="s">
        <v>47</v>
      </c>
      <c r="E535" t="s">
        <v>72</v>
      </c>
      <c r="F535" t="s">
        <v>22</v>
      </c>
      <c r="G535" t="s">
        <v>73</v>
      </c>
      <c r="H535" t="s">
        <v>58</v>
      </c>
      <c r="I535">
        <v>6</v>
      </c>
      <c r="J535">
        <v>329220</v>
      </c>
      <c r="K535">
        <v>2</v>
      </c>
      <c r="L535">
        <v>1935813.6</v>
      </c>
      <c r="M535" t="s">
        <v>54</v>
      </c>
      <c r="N535" t="s">
        <v>69</v>
      </c>
      <c r="O535" t="s">
        <v>27</v>
      </c>
      <c r="P535" t="s">
        <v>26</v>
      </c>
    </row>
    <row r="536" spans="1:16" x14ac:dyDescent="0.25">
      <c r="A536" t="s">
        <v>1060</v>
      </c>
      <c r="B536" t="s">
        <v>959</v>
      </c>
      <c r="C536" t="s">
        <v>65</v>
      </c>
      <c r="D536" t="s">
        <v>30</v>
      </c>
      <c r="E536" t="s">
        <v>31</v>
      </c>
      <c r="F536" t="s">
        <v>32</v>
      </c>
      <c r="G536" t="s">
        <v>62</v>
      </c>
      <c r="H536" t="s">
        <v>58</v>
      </c>
      <c r="I536">
        <v>5</v>
      </c>
      <c r="J536">
        <v>406770</v>
      </c>
      <c r="K536">
        <v>2</v>
      </c>
      <c r="L536">
        <v>1993173</v>
      </c>
      <c r="M536" t="s">
        <v>54</v>
      </c>
      <c r="N536" t="s">
        <v>43</v>
      </c>
      <c r="O536" t="s">
        <v>44</v>
      </c>
      <c r="P536" t="s">
        <v>42</v>
      </c>
    </row>
    <row r="537" spans="1:16" x14ac:dyDescent="0.25">
      <c r="A537" t="s">
        <v>1061</v>
      </c>
      <c r="B537" t="s">
        <v>1062</v>
      </c>
      <c r="C537" t="s">
        <v>99</v>
      </c>
      <c r="D537" t="s">
        <v>119</v>
      </c>
      <c r="E537" t="s">
        <v>21</v>
      </c>
      <c r="F537" t="s">
        <v>22</v>
      </c>
      <c r="G537" t="s">
        <v>41</v>
      </c>
      <c r="H537" t="s">
        <v>53</v>
      </c>
      <c r="I537">
        <v>3</v>
      </c>
      <c r="J537">
        <v>439793</v>
      </c>
      <c r="K537">
        <v>10</v>
      </c>
      <c r="L537">
        <v>1187441.1000000001</v>
      </c>
      <c r="M537" t="s">
        <v>25</v>
      </c>
      <c r="N537" t="s">
        <v>43</v>
      </c>
      <c r="O537" t="s">
        <v>44</v>
      </c>
      <c r="P537" t="s">
        <v>42</v>
      </c>
    </row>
    <row r="538" spans="1:16" x14ac:dyDescent="0.25">
      <c r="A538" t="s">
        <v>1063</v>
      </c>
      <c r="B538" t="s">
        <v>1064</v>
      </c>
      <c r="C538" t="s">
        <v>65</v>
      </c>
      <c r="D538" t="s">
        <v>38</v>
      </c>
      <c r="E538" t="s">
        <v>39</v>
      </c>
      <c r="F538" t="s">
        <v>40</v>
      </c>
      <c r="G538" t="s">
        <v>89</v>
      </c>
      <c r="H538" t="s">
        <v>86</v>
      </c>
      <c r="I538">
        <v>6</v>
      </c>
      <c r="J538">
        <v>66207</v>
      </c>
      <c r="K538">
        <v>2</v>
      </c>
      <c r="L538">
        <v>389297.16</v>
      </c>
      <c r="M538" t="s">
        <v>25</v>
      </c>
      <c r="N538" t="s">
        <v>69</v>
      </c>
      <c r="O538" t="s">
        <v>27</v>
      </c>
      <c r="P538" t="s">
        <v>55</v>
      </c>
    </row>
    <row r="539" spans="1:16" x14ac:dyDescent="0.25">
      <c r="A539" t="s">
        <v>1065</v>
      </c>
      <c r="B539" t="s">
        <v>1066</v>
      </c>
      <c r="C539" t="s">
        <v>76</v>
      </c>
      <c r="D539" t="s">
        <v>38</v>
      </c>
      <c r="E539" t="s">
        <v>130</v>
      </c>
      <c r="F539" t="s">
        <v>40</v>
      </c>
      <c r="G539" t="s">
        <v>33</v>
      </c>
      <c r="H539" t="s">
        <v>58</v>
      </c>
      <c r="I539">
        <v>2</v>
      </c>
      <c r="J539">
        <v>680802</v>
      </c>
      <c r="K539">
        <v>12</v>
      </c>
      <c r="L539">
        <v>1198211.52</v>
      </c>
      <c r="M539" t="s">
        <v>25</v>
      </c>
      <c r="N539" t="s">
        <v>69</v>
      </c>
      <c r="O539" t="s">
        <v>27</v>
      </c>
      <c r="P539" t="s">
        <v>42</v>
      </c>
    </row>
    <row r="540" spans="1:16" x14ac:dyDescent="0.25">
      <c r="A540" t="s">
        <v>1067</v>
      </c>
      <c r="B540" t="s">
        <v>491</v>
      </c>
      <c r="C540" t="s">
        <v>76</v>
      </c>
      <c r="D540" t="s">
        <v>38</v>
      </c>
      <c r="E540" t="s">
        <v>39</v>
      </c>
      <c r="F540" t="s">
        <v>40</v>
      </c>
      <c r="G540" t="s">
        <v>33</v>
      </c>
      <c r="H540" t="s">
        <v>86</v>
      </c>
      <c r="I540">
        <v>2</v>
      </c>
      <c r="J540">
        <v>322720</v>
      </c>
      <c r="K540">
        <v>12</v>
      </c>
      <c r="L540">
        <v>567987.19999999995</v>
      </c>
      <c r="M540" t="s">
        <v>25</v>
      </c>
      <c r="N540" t="s">
        <v>26</v>
      </c>
      <c r="O540" t="s">
        <v>44</v>
      </c>
      <c r="P540" t="s">
        <v>55</v>
      </c>
    </row>
    <row r="541" spans="1:16" x14ac:dyDescent="0.25">
      <c r="A541" t="s">
        <v>1068</v>
      </c>
      <c r="B541" t="s">
        <v>333</v>
      </c>
      <c r="C541" t="s">
        <v>91</v>
      </c>
      <c r="D541" t="s">
        <v>51</v>
      </c>
      <c r="E541" t="s">
        <v>48</v>
      </c>
      <c r="F541" t="s">
        <v>22</v>
      </c>
      <c r="G541" t="s">
        <v>124</v>
      </c>
      <c r="H541" t="s">
        <v>53</v>
      </c>
      <c r="I541">
        <v>3</v>
      </c>
      <c r="J541">
        <v>849359</v>
      </c>
      <c r="K541">
        <v>5</v>
      </c>
      <c r="L541">
        <v>2420673.15</v>
      </c>
      <c r="M541" t="s">
        <v>54</v>
      </c>
      <c r="N541" t="s">
        <v>26</v>
      </c>
      <c r="O541" t="s">
        <v>27</v>
      </c>
      <c r="P541" t="s">
        <v>26</v>
      </c>
    </row>
    <row r="542" spans="1:16" x14ac:dyDescent="0.25">
      <c r="A542" t="s">
        <v>1069</v>
      </c>
      <c r="B542" t="s">
        <v>458</v>
      </c>
      <c r="C542" t="s">
        <v>37</v>
      </c>
      <c r="D542" t="s">
        <v>66</v>
      </c>
      <c r="E542" t="s">
        <v>67</v>
      </c>
      <c r="F542" t="s">
        <v>68</v>
      </c>
      <c r="G542" t="s">
        <v>41</v>
      </c>
      <c r="H542" t="s">
        <v>86</v>
      </c>
      <c r="I542">
        <v>8</v>
      </c>
      <c r="J542">
        <v>822964</v>
      </c>
      <c r="K542">
        <v>10</v>
      </c>
      <c r="L542">
        <v>5925340.7999999998</v>
      </c>
      <c r="M542" t="s">
        <v>25</v>
      </c>
      <c r="N542" t="s">
        <v>26</v>
      </c>
      <c r="O542" t="s">
        <v>27</v>
      </c>
      <c r="P542" t="s">
        <v>42</v>
      </c>
    </row>
    <row r="543" spans="1:16" x14ac:dyDescent="0.25">
      <c r="A543" t="s">
        <v>1070</v>
      </c>
      <c r="B543" t="s">
        <v>1071</v>
      </c>
      <c r="C543" t="s">
        <v>19</v>
      </c>
      <c r="D543" t="s">
        <v>66</v>
      </c>
      <c r="E543" t="s">
        <v>67</v>
      </c>
      <c r="F543" t="s">
        <v>68</v>
      </c>
      <c r="G543" t="s">
        <v>33</v>
      </c>
      <c r="H543" t="s">
        <v>86</v>
      </c>
      <c r="I543">
        <v>3</v>
      </c>
      <c r="J543">
        <v>376804</v>
      </c>
      <c r="K543">
        <v>10</v>
      </c>
      <c r="L543">
        <v>1017370.8</v>
      </c>
      <c r="M543" t="s">
        <v>42</v>
      </c>
      <c r="N543" t="s">
        <v>43</v>
      </c>
      <c r="O543" t="s">
        <v>27</v>
      </c>
      <c r="P543" t="s">
        <v>55</v>
      </c>
    </row>
    <row r="544" spans="1:16" x14ac:dyDescent="0.25">
      <c r="A544" t="s">
        <v>1072</v>
      </c>
      <c r="B544" t="s">
        <v>134</v>
      </c>
      <c r="C544" t="s">
        <v>198</v>
      </c>
      <c r="D544" t="s">
        <v>38</v>
      </c>
      <c r="E544" t="s">
        <v>39</v>
      </c>
      <c r="F544" t="s">
        <v>40</v>
      </c>
      <c r="G544" t="s">
        <v>41</v>
      </c>
      <c r="H544" t="s">
        <v>34</v>
      </c>
      <c r="I544">
        <v>1</v>
      </c>
      <c r="J544">
        <v>454599</v>
      </c>
      <c r="K544">
        <v>12</v>
      </c>
      <c r="L544">
        <v>400047.12</v>
      </c>
      <c r="M544" t="s">
        <v>42</v>
      </c>
      <c r="N544" t="s">
        <v>43</v>
      </c>
      <c r="O544" t="s">
        <v>44</v>
      </c>
      <c r="P544" t="s">
        <v>42</v>
      </c>
    </row>
    <row r="545" spans="1:16" x14ac:dyDescent="0.25">
      <c r="A545" t="s">
        <v>1073</v>
      </c>
      <c r="B545" t="s">
        <v>573</v>
      </c>
      <c r="C545" t="s">
        <v>99</v>
      </c>
      <c r="D545" t="s">
        <v>20</v>
      </c>
      <c r="E545" t="s">
        <v>21</v>
      </c>
      <c r="F545" t="s">
        <v>22</v>
      </c>
      <c r="G545" t="s">
        <v>52</v>
      </c>
      <c r="H545" t="s">
        <v>24</v>
      </c>
      <c r="I545">
        <v>5</v>
      </c>
      <c r="J545">
        <v>139366</v>
      </c>
      <c r="K545">
        <v>12</v>
      </c>
      <c r="L545">
        <v>613210.4</v>
      </c>
      <c r="M545" t="s">
        <v>54</v>
      </c>
      <c r="N545" t="s">
        <v>69</v>
      </c>
      <c r="O545" t="s">
        <v>27</v>
      </c>
      <c r="P545" t="s">
        <v>26</v>
      </c>
    </row>
    <row r="546" spans="1:16" x14ac:dyDescent="0.25">
      <c r="A546" t="s">
        <v>1074</v>
      </c>
      <c r="B546" t="s">
        <v>795</v>
      </c>
      <c r="C546" t="s">
        <v>85</v>
      </c>
      <c r="D546" t="s">
        <v>129</v>
      </c>
      <c r="E546" t="s">
        <v>39</v>
      </c>
      <c r="F546" t="s">
        <v>40</v>
      </c>
      <c r="G546" t="s">
        <v>89</v>
      </c>
      <c r="H546" t="s">
        <v>86</v>
      </c>
      <c r="I546">
        <v>7</v>
      </c>
      <c r="J546">
        <v>692359</v>
      </c>
      <c r="K546">
        <v>7</v>
      </c>
      <c r="L546">
        <v>4507257.09</v>
      </c>
      <c r="M546" t="s">
        <v>42</v>
      </c>
      <c r="N546" t="s">
        <v>69</v>
      </c>
      <c r="O546" t="s">
        <v>27</v>
      </c>
      <c r="P546" t="s">
        <v>26</v>
      </c>
    </row>
    <row r="547" spans="1:16" x14ac:dyDescent="0.25">
      <c r="A547" t="s">
        <v>1075</v>
      </c>
      <c r="B547" t="s">
        <v>1031</v>
      </c>
      <c r="C547" t="s">
        <v>37</v>
      </c>
      <c r="D547" t="s">
        <v>38</v>
      </c>
      <c r="E547" t="s">
        <v>130</v>
      </c>
      <c r="F547" t="s">
        <v>40</v>
      </c>
      <c r="G547" t="s">
        <v>33</v>
      </c>
      <c r="H547" t="s">
        <v>53</v>
      </c>
      <c r="I547">
        <v>5</v>
      </c>
      <c r="J547">
        <v>569989</v>
      </c>
      <c r="K547">
        <v>5</v>
      </c>
      <c r="L547">
        <v>2707447.75</v>
      </c>
      <c r="M547" t="s">
        <v>25</v>
      </c>
      <c r="N547" t="s">
        <v>26</v>
      </c>
      <c r="O547" t="s">
        <v>44</v>
      </c>
      <c r="P547" t="s">
        <v>26</v>
      </c>
    </row>
    <row r="548" spans="1:16" x14ac:dyDescent="0.25">
      <c r="A548" t="s">
        <v>1076</v>
      </c>
      <c r="B548" t="s">
        <v>421</v>
      </c>
      <c r="C548" t="s">
        <v>76</v>
      </c>
      <c r="D548" t="s">
        <v>47</v>
      </c>
      <c r="E548" t="s">
        <v>72</v>
      </c>
      <c r="F548" t="s">
        <v>22</v>
      </c>
      <c r="G548" t="s">
        <v>62</v>
      </c>
      <c r="H548" t="s">
        <v>86</v>
      </c>
      <c r="I548">
        <v>6</v>
      </c>
      <c r="J548">
        <v>425526</v>
      </c>
      <c r="K548">
        <v>12</v>
      </c>
      <c r="L548">
        <v>2246777.2799999998</v>
      </c>
      <c r="M548" t="s">
        <v>25</v>
      </c>
      <c r="N548" t="s">
        <v>43</v>
      </c>
      <c r="O548" t="s">
        <v>27</v>
      </c>
      <c r="P548" t="s">
        <v>26</v>
      </c>
    </row>
    <row r="549" spans="1:16" x14ac:dyDescent="0.25">
      <c r="A549" t="s">
        <v>1077</v>
      </c>
      <c r="B549" t="s">
        <v>894</v>
      </c>
      <c r="C549" t="s">
        <v>37</v>
      </c>
      <c r="D549" t="s">
        <v>66</v>
      </c>
      <c r="E549" t="s">
        <v>67</v>
      </c>
      <c r="F549" t="s">
        <v>68</v>
      </c>
      <c r="G549" t="s">
        <v>62</v>
      </c>
      <c r="H549" t="s">
        <v>58</v>
      </c>
      <c r="I549">
        <v>2</v>
      </c>
      <c r="J549">
        <v>235733</v>
      </c>
      <c r="K549">
        <v>10</v>
      </c>
      <c r="L549">
        <v>424319.4</v>
      </c>
      <c r="M549" t="s">
        <v>25</v>
      </c>
      <c r="N549" t="s">
        <v>43</v>
      </c>
      <c r="O549" t="s">
        <v>44</v>
      </c>
      <c r="P549" t="s">
        <v>42</v>
      </c>
    </row>
    <row r="550" spans="1:16" x14ac:dyDescent="0.25">
      <c r="A550" t="s">
        <v>1078</v>
      </c>
      <c r="B550" t="s">
        <v>1079</v>
      </c>
      <c r="C550" t="s">
        <v>85</v>
      </c>
      <c r="D550" t="s">
        <v>129</v>
      </c>
      <c r="E550" t="s">
        <v>39</v>
      </c>
      <c r="F550" t="s">
        <v>40</v>
      </c>
      <c r="G550" t="s">
        <v>124</v>
      </c>
      <c r="H550" t="s">
        <v>58</v>
      </c>
      <c r="I550">
        <v>1</v>
      </c>
      <c r="J550">
        <v>854757</v>
      </c>
      <c r="K550">
        <v>12</v>
      </c>
      <c r="L550">
        <v>752186.16</v>
      </c>
      <c r="M550" t="s">
        <v>42</v>
      </c>
      <c r="N550" t="s">
        <v>43</v>
      </c>
      <c r="O550" t="s">
        <v>44</v>
      </c>
      <c r="P550" t="s">
        <v>42</v>
      </c>
    </row>
    <row r="551" spans="1:16" x14ac:dyDescent="0.25">
      <c r="A551" t="s">
        <v>1080</v>
      </c>
      <c r="B551" t="s">
        <v>1081</v>
      </c>
      <c r="C551" t="s">
        <v>65</v>
      </c>
      <c r="D551" t="s">
        <v>30</v>
      </c>
      <c r="E551" t="s">
        <v>31</v>
      </c>
      <c r="F551" t="s">
        <v>32</v>
      </c>
      <c r="G551" t="s">
        <v>73</v>
      </c>
      <c r="H551" t="s">
        <v>86</v>
      </c>
      <c r="I551">
        <v>8</v>
      </c>
      <c r="J551">
        <v>506225</v>
      </c>
      <c r="K551">
        <v>10</v>
      </c>
      <c r="L551">
        <v>3644820</v>
      </c>
      <c r="M551" t="s">
        <v>54</v>
      </c>
      <c r="N551" t="s">
        <v>43</v>
      </c>
      <c r="O551" t="s">
        <v>27</v>
      </c>
      <c r="P551" t="s">
        <v>55</v>
      </c>
    </row>
    <row r="552" spans="1:16" x14ac:dyDescent="0.25">
      <c r="A552" t="s">
        <v>1082</v>
      </c>
      <c r="B552" t="s">
        <v>1083</v>
      </c>
      <c r="C552" t="s">
        <v>76</v>
      </c>
      <c r="D552" t="s">
        <v>38</v>
      </c>
      <c r="E552" t="s">
        <v>39</v>
      </c>
      <c r="F552" t="s">
        <v>40</v>
      </c>
      <c r="G552" t="s">
        <v>62</v>
      </c>
      <c r="H552" t="s">
        <v>58</v>
      </c>
      <c r="I552">
        <v>2</v>
      </c>
      <c r="J552">
        <v>611309</v>
      </c>
      <c r="K552">
        <v>10</v>
      </c>
      <c r="L552">
        <v>1100356.2</v>
      </c>
      <c r="M552" t="s">
        <v>25</v>
      </c>
      <c r="N552" t="s">
        <v>43</v>
      </c>
      <c r="O552" t="s">
        <v>44</v>
      </c>
      <c r="P552" t="s">
        <v>26</v>
      </c>
    </row>
    <row r="553" spans="1:16" x14ac:dyDescent="0.25">
      <c r="A553" t="s">
        <v>1084</v>
      </c>
      <c r="B553" t="s">
        <v>1085</v>
      </c>
      <c r="C553" t="s">
        <v>85</v>
      </c>
      <c r="D553" t="s">
        <v>30</v>
      </c>
      <c r="E553" t="s">
        <v>31</v>
      </c>
      <c r="F553" t="s">
        <v>32</v>
      </c>
      <c r="G553" t="s">
        <v>33</v>
      </c>
      <c r="H553" t="s">
        <v>53</v>
      </c>
      <c r="J553">
        <v>865433</v>
      </c>
      <c r="K553">
        <v>10</v>
      </c>
      <c r="M553" t="s">
        <v>25</v>
      </c>
      <c r="N553" t="s">
        <v>43</v>
      </c>
      <c r="O553" t="s">
        <v>44</v>
      </c>
      <c r="P553" t="s">
        <v>26</v>
      </c>
    </row>
    <row r="554" spans="1:16" x14ac:dyDescent="0.25">
      <c r="A554" t="s">
        <v>1086</v>
      </c>
      <c r="B554" t="s">
        <v>1087</v>
      </c>
      <c r="C554" t="s">
        <v>37</v>
      </c>
      <c r="D554" t="s">
        <v>66</v>
      </c>
      <c r="E554" t="s">
        <v>67</v>
      </c>
      <c r="F554" t="s">
        <v>68</v>
      </c>
      <c r="G554" t="s">
        <v>62</v>
      </c>
      <c r="H554" t="s">
        <v>86</v>
      </c>
      <c r="I554">
        <v>5</v>
      </c>
      <c r="J554">
        <v>621337</v>
      </c>
      <c r="K554">
        <v>7</v>
      </c>
      <c r="L554">
        <v>2889217.05</v>
      </c>
      <c r="M554" t="s">
        <v>54</v>
      </c>
      <c r="N554" t="s">
        <v>43</v>
      </c>
      <c r="O554" t="s">
        <v>44</v>
      </c>
      <c r="P554" t="s">
        <v>55</v>
      </c>
    </row>
    <row r="555" spans="1:16" x14ac:dyDescent="0.25">
      <c r="A555" t="s">
        <v>1088</v>
      </c>
      <c r="B555" t="s">
        <v>1089</v>
      </c>
      <c r="C555" t="s">
        <v>99</v>
      </c>
      <c r="D555" t="s">
        <v>30</v>
      </c>
      <c r="E555" t="s">
        <v>31</v>
      </c>
      <c r="F555" t="s">
        <v>32</v>
      </c>
      <c r="G555" t="s">
        <v>62</v>
      </c>
      <c r="H555" t="s">
        <v>24</v>
      </c>
      <c r="I555">
        <v>5</v>
      </c>
      <c r="J555">
        <v>825129</v>
      </c>
      <c r="K555">
        <v>12</v>
      </c>
      <c r="L555">
        <v>3630567.6</v>
      </c>
      <c r="M555" t="s">
        <v>25</v>
      </c>
      <c r="N555" t="s">
        <v>69</v>
      </c>
      <c r="O555" t="s">
        <v>44</v>
      </c>
      <c r="P555" t="s">
        <v>55</v>
      </c>
    </row>
    <row r="556" spans="1:16" x14ac:dyDescent="0.25">
      <c r="A556" t="s">
        <v>1090</v>
      </c>
      <c r="B556" t="s">
        <v>1091</v>
      </c>
      <c r="C556" t="s">
        <v>91</v>
      </c>
      <c r="D556" t="s">
        <v>20</v>
      </c>
      <c r="E556" t="s">
        <v>21</v>
      </c>
      <c r="F556" t="s">
        <v>22</v>
      </c>
      <c r="G556" t="s">
        <v>33</v>
      </c>
      <c r="H556" t="s">
        <v>34</v>
      </c>
      <c r="I556">
        <v>4</v>
      </c>
      <c r="J556">
        <v>74815</v>
      </c>
      <c r="K556">
        <v>7</v>
      </c>
      <c r="L556">
        <v>278311.8</v>
      </c>
      <c r="M556" t="s">
        <v>54</v>
      </c>
      <c r="N556" t="s">
        <v>69</v>
      </c>
      <c r="O556" t="s">
        <v>44</v>
      </c>
      <c r="P556" t="s">
        <v>55</v>
      </c>
    </row>
    <row r="557" spans="1:16" x14ac:dyDescent="0.25">
      <c r="A557" t="s">
        <v>1092</v>
      </c>
      <c r="B557" t="s">
        <v>1093</v>
      </c>
      <c r="C557" t="s">
        <v>79</v>
      </c>
      <c r="D557" t="s">
        <v>51</v>
      </c>
      <c r="E557" t="s">
        <v>48</v>
      </c>
      <c r="F557" t="s">
        <v>22</v>
      </c>
      <c r="G557" t="s">
        <v>62</v>
      </c>
      <c r="H557" t="s">
        <v>86</v>
      </c>
      <c r="I557">
        <v>8</v>
      </c>
      <c r="J557">
        <v>521715</v>
      </c>
      <c r="K557">
        <v>12</v>
      </c>
      <c r="L557">
        <v>3672873.6</v>
      </c>
      <c r="M557" t="s">
        <v>42</v>
      </c>
      <c r="N557" t="s">
        <v>69</v>
      </c>
      <c r="O557" t="s">
        <v>27</v>
      </c>
      <c r="P557" t="s">
        <v>55</v>
      </c>
    </row>
    <row r="558" spans="1:16" x14ac:dyDescent="0.25">
      <c r="A558" t="s">
        <v>1094</v>
      </c>
      <c r="B558" t="s">
        <v>1095</v>
      </c>
      <c r="C558" t="s">
        <v>65</v>
      </c>
      <c r="D558" t="s">
        <v>20</v>
      </c>
      <c r="E558" t="s">
        <v>21</v>
      </c>
      <c r="F558" t="s">
        <v>22</v>
      </c>
      <c r="G558" t="s">
        <v>89</v>
      </c>
      <c r="H558" t="s">
        <v>24</v>
      </c>
      <c r="I558">
        <v>3</v>
      </c>
      <c r="J558">
        <v>727124</v>
      </c>
      <c r="K558">
        <v>12</v>
      </c>
      <c r="L558">
        <v>1919607.36</v>
      </c>
      <c r="M558" t="s">
        <v>54</v>
      </c>
      <c r="N558" t="s">
        <v>43</v>
      </c>
      <c r="O558" t="s">
        <v>44</v>
      </c>
      <c r="P558" t="s">
        <v>42</v>
      </c>
    </row>
    <row r="559" spans="1:16" x14ac:dyDescent="0.25">
      <c r="A559" t="s">
        <v>1096</v>
      </c>
      <c r="B559" t="s">
        <v>1097</v>
      </c>
      <c r="C559" t="s">
        <v>76</v>
      </c>
      <c r="D559" t="s">
        <v>20</v>
      </c>
      <c r="E559" t="s">
        <v>21</v>
      </c>
      <c r="F559" t="s">
        <v>22</v>
      </c>
      <c r="G559" t="s">
        <v>62</v>
      </c>
      <c r="H559" t="s">
        <v>53</v>
      </c>
      <c r="I559">
        <v>6</v>
      </c>
      <c r="J559">
        <v>201106</v>
      </c>
      <c r="K559">
        <v>0</v>
      </c>
      <c r="L559">
        <v>1206636</v>
      </c>
      <c r="M559" t="s">
        <v>25</v>
      </c>
      <c r="N559" t="s">
        <v>43</v>
      </c>
      <c r="O559" t="s">
        <v>44</v>
      </c>
      <c r="P559" t="s">
        <v>55</v>
      </c>
    </row>
    <row r="560" spans="1:16" x14ac:dyDescent="0.25">
      <c r="A560" t="s">
        <v>1098</v>
      </c>
      <c r="B560" t="s">
        <v>1099</v>
      </c>
      <c r="C560" t="s">
        <v>76</v>
      </c>
      <c r="D560" t="s">
        <v>47</v>
      </c>
      <c r="E560" t="s">
        <v>48</v>
      </c>
      <c r="F560" t="s">
        <v>22</v>
      </c>
      <c r="G560" t="s">
        <v>135</v>
      </c>
      <c r="H560" t="s">
        <v>24</v>
      </c>
      <c r="I560">
        <v>4</v>
      </c>
      <c r="J560">
        <v>564337</v>
      </c>
      <c r="K560">
        <v>0</v>
      </c>
      <c r="L560">
        <v>2257348</v>
      </c>
      <c r="M560" t="s">
        <v>42</v>
      </c>
      <c r="N560" t="s">
        <v>69</v>
      </c>
      <c r="O560" t="s">
        <v>27</v>
      </c>
      <c r="P560" t="s">
        <v>26</v>
      </c>
    </row>
    <row r="561" spans="1:16" x14ac:dyDescent="0.25">
      <c r="A561" t="s">
        <v>574</v>
      </c>
      <c r="B561" t="s">
        <v>1100</v>
      </c>
      <c r="C561" t="s">
        <v>76</v>
      </c>
      <c r="D561" t="s">
        <v>66</v>
      </c>
      <c r="E561" t="s">
        <v>67</v>
      </c>
      <c r="F561" t="s">
        <v>68</v>
      </c>
      <c r="G561" t="s">
        <v>52</v>
      </c>
      <c r="H561" t="s">
        <v>53</v>
      </c>
      <c r="J561">
        <v>558616</v>
      </c>
      <c r="K561">
        <v>0</v>
      </c>
      <c r="M561" t="s">
        <v>25</v>
      </c>
      <c r="N561" t="s">
        <v>69</v>
      </c>
      <c r="O561" t="s">
        <v>27</v>
      </c>
      <c r="P561" t="s">
        <v>26</v>
      </c>
    </row>
    <row r="562" spans="1:16" x14ac:dyDescent="0.25">
      <c r="A562" t="s">
        <v>1101</v>
      </c>
      <c r="B562" t="s">
        <v>1102</v>
      </c>
      <c r="C562" t="s">
        <v>19</v>
      </c>
      <c r="D562" t="s">
        <v>154</v>
      </c>
      <c r="E562" t="s">
        <v>67</v>
      </c>
      <c r="F562" t="s">
        <v>68</v>
      </c>
      <c r="G562" t="s">
        <v>73</v>
      </c>
      <c r="H562" t="s">
        <v>53</v>
      </c>
      <c r="I562">
        <v>2</v>
      </c>
      <c r="J562">
        <v>107307</v>
      </c>
      <c r="K562">
        <v>10</v>
      </c>
      <c r="L562">
        <v>193152.6</v>
      </c>
      <c r="M562" t="s">
        <v>54</v>
      </c>
      <c r="N562" t="s">
        <v>26</v>
      </c>
      <c r="O562" t="s">
        <v>44</v>
      </c>
      <c r="P562" t="s">
        <v>42</v>
      </c>
    </row>
    <row r="563" spans="1:16" x14ac:dyDescent="0.25">
      <c r="A563" t="s">
        <v>1103</v>
      </c>
      <c r="B563" t="s">
        <v>1104</v>
      </c>
      <c r="C563" t="s">
        <v>37</v>
      </c>
      <c r="D563" t="s">
        <v>47</v>
      </c>
      <c r="E563" t="s">
        <v>48</v>
      </c>
      <c r="F563" t="s">
        <v>22</v>
      </c>
      <c r="G563" t="s">
        <v>73</v>
      </c>
      <c r="H563" t="s">
        <v>53</v>
      </c>
      <c r="I563">
        <v>1</v>
      </c>
      <c r="J563">
        <v>800724</v>
      </c>
      <c r="K563">
        <v>5</v>
      </c>
      <c r="L563">
        <v>760687.79999999993</v>
      </c>
      <c r="M563" t="s">
        <v>25</v>
      </c>
      <c r="N563" t="s">
        <v>26</v>
      </c>
      <c r="O563" t="s">
        <v>44</v>
      </c>
      <c r="P563" t="s">
        <v>55</v>
      </c>
    </row>
    <row r="564" spans="1:16" x14ac:dyDescent="0.25">
      <c r="A564" t="s">
        <v>1105</v>
      </c>
      <c r="B564" t="s">
        <v>1106</v>
      </c>
      <c r="C564" t="s">
        <v>76</v>
      </c>
      <c r="D564" t="s">
        <v>47</v>
      </c>
      <c r="E564" t="s">
        <v>48</v>
      </c>
      <c r="F564" t="s">
        <v>22</v>
      </c>
      <c r="G564" t="s">
        <v>52</v>
      </c>
      <c r="H564" t="s">
        <v>24</v>
      </c>
      <c r="I564">
        <v>8</v>
      </c>
      <c r="J564">
        <v>63832</v>
      </c>
      <c r="K564">
        <v>7</v>
      </c>
      <c r="L564">
        <v>474910.08</v>
      </c>
      <c r="M564" t="s">
        <v>54</v>
      </c>
      <c r="N564" t="s">
        <v>43</v>
      </c>
      <c r="O564" t="s">
        <v>44</v>
      </c>
      <c r="P564" t="s">
        <v>42</v>
      </c>
    </row>
    <row r="565" spans="1:16" x14ac:dyDescent="0.25">
      <c r="A565" t="s">
        <v>1107</v>
      </c>
      <c r="B565" t="s">
        <v>1108</v>
      </c>
      <c r="C565" t="s">
        <v>65</v>
      </c>
      <c r="D565" t="s">
        <v>119</v>
      </c>
      <c r="E565" t="s">
        <v>189</v>
      </c>
      <c r="F565" t="s">
        <v>22</v>
      </c>
      <c r="G565" t="s">
        <v>62</v>
      </c>
      <c r="H565" t="s">
        <v>24</v>
      </c>
      <c r="I565">
        <v>6</v>
      </c>
      <c r="J565">
        <v>853205</v>
      </c>
      <c r="K565">
        <v>10</v>
      </c>
      <c r="L565">
        <v>4607307</v>
      </c>
      <c r="M565" t="s">
        <v>42</v>
      </c>
      <c r="N565" t="s">
        <v>69</v>
      </c>
      <c r="O565" t="s">
        <v>27</v>
      </c>
      <c r="P565" t="s">
        <v>42</v>
      </c>
    </row>
    <row r="566" spans="1:16" x14ac:dyDescent="0.25">
      <c r="A566" t="s">
        <v>1109</v>
      </c>
      <c r="B566" t="s">
        <v>1110</v>
      </c>
      <c r="C566" t="s">
        <v>76</v>
      </c>
      <c r="D566" t="s">
        <v>38</v>
      </c>
      <c r="E566" t="s">
        <v>39</v>
      </c>
      <c r="F566" t="s">
        <v>40</v>
      </c>
      <c r="G566" t="s">
        <v>52</v>
      </c>
      <c r="H566" t="s">
        <v>24</v>
      </c>
      <c r="I566">
        <v>4</v>
      </c>
      <c r="J566">
        <v>337690</v>
      </c>
      <c r="K566">
        <v>5</v>
      </c>
      <c r="L566">
        <v>1295567</v>
      </c>
      <c r="M566" t="s">
        <v>54</v>
      </c>
      <c r="N566" t="s">
        <v>43</v>
      </c>
      <c r="O566" t="s">
        <v>44</v>
      </c>
      <c r="P566" t="s">
        <v>26</v>
      </c>
    </row>
    <row r="567" spans="1:16" x14ac:dyDescent="0.25">
      <c r="A567" t="s">
        <v>1111</v>
      </c>
      <c r="B567" t="s">
        <v>708</v>
      </c>
      <c r="C567" t="s">
        <v>76</v>
      </c>
      <c r="D567" t="s">
        <v>66</v>
      </c>
      <c r="E567" t="s">
        <v>201</v>
      </c>
      <c r="F567" t="s">
        <v>68</v>
      </c>
      <c r="G567" t="s">
        <v>33</v>
      </c>
      <c r="H567" t="s">
        <v>34</v>
      </c>
      <c r="I567">
        <v>7</v>
      </c>
      <c r="J567">
        <v>455620</v>
      </c>
      <c r="K567">
        <v>7</v>
      </c>
      <c r="L567">
        <v>2966086.2</v>
      </c>
      <c r="M567" t="s">
        <v>54</v>
      </c>
      <c r="N567" t="s">
        <v>26</v>
      </c>
      <c r="O567" t="s">
        <v>27</v>
      </c>
      <c r="P567" t="s">
        <v>42</v>
      </c>
    </row>
    <row r="568" spans="1:16" x14ac:dyDescent="0.25">
      <c r="A568" t="s">
        <v>1112</v>
      </c>
      <c r="B568" t="s">
        <v>1113</v>
      </c>
      <c r="C568" t="s">
        <v>76</v>
      </c>
      <c r="D568" t="s">
        <v>66</v>
      </c>
      <c r="E568" t="s">
        <v>67</v>
      </c>
      <c r="F568" t="s">
        <v>68</v>
      </c>
      <c r="G568" t="s">
        <v>41</v>
      </c>
      <c r="H568" t="s">
        <v>34</v>
      </c>
      <c r="I568">
        <v>7</v>
      </c>
      <c r="J568">
        <v>739171</v>
      </c>
      <c r="K568">
        <v>0</v>
      </c>
      <c r="L568">
        <v>5174197</v>
      </c>
      <c r="M568" t="s">
        <v>54</v>
      </c>
      <c r="N568" t="s">
        <v>69</v>
      </c>
      <c r="O568" t="s">
        <v>44</v>
      </c>
      <c r="P568" t="s">
        <v>42</v>
      </c>
    </row>
    <row r="569" spans="1:16" x14ac:dyDescent="0.25">
      <c r="A569" t="s">
        <v>1114</v>
      </c>
      <c r="B569" t="s">
        <v>1115</v>
      </c>
      <c r="C569" t="s">
        <v>65</v>
      </c>
      <c r="D569" t="s">
        <v>30</v>
      </c>
      <c r="E569" t="s">
        <v>31</v>
      </c>
      <c r="F569" t="s">
        <v>32</v>
      </c>
      <c r="G569" t="s">
        <v>41</v>
      </c>
      <c r="H569" t="s">
        <v>58</v>
      </c>
      <c r="I569">
        <v>3</v>
      </c>
      <c r="J569">
        <v>885586</v>
      </c>
      <c r="K569">
        <v>2</v>
      </c>
      <c r="L569">
        <v>2603622.84</v>
      </c>
      <c r="M569" t="s">
        <v>25</v>
      </c>
      <c r="N569" t="s">
        <v>26</v>
      </c>
      <c r="O569" t="s">
        <v>44</v>
      </c>
      <c r="P569" t="s">
        <v>26</v>
      </c>
    </row>
    <row r="570" spans="1:16" x14ac:dyDescent="0.25">
      <c r="A570" t="s">
        <v>1116</v>
      </c>
      <c r="B570" t="s">
        <v>1117</v>
      </c>
      <c r="C570" t="s">
        <v>76</v>
      </c>
      <c r="D570" t="s">
        <v>38</v>
      </c>
      <c r="E570" t="s">
        <v>39</v>
      </c>
      <c r="F570" t="s">
        <v>40</v>
      </c>
      <c r="G570" t="s">
        <v>41</v>
      </c>
      <c r="H570" t="s">
        <v>34</v>
      </c>
      <c r="I570">
        <v>7</v>
      </c>
      <c r="J570">
        <v>336646</v>
      </c>
      <c r="K570">
        <v>10</v>
      </c>
      <c r="L570">
        <v>2120869.7999999998</v>
      </c>
      <c r="M570" t="s">
        <v>42</v>
      </c>
      <c r="N570" t="s">
        <v>43</v>
      </c>
      <c r="O570" t="s">
        <v>44</v>
      </c>
      <c r="P570" t="s">
        <v>26</v>
      </c>
    </row>
    <row r="571" spans="1:16" x14ac:dyDescent="0.25">
      <c r="A571" t="s">
        <v>1118</v>
      </c>
      <c r="B571" t="s">
        <v>1119</v>
      </c>
      <c r="C571" t="s">
        <v>85</v>
      </c>
      <c r="D571" t="s">
        <v>30</v>
      </c>
      <c r="E571" t="s">
        <v>31</v>
      </c>
      <c r="F571" t="s">
        <v>32</v>
      </c>
      <c r="G571" t="s">
        <v>73</v>
      </c>
      <c r="H571" t="s">
        <v>53</v>
      </c>
      <c r="I571">
        <v>6</v>
      </c>
      <c r="J571">
        <v>318456</v>
      </c>
      <c r="K571">
        <v>12</v>
      </c>
      <c r="L571">
        <v>1681447.68</v>
      </c>
      <c r="M571" t="s">
        <v>54</v>
      </c>
      <c r="N571" t="s">
        <v>69</v>
      </c>
      <c r="O571" t="s">
        <v>27</v>
      </c>
      <c r="P571" t="s">
        <v>55</v>
      </c>
    </row>
    <row r="572" spans="1:16" x14ac:dyDescent="0.25">
      <c r="A572" t="s">
        <v>1120</v>
      </c>
      <c r="B572" t="s">
        <v>1121</v>
      </c>
      <c r="C572" t="s">
        <v>37</v>
      </c>
      <c r="D572" t="s">
        <v>66</v>
      </c>
      <c r="E572" t="s">
        <v>67</v>
      </c>
      <c r="F572" t="s">
        <v>68</v>
      </c>
      <c r="G572" t="s">
        <v>94</v>
      </c>
      <c r="H572" t="s">
        <v>86</v>
      </c>
      <c r="I572">
        <v>6</v>
      </c>
      <c r="J572">
        <v>300400</v>
      </c>
      <c r="K572">
        <v>5</v>
      </c>
      <c r="L572">
        <v>1712280</v>
      </c>
      <c r="M572" t="s">
        <v>42</v>
      </c>
      <c r="N572" t="s">
        <v>26</v>
      </c>
      <c r="O572" t="s">
        <v>44</v>
      </c>
      <c r="P572" t="s">
        <v>42</v>
      </c>
    </row>
    <row r="573" spans="1:16" x14ac:dyDescent="0.25">
      <c r="A573" t="s">
        <v>1122</v>
      </c>
      <c r="B573" t="s">
        <v>1123</v>
      </c>
      <c r="C573" t="s">
        <v>19</v>
      </c>
      <c r="D573" t="s">
        <v>51</v>
      </c>
      <c r="E573" t="s">
        <v>48</v>
      </c>
      <c r="F573" t="s">
        <v>22</v>
      </c>
      <c r="G573" t="s">
        <v>62</v>
      </c>
      <c r="H573" t="s">
        <v>58</v>
      </c>
      <c r="I573">
        <v>6</v>
      </c>
      <c r="J573">
        <v>91530</v>
      </c>
      <c r="K573">
        <v>7</v>
      </c>
      <c r="L573">
        <v>510737.4</v>
      </c>
      <c r="M573" t="s">
        <v>25</v>
      </c>
      <c r="N573" t="s">
        <v>26</v>
      </c>
      <c r="O573" t="s">
        <v>27</v>
      </c>
      <c r="P573" t="s">
        <v>26</v>
      </c>
    </row>
    <row r="574" spans="1:16" x14ac:dyDescent="0.25">
      <c r="A574" t="s">
        <v>1124</v>
      </c>
      <c r="B574" t="s">
        <v>1125</v>
      </c>
      <c r="C574" t="s">
        <v>37</v>
      </c>
      <c r="D574" t="s">
        <v>30</v>
      </c>
      <c r="E574" t="s">
        <v>31</v>
      </c>
      <c r="F574" t="s">
        <v>32</v>
      </c>
      <c r="G574" t="s">
        <v>124</v>
      </c>
      <c r="H574" t="s">
        <v>86</v>
      </c>
      <c r="I574">
        <v>4</v>
      </c>
      <c r="J574">
        <v>327255</v>
      </c>
      <c r="K574">
        <v>10</v>
      </c>
      <c r="L574">
        <v>1178118</v>
      </c>
      <c r="M574" t="s">
        <v>25</v>
      </c>
      <c r="N574" t="s">
        <v>43</v>
      </c>
      <c r="O574" t="s">
        <v>27</v>
      </c>
      <c r="P574" t="s">
        <v>42</v>
      </c>
    </row>
    <row r="575" spans="1:16" x14ac:dyDescent="0.25">
      <c r="A575" t="s">
        <v>1126</v>
      </c>
      <c r="B575" t="s">
        <v>1127</v>
      </c>
      <c r="C575" t="s">
        <v>19</v>
      </c>
      <c r="D575" t="s">
        <v>30</v>
      </c>
      <c r="E575" t="s">
        <v>31</v>
      </c>
      <c r="F575" t="s">
        <v>32</v>
      </c>
      <c r="G575" t="s">
        <v>124</v>
      </c>
      <c r="H575" t="s">
        <v>53</v>
      </c>
      <c r="I575">
        <v>7</v>
      </c>
      <c r="J575">
        <v>461932</v>
      </c>
      <c r="K575">
        <v>7</v>
      </c>
      <c r="L575">
        <v>3019522.32</v>
      </c>
      <c r="M575" t="s">
        <v>25</v>
      </c>
      <c r="N575" t="s">
        <v>69</v>
      </c>
      <c r="O575" t="s">
        <v>27</v>
      </c>
      <c r="P575" t="s">
        <v>26</v>
      </c>
    </row>
    <row r="576" spans="1:16" x14ac:dyDescent="0.25">
      <c r="A576" t="s">
        <v>1128</v>
      </c>
      <c r="B576" t="s">
        <v>1129</v>
      </c>
      <c r="C576" t="s">
        <v>65</v>
      </c>
      <c r="D576" t="s">
        <v>47</v>
      </c>
      <c r="E576" t="s">
        <v>48</v>
      </c>
      <c r="F576" t="s">
        <v>22</v>
      </c>
      <c r="G576" t="s">
        <v>33</v>
      </c>
      <c r="H576" t="s">
        <v>86</v>
      </c>
      <c r="I576">
        <v>4</v>
      </c>
      <c r="J576">
        <v>704092</v>
      </c>
      <c r="K576">
        <v>7</v>
      </c>
      <c r="L576">
        <v>2619222.2400000002</v>
      </c>
      <c r="M576" t="s">
        <v>54</v>
      </c>
      <c r="N576" t="s">
        <v>43</v>
      </c>
      <c r="O576" t="s">
        <v>44</v>
      </c>
      <c r="P576" t="s">
        <v>26</v>
      </c>
    </row>
    <row r="577" spans="1:16" x14ac:dyDescent="0.25">
      <c r="A577" t="s">
        <v>1130</v>
      </c>
      <c r="B577" t="s">
        <v>1131</v>
      </c>
      <c r="C577" t="s">
        <v>37</v>
      </c>
      <c r="D577" t="s">
        <v>38</v>
      </c>
      <c r="E577" t="s">
        <v>39</v>
      </c>
      <c r="F577" t="s">
        <v>40</v>
      </c>
      <c r="G577" t="s">
        <v>73</v>
      </c>
      <c r="H577" t="s">
        <v>53</v>
      </c>
      <c r="I577">
        <v>2</v>
      </c>
      <c r="J577">
        <v>336625</v>
      </c>
      <c r="K577">
        <v>2</v>
      </c>
      <c r="L577">
        <v>659785</v>
      </c>
      <c r="M577" t="s">
        <v>42</v>
      </c>
      <c r="N577" t="s">
        <v>26</v>
      </c>
      <c r="O577" t="s">
        <v>27</v>
      </c>
      <c r="P577" t="s">
        <v>55</v>
      </c>
    </row>
    <row r="578" spans="1:16" x14ac:dyDescent="0.25">
      <c r="A578" t="s">
        <v>1132</v>
      </c>
      <c r="B578" t="s">
        <v>1133</v>
      </c>
      <c r="C578" t="s">
        <v>65</v>
      </c>
      <c r="D578" t="s">
        <v>20</v>
      </c>
      <c r="E578" t="s">
        <v>21</v>
      </c>
      <c r="F578" t="s">
        <v>22</v>
      </c>
      <c r="G578" t="s">
        <v>52</v>
      </c>
      <c r="H578" t="s">
        <v>53</v>
      </c>
      <c r="I578">
        <v>6</v>
      </c>
      <c r="J578">
        <v>758500</v>
      </c>
      <c r="K578">
        <v>12</v>
      </c>
      <c r="L578">
        <v>4004880</v>
      </c>
      <c r="M578" t="s">
        <v>25</v>
      </c>
      <c r="N578" t="s">
        <v>43</v>
      </c>
      <c r="O578" t="s">
        <v>27</v>
      </c>
      <c r="P578" t="s">
        <v>55</v>
      </c>
    </row>
    <row r="579" spans="1:16" x14ac:dyDescent="0.25">
      <c r="A579" t="s">
        <v>1134</v>
      </c>
      <c r="B579" t="s">
        <v>1135</v>
      </c>
      <c r="C579" t="s">
        <v>79</v>
      </c>
      <c r="D579" t="s">
        <v>38</v>
      </c>
      <c r="E579" t="s">
        <v>39</v>
      </c>
      <c r="F579" t="s">
        <v>40</v>
      </c>
      <c r="G579" t="s">
        <v>62</v>
      </c>
      <c r="H579" t="s">
        <v>53</v>
      </c>
      <c r="I579">
        <v>2</v>
      </c>
      <c r="J579">
        <v>670889</v>
      </c>
      <c r="K579">
        <v>0</v>
      </c>
      <c r="L579">
        <v>1341778</v>
      </c>
      <c r="M579" t="s">
        <v>42</v>
      </c>
      <c r="N579" t="s">
        <v>43</v>
      </c>
      <c r="O579" t="s">
        <v>44</v>
      </c>
      <c r="P579" t="s">
        <v>26</v>
      </c>
    </row>
    <row r="580" spans="1:16" x14ac:dyDescent="0.25">
      <c r="A580" t="s">
        <v>1136</v>
      </c>
      <c r="B580" t="s">
        <v>1137</v>
      </c>
      <c r="C580" t="s">
        <v>65</v>
      </c>
      <c r="D580" t="s">
        <v>20</v>
      </c>
      <c r="E580" t="s">
        <v>21</v>
      </c>
      <c r="F580" t="s">
        <v>22</v>
      </c>
      <c r="G580" t="s">
        <v>73</v>
      </c>
      <c r="H580" t="s">
        <v>34</v>
      </c>
      <c r="I580">
        <v>8</v>
      </c>
      <c r="J580">
        <v>802676</v>
      </c>
      <c r="K580">
        <v>12</v>
      </c>
      <c r="L580">
        <v>5650839.04</v>
      </c>
      <c r="M580" t="s">
        <v>42</v>
      </c>
      <c r="N580" t="s">
        <v>43</v>
      </c>
      <c r="O580" t="s">
        <v>44</v>
      </c>
      <c r="P580" t="s">
        <v>26</v>
      </c>
    </row>
    <row r="581" spans="1:16" x14ac:dyDescent="0.25">
      <c r="A581" t="s">
        <v>1138</v>
      </c>
      <c r="B581" t="s">
        <v>1139</v>
      </c>
      <c r="C581" t="s">
        <v>85</v>
      </c>
      <c r="D581" t="s">
        <v>66</v>
      </c>
      <c r="E581" t="s">
        <v>67</v>
      </c>
      <c r="F581" t="s">
        <v>68</v>
      </c>
      <c r="G581" t="s">
        <v>73</v>
      </c>
      <c r="H581" t="s">
        <v>24</v>
      </c>
      <c r="I581">
        <v>4</v>
      </c>
      <c r="J581">
        <v>879961</v>
      </c>
      <c r="K581">
        <v>5</v>
      </c>
      <c r="L581">
        <v>3343851.8</v>
      </c>
      <c r="M581" t="s">
        <v>25</v>
      </c>
      <c r="N581" t="s">
        <v>43</v>
      </c>
      <c r="O581" t="s">
        <v>44</v>
      </c>
      <c r="P581" t="s">
        <v>26</v>
      </c>
    </row>
    <row r="582" spans="1:16" x14ac:dyDescent="0.25">
      <c r="A582" t="s">
        <v>1140</v>
      </c>
      <c r="B582" t="s">
        <v>1141</v>
      </c>
      <c r="C582" t="s">
        <v>37</v>
      </c>
      <c r="D582" t="s">
        <v>20</v>
      </c>
      <c r="E582" t="s">
        <v>189</v>
      </c>
      <c r="F582" t="s">
        <v>22</v>
      </c>
      <c r="G582" t="s">
        <v>41</v>
      </c>
      <c r="H582" t="s">
        <v>24</v>
      </c>
      <c r="I582">
        <v>3</v>
      </c>
      <c r="J582">
        <v>101402</v>
      </c>
      <c r="K582">
        <v>12</v>
      </c>
      <c r="L582">
        <v>267701.28000000003</v>
      </c>
      <c r="M582" t="s">
        <v>54</v>
      </c>
      <c r="N582" t="s">
        <v>26</v>
      </c>
      <c r="O582" t="s">
        <v>44</v>
      </c>
      <c r="P582" t="s">
        <v>26</v>
      </c>
    </row>
    <row r="583" spans="1:16" x14ac:dyDescent="0.25">
      <c r="A583" t="s">
        <v>1142</v>
      </c>
      <c r="B583" t="s">
        <v>1143</v>
      </c>
      <c r="C583" t="s">
        <v>37</v>
      </c>
      <c r="D583" t="s">
        <v>47</v>
      </c>
      <c r="E583" t="s">
        <v>48</v>
      </c>
      <c r="F583" t="s">
        <v>22</v>
      </c>
      <c r="G583" t="s">
        <v>33</v>
      </c>
      <c r="H583" t="s">
        <v>53</v>
      </c>
      <c r="I583">
        <v>3</v>
      </c>
      <c r="J583">
        <v>79569</v>
      </c>
      <c r="K583">
        <v>2</v>
      </c>
      <c r="L583">
        <v>233932.86</v>
      </c>
      <c r="M583" t="s">
        <v>54</v>
      </c>
      <c r="N583" t="s">
        <v>26</v>
      </c>
      <c r="O583" t="s">
        <v>27</v>
      </c>
      <c r="P583" t="s">
        <v>26</v>
      </c>
    </row>
    <row r="584" spans="1:16" x14ac:dyDescent="0.25">
      <c r="A584" t="s">
        <v>1144</v>
      </c>
      <c r="B584" t="s">
        <v>1145</v>
      </c>
      <c r="C584" t="s">
        <v>76</v>
      </c>
      <c r="D584" t="s">
        <v>47</v>
      </c>
      <c r="E584" t="s">
        <v>48</v>
      </c>
      <c r="F584" t="s">
        <v>22</v>
      </c>
      <c r="G584" t="s">
        <v>73</v>
      </c>
      <c r="H584" t="s">
        <v>34</v>
      </c>
      <c r="I584">
        <v>1</v>
      </c>
      <c r="J584">
        <v>278439</v>
      </c>
      <c r="K584">
        <v>7</v>
      </c>
      <c r="L584">
        <v>258948.27</v>
      </c>
      <c r="M584" t="s">
        <v>25</v>
      </c>
      <c r="N584" t="s">
        <v>69</v>
      </c>
      <c r="O584" t="s">
        <v>44</v>
      </c>
      <c r="P584" t="s">
        <v>55</v>
      </c>
    </row>
    <row r="585" spans="1:16" x14ac:dyDescent="0.25">
      <c r="A585" t="s">
        <v>1146</v>
      </c>
      <c r="B585" t="s">
        <v>1147</v>
      </c>
      <c r="C585" t="s">
        <v>85</v>
      </c>
      <c r="D585" t="s">
        <v>30</v>
      </c>
      <c r="E585" t="s">
        <v>31</v>
      </c>
      <c r="F585" t="s">
        <v>32</v>
      </c>
      <c r="G585" t="s">
        <v>33</v>
      </c>
      <c r="H585" t="s">
        <v>86</v>
      </c>
      <c r="I585">
        <v>7</v>
      </c>
      <c r="J585">
        <v>325158</v>
      </c>
      <c r="K585">
        <v>5</v>
      </c>
      <c r="L585">
        <v>2162300.7000000002</v>
      </c>
      <c r="M585" t="s">
        <v>25</v>
      </c>
      <c r="N585" t="s">
        <v>43</v>
      </c>
      <c r="O585" t="s">
        <v>27</v>
      </c>
      <c r="P585" t="s">
        <v>42</v>
      </c>
    </row>
    <row r="586" spans="1:16" x14ac:dyDescent="0.25">
      <c r="A586" t="s">
        <v>1148</v>
      </c>
      <c r="B586" t="s">
        <v>1149</v>
      </c>
      <c r="C586" t="s">
        <v>65</v>
      </c>
      <c r="D586" t="s">
        <v>66</v>
      </c>
      <c r="E586" t="s">
        <v>67</v>
      </c>
      <c r="F586" t="s">
        <v>68</v>
      </c>
      <c r="G586" t="s">
        <v>62</v>
      </c>
      <c r="H586" t="s">
        <v>86</v>
      </c>
      <c r="I586">
        <v>7</v>
      </c>
      <c r="J586">
        <v>848157</v>
      </c>
      <c r="K586">
        <v>12</v>
      </c>
      <c r="L586">
        <v>5224647.12</v>
      </c>
      <c r="M586" t="s">
        <v>42</v>
      </c>
      <c r="N586" t="s">
        <v>43</v>
      </c>
      <c r="O586" t="s">
        <v>27</v>
      </c>
      <c r="P586" t="s">
        <v>42</v>
      </c>
    </row>
    <row r="587" spans="1:16" x14ac:dyDescent="0.25">
      <c r="A587" t="s">
        <v>1150</v>
      </c>
      <c r="B587" t="s">
        <v>1143</v>
      </c>
      <c r="C587" t="s">
        <v>19</v>
      </c>
      <c r="D587" t="s">
        <v>20</v>
      </c>
      <c r="E587" t="s">
        <v>21</v>
      </c>
      <c r="F587" t="s">
        <v>22</v>
      </c>
      <c r="G587" t="s">
        <v>52</v>
      </c>
      <c r="H587" t="s">
        <v>86</v>
      </c>
      <c r="I587">
        <v>6</v>
      </c>
      <c r="J587">
        <v>136309</v>
      </c>
      <c r="K587">
        <v>5</v>
      </c>
      <c r="L587">
        <v>776961.29999999993</v>
      </c>
      <c r="M587" t="s">
        <v>25</v>
      </c>
      <c r="N587" t="s">
        <v>43</v>
      </c>
      <c r="O587" t="s">
        <v>44</v>
      </c>
      <c r="P587" t="s">
        <v>55</v>
      </c>
    </row>
    <row r="588" spans="1:16" x14ac:dyDescent="0.25">
      <c r="A588" t="s">
        <v>1151</v>
      </c>
      <c r="B588" t="s">
        <v>1152</v>
      </c>
      <c r="C588" t="s">
        <v>85</v>
      </c>
      <c r="D588" t="s">
        <v>154</v>
      </c>
      <c r="E588" t="s">
        <v>67</v>
      </c>
      <c r="F588" t="s">
        <v>68</v>
      </c>
      <c r="G588" t="s">
        <v>73</v>
      </c>
      <c r="H588" t="s">
        <v>34</v>
      </c>
      <c r="I588">
        <v>5</v>
      </c>
      <c r="J588">
        <v>585668</v>
      </c>
      <c r="K588">
        <v>2</v>
      </c>
      <c r="L588">
        <v>2869773.2</v>
      </c>
      <c r="M588" t="s">
        <v>54</v>
      </c>
      <c r="N588" t="s">
        <v>69</v>
      </c>
      <c r="O588" t="s">
        <v>44</v>
      </c>
      <c r="P588" t="s">
        <v>26</v>
      </c>
    </row>
    <row r="589" spans="1:16" x14ac:dyDescent="0.25">
      <c r="A589" t="s">
        <v>1153</v>
      </c>
      <c r="B589" t="s">
        <v>1154</v>
      </c>
      <c r="C589" t="s">
        <v>37</v>
      </c>
      <c r="D589" t="s">
        <v>66</v>
      </c>
      <c r="E589" t="s">
        <v>67</v>
      </c>
      <c r="F589" t="s">
        <v>68</v>
      </c>
      <c r="G589" t="s">
        <v>124</v>
      </c>
      <c r="H589" t="s">
        <v>24</v>
      </c>
      <c r="I589">
        <v>7</v>
      </c>
      <c r="J589">
        <v>392575</v>
      </c>
      <c r="K589">
        <v>5</v>
      </c>
      <c r="L589">
        <v>2610623.75</v>
      </c>
      <c r="M589" t="s">
        <v>25</v>
      </c>
      <c r="N589" t="s">
        <v>26</v>
      </c>
      <c r="O589" t="s">
        <v>27</v>
      </c>
      <c r="P589" t="s">
        <v>55</v>
      </c>
    </row>
    <row r="590" spans="1:16" x14ac:dyDescent="0.25">
      <c r="A590" t="s">
        <v>1155</v>
      </c>
      <c r="B590" t="s">
        <v>1156</v>
      </c>
      <c r="C590" t="s">
        <v>19</v>
      </c>
      <c r="D590" t="s">
        <v>30</v>
      </c>
      <c r="E590" t="s">
        <v>142</v>
      </c>
      <c r="F590" t="s">
        <v>32</v>
      </c>
      <c r="G590" t="s">
        <v>73</v>
      </c>
      <c r="H590" t="s">
        <v>34</v>
      </c>
      <c r="I590">
        <v>1</v>
      </c>
      <c r="J590">
        <v>786564</v>
      </c>
      <c r="K590">
        <v>0</v>
      </c>
      <c r="L590">
        <v>786564</v>
      </c>
      <c r="M590" t="s">
        <v>25</v>
      </c>
      <c r="N590" t="s">
        <v>69</v>
      </c>
      <c r="O590" t="s">
        <v>44</v>
      </c>
      <c r="P590" t="s">
        <v>55</v>
      </c>
    </row>
    <row r="591" spans="1:16" x14ac:dyDescent="0.25">
      <c r="A591" t="s">
        <v>1157</v>
      </c>
      <c r="B591" t="s">
        <v>804</v>
      </c>
      <c r="C591" t="s">
        <v>19</v>
      </c>
      <c r="D591" t="s">
        <v>119</v>
      </c>
      <c r="E591" t="s">
        <v>21</v>
      </c>
      <c r="F591" t="s">
        <v>22</v>
      </c>
      <c r="G591" t="s">
        <v>41</v>
      </c>
      <c r="H591" t="s">
        <v>34</v>
      </c>
      <c r="I591">
        <v>7</v>
      </c>
      <c r="J591">
        <v>487369</v>
      </c>
      <c r="K591">
        <v>10</v>
      </c>
      <c r="L591">
        <v>3070424.7</v>
      </c>
      <c r="M591" t="s">
        <v>25</v>
      </c>
      <c r="N591" t="s">
        <v>26</v>
      </c>
      <c r="O591" t="s">
        <v>27</v>
      </c>
      <c r="P591" t="s">
        <v>55</v>
      </c>
    </row>
    <row r="592" spans="1:16" x14ac:dyDescent="0.25">
      <c r="A592" t="s">
        <v>1158</v>
      </c>
      <c r="B592" t="s">
        <v>1159</v>
      </c>
      <c r="C592" t="s">
        <v>19</v>
      </c>
      <c r="D592" t="s">
        <v>30</v>
      </c>
      <c r="E592" t="s">
        <v>31</v>
      </c>
      <c r="F592" t="s">
        <v>32</v>
      </c>
      <c r="G592" t="s">
        <v>135</v>
      </c>
      <c r="H592" t="s">
        <v>86</v>
      </c>
      <c r="I592">
        <v>1</v>
      </c>
      <c r="J592">
        <v>698197</v>
      </c>
      <c r="K592">
        <v>2</v>
      </c>
      <c r="L592">
        <v>684233.05999999994</v>
      </c>
      <c r="M592" t="s">
        <v>54</v>
      </c>
      <c r="N592" t="s">
        <v>69</v>
      </c>
      <c r="O592" t="s">
        <v>44</v>
      </c>
      <c r="P592" t="s">
        <v>26</v>
      </c>
    </row>
    <row r="593" spans="1:16" x14ac:dyDescent="0.25">
      <c r="A593" t="s">
        <v>1160</v>
      </c>
      <c r="B593" t="s">
        <v>151</v>
      </c>
      <c r="C593" t="s">
        <v>91</v>
      </c>
      <c r="D593" t="s">
        <v>47</v>
      </c>
      <c r="E593" t="s">
        <v>48</v>
      </c>
      <c r="F593" t="s">
        <v>22</v>
      </c>
      <c r="G593" t="s">
        <v>135</v>
      </c>
      <c r="H593" t="s">
        <v>86</v>
      </c>
      <c r="I593">
        <v>4</v>
      </c>
      <c r="J593">
        <v>768147</v>
      </c>
      <c r="K593">
        <v>10</v>
      </c>
      <c r="L593">
        <v>2765329.2</v>
      </c>
      <c r="M593" t="s">
        <v>25</v>
      </c>
      <c r="N593" t="s">
        <v>69</v>
      </c>
      <c r="O593" t="s">
        <v>44</v>
      </c>
      <c r="P593" t="s">
        <v>55</v>
      </c>
    </row>
    <row r="594" spans="1:16" x14ac:dyDescent="0.25">
      <c r="A594" t="s">
        <v>1161</v>
      </c>
      <c r="B594" t="s">
        <v>360</v>
      </c>
      <c r="C594" t="s">
        <v>19</v>
      </c>
      <c r="D594" t="s">
        <v>66</v>
      </c>
      <c r="E594" t="s">
        <v>67</v>
      </c>
      <c r="F594" t="s">
        <v>68</v>
      </c>
      <c r="G594" t="s">
        <v>33</v>
      </c>
      <c r="H594" t="s">
        <v>58</v>
      </c>
      <c r="I594">
        <v>6</v>
      </c>
      <c r="J594">
        <v>476582</v>
      </c>
      <c r="K594">
        <v>12</v>
      </c>
      <c r="L594">
        <v>2516352.96</v>
      </c>
      <c r="M594" t="s">
        <v>42</v>
      </c>
      <c r="N594" t="s">
        <v>69</v>
      </c>
      <c r="O594" t="s">
        <v>27</v>
      </c>
      <c r="P594" t="s">
        <v>55</v>
      </c>
    </row>
    <row r="595" spans="1:16" x14ac:dyDescent="0.25">
      <c r="A595" t="s">
        <v>1162</v>
      </c>
      <c r="B595" t="s">
        <v>280</v>
      </c>
      <c r="C595" t="s">
        <v>76</v>
      </c>
      <c r="D595" t="s">
        <v>129</v>
      </c>
      <c r="E595" t="s">
        <v>39</v>
      </c>
      <c r="F595" t="s">
        <v>40</v>
      </c>
      <c r="G595" t="s">
        <v>62</v>
      </c>
      <c r="H595" t="s">
        <v>58</v>
      </c>
      <c r="I595">
        <v>2</v>
      </c>
      <c r="J595">
        <v>530301</v>
      </c>
      <c r="K595">
        <v>2</v>
      </c>
      <c r="L595">
        <v>1039389.96</v>
      </c>
      <c r="M595" t="s">
        <v>54</v>
      </c>
      <c r="N595" t="s">
        <v>69</v>
      </c>
      <c r="O595" t="s">
        <v>44</v>
      </c>
      <c r="P595" t="s">
        <v>26</v>
      </c>
    </row>
    <row r="596" spans="1:16" x14ac:dyDescent="0.25">
      <c r="A596" t="s">
        <v>1163</v>
      </c>
      <c r="B596" t="s">
        <v>1164</v>
      </c>
      <c r="C596" t="s">
        <v>85</v>
      </c>
      <c r="D596" t="s">
        <v>47</v>
      </c>
      <c r="E596" t="s">
        <v>72</v>
      </c>
      <c r="F596" t="s">
        <v>22</v>
      </c>
      <c r="G596" t="s">
        <v>52</v>
      </c>
      <c r="H596" t="s">
        <v>34</v>
      </c>
      <c r="I596">
        <v>8</v>
      </c>
      <c r="J596">
        <v>126662</v>
      </c>
      <c r="K596">
        <v>0</v>
      </c>
      <c r="L596">
        <v>1013296</v>
      </c>
      <c r="M596" t="s">
        <v>42</v>
      </c>
      <c r="N596" t="s">
        <v>69</v>
      </c>
      <c r="O596" t="s">
        <v>27</v>
      </c>
      <c r="P596" t="s">
        <v>42</v>
      </c>
    </row>
    <row r="597" spans="1:16" x14ac:dyDescent="0.25">
      <c r="A597" t="s">
        <v>1165</v>
      </c>
      <c r="B597" t="s">
        <v>1166</v>
      </c>
      <c r="C597" t="s">
        <v>37</v>
      </c>
      <c r="D597" t="s">
        <v>66</v>
      </c>
      <c r="E597" t="s">
        <v>67</v>
      </c>
      <c r="F597" t="s">
        <v>68</v>
      </c>
      <c r="G597" t="s">
        <v>23</v>
      </c>
      <c r="H597" t="s">
        <v>34</v>
      </c>
      <c r="I597">
        <v>5</v>
      </c>
      <c r="J597">
        <v>354894</v>
      </c>
      <c r="K597">
        <v>2</v>
      </c>
      <c r="L597">
        <v>1738980.6</v>
      </c>
      <c r="M597" t="s">
        <v>54</v>
      </c>
      <c r="N597" t="s">
        <v>69</v>
      </c>
      <c r="O597" t="s">
        <v>27</v>
      </c>
      <c r="P597" t="s">
        <v>42</v>
      </c>
    </row>
    <row r="598" spans="1:16" x14ac:dyDescent="0.25">
      <c r="A598" t="s">
        <v>1167</v>
      </c>
      <c r="B598" t="s">
        <v>1168</v>
      </c>
      <c r="C598" t="s">
        <v>37</v>
      </c>
      <c r="D598" t="s">
        <v>47</v>
      </c>
      <c r="E598" t="s">
        <v>48</v>
      </c>
      <c r="F598" t="s">
        <v>22</v>
      </c>
      <c r="G598" t="s">
        <v>73</v>
      </c>
      <c r="H598" t="s">
        <v>24</v>
      </c>
      <c r="I598">
        <v>4</v>
      </c>
      <c r="J598">
        <v>712726</v>
      </c>
      <c r="K598">
        <v>2</v>
      </c>
      <c r="L598">
        <v>2793885.92</v>
      </c>
      <c r="M598" t="s">
        <v>54</v>
      </c>
      <c r="N598" t="s">
        <v>69</v>
      </c>
      <c r="O598" t="s">
        <v>44</v>
      </c>
      <c r="P598" t="s">
        <v>55</v>
      </c>
    </row>
    <row r="599" spans="1:16" x14ac:dyDescent="0.25">
      <c r="A599" t="s">
        <v>1169</v>
      </c>
      <c r="B599" t="s">
        <v>1170</v>
      </c>
      <c r="C599" t="s">
        <v>19</v>
      </c>
      <c r="D599" t="s">
        <v>129</v>
      </c>
      <c r="E599" t="s">
        <v>39</v>
      </c>
      <c r="F599" t="s">
        <v>40</v>
      </c>
      <c r="G599" t="s">
        <v>52</v>
      </c>
      <c r="H599" t="s">
        <v>86</v>
      </c>
      <c r="I599">
        <v>2</v>
      </c>
      <c r="J599">
        <v>246600</v>
      </c>
      <c r="K599">
        <v>10</v>
      </c>
      <c r="L599">
        <v>443880</v>
      </c>
      <c r="M599" t="s">
        <v>54</v>
      </c>
      <c r="N599" t="s">
        <v>43</v>
      </c>
      <c r="O599" t="s">
        <v>27</v>
      </c>
      <c r="P599" t="s">
        <v>26</v>
      </c>
    </row>
    <row r="600" spans="1:16" x14ac:dyDescent="0.25">
      <c r="A600" t="s">
        <v>1171</v>
      </c>
      <c r="B600" t="s">
        <v>258</v>
      </c>
      <c r="C600" t="s">
        <v>99</v>
      </c>
      <c r="D600" t="s">
        <v>47</v>
      </c>
      <c r="E600" t="s">
        <v>48</v>
      </c>
      <c r="F600" t="s">
        <v>22</v>
      </c>
      <c r="G600" t="s">
        <v>41</v>
      </c>
      <c r="H600" t="s">
        <v>53</v>
      </c>
      <c r="I600">
        <v>2</v>
      </c>
      <c r="J600">
        <v>94588</v>
      </c>
      <c r="K600">
        <v>7</v>
      </c>
      <c r="L600">
        <v>175933.68</v>
      </c>
      <c r="M600" t="s">
        <v>42</v>
      </c>
      <c r="N600" t="s">
        <v>43</v>
      </c>
      <c r="O600" t="s">
        <v>27</v>
      </c>
      <c r="P600" t="s">
        <v>26</v>
      </c>
    </row>
    <row r="601" spans="1:16" x14ac:dyDescent="0.25">
      <c r="A601" t="s">
        <v>1172</v>
      </c>
      <c r="B601" t="s">
        <v>1173</v>
      </c>
      <c r="C601" t="s">
        <v>85</v>
      </c>
      <c r="D601" t="s">
        <v>30</v>
      </c>
      <c r="E601" t="s">
        <v>31</v>
      </c>
      <c r="F601" t="s">
        <v>32</v>
      </c>
      <c r="G601" t="s">
        <v>33</v>
      </c>
      <c r="H601" t="s">
        <v>86</v>
      </c>
      <c r="I601">
        <v>7</v>
      </c>
      <c r="J601">
        <v>437436</v>
      </c>
      <c r="K601">
        <v>7</v>
      </c>
      <c r="L601">
        <v>2847708.36</v>
      </c>
      <c r="M601" t="s">
        <v>25</v>
      </c>
      <c r="N601" t="s">
        <v>26</v>
      </c>
      <c r="O601" t="s">
        <v>44</v>
      </c>
      <c r="P601" t="s">
        <v>55</v>
      </c>
    </row>
    <row r="602" spans="1:16" x14ac:dyDescent="0.25">
      <c r="A602" t="s">
        <v>1174</v>
      </c>
      <c r="B602" t="s">
        <v>1175</v>
      </c>
      <c r="C602" t="s">
        <v>37</v>
      </c>
      <c r="D602" t="s">
        <v>66</v>
      </c>
      <c r="E602" t="s">
        <v>67</v>
      </c>
      <c r="F602" t="s">
        <v>68</v>
      </c>
      <c r="G602" t="s">
        <v>41</v>
      </c>
      <c r="H602" t="s">
        <v>58</v>
      </c>
      <c r="I602">
        <v>2</v>
      </c>
      <c r="J602">
        <v>525392</v>
      </c>
      <c r="K602">
        <v>7</v>
      </c>
      <c r="L602">
        <v>977229.11999999988</v>
      </c>
      <c r="M602" t="s">
        <v>25</v>
      </c>
      <c r="N602" t="s">
        <v>43</v>
      </c>
      <c r="O602" t="s">
        <v>27</v>
      </c>
      <c r="P602" t="s">
        <v>26</v>
      </c>
    </row>
    <row r="603" spans="1:16" x14ac:dyDescent="0.25">
      <c r="A603" t="s">
        <v>1176</v>
      </c>
      <c r="B603" t="s">
        <v>1177</v>
      </c>
      <c r="C603" t="s">
        <v>79</v>
      </c>
      <c r="D603" t="s">
        <v>38</v>
      </c>
      <c r="E603" t="s">
        <v>130</v>
      </c>
      <c r="F603" t="s">
        <v>40</v>
      </c>
      <c r="G603" t="s">
        <v>41</v>
      </c>
      <c r="H603" t="s">
        <v>34</v>
      </c>
      <c r="I603">
        <v>6</v>
      </c>
      <c r="J603">
        <v>485400</v>
      </c>
      <c r="K603">
        <v>10</v>
      </c>
      <c r="L603">
        <v>2621160</v>
      </c>
      <c r="M603" t="s">
        <v>25</v>
      </c>
      <c r="N603" t="s">
        <v>69</v>
      </c>
      <c r="O603" t="s">
        <v>27</v>
      </c>
      <c r="P603" t="s">
        <v>42</v>
      </c>
    </row>
    <row r="604" spans="1:16" x14ac:dyDescent="0.25">
      <c r="A604" t="s">
        <v>1178</v>
      </c>
      <c r="B604" t="s">
        <v>1179</v>
      </c>
      <c r="C604" t="s">
        <v>19</v>
      </c>
      <c r="D604" t="s">
        <v>38</v>
      </c>
      <c r="E604" t="s">
        <v>39</v>
      </c>
      <c r="F604" t="s">
        <v>40</v>
      </c>
      <c r="G604" t="s">
        <v>73</v>
      </c>
      <c r="H604" t="s">
        <v>58</v>
      </c>
      <c r="I604">
        <v>8</v>
      </c>
      <c r="J604">
        <v>202193</v>
      </c>
      <c r="K604">
        <v>2</v>
      </c>
      <c r="L604">
        <v>1585193.12</v>
      </c>
      <c r="M604" t="s">
        <v>42</v>
      </c>
      <c r="N604" t="s">
        <v>43</v>
      </c>
      <c r="O604" t="s">
        <v>27</v>
      </c>
      <c r="P604" t="s">
        <v>26</v>
      </c>
    </row>
    <row r="605" spans="1:16" x14ac:dyDescent="0.25">
      <c r="A605" t="s">
        <v>1180</v>
      </c>
      <c r="B605" t="s">
        <v>1181</v>
      </c>
      <c r="C605" t="s">
        <v>76</v>
      </c>
      <c r="D605" t="s">
        <v>66</v>
      </c>
      <c r="E605" t="s">
        <v>67</v>
      </c>
      <c r="F605" t="s">
        <v>68</v>
      </c>
      <c r="G605" t="s">
        <v>89</v>
      </c>
      <c r="H605" t="s">
        <v>34</v>
      </c>
      <c r="I605">
        <v>7</v>
      </c>
      <c r="J605">
        <v>72887</v>
      </c>
      <c r="K605">
        <v>10</v>
      </c>
      <c r="L605">
        <v>459188.1</v>
      </c>
      <c r="M605" t="s">
        <v>25</v>
      </c>
      <c r="N605" t="s">
        <v>69</v>
      </c>
      <c r="O605" t="s">
        <v>27</v>
      </c>
      <c r="P605" t="s">
        <v>42</v>
      </c>
    </row>
    <row r="606" spans="1:16" x14ac:dyDescent="0.25">
      <c r="A606" t="s">
        <v>1182</v>
      </c>
      <c r="B606" t="s">
        <v>777</v>
      </c>
      <c r="C606" t="s">
        <v>19</v>
      </c>
      <c r="D606" t="s">
        <v>66</v>
      </c>
      <c r="E606" t="s">
        <v>201</v>
      </c>
      <c r="F606" t="s">
        <v>68</v>
      </c>
      <c r="G606" t="s">
        <v>124</v>
      </c>
      <c r="H606" t="s">
        <v>58</v>
      </c>
      <c r="I606">
        <v>8</v>
      </c>
      <c r="J606">
        <v>107569</v>
      </c>
      <c r="K606">
        <v>12</v>
      </c>
      <c r="L606">
        <v>769630.76</v>
      </c>
      <c r="M606" t="s">
        <v>42</v>
      </c>
      <c r="N606" t="s">
        <v>69</v>
      </c>
      <c r="O606" t="s">
        <v>27</v>
      </c>
      <c r="P606" t="s">
        <v>42</v>
      </c>
    </row>
    <row r="607" spans="1:16" x14ac:dyDescent="0.25">
      <c r="A607" t="s">
        <v>1183</v>
      </c>
      <c r="B607" t="s">
        <v>1184</v>
      </c>
      <c r="C607" t="s">
        <v>19</v>
      </c>
      <c r="D607" t="s">
        <v>30</v>
      </c>
      <c r="E607" t="s">
        <v>31</v>
      </c>
      <c r="F607" t="s">
        <v>32</v>
      </c>
      <c r="G607" t="s">
        <v>41</v>
      </c>
      <c r="H607" t="s">
        <v>86</v>
      </c>
      <c r="I607">
        <v>6</v>
      </c>
      <c r="J607">
        <v>823664</v>
      </c>
      <c r="K607">
        <v>12</v>
      </c>
      <c r="L607">
        <v>4348945.92</v>
      </c>
      <c r="M607" t="s">
        <v>42</v>
      </c>
      <c r="N607" t="s">
        <v>69</v>
      </c>
      <c r="O607" t="s">
        <v>44</v>
      </c>
      <c r="P607" t="s">
        <v>55</v>
      </c>
    </row>
    <row r="608" spans="1:16" x14ac:dyDescent="0.25">
      <c r="A608" t="s">
        <v>1185</v>
      </c>
      <c r="B608" t="s">
        <v>1186</v>
      </c>
      <c r="C608" t="s">
        <v>85</v>
      </c>
      <c r="D608" t="s">
        <v>51</v>
      </c>
      <c r="E608" t="s">
        <v>72</v>
      </c>
      <c r="F608" t="s">
        <v>22</v>
      </c>
      <c r="G608" t="s">
        <v>73</v>
      </c>
      <c r="H608" t="s">
        <v>86</v>
      </c>
      <c r="I608">
        <v>5</v>
      </c>
      <c r="J608">
        <v>267405</v>
      </c>
      <c r="M608" t="s">
        <v>54</v>
      </c>
      <c r="N608" t="s">
        <v>26</v>
      </c>
      <c r="O608" t="s">
        <v>27</v>
      </c>
      <c r="P608" t="s">
        <v>26</v>
      </c>
    </row>
    <row r="609" spans="1:16" x14ac:dyDescent="0.25">
      <c r="A609" t="s">
        <v>1187</v>
      </c>
      <c r="B609" t="s">
        <v>1188</v>
      </c>
      <c r="C609" t="s">
        <v>99</v>
      </c>
      <c r="D609" t="s">
        <v>119</v>
      </c>
      <c r="E609" t="s">
        <v>21</v>
      </c>
      <c r="F609" t="s">
        <v>22</v>
      </c>
      <c r="G609" t="s">
        <v>33</v>
      </c>
      <c r="H609" t="s">
        <v>53</v>
      </c>
      <c r="I609">
        <v>6</v>
      </c>
      <c r="J609">
        <v>805869</v>
      </c>
      <c r="K609">
        <v>10</v>
      </c>
      <c r="L609">
        <v>4364037.6000000006</v>
      </c>
      <c r="M609" t="s">
        <v>42</v>
      </c>
      <c r="N609" t="s">
        <v>26</v>
      </c>
      <c r="O609" t="s">
        <v>27</v>
      </c>
      <c r="P609" t="s">
        <v>42</v>
      </c>
    </row>
    <row r="610" spans="1:16" x14ac:dyDescent="0.25">
      <c r="A610" t="s">
        <v>1189</v>
      </c>
      <c r="B610" t="s">
        <v>1190</v>
      </c>
      <c r="C610" t="s">
        <v>37</v>
      </c>
      <c r="D610" t="s">
        <v>106</v>
      </c>
      <c r="E610" t="s">
        <v>31</v>
      </c>
      <c r="F610" t="s">
        <v>32</v>
      </c>
      <c r="G610" t="s">
        <v>62</v>
      </c>
      <c r="H610" t="s">
        <v>86</v>
      </c>
      <c r="I610">
        <v>3</v>
      </c>
      <c r="J610">
        <v>434938</v>
      </c>
      <c r="K610">
        <v>5</v>
      </c>
      <c r="L610">
        <v>1239573.3</v>
      </c>
      <c r="M610" t="s">
        <v>42</v>
      </c>
      <c r="N610" t="s">
        <v>69</v>
      </c>
      <c r="O610" t="s">
        <v>27</v>
      </c>
      <c r="P610" t="s">
        <v>26</v>
      </c>
    </row>
    <row r="611" spans="1:16" x14ac:dyDescent="0.25">
      <c r="A611" t="s">
        <v>1191</v>
      </c>
      <c r="B611" t="s">
        <v>1192</v>
      </c>
      <c r="C611" t="s">
        <v>37</v>
      </c>
      <c r="D611" t="s">
        <v>30</v>
      </c>
      <c r="E611" t="s">
        <v>31</v>
      </c>
      <c r="F611" t="s">
        <v>32</v>
      </c>
      <c r="G611" t="s">
        <v>73</v>
      </c>
      <c r="H611" t="s">
        <v>86</v>
      </c>
      <c r="I611">
        <v>3</v>
      </c>
      <c r="J611">
        <v>183106</v>
      </c>
      <c r="K611">
        <v>5</v>
      </c>
      <c r="L611">
        <v>521852.1</v>
      </c>
      <c r="M611" t="s">
        <v>54</v>
      </c>
      <c r="N611" t="s">
        <v>26</v>
      </c>
      <c r="O611" t="s">
        <v>27</v>
      </c>
      <c r="P611" t="s">
        <v>26</v>
      </c>
    </row>
    <row r="612" spans="1:16" x14ac:dyDescent="0.25">
      <c r="A612" t="s">
        <v>1193</v>
      </c>
      <c r="B612" t="s">
        <v>1194</v>
      </c>
      <c r="C612" t="s">
        <v>37</v>
      </c>
      <c r="D612" t="s">
        <v>20</v>
      </c>
      <c r="E612" t="s">
        <v>21</v>
      </c>
      <c r="F612" t="s">
        <v>22</v>
      </c>
      <c r="G612" t="s">
        <v>73</v>
      </c>
      <c r="H612" t="s">
        <v>58</v>
      </c>
      <c r="I612">
        <v>8</v>
      </c>
      <c r="J612">
        <v>732398</v>
      </c>
      <c r="K612">
        <v>0</v>
      </c>
      <c r="L612">
        <v>5859184</v>
      </c>
      <c r="M612" t="s">
        <v>25</v>
      </c>
      <c r="N612" t="s">
        <v>43</v>
      </c>
      <c r="O612" t="s">
        <v>44</v>
      </c>
      <c r="P612" t="s">
        <v>26</v>
      </c>
    </row>
    <row r="613" spans="1:16" x14ac:dyDescent="0.25">
      <c r="A613" t="s">
        <v>1195</v>
      </c>
      <c r="B613" t="s">
        <v>777</v>
      </c>
      <c r="C613" t="s">
        <v>76</v>
      </c>
      <c r="D613" t="s">
        <v>106</v>
      </c>
      <c r="E613" t="s">
        <v>31</v>
      </c>
      <c r="F613" t="s">
        <v>32</v>
      </c>
      <c r="G613" t="s">
        <v>41</v>
      </c>
      <c r="H613" t="s">
        <v>34</v>
      </c>
      <c r="I613">
        <v>6</v>
      </c>
      <c r="J613">
        <v>146762</v>
      </c>
      <c r="K613">
        <v>12</v>
      </c>
      <c r="L613">
        <v>774903.36</v>
      </c>
      <c r="M613" t="s">
        <v>42</v>
      </c>
      <c r="N613" t="s">
        <v>43</v>
      </c>
      <c r="O613" t="s">
        <v>44</v>
      </c>
      <c r="P613" t="s">
        <v>42</v>
      </c>
    </row>
    <row r="614" spans="1:16" x14ac:dyDescent="0.25">
      <c r="A614" t="s">
        <v>1196</v>
      </c>
      <c r="B614" t="s">
        <v>1197</v>
      </c>
      <c r="C614" t="s">
        <v>85</v>
      </c>
      <c r="D614" t="s">
        <v>129</v>
      </c>
      <c r="E614" t="s">
        <v>39</v>
      </c>
      <c r="F614" t="s">
        <v>40</v>
      </c>
      <c r="G614" t="s">
        <v>62</v>
      </c>
      <c r="H614" t="s">
        <v>58</v>
      </c>
      <c r="I614">
        <v>5</v>
      </c>
      <c r="J614">
        <v>192200</v>
      </c>
      <c r="K614">
        <v>2</v>
      </c>
      <c r="L614">
        <v>941780</v>
      </c>
      <c r="M614" t="s">
        <v>42</v>
      </c>
      <c r="N614" t="s">
        <v>43</v>
      </c>
      <c r="O614" t="s">
        <v>27</v>
      </c>
      <c r="P614" t="s">
        <v>26</v>
      </c>
    </row>
    <row r="615" spans="1:16" x14ac:dyDescent="0.25">
      <c r="A615" t="s">
        <v>1198</v>
      </c>
      <c r="B615" t="s">
        <v>333</v>
      </c>
      <c r="C615" t="s">
        <v>76</v>
      </c>
      <c r="D615" t="s">
        <v>66</v>
      </c>
      <c r="E615" t="s">
        <v>67</v>
      </c>
      <c r="F615" t="s">
        <v>68</v>
      </c>
      <c r="G615" t="s">
        <v>124</v>
      </c>
      <c r="H615" t="s">
        <v>53</v>
      </c>
      <c r="I615">
        <v>4</v>
      </c>
      <c r="J615">
        <v>163068</v>
      </c>
      <c r="K615">
        <v>5</v>
      </c>
      <c r="L615">
        <v>619658.4</v>
      </c>
      <c r="M615" t="s">
        <v>42</v>
      </c>
      <c r="N615" t="s">
        <v>26</v>
      </c>
      <c r="O615" t="s">
        <v>27</v>
      </c>
      <c r="P615" t="s">
        <v>55</v>
      </c>
    </row>
    <row r="616" spans="1:16" x14ac:dyDescent="0.25">
      <c r="A616" t="s">
        <v>1199</v>
      </c>
      <c r="B616" t="s">
        <v>1200</v>
      </c>
      <c r="C616" t="s">
        <v>76</v>
      </c>
      <c r="D616" t="s">
        <v>47</v>
      </c>
      <c r="E616" t="s">
        <v>48</v>
      </c>
      <c r="F616" t="s">
        <v>22</v>
      </c>
      <c r="G616" t="s">
        <v>73</v>
      </c>
      <c r="H616" t="s">
        <v>58</v>
      </c>
      <c r="I616">
        <v>2</v>
      </c>
      <c r="J616">
        <v>307948</v>
      </c>
      <c r="K616">
        <v>10</v>
      </c>
      <c r="L616">
        <v>554306.4</v>
      </c>
      <c r="M616" t="s">
        <v>42</v>
      </c>
      <c r="N616" t="s">
        <v>69</v>
      </c>
      <c r="O616" t="s">
        <v>44</v>
      </c>
      <c r="P616" t="s">
        <v>26</v>
      </c>
    </row>
    <row r="617" spans="1:16" x14ac:dyDescent="0.25">
      <c r="A617" t="s">
        <v>1201</v>
      </c>
      <c r="B617" t="s">
        <v>1202</v>
      </c>
      <c r="C617" t="s">
        <v>76</v>
      </c>
      <c r="D617" t="s">
        <v>20</v>
      </c>
      <c r="E617" t="s">
        <v>21</v>
      </c>
      <c r="F617" t="s">
        <v>22</v>
      </c>
      <c r="G617" t="s">
        <v>33</v>
      </c>
      <c r="H617" t="s">
        <v>24</v>
      </c>
      <c r="I617">
        <v>1</v>
      </c>
      <c r="J617">
        <v>851895</v>
      </c>
      <c r="K617">
        <v>0</v>
      </c>
      <c r="L617">
        <v>864240</v>
      </c>
      <c r="M617" t="s">
        <v>54</v>
      </c>
      <c r="N617" t="s">
        <v>43</v>
      </c>
      <c r="O617" t="s">
        <v>27</v>
      </c>
      <c r="P617" t="s">
        <v>26</v>
      </c>
    </row>
    <row r="618" spans="1:16" x14ac:dyDescent="0.25">
      <c r="A618" t="s">
        <v>1203</v>
      </c>
      <c r="B618" t="s">
        <v>910</v>
      </c>
      <c r="C618" t="s">
        <v>37</v>
      </c>
      <c r="D618" t="s">
        <v>20</v>
      </c>
      <c r="E618" t="s">
        <v>21</v>
      </c>
      <c r="F618" t="s">
        <v>22</v>
      </c>
      <c r="G618" t="s">
        <v>135</v>
      </c>
      <c r="H618" t="s">
        <v>58</v>
      </c>
      <c r="I618">
        <v>2</v>
      </c>
      <c r="J618">
        <v>286575</v>
      </c>
      <c r="K618">
        <v>12</v>
      </c>
      <c r="L618">
        <v>504372</v>
      </c>
      <c r="M618" t="s">
        <v>54</v>
      </c>
      <c r="N618" t="s">
        <v>43</v>
      </c>
      <c r="O618" t="s">
        <v>27</v>
      </c>
      <c r="P618" t="s">
        <v>42</v>
      </c>
    </row>
    <row r="619" spans="1:16" x14ac:dyDescent="0.25">
      <c r="A619" t="s">
        <v>1204</v>
      </c>
      <c r="B619" t="s">
        <v>1205</v>
      </c>
      <c r="C619" t="s">
        <v>85</v>
      </c>
      <c r="D619" t="s">
        <v>20</v>
      </c>
      <c r="E619" t="s">
        <v>189</v>
      </c>
      <c r="F619" t="s">
        <v>22</v>
      </c>
      <c r="G619" t="s">
        <v>52</v>
      </c>
      <c r="H619" t="s">
        <v>58</v>
      </c>
      <c r="I619">
        <v>7</v>
      </c>
      <c r="J619">
        <v>582468</v>
      </c>
      <c r="K619">
        <v>12</v>
      </c>
      <c r="L619">
        <v>3588002.88</v>
      </c>
      <c r="M619" t="s">
        <v>42</v>
      </c>
      <c r="N619" t="s">
        <v>69</v>
      </c>
      <c r="O619" t="s">
        <v>27</v>
      </c>
      <c r="P619" t="s">
        <v>26</v>
      </c>
    </row>
    <row r="620" spans="1:16" x14ac:dyDescent="0.25">
      <c r="A620" t="s">
        <v>1206</v>
      </c>
      <c r="B620" t="s">
        <v>321</v>
      </c>
      <c r="C620" t="s">
        <v>99</v>
      </c>
      <c r="D620" t="s">
        <v>38</v>
      </c>
      <c r="E620" t="s">
        <v>39</v>
      </c>
      <c r="F620" t="s">
        <v>40</v>
      </c>
      <c r="G620" t="s">
        <v>33</v>
      </c>
      <c r="H620" t="s">
        <v>86</v>
      </c>
      <c r="I620">
        <v>3</v>
      </c>
      <c r="J620">
        <v>60374</v>
      </c>
      <c r="K620">
        <v>10</v>
      </c>
      <c r="L620">
        <v>163009.79999999999</v>
      </c>
      <c r="M620" t="s">
        <v>42</v>
      </c>
      <c r="N620" t="s">
        <v>69</v>
      </c>
      <c r="O620" t="s">
        <v>44</v>
      </c>
      <c r="P620" t="s">
        <v>42</v>
      </c>
    </row>
    <row r="621" spans="1:16" x14ac:dyDescent="0.25">
      <c r="A621" t="s">
        <v>1207</v>
      </c>
      <c r="B621" t="s">
        <v>1208</v>
      </c>
      <c r="C621" t="s">
        <v>65</v>
      </c>
      <c r="D621" t="s">
        <v>66</v>
      </c>
      <c r="E621" t="s">
        <v>201</v>
      </c>
      <c r="F621" t="s">
        <v>68</v>
      </c>
      <c r="G621" t="s">
        <v>73</v>
      </c>
      <c r="H621" t="s">
        <v>34</v>
      </c>
      <c r="I621">
        <v>5</v>
      </c>
      <c r="J621">
        <v>761405</v>
      </c>
      <c r="K621">
        <v>5</v>
      </c>
      <c r="L621">
        <v>3616673.75</v>
      </c>
      <c r="M621" t="s">
        <v>42</v>
      </c>
      <c r="N621" t="s">
        <v>43</v>
      </c>
      <c r="O621" t="s">
        <v>27</v>
      </c>
      <c r="P621" t="s">
        <v>42</v>
      </c>
    </row>
    <row r="622" spans="1:16" x14ac:dyDescent="0.25">
      <c r="A622" t="s">
        <v>1209</v>
      </c>
      <c r="B622" t="s">
        <v>697</v>
      </c>
      <c r="C622" t="s">
        <v>85</v>
      </c>
      <c r="D622" t="s">
        <v>38</v>
      </c>
      <c r="E622" t="s">
        <v>39</v>
      </c>
      <c r="F622" t="s">
        <v>40</v>
      </c>
      <c r="G622" t="s">
        <v>62</v>
      </c>
      <c r="H622" t="s">
        <v>34</v>
      </c>
      <c r="I622">
        <v>8</v>
      </c>
      <c r="J622">
        <v>422496</v>
      </c>
      <c r="K622">
        <v>0</v>
      </c>
      <c r="L622">
        <v>3379968</v>
      </c>
      <c r="M622" t="s">
        <v>25</v>
      </c>
      <c r="N622" t="s">
        <v>69</v>
      </c>
      <c r="O622" t="s">
        <v>27</v>
      </c>
      <c r="P622" t="s">
        <v>42</v>
      </c>
    </row>
    <row r="623" spans="1:16" x14ac:dyDescent="0.25">
      <c r="A623" t="s">
        <v>1210</v>
      </c>
      <c r="B623" t="s">
        <v>1211</v>
      </c>
      <c r="C623" t="s">
        <v>76</v>
      </c>
      <c r="D623" t="s">
        <v>47</v>
      </c>
      <c r="E623" t="s">
        <v>72</v>
      </c>
      <c r="F623" t="s">
        <v>22</v>
      </c>
      <c r="G623" t="s">
        <v>62</v>
      </c>
      <c r="H623" t="s">
        <v>34</v>
      </c>
      <c r="I623">
        <v>2</v>
      </c>
      <c r="J623">
        <v>878357</v>
      </c>
      <c r="K623">
        <v>0</v>
      </c>
      <c r="L623">
        <v>1756714</v>
      </c>
      <c r="M623" t="s">
        <v>42</v>
      </c>
      <c r="N623" t="s">
        <v>69</v>
      </c>
      <c r="O623" t="s">
        <v>27</v>
      </c>
      <c r="P623" t="s">
        <v>42</v>
      </c>
    </row>
    <row r="624" spans="1:16" x14ac:dyDescent="0.25">
      <c r="A624" t="s">
        <v>1212</v>
      </c>
      <c r="B624" t="s">
        <v>1213</v>
      </c>
      <c r="C624" t="s">
        <v>19</v>
      </c>
      <c r="D624" t="s">
        <v>51</v>
      </c>
      <c r="E624" t="s">
        <v>48</v>
      </c>
      <c r="F624" t="s">
        <v>22</v>
      </c>
      <c r="G624" t="s">
        <v>52</v>
      </c>
      <c r="H624" t="s">
        <v>86</v>
      </c>
      <c r="I624">
        <v>2</v>
      </c>
      <c r="J624">
        <v>109354</v>
      </c>
      <c r="K624">
        <v>7</v>
      </c>
      <c r="L624">
        <v>203398.44</v>
      </c>
      <c r="M624" t="s">
        <v>54</v>
      </c>
      <c r="N624" t="s">
        <v>69</v>
      </c>
      <c r="O624" t="s">
        <v>44</v>
      </c>
      <c r="P624" t="s">
        <v>26</v>
      </c>
    </row>
    <row r="625" spans="1:16" x14ac:dyDescent="0.25">
      <c r="A625" t="s">
        <v>1214</v>
      </c>
      <c r="B625" t="s">
        <v>1215</v>
      </c>
      <c r="C625" t="s">
        <v>85</v>
      </c>
      <c r="D625" t="s">
        <v>20</v>
      </c>
      <c r="E625" t="s">
        <v>21</v>
      </c>
      <c r="F625" t="s">
        <v>22</v>
      </c>
      <c r="G625" t="s">
        <v>135</v>
      </c>
      <c r="H625" t="s">
        <v>53</v>
      </c>
      <c r="I625">
        <v>1</v>
      </c>
      <c r="J625">
        <v>717146</v>
      </c>
      <c r="K625">
        <v>2</v>
      </c>
      <c r="L625">
        <v>702803.08</v>
      </c>
      <c r="M625" t="s">
        <v>42</v>
      </c>
      <c r="N625" t="s">
        <v>69</v>
      </c>
      <c r="O625" t="s">
        <v>44</v>
      </c>
      <c r="P625" t="s">
        <v>55</v>
      </c>
    </row>
    <row r="626" spans="1:16" x14ac:dyDescent="0.25">
      <c r="A626" t="s">
        <v>1216</v>
      </c>
      <c r="B626" t="s">
        <v>660</v>
      </c>
      <c r="C626" t="s">
        <v>19</v>
      </c>
      <c r="D626" t="s">
        <v>51</v>
      </c>
      <c r="E626" t="s">
        <v>48</v>
      </c>
      <c r="F626" t="s">
        <v>22</v>
      </c>
      <c r="G626" t="s">
        <v>41</v>
      </c>
      <c r="H626" t="s">
        <v>34</v>
      </c>
      <c r="I626">
        <v>2</v>
      </c>
      <c r="J626">
        <v>581904</v>
      </c>
      <c r="K626">
        <v>12</v>
      </c>
      <c r="L626">
        <v>1024151.04</v>
      </c>
      <c r="M626" t="s">
        <v>25</v>
      </c>
      <c r="N626" t="s">
        <v>43</v>
      </c>
      <c r="O626" t="s">
        <v>27</v>
      </c>
      <c r="P626" t="s">
        <v>26</v>
      </c>
    </row>
    <row r="627" spans="1:16" x14ac:dyDescent="0.25">
      <c r="A627" t="s">
        <v>1217</v>
      </c>
      <c r="B627" t="s">
        <v>1218</v>
      </c>
      <c r="C627" t="s">
        <v>85</v>
      </c>
      <c r="D627" t="s">
        <v>106</v>
      </c>
      <c r="E627" t="s">
        <v>31</v>
      </c>
      <c r="F627" t="s">
        <v>32</v>
      </c>
      <c r="G627" t="s">
        <v>62</v>
      </c>
      <c r="H627" t="s">
        <v>53</v>
      </c>
      <c r="I627">
        <v>7</v>
      </c>
      <c r="J627">
        <v>96654</v>
      </c>
      <c r="K627">
        <v>7</v>
      </c>
      <c r="L627">
        <v>629217.53999999992</v>
      </c>
      <c r="M627" t="s">
        <v>54</v>
      </c>
      <c r="N627" t="s">
        <v>43</v>
      </c>
      <c r="O627" t="s">
        <v>44</v>
      </c>
      <c r="P627" t="s">
        <v>26</v>
      </c>
    </row>
    <row r="628" spans="1:16" x14ac:dyDescent="0.25">
      <c r="A628" t="s">
        <v>1219</v>
      </c>
      <c r="B628" t="s">
        <v>1220</v>
      </c>
      <c r="C628" t="s">
        <v>65</v>
      </c>
      <c r="D628" t="s">
        <v>20</v>
      </c>
      <c r="E628" t="s">
        <v>21</v>
      </c>
      <c r="F628" t="s">
        <v>22</v>
      </c>
      <c r="G628" t="s">
        <v>89</v>
      </c>
      <c r="H628" t="s">
        <v>53</v>
      </c>
      <c r="I628">
        <v>7</v>
      </c>
      <c r="J628">
        <v>354469</v>
      </c>
      <c r="K628">
        <v>2</v>
      </c>
      <c r="L628">
        <v>2431657.34</v>
      </c>
      <c r="M628" t="s">
        <v>54</v>
      </c>
      <c r="N628" t="s">
        <v>43</v>
      </c>
      <c r="O628" t="s">
        <v>44</v>
      </c>
      <c r="P628" t="s">
        <v>26</v>
      </c>
    </row>
    <row r="629" spans="1:16" x14ac:dyDescent="0.25">
      <c r="A629" t="s">
        <v>1221</v>
      </c>
      <c r="B629" t="s">
        <v>1222</v>
      </c>
      <c r="C629" t="s">
        <v>76</v>
      </c>
      <c r="D629" t="s">
        <v>30</v>
      </c>
      <c r="E629" t="s">
        <v>142</v>
      </c>
      <c r="F629" t="s">
        <v>32</v>
      </c>
      <c r="G629" t="s">
        <v>73</v>
      </c>
      <c r="H629" t="s">
        <v>34</v>
      </c>
      <c r="I629">
        <v>6</v>
      </c>
      <c r="J629">
        <v>576005</v>
      </c>
      <c r="K629">
        <v>2</v>
      </c>
      <c r="L629">
        <v>3386909.4</v>
      </c>
      <c r="M629" t="s">
        <v>54</v>
      </c>
      <c r="N629" t="s">
        <v>69</v>
      </c>
      <c r="O629" t="s">
        <v>44</v>
      </c>
      <c r="P629" t="s">
        <v>55</v>
      </c>
    </row>
    <row r="630" spans="1:16" x14ac:dyDescent="0.25">
      <c r="A630" t="s">
        <v>1223</v>
      </c>
      <c r="B630" t="s">
        <v>559</v>
      </c>
      <c r="C630" t="s">
        <v>65</v>
      </c>
      <c r="D630" t="s">
        <v>154</v>
      </c>
      <c r="E630" t="s">
        <v>67</v>
      </c>
      <c r="F630" t="s">
        <v>68</v>
      </c>
      <c r="G630" t="s">
        <v>73</v>
      </c>
      <c r="H630" t="s">
        <v>34</v>
      </c>
      <c r="I630">
        <v>7</v>
      </c>
      <c r="J630">
        <v>289206</v>
      </c>
      <c r="K630">
        <v>2</v>
      </c>
      <c r="L630">
        <v>1983953.16</v>
      </c>
      <c r="M630" t="s">
        <v>54</v>
      </c>
      <c r="N630" t="s">
        <v>43</v>
      </c>
      <c r="O630" t="s">
        <v>27</v>
      </c>
      <c r="P630" t="s">
        <v>42</v>
      </c>
    </row>
    <row r="631" spans="1:16" x14ac:dyDescent="0.25">
      <c r="A631" t="s">
        <v>1224</v>
      </c>
      <c r="B631" t="s">
        <v>164</v>
      </c>
      <c r="C631" t="s">
        <v>61</v>
      </c>
      <c r="D631" t="s">
        <v>47</v>
      </c>
      <c r="E631" t="s">
        <v>48</v>
      </c>
      <c r="F631" t="s">
        <v>22</v>
      </c>
      <c r="G631" t="s">
        <v>52</v>
      </c>
      <c r="H631" t="s">
        <v>53</v>
      </c>
      <c r="I631">
        <v>5</v>
      </c>
      <c r="J631">
        <v>657948</v>
      </c>
      <c r="K631">
        <v>12</v>
      </c>
      <c r="L631">
        <v>2894971.2</v>
      </c>
      <c r="M631" t="s">
        <v>54</v>
      </c>
      <c r="N631" t="s">
        <v>26</v>
      </c>
      <c r="O631" t="s">
        <v>44</v>
      </c>
      <c r="P631" t="s">
        <v>42</v>
      </c>
    </row>
    <row r="632" spans="1:16" x14ac:dyDescent="0.25">
      <c r="A632" t="s">
        <v>1225</v>
      </c>
      <c r="B632" t="s">
        <v>613</v>
      </c>
      <c r="C632" t="s">
        <v>99</v>
      </c>
      <c r="D632" t="s">
        <v>106</v>
      </c>
      <c r="E632" t="s">
        <v>31</v>
      </c>
      <c r="F632" t="s">
        <v>32</v>
      </c>
      <c r="G632" t="s">
        <v>23</v>
      </c>
      <c r="H632" t="s">
        <v>24</v>
      </c>
      <c r="I632">
        <v>1</v>
      </c>
      <c r="J632">
        <v>273792</v>
      </c>
      <c r="M632" t="s">
        <v>54</v>
      </c>
      <c r="N632" t="s">
        <v>69</v>
      </c>
      <c r="O632" t="s">
        <v>44</v>
      </c>
      <c r="P632" t="s">
        <v>55</v>
      </c>
    </row>
    <row r="633" spans="1:16" x14ac:dyDescent="0.25">
      <c r="A633" t="s">
        <v>1226</v>
      </c>
      <c r="B633" t="s">
        <v>777</v>
      </c>
      <c r="C633" t="s">
        <v>76</v>
      </c>
      <c r="D633" t="s">
        <v>119</v>
      </c>
      <c r="E633" t="s">
        <v>21</v>
      </c>
      <c r="F633" t="s">
        <v>22</v>
      </c>
      <c r="G633" t="s">
        <v>62</v>
      </c>
      <c r="H633" t="s">
        <v>86</v>
      </c>
      <c r="I633">
        <v>2</v>
      </c>
      <c r="J633">
        <v>387531</v>
      </c>
      <c r="K633">
        <v>0</v>
      </c>
      <c r="L633">
        <v>775062</v>
      </c>
      <c r="M633" t="s">
        <v>25</v>
      </c>
      <c r="N633" t="s">
        <v>69</v>
      </c>
      <c r="O633" t="s">
        <v>27</v>
      </c>
      <c r="P633" t="s">
        <v>26</v>
      </c>
    </row>
    <row r="634" spans="1:16" x14ac:dyDescent="0.25">
      <c r="A634" t="s">
        <v>1227</v>
      </c>
      <c r="B634" t="s">
        <v>1228</v>
      </c>
      <c r="C634" t="s">
        <v>19</v>
      </c>
      <c r="D634" t="s">
        <v>38</v>
      </c>
      <c r="E634" t="s">
        <v>39</v>
      </c>
      <c r="F634" t="s">
        <v>40</v>
      </c>
      <c r="G634" t="s">
        <v>41</v>
      </c>
      <c r="H634" t="s">
        <v>34</v>
      </c>
      <c r="I634">
        <v>4</v>
      </c>
      <c r="J634">
        <v>734034</v>
      </c>
      <c r="K634">
        <v>5</v>
      </c>
      <c r="L634">
        <v>2789329.2</v>
      </c>
      <c r="M634" t="s">
        <v>54</v>
      </c>
      <c r="N634" t="s">
        <v>43</v>
      </c>
      <c r="O634" t="s">
        <v>44</v>
      </c>
      <c r="P634" t="s">
        <v>26</v>
      </c>
    </row>
    <row r="635" spans="1:16" x14ac:dyDescent="0.25">
      <c r="A635" t="s">
        <v>1229</v>
      </c>
      <c r="B635" t="s">
        <v>1230</v>
      </c>
      <c r="C635" t="s">
        <v>19</v>
      </c>
      <c r="D635" t="s">
        <v>20</v>
      </c>
      <c r="E635" t="s">
        <v>21</v>
      </c>
      <c r="F635" t="s">
        <v>22</v>
      </c>
      <c r="G635" t="s">
        <v>23</v>
      </c>
      <c r="H635" t="s">
        <v>86</v>
      </c>
      <c r="I635">
        <v>5</v>
      </c>
      <c r="J635">
        <v>554548</v>
      </c>
      <c r="K635">
        <v>0</v>
      </c>
      <c r="L635">
        <v>2785085</v>
      </c>
      <c r="M635" t="s">
        <v>25</v>
      </c>
      <c r="N635" t="s">
        <v>43</v>
      </c>
      <c r="O635" t="s">
        <v>44</v>
      </c>
      <c r="P635" t="s">
        <v>42</v>
      </c>
    </row>
    <row r="636" spans="1:16" x14ac:dyDescent="0.25">
      <c r="A636" t="s">
        <v>1231</v>
      </c>
      <c r="B636" t="s">
        <v>1232</v>
      </c>
      <c r="C636" t="s">
        <v>79</v>
      </c>
      <c r="D636" t="s">
        <v>66</v>
      </c>
      <c r="E636" t="s">
        <v>67</v>
      </c>
      <c r="F636" t="s">
        <v>68</v>
      </c>
      <c r="G636" t="s">
        <v>73</v>
      </c>
      <c r="H636" t="s">
        <v>53</v>
      </c>
      <c r="J636">
        <v>623179</v>
      </c>
      <c r="M636" t="s">
        <v>54</v>
      </c>
      <c r="N636" t="s">
        <v>26</v>
      </c>
      <c r="O636" t="s">
        <v>27</v>
      </c>
      <c r="P636" t="s">
        <v>42</v>
      </c>
    </row>
    <row r="637" spans="1:16" x14ac:dyDescent="0.25">
      <c r="A637" t="s">
        <v>1233</v>
      </c>
      <c r="B637" t="s">
        <v>474</v>
      </c>
      <c r="C637" t="s">
        <v>85</v>
      </c>
      <c r="D637" t="s">
        <v>30</v>
      </c>
      <c r="E637" t="s">
        <v>31</v>
      </c>
      <c r="F637" t="s">
        <v>32</v>
      </c>
      <c r="G637" t="s">
        <v>73</v>
      </c>
      <c r="H637" t="s">
        <v>24</v>
      </c>
      <c r="I637">
        <v>5</v>
      </c>
      <c r="J637">
        <v>856212</v>
      </c>
      <c r="K637">
        <v>10</v>
      </c>
      <c r="L637">
        <v>3852954</v>
      </c>
      <c r="M637" t="s">
        <v>54</v>
      </c>
      <c r="N637" t="s">
        <v>43</v>
      </c>
      <c r="O637" t="s">
        <v>27</v>
      </c>
      <c r="P637" t="s">
        <v>26</v>
      </c>
    </row>
    <row r="638" spans="1:16" x14ac:dyDescent="0.25">
      <c r="A638" t="s">
        <v>1234</v>
      </c>
      <c r="B638" t="s">
        <v>863</v>
      </c>
      <c r="C638" t="s">
        <v>61</v>
      </c>
      <c r="D638" t="s">
        <v>66</v>
      </c>
      <c r="E638" t="s">
        <v>201</v>
      </c>
      <c r="F638" t="s">
        <v>68</v>
      </c>
      <c r="G638" t="s">
        <v>73</v>
      </c>
      <c r="H638" t="s">
        <v>53</v>
      </c>
      <c r="I638">
        <v>6</v>
      </c>
      <c r="J638">
        <v>458279</v>
      </c>
      <c r="K638">
        <v>10</v>
      </c>
      <c r="L638">
        <v>2474706.6</v>
      </c>
      <c r="M638" t="s">
        <v>54</v>
      </c>
      <c r="N638" t="s">
        <v>69</v>
      </c>
      <c r="O638" t="s">
        <v>44</v>
      </c>
      <c r="P638" t="s">
        <v>26</v>
      </c>
    </row>
    <row r="639" spans="1:16" x14ac:dyDescent="0.25">
      <c r="A639" t="s">
        <v>1235</v>
      </c>
      <c r="B639" t="s">
        <v>1236</v>
      </c>
      <c r="C639" t="s">
        <v>65</v>
      </c>
      <c r="D639" t="s">
        <v>30</v>
      </c>
      <c r="E639" t="s">
        <v>31</v>
      </c>
      <c r="F639" t="s">
        <v>32</v>
      </c>
      <c r="G639" t="s">
        <v>73</v>
      </c>
      <c r="H639" t="s">
        <v>34</v>
      </c>
      <c r="I639">
        <v>5</v>
      </c>
      <c r="J639">
        <v>239600</v>
      </c>
      <c r="K639">
        <v>2</v>
      </c>
      <c r="L639">
        <v>1174040</v>
      </c>
      <c r="M639" t="s">
        <v>25</v>
      </c>
      <c r="N639" t="s">
        <v>26</v>
      </c>
      <c r="O639" t="s">
        <v>27</v>
      </c>
      <c r="P639" t="s">
        <v>55</v>
      </c>
    </row>
    <row r="640" spans="1:16" x14ac:dyDescent="0.25">
      <c r="A640" t="s">
        <v>1237</v>
      </c>
      <c r="B640" t="s">
        <v>1238</v>
      </c>
      <c r="C640" t="s">
        <v>76</v>
      </c>
      <c r="D640" t="s">
        <v>66</v>
      </c>
      <c r="E640" t="s">
        <v>67</v>
      </c>
      <c r="F640" t="s">
        <v>68</v>
      </c>
      <c r="G640" t="s">
        <v>52</v>
      </c>
      <c r="H640" t="s">
        <v>24</v>
      </c>
      <c r="I640">
        <v>2</v>
      </c>
      <c r="J640">
        <v>612480</v>
      </c>
      <c r="K640">
        <v>0</v>
      </c>
      <c r="L640">
        <v>1224960</v>
      </c>
      <c r="M640" t="s">
        <v>25</v>
      </c>
      <c r="N640" t="s">
        <v>69</v>
      </c>
      <c r="O640" t="s">
        <v>27</v>
      </c>
      <c r="P640" t="s">
        <v>26</v>
      </c>
    </row>
    <row r="641" spans="1:16" x14ac:dyDescent="0.25">
      <c r="A641" t="s">
        <v>1239</v>
      </c>
      <c r="B641" t="s">
        <v>1240</v>
      </c>
      <c r="C641" t="s">
        <v>85</v>
      </c>
      <c r="D641" t="s">
        <v>106</v>
      </c>
      <c r="E641" t="s">
        <v>31</v>
      </c>
      <c r="F641" t="s">
        <v>32</v>
      </c>
      <c r="G641" t="s">
        <v>135</v>
      </c>
      <c r="H641" t="s">
        <v>86</v>
      </c>
      <c r="I641">
        <v>2</v>
      </c>
      <c r="J641">
        <v>187509</v>
      </c>
      <c r="K641">
        <v>2</v>
      </c>
      <c r="L641">
        <v>367517.64</v>
      </c>
      <c r="M641" t="s">
        <v>54</v>
      </c>
      <c r="N641" t="s">
        <v>26</v>
      </c>
      <c r="O641" t="s">
        <v>44</v>
      </c>
      <c r="P641" t="s">
        <v>55</v>
      </c>
    </row>
    <row r="642" spans="1:16" x14ac:dyDescent="0.25">
      <c r="A642" t="s">
        <v>1241</v>
      </c>
      <c r="B642" t="s">
        <v>1242</v>
      </c>
      <c r="C642" t="s">
        <v>76</v>
      </c>
      <c r="D642" t="s">
        <v>47</v>
      </c>
      <c r="E642" t="s">
        <v>48</v>
      </c>
      <c r="F642" t="s">
        <v>22</v>
      </c>
      <c r="G642" t="s">
        <v>41</v>
      </c>
      <c r="H642" t="s">
        <v>53</v>
      </c>
      <c r="I642">
        <v>4</v>
      </c>
      <c r="J642">
        <v>352901</v>
      </c>
      <c r="K642">
        <v>0</v>
      </c>
      <c r="L642">
        <v>1411604</v>
      </c>
      <c r="M642" t="s">
        <v>54</v>
      </c>
      <c r="N642" t="s">
        <v>43</v>
      </c>
      <c r="O642" t="s">
        <v>27</v>
      </c>
      <c r="P642" t="s">
        <v>26</v>
      </c>
    </row>
    <row r="643" spans="1:16" x14ac:dyDescent="0.25">
      <c r="A643" t="s">
        <v>1243</v>
      </c>
      <c r="B643" t="s">
        <v>1244</v>
      </c>
      <c r="C643" t="s">
        <v>85</v>
      </c>
      <c r="D643" t="s">
        <v>20</v>
      </c>
      <c r="E643" t="s">
        <v>21</v>
      </c>
      <c r="F643" t="s">
        <v>22</v>
      </c>
      <c r="G643" t="s">
        <v>62</v>
      </c>
      <c r="H643" t="s">
        <v>58</v>
      </c>
      <c r="I643">
        <v>5</v>
      </c>
      <c r="J643">
        <v>712329</v>
      </c>
      <c r="K643">
        <v>7</v>
      </c>
      <c r="L643">
        <v>3312329.85</v>
      </c>
      <c r="M643" t="s">
        <v>42</v>
      </c>
      <c r="N643" t="s">
        <v>26</v>
      </c>
      <c r="O643" t="s">
        <v>44</v>
      </c>
      <c r="P643" t="s">
        <v>26</v>
      </c>
    </row>
    <row r="644" spans="1:16" x14ac:dyDescent="0.25">
      <c r="A644" t="s">
        <v>1245</v>
      </c>
      <c r="B644" t="s">
        <v>1246</v>
      </c>
      <c r="C644" t="s">
        <v>65</v>
      </c>
      <c r="D644" t="s">
        <v>66</v>
      </c>
      <c r="E644" t="s">
        <v>67</v>
      </c>
      <c r="F644" t="s">
        <v>68</v>
      </c>
      <c r="G644" t="s">
        <v>52</v>
      </c>
      <c r="H644" t="s">
        <v>86</v>
      </c>
      <c r="I644">
        <v>8</v>
      </c>
      <c r="J644">
        <v>428946</v>
      </c>
      <c r="K644">
        <v>7</v>
      </c>
      <c r="L644">
        <v>3191358.24</v>
      </c>
      <c r="M644" t="s">
        <v>25</v>
      </c>
      <c r="N644" t="s">
        <v>69</v>
      </c>
      <c r="O644" t="s">
        <v>44</v>
      </c>
      <c r="P644" t="s">
        <v>55</v>
      </c>
    </row>
    <row r="645" spans="1:16" x14ac:dyDescent="0.25">
      <c r="A645" t="s">
        <v>1247</v>
      </c>
      <c r="B645" t="s">
        <v>1248</v>
      </c>
      <c r="C645" t="s">
        <v>37</v>
      </c>
      <c r="D645" t="s">
        <v>66</v>
      </c>
      <c r="E645" t="s">
        <v>67</v>
      </c>
      <c r="F645" t="s">
        <v>68</v>
      </c>
      <c r="G645" t="s">
        <v>73</v>
      </c>
      <c r="H645" t="s">
        <v>24</v>
      </c>
      <c r="I645">
        <v>3</v>
      </c>
      <c r="J645">
        <v>410280</v>
      </c>
      <c r="K645">
        <v>12</v>
      </c>
      <c r="L645">
        <v>1083139.2</v>
      </c>
      <c r="M645" t="s">
        <v>54</v>
      </c>
      <c r="N645" t="s">
        <v>43</v>
      </c>
      <c r="O645" t="s">
        <v>27</v>
      </c>
      <c r="P645" t="s">
        <v>26</v>
      </c>
    </row>
    <row r="646" spans="1:16" x14ac:dyDescent="0.25">
      <c r="A646" t="s">
        <v>1249</v>
      </c>
      <c r="B646" t="s">
        <v>1250</v>
      </c>
      <c r="C646" t="s">
        <v>85</v>
      </c>
      <c r="D646" t="s">
        <v>38</v>
      </c>
      <c r="E646" t="s">
        <v>39</v>
      </c>
      <c r="F646" t="s">
        <v>40</v>
      </c>
      <c r="G646" t="s">
        <v>52</v>
      </c>
      <c r="H646" t="s">
        <v>86</v>
      </c>
      <c r="I646">
        <v>3</v>
      </c>
      <c r="J646">
        <v>459493</v>
      </c>
      <c r="K646">
        <v>12</v>
      </c>
      <c r="L646">
        <v>1213061.52</v>
      </c>
      <c r="M646" t="s">
        <v>54</v>
      </c>
      <c r="N646" t="s">
        <v>69</v>
      </c>
      <c r="O646" t="s">
        <v>27</v>
      </c>
      <c r="P646" t="s">
        <v>55</v>
      </c>
    </row>
    <row r="647" spans="1:16" x14ac:dyDescent="0.25">
      <c r="A647" t="s">
        <v>1251</v>
      </c>
      <c r="B647" t="s">
        <v>1252</v>
      </c>
      <c r="C647" t="s">
        <v>61</v>
      </c>
      <c r="D647" t="s">
        <v>47</v>
      </c>
      <c r="E647" t="s">
        <v>48</v>
      </c>
      <c r="F647" t="s">
        <v>22</v>
      </c>
      <c r="G647" t="s">
        <v>23</v>
      </c>
      <c r="H647" t="s">
        <v>86</v>
      </c>
      <c r="I647">
        <v>5</v>
      </c>
      <c r="J647">
        <v>140263</v>
      </c>
      <c r="K647">
        <v>5</v>
      </c>
      <c r="L647">
        <v>666249.25</v>
      </c>
      <c r="M647" t="s">
        <v>25</v>
      </c>
      <c r="N647" t="s">
        <v>69</v>
      </c>
      <c r="O647" t="s">
        <v>27</v>
      </c>
      <c r="P647" t="s">
        <v>55</v>
      </c>
    </row>
    <row r="648" spans="1:16" x14ac:dyDescent="0.25">
      <c r="A648" t="s">
        <v>1253</v>
      </c>
      <c r="B648" t="s">
        <v>1254</v>
      </c>
      <c r="C648" t="s">
        <v>37</v>
      </c>
      <c r="D648" t="s">
        <v>20</v>
      </c>
      <c r="E648" t="s">
        <v>21</v>
      </c>
      <c r="F648" t="s">
        <v>22</v>
      </c>
      <c r="G648" t="s">
        <v>33</v>
      </c>
      <c r="H648" t="s">
        <v>86</v>
      </c>
      <c r="I648">
        <v>6</v>
      </c>
      <c r="J648">
        <v>857063</v>
      </c>
      <c r="K648">
        <v>0</v>
      </c>
      <c r="L648">
        <v>5142378</v>
      </c>
      <c r="M648" t="s">
        <v>54</v>
      </c>
      <c r="N648" t="s">
        <v>69</v>
      </c>
      <c r="O648" t="s">
        <v>44</v>
      </c>
      <c r="P648" t="s">
        <v>26</v>
      </c>
    </row>
    <row r="649" spans="1:16" x14ac:dyDescent="0.25">
      <c r="A649" t="s">
        <v>1255</v>
      </c>
      <c r="B649" t="s">
        <v>1256</v>
      </c>
      <c r="C649" t="s">
        <v>91</v>
      </c>
      <c r="D649" t="s">
        <v>51</v>
      </c>
      <c r="E649" t="s">
        <v>48</v>
      </c>
      <c r="F649" t="s">
        <v>22</v>
      </c>
      <c r="G649" t="s">
        <v>52</v>
      </c>
      <c r="H649" t="s">
        <v>58</v>
      </c>
      <c r="I649">
        <v>6</v>
      </c>
      <c r="J649">
        <v>303642</v>
      </c>
      <c r="K649">
        <v>5</v>
      </c>
      <c r="L649">
        <v>1730759.4</v>
      </c>
      <c r="M649" t="s">
        <v>42</v>
      </c>
      <c r="N649" t="s">
        <v>69</v>
      </c>
      <c r="O649" t="s">
        <v>44</v>
      </c>
      <c r="P649" t="s">
        <v>42</v>
      </c>
    </row>
    <row r="650" spans="1:16" x14ac:dyDescent="0.25">
      <c r="A650" t="s">
        <v>1257</v>
      </c>
      <c r="B650" t="s">
        <v>1258</v>
      </c>
      <c r="C650" t="s">
        <v>37</v>
      </c>
      <c r="D650" t="s">
        <v>20</v>
      </c>
      <c r="E650" t="s">
        <v>189</v>
      </c>
      <c r="F650" t="s">
        <v>22</v>
      </c>
      <c r="G650" t="s">
        <v>33</v>
      </c>
      <c r="H650" t="s">
        <v>58</v>
      </c>
      <c r="I650">
        <v>2</v>
      </c>
      <c r="J650">
        <v>200141</v>
      </c>
      <c r="K650">
        <v>2</v>
      </c>
      <c r="L650">
        <v>392276.36</v>
      </c>
      <c r="M650" t="s">
        <v>54</v>
      </c>
      <c r="N650" t="s">
        <v>43</v>
      </c>
      <c r="O650" t="s">
        <v>44</v>
      </c>
      <c r="P650" t="s">
        <v>42</v>
      </c>
    </row>
    <row r="651" spans="1:16" x14ac:dyDescent="0.25">
      <c r="A651" t="s">
        <v>1259</v>
      </c>
      <c r="B651" t="s">
        <v>404</v>
      </c>
      <c r="C651" t="s">
        <v>37</v>
      </c>
      <c r="D651" t="s">
        <v>129</v>
      </c>
      <c r="E651" t="s">
        <v>39</v>
      </c>
      <c r="F651" t="s">
        <v>40</v>
      </c>
      <c r="G651" t="s">
        <v>73</v>
      </c>
      <c r="H651" t="s">
        <v>53</v>
      </c>
      <c r="I651">
        <v>4</v>
      </c>
      <c r="J651">
        <v>592977</v>
      </c>
      <c r="K651">
        <v>7</v>
      </c>
      <c r="L651">
        <v>2205874.44</v>
      </c>
      <c r="M651" t="s">
        <v>25</v>
      </c>
      <c r="N651" t="s">
        <v>26</v>
      </c>
      <c r="O651" t="s">
        <v>44</v>
      </c>
      <c r="P651" t="s">
        <v>42</v>
      </c>
    </row>
    <row r="652" spans="1:16" x14ac:dyDescent="0.25">
      <c r="A652" t="s">
        <v>1260</v>
      </c>
      <c r="B652" t="s">
        <v>1248</v>
      </c>
      <c r="C652" t="s">
        <v>85</v>
      </c>
      <c r="D652" t="s">
        <v>20</v>
      </c>
      <c r="E652" t="s">
        <v>189</v>
      </c>
      <c r="F652" t="s">
        <v>22</v>
      </c>
      <c r="G652" t="s">
        <v>73</v>
      </c>
      <c r="H652" t="s">
        <v>34</v>
      </c>
      <c r="I652">
        <v>6</v>
      </c>
      <c r="J652">
        <v>150253</v>
      </c>
      <c r="K652">
        <v>7</v>
      </c>
      <c r="L652">
        <v>838411.74</v>
      </c>
      <c r="M652" t="s">
        <v>42</v>
      </c>
      <c r="N652" t="s">
        <v>26</v>
      </c>
      <c r="O652" t="s">
        <v>44</v>
      </c>
      <c r="P652" t="s">
        <v>26</v>
      </c>
    </row>
    <row r="653" spans="1:16" x14ac:dyDescent="0.25">
      <c r="A653" t="s">
        <v>1261</v>
      </c>
      <c r="B653" t="s">
        <v>1262</v>
      </c>
      <c r="C653" t="s">
        <v>85</v>
      </c>
      <c r="D653" t="s">
        <v>47</v>
      </c>
      <c r="E653" t="s">
        <v>48</v>
      </c>
      <c r="F653" t="s">
        <v>22</v>
      </c>
      <c r="G653" t="s">
        <v>52</v>
      </c>
      <c r="H653" t="s">
        <v>58</v>
      </c>
      <c r="I653">
        <v>3</v>
      </c>
      <c r="J653">
        <v>735427</v>
      </c>
      <c r="K653">
        <v>10</v>
      </c>
      <c r="L653">
        <v>1985652.9</v>
      </c>
      <c r="M653" t="s">
        <v>42</v>
      </c>
      <c r="N653" t="s">
        <v>69</v>
      </c>
      <c r="O653" t="s">
        <v>44</v>
      </c>
      <c r="P653" t="s">
        <v>55</v>
      </c>
    </row>
    <row r="654" spans="1:16" x14ac:dyDescent="0.25">
      <c r="A654" t="s">
        <v>1263</v>
      </c>
      <c r="B654" t="s">
        <v>1009</v>
      </c>
      <c r="C654" t="s">
        <v>76</v>
      </c>
      <c r="D654" t="s">
        <v>47</v>
      </c>
      <c r="E654" t="s">
        <v>48</v>
      </c>
      <c r="F654" t="s">
        <v>22</v>
      </c>
      <c r="G654" t="s">
        <v>41</v>
      </c>
      <c r="H654" t="s">
        <v>86</v>
      </c>
      <c r="I654">
        <v>8</v>
      </c>
      <c r="J654">
        <v>559556</v>
      </c>
      <c r="K654">
        <v>10</v>
      </c>
      <c r="L654">
        <v>4028803.2</v>
      </c>
      <c r="M654" t="s">
        <v>42</v>
      </c>
      <c r="N654" t="s">
        <v>43</v>
      </c>
      <c r="O654" t="s">
        <v>27</v>
      </c>
      <c r="P654" t="s">
        <v>42</v>
      </c>
    </row>
    <row r="655" spans="1:16" x14ac:dyDescent="0.25">
      <c r="A655" t="s">
        <v>1264</v>
      </c>
      <c r="B655" t="s">
        <v>1265</v>
      </c>
      <c r="C655" t="s">
        <v>65</v>
      </c>
      <c r="D655" t="s">
        <v>20</v>
      </c>
      <c r="E655" t="s">
        <v>21</v>
      </c>
      <c r="F655" t="s">
        <v>22</v>
      </c>
      <c r="G655" t="s">
        <v>52</v>
      </c>
      <c r="H655" t="s">
        <v>24</v>
      </c>
      <c r="I655">
        <v>3</v>
      </c>
      <c r="J655">
        <v>843349</v>
      </c>
      <c r="K655">
        <v>0</v>
      </c>
      <c r="L655">
        <v>2530047</v>
      </c>
      <c r="M655" t="s">
        <v>42</v>
      </c>
      <c r="N655" t="s">
        <v>69</v>
      </c>
      <c r="O655" t="s">
        <v>27</v>
      </c>
      <c r="P655" t="s">
        <v>55</v>
      </c>
    </row>
    <row r="656" spans="1:16" x14ac:dyDescent="0.25">
      <c r="A656" t="s">
        <v>1266</v>
      </c>
      <c r="B656" t="s">
        <v>1267</v>
      </c>
      <c r="C656" t="s">
        <v>85</v>
      </c>
      <c r="D656" t="s">
        <v>30</v>
      </c>
      <c r="E656" t="s">
        <v>31</v>
      </c>
      <c r="F656" t="s">
        <v>32</v>
      </c>
      <c r="G656" t="s">
        <v>23</v>
      </c>
      <c r="H656" t="s">
        <v>86</v>
      </c>
      <c r="I656">
        <v>5</v>
      </c>
      <c r="J656">
        <v>486667</v>
      </c>
      <c r="K656">
        <v>7</v>
      </c>
      <c r="L656">
        <v>2263001.5499999998</v>
      </c>
      <c r="M656" t="s">
        <v>42</v>
      </c>
      <c r="N656" t="s">
        <v>26</v>
      </c>
      <c r="O656" t="s">
        <v>27</v>
      </c>
      <c r="P656" t="s">
        <v>26</v>
      </c>
    </row>
    <row r="657" spans="1:16" x14ac:dyDescent="0.25">
      <c r="A657" t="s">
        <v>1268</v>
      </c>
      <c r="B657" t="s">
        <v>1269</v>
      </c>
      <c r="C657" t="s">
        <v>85</v>
      </c>
      <c r="D657" t="s">
        <v>38</v>
      </c>
      <c r="E657" t="s">
        <v>39</v>
      </c>
      <c r="F657" t="s">
        <v>40</v>
      </c>
      <c r="G657" t="s">
        <v>52</v>
      </c>
      <c r="H657" t="s">
        <v>34</v>
      </c>
      <c r="I657">
        <v>4</v>
      </c>
      <c r="J657">
        <v>136959</v>
      </c>
      <c r="K657">
        <v>2</v>
      </c>
      <c r="L657">
        <v>536879.28</v>
      </c>
      <c r="M657" t="s">
        <v>42</v>
      </c>
      <c r="N657" t="s">
        <v>69</v>
      </c>
      <c r="O657" t="s">
        <v>27</v>
      </c>
      <c r="P657" t="s">
        <v>42</v>
      </c>
    </row>
    <row r="658" spans="1:16" x14ac:dyDescent="0.25">
      <c r="A658" t="s">
        <v>1270</v>
      </c>
      <c r="B658" t="s">
        <v>1271</v>
      </c>
      <c r="C658" t="s">
        <v>76</v>
      </c>
      <c r="D658" t="s">
        <v>20</v>
      </c>
      <c r="E658" t="s">
        <v>21</v>
      </c>
      <c r="F658" t="s">
        <v>22</v>
      </c>
      <c r="G658" t="s">
        <v>62</v>
      </c>
      <c r="H658" t="s">
        <v>53</v>
      </c>
      <c r="I658">
        <v>5</v>
      </c>
      <c r="J658">
        <v>252919</v>
      </c>
      <c r="K658">
        <v>10</v>
      </c>
      <c r="L658">
        <v>1138135.5</v>
      </c>
      <c r="M658" t="s">
        <v>25</v>
      </c>
      <c r="N658" t="s">
        <v>26</v>
      </c>
      <c r="O658" t="s">
        <v>44</v>
      </c>
      <c r="P658" t="s">
        <v>26</v>
      </c>
    </row>
    <row r="659" spans="1:16" x14ac:dyDescent="0.25">
      <c r="A659" t="s">
        <v>1272</v>
      </c>
      <c r="B659" t="s">
        <v>1273</v>
      </c>
      <c r="C659" t="s">
        <v>19</v>
      </c>
      <c r="D659" t="s">
        <v>38</v>
      </c>
      <c r="E659" t="s">
        <v>39</v>
      </c>
      <c r="F659" t="s">
        <v>40</v>
      </c>
      <c r="G659" t="s">
        <v>52</v>
      </c>
      <c r="H659" t="s">
        <v>24</v>
      </c>
      <c r="I659">
        <v>5</v>
      </c>
      <c r="J659">
        <v>688430</v>
      </c>
      <c r="K659">
        <v>0</v>
      </c>
      <c r="L659">
        <v>3442150</v>
      </c>
      <c r="M659" t="s">
        <v>54</v>
      </c>
      <c r="N659" t="s">
        <v>69</v>
      </c>
      <c r="O659" t="s">
        <v>44</v>
      </c>
      <c r="P659" t="s">
        <v>26</v>
      </c>
    </row>
    <row r="660" spans="1:16" x14ac:dyDescent="0.25">
      <c r="A660" t="s">
        <v>1274</v>
      </c>
      <c r="B660" t="s">
        <v>508</v>
      </c>
      <c r="C660" t="s">
        <v>76</v>
      </c>
      <c r="D660" t="s">
        <v>106</v>
      </c>
      <c r="E660" t="s">
        <v>31</v>
      </c>
      <c r="F660" t="s">
        <v>32</v>
      </c>
      <c r="G660" t="s">
        <v>73</v>
      </c>
      <c r="H660" t="s">
        <v>53</v>
      </c>
      <c r="I660">
        <v>4</v>
      </c>
      <c r="J660">
        <v>879916</v>
      </c>
      <c r="K660">
        <v>5</v>
      </c>
      <c r="L660">
        <v>3343680.8</v>
      </c>
      <c r="M660" t="s">
        <v>54</v>
      </c>
      <c r="N660" t="s">
        <v>43</v>
      </c>
      <c r="O660" t="s">
        <v>27</v>
      </c>
      <c r="P660" t="s">
        <v>42</v>
      </c>
    </row>
    <row r="661" spans="1:16" x14ac:dyDescent="0.25">
      <c r="A661" t="s">
        <v>1105</v>
      </c>
      <c r="B661" t="s">
        <v>1275</v>
      </c>
      <c r="C661" t="s">
        <v>99</v>
      </c>
      <c r="D661" t="s">
        <v>51</v>
      </c>
      <c r="E661" t="s">
        <v>72</v>
      </c>
      <c r="F661" t="s">
        <v>22</v>
      </c>
      <c r="G661" t="s">
        <v>33</v>
      </c>
      <c r="H661" t="s">
        <v>53</v>
      </c>
      <c r="I661">
        <v>1</v>
      </c>
      <c r="J661">
        <v>687643</v>
      </c>
      <c r="K661">
        <v>0</v>
      </c>
      <c r="L661">
        <v>687643</v>
      </c>
      <c r="M661" t="s">
        <v>54</v>
      </c>
      <c r="N661" t="s">
        <v>43</v>
      </c>
      <c r="O661" t="s">
        <v>27</v>
      </c>
      <c r="P661" t="s">
        <v>42</v>
      </c>
    </row>
    <row r="662" spans="1:16" x14ac:dyDescent="0.25">
      <c r="A662" t="s">
        <v>1276</v>
      </c>
      <c r="B662" t="s">
        <v>1277</v>
      </c>
      <c r="C662" t="s">
        <v>37</v>
      </c>
      <c r="D662" t="s">
        <v>20</v>
      </c>
      <c r="E662" t="s">
        <v>21</v>
      </c>
      <c r="F662" t="s">
        <v>22</v>
      </c>
      <c r="G662" t="s">
        <v>33</v>
      </c>
      <c r="H662" t="s">
        <v>24</v>
      </c>
      <c r="I662">
        <v>2</v>
      </c>
      <c r="J662">
        <v>760758</v>
      </c>
      <c r="K662">
        <v>7</v>
      </c>
      <c r="L662">
        <v>1415009.88</v>
      </c>
      <c r="M662" t="s">
        <v>25</v>
      </c>
      <c r="N662" t="s">
        <v>26</v>
      </c>
      <c r="O662" t="s">
        <v>27</v>
      </c>
      <c r="P662" t="s">
        <v>42</v>
      </c>
    </row>
    <row r="663" spans="1:16" x14ac:dyDescent="0.25">
      <c r="A663" t="s">
        <v>982</v>
      </c>
      <c r="B663" t="s">
        <v>1278</v>
      </c>
      <c r="C663" t="s">
        <v>85</v>
      </c>
      <c r="D663" t="s">
        <v>47</v>
      </c>
      <c r="E663" t="s">
        <v>48</v>
      </c>
      <c r="F663" t="s">
        <v>22</v>
      </c>
      <c r="G663" t="s">
        <v>33</v>
      </c>
      <c r="H663" t="s">
        <v>34</v>
      </c>
      <c r="I663">
        <v>2</v>
      </c>
      <c r="J663">
        <v>367269</v>
      </c>
      <c r="K663">
        <v>12</v>
      </c>
      <c r="L663">
        <v>646393.44000000006</v>
      </c>
      <c r="M663" t="s">
        <v>54</v>
      </c>
      <c r="N663" t="s">
        <v>26</v>
      </c>
      <c r="O663" t="s">
        <v>44</v>
      </c>
      <c r="P663" t="s">
        <v>42</v>
      </c>
    </row>
    <row r="664" spans="1:16" x14ac:dyDescent="0.25">
      <c r="A664" t="s">
        <v>1279</v>
      </c>
      <c r="B664" t="s">
        <v>1280</v>
      </c>
      <c r="C664" t="s">
        <v>37</v>
      </c>
      <c r="D664" t="s">
        <v>20</v>
      </c>
      <c r="E664" t="s">
        <v>21</v>
      </c>
      <c r="F664" t="s">
        <v>22</v>
      </c>
      <c r="G664" t="s">
        <v>52</v>
      </c>
      <c r="H664" t="s">
        <v>34</v>
      </c>
      <c r="I664">
        <v>6</v>
      </c>
      <c r="J664">
        <v>342824</v>
      </c>
      <c r="K664">
        <v>2</v>
      </c>
      <c r="L664">
        <v>2015805.12</v>
      </c>
      <c r="M664" t="s">
        <v>25</v>
      </c>
      <c r="N664" t="s">
        <v>43</v>
      </c>
      <c r="O664" t="s">
        <v>27</v>
      </c>
      <c r="P664" t="s">
        <v>55</v>
      </c>
    </row>
    <row r="665" spans="1:16" x14ac:dyDescent="0.25">
      <c r="A665" t="s">
        <v>1281</v>
      </c>
      <c r="B665" t="s">
        <v>1282</v>
      </c>
      <c r="C665" t="s">
        <v>85</v>
      </c>
      <c r="D665" t="s">
        <v>20</v>
      </c>
      <c r="E665" t="s">
        <v>21</v>
      </c>
      <c r="F665" t="s">
        <v>22</v>
      </c>
      <c r="G665" t="s">
        <v>62</v>
      </c>
      <c r="H665" t="s">
        <v>58</v>
      </c>
      <c r="I665">
        <v>3</v>
      </c>
      <c r="J665">
        <v>646350</v>
      </c>
      <c r="K665">
        <v>0</v>
      </c>
      <c r="L665">
        <v>1939050</v>
      </c>
      <c r="M665" t="s">
        <v>25</v>
      </c>
      <c r="N665" t="s">
        <v>26</v>
      </c>
      <c r="O665" t="s">
        <v>27</v>
      </c>
      <c r="P665" t="s">
        <v>26</v>
      </c>
    </row>
    <row r="666" spans="1:16" x14ac:dyDescent="0.25">
      <c r="A666" t="s">
        <v>1283</v>
      </c>
      <c r="B666" t="s">
        <v>1284</v>
      </c>
      <c r="C666" t="s">
        <v>37</v>
      </c>
      <c r="D666" t="s">
        <v>66</v>
      </c>
      <c r="E666" t="s">
        <v>67</v>
      </c>
      <c r="F666" t="s">
        <v>68</v>
      </c>
      <c r="G666" t="s">
        <v>33</v>
      </c>
      <c r="H666" t="s">
        <v>24</v>
      </c>
      <c r="I666">
        <v>3</v>
      </c>
      <c r="J666">
        <v>672133</v>
      </c>
      <c r="K666">
        <v>5</v>
      </c>
      <c r="L666">
        <v>1915579.05</v>
      </c>
      <c r="M666" t="s">
        <v>25</v>
      </c>
      <c r="N666" t="s">
        <v>69</v>
      </c>
      <c r="O666" t="s">
        <v>27</v>
      </c>
      <c r="P666" t="s">
        <v>55</v>
      </c>
    </row>
    <row r="667" spans="1:16" x14ac:dyDescent="0.25">
      <c r="A667" t="s">
        <v>1285</v>
      </c>
      <c r="B667" t="s">
        <v>1286</v>
      </c>
      <c r="C667" t="s">
        <v>19</v>
      </c>
      <c r="D667" t="s">
        <v>66</v>
      </c>
      <c r="E667" t="s">
        <v>201</v>
      </c>
      <c r="F667" t="s">
        <v>68</v>
      </c>
      <c r="G667" t="s">
        <v>41</v>
      </c>
      <c r="H667" t="s">
        <v>53</v>
      </c>
      <c r="I667">
        <v>5</v>
      </c>
      <c r="J667">
        <v>196677</v>
      </c>
      <c r="K667">
        <v>12</v>
      </c>
      <c r="L667">
        <v>865378.8</v>
      </c>
      <c r="M667" t="s">
        <v>54</v>
      </c>
      <c r="N667" t="s">
        <v>26</v>
      </c>
      <c r="O667" t="s">
        <v>44</v>
      </c>
      <c r="P667" t="s">
        <v>26</v>
      </c>
    </row>
    <row r="668" spans="1:16" x14ac:dyDescent="0.25">
      <c r="A668" t="s">
        <v>1287</v>
      </c>
      <c r="B668" t="s">
        <v>1205</v>
      </c>
      <c r="C668" t="s">
        <v>85</v>
      </c>
      <c r="D668" t="s">
        <v>30</v>
      </c>
      <c r="E668" t="s">
        <v>31</v>
      </c>
      <c r="F668" t="s">
        <v>32</v>
      </c>
      <c r="G668" t="s">
        <v>62</v>
      </c>
      <c r="H668" t="s">
        <v>86</v>
      </c>
      <c r="I668">
        <v>7</v>
      </c>
      <c r="J668">
        <v>680299</v>
      </c>
      <c r="K668">
        <v>10</v>
      </c>
      <c r="L668">
        <v>4285883.7</v>
      </c>
      <c r="M668" t="s">
        <v>54</v>
      </c>
      <c r="N668" t="s">
        <v>26</v>
      </c>
      <c r="O668" t="s">
        <v>27</v>
      </c>
      <c r="P668" t="s">
        <v>55</v>
      </c>
    </row>
    <row r="669" spans="1:16" x14ac:dyDescent="0.25">
      <c r="A669" t="s">
        <v>1288</v>
      </c>
      <c r="B669" t="s">
        <v>945</v>
      </c>
      <c r="C669" t="s">
        <v>65</v>
      </c>
      <c r="D669" t="s">
        <v>20</v>
      </c>
      <c r="E669" t="s">
        <v>189</v>
      </c>
      <c r="F669" t="s">
        <v>22</v>
      </c>
      <c r="G669" t="s">
        <v>73</v>
      </c>
      <c r="H669" t="s">
        <v>86</v>
      </c>
      <c r="I669">
        <v>6</v>
      </c>
      <c r="J669">
        <v>739256</v>
      </c>
      <c r="K669">
        <v>10</v>
      </c>
      <c r="L669">
        <v>3991982.4</v>
      </c>
      <c r="M669" t="s">
        <v>42</v>
      </c>
      <c r="N669" t="s">
        <v>69</v>
      </c>
      <c r="O669" t="s">
        <v>44</v>
      </c>
      <c r="P669" t="s">
        <v>26</v>
      </c>
    </row>
    <row r="670" spans="1:16" x14ac:dyDescent="0.25">
      <c r="A670" t="s">
        <v>1289</v>
      </c>
      <c r="B670" t="s">
        <v>813</v>
      </c>
      <c r="C670" t="s">
        <v>99</v>
      </c>
      <c r="D670" t="s">
        <v>20</v>
      </c>
      <c r="E670" t="s">
        <v>21</v>
      </c>
      <c r="F670" t="s">
        <v>22</v>
      </c>
      <c r="G670" t="s">
        <v>62</v>
      </c>
      <c r="H670" t="s">
        <v>24</v>
      </c>
      <c r="I670">
        <v>5</v>
      </c>
      <c r="J670">
        <v>422065</v>
      </c>
      <c r="K670">
        <v>2</v>
      </c>
      <c r="L670">
        <v>2068118.5</v>
      </c>
      <c r="M670" t="s">
        <v>42</v>
      </c>
      <c r="N670" t="s">
        <v>43</v>
      </c>
      <c r="O670" t="s">
        <v>27</v>
      </c>
      <c r="P670" t="s">
        <v>26</v>
      </c>
    </row>
    <row r="671" spans="1:16" x14ac:dyDescent="0.25">
      <c r="A671" t="s">
        <v>1290</v>
      </c>
      <c r="B671" t="s">
        <v>1181</v>
      </c>
      <c r="C671" t="s">
        <v>91</v>
      </c>
      <c r="D671" t="s">
        <v>38</v>
      </c>
      <c r="E671" t="s">
        <v>130</v>
      </c>
      <c r="F671" t="s">
        <v>40</v>
      </c>
      <c r="G671" t="s">
        <v>62</v>
      </c>
      <c r="H671" t="s">
        <v>58</v>
      </c>
      <c r="I671">
        <v>4</v>
      </c>
      <c r="J671">
        <v>761742</v>
      </c>
      <c r="K671">
        <v>7</v>
      </c>
      <c r="L671">
        <v>2833680.24</v>
      </c>
      <c r="M671" t="s">
        <v>54</v>
      </c>
      <c r="N671" t="s">
        <v>43</v>
      </c>
      <c r="O671" t="s">
        <v>44</v>
      </c>
      <c r="P671" t="s">
        <v>42</v>
      </c>
    </row>
    <row r="672" spans="1:16" x14ac:dyDescent="0.25">
      <c r="A672" t="s">
        <v>1291</v>
      </c>
      <c r="B672" t="s">
        <v>1292</v>
      </c>
      <c r="C672" t="s">
        <v>76</v>
      </c>
      <c r="D672" t="s">
        <v>47</v>
      </c>
      <c r="E672" t="s">
        <v>48</v>
      </c>
      <c r="F672" t="s">
        <v>22</v>
      </c>
      <c r="G672" t="s">
        <v>73</v>
      </c>
      <c r="H672" t="s">
        <v>53</v>
      </c>
      <c r="I672">
        <v>3</v>
      </c>
      <c r="J672">
        <v>464043</v>
      </c>
      <c r="K672">
        <v>12</v>
      </c>
      <c r="L672">
        <v>1225073.52</v>
      </c>
      <c r="M672" t="s">
        <v>42</v>
      </c>
      <c r="N672" t="s">
        <v>26</v>
      </c>
      <c r="O672" t="s">
        <v>27</v>
      </c>
      <c r="P672" t="s">
        <v>26</v>
      </c>
    </row>
    <row r="673" spans="1:16" x14ac:dyDescent="0.25">
      <c r="A673" t="s">
        <v>1293</v>
      </c>
      <c r="B673" t="s">
        <v>478</v>
      </c>
      <c r="C673" t="s">
        <v>85</v>
      </c>
      <c r="D673" t="s">
        <v>154</v>
      </c>
      <c r="E673" t="s">
        <v>67</v>
      </c>
      <c r="F673" t="s">
        <v>68</v>
      </c>
      <c r="G673" t="s">
        <v>52</v>
      </c>
      <c r="H673" t="s">
        <v>58</v>
      </c>
      <c r="I673">
        <v>7</v>
      </c>
      <c r="J673">
        <v>347026</v>
      </c>
      <c r="K673">
        <v>12</v>
      </c>
      <c r="L673">
        <v>2137680.16</v>
      </c>
      <c r="M673" t="s">
        <v>25</v>
      </c>
      <c r="N673" t="s">
        <v>69</v>
      </c>
      <c r="O673" t="s">
        <v>27</v>
      </c>
      <c r="P673" t="s">
        <v>55</v>
      </c>
    </row>
    <row r="674" spans="1:16" x14ac:dyDescent="0.25">
      <c r="A674" t="s">
        <v>1294</v>
      </c>
      <c r="B674" t="s">
        <v>1156</v>
      </c>
      <c r="C674" t="s">
        <v>198</v>
      </c>
      <c r="D674" t="s">
        <v>30</v>
      </c>
      <c r="E674" t="s">
        <v>31</v>
      </c>
      <c r="F674" t="s">
        <v>32</v>
      </c>
      <c r="G674" t="s">
        <v>62</v>
      </c>
      <c r="H674" t="s">
        <v>86</v>
      </c>
      <c r="I674">
        <v>6</v>
      </c>
      <c r="J674">
        <v>698912</v>
      </c>
      <c r="M674" t="s">
        <v>42</v>
      </c>
      <c r="N674" t="s">
        <v>69</v>
      </c>
      <c r="O674" t="s">
        <v>27</v>
      </c>
      <c r="P674" t="s">
        <v>55</v>
      </c>
    </row>
    <row r="675" spans="1:16" x14ac:dyDescent="0.25">
      <c r="A675" t="s">
        <v>1295</v>
      </c>
      <c r="B675" t="s">
        <v>1296</v>
      </c>
      <c r="C675" t="s">
        <v>85</v>
      </c>
      <c r="D675" t="s">
        <v>20</v>
      </c>
      <c r="E675" t="s">
        <v>21</v>
      </c>
      <c r="F675" t="s">
        <v>22</v>
      </c>
      <c r="G675" t="s">
        <v>33</v>
      </c>
      <c r="H675" t="s">
        <v>34</v>
      </c>
      <c r="I675">
        <v>1</v>
      </c>
      <c r="J675">
        <v>451294</v>
      </c>
      <c r="K675">
        <v>0</v>
      </c>
      <c r="L675">
        <v>451294</v>
      </c>
      <c r="M675" t="s">
        <v>25</v>
      </c>
      <c r="N675" t="s">
        <v>26</v>
      </c>
      <c r="O675" t="s">
        <v>44</v>
      </c>
      <c r="P675" t="s">
        <v>42</v>
      </c>
    </row>
    <row r="676" spans="1:16" x14ac:dyDescent="0.25">
      <c r="A676" t="s">
        <v>1297</v>
      </c>
      <c r="B676" t="s">
        <v>952</v>
      </c>
      <c r="C676" t="s">
        <v>76</v>
      </c>
      <c r="D676" t="s">
        <v>47</v>
      </c>
      <c r="E676" t="s">
        <v>48</v>
      </c>
      <c r="F676" t="s">
        <v>22</v>
      </c>
      <c r="G676" t="s">
        <v>62</v>
      </c>
      <c r="H676" t="s">
        <v>53</v>
      </c>
      <c r="I676">
        <v>6</v>
      </c>
      <c r="J676">
        <v>581125</v>
      </c>
      <c r="K676">
        <v>0</v>
      </c>
      <c r="L676">
        <v>3486750</v>
      </c>
      <c r="M676" t="s">
        <v>54</v>
      </c>
      <c r="N676" t="s">
        <v>43</v>
      </c>
      <c r="O676" t="s">
        <v>44</v>
      </c>
      <c r="P676" t="s">
        <v>55</v>
      </c>
    </row>
    <row r="677" spans="1:16" x14ac:dyDescent="0.25">
      <c r="A677" t="s">
        <v>1298</v>
      </c>
      <c r="B677" t="s">
        <v>1299</v>
      </c>
      <c r="C677" t="s">
        <v>37</v>
      </c>
      <c r="D677" t="s">
        <v>30</v>
      </c>
      <c r="E677" t="s">
        <v>31</v>
      </c>
      <c r="F677" t="s">
        <v>32</v>
      </c>
      <c r="G677" t="s">
        <v>52</v>
      </c>
      <c r="H677" t="s">
        <v>86</v>
      </c>
      <c r="I677">
        <v>5</v>
      </c>
      <c r="J677">
        <v>401530</v>
      </c>
      <c r="K677">
        <v>2</v>
      </c>
      <c r="L677">
        <v>1967497</v>
      </c>
      <c r="M677" t="s">
        <v>42</v>
      </c>
      <c r="N677" t="s">
        <v>69</v>
      </c>
      <c r="O677" t="s">
        <v>27</v>
      </c>
      <c r="P677" t="s">
        <v>42</v>
      </c>
    </row>
    <row r="678" spans="1:16" x14ac:dyDescent="0.25">
      <c r="A678" t="s">
        <v>1300</v>
      </c>
      <c r="B678" t="s">
        <v>1301</v>
      </c>
      <c r="C678" t="s">
        <v>76</v>
      </c>
      <c r="D678" t="s">
        <v>38</v>
      </c>
      <c r="E678" t="s">
        <v>39</v>
      </c>
      <c r="F678" t="s">
        <v>40</v>
      </c>
      <c r="G678" t="s">
        <v>52</v>
      </c>
      <c r="H678" t="s">
        <v>53</v>
      </c>
      <c r="I678">
        <v>5</v>
      </c>
      <c r="J678">
        <v>522706</v>
      </c>
      <c r="K678">
        <v>0</v>
      </c>
      <c r="L678">
        <v>2613530</v>
      </c>
      <c r="M678" t="s">
        <v>42</v>
      </c>
      <c r="N678" t="s">
        <v>43</v>
      </c>
      <c r="O678" t="s">
        <v>44</v>
      </c>
      <c r="P678" t="s">
        <v>26</v>
      </c>
    </row>
    <row r="679" spans="1:16" x14ac:dyDescent="0.25">
      <c r="A679" t="s">
        <v>1302</v>
      </c>
      <c r="B679" t="s">
        <v>1303</v>
      </c>
      <c r="C679" t="s">
        <v>79</v>
      </c>
      <c r="D679" t="s">
        <v>20</v>
      </c>
      <c r="E679" t="s">
        <v>21</v>
      </c>
      <c r="F679" t="s">
        <v>22</v>
      </c>
      <c r="G679" t="s">
        <v>23</v>
      </c>
      <c r="H679" t="s">
        <v>34</v>
      </c>
      <c r="I679">
        <v>3</v>
      </c>
      <c r="J679">
        <v>715874</v>
      </c>
      <c r="K679">
        <v>5</v>
      </c>
      <c r="L679">
        <v>2040240.9</v>
      </c>
      <c r="M679" t="s">
        <v>54</v>
      </c>
      <c r="N679" t="s">
        <v>26</v>
      </c>
      <c r="O679" t="s">
        <v>44</v>
      </c>
      <c r="P679" t="s">
        <v>26</v>
      </c>
    </row>
    <row r="680" spans="1:16" x14ac:dyDescent="0.25">
      <c r="A680" t="s">
        <v>1304</v>
      </c>
      <c r="B680" t="s">
        <v>1305</v>
      </c>
      <c r="C680" t="s">
        <v>85</v>
      </c>
      <c r="D680" t="s">
        <v>38</v>
      </c>
      <c r="E680" t="s">
        <v>130</v>
      </c>
      <c r="F680" t="s">
        <v>40</v>
      </c>
      <c r="G680" t="s">
        <v>33</v>
      </c>
      <c r="H680" t="s">
        <v>58</v>
      </c>
      <c r="I680">
        <v>1</v>
      </c>
      <c r="J680">
        <v>313274</v>
      </c>
      <c r="M680" t="s">
        <v>25</v>
      </c>
      <c r="N680" t="s">
        <v>26</v>
      </c>
      <c r="O680" t="s">
        <v>27</v>
      </c>
      <c r="P680" t="s">
        <v>55</v>
      </c>
    </row>
    <row r="681" spans="1:16" x14ac:dyDescent="0.25">
      <c r="A681" t="s">
        <v>1306</v>
      </c>
      <c r="B681" t="s">
        <v>802</v>
      </c>
      <c r="C681" t="s">
        <v>19</v>
      </c>
      <c r="D681" t="s">
        <v>154</v>
      </c>
      <c r="E681" t="s">
        <v>67</v>
      </c>
      <c r="F681" t="s">
        <v>68</v>
      </c>
      <c r="G681" t="s">
        <v>41</v>
      </c>
      <c r="H681" t="s">
        <v>34</v>
      </c>
      <c r="I681">
        <v>4</v>
      </c>
      <c r="J681">
        <v>698110</v>
      </c>
      <c r="M681" t="s">
        <v>42</v>
      </c>
      <c r="N681" t="s">
        <v>26</v>
      </c>
      <c r="O681" t="s">
        <v>27</v>
      </c>
      <c r="P681" t="s">
        <v>55</v>
      </c>
    </row>
    <row r="682" spans="1:16" x14ac:dyDescent="0.25">
      <c r="A682" t="s">
        <v>1307</v>
      </c>
      <c r="B682" t="s">
        <v>1308</v>
      </c>
      <c r="C682" t="s">
        <v>79</v>
      </c>
      <c r="D682" t="s">
        <v>47</v>
      </c>
      <c r="E682" t="s">
        <v>48</v>
      </c>
      <c r="F682" t="s">
        <v>22</v>
      </c>
      <c r="G682" t="s">
        <v>73</v>
      </c>
      <c r="H682" t="s">
        <v>58</v>
      </c>
      <c r="I682">
        <v>2</v>
      </c>
      <c r="J682">
        <v>175222</v>
      </c>
      <c r="K682">
        <v>2</v>
      </c>
      <c r="L682">
        <v>343435.12</v>
      </c>
      <c r="M682" t="s">
        <v>54</v>
      </c>
      <c r="N682" t="s">
        <v>43</v>
      </c>
      <c r="O682" t="s">
        <v>27</v>
      </c>
      <c r="P682" t="s">
        <v>55</v>
      </c>
    </row>
    <row r="683" spans="1:16" x14ac:dyDescent="0.25">
      <c r="A683" t="s">
        <v>1309</v>
      </c>
      <c r="B683" t="s">
        <v>1310</v>
      </c>
      <c r="C683" t="s">
        <v>85</v>
      </c>
      <c r="D683" t="s">
        <v>119</v>
      </c>
      <c r="E683" t="s">
        <v>21</v>
      </c>
      <c r="F683" t="s">
        <v>22</v>
      </c>
      <c r="G683" t="s">
        <v>62</v>
      </c>
      <c r="H683" t="s">
        <v>58</v>
      </c>
      <c r="I683">
        <v>6</v>
      </c>
      <c r="J683">
        <v>210180</v>
      </c>
      <c r="K683">
        <v>7</v>
      </c>
      <c r="L683">
        <v>1172804.3999999999</v>
      </c>
      <c r="M683" t="s">
        <v>25</v>
      </c>
      <c r="N683" t="s">
        <v>69</v>
      </c>
      <c r="O683" t="s">
        <v>44</v>
      </c>
      <c r="P683" t="s">
        <v>42</v>
      </c>
    </row>
    <row r="684" spans="1:16" x14ac:dyDescent="0.25">
      <c r="A684" t="s">
        <v>1311</v>
      </c>
      <c r="B684" t="s">
        <v>1312</v>
      </c>
      <c r="C684" t="s">
        <v>37</v>
      </c>
      <c r="D684" t="s">
        <v>47</v>
      </c>
      <c r="E684" t="s">
        <v>48</v>
      </c>
      <c r="F684" t="s">
        <v>22</v>
      </c>
      <c r="G684" t="s">
        <v>41</v>
      </c>
      <c r="H684" t="s">
        <v>53</v>
      </c>
      <c r="I684">
        <v>2</v>
      </c>
      <c r="J684">
        <v>597798</v>
      </c>
      <c r="K684">
        <v>0</v>
      </c>
      <c r="L684">
        <v>1195596</v>
      </c>
      <c r="M684" t="s">
        <v>25</v>
      </c>
      <c r="N684" t="s">
        <v>26</v>
      </c>
      <c r="O684" t="s">
        <v>27</v>
      </c>
      <c r="P684" t="s">
        <v>26</v>
      </c>
    </row>
    <row r="685" spans="1:16" x14ac:dyDescent="0.25">
      <c r="A685" t="s">
        <v>1313</v>
      </c>
      <c r="B685" t="s">
        <v>1314</v>
      </c>
      <c r="C685" t="s">
        <v>61</v>
      </c>
      <c r="D685" t="s">
        <v>20</v>
      </c>
      <c r="E685" t="s">
        <v>21</v>
      </c>
      <c r="F685" t="s">
        <v>22</v>
      </c>
      <c r="G685" t="s">
        <v>62</v>
      </c>
      <c r="H685" t="s">
        <v>53</v>
      </c>
      <c r="I685">
        <v>1</v>
      </c>
      <c r="J685">
        <v>94593</v>
      </c>
      <c r="K685">
        <v>12</v>
      </c>
      <c r="L685">
        <v>83241.84</v>
      </c>
      <c r="M685" t="s">
        <v>25</v>
      </c>
      <c r="N685" t="s">
        <v>26</v>
      </c>
      <c r="O685" t="s">
        <v>44</v>
      </c>
      <c r="P685" t="s">
        <v>55</v>
      </c>
    </row>
    <row r="686" spans="1:16" x14ac:dyDescent="0.25">
      <c r="A686" t="s">
        <v>1315</v>
      </c>
      <c r="B686" t="s">
        <v>258</v>
      </c>
      <c r="C686" t="s">
        <v>76</v>
      </c>
      <c r="D686" t="s">
        <v>30</v>
      </c>
      <c r="E686" t="s">
        <v>31</v>
      </c>
      <c r="F686" t="s">
        <v>32</v>
      </c>
      <c r="G686" t="s">
        <v>62</v>
      </c>
      <c r="H686" t="s">
        <v>58</v>
      </c>
      <c r="I686">
        <v>5</v>
      </c>
      <c r="J686">
        <v>239418</v>
      </c>
      <c r="K686">
        <v>2</v>
      </c>
      <c r="L686">
        <v>1173148.2</v>
      </c>
      <c r="M686" t="s">
        <v>25</v>
      </c>
      <c r="N686" t="s">
        <v>69</v>
      </c>
      <c r="O686" t="s">
        <v>44</v>
      </c>
      <c r="P686" t="s">
        <v>55</v>
      </c>
    </row>
    <row r="687" spans="1:16" x14ac:dyDescent="0.25">
      <c r="A687" t="s">
        <v>1316</v>
      </c>
      <c r="B687" t="s">
        <v>827</v>
      </c>
      <c r="C687" t="s">
        <v>85</v>
      </c>
      <c r="D687" t="s">
        <v>20</v>
      </c>
      <c r="E687" t="s">
        <v>21</v>
      </c>
      <c r="F687" t="s">
        <v>22</v>
      </c>
      <c r="G687" t="s">
        <v>52</v>
      </c>
      <c r="H687" t="s">
        <v>86</v>
      </c>
      <c r="I687">
        <v>7</v>
      </c>
      <c r="J687">
        <v>729187</v>
      </c>
      <c r="K687">
        <v>5</v>
      </c>
      <c r="L687">
        <v>4849093.55</v>
      </c>
      <c r="M687" t="s">
        <v>25</v>
      </c>
      <c r="N687" t="s">
        <v>26</v>
      </c>
      <c r="O687" t="s">
        <v>27</v>
      </c>
      <c r="P687" t="s">
        <v>42</v>
      </c>
    </row>
    <row r="688" spans="1:16" x14ac:dyDescent="0.25">
      <c r="A688" t="s">
        <v>1317</v>
      </c>
      <c r="B688" t="s">
        <v>1318</v>
      </c>
      <c r="C688" t="s">
        <v>19</v>
      </c>
      <c r="D688" t="s">
        <v>38</v>
      </c>
      <c r="E688" t="s">
        <v>39</v>
      </c>
      <c r="F688" t="s">
        <v>40</v>
      </c>
      <c r="G688" t="s">
        <v>135</v>
      </c>
      <c r="H688" t="s">
        <v>86</v>
      </c>
      <c r="I688">
        <v>8</v>
      </c>
      <c r="J688">
        <v>384922</v>
      </c>
      <c r="K688">
        <v>0</v>
      </c>
      <c r="L688">
        <v>3079376</v>
      </c>
      <c r="M688" t="s">
        <v>54</v>
      </c>
      <c r="N688" t="s">
        <v>69</v>
      </c>
      <c r="O688" t="s">
        <v>27</v>
      </c>
      <c r="P688" t="s">
        <v>42</v>
      </c>
    </row>
    <row r="689" spans="1:16" x14ac:dyDescent="0.25">
      <c r="A689" t="s">
        <v>1319</v>
      </c>
      <c r="B689" t="s">
        <v>1320</v>
      </c>
      <c r="C689" t="s">
        <v>99</v>
      </c>
      <c r="D689" t="s">
        <v>38</v>
      </c>
      <c r="E689" t="s">
        <v>39</v>
      </c>
      <c r="F689" t="s">
        <v>40</v>
      </c>
      <c r="G689" t="s">
        <v>62</v>
      </c>
      <c r="H689" t="s">
        <v>34</v>
      </c>
      <c r="I689">
        <v>3</v>
      </c>
      <c r="J689">
        <v>374376</v>
      </c>
      <c r="K689">
        <v>2</v>
      </c>
      <c r="L689">
        <v>1100665.44</v>
      </c>
      <c r="M689" t="s">
        <v>42</v>
      </c>
      <c r="N689" t="s">
        <v>69</v>
      </c>
      <c r="O689" t="s">
        <v>27</v>
      </c>
      <c r="P689" t="s">
        <v>26</v>
      </c>
    </row>
    <row r="690" spans="1:16" x14ac:dyDescent="0.25">
      <c r="A690" t="s">
        <v>1321</v>
      </c>
      <c r="B690" t="s">
        <v>1322</v>
      </c>
      <c r="C690" t="s">
        <v>37</v>
      </c>
      <c r="D690" t="s">
        <v>20</v>
      </c>
      <c r="E690" t="s">
        <v>21</v>
      </c>
      <c r="F690" t="s">
        <v>22</v>
      </c>
      <c r="G690" t="s">
        <v>73</v>
      </c>
      <c r="H690" t="s">
        <v>53</v>
      </c>
      <c r="I690">
        <v>5</v>
      </c>
      <c r="J690">
        <v>262863</v>
      </c>
      <c r="K690">
        <v>0</v>
      </c>
      <c r="L690">
        <v>1314315</v>
      </c>
      <c r="M690" t="s">
        <v>42</v>
      </c>
      <c r="N690" t="s">
        <v>69</v>
      </c>
      <c r="O690" t="s">
        <v>44</v>
      </c>
      <c r="P690" t="s">
        <v>55</v>
      </c>
    </row>
    <row r="691" spans="1:16" x14ac:dyDescent="0.25">
      <c r="A691" t="s">
        <v>1323</v>
      </c>
      <c r="B691" t="s">
        <v>1324</v>
      </c>
      <c r="C691" t="s">
        <v>65</v>
      </c>
      <c r="D691" t="s">
        <v>106</v>
      </c>
      <c r="E691" t="s">
        <v>31</v>
      </c>
      <c r="F691" t="s">
        <v>32</v>
      </c>
      <c r="G691" t="s">
        <v>62</v>
      </c>
      <c r="H691" t="s">
        <v>24</v>
      </c>
      <c r="I691">
        <v>8</v>
      </c>
      <c r="J691">
        <v>325065</v>
      </c>
      <c r="K691">
        <v>2</v>
      </c>
      <c r="L691">
        <v>2548509.6</v>
      </c>
      <c r="M691" t="s">
        <v>54</v>
      </c>
      <c r="N691" t="s">
        <v>69</v>
      </c>
      <c r="O691" t="s">
        <v>27</v>
      </c>
      <c r="P691" t="s">
        <v>26</v>
      </c>
    </row>
    <row r="692" spans="1:16" x14ac:dyDescent="0.25">
      <c r="A692" t="s">
        <v>1325</v>
      </c>
      <c r="B692" t="s">
        <v>1326</v>
      </c>
      <c r="C692" t="s">
        <v>19</v>
      </c>
      <c r="D692" t="s">
        <v>20</v>
      </c>
      <c r="E692" t="s">
        <v>21</v>
      </c>
      <c r="F692" t="s">
        <v>22</v>
      </c>
      <c r="G692" t="s">
        <v>62</v>
      </c>
      <c r="H692" t="s">
        <v>24</v>
      </c>
      <c r="I692">
        <v>4</v>
      </c>
      <c r="J692">
        <v>727592</v>
      </c>
      <c r="K692">
        <v>5</v>
      </c>
      <c r="L692">
        <v>2764849.6</v>
      </c>
      <c r="M692" t="s">
        <v>54</v>
      </c>
      <c r="N692" t="s">
        <v>69</v>
      </c>
      <c r="O692" t="s">
        <v>44</v>
      </c>
      <c r="P692" t="s">
        <v>26</v>
      </c>
    </row>
    <row r="693" spans="1:16" x14ac:dyDescent="0.25">
      <c r="A693" t="s">
        <v>1327</v>
      </c>
      <c r="B693" t="s">
        <v>1186</v>
      </c>
      <c r="C693" t="s">
        <v>65</v>
      </c>
      <c r="D693" t="s">
        <v>38</v>
      </c>
      <c r="E693" t="s">
        <v>39</v>
      </c>
      <c r="F693" t="s">
        <v>40</v>
      </c>
      <c r="G693" t="s">
        <v>73</v>
      </c>
      <c r="H693" t="s">
        <v>24</v>
      </c>
      <c r="I693">
        <v>3</v>
      </c>
      <c r="J693">
        <v>453409</v>
      </c>
      <c r="K693">
        <v>2</v>
      </c>
      <c r="L693">
        <v>1333022.46</v>
      </c>
      <c r="M693" t="s">
        <v>25</v>
      </c>
      <c r="N693" t="s">
        <v>43</v>
      </c>
      <c r="O693" t="s">
        <v>27</v>
      </c>
      <c r="P693" t="s">
        <v>26</v>
      </c>
    </row>
    <row r="694" spans="1:16" x14ac:dyDescent="0.25">
      <c r="A694" t="s">
        <v>1328</v>
      </c>
      <c r="B694" t="s">
        <v>1329</v>
      </c>
      <c r="C694" t="s">
        <v>65</v>
      </c>
      <c r="D694" t="s">
        <v>38</v>
      </c>
      <c r="E694" t="s">
        <v>39</v>
      </c>
      <c r="F694" t="s">
        <v>40</v>
      </c>
      <c r="G694" t="s">
        <v>89</v>
      </c>
      <c r="H694" t="s">
        <v>86</v>
      </c>
      <c r="I694">
        <v>8</v>
      </c>
      <c r="J694">
        <v>860602</v>
      </c>
      <c r="K694">
        <v>5</v>
      </c>
      <c r="L694">
        <v>6540575.1999999993</v>
      </c>
      <c r="M694" t="s">
        <v>54</v>
      </c>
      <c r="N694" t="s">
        <v>69</v>
      </c>
      <c r="O694" t="s">
        <v>44</v>
      </c>
      <c r="P694" t="s">
        <v>42</v>
      </c>
    </row>
    <row r="695" spans="1:16" x14ac:dyDescent="0.25">
      <c r="A695" t="s">
        <v>1330</v>
      </c>
      <c r="B695" t="s">
        <v>1149</v>
      </c>
      <c r="C695" t="s">
        <v>79</v>
      </c>
      <c r="D695" t="s">
        <v>47</v>
      </c>
      <c r="E695" t="s">
        <v>48</v>
      </c>
      <c r="F695" t="s">
        <v>22</v>
      </c>
      <c r="G695" t="s">
        <v>33</v>
      </c>
      <c r="H695" t="s">
        <v>86</v>
      </c>
      <c r="I695">
        <v>5</v>
      </c>
      <c r="J695">
        <v>478092</v>
      </c>
      <c r="K695">
        <v>0</v>
      </c>
      <c r="L695">
        <v>2390460</v>
      </c>
      <c r="M695" t="s">
        <v>54</v>
      </c>
      <c r="N695" t="s">
        <v>43</v>
      </c>
      <c r="O695" t="s">
        <v>44</v>
      </c>
      <c r="P695" t="s">
        <v>55</v>
      </c>
    </row>
    <row r="696" spans="1:16" x14ac:dyDescent="0.25">
      <c r="A696" t="s">
        <v>1331</v>
      </c>
      <c r="B696" t="s">
        <v>1332</v>
      </c>
      <c r="C696" t="s">
        <v>19</v>
      </c>
      <c r="D696" t="s">
        <v>47</v>
      </c>
      <c r="E696" t="s">
        <v>48</v>
      </c>
      <c r="F696" t="s">
        <v>22</v>
      </c>
      <c r="G696" t="s">
        <v>62</v>
      </c>
      <c r="H696" t="s">
        <v>34</v>
      </c>
      <c r="I696">
        <v>6</v>
      </c>
      <c r="J696">
        <v>634200</v>
      </c>
      <c r="K696">
        <v>2</v>
      </c>
      <c r="L696">
        <v>3729096</v>
      </c>
      <c r="M696" t="s">
        <v>25</v>
      </c>
      <c r="N696" t="s">
        <v>43</v>
      </c>
      <c r="O696" t="s">
        <v>44</v>
      </c>
      <c r="P696" t="s">
        <v>26</v>
      </c>
    </row>
    <row r="697" spans="1:16" x14ac:dyDescent="0.25">
      <c r="A697" t="s">
        <v>1333</v>
      </c>
      <c r="B697" t="s">
        <v>1334</v>
      </c>
      <c r="C697" t="s">
        <v>76</v>
      </c>
      <c r="D697" t="s">
        <v>38</v>
      </c>
      <c r="E697" t="s">
        <v>39</v>
      </c>
      <c r="F697" t="s">
        <v>40</v>
      </c>
      <c r="G697" t="s">
        <v>23</v>
      </c>
      <c r="H697" t="s">
        <v>53</v>
      </c>
      <c r="I697">
        <v>1</v>
      </c>
      <c r="J697">
        <v>379461</v>
      </c>
      <c r="K697">
        <v>2</v>
      </c>
      <c r="L697">
        <v>371871.78</v>
      </c>
      <c r="M697" t="s">
        <v>42</v>
      </c>
      <c r="N697" t="s">
        <v>26</v>
      </c>
      <c r="O697" t="s">
        <v>44</v>
      </c>
      <c r="P697" t="s">
        <v>42</v>
      </c>
    </row>
    <row r="698" spans="1:16" x14ac:dyDescent="0.25">
      <c r="A698" t="s">
        <v>1335</v>
      </c>
      <c r="B698" t="s">
        <v>530</v>
      </c>
      <c r="C698" t="s">
        <v>65</v>
      </c>
      <c r="D698" t="s">
        <v>30</v>
      </c>
      <c r="E698" t="s">
        <v>31</v>
      </c>
      <c r="F698" t="s">
        <v>32</v>
      </c>
      <c r="G698" t="s">
        <v>62</v>
      </c>
      <c r="H698" t="s">
        <v>53</v>
      </c>
      <c r="I698">
        <v>7</v>
      </c>
      <c r="J698">
        <v>58460</v>
      </c>
      <c r="K698">
        <v>7</v>
      </c>
      <c r="L698">
        <v>380574.6</v>
      </c>
      <c r="M698" t="s">
        <v>54</v>
      </c>
      <c r="N698" t="s">
        <v>26</v>
      </c>
      <c r="O698" t="s">
        <v>44</v>
      </c>
      <c r="P698" t="s">
        <v>42</v>
      </c>
    </row>
    <row r="699" spans="1:16" x14ac:dyDescent="0.25">
      <c r="A699" t="s">
        <v>1336</v>
      </c>
      <c r="B699" t="s">
        <v>865</v>
      </c>
      <c r="C699" t="s">
        <v>61</v>
      </c>
      <c r="D699" t="s">
        <v>47</v>
      </c>
      <c r="E699" t="s">
        <v>48</v>
      </c>
      <c r="F699" t="s">
        <v>22</v>
      </c>
      <c r="G699" t="s">
        <v>52</v>
      </c>
      <c r="H699" t="s">
        <v>34</v>
      </c>
      <c r="I699">
        <v>4</v>
      </c>
      <c r="J699">
        <v>650617</v>
      </c>
      <c r="K699">
        <v>7</v>
      </c>
      <c r="L699">
        <v>2420295.2400000002</v>
      </c>
      <c r="M699" t="s">
        <v>42</v>
      </c>
      <c r="N699" t="s">
        <v>26</v>
      </c>
      <c r="O699" t="s">
        <v>44</v>
      </c>
      <c r="P699" t="s">
        <v>26</v>
      </c>
    </row>
    <row r="700" spans="1:16" x14ac:dyDescent="0.25">
      <c r="A700" t="s">
        <v>1337</v>
      </c>
      <c r="B700" t="s">
        <v>1338</v>
      </c>
      <c r="C700" t="s">
        <v>79</v>
      </c>
      <c r="D700" t="s">
        <v>47</v>
      </c>
      <c r="E700" t="s">
        <v>72</v>
      </c>
      <c r="F700" t="s">
        <v>22</v>
      </c>
      <c r="G700" t="s">
        <v>94</v>
      </c>
      <c r="H700" t="s">
        <v>86</v>
      </c>
      <c r="I700">
        <v>4</v>
      </c>
      <c r="J700">
        <v>797787</v>
      </c>
      <c r="K700">
        <v>5</v>
      </c>
      <c r="L700">
        <v>3031590.6</v>
      </c>
      <c r="M700" t="s">
        <v>42</v>
      </c>
      <c r="N700" t="s">
        <v>43</v>
      </c>
      <c r="O700" t="s">
        <v>27</v>
      </c>
      <c r="P700" t="s">
        <v>42</v>
      </c>
    </row>
    <row r="701" spans="1:16" x14ac:dyDescent="0.25">
      <c r="A701" t="s">
        <v>1339</v>
      </c>
      <c r="B701" t="s">
        <v>252</v>
      </c>
      <c r="C701" t="s">
        <v>91</v>
      </c>
      <c r="D701" t="s">
        <v>38</v>
      </c>
      <c r="E701" t="s">
        <v>39</v>
      </c>
      <c r="F701" t="s">
        <v>40</v>
      </c>
      <c r="G701" t="s">
        <v>41</v>
      </c>
      <c r="H701" t="s">
        <v>58</v>
      </c>
      <c r="I701">
        <v>5</v>
      </c>
      <c r="J701">
        <v>61995</v>
      </c>
      <c r="K701">
        <v>0</v>
      </c>
      <c r="L701">
        <v>309975</v>
      </c>
      <c r="M701" t="s">
        <v>25</v>
      </c>
      <c r="N701" t="s">
        <v>43</v>
      </c>
      <c r="O701" t="s">
        <v>27</v>
      </c>
      <c r="P701" t="s">
        <v>42</v>
      </c>
    </row>
    <row r="702" spans="1:16" x14ac:dyDescent="0.25">
      <c r="A702" t="s">
        <v>1340</v>
      </c>
      <c r="B702" t="s">
        <v>1215</v>
      </c>
      <c r="C702" t="s">
        <v>37</v>
      </c>
      <c r="D702" t="s">
        <v>38</v>
      </c>
      <c r="E702" t="s">
        <v>39</v>
      </c>
      <c r="F702" t="s">
        <v>40</v>
      </c>
      <c r="G702" t="s">
        <v>41</v>
      </c>
      <c r="H702" t="s">
        <v>34</v>
      </c>
      <c r="I702">
        <v>5</v>
      </c>
      <c r="J702">
        <v>706433</v>
      </c>
      <c r="K702">
        <v>10</v>
      </c>
      <c r="L702">
        <v>3178948.5</v>
      </c>
      <c r="M702" t="s">
        <v>42</v>
      </c>
      <c r="N702" t="s">
        <v>69</v>
      </c>
      <c r="O702" t="s">
        <v>27</v>
      </c>
      <c r="P702" t="s">
        <v>55</v>
      </c>
    </row>
    <row r="703" spans="1:16" x14ac:dyDescent="0.25">
      <c r="A703" t="s">
        <v>1341</v>
      </c>
      <c r="B703" t="s">
        <v>1220</v>
      </c>
      <c r="C703" t="s">
        <v>37</v>
      </c>
      <c r="D703" t="s">
        <v>51</v>
      </c>
      <c r="E703" t="s">
        <v>48</v>
      </c>
      <c r="F703" t="s">
        <v>22</v>
      </c>
      <c r="G703" t="s">
        <v>52</v>
      </c>
      <c r="H703" t="s">
        <v>24</v>
      </c>
      <c r="I703">
        <v>2</v>
      </c>
      <c r="J703">
        <v>525218</v>
      </c>
      <c r="K703">
        <v>7</v>
      </c>
      <c r="L703">
        <v>976905.48</v>
      </c>
      <c r="M703" t="s">
        <v>42</v>
      </c>
      <c r="N703" t="s">
        <v>43</v>
      </c>
      <c r="O703" t="s">
        <v>44</v>
      </c>
      <c r="P703" t="s">
        <v>55</v>
      </c>
    </row>
    <row r="704" spans="1:16" x14ac:dyDescent="0.25">
      <c r="A704" t="s">
        <v>1342</v>
      </c>
      <c r="B704" t="s">
        <v>1343</v>
      </c>
      <c r="C704" t="s">
        <v>76</v>
      </c>
      <c r="D704" t="s">
        <v>51</v>
      </c>
      <c r="E704" t="s">
        <v>48</v>
      </c>
      <c r="F704" t="s">
        <v>22</v>
      </c>
      <c r="G704" t="s">
        <v>52</v>
      </c>
      <c r="H704" t="s">
        <v>24</v>
      </c>
      <c r="I704">
        <v>1</v>
      </c>
      <c r="J704">
        <v>553108</v>
      </c>
      <c r="K704">
        <v>7</v>
      </c>
      <c r="L704">
        <v>514390.43999999989</v>
      </c>
      <c r="M704" t="s">
        <v>54</v>
      </c>
      <c r="N704" t="s">
        <v>69</v>
      </c>
      <c r="O704" t="s">
        <v>27</v>
      </c>
      <c r="P704" t="s">
        <v>26</v>
      </c>
    </row>
    <row r="705" spans="1:16" x14ac:dyDescent="0.25">
      <c r="A705" t="s">
        <v>1344</v>
      </c>
      <c r="B705" t="s">
        <v>266</v>
      </c>
      <c r="C705" t="s">
        <v>91</v>
      </c>
      <c r="D705" t="s">
        <v>66</v>
      </c>
      <c r="E705" t="s">
        <v>67</v>
      </c>
      <c r="F705" t="s">
        <v>68</v>
      </c>
      <c r="G705" t="s">
        <v>41</v>
      </c>
      <c r="H705" t="s">
        <v>86</v>
      </c>
      <c r="I705">
        <v>2</v>
      </c>
      <c r="J705">
        <v>387438</v>
      </c>
      <c r="K705">
        <v>10</v>
      </c>
      <c r="L705">
        <v>697388.4</v>
      </c>
      <c r="M705" t="s">
        <v>42</v>
      </c>
      <c r="N705" t="s">
        <v>69</v>
      </c>
      <c r="O705" t="s">
        <v>27</v>
      </c>
      <c r="P705" t="s">
        <v>42</v>
      </c>
    </row>
    <row r="706" spans="1:16" x14ac:dyDescent="0.25">
      <c r="A706" t="s">
        <v>1345</v>
      </c>
      <c r="B706" t="s">
        <v>699</v>
      </c>
      <c r="C706" t="s">
        <v>37</v>
      </c>
      <c r="D706" t="s">
        <v>66</v>
      </c>
      <c r="E706" t="s">
        <v>67</v>
      </c>
      <c r="F706" t="s">
        <v>68</v>
      </c>
      <c r="G706" t="s">
        <v>62</v>
      </c>
      <c r="H706" t="s">
        <v>86</v>
      </c>
      <c r="I706">
        <v>3</v>
      </c>
      <c r="J706">
        <v>143228</v>
      </c>
      <c r="K706">
        <v>2</v>
      </c>
      <c r="L706">
        <v>421090.32</v>
      </c>
      <c r="M706" t="s">
        <v>25</v>
      </c>
      <c r="N706" t="s">
        <v>26</v>
      </c>
      <c r="O706" t="s">
        <v>44</v>
      </c>
      <c r="P706" t="s">
        <v>55</v>
      </c>
    </row>
    <row r="707" spans="1:16" x14ac:dyDescent="0.25">
      <c r="A707" t="s">
        <v>1346</v>
      </c>
      <c r="B707" t="s">
        <v>1347</v>
      </c>
      <c r="C707" t="s">
        <v>65</v>
      </c>
      <c r="D707" t="s">
        <v>30</v>
      </c>
      <c r="E707" t="s">
        <v>31</v>
      </c>
      <c r="F707" t="s">
        <v>32</v>
      </c>
      <c r="G707" t="s">
        <v>124</v>
      </c>
      <c r="H707" t="s">
        <v>53</v>
      </c>
      <c r="I707">
        <v>6</v>
      </c>
      <c r="J707">
        <v>330146</v>
      </c>
      <c r="K707">
        <v>10</v>
      </c>
      <c r="L707">
        <v>1782788.4</v>
      </c>
      <c r="M707" t="s">
        <v>54</v>
      </c>
      <c r="N707" t="s">
        <v>43</v>
      </c>
      <c r="O707" t="s">
        <v>44</v>
      </c>
      <c r="P707" t="s">
        <v>42</v>
      </c>
    </row>
    <row r="708" spans="1:16" x14ac:dyDescent="0.25">
      <c r="A708" t="s">
        <v>1348</v>
      </c>
      <c r="B708" t="s">
        <v>1349</v>
      </c>
      <c r="C708" t="s">
        <v>37</v>
      </c>
      <c r="D708" t="s">
        <v>30</v>
      </c>
      <c r="E708" t="s">
        <v>142</v>
      </c>
      <c r="F708" t="s">
        <v>32</v>
      </c>
      <c r="G708" t="s">
        <v>135</v>
      </c>
      <c r="H708" t="s">
        <v>24</v>
      </c>
      <c r="I708">
        <v>4</v>
      </c>
      <c r="J708">
        <v>338323</v>
      </c>
      <c r="K708">
        <v>5</v>
      </c>
      <c r="L708">
        <v>1285627.3999999999</v>
      </c>
      <c r="M708" t="s">
        <v>25</v>
      </c>
      <c r="N708" t="s">
        <v>43</v>
      </c>
      <c r="O708" t="s">
        <v>27</v>
      </c>
      <c r="P708" t="s">
        <v>55</v>
      </c>
    </row>
    <row r="709" spans="1:16" x14ac:dyDescent="0.25">
      <c r="A709" t="s">
        <v>1350</v>
      </c>
      <c r="B709" t="s">
        <v>1351</v>
      </c>
      <c r="C709" t="s">
        <v>65</v>
      </c>
      <c r="D709" t="s">
        <v>30</v>
      </c>
      <c r="E709" t="s">
        <v>142</v>
      </c>
      <c r="F709" t="s">
        <v>32</v>
      </c>
      <c r="G709" t="s">
        <v>94</v>
      </c>
      <c r="H709" t="s">
        <v>34</v>
      </c>
      <c r="I709">
        <v>5</v>
      </c>
      <c r="J709">
        <v>343736</v>
      </c>
      <c r="K709">
        <v>0</v>
      </c>
      <c r="L709">
        <v>1718680</v>
      </c>
      <c r="M709" t="s">
        <v>54</v>
      </c>
      <c r="N709" t="s">
        <v>69</v>
      </c>
      <c r="O709" t="s">
        <v>27</v>
      </c>
      <c r="P709" t="s">
        <v>55</v>
      </c>
    </row>
    <row r="710" spans="1:16" x14ac:dyDescent="0.25">
      <c r="A710" t="s">
        <v>1352</v>
      </c>
      <c r="B710" t="s">
        <v>1353</v>
      </c>
      <c r="C710" t="s">
        <v>37</v>
      </c>
      <c r="D710" t="s">
        <v>51</v>
      </c>
      <c r="E710" t="s">
        <v>48</v>
      </c>
      <c r="F710" t="s">
        <v>22</v>
      </c>
      <c r="G710" t="s">
        <v>62</v>
      </c>
      <c r="H710" t="s">
        <v>34</v>
      </c>
      <c r="I710">
        <v>1</v>
      </c>
      <c r="J710">
        <v>578104</v>
      </c>
      <c r="K710">
        <v>0</v>
      </c>
      <c r="L710">
        <v>578104</v>
      </c>
      <c r="M710" t="s">
        <v>42</v>
      </c>
      <c r="N710" t="s">
        <v>43</v>
      </c>
      <c r="O710" t="s">
        <v>44</v>
      </c>
      <c r="P710" t="s">
        <v>55</v>
      </c>
    </row>
    <row r="711" spans="1:16" x14ac:dyDescent="0.25">
      <c r="A711" t="s">
        <v>1354</v>
      </c>
      <c r="B711" t="s">
        <v>1355</v>
      </c>
      <c r="C711" t="s">
        <v>79</v>
      </c>
      <c r="D711" t="s">
        <v>51</v>
      </c>
      <c r="E711" t="s">
        <v>48</v>
      </c>
      <c r="F711" t="s">
        <v>22</v>
      </c>
      <c r="G711" t="s">
        <v>52</v>
      </c>
      <c r="H711" t="s">
        <v>24</v>
      </c>
      <c r="I711">
        <v>6</v>
      </c>
      <c r="J711">
        <v>68124</v>
      </c>
      <c r="K711">
        <v>10</v>
      </c>
      <c r="L711">
        <v>367869.6</v>
      </c>
      <c r="M711" t="s">
        <v>25</v>
      </c>
      <c r="N711" t="s">
        <v>43</v>
      </c>
      <c r="O711" t="s">
        <v>44</v>
      </c>
      <c r="P711" t="s">
        <v>26</v>
      </c>
    </row>
    <row r="712" spans="1:16" x14ac:dyDescent="0.25">
      <c r="A712" t="s">
        <v>1356</v>
      </c>
      <c r="B712" t="s">
        <v>729</v>
      </c>
      <c r="C712" t="s">
        <v>198</v>
      </c>
      <c r="D712" t="s">
        <v>47</v>
      </c>
      <c r="E712" t="s">
        <v>48</v>
      </c>
      <c r="F712" t="s">
        <v>22</v>
      </c>
      <c r="G712" t="s">
        <v>41</v>
      </c>
      <c r="H712" t="s">
        <v>53</v>
      </c>
      <c r="J712">
        <v>113975</v>
      </c>
      <c r="K712">
        <v>12</v>
      </c>
      <c r="M712" t="s">
        <v>42</v>
      </c>
      <c r="N712" t="s">
        <v>69</v>
      </c>
      <c r="O712" t="s">
        <v>27</v>
      </c>
      <c r="P712" t="s">
        <v>26</v>
      </c>
    </row>
    <row r="713" spans="1:16" x14ac:dyDescent="0.25">
      <c r="A713" t="s">
        <v>1357</v>
      </c>
      <c r="B713" t="s">
        <v>1358</v>
      </c>
      <c r="C713" t="s">
        <v>85</v>
      </c>
      <c r="D713" t="s">
        <v>47</v>
      </c>
      <c r="E713" t="s">
        <v>48</v>
      </c>
      <c r="F713" t="s">
        <v>22</v>
      </c>
      <c r="G713" t="s">
        <v>94</v>
      </c>
      <c r="H713" t="s">
        <v>34</v>
      </c>
      <c r="I713">
        <v>6</v>
      </c>
      <c r="J713">
        <v>72778</v>
      </c>
      <c r="K713">
        <v>12</v>
      </c>
      <c r="L713">
        <v>384267.84</v>
      </c>
      <c r="M713" t="s">
        <v>54</v>
      </c>
      <c r="N713" t="s">
        <v>26</v>
      </c>
      <c r="O713" t="s">
        <v>44</v>
      </c>
      <c r="P713" t="s">
        <v>55</v>
      </c>
    </row>
    <row r="714" spans="1:16" x14ac:dyDescent="0.25">
      <c r="A714" t="s">
        <v>1359</v>
      </c>
      <c r="B714" t="s">
        <v>723</v>
      </c>
      <c r="C714" t="s">
        <v>37</v>
      </c>
      <c r="D714" t="s">
        <v>20</v>
      </c>
      <c r="E714" t="s">
        <v>21</v>
      </c>
      <c r="F714" t="s">
        <v>22</v>
      </c>
      <c r="G714" t="s">
        <v>52</v>
      </c>
      <c r="H714" t="s">
        <v>53</v>
      </c>
      <c r="I714">
        <v>5</v>
      </c>
      <c r="J714">
        <v>104523</v>
      </c>
      <c r="K714">
        <v>7</v>
      </c>
      <c r="L714">
        <v>486031.95</v>
      </c>
      <c r="M714" t="s">
        <v>25</v>
      </c>
      <c r="N714" t="s">
        <v>26</v>
      </c>
      <c r="O714" t="s">
        <v>44</v>
      </c>
      <c r="P714" t="s">
        <v>55</v>
      </c>
    </row>
    <row r="715" spans="1:16" x14ac:dyDescent="0.25">
      <c r="A715" t="s">
        <v>1360</v>
      </c>
      <c r="B715" t="s">
        <v>1361</v>
      </c>
      <c r="C715" t="s">
        <v>91</v>
      </c>
      <c r="D715" t="s">
        <v>66</v>
      </c>
      <c r="E715" t="s">
        <v>67</v>
      </c>
      <c r="F715" t="s">
        <v>68</v>
      </c>
      <c r="G715" t="s">
        <v>124</v>
      </c>
      <c r="H715" t="s">
        <v>58</v>
      </c>
      <c r="I715">
        <v>3</v>
      </c>
      <c r="J715">
        <v>421548</v>
      </c>
      <c r="K715">
        <v>12</v>
      </c>
      <c r="L715">
        <v>1125231.72</v>
      </c>
      <c r="M715" t="s">
        <v>25</v>
      </c>
      <c r="N715" t="s">
        <v>69</v>
      </c>
      <c r="O715" t="s">
        <v>44</v>
      </c>
      <c r="P715" t="s">
        <v>26</v>
      </c>
    </row>
    <row r="716" spans="1:16" x14ac:dyDescent="0.25">
      <c r="A716" t="s">
        <v>1362</v>
      </c>
      <c r="B716" t="s">
        <v>1363</v>
      </c>
      <c r="C716" t="s">
        <v>37</v>
      </c>
      <c r="D716" t="s">
        <v>66</v>
      </c>
      <c r="E716" t="s">
        <v>67</v>
      </c>
      <c r="F716" t="s">
        <v>68</v>
      </c>
      <c r="G716" t="s">
        <v>52</v>
      </c>
      <c r="H716" t="s">
        <v>86</v>
      </c>
      <c r="I716">
        <v>8</v>
      </c>
      <c r="J716">
        <v>898502</v>
      </c>
      <c r="K716">
        <v>5</v>
      </c>
      <c r="L716">
        <v>6828615.1999999993</v>
      </c>
      <c r="M716" t="s">
        <v>42</v>
      </c>
      <c r="N716" t="s">
        <v>43</v>
      </c>
      <c r="O716" t="s">
        <v>27</v>
      </c>
      <c r="P716" t="s">
        <v>42</v>
      </c>
    </row>
    <row r="717" spans="1:16" x14ac:dyDescent="0.25">
      <c r="A717" t="s">
        <v>1364</v>
      </c>
      <c r="B717" t="s">
        <v>1365</v>
      </c>
      <c r="C717" t="s">
        <v>85</v>
      </c>
      <c r="D717" t="s">
        <v>20</v>
      </c>
      <c r="E717" t="s">
        <v>189</v>
      </c>
      <c r="F717" t="s">
        <v>22</v>
      </c>
      <c r="G717" t="s">
        <v>52</v>
      </c>
      <c r="H717" t="s">
        <v>53</v>
      </c>
      <c r="I717">
        <v>2</v>
      </c>
      <c r="J717">
        <v>729108</v>
      </c>
      <c r="K717">
        <v>7</v>
      </c>
      <c r="L717">
        <v>1356140.88</v>
      </c>
      <c r="M717" t="s">
        <v>42</v>
      </c>
      <c r="N717" t="s">
        <v>43</v>
      </c>
      <c r="O717" t="s">
        <v>44</v>
      </c>
      <c r="P717" t="s">
        <v>42</v>
      </c>
    </row>
    <row r="718" spans="1:16" x14ac:dyDescent="0.25">
      <c r="A718" t="s">
        <v>1366</v>
      </c>
      <c r="B718" t="s">
        <v>1367</v>
      </c>
      <c r="C718" t="s">
        <v>85</v>
      </c>
      <c r="D718" t="s">
        <v>47</v>
      </c>
      <c r="E718" t="s">
        <v>48</v>
      </c>
      <c r="F718" t="s">
        <v>22</v>
      </c>
      <c r="G718" t="s">
        <v>62</v>
      </c>
      <c r="H718" t="s">
        <v>58</v>
      </c>
      <c r="I718">
        <v>4</v>
      </c>
      <c r="J718">
        <v>524018</v>
      </c>
      <c r="K718">
        <v>7</v>
      </c>
      <c r="L718">
        <v>1949346.96</v>
      </c>
      <c r="M718" t="s">
        <v>54</v>
      </c>
      <c r="N718" t="s">
        <v>26</v>
      </c>
      <c r="O718" t="s">
        <v>44</v>
      </c>
      <c r="P718" t="s">
        <v>42</v>
      </c>
    </row>
    <row r="719" spans="1:16" x14ac:dyDescent="0.25">
      <c r="A719" t="s">
        <v>1368</v>
      </c>
      <c r="B719" t="s">
        <v>1369</v>
      </c>
      <c r="C719" t="s">
        <v>19</v>
      </c>
      <c r="D719" t="s">
        <v>47</v>
      </c>
      <c r="E719" t="s">
        <v>48</v>
      </c>
      <c r="F719" t="s">
        <v>22</v>
      </c>
      <c r="G719" t="s">
        <v>41</v>
      </c>
      <c r="H719" t="s">
        <v>24</v>
      </c>
      <c r="I719">
        <v>5</v>
      </c>
      <c r="J719">
        <v>867947</v>
      </c>
      <c r="K719">
        <v>10</v>
      </c>
      <c r="L719">
        <v>3918106.5</v>
      </c>
      <c r="M719" t="s">
        <v>25</v>
      </c>
      <c r="N719" t="s">
        <v>69</v>
      </c>
      <c r="O719" t="s">
        <v>44</v>
      </c>
      <c r="P719" t="s">
        <v>55</v>
      </c>
    </row>
    <row r="720" spans="1:16" x14ac:dyDescent="0.25">
      <c r="A720" t="s">
        <v>1370</v>
      </c>
      <c r="B720" t="s">
        <v>669</v>
      </c>
      <c r="C720" t="s">
        <v>61</v>
      </c>
      <c r="D720" t="s">
        <v>47</v>
      </c>
      <c r="E720" t="s">
        <v>48</v>
      </c>
      <c r="F720" t="s">
        <v>22</v>
      </c>
      <c r="G720" t="s">
        <v>33</v>
      </c>
      <c r="H720" t="s">
        <v>58</v>
      </c>
      <c r="I720">
        <v>4</v>
      </c>
      <c r="J720">
        <v>597097</v>
      </c>
      <c r="K720">
        <v>0</v>
      </c>
      <c r="L720">
        <v>2388388</v>
      </c>
      <c r="M720" t="s">
        <v>25</v>
      </c>
      <c r="N720" t="s">
        <v>43</v>
      </c>
      <c r="O720" t="s">
        <v>44</v>
      </c>
      <c r="P720" t="s">
        <v>42</v>
      </c>
    </row>
    <row r="721" spans="1:16" x14ac:dyDescent="0.25">
      <c r="A721" t="s">
        <v>1371</v>
      </c>
      <c r="B721" t="s">
        <v>1372</v>
      </c>
      <c r="C721" t="s">
        <v>65</v>
      </c>
      <c r="D721" t="s">
        <v>47</v>
      </c>
      <c r="E721" t="s">
        <v>48</v>
      </c>
      <c r="F721" t="s">
        <v>22</v>
      </c>
      <c r="G721" t="s">
        <v>33</v>
      </c>
      <c r="H721" t="s">
        <v>24</v>
      </c>
      <c r="I721">
        <v>7</v>
      </c>
      <c r="J721">
        <v>766204</v>
      </c>
      <c r="K721">
        <v>0</v>
      </c>
      <c r="L721">
        <v>5363428</v>
      </c>
      <c r="M721" t="s">
        <v>25</v>
      </c>
      <c r="N721" t="s">
        <v>69</v>
      </c>
      <c r="O721" t="s">
        <v>27</v>
      </c>
      <c r="P721" t="s">
        <v>26</v>
      </c>
    </row>
    <row r="722" spans="1:16" x14ac:dyDescent="0.25">
      <c r="A722" t="s">
        <v>1373</v>
      </c>
      <c r="B722" t="s">
        <v>1374</v>
      </c>
      <c r="C722" t="s">
        <v>19</v>
      </c>
      <c r="D722" t="s">
        <v>66</v>
      </c>
      <c r="E722" t="s">
        <v>67</v>
      </c>
      <c r="F722" t="s">
        <v>68</v>
      </c>
      <c r="G722" t="s">
        <v>52</v>
      </c>
      <c r="H722" t="s">
        <v>24</v>
      </c>
      <c r="I722">
        <v>6</v>
      </c>
      <c r="J722">
        <v>626915</v>
      </c>
      <c r="K722">
        <v>0</v>
      </c>
      <c r="L722">
        <v>3761490</v>
      </c>
      <c r="M722" t="s">
        <v>42</v>
      </c>
      <c r="N722" t="s">
        <v>43</v>
      </c>
      <c r="O722" t="s">
        <v>44</v>
      </c>
      <c r="P722" t="s">
        <v>42</v>
      </c>
    </row>
    <row r="723" spans="1:16" x14ac:dyDescent="0.25">
      <c r="A723" t="s">
        <v>1375</v>
      </c>
      <c r="B723" t="s">
        <v>409</v>
      </c>
      <c r="C723" t="s">
        <v>99</v>
      </c>
      <c r="D723" t="s">
        <v>66</v>
      </c>
      <c r="E723" t="s">
        <v>67</v>
      </c>
      <c r="F723" t="s">
        <v>68</v>
      </c>
      <c r="G723" t="s">
        <v>52</v>
      </c>
      <c r="H723" t="s">
        <v>34</v>
      </c>
      <c r="I723">
        <v>4</v>
      </c>
      <c r="J723">
        <v>616854</v>
      </c>
      <c r="K723">
        <v>0</v>
      </c>
      <c r="L723">
        <v>2467416</v>
      </c>
      <c r="M723" t="s">
        <v>42</v>
      </c>
      <c r="N723" t="s">
        <v>69</v>
      </c>
      <c r="O723" t="s">
        <v>27</v>
      </c>
      <c r="P723" t="s">
        <v>42</v>
      </c>
    </row>
    <row r="724" spans="1:16" x14ac:dyDescent="0.25">
      <c r="A724" t="s">
        <v>1376</v>
      </c>
      <c r="B724" t="s">
        <v>1377</v>
      </c>
      <c r="C724" t="s">
        <v>79</v>
      </c>
      <c r="D724" t="s">
        <v>66</v>
      </c>
      <c r="E724" t="s">
        <v>67</v>
      </c>
      <c r="F724" t="s">
        <v>68</v>
      </c>
      <c r="G724" t="s">
        <v>33</v>
      </c>
      <c r="H724" t="s">
        <v>24</v>
      </c>
      <c r="I724">
        <v>4</v>
      </c>
      <c r="J724">
        <v>465552</v>
      </c>
      <c r="K724">
        <v>7</v>
      </c>
      <c r="L724">
        <v>1731853.44</v>
      </c>
      <c r="M724" t="s">
        <v>42</v>
      </c>
      <c r="N724" t="s">
        <v>26</v>
      </c>
      <c r="O724" t="s">
        <v>44</v>
      </c>
      <c r="P724" t="s">
        <v>42</v>
      </c>
    </row>
    <row r="725" spans="1:16" x14ac:dyDescent="0.25">
      <c r="A725" t="s">
        <v>1378</v>
      </c>
      <c r="B725" t="s">
        <v>1379</v>
      </c>
      <c r="C725" t="s">
        <v>99</v>
      </c>
      <c r="D725" t="s">
        <v>66</v>
      </c>
      <c r="E725" t="s">
        <v>67</v>
      </c>
      <c r="F725" t="s">
        <v>68</v>
      </c>
      <c r="G725" t="s">
        <v>41</v>
      </c>
      <c r="H725" t="s">
        <v>58</v>
      </c>
      <c r="I725">
        <v>5</v>
      </c>
      <c r="J725">
        <v>372851</v>
      </c>
      <c r="K725">
        <v>10</v>
      </c>
      <c r="L725">
        <v>1677829.5</v>
      </c>
      <c r="M725" t="s">
        <v>54</v>
      </c>
      <c r="N725" t="s">
        <v>43</v>
      </c>
      <c r="O725" t="s">
        <v>44</v>
      </c>
      <c r="P725" t="s">
        <v>26</v>
      </c>
    </row>
    <row r="726" spans="1:16" x14ac:dyDescent="0.25">
      <c r="A726" t="s">
        <v>1380</v>
      </c>
      <c r="B726" t="s">
        <v>1381</v>
      </c>
      <c r="C726" t="s">
        <v>19</v>
      </c>
      <c r="D726" t="s">
        <v>47</v>
      </c>
      <c r="E726" t="s">
        <v>48</v>
      </c>
      <c r="F726" t="s">
        <v>22</v>
      </c>
      <c r="G726" t="s">
        <v>52</v>
      </c>
      <c r="H726" t="s">
        <v>86</v>
      </c>
      <c r="I726">
        <v>1</v>
      </c>
      <c r="J726">
        <v>263425</v>
      </c>
      <c r="K726">
        <v>7</v>
      </c>
      <c r="L726">
        <v>244985.25</v>
      </c>
      <c r="M726" t="s">
        <v>42</v>
      </c>
      <c r="N726" t="s">
        <v>69</v>
      </c>
      <c r="O726" t="s">
        <v>44</v>
      </c>
      <c r="P726" t="s">
        <v>55</v>
      </c>
    </row>
    <row r="727" spans="1:16" x14ac:dyDescent="0.25">
      <c r="A727" t="s">
        <v>1382</v>
      </c>
      <c r="B727" t="s">
        <v>1015</v>
      </c>
      <c r="C727" t="s">
        <v>65</v>
      </c>
      <c r="D727" t="s">
        <v>20</v>
      </c>
      <c r="E727" t="s">
        <v>21</v>
      </c>
      <c r="F727" t="s">
        <v>22</v>
      </c>
      <c r="G727" t="s">
        <v>52</v>
      </c>
      <c r="H727" t="s">
        <v>34</v>
      </c>
      <c r="I727">
        <v>7</v>
      </c>
      <c r="J727">
        <v>126054</v>
      </c>
      <c r="K727">
        <v>10</v>
      </c>
      <c r="L727">
        <v>794140.20000000007</v>
      </c>
      <c r="M727" t="s">
        <v>42</v>
      </c>
      <c r="N727" t="s">
        <v>26</v>
      </c>
      <c r="O727" t="s">
        <v>44</v>
      </c>
      <c r="P727" t="s">
        <v>42</v>
      </c>
    </row>
    <row r="728" spans="1:16" x14ac:dyDescent="0.25">
      <c r="A728" t="s">
        <v>1383</v>
      </c>
      <c r="B728" t="s">
        <v>1384</v>
      </c>
      <c r="C728" t="s">
        <v>37</v>
      </c>
      <c r="D728" t="s">
        <v>38</v>
      </c>
      <c r="E728" t="s">
        <v>39</v>
      </c>
      <c r="F728" t="s">
        <v>40</v>
      </c>
      <c r="G728" t="s">
        <v>41</v>
      </c>
      <c r="H728" t="s">
        <v>24</v>
      </c>
      <c r="I728">
        <v>3</v>
      </c>
      <c r="J728">
        <v>652451</v>
      </c>
      <c r="K728">
        <v>0</v>
      </c>
      <c r="L728">
        <v>1957353</v>
      </c>
      <c r="M728" t="s">
        <v>25</v>
      </c>
      <c r="N728" t="s">
        <v>43</v>
      </c>
      <c r="O728" t="s">
        <v>27</v>
      </c>
      <c r="P728" t="s">
        <v>55</v>
      </c>
    </row>
    <row r="729" spans="1:16" x14ac:dyDescent="0.25">
      <c r="A729" t="s">
        <v>1385</v>
      </c>
      <c r="B729" t="s">
        <v>1386</v>
      </c>
      <c r="C729" t="s">
        <v>65</v>
      </c>
      <c r="D729" t="s">
        <v>38</v>
      </c>
      <c r="E729" t="s">
        <v>39</v>
      </c>
      <c r="F729" t="s">
        <v>40</v>
      </c>
      <c r="G729" t="s">
        <v>73</v>
      </c>
      <c r="H729" t="s">
        <v>24</v>
      </c>
      <c r="I729">
        <v>1</v>
      </c>
      <c r="J729">
        <v>694451</v>
      </c>
      <c r="K729">
        <v>0</v>
      </c>
      <c r="L729">
        <v>694451</v>
      </c>
      <c r="M729" t="s">
        <v>42</v>
      </c>
      <c r="N729" t="s">
        <v>26</v>
      </c>
      <c r="O729" t="s">
        <v>44</v>
      </c>
      <c r="P729" t="s">
        <v>42</v>
      </c>
    </row>
    <row r="730" spans="1:16" x14ac:dyDescent="0.25">
      <c r="A730" t="s">
        <v>1387</v>
      </c>
      <c r="B730" t="s">
        <v>1388</v>
      </c>
      <c r="C730" t="s">
        <v>76</v>
      </c>
      <c r="D730" t="s">
        <v>30</v>
      </c>
      <c r="E730" t="s">
        <v>31</v>
      </c>
      <c r="F730" t="s">
        <v>32</v>
      </c>
      <c r="G730" t="s">
        <v>73</v>
      </c>
      <c r="H730" t="s">
        <v>53</v>
      </c>
      <c r="I730">
        <v>7</v>
      </c>
      <c r="J730">
        <v>844156</v>
      </c>
      <c r="K730">
        <v>5</v>
      </c>
      <c r="L730">
        <v>5613637.3999999994</v>
      </c>
      <c r="M730" t="s">
        <v>42</v>
      </c>
      <c r="N730" t="s">
        <v>43</v>
      </c>
      <c r="O730" t="s">
        <v>27</v>
      </c>
      <c r="P730" t="s">
        <v>55</v>
      </c>
    </row>
    <row r="731" spans="1:16" x14ac:dyDescent="0.25">
      <c r="A731" t="s">
        <v>1389</v>
      </c>
      <c r="B731" t="s">
        <v>545</v>
      </c>
      <c r="C731" t="s">
        <v>76</v>
      </c>
      <c r="D731" t="s">
        <v>30</v>
      </c>
      <c r="E731" t="s">
        <v>31</v>
      </c>
      <c r="F731" t="s">
        <v>32</v>
      </c>
      <c r="G731" t="s">
        <v>94</v>
      </c>
      <c r="H731" t="s">
        <v>34</v>
      </c>
      <c r="I731">
        <v>1</v>
      </c>
      <c r="J731">
        <v>791829</v>
      </c>
      <c r="K731">
        <v>12</v>
      </c>
      <c r="L731">
        <v>696809.52</v>
      </c>
      <c r="M731" t="s">
        <v>42</v>
      </c>
      <c r="N731" t="s">
        <v>43</v>
      </c>
      <c r="O731" t="s">
        <v>27</v>
      </c>
      <c r="P731" t="s">
        <v>26</v>
      </c>
    </row>
    <row r="732" spans="1:16" x14ac:dyDescent="0.25">
      <c r="A732" t="s">
        <v>1390</v>
      </c>
      <c r="B732" t="s">
        <v>1391</v>
      </c>
      <c r="C732" t="s">
        <v>37</v>
      </c>
      <c r="D732" t="s">
        <v>20</v>
      </c>
      <c r="E732" t="s">
        <v>21</v>
      </c>
      <c r="F732" t="s">
        <v>22</v>
      </c>
      <c r="G732" t="s">
        <v>33</v>
      </c>
      <c r="H732" t="s">
        <v>24</v>
      </c>
      <c r="I732">
        <v>2</v>
      </c>
      <c r="J732">
        <v>841334</v>
      </c>
      <c r="K732">
        <v>10</v>
      </c>
      <c r="L732">
        <v>1514401.2</v>
      </c>
      <c r="M732" t="s">
        <v>54</v>
      </c>
      <c r="N732" t="s">
        <v>26</v>
      </c>
      <c r="O732" t="s">
        <v>44</v>
      </c>
      <c r="P732" t="s">
        <v>55</v>
      </c>
    </row>
    <row r="733" spans="1:16" x14ac:dyDescent="0.25">
      <c r="A733" t="s">
        <v>1392</v>
      </c>
      <c r="B733" t="s">
        <v>1393</v>
      </c>
      <c r="C733" t="s">
        <v>76</v>
      </c>
      <c r="D733" t="s">
        <v>38</v>
      </c>
      <c r="E733" t="s">
        <v>39</v>
      </c>
      <c r="F733" t="s">
        <v>40</v>
      </c>
      <c r="G733" t="s">
        <v>62</v>
      </c>
      <c r="H733" t="s">
        <v>86</v>
      </c>
      <c r="I733">
        <v>1</v>
      </c>
      <c r="J733">
        <v>79834</v>
      </c>
      <c r="K733">
        <v>0</v>
      </c>
      <c r="L733">
        <v>79834</v>
      </c>
      <c r="M733" t="s">
        <v>25</v>
      </c>
      <c r="N733" t="s">
        <v>26</v>
      </c>
      <c r="O733" t="s">
        <v>27</v>
      </c>
      <c r="P733" t="s">
        <v>42</v>
      </c>
    </row>
    <row r="734" spans="1:16" x14ac:dyDescent="0.25">
      <c r="A734" t="s">
        <v>1394</v>
      </c>
      <c r="B734" t="s">
        <v>1395</v>
      </c>
      <c r="C734" t="s">
        <v>61</v>
      </c>
      <c r="D734" t="s">
        <v>20</v>
      </c>
      <c r="E734" t="s">
        <v>21</v>
      </c>
      <c r="F734" t="s">
        <v>22</v>
      </c>
      <c r="G734" t="s">
        <v>135</v>
      </c>
      <c r="H734" t="s">
        <v>34</v>
      </c>
      <c r="I734">
        <v>5</v>
      </c>
      <c r="J734">
        <v>830550</v>
      </c>
      <c r="K734">
        <v>2</v>
      </c>
      <c r="L734">
        <v>4069695</v>
      </c>
      <c r="M734" t="s">
        <v>25</v>
      </c>
      <c r="N734" t="s">
        <v>43</v>
      </c>
      <c r="O734" t="s">
        <v>27</v>
      </c>
      <c r="P734" t="s">
        <v>42</v>
      </c>
    </row>
    <row r="735" spans="1:16" x14ac:dyDescent="0.25">
      <c r="A735" t="s">
        <v>1396</v>
      </c>
      <c r="B735" t="s">
        <v>1397</v>
      </c>
      <c r="C735" t="s">
        <v>76</v>
      </c>
      <c r="D735" t="s">
        <v>20</v>
      </c>
      <c r="E735" t="s">
        <v>189</v>
      </c>
      <c r="F735" t="s">
        <v>22</v>
      </c>
      <c r="G735" t="s">
        <v>73</v>
      </c>
      <c r="H735" t="s">
        <v>86</v>
      </c>
      <c r="I735">
        <v>4</v>
      </c>
      <c r="J735">
        <v>174237</v>
      </c>
      <c r="K735">
        <v>10</v>
      </c>
      <c r="L735">
        <v>627253.20000000007</v>
      </c>
      <c r="M735" t="s">
        <v>54</v>
      </c>
      <c r="N735" t="s">
        <v>26</v>
      </c>
      <c r="O735" t="s">
        <v>27</v>
      </c>
      <c r="P735" t="s">
        <v>55</v>
      </c>
    </row>
    <row r="736" spans="1:16" x14ac:dyDescent="0.25">
      <c r="A736" t="s">
        <v>1398</v>
      </c>
      <c r="B736" t="s">
        <v>1399</v>
      </c>
      <c r="C736" t="s">
        <v>79</v>
      </c>
      <c r="D736" t="s">
        <v>154</v>
      </c>
      <c r="E736" t="s">
        <v>67</v>
      </c>
      <c r="F736" t="s">
        <v>68</v>
      </c>
      <c r="G736" t="s">
        <v>23</v>
      </c>
      <c r="H736" t="s">
        <v>34</v>
      </c>
      <c r="I736">
        <v>1</v>
      </c>
      <c r="J736">
        <v>475816</v>
      </c>
      <c r="K736">
        <v>10</v>
      </c>
      <c r="L736">
        <v>428234.4</v>
      </c>
      <c r="M736" t="s">
        <v>25</v>
      </c>
      <c r="N736" t="s">
        <v>69</v>
      </c>
      <c r="O736" t="s">
        <v>44</v>
      </c>
      <c r="P736" t="s">
        <v>42</v>
      </c>
    </row>
    <row r="737" spans="1:16" x14ac:dyDescent="0.25">
      <c r="A737" t="s">
        <v>1400</v>
      </c>
      <c r="B737" t="s">
        <v>539</v>
      </c>
      <c r="C737" t="s">
        <v>65</v>
      </c>
      <c r="D737" t="s">
        <v>47</v>
      </c>
      <c r="E737" t="s">
        <v>48</v>
      </c>
      <c r="F737" t="s">
        <v>22</v>
      </c>
      <c r="G737" t="s">
        <v>62</v>
      </c>
      <c r="H737" t="s">
        <v>34</v>
      </c>
      <c r="I737">
        <v>3</v>
      </c>
      <c r="J737">
        <v>264959</v>
      </c>
      <c r="K737">
        <v>10</v>
      </c>
      <c r="L737">
        <v>715389.3</v>
      </c>
      <c r="M737" t="s">
        <v>25</v>
      </c>
      <c r="N737" t="s">
        <v>43</v>
      </c>
      <c r="O737" t="s">
        <v>44</v>
      </c>
      <c r="P737" t="s">
        <v>42</v>
      </c>
    </row>
    <row r="738" spans="1:16" x14ac:dyDescent="0.25">
      <c r="A738" t="s">
        <v>1401</v>
      </c>
      <c r="B738" t="s">
        <v>1402</v>
      </c>
      <c r="C738" t="s">
        <v>19</v>
      </c>
      <c r="D738" t="s">
        <v>51</v>
      </c>
      <c r="E738" t="s">
        <v>48</v>
      </c>
      <c r="F738" t="s">
        <v>22</v>
      </c>
      <c r="G738" t="s">
        <v>41</v>
      </c>
      <c r="H738" t="s">
        <v>58</v>
      </c>
      <c r="I738">
        <v>8</v>
      </c>
      <c r="J738">
        <v>806897</v>
      </c>
      <c r="K738">
        <v>5</v>
      </c>
      <c r="L738">
        <v>6132417.1999999993</v>
      </c>
      <c r="M738" t="s">
        <v>54</v>
      </c>
      <c r="N738" t="s">
        <v>43</v>
      </c>
      <c r="O738" t="s">
        <v>27</v>
      </c>
      <c r="P738" t="s">
        <v>26</v>
      </c>
    </row>
    <row r="739" spans="1:16" x14ac:dyDescent="0.25">
      <c r="A739" t="s">
        <v>1403</v>
      </c>
      <c r="B739" t="s">
        <v>1404</v>
      </c>
      <c r="C739" t="s">
        <v>19</v>
      </c>
      <c r="D739" t="s">
        <v>154</v>
      </c>
      <c r="E739" t="s">
        <v>67</v>
      </c>
      <c r="F739" t="s">
        <v>68</v>
      </c>
      <c r="G739" t="s">
        <v>41</v>
      </c>
      <c r="H739" t="s">
        <v>86</v>
      </c>
      <c r="I739">
        <v>1</v>
      </c>
      <c r="J739">
        <v>740014</v>
      </c>
      <c r="K739">
        <v>0</v>
      </c>
      <c r="L739">
        <v>740014</v>
      </c>
      <c r="M739" t="s">
        <v>25</v>
      </c>
      <c r="N739" t="s">
        <v>69</v>
      </c>
      <c r="O739" t="s">
        <v>44</v>
      </c>
      <c r="P739" t="s">
        <v>26</v>
      </c>
    </row>
    <row r="740" spans="1:16" x14ac:dyDescent="0.25">
      <c r="A740" t="s">
        <v>1405</v>
      </c>
      <c r="B740" t="s">
        <v>1296</v>
      </c>
      <c r="C740" t="s">
        <v>79</v>
      </c>
      <c r="D740" t="s">
        <v>47</v>
      </c>
      <c r="E740" t="s">
        <v>48</v>
      </c>
      <c r="F740" t="s">
        <v>22</v>
      </c>
      <c r="G740" t="s">
        <v>52</v>
      </c>
      <c r="H740" t="s">
        <v>24</v>
      </c>
      <c r="I740">
        <v>3</v>
      </c>
      <c r="J740">
        <v>432024</v>
      </c>
      <c r="K740">
        <v>7</v>
      </c>
      <c r="L740">
        <v>1205346.96</v>
      </c>
      <c r="M740" t="s">
        <v>25</v>
      </c>
      <c r="N740" t="s">
        <v>26</v>
      </c>
      <c r="O740" t="s">
        <v>27</v>
      </c>
      <c r="P740" t="s">
        <v>26</v>
      </c>
    </row>
    <row r="741" spans="1:16" x14ac:dyDescent="0.25">
      <c r="A741" t="s">
        <v>1406</v>
      </c>
      <c r="B741" t="s">
        <v>1407</v>
      </c>
      <c r="C741" t="s">
        <v>76</v>
      </c>
      <c r="D741" t="s">
        <v>20</v>
      </c>
      <c r="E741" t="s">
        <v>21</v>
      </c>
      <c r="F741" t="s">
        <v>22</v>
      </c>
      <c r="G741" t="s">
        <v>62</v>
      </c>
      <c r="H741" t="s">
        <v>58</v>
      </c>
      <c r="I741">
        <v>2</v>
      </c>
      <c r="J741">
        <v>349108</v>
      </c>
      <c r="M741" t="s">
        <v>25</v>
      </c>
      <c r="N741" t="s">
        <v>26</v>
      </c>
      <c r="O741" t="s">
        <v>27</v>
      </c>
      <c r="P741" t="s">
        <v>26</v>
      </c>
    </row>
    <row r="742" spans="1:16" x14ac:dyDescent="0.25">
      <c r="A742" t="s">
        <v>1408</v>
      </c>
      <c r="B742" t="s">
        <v>1409</v>
      </c>
      <c r="C742" t="s">
        <v>85</v>
      </c>
      <c r="D742" t="s">
        <v>20</v>
      </c>
      <c r="E742" t="s">
        <v>21</v>
      </c>
      <c r="F742" t="s">
        <v>22</v>
      </c>
      <c r="G742" t="s">
        <v>62</v>
      </c>
      <c r="H742" t="s">
        <v>24</v>
      </c>
      <c r="I742">
        <v>4</v>
      </c>
      <c r="J742">
        <v>341886</v>
      </c>
      <c r="K742">
        <v>5</v>
      </c>
      <c r="L742">
        <v>1311511.8</v>
      </c>
      <c r="M742" t="s">
        <v>54</v>
      </c>
      <c r="N742" t="s">
        <v>69</v>
      </c>
      <c r="O742" t="s">
        <v>44</v>
      </c>
      <c r="P742" t="s">
        <v>55</v>
      </c>
    </row>
    <row r="743" spans="1:16" x14ac:dyDescent="0.25">
      <c r="A743" t="s">
        <v>1410</v>
      </c>
      <c r="B743" t="s">
        <v>1411</v>
      </c>
      <c r="C743" t="s">
        <v>76</v>
      </c>
      <c r="D743" t="s">
        <v>51</v>
      </c>
      <c r="E743" t="s">
        <v>48</v>
      </c>
      <c r="F743" t="s">
        <v>22</v>
      </c>
      <c r="G743" t="s">
        <v>73</v>
      </c>
      <c r="H743" t="s">
        <v>58</v>
      </c>
      <c r="I743">
        <v>2</v>
      </c>
      <c r="J743">
        <v>501518</v>
      </c>
      <c r="K743">
        <v>2</v>
      </c>
      <c r="L743">
        <v>982975.28</v>
      </c>
      <c r="M743" t="s">
        <v>25</v>
      </c>
      <c r="N743" t="s">
        <v>43</v>
      </c>
      <c r="O743" t="s">
        <v>27</v>
      </c>
      <c r="P743" t="s">
        <v>42</v>
      </c>
    </row>
    <row r="744" spans="1:16" x14ac:dyDescent="0.25">
      <c r="A744" t="s">
        <v>1412</v>
      </c>
      <c r="B744" t="s">
        <v>1413</v>
      </c>
      <c r="C744" t="s">
        <v>76</v>
      </c>
      <c r="D744" t="s">
        <v>20</v>
      </c>
      <c r="E744" t="s">
        <v>21</v>
      </c>
      <c r="F744" t="s">
        <v>22</v>
      </c>
      <c r="G744" t="s">
        <v>73</v>
      </c>
      <c r="H744" t="s">
        <v>34</v>
      </c>
      <c r="I744">
        <v>1</v>
      </c>
      <c r="J744">
        <v>331802</v>
      </c>
      <c r="K744">
        <v>2</v>
      </c>
      <c r="L744">
        <v>325165.96000000002</v>
      </c>
      <c r="M744" t="s">
        <v>54</v>
      </c>
      <c r="N744" t="s">
        <v>69</v>
      </c>
      <c r="O744" t="s">
        <v>44</v>
      </c>
      <c r="P744" t="s">
        <v>55</v>
      </c>
    </row>
    <row r="745" spans="1:16" x14ac:dyDescent="0.25">
      <c r="A745" t="s">
        <v>1414</v>
      </c>
      <c r="B745" t="s">
        <v>1415</v>
      </c>
      <c r="C745" t="s">
        <v>37</v>
      </c>
      <c r="D745" t="s">
        <v>47</v>
      </c>
      <c r="E745" t="s">
        <v>48</v>
      </c>
      <c r="F745" t="s">
        <v>22</v>
      </c>
      <c r="G745" t="s">
        <v>73</v>
      </c>
      <c r="H745" t="s">
        <v>58</v>
      </c>
      <c r="I745">
        <v>2</v>
      </c>
      <c r="J745">
        <v>765074</v>
      </c>
      <c r="K745">
        <v>0</v>
      </c>
      <c r="L745">
        <v>1530148</v>
      </c>
      <c r="M745" t="s">
        <v>25</v>
      </c>
      <c r="N745" t="s">
        <v>43</v>
      </c>
      <c r="O745" t="s">
        <v>44</v>
      </c>
      <c r="P745" t="s">
        <v>42</v>
      </c>
    </row>
    <row r="746" spans="1:16" x14ac:dyDescent="0.25">
      <c r="A746" t="s">
        <v>1416</v>
      </c>
      <c r="B746" t="s">
        <v>1417</v>
      </c>
      <c r="C746" t="s">
        <v>65</v>
      </c>
      <c r="D746" t="s">
        <v>20</v>
      </c>
      <c r="E746" t="s">
        <v>21</v>
      </c>
      <c r="F746" t="s">
        <v>22</v>
      </c>
      <c r="G746" t="s">
        <v>73</v>
      </c>
      <c r="H746" t="s">
        <v>86</v>
      </c>
      <c r="I746">
        <v>8</v>
      </c>
      <c r="J746">
        <v>236483</v>
      </c>
      <c r="K746">
        <v>5</v>
      </c>
      <c r="L746">
        <v>1797270.8</v>
      </c>
      <c r="M746" t="s">
        <v>25</v>
      </c>
      <c r="N746" t="s">
        <v>69</v>
      </c>
      <c r="O746" t="s">
        <v>27</v>
      </c>
      <c r="P746" t="s">
        <v>42</v>
      </c>
    </row>
    <row r="747" spans="1:16" x14ac:dyDescent="0.25">
      <c r="A747" t="s">
        <v>1418</v>
      </c>
      <c r="B747" t="s">
        <v>1419</v>
      </c>
      <c r="C747" t="s">
        <v>85</v>
      </c>
      <c r="D747" t="s">
        <v>38</v>
      </c>
      <c r="E747" t="s">
        <v>39</v>
      </c>
      <c r="F747" t="s">
        <v>40</v>
      </c>
      <c r="G747" t="s">
        <v>41</v>
      </c>
      <c r="H747" t="s">
        <v>34</v>
      </c>
      <c r="I747">
        <v>7</v>
      </c>
      <c r="J747">
        <v>351868</v>
      </c>
      <c r="K747">
        <v>12</v>
      </c>
      <c r="L747">
        <v>2167506.88</v>
      </c>
      <c r="M747" t="s">
        <v>25</v>
      </c>
      <c r="N747" t="s">
        <v>69</v>
      </c>
      <c r="O747" t="s">
        <v>44</v>
      </c>
      <c r="P747" t="s">
        <v>26</v>
      </c>
    </row>
    <row r="748" spans="1:16" x14ac:dyDescent="0.25">
      <c r="A748" t="s">
        <v>1420</v>
      </c>
      <c r="B748" t="s">
        <v>532</v>
      </c>
      <c r="C748" t="s">
        <v>37</v>
      </c>
      <c r="D748" t="s">
        <v>20</v>
      </c>
      <c r="E748" t="s">
        <v>21</v>
      </c>
      <c r="F748" t="s">
        <v>22</v>
      </c>
      <c r="G748" t="s">
        <v>52</v>
      </c>
      <c r="H748" t="s">
        <v>53</v>
      </c>
      <c r="I748">
        <v>4</v>
      </c>
      <c r="J748">
        <v>74849</v>
      </c>
      <c r="K748">
        <v>10</v>
      </c>
      <c r="L748">
        <v>269456.40000000002</v>
      </c>
      <c r="M748" t="s">
        <v>42</v>
      </c>
      <c r="N748" t="s">
        <v>26</v>
      </c>
      <c r="O748" t="s">
        <v>27</v>
      </c>
      <c r="P748" t="s">
        <v>42</v>
      </c>
    </row>
    <row r="749" spans="1:16" x14ac:dyDescent="0.25">
      <c r="A749" t="s">
        <v>1421</v>
      </c>
      <c r="B749" t="s">
        <v>1422</v>
      </c>
      <c r="C749" t="s">
        <v>85</v>
      </c>
      <c r="D749" t="s">
        <v>20</v>
      </c>
      <c r="E749" t="s">
        <v>189</v>
      </c>
      <c r="F749" t="s">
        <v>22</v>
      </c>
      <c r="G749" t="s">
        <v>62</v>
      </c>
      <c r="H749" t="s">
        <v>34</v>
      </c>
      <c r="I749">
        <v>6</v>
      </c>
      <c r="J749">
        <v>345474</v>
      </c>
      <c r="K749">
        <v>5</v>
      </c>
      <c r="L749">
        <v>1969201.8</v>
      </c>
      <c r="M749" t="s">
        <v>42</v>
      </c>
      <c r="N749" t="s">
        <v>43</v>
      </c>
      <c r="O749" t="s">
        <v>44</v>
      </c>
      <c r="P749" t="s">
        <v>26</v>
      </c>
    </row>
    <row r="750" spans="1:16" x14ac:dyDescent="0.25">
      <c r="A750" t="s">
        <v>1423</v>
      </c>
      <c r="B750" t="s">
        <v>1424</v>
      </c>
      <c r="C750" t="s">
        <v>65</v>
      </c>
      <c r="D750" t="s">
        <v>30</v>
      </c>
      <c r="E750" t="s">
        <v>31</v>
      </c>
      <c r="F750" t="s">
        <v>32</v>
      </c>
      <c r="G750" t="s">
        <v>52</v>
      </c>
      <c r="H750" t="s">
        <v>58</v>
      </c>
      <c r="I750">
        <v>5</v>
      </c>
      <c r="J750">
        <v>52486</v>
      </c>
      <c r="K750">
        <v>12</v>
      </c>
      <c r="L750">
        <v>230938.4</v>
      </c>
      <c r="M750" t="s">
        <v>25</v>
      </c>
      <c r="N750" t="s">
        <v>43</v>
      </c>
      <c r="O750" t="s">
        <v>27</v>
      </c>
      <c r="P750" t="s">
        <v>55</v>
      </c>
    </row>
    <row r="751" spans="1:16" x14ac:dyDescent="0.25">
      <c r="A751" t="s">
        <v>1425</v>
      </c>
      <c r="B751" t="s">
        <v>1426</v>
      </c>
      <c r="C751" t="s">
        <v>99</v>
      </c>
      <c r="D751" t="s">
        <v>38</v>
      </c>
      <c r="E751" t="s">
        <v>39</v>
      </c>
      <c r="F751" t="s">
        <v>40</v>
      </c>
      <c r="G751" t="s">
        <v>94</v>
      </c>
      <c r="H751" t="s">
        <v>53</v>
      </c>
      <c r="I751">
        <v>6</v>
      </c>
      <c r="J751">
        <v>112864</v>
      </c>
      <c r="K751">
        <v>7</v>
      </c>
      <c r="L751">
        <v>629781.12</v>
      </c>
      <c r="M751" t="s">
        <v>25</v>
      </c>
      <c r="N751" t="s">
        <v>43</v>
      </c>
      <c r="O751" t="s">
        <v>44</v>
      </c>
      <c r="P751" t="s">
        <v>55</v>
      </c>
    </row>
    <row r="752" spans="1:16" x14ac:dyDescent="0.25">
      <c r="A752" t="s">
        <v>1427</v>
      </c>
      <c r="B752" t="s">
        <v>1428</v>
      </c>
      <c r="C752" t="s">
        <v>65</v>
      </c>
      <c r="D752" t="s">
        <v>47</v>
      </c>
      <c r="E752" t="s">
        <v>48</v>
      </c>
      <c r="F752" t="s">
        <v>22</v>
      </c>
      <c r="G752" t="s">
        <v>62</v>
      </c>
      <c r="H752" t="s">
        <v>24</v>
      </c>
      <c r="I752">
        <v>4</v>
      </c>
      <c r="J752">
        <v>284181</v>
      </c>
      <c r="K752">
        <v>12</v>
      </c>
      <c r="L752">
        <v>1000317.12</v>
      </c>
      <c r="M752" t="s">
        <v>54</v>
      </c>
      <c r="N752" t="s">
        <v>43</v>
      </c>
      <c r="O752" t="s">
        <v>44</v>
      </c>
      <c r="P752" t="s">
        <v>55</v>
      </c>
    </row>
    <row r="753" spans="1:16" x14ac:dyDescent="0.25">
      <c r="A753" t="s">
        <v>1429</v>
      </c>
      <c r="B753" t="s">
        <v>1430</v>
      </c>
      <c r="C753" t="s">
        <v>99</v>
      </c>
      <c r="D753" t="s">
        <v>66</v>
      </c>
      <c r="E753" t="s">
        <v>67</v>
      </c>
      <c r="F753" t="s">
        <v>68</v>
      </c>
      <c r="G753" t="s">
        <v>73</v>
      </c>
      <c r="H753" t="s">
        <v>58</v>
      </c>
      <c r="I753">
        <v>8</v>
      </c>
      <c r="J753">
        <v>709095</v>
      </c>
      <c r="K753">
        <v>0</v>
      </c>
      <c r="L753">
        <v>5672760</v>
      </c>
      <c r="M753" t="s">
        <v>54</v>
      </c>
      <c r="N753" t="s">
        <v>69</v>
      </c>
      <c r="O753" t="s">
        <v>44</v>
      </c>
      <c r="P753" t="s">
        <v>55</v>
      </c>
    </row>
    <row r="754" spans="1:16" x14ac:dyDescent="0.25">
      <c r="A754" t="s">
        <v>1431</v>
      </c>
      <c r="B754" t="s">
        <v>1419</v>
      </c>
      <c r="C754" t="s">
        <v>19</v>
      </c>
      <c r="D754" t="s">
        <v>38</v>
      </c>
      <c r="E754" t="s">
        <v>39</v>
      </c>
      <c r="F754" t="s">
        <v>40</v>
      </c>
      <c r="G754" t="s">
        <v>33</v>
      </c>
      <c r="H754" t="s">
        <v>53</v>
      </c>
      <c r="I754">
        <v>3</v>
      </c>
      <c r="J754">
        <v>431222</v>
      </c>
      <c r="K754">
        <v>0</v>
      </c>
      <c r="L754">
        <v>1293666</v>
      </c>
      <c r="M754" t="s">
        <v>42</v>
      </c>
      <c r="N754" t="s">
        <v>69</v>
      </c>
      <c r="O754" t="s">
        <v>27</v>
      </c>
      <c r="P754" t="s">
        <v>42</v>
      </c>
    </row>
    <row r="755" spans="1:16" x14ac:dyDescent="0.25">
      <c r="A755" t="s">
        <v>1432</v>
      </c>
      <c r="B755" t="s">
        <v>683</v>
      </c>
      <c r="C755" t="s">
        <v>99</v>
      </c>
      <c r="D755" t="s">
        <v>30</v>
      </c>
      <c r="E755" t="s">
        <v>31</v>
      </c>
      <c r="F755" t="s">
        <v>32</v>
      </c>
      <c r="G755" t="s">
        <v>41</v>
      </c>
      <c r="H755" t="s">
        <v>58</v>
      </c>
      <c r="I755">
        <v>6</v>
      </c>
      <c r="J755">
        <v>573270</v>
      </c>
      <c r="K755">
        <v>10</v>
      </c>
      <c r="L755">
        <v>3095658</v>
      </c>
      <c r="M755" t="s">
        <v>42</v>
      </c>
      <c r="N755" t="s">
        <v>26</v>
      </c>
      <c r="O755" t="s">
        <v>27</v>
      </c>
      <c r="P755" t="s">
        <v>26</v>
      </c>
    </row>
    <row r="756" spans="1:16" x14ac:dyDescent="0.25">
      <c r="A756" t="s">
        <v>1433</v>
      </c>
      <c r="B756" t="s">
        <v>1194</v>
      </c>
      <c r="C756" t="s">
        <v>91</v>
      </c>
      <c r="D756" t="s">
        <v>47</v>
      </c>
      <c r="E756" t="s">
        <v>48</v>
      </c>
      <c r="F756" t="s">
        <v>22</v>
      </c>
      <c r="G756" t="s">
        <v>135</v>
      </c>
      <c r="H756" t="s">
        <v>53</v>
      </c>
      <c r="I756">
        <v>6</v>
      </c>
      <c r="J756">
        <v>632159</v>
      </c>
      <c r="K756">
        <v>5</v>
      </c>
      <c r="L756">
        <v>3603306.3</v>
      </c>
      <c r="M756" t="s">
        <v>54</v>
      </c>
      <c r="N756" t="s">
        <v>26</v>
      </c>
      <c r="O756" t="s">
        <v>44</v>
      </c>
      <c r="P756" t="s">
        <v>55</v>
      </c>
    </row>
    <row r="757" spans="1:16" x14ac:dyDescent="0.25">
      <c r="A757" t="s">
        <v>1434</v>
      </c>
      <c r="B757" t="s">
        <v>1435</v>
      </c>
      <c r="C757" t="s">
        <v>85</v>
      </c>
      <c r="D757" t="s">
        <v>30</v>
      </c>
      <c r="E757" t="s">
        <v>31</v>
      </c>
      <c r="F757" t="s">
        <v>32</v>
      </c>
      <c r="G757" t="s">
        <v>52</v>
      </c>
      <c r="H757" t="s">
        <v>53</v>
      </c>
      <c r="I757">
        <v>3</v>
      </c>
      <c r="J757">
        <v>635048</v>
      </c>
      <c r="K757">
        <v>12</v>
      </c>
      <c r="L757">
        <v>1676526.72</v>
      </c>
      <c r="M757" t="s">
        <v>42</v>
      </c>
      <c r="N757" t="s">
        <v>43</v>
      </c>
      <c r="O757" t="s">
        <v>27</v>
      </c>
      <c r="P757" t="s">
        <v>42</v>
      </c>
    </row>
    <row r="758" spans="1:16" x14ac:dyDescent="0.25">
      <c r="A758" t="s">
        <v>1436</v>
      </c>
      <c r="B758" t="s">
        <v>793</v>
      </c>
      <c r="C758" t="s">
        <v>85</v>
      </c>
      <c r="D758" t="s">
        <v>66</v>
      </c>
      <c r="E758" t="s">
        <v>67</v>
      </c>
      <c r="F758" t="s">
        <v>68</v>
      </c>
      <c r="G758" t="s">
        <v>41</v>
      </c>
      <c r="H758" t="s">
        <v>53</v>
      </c>
      <c r="I758">
        <v>8</v>
      </c>
      <c r="J758">
        <v>615709</v>
      </c>
      <c r="K758">
        <v>2</v>
      </c>
      <c r="L758">
        <v>4827158.5599999996</v>
      </c>
      <c r="M758" t="s">
        <v>42</v>
      </c>
      <c r="N758" t="s">
        <v>69</v>
      </c>
      <c r="O758" t="s">
        <v>27</v>
      </c>
      <c r="P758" t="s">
        <v>26</v>
      </c>
    </row>
    <row r="759" spans="1:16" x14ac:dyDescent="0.25">
      <c r="A759" t="s">
        <v>1437</v>
      </c>
      <c r="B759" t="s">
        <v>1438</v>
      </c>
      <c r="C759" t="s">
        <v>99</v>
      </c>
      <c r="D759" t="s">
        <v>20</v>
      </c>
      <c r="E759" t="s">
        <v>21</v>
      </c>
      <c r="F759" t="s">
        <v>22</v>
      </c>
      <c r="G759" t="s">
        <v>62</v>
      </c>
      <c r="H759" t="s">
        <v>53</v>
      </c>
      <c r="I759">
        <v>8</v>
      </c>
      <c r="J759">
        <v>344533</v>
      </c>
      <c r="K759">
        <v>10</v>
      </c>
      <c r="L759">
        <v>2480637.6</v>
      </c>
      <c r="M759" t="s">
        <v>25</v>
      </c>
      <c r="N759" t="s">
        <v>26</v>
      </c>
      <c r="O759" t="s">
        <v>27</v>
      </c>
      <c r="P759" t="s">
        <v>26</v>
      </c>
    </row>
    <row r="760" spans="1:16" x14ac:dyDescent="0.25">
      <c r="A760" t="s">
        <v>1439</v>
      </c>
      <c r="B760" t="s">
        <v>1440</v>
      </c>
      <c r="C760" t="s">
        <v>19</v>
      </c>
      <c r="D760" t="s">
        <v>30</v>
      </c>
      <c r="E760" t="s">
        <v>31</v>
      </c>
      <c r="F760" t="s">
        <v>32</v>
      </c>
      <c r="G760" t="s">
        <v>52</v>
      </c>
      <c r="H760" t="s">
        <v>53</v>
      </c>
      <c r="I760">
        <v>4</v>
      </c>
      <c r="J760">
        <v>549977</v>
      </c>
      <c r="K760">
        <v>12</v>
      </c>
      <c r="L760">
        <v>1935919.04</v>
      </c>
      <c r="M760" t="s">
        <v>25</v>
      </c>
      <c r="N760" t="s">
        <v>26</v>
      </c>
      <c r="O760" t="s">
        <v>27</v>
      </c>
      <c r="P760" t="s">
        <v>55</v>
      </c>
    </row>
    <row r="761" spans="1:16" x14ac:dyDescent="0.25">
      <c r="A761" t="s">
        <v>1441</v>
      </c>
      <c r="B761" t="s">
        <v>1442</v>
      </c>
      <c r="C761" t="s">
        <v>85</v>
      </c>
      <c r="D761" t="s">
        <v>30</v>
      </c>
      <c r="E761" t="s">
        <v>31</v>
      </c>
      <c r="F761" t="s">
        <v>32</v>
      </c>
      <c r="G761" t="s">
        <v>33</v>
      </c>
      <c r="H761" t="s">
        <v>24</v>
      </c>
      <c r="I761">
        <v>2</v>
      </c>
      <c r="J761">
        <v>612606</v>
      </c>
      <c r="K761">
        <v>0</v>
      </c>
      <c r="L761">
        <v>1225212</v>
      </c>
      <c r="M761" t="s">
        <v>54</v>
      </c>
      <c r="N761" t="s">
        <v>26</v>
      </c>
      <c r="O761" t="s">
        <v>44</v>
      </c>
      <c r="P761" t="s">
        <v>55</v>
      </c>
    </row>
    <row r="762" spans="1:16" x14ac:dyDescent="0.25">
      <c r="A762" t="s">
        <v>1443</v>
      </c>
      <c r="B762" t="s">
        <v>815</v>
      </c>
      <c r="C762" t="s">
        <v>19</v>
      </c>
      <c r="D762" t="s">
        <v>66</v>
      </c>
      <c r="E762" t="s">
        <v>67</v>
      </c>
      <c r="F762" t="s">
        <v>68</v>
      </c>
      <c r="G762" t="s">
        <v>52</v>
      </c>
      <c r="H762" t="s">
        <v>58</v>
      </c>
      <c r="I762">
        <v>6</v>
      </c>
      <c r="J762">
        <v>348835</v>
      </c>
      <c r="K762">
        <v>5</v>
      </c>
      <c r="L762">
        <v>1988359.5</v>
      </c>
      <c r="M762" t="s">
        <v>42</v>
      </c>
      <c r="N762" t="s">
        <v>26</v>
      </c>
      <c r="O762" t="s">
        <v>44</v>
      </c>
      <c r="P762" t="s">
        <v>55</v>
      </c>
    </row>
    <row r="763" spans="1:16" x14ac:dyDescent="0.25">
      <c r="A763" t="s">
        <v>1444</v>
      </c>
      <c r="B763" t="s">
        <v>1445</v>
      </c>
      <c r="C763" t="s">
        <v>76</v>
      </c>
      <c r="D763" t="s">
        <v>20</v>
      </c>
      <c r="E763" t="s">
        <v>21</v>
      </c>
      <c r="F763" t="s">
        <v>22</v>
      </c>
      <c r="G763" t="s">
        <v>52</v>
      </c>
      <c r="H763" t="s">
        <v>86</v>
      </c>
      <c r="I763">
        <v>5</v>
      </c>
      <c r="J763">
        <v>841888</v>
      </c>
      <c r="K763">
        <v>12</v>
      </c>
      <c r="L763">
        <v>3704307.2</v>
      </c>
      <c r="M763" t="s">
        <v>54</v>
      </c>
      <c r="N763" t="s">
        <v>43</v>
      </c>
      <c r="O763" t="s">
        <v>27</v>
      </c>
      <c r="P763" t="s">
        <v>55</v>
      </c>
    </row>
    <row r="764" spans="1:16" x14ac:dyDescent="0.25">
      <c r="A764" t="s">
        <v>1446</v>
      </c>
      <c r="B764" t="s">
        <v>1447</v>
      </c>
      <c r="C764" t="s">
        <v>85</v>
      </c>
      <c r="D764" t="s">
        <v>66</v>
      </c>
      <c r="E764" t="s">
        <v>201</v>
      </c>
      <c r="F764" t="s">
        <v>68</v>
      </c>
      <c r="G764" t="s">
        <v>62</v>
      </c>
      <c r="H764" t="s">
        <v>58</v>
      </c>
      <c r="I764">
        <v>5</v>
      </c>
      <c r="J764">
        <v>601525</v>
      </c>
      <c r="K764">
        <v>0</v>
      </c>
      <c r="L764">
        <v>3007625</v>
      </c>
      <c r="M764" t="s">
        <v>54</v>
      </c>
      <c r="N764" t="s">
        <v>26</v>
      </c>
      <c r="O764" t="s">
        <v>44</v>
      </c>
      <c r="P764" t="s">
        <v>42</v>
      </c>
    </row>
    <row r="765" spans="1:16" x14ac:dyDescent="0.25">
      <c r="A765" t="s">
        <v>1448</v>
      </c>
      <c r="B765" t="s">
        <v>1449</v>
      </c>
      <c r="C765" t="s">
        <v>37</v>
      </c>
      <c r="D765" t="s">
        <v>20</v>
      </c>
      <c r="E765" t="s">
        <v>21</v>
      </c>
      <c r="F765" t="s">
        <v>22</v>
      </c>
      <c r="G765" t="s">
        <v>33</v>
      </c>
      <c r="H765" t="s">
        <v>58</v>
      </c>
      <c r="I765">
        <v>8</v>
      </c>
      <c r="J765">
        <v>790170</v>
      </c>
      <c r="K765">
        <v>10</v>
      </c>
      <c r="L765">
        <v>5689224</v>
      </c>
      <c r="M765" t="s">
        <v>25</v>
      </c>
      <c r="N765" t="s">
        <v>69</v>
      </c>
      <c r="O765" t="s">
        <v>27</v>
      </c>
      <c r="P765" t="s">
        <v>55</v>
      </c>
    </row>
    <row r="766" spans="1:16" x14ac:dyDescent="0.25">
      <c r="A766" t="s">
        <v>1450</v>
      </c>
      <c r="B766" t="s">
        <v>1451</v>
      </c>
      <c r="C766" t="s">
        <v>85</v>
      </c>
      <c r="D766" t="s">
        <v>20</v>
      </c>
      <c r="E766" t="s">
        <v>21</v>
      </c>
      <c r="F766" t="s">
        <v>22</v>
      </c>
      <c r="G766" t="s">
        <v>23</v>
      </c>
      <c r="H766" t="s">
        <v>53</v>
      </c>
      <c r="I766">
        <v>1</v>
      </c>
      <c r="J766">
        <v>780087</v>
      </c>
      <c r="K766">
        <v>2</v>
      </c>
      <c r="L766">
        <v>764485.26</v>
      </c>
      <c r="M766" t="s">
        <v>42</v>
      </c>
      <c r="N766" t="s">
        <v>43</v>
      </c>
      <c r="O766" t="s">
        <v>44</v>
      </c>
      <c r="P766" t="s">
        <v>42</v>
      </c>
    </row>
    <row r="767" spans="1:16" x14ac:dyDescent="0.25">
      <c r="A767" t="s">
        <v>1452</v>
      </c>
      <c r="B767" t="s">
        <v>1453</v>
      </c>
      <c r="C767" t="s">
        <v>76</v>
      </c>
      <c r="D767" t="s">
        <v>154</v>
      </c>
      <c r="E767" t="s">
        <v>67</v>
      </c>
      <c r="F767" t="s">
        <v>68</v>
      </c>
      <c r="G767" t="s">
        <v>62</v>
      </c>
      <c r="H767" t="s">
        <v>34</v>
      </c>
      <c r="I767">
        <v>2</v>
      </c>
      <c r="J767">
        <v>674724</v>
      </c>
      <c r="K767">
        <v>5</v>
      </c>
      <c r="L767">
        <v>1281975.6000000001</v>
      </c>
      <c r="M767" t="s">
        <v>54</v>
      </c>
      <c r="N767" t="s">
        <v>69</v>
      </c>
      <c r="O767" t="s">
        <v>27</v>
      </c>
      <c r="P767" t="s">
        <v>55</v>
      </c>
    </row>
    <row r="768" spans="1:16" x14ac:dyDescent="0.25">
      <c r="A768" t="s">
        <v>1454</v>
      </c>
      <c r="B768" t="s">
        <v>1139</v>
      </c>
      <c r="C768" t="s">
        <v>19</v>
      </c>
      <c r="D768" t="s">
        <v>66</v>
      </c>
      <c r="E768" t="s">
        <v>67</v>
      </c>
      <c r="F768" t="s">
        <v>68</v>
      </c>
      <c r="G768" t="s">
        <v>52</v>
      </c>
      <c r="H768" t="s">
        <v>58</v>
      </c>
      <c r="I768">
        <v>1</v>
      </c>
      <c r="J768">
        <v>314681</v>
      </c>
      <c r="K768">
        <v>5</v>
      </c>
      <c r="L768">
        <v>298946.95</v>
      </c>
      <c r="M768" t="s">
        <v>54</v>
      </c>
      <c r="N768" t="s">
        <v>26</v>
      </c>
      <c r="O768" t="s">
        <v>27</v>
      </c>
      <c r="P768" t="s">
        <v>42</v>
      </c>
    </row>
    <row r="769" spans="1:16" x14ac:dyDescent="0.25">
      <c r="A769" t="s">
        <v>1455</v>
      </c>
      <c r="B769" t="s">
        <v>631</v>
      </c>
      <c r="C769" t="s">
        <v>37</v>
      </c>
      <c r="D769" t="s">
        <v>30</v>
      </c>
      <c r="E769" t="s">
        <v>142</v>
      </c>
      <c r="F769" t="s">
        <v>32</v>
      </c>
      <c r="G769" t="s">
        <v>135</v>
      </c>
      <c r="H769" t="s">
        <v>34</v>
      </c>
      <c r="I769">
        <v>5</v>
      </c>
      <c r="J769">
        <v>774765</v>
      </c>
      <c r="K769">
        <v>10</v>
      </c>
      <c r="L769">
        <v>3486442.5</v>
      </c>
      <c r="M769" t="s">
        <v>54</v>
      </c>
      <c r="N769" t="s">
        <v>26</v>
      </c>
      <c r="O769" t="s">
        <v>44</v>
      </c>
      <c r="P769" t="s">
        <v>26</v>
      </c>
    </row>
    <row r="770" spans="1:16" x14ac:dyDescent="0.25">
      <c r="A770" t="s">
        <v>1456</v>
      </c>
      <c r="B770" t="s">
        <v>1457</v>
      </c>
      <c r="C770" t="s">
        <v>76</v>
      </c>
      <c r="D770" t="s">
        <v>30</v>
      </c>
      <c r="E770" t="s">
        <v>31</v>
      </c>
      <c r="F770" t="s">
        <v>32</v>
      </c>
      <c r="G770" t="s">
        <v>33</v>
      </c>
      <c r="H770" t="s">
        <v>34</v>
      </c>
      <c r="I770">
        <v>6</v>
      </c>
      <c r="J770">
        <v>741317</v>
      </c>
      <c r="K770">
        <v>7</v>
      </c>
      <c r="L770">
        <v>4136548.86</v>
      </c>
      <c r="M770" t="s">
        <v>25</v>
      </c>
      <c r="N770" t="s">
        <v>26</v>
      </c>
      <c r="O770" t="s">
        <v>27</v>
      </c>
      <c r="P770" t="s">
        <v>42</v>
      </c>
    </row>
    <row r="771" spans="1:16" x14ac:dyDescent="0.25">
      <c r="A771" t="s">
        <v>1458</v>
      </c>
      <c r="B771" t="s">
        <v>629</v>
      </c>
      <c r="C771" t="s">
        <v>19</v>
      </c>
      <c r="D771" t="s">
        <v>38</v>
      </c>
      <c r="E771" t="s">
        <v>39</v>
      </c>
      <c r="F771" t="s">
        <v>40</v>
      </c>
      <c r="G771" t="s">
        <v>94</v>
      </c>
      <c r="H771" t="s">
        <v>86</v>
      </c>
      <c r="I771">
        <v>6</v>
      </c>
      <c r="J771">
        <v>750008</v>
      </c>
      <c r="K771">
        <v>2</v>
      </c>
      <c r="L771">
        <v>4410047.04</v>
      </c>
      <c r="M771" t="s">
        <v>42</v>
      </c>
      <c r="N771" t="s">
        <v>26</v>
      </c>
      <c r="O771" t="s">
        <v>44</v>
      </c>
      <c r="P771" t="s">
        <v>42</v>
      </c>
    </row>
    <row r="772" spans="1:16" x14ac:dyDescent="0.25">
      <c r="A772" t="s">
        <v>1459</v>
      </c>
      <c r="B772" t="s">
        <v>1024</v>
      </c>
      <c r="C772" t="s">
        <v>91</v>
      </c>
      <c r="D772" t="s">
        <v>30</v>
      </c>
      <c r="E772" t="s">
        <v>31</v>
      </c>
      <c r="F772" t="s">
        <v>32</v>
      </c>
      <c r="G772" t="s">
        <v>62</v>
      </c>
      <c r="H772" t="s">
        <v>24</v>
      </c>
      <c r="J772">
        <v>100600</v>
      </c>
      <c r="K772">
        <v>0</v>
      </c>
      <c r="M772" t="s">
        <v>54</v>
      </c>
      <c r="N772" t="s">
        <v>43</v>
      </c>
      <c r="O772" t="s">
        <v>27</v>
      </c>
      <c r="P772" t="s">
        <v>42</v>
      </c>
    </row>
    <row r="773" spans="1:16" x14ac:dyDescent="0.25">
      <c r="A773" t="s">
        <v>1460</v>
      </c>
      <c r="B773" t="s">
        <v>1097</v>
      </c>
      <c r="C773" t="s">
        <v>65</v>
      </c>
      <c r="D773" t="s">
        <v>47</v>
      </c>
      <c r="E773" t="s">
        <v>48</v>
      </c>
      <c r="F773" t="s">
        <v>22</v>
      </c>
      <c r="G773" t="s">
        <v>62</v>
      </c>
      <c r="H773" t="s">
        <v>34</v>
      </c>
      <c r="I773">
        <v>4</v>
      </c>
      <c r="J773">
        <v>509480</v>
      </c>
      <c r="K773">
        <v>5</v>
      </c>
      <c r="L773">
        <v>1936024</v>
      </c>
      <c r="M773" t="s">
        <v>42</v>
      </c>
      <c r="N773" t="s">
        <v>69</v>
      </c>
      <c r="O773" t="s">
        <v>27</v>
      </c>
      <c r="P773" t="s">
        <v>26</v>
      </c>
    </row>
    <row r="774" spans="1:16" x14ac:dyDescent="0.25">
      <c r="A774" t="s">
        <v>1461</v>
      </c>
      <c r="B774" t="s">
        <v>1462</v>
      </c>
      <c r="C774" t="s">
        <v>85</v>
      </c>
      <c r="D774" t="s">
        <v>20</v>
      </c>
      <c r="E774" t="s">
        <v>21</v>
      </c>
      <c r="F774" t="s">
        <v>22</v>
      </c>
      <c r="G774" t="s">
        <v>135</v>
      </c>
      <c r="H774" t="s">
        <v>53</v>
      </c>
      <c r="I774">
        <v>1</v>
      </c>
      <c r="J774">
        <v>167429</v>
      </c>
      <c r="K774">
        <v>10</v>
      </c>
      <c r="L774">
        <v>150686.1</v>
      </c>
      <c r="M774" t="s">
        <v>25</v>
      </c>
      <c r="N774" t="s">
        <v>43</v>
      </c>
      <c r="O774" t="s">
        <v>27</v>
      </c>
      <c r="P774" t="s">
        <v>26</v>
      </c>
    </row>
    <row r="775" spans="1:16" x14ac:dyDescent="0.25">
      <c r="A775" t="s">
        <v>1463</v>
      </c>
      <c r="B775" t="s">
        <v>1464</v>
      </c>
      <c r="C775" t="s">
        <v>37</v>
      </c>
      <c r="D775" t="s">
        <v>66</v>
      </c>
      <c r="E775" t="s">
        <v>67</v>
      </c>
      <c r="F775" t="s">
        <v>68</v>
      </c>
      <c r="G775" t="s">
        <v>41</v>
      </c>
      <c r="H775" t="s">
        <v>24</v>
      </c>
      <c r="I775">
        <v>3</v>
      </c>
      <c r="J775">
        <v>401052</v>
      </c>
      <c r="K775">
        <v>10</v>
      </c>
      <c r="L775">
        <v>1082840.3999999999</v>
      </c>
      <c r="M775" t="s">
        <v>54</v>
      </c>
      <c r="N775" t="s">
        <v>26</v>
      </c>
      <c r="O775" t="s">
        <v>44</v>
      </c>
      <c r="P775" t="s">
        <v>55</v>
      </c>
    </row>
    <row r="776" spans="1:16" x14ac:dyDescent="0.25">
      <c r="A776" t="s">
        <v>1465</v>
      </c>
      <c r="B776" t="s">
        <v>1466</v>
      </c>
      <c r="C776" t="s">
        <v>76</v>
      </c>
      <c r="D776" t="s">
        <v>47</v>
      </c>
      <c r="E776" t="s">
        <v>48</v>
      </c>
      <c r="F776" t="s">
        <v>22</v>
      </c>
      <c r="G776" t="s">
        <v>73</v>
      </c>
      <c r="H776" t="s">
        <v>34</v>
      </c>
      <c r="I776">
        <v>2</v>
      </c>
      <c r="J776">
        <v>811028</v>
      </c>
      <c r="K776">
        <v>0</v>
      </c>
      <c r="L776">
        <v>1622056</v>
      </c>
      <c r="M776" t="s">
        <v>54</v>
      </c>
      <c r="N776" t="s">
        <v>69</v>
      </c>
      <c r="O776" t="s">
        <v>44</v>
      </c>
      <c r="P776" t="s">
        <v>26</v>
      </c>
    </row>
    <row r="777" spans="1:16" x14ac:dyDescent="0.25">
      <c r="A777" t="s">
        <v>1467</v>
      </c>
      <c r="B777" t="s">
        <v>636</v>
      </c>
      <c r="C777" t="s">
        <v>85</v>
      </c>
      <c r="D777" t="s">
        <v>47</v>
      </c>
      <c r="E777" t="s">
        <v>72</v>
      </c>
      <c r="F777" t="s">
        <v>22</v>
      </c>
      <c r="G777" t="s">
        <v>73</v>
      </c>
      <c r="H777" t="s">
        <v>24</v>
      </c>
      <c r="I777">
        <v>7</v>
      </c>
      <c r="J777">
        <v>771908</v>
      </c>
      <c r="K777">
        <v>0</v>
      </c>
      <c r="L777">
        <v>5403356</v>
      </c>
      <c r="M777" t="s">
        <v>42</v>
      </c>
      <c r="N777" t="s">
        <v>26</v>
      </c>
      <c r="O777" t="s">
        <v>44</v>
      </c>
      <c r="P777" t="s">
        <v>26</v>
      </c>
    </row>
    <row r="778" spans="1:16" x14ac:dyDescent="0.25">
      <c r="A778" t="s">
        <v>1468</v>
      </c>
      <c r="B778" t="s">
        <v>1469</v>
      </c>
      <c r="C778" t="s">
        <v>85</v>
      </c>
      <c r="D778" t="s">
        <v>47</v>
      </c>
      <c r="E778" t="s">
        <v>48</v>
      </c>
      <c r="F778" t="s">
        <v>22</v>
      </c>
      <c r="G778" t="s">
        <v>62</v>
      </c>
      <c r="H778" t="s">
        <v>24</v>
      </c>
      <c r="I778">
        <v>4</v>
      </c>
      <c r="J778">
        <v>814389</v>
      </c>
      <c r="K778">
        <v>7</v>
      </c>
      <c r="L778">
        <v>3029527.08</v>
      </c>
      <c r="M778" t="s">
        <v>25</v>
      </c>
      <c r="N778" t="s">
        <v>43</v>
      </c>
      <c r="O778" t="s">
        <v>27</v>
      </c>
      <c r="P778" t="s">
        <v>55</v>
      </c>
    </row>
    <row r="779" spans="1:16" x14ac:dyDescent="0.25">
      <c r="A779" t="s">
        <v>1470</v>
      </c>
      <c r="B779" t="s">
        <v>1466</v>
      </c>
      <c r="C779" t="s">
        <v>65</v>
      </c>
      <c r="D779" t="s">
        <v>47</v>
      </c>
      <c r="E779" t="s">
        <v>48</v>
      </c>
      <c r="F779" t="s">
        <v>22</v>
      </c>
      <c r="G779" t="s">
        <v>94</v>
      </c>
      <c r="H779" t="s">
        <v>24</v>
      </c>
      <c r="I779">
        <v>5</v>
      </c>
      <c r="J779">
        <v>537672</v>
      </c>
      <c r="K779">
        <v>12</v>
      </c>
      <c r="L779">
        <v>2365756.7999999998</v>
      </c>
      <c r="M779" t="s">
        <v>25</v>
      </c>
      <c r="N779" t="s">
        <v>69</v>
      </c>
      <c r="O779" t="s">
        <v>27</v>
      </c>
      <c r="P779" t="s">
        <v>42</v>
      </c>
    </row>
    <row r="780" spans="1:16" x14ac:dyDescent="0.25">
      <c r="A780" t="s">
        <v>1471</v>
      </c>
      <c r="B780" t="s">
        <v>1472</v>
      </c>
      <c r="C780" t="s">
        <v>85</v>
      </c>
      <c r="D780" t="s">
        <v>106</v>
      </c>
      <c r="E780" t="s">
        <v>31</v>
      </c>
      <c r="F780" t="s">
        <v>32</v>
      </c>
      <c r="G780" t="s">
        <v>33</v>
      </c>
      <c r="H780" t="s">
        <v>34</v>
      </c>
      <c r="I780">
        <v>6</v>
      </c>
      <c r="J780">
        <v>231955</v>
      </c>
      <c r="K780">
        <v>12</v>
      </c>
      <c r="L780">
        <v>1224722.3999999999</v>
      </c>
      <c r="M780" t="s">
        <v>42</v>
      </c>
      <c r="N780" t="s">
        <v>43</v>
      </c>
      <c r="O780" t="s">
        <v>44</v>
      </c>
      <c r="P780" t="s">
        <v>26</v>
      </c>
    </row>
    <row r="781" spans="1:16" x14ac:dyDescent="0.25">
      <c r="A781" t="s">
        <v>1473</v>
      </c>
      <c r="B781" t="s">
        <v>959</v>
      </c>
      <c r="C781" t="s">
        <v>85</v>
      </c>
      <c r="D781" t="s">
        <v>30</v>
      </c>
      <c r="E781" t="s">
        <v>31</v>
      </c>
      <c r="F781" t="s">
        <v>32</v>
      </c>
      <c r="G781" t="s">
        <v>73</v>
      </c>
      <c r="H781" t="s">
        <v>34</v>
      </c>
      <c r="I781">
        <v>4</v>
      </c>
      <c r="J781">
        <v>474817</v>
      </c>
      <c r="K781">
        <v>7</v>
      </c>
      <c r="L781">
        <v>1766319.24</v>
      </c>
      <c r="M781" t="s">
        <v>42</v>
      </c>
      <c r="N781" t="s">
        <v>69</v>
      </c>
      <c r="O781" t="s">
        <v>44</v>
      </c>
      <c r="P781" t="s">
        <v>55</v>
      </c>
    </row>
    <row r="782" spans="1:16" x14ac:dyDescent="0.25">
      <c r="A782" t="s">
        <v>1474</v>
      </c>
      <c r="B782" t="s">
        <v>1475</v>
      </c>
      <c r="C782" t="s">
        <v>91</v>
      </c>
      <c r="D782" t="s">
        <v>38</v>
      </c>
      <c r="E782" t="s">
        <v>39</v>
      </c>
      <c r="F782" t="s">
        <v>40</v>
      </c>
      <c r="G782" t="s">
        <v>41</v>
      </c>
      <c r="H782" t="s">
        <v>58</v>
      </c>
      <c r="I782">
        <v>8</v>
      </c>
      <c r="J782">
        <v>496847</v>
      </c>
      <c r="K782">
        <v>7</v>
      </c>
      <c r="L782">
        <v>3696541.68</v>
      </c>
      <c r="M782" t="s">
        <v>25</v>
      </c>
      <c r="N782" t="s">
        <v>69</v>
      </c>
      <c r="O782" t="s">
        <v>44</v>
      </c>
      <c r="P782" t="s">
        <v>26</v>
      </c>
    </row>
    <row r="783" spans="1:16" x14ac:dyDescent="0.25">
      <c r="A783" t="s">
        <v>1476</v>
      </c>
      <c r="B783" t="s">
        <v>1477</v>
      </c>
      <c r="C783" t="s">
        <v>76</v>
      </c>
      <c r="D783" t="s">
        <v>119</v>
      </c>
      <c r="E783" t="s">
        <v>21</v>
      </c>
      <c r="F783" t="s">
        <v>22</v>
      </c>
      <c r="G783" t="s">
        <v>41</v>
      </c>
      <c r="H783" t="s">
        <v>53</v>
      </c>
      <c r="I783">
        <v>7</v>
      </c>
      <c r="J783">
        <v>614098</v>
      </c>
      <c r="K783">
        <v>0</v>
      </c>
      <c r="L783">
        <v>4298686</v>
      </c>
      <c r="M783" t="s">
        <v>42</v>
      </c>
      <c r="N783" t="s">
        <v>43</v>
      </c>
      <c r="O783" t="s">
        <v>27</v>
      </c>
      <c r="P783" t="s">
        <v>26</v>
      </c>
    </row>
    <row r="784" spans="1:16" x14ac:dyDescent="0.25">
      <c r="A784" t="s">
        <v>1478</v>
      </c>
      <c r="B784" t="s">
        <v>1479</v>
      </c>
      <c r="C784" t="s">
        <v>85</v>
      </c>
      <c r="D784" t="s">
        <v>38</v>
      </c>
      <c r="E784" t="s">
        <v>39</v>
      </c>
      <c r="F784" t="s">
        <v>40</v>
      </c>
      <c r="G784" t="s">
        <v>89</v>
      </c>
      <c r="H784" t="s">
        <v>58</v>
      </c>
      <c r="I784">
        <v>8</v>
      </c>
      <c r="J784">
        <v>784018</v>
      </c>
      <c r="K784">
        <v>7</v>
      </c>
      <c r="L784">
        <v>5833093.9199999999</v>
      </c>
      <c r="M784" t="s">
        <v>25</v>
      </c>
      <c r="N784" t="s">
        <v>43</v>
      </c>
      <c r="O784" t="s">
        <v>27</v>
      </c>
      <c r="P784" t="s">
        <v>55</v>
      </c>
    </row>
    <row r="785" spans="1:16" x14ac:dyDescent="0.25">
      <c r="A785" t="s">
        <v>1480</v>
      </c>
      <c r="B785" t="s">
        <v>1481</v>
      </c>
      <c r="C785" t="s">
        <v>198</v>
      </c>
      <c r="D785" t="s">
        <v>106</v>
      </c>
      <c r="E785" t="s">
        <v>31</v>
      </c>
      <c r="F785" t="s">
        <v>32</v>
      </c>
      <c r="G785" t="s">
        <v>52</v>
      </c>
      <c r="H785" t="s">
        <v>86</v>
      </c>
      <c r="I785">
        <v>6</v>
      </c>
      <c r="J785">
        <v>184153</v>
      </c>
      <c r="K785">
        <v>2</v>
      </c>
      <c r="L785">
        <v>1082819.6399999999</v>
      </c>
      <c r="M785" t="s">
        <v>25</v>
      </c>
      <c r="N785" t="s">
        <v>69</v>
      </c>
      <c r="O785" t="s">
        <v>27</v>
      </c>
      <c r="P785" t="s">
        <v>55</v>
      </c>
    </row>
    <row r="786" spans="1:16" x14ac:dyDescent="0.25">
      <c r="A786" t="s">
        <v>1482</v>
      </c>
      <c r="B786" t="s">
        <v>1089</v>
      </c>
      <c r="C786" t="s">
        <v>76</v>
      </c>
      <c r="D786" t="s">
        <v>20</v>
      </c>
      <c r="E786" t="s">
        <v>21</v>
      </c>
      <c r="F786" t="s">
        <v>22</v>
      </c>
      <c r="G786" t="s">
        <v>52</v>
      </c>
      <c r="H786" t="s">
        <v>53</v>
      </c>
      <c r="I786">
        <v>1</v>
      </c>
      <c r="J786">
        <v>139820</v>
      </c>
      <c r="K786">
        <v>12</v>
      </c>
      <c r="L786">
        <v>123041.60000000001</v>
      </c>
      <c r="M786" t="s">
        <v>42</v>
      </c>
      <c r="N786" t="s">
        <v>26</v>
      </c>
      <c r="O786" t="s">
        <v>44</v>
      </c>
      <c r="P786" t="s">
        <v>42</v>
      </c>
    </row>
    <row r="787" spans="1:16" x14ac:dyDescent="0.25">
      <c r="A787" t="s">
        <v>1483</v>
      </c>
      <c r="B787" t="s">
        <v>1484</v>
      </c>
      <c r="C787" t="s">
        <v>76</v>
      </c>
      <c r="D787" t="s">
        <v>47</v>
      </c>
      <c r="E787" t="s">
        <v>48</v>
      </c>
      <c r="F787" t="s">
        <v>22</v>
      </c>
      <c r="G787" t="s">
        <v>94</v>
      </c>
      <c r="H787" t="s">
        <v>34</v>
      </c>
      <c r="I787">
        <v>3</v>
      </c>
      <c r="J787">
        <v>395096</v>
      </c>
      <c r="K787">
        <v>7</v>
      </c>
      <c r="L787">
        <v>1114662.8400000001</v>
      </c>
      <c r="M787" t="s">
        <v>25</v>
      </c>
      <c r="N787" t="s">
        <v>26</v>
      </c>
      <c r="O787" t="s">
        <v>27</v>
      </c>
      <c r="P787" t="s">
        <v>42</v>
      </c>
    </row>
    <row r="788" spans="1:16" x14ac:dyDescent="0.25">
      <c r="A788" t="s">
        <v>1485</v>
      </c>
      <c r="B788" t="s">
        <v>1486</v>
      </c>
      <c r="C788" t="s">
        <v>85</v>
      </c>
      <c r="D788" t="s">
        <v>66</v>
      </c>
      <c r="E788" t="s">
        <v>201</v>
      </c>
      <c r="F788" t="s">
        <v>68</v>
      </c>
      <c r="G788" t="s">
        <v>33</v>
      </c>
      <c r="H788" t="s">
        <v>58</v>
      </c>
      <c r="I788">
        <v>7</v>
      </c>
      <c r="J788">
        <v>567919</v>
      </c>
      <c r="K788">
        <v>12</v>
      </c>
      <c r="L788">
        <v>3498381.04</v>
      </c>
      <c r="M788" t="s">
        <v>42</v>
      </c>
      <c r="N788" t="s">
        <v>26</v>
      </c>
      <c r="O788" t="s">
        <v>27</v>
      </c>
      <c r="P788" t="s">
        <v>42</v>
      </c>
    </row>
    <row r="789" spans="1:16" x14ac:dyDescent="0.25">
      <c r="A789" t="s">
        <v>1487</v>
      </c>
      <c r="B789" t="s">
        <v>1488</v>
      </c>
      <c r="C789" t="s">
        <v>37</v>
      </c>
      <c r="D789" t="s">
        <v>20</v>
      </c>
      <c r="E789" t="s">
        <v>21</v>
      </c>
      <c r="F789" t="s">
        <v>22</v>
      </c>
      <c r="G789" t="s">
        <v>52</v>
      </c>
      <c r="H789" t="s">
        <v>58</v>
      </c>
      <c r="I789">
        <v>6</v>
      </c>
      <c r="J789">
        <v>474568</v>
      </c>
      <c r="M789" t="s">
        <v>25</v>
      </c>
      <c r="N789" t="s">
        <v>43</v>
      </c>
      <c r="O789" t="s">
        <v>44</v>
      </c>
      <c r="P789" t="s">
        <v>42</v>
      </c>
    </row>
    <row r="790" spans="1:16" x14ac:dyDescent="0.25">
      <c r="A790" t="s">
        <v>1489</v>
      </c>
      <c r="B790" t="s">
        <v>96</v>
      </c>
      <c r="C790" t="s">
        <v>79</v>
      </c>
      <c r="D790" t="s">
        <v>47</v>
      </c>
      <c r="E790" t="s">
        <v>48</v>
      </c>
      <c r="F790" t="s">
        <v>22</v>
      </c>
      <c r="G790" t="s">
        <v>62</v>
      </c>
      <c r="H790" t="s">
        <v>58</v>
      </c>
      <c r="I790">
        <v>5</v>
      </c>
      <c r="J790">
        <v>146039</v>
      </c>
      <c r="K790">
        <v>7</v>
      </c>
      <c r="L790">
        <v>679081.35</v>
      </c>
      <c r="M790" t="s">
        <v>42</v>
      </c>
      <c r="N790" t="s">
        <v>69</v>
      </c>
      <c r="O790" t="s">
        <v>44</v>
      </c>
      <c r="P790" t="s">
        <v>42</v>
      </c>
    </row>
    <row r="791" spans="1:16" x14ac:dyDescent="0.25">
      <c r="A791" t="s">
        <v>1490</v>
      </c>
      <c r="B791" t="s">
        <v>1491</v>
      </c>
      <c r="C791" t="s">
        <v>85</v>
      </c>
      <c r="D791" t="s">
        <v>47</v>
      </c>
      <c r="E791" t="s">
        <v>48</v>
      </c>
      <c r="F791" t="s">
        <v>22</v>
      </c>
      <c r="G791" t="s">
        <v>33</v>
      </c>
      <c r="H791" t="s">
        <v>24</v>
      </c>
      <c r="I791">
        <v>7</v>
      </c>
      <c r="J791">
        <v>211757</v>
      </c>
      <c r="K791">
        <v>2</v>
      </c>
      <c r="L791">
        <v>1452653.02</v>
      </c>
      <c r="M791" t="s">
        <v>25</v>
      </c>
      <c r="N791" t="s">
        <v>26</v>
      </c>
      <c r="O791" t="s">
        <v>27</v>
      </c>
      <c r="P791" t="s">
        <v>42</v>
      </c>
    </row>
    <row r="792" spans="1:16" x14ac:dyDescent="0.25">
      <c r="A792" t="s">
        <v>1492</v>
      </c>
      <c r="B792" t="s">
        <v>1181</v>
      </c>
      <c r="C792" t="s">
        <v>37</v>
      </c>
      <c r="D792" t="s">
        <v>38</v>
      </c>
      <c r="E792" t="s">
        <v>39</v>
      </c>
      <c r="F792" t="s">
        <v>40</v>
      </c>
      <c r="G792" t="s">
        <v>41</v>
      </c>
      <c r="H792" t="s">
        <v>86</v>
      </c>
      <c r="I792">
        <v>2</v>
      </c>
      <c r="J792">
        <v>795091</v>
      </c>
      <c r="K792">
        <v>7</v>
      </c>
      <c r="L792">
        <v>1478869.26</v>
      </c>
      <c r="M792" t="s">
        <v>42</v>
      </c>
      <c r="N792" t="s">
        <v>43</v>
      </c>
      <c r="O792" t="s">
        <v>27</v>
      </c>
      <c r="P792" t="s">
        <v>55</v>
      </c>
    </row>
    <row r="793" spans="1:16" x14ac:dyDescent="0.25">
      <c r="A793" t="s">
        <v>1493</v>
      </c>
      <c r="B793" t="s">
        <v>935</v>
      </c>
      <c r="C793" t="s">
        <v>85</v>
      </c>
      <c r="D793" t="s">
        <v>47</v>
      </c>
      <c r="E793" t="s">
        <v>48</v>
      </c>
      <c r="F793" t="s">
        <v>22</v>
      </c>
      <c r="G793" t="s">
        <v>33</v>
      </c>
      <c r="H793" t="s">
        <v>34</v>
      </c>
      <c r="J793">
        <v>561675</v>
      </c>
      <c r="K793">
        <v>2</v>
      </c>
      <c r="M793" t="s">
        <v>54</v>
      </c>
      <c r="N793" t="s">
        <v>43</v>
      </c>
      <c r="O793" t="s">
        <v>27</v>
      </c>
      <c r="P793" t="s">
        <v>26</v>
      </c>
    </row>
    <row r="794" spans="1:16" x14ac:dyDescent="0.25">
      <c r="A794" t="s">
        <v>1494</v>
      </c>
      <c r="B794" t="s">
        <v>1495</v>
      </c>
      <c r="C794" t="s">
        <v>85</v>
      </c>
      <c r="D794" t="s">
        <v>47</v>
      </c>
      <c r="E794" t="s">
        <v>48</v>
      </c>
      <c r="F794" t="s">
        <v>22</v>
      </c>
      <c r="G794" t="s">
        <v>62</v>
      </c>
      <c r="H794" t="s">
        <v>24</v>
      </c>
      <c r="I794">
        <v>8</v>
      </c>
      <c r="J794">
        <v>680717</v>
      </c>
      <c r="K794">
        <v>10</v>
      </c>
      <c r="L794">
        <v>4913507.4000000004</v>
      </c>
      <c r="M794" t="s">
        <v>25</v>
      </c>
      <c r="N794" t="s">
        <v>69</v>
      </c>
      <c r="O794" t="s">
        <v>27</v>
      </c>
      <c r="P794" t="s">
        <v>42</v>
      </c>
    </row>
    <row r="795" spans="1:16" x14ac:dyDescent="0.25">
      <c r="A795" t="s">
        <v>1496</v>
      </c>
      <c r="B795" t="s">
        <v>1497</v>
      </c>
      <c r="C795" t="s">
        <v>198</v>
      </c>
      <c r="D795" t="s">
        <v>38</v>
      </c>
      <c r="E795" t="s">
        <v>39</v>
      </c>
      <c r="F795" t="s">
        <v>40</v>
      </c>
      <c r="G795" t="s">
        <v>73</v>
      </c>
      <c r="H795" t="s">
        <v>53</v>
      </c>
      <c r="I795">
        <v>6</v>
      </c>
      <c r="J795">
        <v>521490</v>
      </c>
      <c r="K795">
        <v>5</v>
      </c>
      <c r="L795">
        <v>2972493</v>
      </c>
      <c r="M795" t="s">
        <v>25</v>
      </c>
      <c r="N795" t="s">
        <v>43</v>
      </c>
      <c r="O795" t="s">
        <v>27</v>
      </c>
      <c r="P795" t="s">
        <v>42</v>
      </c>
    </row>
    <row r="796" spans="1:16" x14ac:dyDescent="0.25">
      <c r="A796" t="s">
        <v>1498</v>
      </c>
      <c r="B796" t="s">
        <v>1499</v>
      </c>
      <c r="C796" t="s">
        <v>76</v>
      </c>
      <c r="D796" t="s">
        <v>38</v>
      </c>
      <c r="E796" t="s">
        <v>39</v>
      </c>
      <c r="F796" t="s">
        <v>40</v>
      </c>
      <c r="G796" t="s">
        <v>41</v>
      </c>
      <c r="H796" t="s">
        <v>58</v>
      </c>
      <c r="I796">
        <v>5</v>
      </c>
      <c r="J796">
        <v>738942</v>
      </c>
      <c r="K796">
        <v>5</v>
      </c>
      <c r="L796">
        <v>3509974.5</v>
      </c>
      <c r="M796" t="s">
        <v>54</v>
      </c>
      <c r="N796" t="s">
        <v>26</v>
      </c>
      <c r="O796" t="s">
        <v>44</v>
      </c>
      <c r="P796" t="s">
        <v>42</v>
      </c>
    </row>
    <row r="797" spans="1:16" x14ac:dyDescent="0.25">
      <c r="A797" t="s">
        <v>1500</v>
      </c>
      <c r="B797" t="s">
        <v>236</v>
      </c>
      <c r="C797" t="s">
        <v>19</v>
      </c>
      <c r="D797" t="s">
        <v>38</v>
      </c>
      <c r="E797" t="s">
        <v>39</v>
      </c>
      <c r="F797" t="s">
        <v>40</v>
      </c>
      <c r="G797" t="s">
        <v>33</v>
      </c>
      <c r="H797" t="s">
        <v>34</v>
      </c>
      <c r="I797">
        <v>8</v>
      </c>
      <c r="J797">
        <v>413327</v>
      </c>
      <c r="K797">
        <v>5</v>
      </c>
      <c r="L797">
        <v>3141285.2</v>
      </c>
      <c r="M797" t="s">
        <v>25</v>
      </c>
      <c r="N797" t="s">
        <v>69</v>
      </c>
      <c r="O797" t="s">
        <v>27</v>
      </c>
      <c r="P797" t="s">
        <v>55</v>
      </c>
    </row>
    <row r="798" spans="1:16" x14ac:dyDescent="0.25">
      <c r="A798" t="s">
        <v>1501</v>
      </c>
      <c r="B798" t="s">
        <v>1502</v>
      </c>
      <c r="C798" t="s">
        <v>76</v>
      </c>
      <c r="D798" t="s">
        <v>30</v>
      </c>
      <c r="E798" t="s">
        <v>31</v>
      </c>
      <c r="F798" t="s">
        <v>32</v>
      </c>
      <c r="G798" t="s">
        <v>89</v>
      </c>
      <c r="H798" t="s">
        <v>53</v>
      </c>
      <c r="I798">
        <v>5</v>
      </c>
      <c r="J798">
        <v>471354</v>
      </c>
      <c r="K798">
        <v>5</v>
      </c>
      <c r="L798">
        <v>2238931.5</v>
      </c>
      <c r="M798" t="s">
        <v>54</v>
      </c>
      <c r="N798" t="s">
        <v>69</v>
      </c>
      <c r="O798" t="s">
        <v>44</v>
      </c>
      <c r="P798" t="s">
        <v>42</v>
      </c>
    </row>
    <row r="799" spans="1:16" x14ac:dyDescent="0.25">
      <c r="A799" t="s">
        <v>1503</v>
      </c>
      <c r="B799" t="s">
        <v>1504</v>
      </c>
      <c r="C799" t="s">
        <v>19</v>
      </c>
      <c r="D799" t="s">
        <v>47</v>
      </c>
      <c r="E799" t="s">
        <v>48</v>
      </c>
      <c r="F799" t="s">
        <v>22</v>
      </c>
      <c r="G799" t="s">
        <v>73</v>
      </c>
      <c r="H799" t="s">
        <v>53</v>
      </c>
      <c r="I799">
        <v>2</v>
      </c>
      <c r="J799">
        <v>160969</v>
      </c>
      <c r="M799" t="s">
        <v>25</v>
      </c>
      <c r="N799" t="s">
        <v>26</v>
      </c>
      <c r="O799" t="s">
        <v>44</v>
      </c>
      <c r="P799" t="s">
        <v>26</v>
      </c>
    </row>
    <row r="800" spans="1:16" x14ac:dyDescent="0.25">
      <c r="A800" t="s">
        <v>1505</v>
      </c>
      <c r="B800" t="s">
        <v>1506</v>
      </c>
      <c r="C800" t="s">
        <v>85</v>
      </c>
      <c r="D800" t="s">
        <v>38</v>
      </c>
      <c r="E800" t="s">
        <v>39</v>
      </c>
      <c r="F800" t="s">
        <v>40</v>
      </c>
      <c r="G800" t="s">
        <v>73</v>
      </c>
      <c r="H800" t="s">
        <v>24</v>
      </c>
      <c r="I800">
        <v>1</v>
      </c>
      <c r="J800">
        <v>614979</v>
      </c>
      <c r="K800">
        <v>10</v>
      </c>
      <c r="L800">
        <v>553481.1</v>
      </c>
      <c r="M800" t="s">
        <v>42</v>
      </c>
      <c r="N800" t="s">
        <v>26</v>
      </c>
      <c r="O800" t="s">
        <v>27</v>
      </c>
      <c r="P800" t="s">
        <v>42</v>
      </c>
    </row>
    <row r="801" spans="1:16" x14ac:dyDescent="0.25">
      <c r="A801" t="s">
        <v>1507</v>
      </c>
      <c r="B801" t="s">
        <v>1508</v>
      </c>
      <c r="C801" t="s">
        <v>76</v>
      </c>
      <c r="D801" t="s">
        <v>38</v>
      </c>
      <c r="E801" t="s">
        <v>39</v>
      </c>
      <c r="F801" t="s">
        <v>40</v>
      </c>
      <c r="G801" t="s">
        <v>94</v>
      </c>
      <c r="H801" t="s">
        <v>58</v>
      </c>
      <c r="I801">
        <v>3</v>
      </c>
      <c r="J801">
        <v>876399</v>
      </c>
      <c r="K801">
        <v>0</v>
      </c>
      <c r="L801">
        <v>2629197</v>
      </c>
      <c r="M801" t="s">
        <v>25</v>
      </c>
      <c r="N801" t="s">
        <v>43</v>
      </c>
      <c r="O801" t="s">
        <v>44</v>
      </c>
      <c r="P801" t="s">
        <v>26</v>
      </c>
    </row>
    <row r="802" spans="1:16" x14ac:dyDescent="0.25">
      <c r="A802" t="s">
        <v>1509</v>
      </c>
      <c r="B802" t="s">
        <v>1510</v>
      </c>
      <c r="C802" t="s">
        <v>79</v>
      </c>
      <c r="D802" t="s">
        <v>66</v>
      </c>
      <c r="E802" t="s">
        <v>67</v>
      </c>
      <c r="F802" t="s">
        <v>68</v>
      </c>
      <c r="G802" t="s">
        <v>52</v>
      </c>
      <c r="H802" t="s">
        <v>53</v>
      </c>
      <c r="I802">
        <v>8</v>
      </c>
      <c r="J802">
        <v>558178</v>
      </c>
      <c r="K802">
        <v>7</v>
      </c>
      <c r="L802">
        <v>4152844.32</v>
      </c>
      <c r="M802" t="s">
        <v>42</v>
      </c>
      <c r="N802" t="s">
        <v>43</v>
      </c>
      <c r="O802" t="s">
        <v>44</v>
      </c>
      <c r="P802" t="s">
        <v>42</v>
      </c>
    </row>
    <row r="803" spans="1:16" x14ac:dyDescent="0.25">
      <c r="A803" t="s">
        <v>1511</v>
      </c>
      <c r="B803" t="s">
        <v>1407</v>
      </c>
      <c r="C803" t="s">
        <v>198</v>
      </c>
      <c r="D803" t="s">
        <v>66</v>
      </c>
      <c r="E803" t="s">
        <v>67</v>
      </c>
      <c r="F803" t="s">
        <v>68</v>
      </c>
      <c r="G803" t="s">
        <v>94</v>
      </c>
      <c r="H803" t="s">
        <v>86</v>
      </c>
      <c r="I803">
        <v>4</v>
      </c>
      <c r="J803">
        <v>391629</v>
      </c>
      <c r="K803">
        <v>10</v>
      </c>
      <c r="L803">
        <v>1409864.4</v>
      </c>
      <c r="M803" t="s">
        <v>42</v>
      </c>
      <c r="N803" t="s">
        <v>26</v>
      </c>
      <c r="O803" t="s">
        <v>27</v>
      </c>
      <c r="P803" t="s">
        <v>42</v>
      </c>
    </row>
    <row r="804" spans="1:16" x14ac:dyDescent="0.25">
      <c r="A804" t="s">
        <v>1512</v>
      </c>
      <c r="B804" t="s">
        <v>1513</v>
      </c>
      <c r="C804" t="s">
        <v>19</v>
      </c>
      <c r="D804" t="s">
        <v>66</v>
      </c>
      <c r="E804" t="s">
        <v>67</v>
      </c>
      <c r="F804" t="s">
        <v>68</v>
      </c>
      <c r="G804" t="s">
        <v>52</v>
      </c>
      <c r="H804" t="s">
        <v>53</v>
      </c>
      <c r="I804">
        <v>8</v>
      </c>
      <c r="J804">
        <v>889056</v>
      </c>
      <c r="K804">
        <v>5</v>
      </c>
      <c r="L804">
        <v>6756825.5999999996</v>
      </c>
      <c r="M804" t="s">
        <v>42</v>
      </c>
      <c r="N804" t="s">
        <v>69</v>
      </c>
      <c r="O804" t="s">
        <v>27</v>
      </c>
      <c r="P804" t="s">
        <v>55</v>
      </c>
    </row>
    <row r="805" spans="1:16" x14ac:dyDescent="0.25">
      <c r="A805" t="s">
        <v>1514</v>
      </c>
      <c r="B805" t="s">
        <v>1515</v>
      </c>
      <c r="C805" t="s">
        <v>198</v>
      </c>
      <c r="D805" t="s">
        <v>38</v>
      </c>
      <c r="E805" t="s">
        <v>130</v>
      </c>
      <c r="F805" t="s">
        <v>40</v>
      </c>
      <c r="G805" t="s">
        <v>33</v>
      </c>
      <c r="H805" t="s">
        <v>34</v>
      </c>
      <c r="I805">
        <v>4</v>
      </c>
      <c r="J805">
        <v>661964</v>
      </c>
      <c r="K805">
        <v>12</v>
      </c>
      <c r="L805">
        <v>2330113.2799999998</v>
      </c>
      <c r="M805" t="s">
        <v>54</v>
      </c>
      <c r="N805" t="s">
        <v>26</v>
      </c>
      <c r="O805" t="s">
        <v>27</v>
      </c>
      <c r="P805" t="s">
        <v>42</v>
      </c>
    </row>
    <row r="806" spans="1:16" x14ac:dyDescent="0.25">
      <c r="A806" t="s">
        <v>1516</v>
      </c>
      <c r="B806" t="s">
        <v>1517</v>
      </c>
      <c r="C806" t="s">
        <v>65</v>
      </c>
      <c r="D806" t="s">
        <v>38</v>
      </c>
      <c r="E806" t="s">
        <v>39</v>
      </c>
      <c r="F806" t="s">
        <v>40</v>
      </c>
      <c r="G806" t="s">
        <v>124</v>
      </c>
      <c r="H806" t="s">
        <v>24</v>
      </c>
      <c r="I806">
        <v>7</v>
      </c>
      <c r="J806">
        <v>131823</v>
      </c>
      <c r="K806">
        <v>2</v>
      </c>
      <c r="L806">
        <v>904305.78</v>
      </c>
      <c r="M806" t="s">
        <v>54</v>
      </c>
      <c r="N806" t="s">
        <v>69</v>
      </c>
      <c r="O806" t="s">
        <v>27</v>
      </c>
      <c r="P806" t="s">
        <v>55</v>
      </c>
    </row>
    <row r="807" spans="1:16" x14ac:dyDescent="0.25">
      <c r="A807" t="s">
        <v>1518</v>
      </c>
      <c r="B807" t="s">
        <v>160</v>
      </c>
      <c r="C807" t="s">
        <v>37</v>
      </c>
      <c r="D807" t="s">
        <v>47</v>
      </c>
      <c r="E807" t="s">
        <v>72</v>
      </c>
      <c r="F807" t="s">
        <v>22</v>
      </c>
      <c r="G807" t="s">
        <v>33</v>
      </c>
      <c r="H807" t="s">
        <v>24</v>
      </c>
      <c r="I807">
        <v>2</v>
      </c>
      <c r="J807">
        <v>599084</v>
      </c>
      <c r="K807">
        <v>0</v>
      </c>
      <c r="L807">
        <v>1198168</v>
      </c>
      <c r="M807" t="s">
        <v>25</v>
      </c>
      <c r="N807" t="s">
        <v>43</v>
      </c>
      <c r="O807" t="s">
        <v>27</v>
      </c>
      <c r="P807" t="s">
        <v>55</v>
      </c>
    </row>
    <row r="808" spans="1:16" x14ac:dyDescent="0.25">
      <c r="A808" t="s">
        <v>1519</v>
      </c>
      <c r="B808" t="s">
        <v>1520</v>
      </c>
      <c r="C808" t="s">
        <v>65</v>
      </c>
      <c r="D808" t="s">
        <v>20</v>
      </c>
      <c r="E808" t="s">
        <v>21</v>
      </c>
      <c r="F808" t="s">
        <v>22</v>
      </c>
      <c r="G808" t="s">
        <v>89</v>
      </c>
      <c r="H808" t="s">
        <v>53</v>
      </c>
      <c r="I808">
        <v>5</v>
      </c>
      <c r="J808">
        <v>204344</v>
      </c>
      <c r="K808">
        <v>10</v>
      </c>
      <c r="L808">
        <v>919548</v>
      </c>
      <c r="M808" t="s">
        <v>25</v>
      </c>
      <c r="N808" t="s">
        <v>69</v>
      </c>
      <c r="O808" t="s">
        <v>44</v>
      </c>
      <c r="P808" t="s">
        <v>55</v>
      </c>
    </row>
    <row r="809" spans="1:16" x14ac:dyDescent="0.25">
      <c r="A809" t="s">
        <v>1521</v>
      </c>
      <c r="B809" t="s">
        <v>1522</v>
      </c>
      <c r="C809" t="s">
        <v>85</v>
      </c>
      <c r="D809" t="s">
        <v>106</v>
      </c>
      <c r="E809" t="s">
        <v>31</v>
      </c>
      <c r="F809" t="s">
        <v>32</v>
      </c>
      <c r="G809" t="s">
        <v>124</v>
      </c>
      <c r="H809" t="s">
        <v>58</v>
      </c>
      <c r="I809">
        <v>8</v>
      </c>
      <c r="J809">
        <v>79963</v>
      </c>
      <c r="K809">
        <v>0</v>
      </c>
      <c r="L809">
        <v>639704</v>
      </c>
      <c r="M809" t="s">
        <v>54</v>
      </c>
      <c r="N809" t="s">
        <v>26</v>
      </c>
      <c r="O809" t="s">
        <v>27</v>
      </c>
      <c r="P809" t="s">
        <v>26</v>
      </c>
    </row>
    <row r="810" spans="1:16" x14ac:dyDescent="0.25">
      <c r="A810" t="s">
        <v>1523</v>
      </c>
      <c r="B810" t="s">
        <v>1524</v>
      </c>
      <c r="C810" t="s">
        <v>19</v>
      </c>
      <c r="D810" t="s">
        <v>30</v>
      </c>
      <c r="E810" t="s">
        <v>31</v>
      </c>
      <c r="F810" t="s">
        <v>32</v>
      </c>
      <c r="G810" t="s">
        <v>52</v>
      </c>
      <c r="H810" t="s">
        <v>53</v>
      </c>
      <c r="I810">
        <v>4</v>
      </c>
      <c r="J810">
        <v>368437</v>
      </c>
      <c r="K810">
        <v>5</v>
      </c>
      <c r="L810">
        <v>1400060.6</v>
      </c>
      <c r="M810" t="s">
        <v>25</v>
      </c>
      <c r="N810" t="s">
        <v>26</v>
      </c>
      <c r="O810" t="s">
        <v>27</v>
      </c>
      <c r="P810" t="s">
        <v>55</v>
      </c>
    </row>
    <row r="811" spans="1:16" x14ac:dyDescent="0.25">
      <c r="A811" t="s">
        <v>1525</v>
      </c>
      <c r="B811" t="s">
        <v>1526</v>
      </c>
      <c r="C811" t="s">
        <v>79</v>
      </c>
      <c r="D811" t="s">
        <v>66</v>
      </c>
      <c r="E811" t="s">
        <v>67</v>
      </c>
      <c r="F811" t="s">
        <v>68</v>
      </c>
      <c r="G811" t="s">
        <v>41</v>
      </c>
      <c r="H811" t="s">
        <v>24</v>
      </c>
      <c r="I811">
        <v>1</v>
      </c>
      <c r="J811">
        <v>346412</v>
      </c>
      <c r="K811">
        <v>7</v>
      </c>
      <c r="L811">
        <v>322163.15999999997</v>
      </c>
      <c r="M811" t="s">
        <v>42</v>
      </c>
      <c r="N811" t="s">
        <v>69</v>
      </c>
      <c r="O811" t="s">
        <v>27</v>
      </c>
      <c r="P811" t="s">
        <v>55</v>
      </c>
    </row>
    <row r="812" spans="1:16" x14ac:dyDescent="0.25">
      <c r="A812" t="s">
        <v>1527</v>
      </c>
      <c r="B812" t="s">
        <v>1528</v>
      </c>
      <c r="C812" t="s">
        <v>37</v>
      </c>
      <c r="D812" t="s">
        <v>47</v>
      </c>
      <c r="E812" t="s">
        <v>72</v>
      </c>
      <c r="F812" t="s">
        <v>22</v>
      </c>
      <c r="G812" t="s">
        <v>41</v>
      </c>
      <c r="H812" t="s">
        <v>24</v>
      </c>
      <c r="I812">
        <v>5</v>
      </c>
      <c r="J812">
        <v>644647</v>
      </c>
      <c r="K812">
        <v>5</v>
      </c>
      <c r="L812">
        <v>3062073.25</v>
      </c>
      <c r="M812" t="s">
        <v>42</v>
      </c>
      <c r="N812" t="s">
        <v>43</v>
      </c>
      <c r="O812" t="s">
        <v>44</v>
      </c>
      <c r="P812" t="s">
        <v>42</v>
      </c>
    </row>
    <row r="813" spans="1:16" x14ac:dyDescent="0.25">
      <c r="A813" t="s">
        <v>1529</v>
      </c>
      <c r="B813" t="s">
        <v>301</v>
      </c>
      <c r="C813" t="s">
        <v>85</v>
      </c>
      <c r="D813" t="s">
        <v>66</v>
      </c>
      <c r="E813" t="s">
        <v>67</v>
      </c>
      <c r="F813" t="s">
        <v>68</v>
      </c>
      <c r="G813" t="s">
        <v>62</v>
      </c>
      <c r="H813" t="s">
        <v>24</v>
      </c>
      <c r="I813">
        <v>1</v>
      </c>
      <c r="J813">
        <v>625606</v>
      </c>
      <c r="K813">
        <v>7</v>
      </c>
      <c r="L813">
        <v>581813.57999999996</v>
      </c>
      <c r="M813" t="s">
        <v>42</v>
      </c>
      <c r="N813" t="s">
        <v>43</v>
      </c>
      <c r="O813" t="s">
        <v>27</v>
      </c>
      <c r="P813" t="s">
        <v>26</v>
      </c>
    </row>
    <row r="814" spans="1:16" x14ac:dyDescent="0.25">
      <c r="A814" t="s">
        <v>1530</v>
      </c>
      <c r="B814" t="s">
        <v>453</v>
      </c>
      <c r="C814" t="s">
        <v>19</v>
      </c>
      <c r="D814" t="s">
        <v>20</v>
      </c>
      <c r="E814" t="s">
        <v>21</v>
      </c>
      <c r="F814" t="s">
        <v>22</v>
      </c>
      <c r="G814" t="s">
        <v>73</v>
      </c>
      <c r="H814" t="s">
        <v>86</v>
      </c>
      <c r="I814">
        <v>1</v>
      </c>
      <c r="J814">
        <v>224629</v>
      </c>
      <c r="K814">
        <v>7</v>
      </c>
      <c r="L814">
        <v>208904.97</v>
      </c>
      <c r="M814" t="s">
        <v>42</v>
      </c>
      <c r="N814" t="s">
        <v>26</v>
      </c>
      <c r="O814" t="s">
        <v>27</v>
      </c>
      <c r="P814" t="s">
        <v>42</v>
      </c>
    </row>
    <row r="815" spans="1:16" x14ac:dyDescent="0.25">
      <c r="A815" t="s">
        <v>1531</v>
      </c>
      <c r="B815" t="s">
        <v>1532</v>
      </c>
      <c r="C815" t="s">
        <v>76</v>
      </c>
      <c r="D815" t="s">
        <v>66</v>
      </c>
      <c r="E815" t="s">
        <v>67</v>
      </c>
      <c r="F815" t="s">
        <v>68</v>
      </c>
      <c r="G815" t="s">
        <v>124</v>
      </c>
      <c r="H815" t="s">
        <v>34</v>
      </c>
      <c r="I815">
        <v>6</v>
      </c>
      <c r="J815">
        <v>853809</v>
      </c>
      <c r="K815">
        <v>10</v>
      </c>
      <c r="L815">
        <v>4610568.6000000006</v>
      </c>
      <c r="M815" t="s">
        <v>42</v>
      </c>
      <c r="N815" t="s">
        <v>69</v>
      </c>
      <c r="O815" t="s">
        <v>44</v>
      </c>
      <c r="P815" t="s">
        <v>55</v>
      </c>
    </row>
    <row r="816" spans="1:16" x14ac:dyDescent="0.25">
      <c r="A816" t="s">
        <v>1533</v>
      </c>
      <c r="B816" t="s">
        <v>1426</v>
      </c>
      <c r="C816" t="s">
        <v>65</v>
      </c>
      <c r="D816" t="s">
        <v>30</v>
      </c>
      <c r="E816" t="s">
        <v>31</v>
      </c>
      <c r="F816" t="s">
        <v>32</v>
      </c>
      <c r="G816" t="s">
        <v>73</v>
      </c>
      <c r="H816" t="s">
        <v>86</v>
      </c>
      <c r="I816">
        <v>4</v>
      </c>
      <c r="J816">
        <v>459638</v>
      </c>
      <c r="K816">
        <v>12</v>
      </c>
      <c r="L816">
        <v>1617925.76</v>
      </c>
      <c r="M816" t="s">
        <v>42</v>
      </c>
      <c r="N816" t="s">
        <v>69</v>
      </c>
      <c r="O816" t="s">
        <v>44</v>
      </c>
      <c r="P816" t="s">
        <v>42</v>
      </c>
    </row>
    <row r="817" spans="1:16" x14ac:dyDescent="0.25">
      <c r="A817" t="s">
        <v>1534</v>
      </c>
      <c r="B817" t="s">
        <v>1535</v>
      </c>
      <c r="C817" t="s">
        <v>99</v>
      </c>
      <c r="D817" t="s">
        <v>38</v>
      </c>
      <c r="E817" t="s">
        <v>39</v>
      </c>
      <c r="F817" t="s">
        <v>40</v>
      </c>
      <c r="G817" t="s">
        <v>73</v>
      </c>
      <c r="H817" t="s">
        <v>53</v>
      </c>
      <c r="I817">
        <v>3</v>
      </c>
      <c r="J817">
        <v>394932</v>
      </c>
      <c r="M817" t="s">
        <v>42</v>
      </c>
      <c r="N817" t="s">
        <v>69</v>
      </c>
      <c r="O817" t="s">
        <v>44</v>
      </c>
      <c r="P817" t="s">
        <v>55</v>
      </c>
    </row>
    <row r="818" spans="1:16" x14ac:dyDescent="0.25">
      <c r="A818" t="s">
        <v>1536</v>
      </c>
      <c r="B818" t="s">
        <v>1248</v>
      </c>
      <c r="C818" t="s">
        <v>37</v>
      </c>
      <c r="D818" t="s">
        <v>66</v>
      </c>
      <c r="E818" t="s">
        <v>67</v>
      </c>
      <c r="F818" t="s">
        <v>68</v>
      </c>
      <c r="G818" t="s">
        <v>62</v>
      </c>
      <c r="H818" t="s">
        <v>34</v>
      </c>
      <c r="I818">
        <v>7</v>
      </c>
      <c r="J818">
        <v>142911</v>
      </c>
      <c r="K818">
        <v>10</v>
      </c>
      <c r="L818">
        <v>900339.3</v>
      </c>
      <c r="M818" t="s">
        <v>25</v>
      </c>
      <c r="N818" t="s">
        <v>69</v>
      </c>
      <c r="O818" t="s">
        <v>44</v>
      </c>
      <c r="P818" t="s">
        <v>26</v>
      </c>
    </row>
    <row r="819" spans="1:16" x14ac:dyDescent="0.25">
      <c r="A819" t="s">
        <v>1042</v>
      </c>
      <c r="B819" t="s">
        <v>455</v>
      </c>
      <c r="C819" t="s">
        <v>85</v>
      </c>
      <c r="D819" t="s">
        <v>38</v>
      </c>
      <c r="E819" t="s">
        <v>39</v>
      </c>
      <c r="F819" t="s">
        <v>40</v>
      </c>
      <c r="G819" t="s">
        <v>62</v>
      </c>
      <c r="H819" t="s">
        <v>34</v>
      </c>
      <c r="I819">
        <v>1</v>
      </c>
      <c r="J819">
        <v>465194</v>
      </c>
      <c r="K819">
        <v>12</v>
      </c>
      <c r="L819">
        <v>409370.72</v>
      </c>
      <c r="M819" t="s">
        <v>54</v>
      </c>
      <c r="N819" t="s">
        <v>43</v>
      </c>
      <c r="O819" t="s">
        <v>27</v>
      </c>
      <c r="P819" t="s">
        <v>26</v>
      </c>
    </row>
    <row r="820" spans="1:16" x14ac:dyDescent="0.25">
      <c r="A820" t="s">
        <v>1537</v>
      </c>
      <c r="B820" t="s">
        <v>1538</v>
      </c>
      <c r="C820" t="s">
        <v>37</v>
      </c>
      <c r="D820" t="s">
        <v>30</v>
      </c>
      <c r="E820" t="s">
        <v>31</v>
      </c>
      <c r="F820" t="s">
        <v>32</v>
      </c>
      <c r="G820" t="s">
        <v>52</v>
      </c>
      <c r="H820" t="s">
        <v>34</v>
      </c>
      <c r="I820">
        <v>7</v>
      </c>
      <c r="J820">
        <v>140428</v>
      </c>
      <c r="K820">
        <v>0</v>
      </c>
      <c r="L820">
        <v>982996</v>
      </c>
      <c r="M820" t="s">
        <v>42</v>
      </c>
      <c r="N820" t="s">
        <v>43</v>
      </c>
      <c r="O820" t="s">
        <v>44</v>
      </c>
      <c r="P820" t="s">
        <v>42</v>
      </c>
    </row>
    <row r="821" spans="1:16" x14ac:dyDescent="0.25">
      <c r="A821" t="s">
        <v>1539</v>
      </c>
      <c r="B821" t="s">
        <v>295</v>
      </c>
      <c r="C821" t="s">
        <v>19</v>
      </c>
      <c r="D821" t="s">
        <v>20</v>
      </c>
      <c r="E821" t="s">
        <v>21</v>
      </c>
      <c r="F821" t="s">
        <v>22</v>
      </c>
      <c r="G821" t="s">
        <v>33</v>
      </c>
      <c r="H821" t="s">
        <v>34</v>
      </c>
      <c r="I821">
        <v>7</v>
      </c>
      <c r="J821">
        <v>274903</v>
      </c>
      <c r="K821">
        <v>10</v>
      </c>
      <c r="L821">
        <v>1731888.9</v>
      </c>
      <c r="M821" t="s">
        <v>25</v>
      </c>
      <c r="N821" t="s">
        <v>26</v>
      </c>
      <c r="O821" t="s">
        <v>44</v>
      </c>
      <c r="P821" t="s">
        <v>42</v>
      </c>
    </row>
    <row r="822" spans="1:16" x14ac:dyDescent="0.25">
      <c r="A822" t="s">
        <v>1540</v>
      </c>
      <c r="B822" t="s">
        <v>139</v>
      </c>
      <c r="C822" t="s">
        <v>79</v>
      </c>
      <c r="D822" t="s">
        <v>38</v>
      </c>
      <c r="E822" t="s">
        <v>39</v>
      </c>
      <c r="F822" t="s">
        <v>40</v>
      </c>
      <c r="G822" t="s">
        <v>33</v>
      </c>
      <c r="H822" t="s">
        <v>24</v>
      </c>
      <c r="I822">
        <v>6</v>
      </c>
      <c r="J822">
        <v>500073</v>
      </c>
      <c r="K822">
        <v>2</v>
      </c>
      <c r="L822">
        <v>2940429.24</v>
      </c>
      <c r="M822" t="s">
        <v>42</v>
      </c>
      <c r="N822" t="s">
        <v>26</v>
      </c>
      <c r="O822" t="s">
        <v>27</v>
      </c>
      <c r="P822" t="s">
        <v>26</v>
      </c>
    </row>
    <row r="823" spans="1:16" x14ac:dyDescent="0.25">
      <c r="A823" t="s">
        <v>1541</v>
      </c>
      <c r="B823" t="s">
        <v>1542</v>
      </c>
      <c r="C823" t="s">
        <v>37</v>
      </c>
      <c r="D823" t="s">
        <v>30</v>
      </c>
      <c r="E823" t="s">
        <v>142</v>
      </c>
      <c r="F823" t="s">
        <v>32</v>
      </c>
      <c r="G823" t="s">
        <v>73</v>
      </c>
      <c r="H823" t="s">
        <v>34</v>
      </c>
      <c r="I823">
        <v>1</v>
      </c>
      <c r="J823">
        <v>670039</v>
      </c>
      <c r="K823">
        <v>10</v>
      </c>
      <c r="L823">
        <v>603035.1</v>
      </c>
      <c r="M823" t="s">
        <v>42</v>
      </c>
      <c r="N823" t="s">
        <v>26</v>
      </c>
      <c r="O823" t="s">
        <v>27</v>
      </c>
      <c r="P823" t="s">
        <v>42</v>
      </c>
    </row>
    <row r="824" spans="1:16" x14ac:dyDescent="0.25">
      <c r="A824" t="s">
        <v>1543</v>
      </c>
      <c r="B824" t="s">
        <v>1544</v>
      </c>
      <c r="C824" t="s">
        <v>91</v>
      </c>
      <c r="D824" t="s">
        <v>66</v>
      </c>
      <c r="E824" t="s">
        <v>201</v>
      </c>
      <c r="F824" t="s">
        <v>68</v>
      </c>
      <c r="G824" t="s">
        <v>73</v>
      </c>
      <c r="H824" t="s">
        <v>86</v>
      </c>
      <c r="I824">
        <v>1</v>
      </c>
      <c r="J824">
        <v>879711</v>
      </c>
      <c r="K824">
        <v>5</v>
      </c>
      <c r="L824">
        <v>835725.45</v>
      </c>
      <c r="M824" t="s">
        <v>42</v>
      </c>
      <c r="N824" t="s">
        <v>69</v>
      </c>
      <c r="O824" t="s">
        <v>27</v>
      </c>
      <c r="P824" t="s">
        <v>42</v>
      </c>
    </row>
    <row r="825" spans="1:16" x14ac:dyDescent="0.25">
      <c r="A825" t="s">
        <v>1545</v>
      </c>
      <c r="B825" t="s">
        <v>1367</v>
      </c>
      <c r="C825" t="s">
        <v>85</v>
      </c>
      <c r="D825" t="s">
        <v>47</v>
      </c>
      <c r="E825" t="s">
        <v>72</v>
      </c>
      <c r="F825" t="s">
        <v>22</v>
      </c>
      <c r="G825" t="s">
        <v>52</v>
      </c>
      <c r="H825" t="s">
        <v>86</v>
      </c>
      <c r="I825">
        <v>6</v>
      </c>
      <c r="J825">
        <v>383956</v>
      </c>
      <c r="K825">
        <v>10</v>
      </c>
      <c r="L825">
        <v>2073362.4</v>
      </c>
      <c r="M825" t="s">
        <v>42</v>
      </c>
      <c r="N825" t="s">
        <v>43</v>
      </c>
      <c r="O825" t="s">
        <v>27</v>
      </c>
      <c r="P825" t="s">
        <v>26</v>
      </c>
    </row>
    <row r="826" spans="1:16" x14ac:dyDescent="0.25">
      <c r="A826" t="s">
        <v>1546</v>
      </c>
      <c r="B826" t="s">
        <v>1547</v>
      </c>
      <c r="C826" t="s">
        <v>65</v>
      </c>
      <c r="D826" t="s">
        <v>38</v>
      </c>
      <c r="E826" t="s">
        <v>39</v>
      </c>
      <c r="F826" t="s">
        <v>40</v>
      </c>
      <c r="G826" t="s">
        <v>33</v>
      </c>
      <c r="H826" t="s">
        <v>53</v>
      </c>
      <c r="I826">
        <v>2</v>
      </c>
      <c r="J826">
        <v>425909</v>
      </c>
      <c r="M826" t="s">
        <v>54</v>
      </c>
      <c r="N826" t="s">
        <v>26</v>
      </c>
      <c r="O826" t="s">
        <v>27</v>
      </c>
      <c r="P826" t="s">
        <v>55</v>
      </c>
    </row>
    <row r="827" spans="1:16" x14ac:dyDescent="0.25">
      <c r="A827" t="s">
        <v>1548</v>
      </c>
      <c r="B827" t="s">
        <v>1549</v>
      </c>
      <c r="C827" t="s">
        <v>79</v>
      </c>
      <c r="D827" t="s">
        <v>119</v>
      </c>
      <c r="E827" t="s">
        <v>21</v>
      </c>
      <c r="F827" t="s">
        <v>22</v>
      </c>
      <c r="G827" t="s">
        <v>62</v>
      </c>
      <c r="H827" t="s">
        <v>34</v>
      </c>
      <c r="I827">
        <v>7</v>
      </c>
      <c r="J827">
        <v>696498</v>
      </c>
      <c r="K827">
        <v>5</v>
      </c>
      <c r="L827">
        <v>4631711.7</v>
      </c>
      <c r="M827" t="s">
        <v>42</v>
      </c>
      <c r="N827" t="s">
        <v>43</v>
      </c>
      <c r="O827" t="s">
        <v>44</v>
      </c>
      <c r="P827" t="s">
        <v>55</v>
      </c>
    </row>
    <row r="828" spans="1:16" x14ac:dyDescent="0.25">
      <c r="A828" t="s">
        <v>1550</v>
      </c>
      <c r="B828" t="s">
        <v>1551</v>
      </c>
      <c r="C828" t="s">
        <v>65</v>
      </c>
      <c r="D828" t="s">
        <v>30</v>
      </c>
      <c r="E828" t="s">
        <v>31</v>
      </c>
      <c r="F828" t="s">
        <v>32</v>
      </c>
      <c r="G828" t="s">
        <v>62</v>
      </c>
      <c r="H828" t="s">
        <v>53</v>
      </c>
      <c r="I828">
        <v>5</v>
      </c>
      <c r="J828">
        <v>206113</v>
      </c>
      <c r="K828">
        <v>10</v>
      </c>
      <c r="L828">
        <v>927508.5</v>
      </c>
      <c r="M828" t="s">
        <v>54</v>
      </c>
      <c r="N828" t="s">
        <v>26</v>
      </c>
      <c r="O828" t="s">
        <v>44</v>
      </c>
      <c r="P828" t="s">
        <v>55</v>
      </c>
    </row>
    <row r="829" spans="1:16" x14ac:dyDescent="0.25">
      <c r="A829" t="s">
        <v>1552</v>
      </c>
      <c r="B829" t="s">
        <v>1553</v>
      </c>
      <c r="C829" t="s">
        <v>85</v>
      </c>
      <c r="D829" t="s">
        <v>66</v>
      </c>
      <c r="E829" t="s">
        <v>67</v>
      </c>
      <c r="F829" t="s">
        <v>68</v>
      </c>
      <c r="G829" t="s">
        <v>23</v>
      </c>
      <c r="H829" t="s">
        <v>58</v>
      </c>
      <c r="I829">
        <v>3</v>
      </c>
      <c r="J829">
        <v>124169</v>
      </c>
      <c r="K829">
        <v>5</v>
      </c>
      <c r="L829">
        <v>353881.65</v>
      </c>
      <c r="M829" t="s">
        <v>25</v>
      </c>
      <c r="N829" t="s">
        <v>69</v>
      </c>
      <c r="O829" t="s">
        <v>27</v>
      </c>
      <c r="P829" t="s">
        <v>26</v>
      </c>
    </row>
    <row r="830" spans="1:16" x14ac:dyDescent="0.25">
      <c r="A830" t="s">
        <v>1554</v>
      </c>
      <c r="B830" t="s">
        <v>900</v>
      </c>
      <c r="C830" t="s">
        <v>76</v>
      </c>
      <c r="D830" t="s">
        <v>20</v>
      </c>
      <c r="E830" t="s">
        <v>21</v>
      </c>
      <c r="F830" t="s">
        <v>22</v>
      </c>
      <c r="G830" t="s">
        <v>94</v>
      </c>
      <c r="H830" t="s">
        <v>34</v>
      </c>
      <c r="I830">
        <v>6</v>
      </c>
      <c r="J830">
        <v>176747</v>
      </c>
      <c r="K830">
        <v>5</v>
      </c>
      <c r="L830">
        <v>1007457.9</v>
      </c>
      <c r="M830" t="s">
        <v>42</v>
      </c>
      <c r="N830" t="s">
        <v>43</v>
      </c>
      <c r="O830" t="s">
        <v>44</v>
      </c>
      <c r="P830" t="s">
        <v>55</v>
      </c>
    </row>
    <row r="831" spans="1:16" x14ac:dyDescent="0.25">
      <c r="A831" t="s">
        <v>1555</v>
      </c>
      <c r="B831" t="s">
        <v>256</v>
      </c>
      <c r="C831" t="s">
        <v>19</v>
      </c>
      <c r="D831" t="s">
        <v>30</v>
      </c>
      <c r="E831" t="s">
        <v>31</v>
      </c>
      <c r="F831" t="s">
        <v>32</v>
      </c>
      <c r="G831" t="s">
        <v>73</v>
      </c>
      <c r="H831" t="s">
        <v>58</v>
      </c>
      <c r="I831">
        <v>1</v>
      </c>
      <c r="J831">
        <v>72099</v>
      </c>
      <c r="K831">
        <v>10</v>
      </c>
      <c r="L831">
        <v>64889.1</v>
      </c>
      <c r="M831" t="s">
        <v>54</v>
      </c>
      <c r="N831" t="s">
        <v>69</v>
      </c>
      <c r="O831" t="s">
        <v>44</v>
      </c>
      <c r="P831" t="s">
        <v>26</v>
      </c>
    </row>
    <row r="832" spans="1:16" x14ac:dyDescent="0.25">
      <c r="A832" t="s">
        <v>1556</v>
      </c>
      <c r="B832" t="s">
        <v>761</v>
      </c>
      <c r="C832" t="s">
        <v>19</v>
      </c>
      <c r="D832" t="s">
        <v>20</v>
      </c>
      <c r="E832" t="s">
        <v>21</v>
      </c>
      <c r="F832" t="s">
        <v>22</v>
      </c>
      <c r="G832" t="s">
        <v>41</v>
      </c>
      <c r="H832" t="s">
        <v>24</v>
      </c>
      <c r="I832">
        <v>5</v>
      </c>
      <c r="J832">
        <v>592306</v>
      </c>
      <c r="K832">
        <v>2</v>
      </c>
      <c r="L832">
        <v>2902299.4</v>
      </c>
      <c r="M832" t="s">
        <v>54</v>
      </c>
      <c r="N832" t="s">
        <v>26</v>
      </c>
      <c r="O832" t="s">
        <v>44</v>
      </c>
      <c r="P832" t="s">
        <v>55</v>
      </c>
    </row>
    <row r="833" spans="1:16" x14ac:dyDescent="0.25">
      <c r="A833" t="s">
        <v>1557</v>
      </c>
      <c r="B833" t="s">
        <v>1558</v>
      </c>
      <c r="C833" t="s">
        <v>65</v>
      </c>
      <c r="D833" t="s">
        <v>20</v>
      </c>
      <c r="E833" t="s">
        <v>21</v>
      </c>
      <c r="F833" t="s">
        <v>22</v>
      </c>
      <c r="G833" t="s">
        <v>62</v>
      </c>
      <c r="H833" t="s">
        <v>34</v>
      </c>
      <c r="I833">
        <v>1</v>
      </c>
      <c r="J833">
        <v>468906</v>
      </c>
      <c r="K833">
        <v>10</v>
      </c>
      <c r="L833">
        <v>422015.4</v>
      </c>
      <c r="M833" t="s">
        <v>25</v>
      </c>
      <c r="N833" t="s">
        <v>43</v>
      </c>
      <c r="O833" t="s">
        <v>44</v>
      </c>
      <c r="P833" t="s">
        <v>26</v>
      </c>
    </row>
    <row r="834" spans="1:16" x14ac:dyDescent="0.25">
      <c r="A834" t="s">
        <v>1559</v>
      </c>
      <c r="B834" t="s">
        <v>712</v>
      </c>
      <c r="C834" t="s">
        <v>99</v>
      </c>
      <c r="D834" t="s">
        <v>20</v>
      </c>
      <c r="E834" t="s">
        <v>21</v>
      </c>
      <c r="F834" t="s">
        <v>22</v>
      </c>
      <c r="G834" t="s">
        <v>52</v>
      </c>
      <c r="H834" t="s">
        <v>58</v>
      </c>
      <c r="I834">
        <v>2</v>
      </c>
      <c r="J834">
        <v>625394</v>
      </c>
      <c r="K834">
        <v>0</v>
      </c>
      <c r="L834">
        <v>1250788</v>
      </c>
      <c r="M834" t="s">
        <v>42</v>
      </c>
      <c r="N834" t="s">
        <v>26</v>
      </c>
      <c r="O834" t="s">
        <v>27</v>
      </c>
      <c r="P834" t="s">
        <v>26</v>
      </c>
    </row>
    <row r="835" spans="1:16" x14ac:dyDescent="0.25">
      <c r="A835" t="s">
        <v>1560</v>
      </c>
      <c r="B835" t="s">
        <v>1475</v>
      </c>
      <c r="C835" t="s">
        <v>37</v>
      </c>
      <c r="D835" t="s">
        <v>20</v>
      </c>
      <c r="E835" t="s">
        <v>21</v>
      </c>
      <c r="F835" t="s">
        <v>22</v>
      </c>
      <c r="G835" t="s">
        <v>62</v>
      </c>
      <c r="H835" t="s">
        <v>86</v>
      </c>
      <c r="I835">
        <v>5</v>
      </c>
      <c r="J835">
        <v>74441</v>
      </c>
      <c r="K835">
        <v>5</v>
      </c>
      <c r="L835">
        <v>353594.75</v>
      </c>
      <c r="M835" t="s">
        <v>42</v>
      </c>
      <c r="N835" t="s">
        <v>69</v>
      </c>
      <c r="O835" t="s">
        <v>27</v>
      </c>
      <c r="P835" t="s">
        <v>55</v>
      </c>
    </row>
    <row r="836" spans="1:16" x14ac:dyDescent="0.25">
      <c r="A836" t="s">
        <v>1561</v>
      </c>
      <c r="B836" t="s">
        <v>166</v>
      </c>
      <c r="C836" t="s">
        <v>37</v>
      </c>
      <c r="D836" t="s">
        <v>47</v>
      </c>
      <c r="E836" t="s">
        <v>48</v>
      </c>
      <c r="F836" t="s">
        <v>22</v>
      </c>
      <c r="G836" t="s">
        <v>33</v>
      </c>
      <c r="H836" t="s">
        <v>58</v>
      </c>
      <c r="I836">
        <v>4</v>
      </c>
      <c r="J836">
        <v>234082</v>
      </c>
      <c r="K836">
        <v>0</v>
      </c>
      <c r="L836">
        <v>936328</v>
      </c>
      <c r="M836" t="s">
        <v>42</v>
      </c>
      <c r="N836" t="s">
        <v>43</v>
      </c>
      <c r="O836" t="s">
        <v>44</v>
      </c>
      <c r="P836" t="s">
        <v>42</v>
      </c>
    </row>
    <row r="837" spans="1:16" x14ac:dyDescent="0.25">
      <c r="A837" t="s">
        <v>1562</v>
      </c>
      <c r="B837" t="s">
        <v>804</v>
      </c>
      <c r="C837" t="s">
        <v>198</v>
      </c>
      <c r="D837" t="s">
        <v>30</v>
      </c>
      <c r="E837" t="s">
        <v>31</v>
      </c>
      <c r="F837" t="s">
        <v>32</v>
      </c>
      <c r="G837" t="s">
        <v>23</v>
      </c>
      <c r="H837" t="s">
        <v>34</v>
      </c>
      <c r="I837">
        <v>7</v>
      </c>
      <c r="J837">
        <v>543190</v>
      </c>
      <c r="K837">
        <v>5</v>
      </c>
      <c r="L837">
        <v>3612213.5</v>
      </c>
      <c r="M837" t="s">
        <v>54</v>
      </c>
      <c r="N837" t="s">
        <v>26</v>
      </c>
      <c r="O837" t="s">
        <v>44</v>
      </c>
      <c r="P837" t="s">
        <v>26</v>
      </c>
    </row>
    <row r="838" spans="1:16" x14ac:dyDescent="0.25">
      <c r="A838" t="s">
        <v>1563</v>
      </c>
      <c r="B838" t="s">
        <v>468</v>
      </c>
      <c r="C838" t="s">
        <v>19</v>
      </c>
      <c r="D838" t="s">
        <v>38</v>
      </c>
      <c r="E838" t="s">
        <v>39</v>
      </c>
      <c r="F838" t="s">
        <v>40</v>
      </c>
      <c r="G838" t="s">
        <v>33</v>
      </c>
      <c r="H838" t="s">
        <v>53</v>
      </c>
      <c r="I838">
        <v>6</v>
      </c>
      <c r="J838">
        <v>657154</v>
      </c>
      <c r="K838">
        <v>5</v>
      </c>
      <c r="L838">
        <v>3745777.8</v>
      </c>
      <c r="M838" t="s">
        <v>42</v>
      </c>
      <c r="N838" t="s">
        <v>43</v>
      </c>
      <c r="O838" t="s">
        <v>27</v>
      </c>
      <c r="P838" t="s">
        <v>42</v>
      </c>
    </row>
    <row r="839" spans="1:16" x14ac:dyDescent="0.25">
      <c r="A839" t="s">
        <v>1564</v>
      </c>
      <c r="B839" t="s">
        <v>1565</v>
      </c>
      <c r="C839" t="s">
        <v>85</v>
      </c>
      <c r="D839" t="s">
        <v>30</v>
      </c>
      <c r="E839" t="s">
        <v>31</v>
      </c>
      <c r="F839" t="s">
        <v>32</v>
      </c>
      <c r="G839" t="s">
        <v>73</v>
      </c>
      <c r="H839" t="s">
        <v>34</v>
      </c>
      <c r="I839">
        <v>6</v>
      </c>
      <c r="J839">
        <v>807749</v>
      </c>
      <c r="K839">
        <v>7</v>
      </c>
      <c r="L839">
        <v>4507239.42</v>
      </c>
      <c r="M839" t="s">
        <v>42</v>
      </c>
      <c r="N839" t="s">
        <v>43</v>
      </c>
      <c r="O839" t="s">
        <v>27</v>
      </c>
      <c r="P839" t="s">
        <v>55</v>
      </c>
    </row>
    <row r="840" spans="1:16" x14ac:dyDescent="0.25">
      <c r="A840" t="s">
        <v>1566</v>
      </c>
      <c r="B840" t="s">
        <v>1567</v>
      </c>
      <c r="C840" t="s">
        <v>65</v>
      </c>
      <c r="D840" t="s">
        <v>20</v>
      </c>
      <c r="E840" t="s">
        <v>189</v>
      </c>
      <c r="F840" t="s">
        <v>22</v>
      </c>
      <c r="G840" t="s">
        <v>41</v>
      </c>
      <c r="H840" t="s">
        <v>24</v>
      </c>
      <c r="I840">
        <v>5</v>
      </c>
      <c r="J840">
        <v>561751</v>
      </c>
      <c r="K840">
        <v>10</v>
      </c>
      <c r="L840">
        <v>2527879.5</v>
      </c>
      <c r="M840" t="s">
        <v>42</v>
      </c>
      <c r="N840" t="s">
        <v>43</v>
      </c>
      <c r="O840" t="s">
        <v>27</v>
      </c>
      <c r="P840" t="s">
        <v>55</v>
      </c>
    </row>
    <row r="841" spans="1:16" x14ac:dyDescent="0.25">
      <c r="A841" t="s">
        <v>1568</v>
      </c>
      <c r="B841" t="s">
        <v>1569</v>
      </c>
      <c r="C841" t="s">
        <v>37</v>
      </c>
      <c r="D841" t="s">
        <v>20</v>
      </c>
      <c r="E841" t="s">
        <v>21</v>
      </c>
      <c r="F841" t="s">
        <v>22</v>
      </c>
      <c r="G841" t="s">
        <v>62</v>
      </c>
      <c r="H841" t="s">
        <v>58</v>
      </c>
      <c r="I841">
        <v>1</v>
      </c>
      <c r="J841">
        <v>427002</v>
      </c>
      <c r="K841">
        <v>10</v>
      </c>
      <c r="L841">
        <v>384301.8</v>
      </c>
      <c r="M841" t="s">
        <v>54</v>
      </c>
      <c r="N841" t="s">
        <v>69</v>
      </c>
      <c r="O841" t="s">
        <v>44</v>
      </c>
      <c r="P841" t="s">
        <v>42</v>
      </c>
    </row>
    <row r="842" spans="1:16" x14ac:dyDescent="0.25">
      <c r="A842" t="s">
        <v>1570</v>
      </c>
      <c r="B842" t="s">
        <v>1402</v>
      </c>
      <c r="C842" t="s">
        <v>19</v>
      </c>
      <c r="D842" t="s">
        <v>20</v>
      </c>
      <c r="E842" t="s">
        <v>189</v>
      </c>
      <c r="F842" t="s">
        <v>22</v>
      </c>
      <c r="G842" t="s">
        <v>62</v>
      </c>
      <c r="H842" t="s">
        <v>58</v>
      </c>
      <c r="I842">
        <v>4</v>
      </c>
      <c r="J842">
        <v>360595</v>
      </c>
      <c r="K842">
        <v>5</v>
      </c>
      <c r="L842">
        <v>1370261</v>
      </c>
      <c r="M842" t="s">
        <v>42</v>
      </c>
      <c r="N842" t="s">
        <v>69</v>
      </c>
      <c r="O842" t="s">
        <v>27</v>
      </c>
      <c r="P842" t="s">
        <v>26</v>
      </c>
    </row>
    <row r="843" spans="1:16" x14ac:dyDescent="0.25">
      <c r="A843" t="s">
        <v>1571</v>
      </c>
      <c r="B843" t="s">
        <v>1572</v>
      </c>
      <c r="C843" t="s">
        <v>76</v>
      </c>
      <c r="D843" t="s">
        <v>30</v>
      </c>
      <c r="E843" t="s">
        <v>31</v>
      </c>
      <c r="F843" t="s">
        <v>32</v>
      </c>
      <c r="G843" t="s">
        <v>135</v>
      </c>
      <c r="H843" t="s">
        <v>53</v>
      </c>
      <c r="I843">
        <v>2</v>
      </c>
      <c r="J843">
        <v>399519</v>
      </c>
      <c r="K843">
        <v>2</v>
      </c>
      <c r="L843">
        <v>783057.24</v>
      </c>
      <c r="M843" t="s">
        <v>42</v>
      </c>
      <c r="N843" t="s">
        <v>26</v>
      </c>
      <c r="O843" t="s">
        <v>27</v>
      </c>
      <c r="P843" t="s">
        <v>26</v>
      </c>
    </row>
    <row r="844" spans="1:16" x14ac:dyDescent="0.25">
      <c r="A844" t="s">
        <v>1573</v>
      </c>
      <c r="B844" t="s">
        <v>1415</v>
      </c>
      <c r="C844" t="s">
        <v>61</v>
      </c>
      <c r="D844" t="s">
        <v>38</v>
      </c>
      <c r="E844" t="s">
        <v>39</v>
      </c>
      <c r="F844" t="s">
        <v>40</v>
      </c>
      <c r="G844" t="s">
        <v>73</v>
      </c>
      <c r="H844" t="s">
        <v>86</v>
      </c>
      <c r="I844">
        <v>4</v>
      </c>
      <c r="J844">
        <v>116449</v>
      </c>
      <c r="K844">
        <v>12</v>
      </c>
      <c r="L844">
        <v>409900.48</v>
      </c>
      <c r="M844" t="s">
        <v>25</v>
      </c>
      <c r="N844" t="s">
        <v>43</v>
      </c>
      <c r="O844" t="s">
        <v>27</v>
      </c>
      <c r="P844" t="s">
        <v>26</v>
      </c>
    </row>
    <row r="845" spans="1:16" x14ac:dyDescent="0.25">
      <c r="A845" t="s">
        <v>1574</v>
      </c>
      <c r="B845" t="s">
        <v>1575</v>
      </c>
      <c r="C845" t="s">
        <v>85</v>
      </c>
      <c r="D845" t="s">
        <v>30</v>
      </c>
      <c r="E845" t="s">
        <v>31</v>
      </c>
      <c r="F845" t="s">
        <v>32</v>
      </c>
      <c r="G845" t="s">
        <v>41</v>
      </c>
      <c r="H845" t="s">
        <v>34</v>
      </c>
      <c r="I845">
        <v>2</v>
      </c>
      <c r="J845">
        <v>853240</v>
      </c>
      <c r="K845">
        <v>12</v>
      </c>
      <c r="L845">
        <v>1501702.4</v>
      </c>
      <c r="M845" t="s">
        <v>25</v>
      </c>
      <c r="N845" t="s">
        <v>69</v>
      </c>
      <c r="O845" t="s">
        <v>27</v>
      </c>
      <c r="P845" t="s">
        <v>55</v>
      </c>
    </row>
    <row r="846" spans="1:16" x14ac:dyDescent="0.25">
      <c r="A846" t="s">
        <v>1576</v>
      </c>
      <c r="B846" t="s">
        <v>321</v>
      </c>
      <c r="C846" t="s">
        <v>19</v>
      </c>
      <c r="D846" t="s">
        <v>30</v>
      </c>
      <c r="E846" t="s">
        <v>142</v>
      </c>
      <c r="F846" t="s">
        <v>32</v>
      </c>
      <c r="G846" t="s">
        <v>23</v>
      </c>
      <c r="H846" t="s">
        <v>86</v>
      </c>
      <c r="I846">
        <v>1</v>
      </c>
      <c r="J846">
        <v>759613</v>
      </c>
      <c r="K846">
        <v>10</v>
      </c>
      <c r="L846">
        <v>683651.70000000007</v>
      </c>
      <c r="M846" t="s">
        <v>42</v>
      </c>
      <c r="N846" t="s">
        <v>26</v>
      </c>
      <c r="O846" t="s">
        <v>44</v>
      </c>
      <c r="P846" t="s">
        <v>42</v>
      </c>
    </row>
    <row r="847" spans="1:16" x14ac:dyDescent="0.25">
      <c r="A847" t="s">
        <v>1577</v>
      </c>
      <c r="B847" t="s">
        <v>406</v>
      </c>
      <c r="C847" t="s">
        <v>85</v>
      </c>
      <c r="D847" t="s">
        <v>20</v>
      </c>
      <c r="E847" t="s">
        <v>21</v>
      </c>
      <c r="F847" t="s">
        <v>22</v>
      </c>
      <c r="G847" t="s">
        <v>73</v>
      </c>
      <c r="H847" t="s">
        <v>24</v>
      </c>
      <c r="I847">
        <v>3</v>
      </c>
      <c r="J847">
        <v>441954</v>
      </c>
      <c r="K847">
        <v>0</v>
      </c>
      <c r="L847">
        <v>1325862</v>
      </c>
      <c r="M847" t="s">
        <v>25</v>
      </c>
      <c r="N847" t="s">
        <v>26</v>
      </c>
      <c r="O847" t="s">
        <v>27</v>
      </c>
      <c r="P847" t="s">
        <v>26</v>
      </c>
    </row>
    <row r="848" spans="1:16" x14ac:dyDescent="0.25">
      <c r="A848" t="s">
        <v>1578</v>
      </c>
      <c r="B848" t="s">
        <v>1579</v>
      </c>
      <c r="C848" t="s">
        <v>65</v>
      </c>
      <c r="D848" t="s">
        <v>66</v>
      </c>
      <c r="E848" t="s">
        <v>67</v>
      </c>
      <c r="F848" t="s">
        <v>68</v>
      </c>
      <c r="G848" t="s">
        <v>33</v>
      </c>
      <c r="H848" t="s">
        <v>53</v>
      </c>
      <c r="I848">
        <v>1</v>
      </c>
      <c r="J848">
        <v>399397</v>
      </c>
      <c r="K848">
        <v>5</v>
      </c>
      <c r="L848">
        <v>379427.15</v>
      </c>
      <c r="M848" t="s">
        <v>42</v>
      </c>
      <c r="N848" t="s">
        <v>26</v>
      </c>
      <c r="O848" t="s">
        <v>27</v>
      </c>
      <c r="P848" t="s">
        <v>42</v>
      </c>
    </row>
    <row r="849" spans="1:16" x14ac:dyDescent="0.25">
      <c r="A849" t="s">
        <v>1580</v>
      </c>
      <c r="B849" t="s">
        <v>1581</v>
      </c>
      <c r="C849" t="s">
        <v>19</v>
      </c>
      <c r="D849" t="s">
        <v>119</v>
      </c>
      <c r="E849" t="s">
        <v>21</v>
      </c>
      <c r="F849" t="s">
        <v>22</v>
      </c>
      <c r="G849" t="s">
        <v>23</v>
      </c>
      <c r="H849" t="s">
        <v>58</v>
      </c>
      <c r="I849">
        <v>1</v>
      </c>
      <c r="J849">
        <v>463458</v>
      </c>
      <c r="K849">
        <v>2</v>
      </c>
      <c r="L849">
        <v>454188.84</v>
      </c>
      <c r="M849" t="s">
        <v>54</v>
      </c>
      <c r="N849" t="s">
        <v>69</v>
      </c>
      <c r="O849" t="s">
        <v>44</v>
      </c>
      <c r="P849" t="s">
        <v>55</v>
      </c>
    </row>
    <row r="850" spans="1:16" x14ac:dyDescent="0.25">
      <c r="A850" t="s">
        <v>1582</v>
      </c>
      <c r="B850" t="s">
        <v>333</v>
      </c>
      <c r="C850" t="s">
        <v>19</v>
      </c>
      <c r="D850" t="s">
        <v>47</v>
      </c>
      <c r="E850" t="s">
        <v>48</v>
      </c>
      <c r="F850" t="s">
        <v>22</v>
      </c>
      <c r="G850" t="s">
        <v>73</v>
      </c>
      <c r="H850" t="s">
        <v>86</v>
      </c>
      <c r="I850">
        <v>8</v>
      </c>
      <c r="J850">
        <v>222746</v>
      </c>
      <c r="K850">
        <v>5</v>
      </c>
      <c r="L850">
        <v>1692869.6</v>
      </c>
      <c r="M850" t="s">
        <v>54</v>
      </c>
      <c r="N850" t="s">
        <v>26</v>
      </c>
      <c r="O850" t="s">
        <v>27</v>
      </c>
      <c r="P850" t="s">
        <v>55</v>
      </c>
    </row>
    <row r="851" spans="1:16" x14ac:dyDescent="0.25">
      <c r="A851" t="s">
        <v>1583</v>
      </c>
      <c r="B851" t="s">
        <v>1031</v>
      </c>
      <c r="C851" t="s">
        <v>19</v>
      </c>
      <c r="D851" t="s">
        <v>47</v>
      </c>
      <c r="E851" t="s">
        <v>48</v>
      </c>
      <c r="F851" t="s">
        <v>22</v>
      </c>
      <c r="G851" t="s">
        <v>52</v>
      </c>
      <c r="H851" t="s">
        <v>86</v>
      </c>
      <c r="I851">
        <v>5</v>
      </c>
      <c r="J851">
        <v>694400</v>
      </c>
      <c r="K851">
        <v>7</v>
      </c>
      <c r="L851">
        <v>3228960</v>
      </c>
      <c r="M851" t="s">
        <v>54</v>
      </c>
      <c r="N851" t="s">
        <v>26</v>
      </c>
      <c r="O851" t="s">
        <v>44</v>
      </c>
      <c r="P851" t="s">
        <v>26</v>
      </c>
    </row>
    <row r="852" spans="1:16" x14ac:dyDescent="0.25">
      <c r="A852" t="s">
        <v>1584</v>
      </c>
      <c r="B852" t="s">
        <v>1585</v>
      </c>
      <c r="C852" t="s">
        <v>76</v>
      </c>
      <c r="D852" t="s">
        <v>129</v>
      </c>
      <c r="E852" t="s">
        <v>39</v>
      </c>
      <c r="F852" t="s">
        <v>40</v>
      </c>
      <c r="G852" t="s">
        <v>135</v>
      </c>
      <c r="H852" t="s">
        <v>53</v>
      </c>
      <c r="I852">
        <v>7</v>
      </c>
      <c r="J852">
        <v>737126</v>
      </c>
      <c r="K852">
        <v>10</v>
      </c>
      <c r="L852">
        <v>4643893.8</v>
      </c>
      <c r="M852" t="s">
        <v>25</v>
      </c>
      <c r="N852" t="s">
        <v>43</v>
      </c>
      <c r="O852" t="s">
        <v>27</v>
      </c>
      <c r="P852" t="s">
        <v>42</v>
      </c>
    </row>
    <row r="853" spans="1:16" x14ac:dyDescent="0.25">
      <c r="A853" t="s">
        <v>1586</v>
      </c>
      <c r="B853" t="s">
        <v>1587</v>
      </c>
      <c r="C853" t="s">
        <v>76</v>
      </c>
      <c r="D853" t="s">
        <v>38</v>
      </c>
      <c r="E853" t="s">
        <v>39</v>
      </c>
      <c r="F853" t="s">
        <v>40</v>
      </c>
      <c r="G853" t="s">
        <v>52</v>
      </c>
      <c r="H853" t="s">
        <v>24</v>
      </c>
      <c r="I853">
        <v>6</v>
      </c>
      <c r="J853">
        <v>349387</v>
      </c>
      <c r="M853" t="s">
        <v>54</v>
      </c>
      <c r="N853" t="s">
        <v>69</v>
      </c>
      <c r="O853" t="s">
        <v>27</v>
      </c>
      <c r="P853" t="s">
        <v>55</v>
      </c>
    </row>
    <row r="854" spans="1:16" x14ac:dyDescent="0.25">
      <c r="A854" t="s">
        <v>1588</v>
      </c>
      <c r="B854" t="s">
        <v>1589</v>
      </c>
      <c r="C854" t="s">
        <v>85</v>
      </c>
      <c r="D854" t="s">
        <v>47</v>
      </c>
      <c r="E854" t="s">
        <v>48</v>
      </c>
      <c r="F854" t="s">
        <v>22</v>
      </c>
      <c r="G854" t="s">
        <v>41</v>
      </c>
      <c r="H854" t="s">
        <v>53</v>
      </c>
      <c r="I854">
        <v>4</v>
      </c>
      <c r="J854">
        <v>408393</v>
      </c>
      <c r="K854">
        <v>7</v>
      </c>
      <c r="L854">
        <v>1519221.96</v>
      </c>
      <c r="M854" t="s">
        <v>25</v>
      </c>
      <c r="N854" t="s">
        <v>26</v>
      </c>
      <c r="O854" t="s">
        <v>44</v>
      </c>
      <c r="P854" t="s">
        <v>26</v>
      </c>
    </row>
    <row r="855" spans="1:16" x14ac:dyDescent="0.25">
      <c r="A855" t="s">
        <v>1590</v>
      </c>
      <c r="B855" t="s">
        <v>1591</v>
      </c>
      <c r="C855" t="s">
        <v>76</v>
      </c>
      <c r="D855" t="s">
        <v>20</v>
      </c>
      <c r="E855" t="s">
        <v>21</v>
      </c>
      <c r="F855" t="s">
        <v>22</v>
      </c>
      <c r="G855" t="s">
        <v>73</v>
      </c>
      <c r="H855" t="s">
        <v>86</v>
      </c>
      <c r="I855">
        <v>3</v>
      </c>
      <c r="J855">
        <v>172814</v>
      </c>
      <c r="K855">
        <v>12</v>
      </c>
      <c r="L855">
        <v>456228.96</v>
      </c>
      <c r="M855" t="s">
        <v>42</v>
      </c>
      <c r="N855" t="s">
        <v>69</v>
      </c>
      <c r="O855" t="s">
        <v>27</v>
      </c>
      <c r="P855" t="s">
        <v>42</v>
      </c>
    </row>
    <row r="856" spans="1:16" x14ac:dyDescent="0.25">
      <c r="A856" t="s">
        <v>1592</v>
      </c>
      <c r="B856" t="s">
        <v>242</v>
      </c>
      <c r="C856" t="s">
        <v>99</v>
      </c>
      <c r="D856" t="s">
        <v>30</v>
      </c>
      <c r="E856" t="s">
        <v>31</v>
      </c>
      <c r="F856" t="s">
        <v>32</v>
      </c>
      <c r="G856" t="s">
        <v>73</v>
      </c>
      <c r="H856" t="s">
        <v>53</v>
      </c>
      <c r="I856">
        <v>4</v>
      </c>
      <c r="J856">
        <v>225259</v>
      </c>
      <c r="K856">
        <v>12</v>
      </c>
      <c r="L856">
        <v>792911.68</v>
      </c>
      <c r="M856" t="s">
        <v>42</v>
      </c>
      <c r="N856" t="s">
        <v>69</v>
      </c>
      <c r="O856" t="s">
        <v>27</v>
      </c>
      <c r="P856" t="s">
        <v>42</v>
      </c>
    </row>
    <row r="857" spans="1:16" x14ac:dyDescent="0.25">
      <c r="A857" t="s">
        <v>1593</v>
      </c>
      <c r="B857" t="s">
        <v>1594</v>
      </c>
      <c r="C857" t="s">
        <v>19</v>
      </c>
      <c r="D857" t="s">
        <v>30</v>
      </c>
      <c r="E857" t="s">
        <v>31</v>
      </c>
      <c r="F857" t="s">
        <v>32</v>
      </c>
      <c r="G857" t="s">
        <v>94</v>
      </c>
      <c r="H857" t="s">
        <v>86</v>
      </c>
      <c r="I857">
        <v>4</v>
      </c>
      <c r="J857">
        <v>201097</v>
      </c>
      <c r="K857">
        <v>2</v>
      </c>
      <c r="L857">
        <v>788300.24</v>
      </c>
      <c r="M857" t="s">
        <v>54</v>
      </c>
      <c r="N857" t="s">
        <v>26</v>
      </c>
      <c r="O857" t="s">
        <v>27</v>
      </c>
      <c r="P857" t="s">
        <v>55</v>
      </c>
    </row>
    <row r="858" spans="1:16" x14ac:dyDescent="0.25">
      <c r="A858" t="s">
        <v>1595</v>
      </c>
      <c r="B858" t="s">
        <v>1596</v>
      </c>
      <c r="C858" t="s">
        <v>65</v>
      </c>
      <c r="D858" t="s">
        <v>66</v>
      </c>
      <c r="E858" t="s">
        <v>67</v>
      </c>
      <c r="F858" t="s">
        <v>68</v>
      </c>
      <c r="G858" t="s">
        <v>33</v>
      </c>
      <c r="H858" t="s">
        <v>24</v>
      </c>
      <c r="I858">
        <v>4</v>
      </c>
      <c r="J858">
        <v>796844</v>
      </c>
      <c r="M858" t="s">
        <v>25</v>
      </c>
      <c r="N858" t="s">
        <v>69</v>
      </c>
      <c r="O858" t="s">
        <v>27</v>
      </c>
      <c r="P858" t="s">
        <v>42</v>
      </c>
    </row>
    <row r="859" spans="1:16" x14ac:dyDescent="0.25">
      <c r="A859" t="s">
        <v>1597</v>
      </c>
      <c r="B859" t="s">
        <v>1598</v>
      </c>
      <c r="C859" t="s">
        <v>91</v>
      </c>
      <c r="D859" t="s">
        <v>47</v>
      </c>
      <c r="E859" t="s">
        <v>48</v>
      </c>
      <c r="F859" t="s">
        <v>22</v>
      </c>
      <c r="G859" t="s">
        <v>41</v>
      </c>
      <c r="H859" t="s">
        <v>34</v>
      </c>
      <c r="I859">
        <v>6</v>
      </c>
      <c r="J859">
        <v>642060</v>
      </c>
      <c r="K859">
        <v>2</v>
      </c>
      <c r="L859">
        <v>3775312.8</v>
      </c>
      <c r="M859" t="s">
        <v>42</v>
      </c>
      <c r="N859" t="s">
        <v>69</v>
      </c>
      <c r="O859" t="s">
        <v>44</v>
      </c>
      <c r="P859" t="s">
        <v>26</v>
      </c>
    </row>
    <row r="860" spans="1:16" x14ac:dyDescent="0.25">
      <c r="A860" t="s">
        <v>1599</v>
      </c>
      <c r="B860" t="s">
        <v>1600</v>
      </c>
      <c r="C860" t="s">
        <v>76</v>
      </c>
      <c r="D860" t="s">
        <v>20</v>
      </c>
      <c r="E860" t="s">
        <v>21</v>
      </c>
      <c r="F860" t="s">
        <v>22</v>
      </c>
      <c r="G860" t="s">
        <v>33</v>
      </c>
      <c r="H860" t="s">
        <v>86</v>
      </c>
      <c r="I860">
        <v>1</v>
      </c>
      <c r="J860">
        <v>512765</v>
      </c>
      <c r="K860">
        <v>2</v>
      </c>
      <c r="L860">
        <v>502509.7</v>
      </c>
      <c r="M860" t="s">
        <v>42</v>
      </c>
      <c r="N860" t="s">
        <v>43</v>
      </c>
      <c r="O860" t="s">
        <v>44</v>
      </c>
      <c r="P860" t="s">
        <v>26</v>
      </c>
    </row>
    <row r="861" spans="1:16" x14ac:dyDescent="0.25">
      <c r="A861" t="s">
        <v>1601</v>
      </c>
      <c r="B861" t="s">
        <v>1402</v>
      </c>
      <c r="C861" t="s">
        <v>37</v>
      </c>
      <c r="D861" t="s">
        <v>66</v>
      </c>
      <c r="E861" t="s">
        <v>67</v>
      </c>
      <c r="F861" t="s">
        <v>68</v>
      </c>
      <c r="G861" t="s">
        <v>52</v>
      </c>
      <c r="H861" t="s">
        <v>24</v>
      </c>
      <c r="I861">
        <v>8</v>
      </c>
      <c r="J861">
        <v>477211</v>
      </c>
      <c r="K861">
        <v>7</v>
      </c>
      <c r="L861">
        <v>3550449.84</v>
      </c>
      <c r="M861" t="s">
        <v>42</v>
      </c>
      <c r="N861" t="s">
        <v>43</v>
      </c>
      <c r="O861" t="s">
        <v>27</v>
      </c>
      <c r="P861" t="s">
        <v>55</v>
      </c>
    </row>
    <row r="862" spans="1:16" x14ac:dyDescent="0.25">
      <c r="A862" t="s">
        <v>1602</v>
      </c>
      <c r="B862" t="s">
        <v>404</v>
      </c>
      <c r="C862" t="s">
        <v>76</v>
      </c>
      <c r="D862" t="s">
        <v>66</v>
      </c>
      <c r="E862" t="s">
        <v>67</v>
      </c>
      <c r="F862" t="s">
        <v>68</v>
      </c>
      <c r="G862" t="s">
        <v>73</v>
      </c>
      <c r="H862" t="s">
        <v>24</v>
      </c>
      <c r="I862">
        <v>3</v>
      </c>
      <c r="J862">
        <v>845062</v>
      </c>
      <c r="K862">
        <v>12</v>
      </c>
      <c r="L862">
        <v>2230963.6800000002</v>
      </c>
      <c r="M862" t="s">
        <v>25</v>
      </c>
      <c r="N862" t="s">
        <v>43</v>
      </c>
      <c r="O862" t="s">
        <v>44</v>
      </c>
      <c r="P862" t="s">
        <v>42</v>
      </c>
    </row>
    <row r="863" spans="1:16" x14ac:dyDescent="0.25">
      <c r="A863" t="s">
        <v>1603</v>
      </c>
      <c r="B863" t="s">
        <v>1604</v>
      </c>
      <c r="C863" t="s">
        <v>91</v>
      </c>
      <c r="D863" t="s">
        <v>119</v>
      </c>
      <c r="E863" t="s">
        <v>189</v>
      </c>
      <c r="F863" t="s">
        <v>22</v>
      </c>
      <c r="G863" t="s">
        <v>33</v>
      </c>
      <c r="H863" t="s">
        <v>53</v>
      </c>
      <c r="I863">
        <v>5</v>
      </c>
      <c r="J863">
        <v>325457</v>
      </c>
      <c r="K863">
        <v>2</v>
      </c>
      <c r="L863">
        <v>1594739.3</v>
      </c>
      <c r="M863" t="s">
        <v>42</v>
      </c>
      <c r="N863" t="s">
        <v>43</v>
      </c>
      <c r="O863" t="s">
        <v>27</v>
      </c>
      <c r="P863" t="s">
        <v>42</v>
      </c>
    </row>
    <row r="864" spans="1:16" x14ac:dyDescent="0.25">
      <c r="A864" t="s">
        <v>1605</v>
      </c>
      <c r="B864" t="s">
        <v>793</v>
      </c>
      <c r="C864" t="s">
        <v>65</v>
      </c>
      <c r="D864" t="s">
        <v>30</v>
      </c>
      <c r="E864" t="s">
        <v>31</v>
      </c>
      <c r="F864" t="s">
        <v>32</v>
      </c>
      <c r="G864" t="s">
        <v>52</v>
      </c>
      <c r="H864" t="s">
        <v>34</v>
      </c>
      <c r="I864">
        <v>1</v>
      </c>
      <c r="J864">
        <v>298838</v>
      </c>
      <c r="K864">
        <v>10</v>
      </c>
      <c r="L864">
        <v>268954.2</v>
      </c>
      <c r="M864" t="s">
        <v>42</v>
      </c>
      <c r="N864" t="s">
        <v>43</v>
      </c>
      <c r="O864" t="s">
        <v>27</v>
      </c>
      <c r="P864" t="s">
        <v>42</v>
      </c>
    </row>
    <row r="865" spans="1:16" x14ac:dyDescent="0.25">
      <c r="A865" t="s">
        <v>1606</v>
      </c>
      <c r="B865" t="s">
        <v>1607</v>
      </c>
      <c r="C865" t="s">
        <v>76</v>
      </c>
      <c r="D865" t="s">
        <v>47</v>
      </c>
      <c r="E865" t="s">
        <v>48</v>
      </c>
      <c r="F865" t="s">
        <v>22</v>
      </c>
      <c r="G865" t="s">
        <v>73</v>
      </c>
      <c r="H865" t="s">
        <v>34</v>
      </c>
      <c r="I865">
        <v>4</v>
      </c>
      <c r="J865">
        <v>810712</v>
      </c>
      <c r="M865" t="s">
        <v>54</v>
      </c>
      <c r="N865" t="s">
        <v>43</v>
      </c>
      <c r="O865" t="s">
        <v>44</v>
      </c>
      <c r="P865" t="s">
        <v>55</v>
      </c>
    </row>
    <row r="866" spans="1:16" x14ac:dyDescent="0.25">
      <c r="A866" t="s">
        <v>1608</v>
      </c>
      <c r="B866" t="s">
        <v>1609</v>
      </c>
      <c r="C866" t="s">
        <v>19</v>
      </c>
      <c r="D866" t="s">
        <v>66</v>
      </c>
      <c r="E866" t="s">
        <v>67</v>
      </c>
      <c r="F866" t="s">
        <v>68</v>
      </c>
      <c r="G866" t="s">
        <v>62</v>
      </c>
      <c r="H866" t="s">
        <v>34</v>
      </c>
      <c r="I866">
        <v>1</v>
      </c>
      <c r="J866">
        <v>552914</v>
      </c>
      <c r="K866">
        <v>2</v>
      </c>
      <c r="L866">
        <v>541855.72</v>
      </c>
      <c r="M866" t="s">
        <v>42</v>
      </c>
      <c r="N866" t="s">
        <v>26</v>
      </c>
      <c r="O866" t="s">
        <v>44</v>
      </c>
      <c r="P866" t="s">
        <v>55</v>
      </c>
    </row>
    <row r="867" spans="1:16" x14ac:dyDescent="0.25">
      <c r="A867" t="s">
        <v>1610</v>
      </c>
      <c r="B867" t="s">
        <v>105</v>
      </c>
      <c r="C867" t="s">
        <v>76</v>
      </c>
      <c r="D867" t="s">
        <v>20</v>
      </c>
      <c r="E867" t="s">
        <v>21</v>
      </c>
      <c r="F867" t="s">
        <v>22</v>
      </c>
      <c r="G867" t="s">
        <v>73</v>
      </c>
      <c r="H867" t="s">
        <v>58</v>
      </c>
      <c r="I867">
        <v>4</v>
      </c>
      <c r="J867">
        <v>883579</v>
      </c>
      <c r="K867">
        <v>10</v>
      </c>
      <c r="L867">
        <v>3180884.4</v>
      </c>
      <c r="M867" t="s">
        <v>42</v>
      </c>
      <c r="N867" t="s">
        <v>26</v>
      </c>
      <c r="O867" t="s">
        <v>27</v>
      </c>
      <c r="P867" t="s">
        <v>42</v>
      </c>
    </row>
    <row r="868" spans="1:16" x14ac:dyDescent="0.25">
      <c r="A868" t="s">
        <v>1611</v>
      </c>
      <c r="B868" t="s">
        <v>1301</v>
      </c>
      <c r="C868" t="s">
        <v>19</v>
      </c>
      <c r="D868" t="s">
        <v>66</v>
      </c>
      <c r="E868" t="s">
        <v>67</v>
      </c>
      <c r="F868" t="s">
        <v>68</v>
      </c>
      <c r="G868" t="s">
        <v>33</v>
      </c>
      <c r="H868" t="s">
        <v>34</v>
      </c>
      <c r="I868">
        <v>8</v>
      </c>
      <c r="J868">
        <v>196554</v>
      </c>
      <c r="K868">
        <v>10</v>
      </c>
      <c r="L868">
        <v>1415188.8</v>
      </c>
      <c r="M868" t="s">
        <v>54</v>
      </c>
      <c r="N868" t="s">
        <v>69</v>
      </c>
      <c r="O868" t="s">
        <v>27</v>
      </c>
      <c r="P868" t="s">
        <v>42</v>
      </c>
    </row>
    <row r="869" spans="1:16" x14ac:dyDescent="0.25">
      <c r="A869" t="s">
        <v>1612</v>
      </c>
      <c r="B869" t="s">
        <v>1613</v>
      </c>
      <c r="C869" t="s">
        <v>65</v>
      </c>
      <c r="D869" t="s">
        <v>47</v>
      </c>
      <c r="E869" t="s">
        <v>48</v>
      </c>
      <c r="F869" t="s">
        <v>22</v>
      </c>
      <c r="G869" t="s">
        <v>94</v>
      </c>
      <c r="H869" t="s">
        <v>34</v>
      </c>
      <c r="I869">
        <v>8</v>
      </c>
      <c r="J869">
        <v>416937</v>
      </c>
      <c r="K869">
        <v>0</v>
      </c>
      <c r="L869">
        <v>3335496</v>
      </c>
      <c r="M869" t="s">
        <v>54</v>
      </c>
      <c r="N869" t="s">
        <v>26</v>
      </c>
      <c r="O869" t="s">
        <v>27</v>
      </c>
      <c r="P869" t="s">
        <v>55</v>
      </c>
    </row>
    <row r="870" spans="1:16" x14ac:dyDescent="0.25">
      <c r="A870" t="s">
        <v>1614</v>
      </c>
      <c r="B870" t="s">
        <v>702</v>
      </c>
      <c r="C870" t="s">
        <v>19</v>
      </c>
      <c r="D870" t="s">
        <v>38</v>
      </c>
      <c r="E870" t="s">
        <v>39</v>
      </c>
      <c r="F870" t="s">
        <v>40</v>
      </c>
      <c r="G870" t="s">
        <v>62</v>
      </c>
      <c r="H870" t="s">
        <v>53</v>
      </c>
      <c r="I870">
        <v>5</v>
      </c>
      <c r="J870">
        <v>149912</v>
      </c>
      <c r="K870">
        <v>12</v>
      </c>
      <c r="L870">
        <v>659612.80000000005</v>
      </c>
      <c r="M870" t="s">
        <v>42</v>
      </c>
      <c r="N870" t="s">
        <v>69</v>
      </c>
      <c r="O870" t="s">
        <v>44</v>
      </c>
      <c r="P870" t="s">
        <v>42</v>
      </c>
    </row>
    <row r="871" spans="1:16" x14ac:dyDescent="0.25">
      <c r="A871" t="s">
        <v>1615</v>
      </c>
      <c r="B871" t="s">
        <v>1616</v>
      </c>
      <c r="C871" t="s">
        <v>37</v>
      </c>
      <c r="D871" t="s">
        <v>47</v>
      </c>
      <c r="E871" t="s">
        <v>48</v>
      </c>
      <c r="F871" t="s">
        <v>22</v>
      </c>
      <c r="G871" t="s">
        <v>52</v>
      </c>
      <c r="H871" t="s">
        <v>24</v>
      </c>
      <c r="I871">
        <v>2</v>
      </c>
      <c r="J871">
        <v>258994</v>
      </c>
      <c r="K871">
        <v>10</v>
      </c>
      <c r="L871">
        <v>466189.2</v>
      </c>
      <c r="M871" t="s">
        <v>42</v>
      </c>
      <c r="N871" t="s">
        <v>26</v>
      </c>
      <c r="O871" t="s">
        <v>27</v>
      </c>
      <c r="P871" t="s">
        <v>55</v>
      </c>
    </row>
    <row r="872" spans="1:16" x14ac:dyDescent="0.25">
      <c r="A872" t="s">
        <v>1617</v>
      </c>
      <c r="B872" t="s">
        <v>172</v>
      </c>
      <c r="C872" t="s">
        <v>37</v>
      </c>
      <c r="D872" t="s">
        <v>38</v>
      </c>
      <c r="E872" t="s">
        <v>39</v>
      </c>
      <c r="F872" t="s">
        <v>40</v>
      </c>
      <c r="G872" t="s">
        <v>52</v>
      </c>
      <c r="H872" t="s">
        <v>86</v>
      </c>
      <c r="I872">
        <v>3</v>
      </c>
      <c r="J872">
        <v>594791</v>
      </c>
      <c r="K872">
        <v>5</v>
      </c>
      <c r="L872">
        <v>1695154.35</v>
      </c>
      <c r="M872" t="s">
        <v>25</v>
      </c>
      <c r="N872" t="s">
        <v>43</v>
      </c>
      <c r="O872" t="s">
        <v>27</v>
      </c>
      <c r="P872" t="s">
        <v>42</v>
      </c>
    </row>
    <row r="873" spans="1:16" x14ac:dyDescent="0.25">
      <c r="A873" t="s">
        <v>1618</v>
      </c>
      <c r="B873" t="s">
        <v>1619</v>
      </c>
      <c r="C873" t="s">
        <v>85</v>
      </c>
      <c r="D873" t="s">
        <v>47</v>
      </c>
      <c r="E873" t="s">
        <v>48</v>
      </c>
      <c r="F873" t="s">
        <v>22</v>
      </c>
      <c r="G873" t="s">
        <v>41</v>
      </c>
      <c r="H873" t="s">
        <v>58</v>
      </c>
      <c r="I873">
        <v>1</v>
      </c>
      <c r="J873">
        <v>773915</v>
      </c>
      <c r="K873">
        <v>7</v>
      </c>
      <c r="L873">
        <v>719740.95</v>
      </c>
      <c r="M873" t="s">
        <v>42</v>
      </c>
      <c r="N873" t="s">
        <v>43</v>
      </c>
      <c r="O873" t="s">
        <v>27</v>
      </c>
      <c r="P873" t="s">
        <v>42</v>
      </c>
    </row>
    <row r="874" spans="1:16" x14ac:dyDescent="0.25">
      <c r="A874" t="s">
        <v>1620</v>
      </c>
      <c r="B874" t="s">
        <v>1058</v>
      </c>
      <c r="C874" t="s">
        <v>65</v>
      </c>
      <c r="D874" t="s">
        <v>30</v>
      </c>
      <c r="E874" t="s">
        <v>31</v>
      </c>
      <c r="F874" t="s">
        <v>32</v>
      </c>
      <c r="G874" t="s">
        <v>124</v>
      </c>
      <c r="H874" t="s">
        <v>58</v>
      </c>
      <c r="I874">
        <v>7</v>
      </c>
      <c r="J874">
        <v>292197</v>
      </c>
      <c r="K874">
        <v>12</v>
      </c>
      <c r="L874">
        <v>1799933.52</v>
      </c>
      <c r="M874" t="s">
        <v>42</v>
      </c>
      <c r="N874" t="s">
        <v>26</v>
      </c>
      <c r="O874" t="s">
        <v>44</v>
      </c>
      <c r="P874" t="s">
        <v>42</v>
      </c>
    </row>
    <row r="875" spans="1:16" x14ac:dyDescent="0.25">
      <c r="A875" t="s">
        <v>1621</v>
      </c>
      <c r="B875" t="s">
        <v>1622</v>
      </c>
      <c r="C875" t="s">
        <v>37</v>
      </c>
      <c r="D875" t="s">
        <v>129</v>
      </c>
      <c r="E875" t="s">
        <v>39</v>
      </c>
      <c r="F875" t="s">
        <v>40</v>
      </c>
      <c r="G875" t="s">
        <v>73</v>
      </c>
      <c r="H875" t="s">
        <v>53</v>
      </c>
      <c r="I875">
        <v>3</v>
      </c>
      <c r="J875">
        <v>360518</v>
      </c>
      <c r="K875">
        <v>12</v>
      </c>
      <c r="L875">
        <v>951767.52</v>
      </c>
      <c r="M875" t="s">
        <v>25</v>
      </c>
      <c r="N875" t="s">
        <v>43</v>
      </c>
      <c r="O875" t="s">
        <v>27</v>
      </c>
      <c r="P875" t="s">
        <v>55</v>
      </c>
    </row>
    <row r="876" spans="1:16" x14ac:dyDescent="0.25">
      <c r="A876" t="s">
        <v>1623</v>
      </c>
      <c r="B876" t="s">
        <v>1166</v>
      </c>
      <c r="C876" t="s">
        <v>65</v>
      </c>
      <c r="D876" t="s">
        <v>30</v>
      </c>
      <c r="E876" t="s">
        <v>31</v>
      </c>
      <c r="F876" t="s">
        <v>32</v>
      </c>
      <c r="G876" t="s">
        <v>33</v>
      </c>
      <c r="H876" t="s">
        <v>34</v>
      </c>
      <c r="I876">
        <v>6</v>
      </c>
      <c r="J876">
        <v>569855</v>
      </c>
      <c r="K876">
        <v>12</v>
      </c>
      <c r="L876">
        <v>3008834.4</v>
      </c>
      <c r="M876" t="s">
        <v>25</v>
      </c>
      <c r="N876" t="s">
        <v>43</v>
      </c>
      <c r="O876" t="s">
        <v>27</v>
      </c>
      <c r="P876" t="s">
        <v>42</v>
      </c>
    </row>
    <row r="877" spans="1:16" x14ac:dyDescent="0.25">
      <c r="A877" t="s">
        <v>1624</v>
      </c>
      <c r="B877" t="s">
        <v>756</v>
      </c>
      <c r="C877" t="s">
        <v>85</v>
      </c>
      <c r="D877" t="s">
        <v>20</v>
      </c>
      <c r="E877" t="s">
        <v>21</v>
      </c>
      <c r="F877" t="s">
        <v>22</v>
      </c>
      <c r="G877" t="s">
        <v>33</v>
      </c>
      <c r="H877" t="s">
        <v>53</v>
      </c>
      <c r="I877">
        <v>2</v>
      </c>
      <c r="J877">
        <v>845634</v>
      </c>
      <c r="K877">
        <v>0</v>
      </c>
      <c r="L877">
        <v>1691268</v>
      </c>
      <c r="M877" t="s">
        <v>25</v>
      </c>
      <c r="N877" t="s">
        <v>69</v>
      </c>
      <c r="O877" t="s">
        <v>27</v>
      </c>
      <c r="P877" t="s">
        <v>26</v>
      </c>
    </row>
    <row r="878" spans="1:16" x14ac:dyDescent="0.25">
      <c r="A878" t="s">
        <v>1625</v>
      </c>
      <c r="B878" t="s">
        <v>1626</v>
      </c>
      <c r="C878" t="s">
        <v>65</v>
      </c>
      <c r="D878" t="s">
        <v>106</v>
      </c>
      <c r="E878" t="s">
        <v>142</v>
      </c>
      <c r="F878" t="s">
        <v>32</v>
      </c>
      <c r="G878" t="s">
        <v>73</v>
      </c>
      <c r="H878" t="s">
        <v>24</v>
      </c>
      <c r="I878">
        <v>5</v>
      </c>
      <c r="J878">
        <v>786733</v>
      </c>
      <c r="K878">
        <v>10</v>
      </c>
      <c r="L878">
        <v>3540298.5</v>
      </c>
      <c r="M878" t="s">
        <v>42</v>
      </c>
      <c r="N878" t="s">
        <v>69</v>
      </c>
      <c r="O878" t="s">
        <v>27</v>
      </c>
      <c r="P878" t="s">
        <v>26</v>
      </c>
    </row>
    <row r="879" spans="1:16" x14ac:dyDescent="0.25">
      <c r="A879" t="s">
        <v>1627</v>
      </c>
      <c r="B879" t="s">
        <v>1628</v>
      </c>
      <c r="C879" t="s">
        <v>76</v>
      </c>
      <c r="D879" t="s">
        <v>66</v>
      </c>
      <c r="E879" t="s">
        <v>67</v>
      </c>
      <c r="F879" t="s">
        <v>68</v>
      </c>
      <c r="G879" t="s">
        <v>73</v>
      </c>
      <c r="H879" t="s">
        <v>34</v>
      </c>
      <c r="I879">
        <v>6</v>
      </c>
      <c r="J879">
        <v>785879</v>
      </c>
      <c r="K879">
        <v>0</v>
      </c>
      <c r="L879">
        <v>4715274</v>
      </c>
      <c r="M879" t="s">
        <v>25</v>
      </c>
      <c r="N879" t="s">
        <v>69</v>
      </c>
      <c r="O879" t="s">
        <v>44</v>
      </c>
      <c r="P879" t="s">
        <v>26</v>
      </c>
    </row>
    <row r="880" spans="1:16" x14ac:dyDescent="0.25">
      <c r="A880" t="s">
        <v>1629</v>
      </c>
      <c r="B880" t="s">
        <v>258</v>
      </c>
      <c r="C880" t="s">
        <v>198</v>
      </c>
      <c r="D880" t="s">
        <v>66</v>
      </c>
      <c r="E880" t="s">
        <v>67</v>
      </c>
      <c r="F880" t="s">
        <v>68</v>
      </c>
      <c r="G880" t="s">
        <v>33</v>
      </c>
      <c r="H880" t="s">
        <v>58</v>
      </c>
      <c r="I880">
        <v>4</v>
      </c>
      <c r="J880">
        <v>373338</v>
      </c>
      <c r="K880">
        <v>0</v>
      </c>
      <c r="L880">
        <v>1493352</v>
      </c>
      <c r="M880" t="s">
        <v>25</v>
      </c>
      <c r="N880" t="s">
        <v>43</v>
      </c>
      <c r="O880" t="s">
        <v>27</v>
      </c>
      <c r="P880" t="s">
        <v>55</v>
      </c>
    </row>
    <row r="881" spans="1:16" x14ac:dyDescent="0.25">
      <c r="A881" t="s">
        <v>304</v>
      </c>
      <c r="B881" t="s">
        <v>1630</v>
      </c>
      <c r="C881" t="s">
        <v>65</v>
      </c>
      <c r="D881" t="s">
        <v>47</v>
      </c>
      <c r="E881" t="s">
        <v>48</v>
      </c>
      <c r="F881" t="s">
        <v>22</v>
      </c>
      <c r="G881" t="s">
        <v>62</v>
      </c>
      <c r="H881" t="s">
        <v>86</v>
      </c>
      <c r="I881">
        <v>8</v>
      </c>
      <c r="J881">
        <v>702685</v>
      </c>
      <c r="K881">
        <v>0</v>
      </c>
      <c r="L881">
        <v>5621480</v>
      </c>
      <c r="M881" t="s">
        <v>54</v>
      </c>
      <c r="N881" t="s">
        <v>69</v>
      </c>
      <c r="O881" t="s">
        <v>27</v>
      </c>
      <c r="P881" t="s">
        <v>42</v>
      </c>
    </row>
    <row r="882" spans="1:16" x14ac:dyDescent="0.25">
      <c r="A882" t="s">
        <v>1631</v>
      </c>
      <c r="B882" t="s">
        <v>1589</v>
      </c>
      <c r="C882" t="s">
        <v>76</v>
      </c>
      <c r="D882" t="s">
        <v>106</v>
      </c>
      <c r="E882" t="s">
        <v>31</v>
      </c>
      <c r="F882" t="s">
        <v>32</v>
      </c>
      <c r="G882" t="s">
        <v>62</v>
      </c>
      <c r="H882" t="s">
        <v>58</v>
      </c>
      <c r="I882">
        <v>8</v>
      </c>
      <c r="J882">
        <v>835335</v>
      </c>
      <c r="K882">
        <v>0</v>
      </c>
      <c r="L882">
        <v>6682680</v>
      </c>
      <c r="M882" t="s">
        <v>54</v>
      </c>
      <c r="N882" t="s">
        <v>26</v>
      </c>
      <c r="O882" t="s">
        <v>27</v>
      </c>
      <c r="P882" t="s">
        <v>55</v>
      </c>
    </row>
    <row r="883" spans="1:16" x14ac:dyDescent="0.25">
      <c r="A883" t="s">
        <v>1632</v>
      </c>
      <c r="B883" t="s">
        <v>1633</v>
      </c>
      <c r="C883" t="s">
        <v>65</v>
      </c>
      <c r="D883" t="s">
        <v>20</v>
      </c>
      <c r="E883" t="s">
        <v>21</v>
      </c>
      <c r="F883" t="s">
        <v>22</v>
      </c>
      <c r="G883" t="s">
        <v>52</v>
      </c>
      <c r="H883" t="s">
        <v>58</v>
      </c>
      <c r="I883">
        <v>5</v>
      </c>
      <c r="J883">
        <v>268238</v>
      </c>
      <c r="K883">
        <v>5</v>
      </c>
      <c r="L883">
        <v>1274130.5</v>
      </c>
      <c r="M883" t="s">
        <v>42</v>
      </c>
      <c r="N883" t="s">
        <v>69</v>
      </c>
      <c r="O883" t="s">
        <v>44</v>
      </c>
      <c r="P883" t="s">
        <v>42</v>
      </c>
    </row>
    <row r="884" spans="1:16" x14ac:dyDescent="0.25">
      <c r="A884" t="s">
        <v>1634</v>
      </c>
      <c r="B884" t="s">
        <v>1200</v>
      </c>
      <c r="C884" t="s">
        <v>79</v>
      </c>
      <c r="D884" t="s">
        <v>129</v>
      </c>
      <c r="E884" t="s">
        <v>39</v>
      </c>
      <c r="F884" t="s">
        <v>40</v>
      </c>
      <c r="G884" t="s">
        <v>73</v>
      </c>
      <c r="H884" t="s">
        <v>58</v>
      </c>
      <c r="I884">
        <v>1</v>
      </c>
      <c r="J884">
        <v>882757</v>
      </c>
      <c r="K884">
        <v>10</v>
      </c>
      <c r="L884">
        <v>794481.3</v>
      </c>
      <c r="M884" t="s">
        <v>42</v>
      </c>
      <c r="N884" t="s">
        <v>43</v>
      </c>
      <c r="O884" t="s">
        <v>27</v>
      </c>
      <c r="P884" t="s">
        <v>55</v>
      </c>
    </row>
    <row r="885" spans="1:16" x14ac:dyDescent="0.25">
      <c r="A885" t="s">
        <v>1635</v>
      </c>
      <c r="B885" t="s">
        <v>1636</v>
      </c>
      <c r="C885" t="s">
        <v>76</v>
      </c>
      <c r="D885" t="s">
        <v>66</v>
      </c>
      <c r="E885" t="s">
        <v>67</v>
      </c>
      <c r="F885" t="s">
        <v>68</v>
      </c>
      <c r="G885" t="s">
        <v>62</v>
      </c>
      <c r="H885" t="s">
        <v>34</v>
      </c>
      <c r="I885">
        <v>7</v>
      </c>
      <c r="J885">
        <v>685719</v>
      </c>
      <c r="K885">
        <v>5</v>
      </c>
      <c r="L885">
        <v>4560031.3499999996</v>
      </c>
      <c r="M885" t="s">
        <v>54</v>
      </c>
      <c r="N885" t="s">
        <v>69</v>
      </c>
      <c r="O885" t="s">
        <v>44</v>
      </c>
      <c r="P885" t="s">
        <v>26</v>
      </c>
    </row>
    <row r="886" spans="1:16" x14ac:dyDescent="0.25">
      <c r="A886" t="s">
        <v>1637</v>
      </c>
      <c r="B886" t="s">
        <v>1638</v>
      </c>
      <c r="C886" t="s">
        <v>37</v>
      </c>
      <c r="D886" t="s">
        <v>47</v>
      </c>
      <c r="E886" t="s">
        <v>48</v>
      </c>
      <c r="F886" t="s">
        <v>22</v>
      </c>
      <c r="G886" t="s">
        <v>41</v>
      </c>
      <c r="H886" t="s">
        <v>53</v>
      </c>
      <c r="I886">
        <v>8</v>
      </c>
      <c r="J886">
        <v>53322</v>
      </c>
      <c r="K886">
        <v>2</v>
      </c>
      <c r="L886">
        <v>418044.48</v>
      </c>
      <c r="M886" t="s">
        <v>25</v>
      </c>
      <c r="N886" t="s">
        <v>26</v>
      </c>
      <c r="O886" t="s">
        <v>44</v>
      </c>
      <c r="P886" t="s">
        <v>42</v>
      </c>
    </row>
    <row r="887" spans="1:16" x14ac:dyDescent="0.25">
      <c r="A887" t="s">
        <v>1639</v>
      </c>
      <c r="B887" t="s">
        <v>417</v>
      </c>
      <c r="C887" t="s">
        <v>37</v>
      </c>
      <c r="D887" t="s">
        <v>154</v>
      </c>
      <c r="E887" t="s">
        <v>67</v>
      </c>
      <c r="F887" t="s">
        <v>68</v>
      </c>
      <c r="G887" t="s">
        <v>41</v>
      </c>
      <c r="H887" t="s">
        <v>58</v>
      </c>
      <c r="I887">
        <v>6</v>
      </c>
      <c r="J887">
        <v>743270</v>
      </c>
      <c r="K887">
        <v>10</v>
      </c>
      <c r="L887">
        <v>4013658</v>
      </c>
      <c r="M887" t="s">
        <v>54</v>
      </c>
      <c r="N887" t="s">
        <v>43</v>
      </c>
      <c r="O887" t="s">
        <v>27</v>
      </c>
      <c r="P887" t="s">
        <v>26</v>
      </c>
    </row>
    <row r="888" spans="1:16" x14ac:dyDescent="0.25">
      <c r="A888" t="s">
        <v>1640</v>
      </c>
      <c r="B888" t="s">
        <v>1641</v>
      </c>
      <c r="C888" t="s">
        <v>85</v>
      </c>
      <c r="D888" t="s">
        <v>66</v>
      </c>
      <c r="E888" t="s">
        <v>201</v>
      </c>
      <c r="F888" t="s">
        <v>68</v>
      </c>
      <c r="G888" t="s">
        <v>23</v>
      </c>
      <c r="H888" t="s">
        <v>58</v>
      </c>
      <c r="I888">
        <v>6</v>
      </c>
      <c r="J888">
        <v>830032</v>
      </c>
      <c r="K888">
        <v>12</v>
      </c>
      <c r="L888">
        <v>4382568.96</v>
      </c>
      <c r="M888" t="s">
        <v>25</v>
      </c>
      <c r="N888" t="s">
        <v>69</v>
      </c>
      <c r="O888" t="s">
        <v>27</v>
      </c>
      <c r="P888" t="s">
        <v>55</v>
      </c>
    </row>
    <row r="889" spans="1:16" x14ac:dyDescent="0.25">
      <c r="A889" t="s">
        <v>1642</v>
      </c>
      <c r="B889" t="s">
        <v>1643</v>
      </c>
      <c r="C889" t="s">
        <v>61</v>
      </c>
      <c r="D889" t="s">
        <v>38</v>
      </c>
      <c r="E889" t="s">
        <v>39</v>
      </c>
      <c r="F889" t="s">
        <v>40</v>
      </c>
      <c r="G889" t="s">
        <v>73</v>
      </c>
      <c r="H889" t="s">
        <v>53</v>
      </c>
      <c r="I889">
        <v>7</v>
      </c>
      <c r="J889">
        <v>695754</v>
      </c>
      <c r="K889">
        <v>5</v>
      </c>
      <c r="L889">
        <v>4626764.0999999996</v>
      </c>
      <c r="M889" t="s">
        <v>42</v>
      </c>
      <c r="N889" t="s">
        <v>69</v>
      </c>
      <c r="O889" t="s">
        <v>27</v>
      </c>
      <c r="P889" t="s">
        <v>55</v>
      </c>
    </row>
    <row r="890" spans="1:16" x14ac:dyDescent="0.25">
      <c r="A890" t="s">
        <v>1644</v>
      </c>
      <c r="B890" t="s">
        <v>1645</v>
      </c>
      <c r="C890" t="s">
        <v>76</v>
      </c>
      <c r="D890" t="s">
        <v>106</v>
      </c>
      <c r="E890" t="s">
        <v>31</v>
      </c>
      <c r="F890" t="s">
        <v>32</v>
      </c>
      <c r="G890" t="s">
        <v>33</v>
      </c>
      <c r="H890" t="s">
        <v>86</v>
      </c>
      <c r="I890">
        <v>4</v>
      </c>
      <c r="J890">
        <v>105361</v>
      </c>
      <c r="K890">
        <v>2</v>
      </c>
      <c r="L890">
        <v>413015.12</v>
      </c>
      <c r="M890" t="s">
        <v>54</v>
      </c>
      <c r="N890" t="s">
        <v>43</v>
      </c>
      <c r="O890" t="s">
        <v>44</v>
      </c>
      <c r="P890" t="s">
        <v>42</v>
      </c>
    </row>
    <row r="891" spans="1:16" x14ac:dyDescent="0.25">
      <c r="A891" t="s">
        <v>1646</v>
      </c>
      <c r="B891" t="s">
        <v>1647</v>
      </c>
      <c r="C891" t="s">
        <v>85</v>
      </c>
      <c r="D891" t="s">
        <v>51</v>
      </c>
      <c r="E891" t="s">
        <v>48</v>
      </c>
      <c r="F891" t="s">
        <v>22</v>
      </c>
      <c r="G891" t="s">
        <v>73</v>
      </c>
      <c r="H891" t="s">
        <v>53</v>
      </c>
      <c r="I891">
        <v>4</v>
      </c>
      <c r="J891">
        <v>479022</v>
      </c>
      <c r="K891">
        <v>12</v>
      </c>
      <c r="L891">
        <v>1698502.44</v>
      </c>
      <c r="M891" t="s">
        <v>42</v>
      </c>
      <c r="N891" t="s">
        <v>43</v>
      </c>
      <c r="O891" t="s">
        <v>27</v>
      </c>
      <c r="P891" t="s">
        <v>42</v>
      </c>
    </row>
    <row r="892" spans="1:16" x14ac:dyDescent="0.25">
      <c r="A892" t="s">
        <v>1648</v>
      </c>
      <c r="B892" t="s">
        <v>1363</v>
      </c>
      <c r="C892" t="s">
        <v>85</v>
      </c>
      <c r="D892" t="s">
        <v>66</v>
      </c>
      <c r="E892" t="s">
        <v>201</v>
      </c>
      <c r="F892" t="s">
        <v>68</v>
      </c>
      <c r="G892" t="s">
        <v>33</v>
      </c>
      <c r="H892" t="s">
        <v>53</v>
      </c>
      <c r="I892">
        <v>1</v>
      </c>
      <c r="J892">
        <v>618768</v>
      </c>
      <c r="K892">
        <v>0</v>
      </c>
      <c r="L892">
        <v>618768</v>
      </c>
      <c r="M892" t="s">
        <v>42</v>
      </c>
      <c r="N892" t="s">
        <v>26</v>
      </c>
      <c r="O892" t="s">
        <v>27</v>
      </c>
      <c r="P892" t="s">
        <v>42</v>
      </c>
    </row>
    <row r="893" spans="1:16" x14ac:dyDescent="0.25">
      <c r="A893" t="s">
        <v>1649</v>
      </c>
      <c r="B893" t="s">
        <v>1097</v>
      </c>
      <c r="C893" t="s">
        <v>76</v>
      </c>
      <c r="D893" t="s">
        <v>38</v>
      </c>
      <c r="E893" t="s">
        <v>39</v>
      </c>
      <c r="F893" t="s">
        <v>40</v>
      </c>
      <c r="G893" t="s">
        <v>73</v>
      </c>
      <c r="H893" t="s">
        <v>24</v>
      </c>
      <c r="I893">
        <v>5</v>
      </c>
      <c r="J893">
        <v>344092</v>
      </c>
      <c r="K893">
        <v>0</v>
      </c>
      <c r="L893">
        <v>1720460</v>
      </c>
      <c r="M893" t="s">
        <v>54</v>
      </c>
      <c r="N893" t="s">
        <v>69</v>
      </c>
      <c r="O893" t="s">
        <v>44</v>
      </c>
      <c r="P893" t="s">
        <v>42</v>
      </c>
    </row>
    <row r="894" spans="1:16" x14ac:dyDescent="0.25">
      <c r="A894" t="s">
        <v>1650</v>
      </c>
      <c r="B894" t="s">
        <v>1651</v>
      </c>
      <c r="C894" t="s">
        <v>37</v>
      </c>
      <c r="D894" t="s">
        <v>106</v>
      </c>
      <c r="E894" t="s">
        <v>31</v>
      </c>
      <c r="F894" t="s">
        <v>32</v>
      </c>
      <c r="G894" t="s">
        <v>73</v>
      </c>
      <c r="H894" t="s">
        <v>34</v>
      </c>
      <c r="I894">
        <v>8</v>
      </c>
      <c r="J894">
        <v>50322</v>
      </c>
      <c r="K894">
        <v>2</v>
      </c>
      <c r="L894">
        <v>394524.48</v>
      </c>
      <c r="M894" t="s">
        <v>54</v>
      </c>
      <c r="N894" t="s">
        <v>26</v>
      </c>
      <c r="O894" t="s">
        <v>27</v>
      </c>
      <c r="P894" t="s">
        <v>55</v>
      </c>
    </row>
    <row r="895" spans="1:16" x14ac:dyDescent="0.25">
      <c r="A895" t="s">
        <v>1652</v>
      </c>
      <c r="B895" t="s">
        <v>1653</v>
      </c>
      <c r="C895" t="s">
        <v>65</v>
      </c>
      <c r="D895" t="s">
        <v>154</v>
      </c>
      <c r="E895" t="s">
        <v>67</v>
      </c>
      <c r="F895" t="s">
        <v>68</v>
      </c>
      <c r="G895" t="s">
        <v>23</v>
      </c>
      <c r="H895" t="s">
        <v>34</v>
      </c>
      <c r="I895">
        <v>7</v>
      </c>
      <c r="J895">
        <v>714188</v>
      </c>
      <c r="K895">
        <v>5</v>
      </c>
      <c r="L895">
        <v>4749350.2</v>
      </c>
      <c r="M895" t="s">
        <v>25</v>
      </c>
      <c r="N895" t="s">
        <v>26</v>
      </c>
      <c r="O895" t="s">
        <v>44</v>
      </c>
      <c r="P895" t="s">
        <v>26</v>
      </c>
    </row>
    <row r="896" spans="1:16" x14ac:dyDescent="0.25">
      <c r="A896" t="s">
        <v>1654</v>
      </c>
      <c r="B896" t="s">
        <v>1655</v>
      </c>
      <c r="C896" t="s">
        <v>76</v>
      </c>
      <c r="D896" t="s">
        <v>66</v>
      </c>
      <c r="E896" t="s">
        <v>67</v>
      </c>
      <c r="F896" t="s">
        <v>68</v>
      </c>
      <c r="G896" t="s">
        <v>33</v>
      </c>
      <c r="H896" t="s">
        <v>58</v>
      </c>
      <c r="I896">
        <v>3</v>
      </c>
      <c r="J896">
        <v>312562</v>
      </c>
      <c r="K896">
        <v>2</v>
      </c>
      <c r="L896">
        <v>918932.28</v>
      </c>
      <c r="M896" t="s">
        <v>42</v>
      </c>
      <c r="N896" t="s">
        <v>43</v>
      </c>
      <c r="O896" t="s">
        <v>27</v>
      </c>
      <c r="P896" t="s">
        <v>26</v>
      </c>
    </row>
    <row r="897" spans="1:16" x14ac:dyDescent="0.25">
      <c r="A897" t="s">
        <v>1656</v>
      </c>
      <c r="B897" t="s">
        <v>1475</v>
      </c>
      <c r="C897" t="s">
        <v>37</v>
      </c>
      <c r="D897" t="s">
        <v>47</v>
      </c>
      <c r="E897" t="s">
        <v>48</v>
      </c>
      <c r="F897" t="s">
        <v>22</v>
      </c>
      <c r="G897" t="s">
        <v>33</v>
      </c>
      <c r="H897" t="s">
        <v>58</v>
      </c>
      <c r="I897">
        <v>3</v>
      </c>
      <c r="J897">
        <v>405771</v>
      </c>
      <c r="K897">
        <v>10</v>
      </c>
      <c r="L897">
        <v>1095581.7</v>
      </c>
      <c r="M897" t="s">
        <v>25</v>
      </c>
      <c r="N897" t="s">
        <v>69</v>
      </c>
      <c r="O897" t="s">
        <v>44</v>
      </c>
      <c r="P897" t="s">
        <v>55</v>
      </c>
    </row>
    <row r="898" spans="1:16" x14ac:dyDescent="0.25">
      <c r="A898" t="s">
        <v>1657</v>
      </c>
      <c r="B898" t="s">
        <v>1658</v>
      </c>
      <c r="C898" t="s">
        <v>65</v>
      </c>
      <c r="D898" t="s">
        <v>66</v>
      </c>
      <c r="E898" t="s">
        <v>67</v>
      </c>
      <c r="F898" t="s">
        <v>68</v>
      </c>
      <c r="G898" t="s">
        <v>94</v>
      </c>
      <c r="H898" t="s">
        <v>34</v>
      </c>
      <c r="I898">
        <v>7</v>
      </c>
      <c r="J898">
        <v>321438</v>
      </c>
      <c r="K898">
        <v>12</v>
      </c>
      <c r="L898">
        <v>1980058.08</v>
      </c>
      <c r="M898" t="s">
        <v>42</v>
      </c>
      <c r="N898" t="s">
        <v>69</v>
      </c>
      <c r="O898" t="s">
        <v>44</v>
      </c>
      <c r="P898" t="s">
        <v>26</v>
      </c>
    </row>
    <row r="899" spans="1:16" x14ac:dyDescent="0.25">
      <c r="A899" t="s">
        <v>1659</v>
      </c>
      <c r="B899" t="s">
        <v>1660</v>
      </c>
      <c r="C899" t="s">
        <v>37</v>
      </c>
      <c r="D899" t="s">
        <v>154</v>
      </c>
      <c r="E899" t="s">
        <v>67</v>
      </c>
      <c r="F899" t="s">
        <v>68</v>
      </c>
      <c r="G899" t="s">
        <v>73</v>
      </c>
      <c r="H899" t="s">
        <v>34</v>
      </c>
      <c r="I899">
        <v>6</v>
      </c>
      <c r="J899">
        <v>718017</v>
      </c>
      <c r="K899">
        <v>5</v>
      </c>
      <c r="L899">
        <v>4105041.9</v>
      </c>
      <c r="M899" t="s">
        <v>25</v>
      </c>
      <c r="N899" t="s">
        <v>26</v>
      </c>
      <c r="O899" t="s">
        <v>27</v>
      </c>
      <c r="P899" t="s">
        <v>42</v>
      </c>
    </row>
    <row r="900" spans="1:16" x14ac:dyDescent="0.25">
      <c r="A900" t="s">
        <v>1661</v>
      </c>
      <c r="B900" t="s">
        <v>1662</v>
      </c>
      <c r="C900" t="s">
        <v>76</v>
      </c>
      <c r="D900" t="s">
        <v>129</v>
      </c>
      <c r="E900" t="s">
        <v>39</v>
      </c>
      <c r="F900" t="s">
        <v>40</v>
      </c>
      <c r="G900" t="s">
        <v>33</v>
      </c>
      <c r="H900" t="s">
        <v>24</v>
      </c>
      <c r="I900">
        <v>8</v>
      </c>
      <c r="J900">
        <v>844194</v>
      </c>
      <c r="K900">
        <v>0</v>
      </c>
      <c r="L900">
        <v>6753552</v>
      </c>
      <c r="M900" t="s">
        <v>54</v>
      </c>
      <c r="N900" t="s">
        <v>69</v>
      </c>
      <c r="O900" t="s">
        <v>44</v>
      </c>
      <c r="P900" t="s">
        <v>26</v>
      </c>
    </row>
    <row r="901" spans="1:16" x14ac:dyDescent="0.25">
      <c r="A901" t="s">
        <v>1663</v>
      </c>
      <c r="B901" t="s">
        <v>1664</v>
      </c>
      <c r="C901" t="s">
        <v>19</v>
      </c>
      <c r="D901" t="s">
        <v>30</v>
      </c>
      <c r="E901" t="s">
        <v>31</v>
      </c>
      <c r="F901" t="s">
        <v>32</v>
      </c>
      <c r="G901" t="s">
        <v>62</v>
      </c>
      <c r="H901" t="s">
        <v>58</v>
      </c>
      <c r="I901">
        <v>5</v>
      </c>
      <c r="J901">
        <v>448919</v>
      </c>
      <c r="K901">
        <v>10</v>
      </c>
      <c r="L901">
        <v>2020135.5</v>
      </c>
      <c r="M901" t="s">
        <v>25</v>
      </c>
      <c r="N901" t="s">
        <v>43</v>
      </c>
      <c r="O901" t="s">
        <v>27</v>
      </c>
      <c r="P901" t="s">
        <v>42</v>
      </c>
    </row>
    <row r="902" spans="1:16" x14ac:dyDescent="0.25">
      <c r="A902" t="s">
        <v>1665</v>
      </c>
      <c r="B902" t="s">
        <v>854</v>
      </c>
      <c r="C902" t="s">
        <v>37</v>
      </c>
      <c r="D902" t="s">
        <v>47</v>
      </c>
      <c r="E902" t="s">
        <v>48</v>
      </c>
      <c r="F902" t="s">
        <v>22</v>
      </c>
      <c r="G902" t="s">
        <v>41</v>
      </c>
      <c r="H902" t="s">
        <v>24</v>
      </c>
      <c r="I902">
        <v>1</v>
      </c>
      <c r="J902">
        <v>155578</v>
      </c>
      <c r="K902">
        <v>5</v>
      </c>
      <c r="L902">
        <v>147799.1</v>
      </c>
      <c r="M902" t="s">
        <v>54</v>
      </c>
      <c r="N902" t="s">
        <v>43</v>
      </c>
      <c r="O902" t="s">
        <v>44</v>
      </c>
      <c r="P902" t="s">
        <v>55</v>
      </c>
    </row>
    <row r="903" spans="1:16" x14ac:dyDescent="0.25">
      <c r="A903" t="s">
        <v>1666</v>
      </c>
      <c r="B903" t="s">
        <v>1667</v>
      </c>
      <c r="C903" t="s">
        <v>37</v>
      </c>
      <c r="D903" t="s">
        <v>106</v>
      </c>
      <c r="E903" t="s">
        <v>142</v>
      </c>
      <c r="F903" t="s">
        <v>32</v>
      </c>
      <c r="G903" t="s">
        <v>62</v>
      </c>
      <c r="H903" t="s">
        <v>34</v>
      </c>
      <c r="I903">
        <v>8</v>
      </c>
      <c r="J903">
        <v>357564</v>
      </c>
      <c r="K903">
        <v>5</v>
      </c>
      <c r="L903">
        <v>2717486.4</v>
      </c>
      <c r="M903" t="s">
        <v>25</v>
      </c>
      <c r="N903" t="s">
        <v>43</v>
      </c>
      <c r="O903" t="s">
        <v>27</v>
      </c>
      <c r="P903" t="s">
        <v>42</v>
      </c>
    </row>
    <row r="904" spans="1:16" x14ac:dyDescent="0.25">
      <c r="A904" t="s">
        <v>1668</v>
      </c>
      <c r="B904" t="s">
        <v>1669</v>
      </c>
      <c r="C904" t="s">
        <v>19</v>
      </c>
      <c r="D904" t="s">
        <v>47</v>
      </c>
      <c r="E904" t="s">
        <v>48</v>
      </c>
      <c r="F904" t="s">
        <v>22</v>
      </c>
      <c r="G904" t="s">
        <v>41</v>
      </c>
      <c r="H904" t="s">
        <v>86</v>
      </c>
      <c r="I904">
        <v>7</v>
      </c>
      <c r="J904">
        <v>886401</v>
      </c>
      <c r="K904">
        <v>10</v>
      </c>
      <c r="L904">
        <v>5596671.2999999998</v>
      </c>
      <c r="M904" t="s">
        <v>42</v>
      </c>
      <c r="N904" t="s">
        <v>69</v>
      </c>
      <c r="O904" t="s">
        <v>44</v>
      </c>
      <c r="P904" t="s">
        <v>55</v>
      </c>
    </row>
    <row r="905" spans="1:16" x14ac:dyDescent="0.25">
      <c r="A905" t="s">
        <v>1670</v>
      </c>
      <c r="B905" t="s">
        <v>1671</v>
      </c>
      <c r="C905" t="s">
        <v>61</v>
      </c>
      <c r="D905" t="s">
        <v>47</v>
      </c>
      <c r="E905" t="s">
        <v>48</v>
      </c>
      <c r="F905" t="s">
        <v>22</v>
      </c>
      <c r="G905" t="s">
        <v>41</v>
      </c>
      <c r="H905" t="s">
        <v>86</v>
      </c>
      <c r="I905">
        <v>3</v>
      </c>
      <c r="J905">
        <v>107399</v>
      </c>
      <c r="K905">
        <v>5</v>
      </c>
      <c r="L905">
        <v>306087.15000000002</v>
      </c>
      <c r="M905" t="s">
        <v>42</v>
      </c>
      <c r="N905" t="s">
        <v>69</v>
      </c>
      <c r="O905" t="s">
        <v>27</v>
      </c>
      <c r="P905" t="s">
        <v>26</v>
      </c>
    </row>
    <row r="906" spans="1:16" x14ac:dyDescent="0.25">
      <c r="A906" t="s">
        <v>1672</v>
      </c>
      <c r="B906" t="s">
        <v>1673</v>
      </c>
      <c r="C906" t="s">
        <v>76</v>
      </c>
      <c r="D906" t="s">
        <v>20</v>
      </c>
      <c r="E906" t="s">
        <v>21</v>
      </c>
      <c r="F906" t="s">
        <v>22</v>
      </c>
      <c r="G906" t="s">
        <v>62</v>
      </c>
      <c r="H906" t="s">
        <v>24</v>
      </c>
      <c r="I906">
        <v>6</v>
      </c>
      <c r="J906">
        <v>565739</v>
      </c>
      <c r="K906">
        <v>7</v>
      </c>
      <c r="L906">
        <v>3156823.62</v>
      </c>
      <c r="M906" t="s">
        <v>42</v>
      </c>
      <c r="N906" t="s">
        <v>69</v>
      </c>
      <c r="O906" t="s">
        <v>27</v>
      </c>
      <c r="P906" t="s">
        <v>55</v>
      </c>
    </row>
    <row r="907" spans="1:16" x14ac:dyDescent="0.25">
      <c r="A907" t="s">
        <v>1674</v>
      </c>
      <c r="B907" t="s">
        <v>1675</v>
      </c>
      <c r="C907" t="s">
        <v>79</v>
      </c>
      <c r="D907" t="s">
        <v>38</v>
      </c>
      <c r="E907" t="s">
        <v>39</v>
      </c>
      <c r="F907" t="s">
        <v>40</v>
      </c>
      <c r="G907" t="s">
        <v>73</v>
      </c>
      <c r="H907" t="s">
        <v>86</v>
      </c>
      <c r="I907">
        <v>4</v>
      </c>
      <c r="J907">
        <v>387716</v>
      </c>
      <c r="K907">
        <v>2</v>
      </c>
      <c r="L907">
        <v>1519846.72</v>
      </c>
      <c r="M907" t="s">
        <v>25</v>
      </c>
      <c r="N907" t="s">
        <v>69</v>
      </c>
      <c r="O907" t="s">
        <v>44</v>
      </c>
      <c r="P907" t="s">
        <v>55</v>
      </c>
    </row>
    <row r="908" spans="1:16" x14ac:dyDescent="0.25">
      <c r="A908" t="s">
        <v>1676</v>
      </c>
      <c r="B908" t="s">
        <v>325</v>
      </c>
      <c r="C908" t="s">
        <v>99</v>
      </c>
      <c r="D908" t="s">
        <v>30</v>
      </c>
      <c r="E908" t="s">
        <v>31</v>
      </c>
      <c r="F908" t="s">
        <v>32</v>
      </c>
      <c r="G908" t="s">
        <v>52</v>
      </c>
      <c r="H908" t="s">
        <v>86</v>
      </c>
      <c r="I908">
        <v>8</v>
      </c>
      <c r="J908">
        <v>298136</v>
      </c>
      <c r="K908">
        <v>0</v>
      </c>
      <c r="L908">
        <v>2385088</v>
      </c>
      <c r="M908" t="s">
        <v>25</v>
      </c>
      <c r="N908" t="s">
        <v>43</v>
      </c>
      <c r="O908" t="s">
        <v>27</v>
      </c>
      <c r="P908" t="s">
        <v>42</v>
      </c>
    </row>
    <row r="909" spans="1:16" x14ac:dyDescent="0.25">
      <c r="A909" t="s">
        <v>1677</v>
      </c>
      <c r="B909" t="s">
        <v>1678</v>
      </c>
      <c r="C909" t="s">
        <v>99</v>
      </c>
      <c r="D909" t="s">
        <v>20</v>
      </c>
      <c r="E909" t="s">
        <v>21</v>
      </c>
      <c r="F909" t="s">
        <v>22</v>
      </c>
      <c r="G909" t="s">
        <v>62</v>
      </c>
      <c r="H909" t="s">
        <v>53</v>
      </c>
      <c r="I909">
        <v>4</v>
      </c>
      <c r="J909">
        <v>487714</v>
      </c>
      <c r="M909" t="s">
        <v>42</v>
      </c>
      <c r="N909" t="s">
        <v>43</v>
      </c>
      <c r="O909" t="s">
        <v>44</v>
      </c>
      <c r="P909" t="s">
        <v>55</v>
      </c>
    </row>
    <row r="910" spans="1:16" x14ac:dyDescent="0.25">
      <c r="A910" t="s">
        <v>1679</v>
      </c>
      <c r="B910" t="s">
        <v>1680</v>
      </c>
      <c r="C910" t="s">
        <v>65</v>
      </c>
      <c r="D910" t="s">
        <v>20</v>
      </c>
      <c r="E910" t="s">
        <v>21</v>
      </c>
      <c r="F910" t="s">
        <v>22</v>
      </c>
      <c r="G910" t="s">
        <v>62</v>
      </c>
      <c r="H910" t="s">
        <v>34</v>
      </c>
      <c r="I910">
        <v>8</v>
      </c>
      <c r="J910">
        <v>506156</v>
      </c>
      <c r="K910">
        <v>2</v>
      </c>
      <c r="L910">
        <v>3968263.04</v>
      </c>
      <c r="M910" t="s">
        <v>25</v>
      </c>
      <c r="N910" t="s">
        <v>26</v>
      </c>
      <c r="O910" t="s">
        <v>44</v>
      </c>
      <c r="P910" t="s">
        <v>26</v>
      </c>
    </row>
    <row r="911" spans="1:16" x14ac:dyDescent="0.25">
      <c r="A911" t="s">
        <v>1681</v>
      </c>
      <c r="B911" t="s">
        <v>1682</v>
      </c>
      <c r="C911" t="s">
        <v>91</v>
      </c>
      <c r="D911" t="s">
        <v>38</v>
      </c>
      <c r="E911" t="s">
        <v>39</v>
      </c>
      <c r="F911" t="s">
        <v>40</v>
      </c>
      <c r="G911" t="s">
        <v>52</v>
      </c>
      <c r="H911" t="s">
        <v>86</v>
      </c>
      <c r="I911">
        <v>2</v>
      </c>
      <c r="J911">
        <v>209173</v>
      </c>
      <c r="K911">
        <v>10</v>
      </c>
      <c r="L911">
        <v>376511.4</v>
      </c>
      <c r="M911" t="s">
        <v>25</v>
      </c>
      <c r="N911" t="s">
        <v>26</v>
      </c>
      <c r="O911" t="s">
        <v>27</v>
      </c>
      <c r="P911" t="s">
        <v>55</v>
      </c>
    </row>
    <row r="912" spans="1:16" x14ac:dyDescent="0.25">
      <c r="A912" t="s">
        <v>1683</v>
      </c>
      <c r="B912" t="s">
        <v>232</v>
      </c>
      <c r="C912" t="s">
        <v>65</v>
      </c>
      <c r="D912" t="s">
        <v>30</v>
      </c>
      <c r="E912" t="s">
        <v>31</v>
      </c>
      <c r="F912" t="s">
        <v>32</v>
      </c>
      <c r="G912" t="s">
        <v>73</v>
      </c>
      <c r="H912" t="s">
        <v>86</v>
      </c>
      <c r="I912">
        <v>4</v>
      </c>
      <c r="J912">
        <v>175437</v>
      </c>
      <c r="K912">
        <v>2</v>
      </c>
      <c r="L912">
        <v>687713.04</v>
      </c>
      <c r="M912" t="s">
        <v>42</v>
      </c>
      <c r="N912" t="s">
        <v>26</v>
      </c>
      <c r="O912" t="s">
        <v>27</v>
      </c>
      <c r="P912" t="s">
        <v>55</v>
      </c>
    </row>
    <row r="913" spans="1:16" x14ac:dyDescent="0.25">
      <c r="A913" t="s">
        <v>1684</v>
      </c>
      <c r="B913" t="s">
        <v>1685</v>
      </c>
      <c r="C913" t="s">
        <v>65</v>
      </c>
      <c r="D913" t="s">
        <v>129</v>
      </c>
      <c r="E913" t="s">
        <v>39</v>
      </c>
      <c r="F913" t="s">
        <v>40</v>
      </c>
      <c r="G913" t="s">
        <v>73</v>
      </c>
      <c r="H913" t="s">
        <v>53</v>
      </c>
      <c r="I913">
        <v>8</v>
      </c>
      <c r="J913">
        <v>700539</v>
      </c>
      <c r="K913">
        <v>10</v>
      </c>
      <c r="L913">
        <v>5043880.8</v>
      </c>
      <c r="M913" t="s">
        <v>42</v>
      </c>
      <c r="N913" t="s">
        <v>26</v>
      </c>
      <c r="O913" t="s">
        <v>44</v>
      </c>
      <c r="P913" t="s">
        <v>55</v>
      </c>
    </row>
    <row r="914" spans="1:16" x14ac:dyDescent="0.25">
      <c r="A914" t="s">
        <v>1686</v>
      </c>
      <c r="B914" t="s">
        <v>378</v>
      </c>
      <c r="C914" t="s">
        <v>37</v>
      </c>
      <c r="D914" t="s">
        <v>47</v>
      </c>
      <c r="E914" t="s">
        <v>48</v>
      </c>
      <c r="F914" t="s">
        <v>22</v>
      </c>
      <c r="G914" t="s">
        <v>62</v>
      </c>
      <c r="H914" t="s">
        <v>58</v>
      </c>
      <c r="I914">
        <v>2</v>
      </c>
      <c r="J914">
        <v>97398</v>
      </c>
      <c r="K914">
        <v>10</v>
      </c>
      <c r="L914">
        <v>175316.4</v>
      </c>
      <c r="M914" t="s">
        <v>25</v>
      </c>
      <c r="N914" t="s">
        <v>26</v>
      </c>
      <c r="O914" t="s">
        <v>27</v>
      </c>
      <c r="P914" t="s">
        <v>55</v>
      </c>
    </row>
    <row r="915" spans="1:16" x14ac:dyDescent="0.25">
      <c r="A915" t="s">
        <v>1687</v>
      </c>
      <c r="B915" t="s">
        <v>1411</v>
      </c>
      <c r="C915" t="s">
        <v>37</v>
      </c>
      <c r="D915" t="s">
        <v>129</v>
      </c>
      <c r="E915" t="s">
        <v>39</v>
      </c>
      <c r="F915" t="s">
        <v>40</v>
      </c>
      <c r="G915" t="s">
        <v>33</v>
      </c>
      <c r="H915" t="s">
        <v>53</v>
      </c>
      <c r="I915">
        <v>6</v>
      </c>
      <c r="J915">
        <v>90027</v>
      </c>
      <c r="K915">
        <v>12</v>
      </c>
      <c r="L915">
        <v>475342.56</v>
      </c>
      <c r="M915" t="s">
        <v>42</v>
      </c>
      <c r="N915" t="s">
        <v>43</v>
      </c>
      <c r="O915" t="s">
        <v>27</v>
      </c>
      <c r="P915" t="s">
        <v>26</v>
      </c>
    </row>
    <row r="916" spans="1:16" x14ac:dyDescent="0.25">
      <c r="A916" t="s">
        <v>1688</v>
      </c>
      <c r="B916" t="s">
        <v>1689</v>
      </c>
      <c r="C916" t="s">
        <v>65</v>
      </c>
      <c r="D916" t="s">
        <v>30</v>
      </c>
      <c r="E916" t="s">
        <v>31</v>
      </c>
      <c r="F916" t="s">
        <v>32</v>
      </c>
      <c r="G916" t="s">
        <v>62</v>
      </c>
      <c r="H916" t="s">
        <v>58</v>
      </c>
      <c r="I916">
        <v>1</v>
      </c>
      <c r="J916">
        <v>823215</v>
      </c>
      <c r="K916">
        <v>7</v>
      </c>
      <c r="L916">
        <v>765589.95</v>
      </c>
      <c r="M916" t="s">
        <v>25</v>
      </c>
      <c r="N916" t="s">
        <v>43</v>
      </c>
      <c r="O916" t="s">
        <v>27</v>
      </c>
      <c r="P916" t="s">
        <v>42</v>
      </c>
    </row>
    <row r="917" spans="1:16" x14ac:dyDescent="0.25">
      <c r="A917" t="s">
        <v>1690</v>
      </c>
      <c r="B917" t="s">
        <v>1691</v>
      </c>
      <c r="C917" t="s">
        <v>79</v>
      </c>
      <c r="D917" t="s">
        <v>30</v>
      </c>
      <c r="E917" t="s">
        <v>31</v>
      </c>
      <c r="F917" t="s">
        <v>32</v>
      </c>
      <c r="G917" t="s">
        <v>73</v>
      </c>
      <c r="H917" t="s">
        <v>34</v>
      </c>
      <c r="I917">
        <v>8</v>
      </c>
      <c r="J917">
        <v>880726</v>
      </c>
      <c r="K917">
        <v>12</v>
      </c>
      <c r="L917">
        <v>6200311.04</v>
      </c>
      <c r="M917" t="s">
        <v>54</v>
      </c>
      <c r="N917" t="s">
        <v>69</v>
      </c>
      <c r="O917" t="s">
        <v>44</v>
      </c>
      <c r="P917" t="s">
        <v>55</v>
      </c>
    </row>
    <row r="918" spans="1:16" x14ac:dyDescent="0.25">
      <c r="A918" t="s">
        <v>1692</v>
      </c>
      <c r="B918" t="s">
        <v>1693</v>
      </c>
      <c r="C918" t="s">
        <v>19</v>
      </c>
      <c r="D918" t="s">
        <v>66</v>
      </c>
      <c r="E918" t="s">
        <v>67</v>
      </c>
      <c r="F918" t="s">
        <v>68</v>
      </c>
      <c r="G918" t="s">
        <v>94</v>
      </c>
      <c r="H918" t="s">
        <v>24</v>
      </c>
      <c r="I918">
        <v>8</v>
      </c>
      <c r="J918">
        <v>292461</v>
      </c>
      <c r="K918">
        <v>5</v>
      </c>
      <c r="L918">
        <v>2222703.6</v>
      </c>
      <c r="M918" t="s">
        <v>25</v>
      </c>
      <c r="N918" t="s">
        <v>69</v>
      </c>
      <c r="O918" t="s">
        <v>44</v>
      </c>
      <c r="P918" t="s">
        <v>55</v>
      </c>
    </row>
    <row r="919" spans="1:16" x14ac:dyDescent="0.25">
      <c r="A919" t="s">
        <v>1694</v>
      </c>
      <c r="B919" t="s">
        <v>1695</v>
      </c>
      <c r="C919" t="s">
        <v>76</v>
      </c>
      <c r="D919" t="s">
        <v>47</v>
      </c>
      <c r="E919" t="s">
        <v>48</v>
      </c>
      <c r="F919" t="s">
        <v>22</v>
      </c>
      <c r="G919" t="s">
        <v>62</v>
      </c>
      <c r="H919" t="s">
        <v>34</v>
      </c>
      <c r="I919">
        <v>7</v>
      </c>
      <c r="J919">
        <v>668608</v>
      </c>
      <c r="K919">
        <v>10</v>
      </c>
      <c r="L919">
        <v>4212230.4000000004</v>
      </c>
      <c r="M919" t="s">
        <v>25</v>
      </c>
      <c r="N919" t="s">
        <v>69</v>
      </c>
      <c r="O919" t="s">
        <v>44</v>
      </c>
      <c r="P919" t="s">
        <v>42</v>
      </c>
    </row>
    <row r="920" spans="1:16" x14ac:dyDescent="0.25">
      <c r="A920" t="s">
        <v>1696</v>
      </c>
      <c r="B920" t="s">
        <v>1697</v>
      </c>
      <c r="C920" t="s">
        <v>61</v>
      </c>
      <c r="D920" t="s">
        <v>38</v>
      </c>
      <c r="E920" t="s">
        <v>39</v>
      </c>
      <c r="F920" t="s">
        <v>40</v>
      </c>
      <c r="G920" t="s">
        <v>52</v>
      </c>
      <c r="H920" t="s">
        <v>58</v>
      </c>
      <c r="I920">
        <v>1</v>
      </c>
      <c r="J920">
        <v>262177</v>
      </c>
      <c r="K920">
        <v>10</v>
      </c>
      <c r="L920">
        <v>235959.3</v>
      </c>
      <c r="M920" t="s">
        <v>54</v>
      </c>
      <c r="N920" t="s">
        <v>26</v>
      </c>
      <c r="O920" t="s">
        <v>44</v>
      </c>
      <c r="P920" t="s">
        <v>42</v>
      </c>
    </row>
    <row r="921" spans="1:16" x14ac:dyDescent="0.25">
      <c r="A921" t="s">
        <v>1698</v>
      </c>
      <c r="B921" t="s">
        <v>1699</v>
      </c>
      <c r="C921" t="s">
        <v>65</v>
      </c>
      <c r="D921" t="s">
        <v>30</v>
      </c>
      <c r="E921" t="s">
        <v>31</v>
      </c>
      <c r="F921" t="s">
        <v>32</v>
      </c>
      <c r="G921" t="s">
        <v>52</v>
      </c>
      <c r="H921" t="s">
        <v>53</v>
      </c>
      <c r="I921">
        <v>4</v>
      </c>
      <c r="J921">
        <v>685106</v>
      </c>
      <c r="K921">
        <v>12</v>
      </c>
      <c r="L921">
        <v>2411573.12</v>
      </c>
      <c r="M921" t="s">
        <v>54</v>
      </c>
      <c r="N921" t="s">
        <v>26</v>
      </c>
      <c r="O921" t="s">
        <v>27</v>
      </c>
      <c r="P921" t="s">
        <v>55</v>
      </c>
    </row>
    <row r="922" spans="1:16" x14ac:dyDescent="0.25">
      <c r="A922" t="s">
        <v>1700</v>
      </c>
      <c r="B922" t="s">
        <v>1701</v>
      </c>
      <c r="C922" t="s">
        <v>85</v>
      </c>
      <c r="D922" t="s">
        <v>66</v>
      </c>
      <c r="E922" t="s">
        <v>67</v>
      </c>
      <c r="F922" t="s">
        <v>68</v>
      </c>
      <c r="G922" t="s">
        <v>33</v>
      </c>
      <c r="H922" t="s">
        <v>58</v>
      </c>
      <c r="I922">
        <v>4</v>
      </c>
      <c r="J922">
        <v>281124</v>
      </c>
      <c r="K922">
        <v>7</v>
      </c>
      <c r="L922">
        <v>1045781.28</v>
      </c>
      <c r="M922" t="s">
        <v>54</v>
      </c>
      <c r="N922" t="s">
        <v>26</v>
      </c>
      <c r="O922" t="s">
        <v>27</v>
      </c>
      <c r="P922" t="s">
        <v>42</v>
      </c>
    </row>
    <row r="923" spans="1:16" x14ac:dyDescent="0.25">
      <c r="A923" t="s">
        <v>1702</v>
      </c>
      <c r="B923" t="s">
        <v>1703</v>
      </c>
      <c r="C923" t="s">
        <v>65</v>
      </c>
      <c r="D923" t="s">
        <v>66</v>
      </c>
      <c r="E923" t="s">
        <v>67</v>
      </c>
      <c r="F923" t="s">
        <v>68</v>
      </c>
      <c r="G923" t="s">
        <v>62</v>
      </c>
      <c r="H923" t="s">
        <v>34</v>
      </c>
      <c r="I923">
        <v>6</v>
      </c>
      <c r="J923">
        <v>478544</v>
      </c>
      <c r="K923">
        <v>12</v>
      </c>
      <c r="L923">
        <v>2526712.3199999998</v>
      </c>
      <c r="M923" t="s">
        <v>42</v>
      </c>
      <c r="N923" t="s">
        <v>69</v>
      </c>
      <c r="O923" t="s">
        <v>44</v>
      </c>
      <c r="P923" t="s">
        <v>42</v>
      </c>
    </row>
    <row r="924" spans="1:16" x14ac:dyDescent="0.25">
      <c r="A924" t="s">
        <v>1704</v>
      </c>
      <c r="B924" t="s">
        <v>1705</v>
      </c>
      <c r="C924" t="s">
        <v>19</v>
      </c>
      <c r="D924" t="s">
        <v>66</v>
      </c>
      <c r="E924" t="s">
        <v>67</v>
      </c>
      <c r="F924" t="s">
        <v>68</v>
      </c>
      <c r="G924" t="s">
        <v>62</v>
      </c>
      <c r="H924" t="s">
        <v>86</v>
      </c>
      <c r="I924">
        <v>7</v>
      </c>
      <c r="J924">
        <v>675249</v>
      </c>
      <c r="K924">
        <v>7</v>
      </c>
      <c r="L924">
        <v>4395870.9899999993</v>
      </c>
      <c r="M924" t="s">
        <v>25</v>
      </c>
      <c r="N924" t="s">
        <v>26</v>
      </c>
      <c r="O924" t="s">
        <v>27</v>
      </c>
      <c r="P924" t="s">
        <v>26</v>
      </c>
    </row>
    <row r="925" spans="1:16" x14ac:dyDescent="0.25">
      <c r="A925" t="s">
        <v>1706</v>
      </c>
      <c r="B925" t="s">
        <v>425</v>
      </c>
      <c r="C925" t="s">
        <v>79</v>
      </c>
      <c r="D925" t="s">
        <v>30</v>
      </c>
      <c r="E925" t="s">
        <v>31</v>
      </c>
      <c r="F925" t="s">
        <v>32</v>
      </c>
      <c r="G925" t="s">
        <v>41</v>
      </c>
      <c r="H925" t="s">
        <v>24</v>
      </c>
      <c r="I925">
        <v>1</v>
      </c>
      <c r="J925">
        <v>679111</v>
      </c>
      <c r="K925">
        <v>5</v>
      </c>
      <c r="L925">
        <v>645155.44999999995</v>
      </c>
      <c r="M925" t="s">
        <v>42</v>
      </c>
      <c r="N925" t="s">
        <v>69</v>
      </c>
      <c r="O925" t="s">
        <v>27</v>
      </c>
      <c r="P925" t="s">
        <v>26</v>
      </c>
    </row>
    <row r="926" spans="1:16" x14ac:dyDescent="0.25">
      <c r="A926" t="s">
        <v>1707</v>
      </c>
      <c r="B926" t="s">
        <v>1596</v>
      </c>
      <c r="C926" t="s">
        <v>19</v>
      </c>
      <c r="D926" t="s">
        <v>66</v>
      </c>
      <c r="E926" t="s">
        <v>67</v>
      </c>
      <c r="F926" t="s">
        <v>68</v>
      </c>
      <c r="G926" t="s">
        <v>135</v>
      </c>
      <c r="H926" t="s">
        <v>24</v>
      </c>
      <c r="I926">
        <v>2</v>
      </c>
      <c r="J926">
        <v>570872</v>
      </c>
      <c r="K926">
        <v>2</v>
      </c>
      <c r="L926">
        <v>1118909.1200000001</v>
      </c>
      <c r="M926" t="s">
        <v>25</v>
      </c>
      <c r="N926" t="s">
        <v>43</v>
      </c>
      <c r="O926" t="s">
        <v>44</v>
      </c>
      <c r="P926" t="s">
        <v>55</v>
      </c>
    </row>
    <row r="927" spans="1:16" x14ac:dyDescent="0.25">
      <c r="A927" t="s">
        <v>1708</v>
      </c>
      <c r="B927" t="s">
        <v>1709</v>
      </c>
      <c r="C927" t="s">
        <v>37</v>
      </c>
      <c r="D927" t="s">
        <v>38</v>
      </c>
      <c r="E927" t="s">
        <v>39</v>
      </c>
      <c r="F927" t="s">
        <v>40</v>
      </c>
      <c r="G927" t="s">
        <v>23</v>
      </c>
      <c r="H927" t="s">
        <v>58</v>
      </c>
      <c r="I927">
        <v>4</v>
      </c>
      <c r="J927">
        <v>719303</v>
      </c>
      <c r="K927">
        <v>2</v>
      </c>
      <c r="L927">
        <v>2819667.76</v>
      </c>
      <c r="M927" t="s">
        <v>42</v>
      </c>
      <c r="N927" t="s">
        <v>26</v>
      </c>
      <c r="O927" t="s">
        <v>44</v>
      </c>
      <c r="P927" t="s">
        <v>26</v>
      </c>
    </row>
    <row r="928" spans="1:16" x14ac:dyDescent="0.25">
      <c r="A928" t="s">
        <v>1710</v>
      </c>
      <c r="B928" t="s">
        <v>128</v>
      </c>
      <c r="C928" t="s">
        <v>61</v>
      </c>
      <c r="D928" t="s">
        <v>30</v>
      </c>
      <c r="E928" t="s">
        <v>31</v>
      </c>
      <c r="F928" t="s">
        <v>32</v>
      </c>
      <c r="G928" t="s">
        <v>41</v>
      </c>
      <c r="H928" t="s">
        <v>34</v>
      </c>
      <c r="I928">
        <v>7</v>
      </c>
      <c r="J928">
        <v>756624</v>
      </c>
      <c r="K928">
        <v>0</v>
      </c>
      <c r="L928">
        <v>5296368</v>
      </c>
      <c r="M928" t="s">
        <v>54</v>
      </c>
      <c r="N928" t="s">
        <v>69</v>
      </c>
      <c r="O928" t="s">
        <v>27</v>
      </c>
      <c r="P928" t="s">
        <v>26</v>
      </c>
    </row>
    <row r="929" spans="1:16" x14ac:dyDescent="0.25">
      <c r="A929" t="s">
        <v>1711</v>
      </c>
      <c r="B929" t="s">
        <v>1712</v>
      </c>
      <c r="C929" t="s">
        <v>85</v>
      </c>
      <c r="D929" t="s">
        <v>38</v>
      </c>
      <c r="E929" t="s">
        <v>39</v>
      </c>
      <c r="F929" t="s">
        <v>40</v>
      </c>
      <c r="G929" t="s">
        <v>73</v>
      </c>
      <c r="H929" t="s">
        <v>34</v>
      </c>
      <c r="I929">
        <v>8</v>
      </c>
      <c r="J929">
        <v>309731</v>
      </c>
      <c r="K929">
        <v>10</v>
      </c>
      <c r="L929">
        <v>2230063.2000000002</v>
      </c>
      <c r="M929" t="s">
        <v>42</v>
      </c>
      <c r="N929" t="s">
        <v>26</v>
      </c>
      <c r="O929" t="s">
        <v>27</v>
      </c>
      <c r="P929" t="s">
        <v>55</v>
      </c>
    </row>
    <row r="930" spans="1:16" x14ac:dyDescent="0.25">
      <c r="A930" t="s">
        <v>1713</v>
      </c>
      <c r="B930" t="s">
        <v>1714</v>
      </c>
      <c r="C930" t="s">
        <v>85</v>
      </c>
      <c r="D930" t="s">
        <v>20</v>
      </c>
      <c r="E930" t="s">
        <v>21</v>
      </c>
      <c r="F930" t="s">
        <v>22</v>
      </c>
      <c r="G930" t="s">
        <v>33</v>
      </c>
      <c r="H930" t="s">
        <v>53</v>
      </c>
      <c r="I930">
        <v>1</v>
      </c>
      <c r="J930">
        <v>81228</v>
      </c>
      <c r="K930">
        <v>2</v>
      </c>
      <c r="L930">
        <v>91948.44</v>
      </c>
      <c r="M930" t="s">
        <v>25</v>
      </c>
      <c r="N930" t="s">
        <v>26</v>
      </c>
      <c r="O930" t="s">
        <v>44</v>
      </c>
      <c r="P930" t="s">
        <v>26</v>
      </c>
    </row>
    <row r="931" spans="1:16" x14ac:dyDescent="0.25">
      <c r="A931" t="s">
        <v>1715</v>
      </c>
      <c r="B931" t="s">
        <v>1716</v>
      </c>
      <c r="C931" t="s">
        <v>61</v>
      </c>
      <c r="D931" t="s">
        <v>47</v>
      </c>
      <c r="E931" t="s">
        <v>48</v>
      </c>
      <c r="F931" t="s">
        <v>22</v>
      </c>
      <c r="G931" t="s">
        <v>94</v>
      </c>
      <c r="H931" t="s">
        <v>86</v>
      </c>
      <c r="I931">
        <v>2</v>
      </c>
      <c r="J931">
        <v>583897</v>
      </c>
      <c r="K931">
        <v>5</v>
      </c>
      <c r="L931">
        <v>1109404.3</v>
      </c>
      <c r="M931" t="s">
        <v>25</v>
      </c>
      <c r="N931" t="s">
        <v>26</v>
      </c>
      <c r="O931" t="s">
        <v>27</v>
      </c>
      <c r="P931" t="s">
        <v>42</v>
      </c>
    </row>
    <row r="932" spans="1:16" x14ac:dyDescent="0.25">
      <c r="A932" t="s">
        <v>1717</v>
      </c>
      <c r="B932" t="s">
        <v>478</v>
      </c>
      <c r="C932" t="s">
        <v>76</v>
      </c>
      <c r="D932" t="s">
        <v>66</v>
      </c>
      <c r="E932" t="s">
        <v>67</v>
      </c>
      <c r="F932" t="s">
        <v>68</v>
      </c>
      <c r="G932" t="s">
        <v>33</v>
      </c>
      <c r="H932" t="s">
        <v>34</v>
      </c>
      <c r="J932">
        <v>270074</v>
      </c>
      <c r="K932">
        <v>7</v>
      </c>
      <c r="M932" t="s">
        <v>42</v>
      </c>
      <c r="N932" t="s">
        <v>26</v>
      </c>
      <c r="O932" t="s">
        <v>27</v>
      </c>
      <c r="P932" t="s">
        <v>55</v>
      </c>
    </row>
    <row r="933" spans="1:16" x14ac:dyDescent="0.25">
      <c r="A933" t="s">
        <v>1718</v>
      </c>
      <c r="B933" t="s">
        <v>532</v>
      </c>
      <c r="C933" t="s">
        <v>76</v>
      </c>
      <c r="D933" t="s">
        <v>20</v>
      </c>
      <c r="E933" t="s">
        <v>21</v>
      </c>
      <c r="F933" t="s">
        <v>22</v>
      </c>
      <c r="G933" t="s">
        <v>62</v>
      </c>
      <c r="H933" t="s">
        <v>24</v>
      </c>
      <c r="I933">
        <v>1</v>
      </c>
      <c r="J933">
        <v>115036</v>
      </c>
      <c r="K933">
        <v>0</v>
      </c>
      <c r="L933">
        <v>115036</v>
      </c>
      <c r="M933" t="s">
        <v>42</v>
      </c>
      <c r="N933" t="s">
        <v>43</v>
      </c>
      <c r="O933" t="s">
        <v>27</v>
      </c>
      <c r="P933" t="s">
        <v>55</v>
      </c>
    </row>
    <row r="934" spans="1:16" x14ac:dyDescent="0.25">
      <c r="A934" t="s">
        <v>1719</v>
      </c>
      <c r="B934" t="s">
        <v>409</v>
      </c>
      <c r="C934" t="s">
        <v>76</v>
      </c>
      <c r="D934" t="s">
        <v>66</v>
      </c>
      <c r="E934" t="s">
        <v>67</v>
      </c>
      <c r="F934" t="s">
        <v>68</v>
      </c>
      <c r="G934" t="s">
        <v>73</v>
      </c>
      <c r="H934" t="s">
        <v>58</v>
      </c>
      <c r="I934">
        <v>8</v>
      </c>
      <c r="J934">
        <v>534072</v>
      </c>
      <c r="K934">
        <v>0</v>
      </c>
      <c r="L934">
        <v>4272576</v>
      </c>
      <c r="M934" t="s">
        <v>54</v>
      </c>
      <c r="N934" t="s">
        <v>43</v>
      </c>
      <c r="O934" t="s">
        <v>27</v>
      </c>
      <c r="P934" t="s">
        <v>26</v>
      </c>
    </row>
    <row r="935" spans="1:16" x14ac:dyDescent="0.25">
      <c r="A935" t="s">
        <v>1720</v>
      </c>
      <c r="B935" t="s">
        <v>1664</v>
      </c>
      <c r="C935" t="s">
        <v>79</v>
      </c>
      <c r="D935" t="s">
        <v>38</v>
      </c>
      <c r="E935" t="s">
        <v>39</v>
      </c>
      <c r="F935" t="s">
        <v>40</v>
      </c>
      <c r="G935" t="s">
        <v>41</v>
      </c>
      <c r="H935" t="s">
        <v>58</v>
      </c>
      <c r="I935">
        <v>8</v>
      </c>
      <c r="J935">
        <v>150540</v>
      </c>
      <c r="K935">
        <v>0</v>
      </c>
      <c r="L935">
        <v>1204320</v>
      </c>
      <c r="M935" t="s">
        <v>54</v>
      </c>
      <c r="N935" t="s">
        <v>69</v>
      </c>
      <c r="O935" t="s">
        <v>27</v>
      </c>
      <c r="P935" t="s">
        <v>26</v>
      </c>
    </row>
    <row r="936" spans="1:16" x14ac:dyDescent="0.25">
      <c r="A936" t="s">
        <v>1721</v>
      </c>
      <c r="B936" t="s">
        <v>1722</v>
      </c>
      <c r="C936" t="s">
        <v>65</v>
      </c>
      <c r="D936" t="s">
        <v>20</v>
      </c>
      <c r="E936" t="s">
        <v>21</v>
      </c>
      <c r="F936" t="s">
        <v>22</v>
      </c>
      <c r="G936" t="s">
        <v>73</v>
      </c>
      <c r="H936" t="s">
        <v>58</v>
      </c>
      <c r="J936">
        <v>602602</v>
      </c>
      <c r="K936">
        <v>0</v>
      </c>
      <c r="M936" t="s">
        <v>54</v>
      </c>
      <c r="N936" t="s">
        <v>43</v>
      </c>
      <c r="O936" t="s">
        <v>44</v>
      </c>
      <c r="P936" t="s">
        <v>42</v>
      </c>
    </row>
    <row r="937" spans="1:16" x14ac:dyDescent="0.25">
      <c r="A937" t="s">
        <v>1723</v>
      </c>
      <c r="B937" t="s">
        <v>1724</v>
      </c>
      <c r="C937" t="s">
        <v>65</v>
      </c>
      <c r="D937" t="s">
        <v>38</v>
      </c>
      <c r="E937" t="s">
        <v>39</v>
      </c>
      <c r="F937" t="s">
        <v>40</v>
      </c>
      <c r="G937" t="s">
        <v>33</v>
      </c>
      <c r="H937" t="s">
        <v>86</v>
      </c>
      <c r="I937">
        <v>4</v>
      </c>
      <c r="J937">
        <v>501625</v>
      </c>
      <c r="K937">
        <v>10</v>
      </c>
      <c r="L937">
        <v>1805850</v>
      </c>
      <c r="M937" t="s">
        <v>54</v>
      </c>
      <c r="N937" t="s">
        <v>43</v>
      </c>
      <c r="O937" t="s">
        <v>44</v>
      </c>
      <c r="P937" t="s">
        <v>42</v>
      </c>
    </row>
    <row r="938" spans="1:16" x14ac:dyDescent="0.25">
      <c r="A938" t="s">
        <v>1725</v>
      </c>
      <c r="B938" t="s">
        <v>36</v>
      </c>
      <c r="C938" t="s">
        <v>19</v>
      </c>
      <c r="D938" t="s">
        <v>30</v>
      </c>
      <c r="E938" t="s">
        <v>31</v>
      </c>
      <c r="F938" t="s">
        <v>32</v>
      </c>
      <c r="G938" t="s">
        <v>33</v>
      </c>
      <c r="H938" t="s">
        <v>58</v>
      </c>
      <c r="I938">
        <v>5</v>
      </c>
      <c r="J938">
        <v>887231</v>
      </c>
      <c r="K938">
        <v>0</v>
      </c>
      <c r="L938">
        <v>4436155</v>
      </c>
      <c r="M938" t="s">
        <v>42</v>
      </c>
      <c r="N938" t="s">
        <v>69</v>
      </c>
      <c r="O938" t="s">
        <v>27</v>
      </c>
      <c r="P938" t="s">
        <v>42</v>
      </c>
    </row>
    <row r="939" spans="1:16" x14ac:dyDescent="0.25">
      <c r="A939" t="s">
        <v>1726</v>
      </c>
      <c r="B939" t="s">
        <v>466</v>
      </c>
      <c r="C939" t="s">
        <v>76</v>
      </c>
      <c r="D939" t="s">
        <v>47</v>
      </c>
      <c r="E939" t="s">
        <v>72</v>
      </c>
      <c r="F939" t="s">
        <v>22</v>
      </c>
      <c r="G939" t="s">
        <v>62</v>
      </c>
      <c r="H939" t="s">
        <v>24</v>
      </c>
      <c r="I939">
        <v>2</v>
      </c>
      <c r="J939">
        <v>705605</v>
      </c>
      <c r="K939">
        <v>5</v>
      </c>
      <c r="L939">
        <v>1340649.5</v>
      </c>
      <c r="M939" t="s">
        <v>25</v>
      </c>
      <c r="N939" t="s">
        <v>26</v>
      </c>
      <c r="O939" t="s">
        <v>44</v>
      </c>
      <c r="P939" t="s">
        <v>55</v>
      </c>
    </row>
    <row r="940" spans="1:16" x14ac:dyDescent="0.25">
      <c r="A940" t="s">
        <v>1727</v>
      </c>
      <c r="B940" t="s">
        <v>248</v>
      </c>
      <c r="C940" t="s">
        <v>198</v>
      </c>
      <c r="D940" t="s">
        <v>47</v>
      </c>
      <c r="E940" t="s">
        <v>48</v>
      </c>
      <c r="F940" t="s">
        <v>22</v>
      </c>
      <c r="G940" t="s">
        <v>52</v>
      </c>
      <c r="H940" t="s">
        <v>86</v>
      </c>
      <c r="I940">
        <v>4</v>
      </c>
      <c r="J940">
        <v>192622</v>
      </c>
      <c r="K940">
        <v>5</v>
      </c>
      <c r="L940">
        <v>731963.6</v>
      </c>
      <c r="M940" t="s">
        <v>42</v>
      </c>
      <c r="N940" t="s">
        <v>26</v>
      </c>
      <c r="O940" t="s">
        <v>27</v>
      </c>
      <c r="P940" t="s">
        <v>55</v>
      </c>
    </row>
    <row r="941" spans="1:16" x14ac:dyDescent="0.25">
      <c r="A941" t="s">
        <v>1728</v>
      </c>
      <c r="B941" t="s">
        <v>1729</v>
      </c>
      <c r="C941" t="s">
        <v>85</v>
      </c>
      <c r="D941" t="s">
        <v>20</v>
      </c>
      <c r="E941" t="s">
        <v>21</v>
      </c>
      <c r="F941" t="s">
        <v>22</v>
      </c>
      <c r="G941" t="s">
        <v>52</v>
      </c>
      <c r="H941" t="s">
        <v>53</v>
      </c>
      <c r="I941">
        <v>5</v>
      </c>
      <c r="J941">
        <v>218738</v>
      </c>
      <c r="K941">
        <v>5</v>
      </c>
      <c r="L941">
        <v>1039005.5</v>
      </c>
      <c r="M941" t="s">
        <v>25</v>
      </c>
      <c r="N941" t="s">
        <v>69</v>
      </c>
      <c r="O941" t="s">
        <v>27</v>
      </c>
      <c r="P941" t="s">
        <v>55</v>
      </c>
    </row>
    <row r="942" spans="1:16" x14ac:dyDescent="0.25">
      <c r="A942" t="s">
        <v>1730</v>
      </c>
      <c r="B942" t="s">
        <v>660</v>
      </c>
      <c r="C942" t="s">
        <v>76</v>
      </c>
      <c r="D942" t="s">
        <v>20</v>
      </c>
      <c r="E942" t="s">
        <v>21</v>
      </c>
      <c r="F942" t="s">
        <v>22</v>
      </c>
      <c r="G942" t="s">
        <v>73</v>
      </c>
      <c r="H942" t="s">
        <v>53</v>
      </c>
      <c r="I942">
        <v>2</v>
      </c>
      <c r="J942">
        <v>183148</v>
      </c>
      <c r="K942">
        <v>12</v>
      </c>
      <c r="L942">
        <v>322340.47999999998</v>
      </c>
      <c r="M942" t="s">
        <v>54</v>
      </c>
      <c r="N942" t="s">
        <v>69</v>
      </c>
      <c r="O942" t="s">
        <v>27</v>
      </c>
      <c r="P942" t="s">
        <v>26</v>
      </c>
    </row>
    <row r="943" spans="1:16" x14ac:dyDescent="0.25">
      <c r="A943" t="s">
        <v>1731</v>
      </c>
      <c r="B943" t="s">
        <v>1732</v>
      </c>
      <c r="C943" t="s">
        <v>37</v>
      </c>
      <c r="D943" t="s">
        <v>38</v>
      </c>
      <c r="E943" t="s">
        <v>39</v>
      </c>
      <c r="F943" t="s">
        <v>40</v>
      </c>
      <c r="G943" t="s">
        <v>135</v>
      </c>
      <c r="H943" t="s">
        <v>53</v>
      </c>
      <c r="I943">
        <v>5</v>
      </c>
      <c r="J943">
        <v>570170</v>
      </c>
      <c r="K943">
        <v>2</v>
      </c>
      <c r="L943">
        <v>2793833</v>
      </c>
      <c r="M943" t="s">
        <v>54</v>
      </c>
      <c r="N943" t="s">
        <v>26</v>
      </c>
      <c r="O943" t="s">
        <v>27</v>
      </c>
      <c r="P943" t="s">
        <v>42</v>
      </c>
    </row>
    <row r="944" spans="1:16" x14ac:dyDescent="0.25">
      <c r="A944" t="s">
        <v>1733</v>
      </c>
      <c r="B944" t="s">
        <v>1734</v>
      </c>
      <c r="C944" t="s">
        <v>85</v>
      </c>
      <c r="D944" t="s">
        <v>47</v>
      </c>
      <c r="E944" t="s">
        <v>48</v>
      </c>
      <c r="F944" t="s">
        <v>22</v>
      </c>
      <c r="G944" t="s">
        <v>52</v>
      </c>
      <c r="H944" t="s">
        <v>24</v>
      </c>
      <c r="I944">
        <v>6</v>
      </c>
      <c r="J944">
        <v>169468</v>
      </c>
      <c r="K944">
        <v>10</v>
      </c>
      <c r="L944">
        <v>915127.20000000007</v>
      </c>
      <c r="M944" t="s">
        <v>25</v>
      </c>
      <c r="N944" t="s">
        <v>43</v>
      </c>
      <c r="O944" t="s">
        <v>27</v>
      </c>
      <c r="P944" t="s">
        <v>55</v>
      </c>
    </row>
    <row r="945" spans="1:16" x14ac:dyDescent="0.25">
      <c r="A945" t="s">
        <v>1735</v>
      </c>
      <c r="B945" t="s">
        <v>1252</v>
      </c>
      <c r="C945" t="s">
        <v>19</v>
      </c>
      <c r="D945" t="s">
        <v>30</v>
      </c>
      <c r="E945" t="s">
        <v>31</v>
      </c>
      <c r="F945" t="s">
        <v>32</v>
      </c>
      <c r="G945" t="s">
        <v>23</v>
      </c>
      <c r="H945" t="s">
        <v>53</v>
      </c>
      <c r="I945">
        <v>3</v>
      </c>
      <c r="J945">
        <v>528603</v>
      </c>
      <c r="K945">
        <v>2</v>
      </c>
      <c r="L945">
        <v>1554092.82</v>
      </c>
      <c r="M945" t="s">
        <v>42</v>
      </c>
      <c r="N945" t="s">
        <v>43</v>
      </c>
      <c r="O945" t="s">
        <v>27</v>
      </c>
      <c r="P945" t="s">
        <v>26</v>
      </c>
    </row>
    <row r="946" spans="1:16" x14ac:dyDescent="0.25">
      <c r="A946" t="s">
        <v>1736</v>
      </c>
      <c r="B946" t="s">
        <v>1737</v>
      </c>
      <c r="C946" t="s">
        <v>61</v>
      </c>
      <c r="D946" t="s">
        <v>38</v>
      </c>
      <c r="E946" t="s">
        <v>39</v>
      </c>
      <c r="F946" t="s">
        <v>40</v>
      </c>
      <c r="G946" t="s">
        <v>73</v>
      </c>
      <c r="H946" t="s">
        <v>58</v>
      </c>
      <c r="I946">
        <v>4</v>
      </c>
      <c r="J946">
        <v>803524</v>
      </c>
      <c r="K946">
        <v>0</v>
      </c>
      <c r="L946">
        <v>3214096</v>
      </c>
      <c r="M946" t="s">
        <v>54</v>
      </c>
      <c r="N946" t="s">
        <v>26</v>
      </c>
      <c r="O946" t="s">
        <v>27</v>
      </c>
      <c r="P946" t="s">
        <v>55</v>
      </c>
    </row>
    <row r="947" spans="1:16" x14ac:dyDescent="0.25">
      <c r="A947" t="s">
        <v>1738</v>
      </c>
      <c r="B947" t="s">
        <v>1739</v>
      </c>
      <c r="C947" t="s">
        <v>91</v>
      </c>
      <c r="D947" t="s">
        <v>47</v>
      </c>
      <c r="E947" t="s">
        <v>48</v>
      </c>
      <c r="F947" t="s">
        <v>22</v>
      </c>
      <c r="G947" t="s">
        <v>33</v>
      </c>
      <c r="H947" t="s">
        <v>34</v>
      </c>
      <c r="I947">
        <v>2</v>
      </c>
      <c r="J947">
        <v>454548</v>
      </c>
      <c r="K947">
        <v>12</v>
      </c>
      <c r="L947">
        <v>800004.48</v>
      </c>
      <c r="M947" t="s">
        <v>42</v>
      </c>
      <c r="N947" t="s">
        <v>26</v>
      </c>
      <c r="O947" t="s">
        <v>44</v>
      </c>
      <c r="P947" t="s">
        <v>55</v>
      </c>
    </row>
    <row r="948" spans="1:16" x14ac:dyDescent="0.25">
      <c r="A948" t="s">
        <v>1740</v>
      </c>
      <c r="B948" t="s">
        <v>1741</v>
      </c>
      <c r="C948" t="s">
        <v>19</v>
      </c>
      <c r="D948" t="s">
        <v>51</v>
      </c>
      <c r="E948" t="s">
        <v>72</v>
      </c>
      <c r="F948" t="s">
        <v>22</v>
      </c>
      <c r="G948" t="s">
        <v>41</v>
      </c>
      <c r="H948" t="s">
        <v>34</v>
      </c>
      <c r="I948">
        <v>8</v>
      </c>
      <c r="J948">
        <v>547850</v>
      </c>
      <c r="K948">
        <v>0</v>
      </c>
      <c r="L948">
        <v>4382800</v>
      </c>
      <c r="M948" t="s">
        <v>54</v>
      </c>
      <c r="N948" t="s">
        <v>69</v>
      </c>
      <c r="O948" t="s">
        <v>27</v>
      </c>
      <c r="P948" t="s">
        <v>42</v>
      </c>
    </row>
    <row r="949" spans="1:16" x14ac:dyDescent="0.25">
      <c r="A949" t="s">
        <v>1742</v>
      </c>
      <c r="B949" t="s">
        <v>1743</v>
      </c>
      <c r="C949" t="s">
        <v>198</v>
      </c>
      <c r="D949" t="s">
        <v>66</v>
      </c>
      <c r="E949" t="s">
        <v>67</v>
      </c>
      <c r="F949" t="s">
        <v>68</v>
      </c>
      <c r="G949" t="s">
        <v>33</v>
      </c>
      <c r="H949" t="s">
        <v>58</v>
      </c>
      <c r="I949">
        <v>2</v>
      </c>
      <c r="J949">
        <v>567824</v>
      </c>
      <c r="K949">
        <v>5</v>
      </c>
      <c r="L949">
        <v>1078865.6000000001</v>
      </c>
      <c r="M949" t="s">
        <v>54</v>
      </c>
      <c r="N949" t="s">
        <v>26</v>
      </c>
      <c r="O949" t="s">
        <v>44</v>
      </c>
      <c r="P949" t="s">
        <v>42</v>
      </c>
    </row>
    <row r="950" spans="1:16" x14ac:dyDescent="0.25">
      <c r="A950" t="s">
        <v>1744</v>
      </c>
      <c r="B950" t="s">
        <v>213</v>
      </c>
      <c r="C950" t="s">
        <v>91</v>
      </c>
      <c r="D950" t="s">
        <v>20</v>
      </c>
      <c r="E950" t="s">
        <v>21</v>
      </c>
      <c r="F950" t="s">
        <v>22</v>
      </c>
      <c r="G950" t="s">
        <v>62</v>
      </c>
      <c r="H950" t="s">
        <v>53</v>
      </c>
      <c r="I950">
        <v>2</v>
      </c>
      <c r="J950">
        <v>546395</v>
      </c>
      <c r="K950">
        <v>12</v>
      </c>
      <c r="L950">
        <v>961655.2</v>
      </c>
      <c r="M950" t="s">
        <v>42</v>
      </c>
      <c r="N950" t="s">
        <v>26</v>
      </c>
      <c r="O950" t="s">
        <v>44</v>
      </c>
      <c r="P950" t="s">
        <v>55</v>
      </c>
    </row>
    <row r="951" spans="1:16" x14ac:dyDescent="0.25">
      <c r="A951" t="s">
        <v>1745</v>
      </c>
      <c r="B951" t="s">
        <v>329</v>
      </c>
      <c r="C951" t="s">
        <v>65</v>
      </c>
      <c r="D951" t="s">
        <v>20</v>
      </c>
      <c r="E951" t="s">
        <v>21</v>
      </c>
      <c r="F951" t="s">
        <v>22</v>
      </c>
      <c r="G951" t="s">
        <v>23</v>
      </c>
      <c r="H951" t="s">
        <v>24</v>
      </c>
      <c r="I951">
        <v>6</v>
      </c>
      <c r="J951">
        <v>346453</v>
      </c>
      <c r="K951">
        <v>5</v>
      </c>
      <c r="L951">
        <v>1974782.1</v>
      </c>
      <c r="M951" t="s">
        <v>54</v>
      </c>
      <c r="N951" t="s">
        <v>26</v>
      </c>
      <c r="O951" t="s">
        <v>44</v>
      </c>
      <c r="P951" t="s">
        <v>26</v>
      </c>
    </row>
    <row r="952" spans="1:16" x14ac:dyDescent="0.25">
      <c r="A952" t="s">
        <v>1746</v>
      </c>
      <c r="B952" t="s">
        <v>1747</v>
      </c>
      <c r="C952" t="s">
        <v>65</v>
      </c>
      <c r="D952" t="s">
        <v>66</v>
      </c>
      <c r="E952" t="s">
        <v>67</v>
      </c>
      <c r="F952" t="s">
        <v>68</v>
      </c>
      <c r="G952" t="s">
        <v>62</v>
      </c>
      <c r="H952" t="s">
        <v>34</v>
      </c>
      <c r="I952">
        <v>2</v>
      </c>
      <c r="J952">
        <v>528081</v>
      </c>
      <c r="K952">
        <v>2</v>
      </c>
      <c r="L952">
        <v>1035038.76</v>
      </c>
      <c r="M952" t="s">
        <v>54</v>
      </c>
      <c r="N952" t="s">
        <v>69</v>
      </c>
      <c r="O952" t="s">
        <v>27</v>
      </c>
      <c r="P952" t="s">
        <v>26</v>
      </c>
    </row>
    <row r="953" spans="1:16" x14ac:dyDescent="0.25">
      <c r="A953" t="s">
        <v>1748</v>
      </c>
      <c r="B953" t="s">
        <v>103</v>
      </c>
      <c r="C953" t="s">
        <v>65</v>
      </c>
      <c r="D953" t="s">
        <v>47</v>
      </c>
      <c r="E953" t="s">
        <v>48</v>
      </c>
      <c r="F953" t="s">
        <v>22</v>
      </c>
      <c r="G953" t="s">
        <v>124</v>
      </c>
      <c r="H953" t="s">
        <v>53</v>
      </c>
      <c r="I953">
        <v>8</v>
      </c>
      <c r="J953">
        <v>520288</v>
      </c>
      <c r="K953">
        <v>7</v>
      </c>
      <c r="L953">
        <v>3870942.72</v>
      </c>
      <c r="M953" t="s">
        <v>42</v>
      </c>
      <c r="N953" t="s">
        <v>43</v>
      </c>
      <c r="O953" t="s">
        <v>27</v>
      </c>
      <c r="P953" t="s">
        <v>55</v>
      </c>
    </row>
    <row r="954" spans="1:16" x14ac:dyDescent="0.25">
      <c r="A954" t="s">
        <v>1749</v>
      </c>
      <c r="B954" t="s">
        <v>577</v>
      </c>
      <c r="C954" t="s">
        <v>85</v>
      </c>
      <c r="D954" t="s">
        <v>30</v>
      </c>
      <c r="E954" t="s">
        <v>31</v>
      </c>
      <c r="F954" t="s">
        <v>32</v>
      </c>
      <c r="G954" t="s">
        <v>73</v>
      </c>
      <c r="H954" t="s">
        <v>34</v>
      </c>
      <c r="I954">
        <v>3</v>
      </c>
      <c r="J954">
        <v>63115</v>
      </c>
      <c r="K954">
        <v>7</v>
      </c>
      <c r="L954">
        <v>176090.85</v>
      </c>
      <c r="M954" t="s">
        <v>42</v>
      </c>
      <c r="N954" t="s">
        <v>43</v>
      </c>
      <c r="O954" t="s">
        <v>44</v>
      </c>
      <c r="P954" t="s">
        <v>55</v>
      </c>
    </row>
    <row r="955" spans="1:16" x14ac:dyDescent="0.25">
      <c r="A955" t="s">
        <v>1750</v>
      </c>
      <c r="B955" t="s">
        <v>1751</v>
      </c>
      <c r="C955" t="s">
        <v>65</v>
      </c>
      <c r="D955" t="s">
        <v>30</v>
      </c>
      <c r="E955" t="s">
        <v>31</v>
      </c>
      <c r="F955" t="s">
        <v>32</v>
      </c>
      <c r="G955" t="s">
        <v>33</v>
      </c>
      <c r="H955" t="s">
        <v>86</v>
      </c>
      <c r="I955">
        <v>3</v>
      </c>
      <c r="J955">
        <v>457851</v>
      </c>
      <c r="K955">
        <v>2</v>
      </c>
      <c r="L955">
        <v>1346081.94</v>
      </c>
      <c r="M955" t="s">
        <v>42</v>
      </c>
      <c r="N955" t="s">
        <v>43</v>
      </c>
      <c r="O955" t="s">
        <v>44</v>
      </c>
      <c r="P955" t="s">
        <v>55</v>
      </c>
    </row>
    <row r="956" spans="1:16" x14ac:dyDescent="0.25">
      <c r="A956" t="s">
        <v>1752</v>
      </c>
      <c r="B956" t="s">
        <v>1607</v>
      </c>
      <c r="C956" t="s">
        <v>91</v>
      </c>
      <c r="D956" t="s">
        <v>51</v>
      </c>
      <c r="E956" t="s">
        <v>48</v>
      </c>
      <c r="F956" t="s">
        <v>22</v>
      </c>
      <c r="G956" t="s">
        <v>23</v>
      </c>
      <c r="H956" t="s">
        <v>58</v>
      </c>
      <c r="I956">
        <v>7</v>
      </c>
      <c r="J956">
        <v>697196</v>
      </c>
      <c r="K956">
        <v>2</v>
      </c>
      <c r="L956">
        <v>4782764.5599999996</v>
      </c>
      <c r="M956" t="s">
        <v>42</v>
      </c>
      <c r="N956" t="s">
        <v>69</v>
      </c>
      <c r="O956" t="s">
        <v>27</v>
      </c>
      <c r="P956" t="s">
        <v>26</v>
      </c>
    </row>
    <row r="957" spans="1:16" x14ac:dyDescent="0.25">
      <c r="A957" t="s">
        <v>1753</v>
      </c>
      <c r="B957" t="s">
        <v>1754</v>
      </c>
      <c r="C957" t="s">
        <v>91</v>
      </c>
      <c r="D957" t="s">
        <v>51</v>
      </c>
      <c r="E957" t="s">
        <v>48</v>
      </c>
      <c r="F957" t="s">
        <v>22</v>
      </c>
      <c r="G957" t="s">
        <v>52</v>
      </c>
      <c r="H957" t="s">
        <v>86</v>
      </c>
      <c r="I957">
        <v>8</v>
      </c>
      <c r="J957">
        <v>53480</v>
      </c>
      <c r="K957">
        <v>12</v>
      </c>
      <c r="L957">
        <v>376499.20000000001</v>
      </c>
      <c r="M957" t="s">
        <v>54</v>
      </c>
      <c r="N957" t="s">
        <v>43</v>
      </c>
      <c r="O957" t="s">
        <v>44</v>
      </c>
      <c r="P957" t="s">
        <v>55</v>
      </c>
    </row>
    <row r="958" spans="1:16" x14ac:dyDescent="0.25">
      <c r="A958" t="s">
        <v>1755</v>
      </c>
      <c r="B958" t="s">
        <v>1756</v>
      </c>
      <c r="C958" t="s">
        <v>85</v>
      </c>
      <c r="D958" t="s">
        <v>20</v>
      </c>
      <c r="E958" t="s">
        <v>21</v>
      </c>
      <c r="F958" t="s">
        <v>22</v>
      </c>
      <c r="G958" t="s">
        <v>33</v>
      </c>
      <c r="H958" t="s">
        <v>86</v>
      </c>
      <c r="I958">
        <v>1</v>
      </c>
      <c r="J958">
        <v>706024</v>
      </c>
      <c r="K958">
        <v>0</v>
      </c>
      <c r="L958">
        <v>706024</v>
      </c>
      <c r="M958" t="s">
        <v>54</v>
      </c>
      <c r="N958" t="s">
        <v>43</v>
      </c>
      <c r="O958" t="s">
        <v>44</v>
      </c>
      <c r="P958" t="s">
        <v>55</v>
      </c>
    </row>
    <row r="959" spans="1:16" x14ac:dyDescent="0.25">
      <c r="A959" t="s">
        <v>1757</v>
      </c>
      <c r="B959" t="s">
        <v>1579</v>
      </c>
      <c r="C959" t="s">
        <v>37</v>
      </c>
      <c r="D959" t="s">
        <v>66</v>
      </c>
      <c r="E959" t="s">
        <v>67</v>
      </c>
      <c r="F959" t="s">
        <v>68</v>
      </c>
      <c r="G959" t="s">
        <v>52</v>
      </c>
      <c r="H959" t="s">
        <v>53</v>
      </c>
      <c r="I959">
        <v>5</v>
      </c>
      <c r="J959">
        <v>590538</v>
      </c>
      <c r="K959">
        <v>12</v>
      </c>
      <c r="L959">
        <v>2598367.2000000002</v>
      </c>
      <c r="M959" t="s">
        <v>42</v>
      </c>
      <c r="N959" t="s">
        <v>26</v>
      </c>
      <c r="O959" t="s">
        <v>27</v>
      </c>
      <c r="P959" t="s">
        <v>42</v>
      </c>
    </row>
    <row r="960" spans="1:16" x14ac:dyDescent="0.25">
      <c r="A960" t="s">
        <v>1758</v>
      </c>
      <c r="B960" t="s">
        <v>1703</v>
      </c>
      <c r="C960" t="s">
        <v>19</v>
      </c>
      <c r="D960" t="s">
        <v>47</v>
      </c>
      <c r="E960" t="s">
        <v>48</v>
      </c>
      <c r="F960" t="s">
        <v>22</v>
      </c>
      <c r="G960" t="s">
        <v>135</v>
      </c>
      <c r="H960" t="s">
        <v>24</v>
      </c>
      <c r="I960">
        <v>2</v>
      </c>
      <c r="J960">
        <v>422821</v>
      </c>
      <c r="K960">
        <v>0</v>
      </c>
      <c r="L960">
        <v>845642</v>
      </c>
      <c r="M960" t="s">
        <v>42</v>
      </c>
      <c r="N960" t="s">
        <v>26</v>
      </c>
      <c r="O960" t="s">
        <v>27</v>
      </c>
      <c r="P960" t="s">
        <v>55</v>
      </c>
    </row>
    <row r="961" spans="1:16" x14ac:dyDescent="0.25">
      <c r="A961" t="s">
        <v>1759</v>
      </c>
      <c r="B961" t="s">
        <v>1515</v>
      </c>
      <c r="C961" t="s">
        <v>65</v>
      </c>
      <c r="D961" t="s">
        <v>66</v>
      </c>
      <c r="E961" t="s">
        <v>67</v>
      </c>
      <c r="F961" t="s">
        <v>68</v>
      </c>
      <c r="G961" t="s">
        <v>41</v>
      </c>
      <c r="H961" t="s">
        <v>86</v>
      </c>
      <c r="I961">
        <v>6</v>
      </c>
      <c r="J961">
        <v>346254</v>
      </c>
      <c r="K961">
        <v>10</v>
      </c>
      <c r="L961">
        <v>1869771.6</v>
      </c>
      <c r="M961" t="s">
        <v>42</v>
      </c>
      <c r="N961" t="s">
        <v>69</v>
      </c>
      <c r="O961" t="s">
        <v>44</v>
      </c>
      <c r="P961" t="s">
        <v>42</v>
      </c>
    </row>
    <row r="962" spans="1:16" x14ac:dyDescent="0.25">
      <c r="A962" t="s">
        <v>1760</v>
      </c>
      <c r="B962" t="s">
        <v>1761</v>
      </c>
      <c r="C962" t="s">
        <v>65</v>
      </c>
      <c r="D962" t="s">
        <v>38</v>
      </c>
      <c r="E962" t="s">
        <v>39</v>
      </c>
      <c r="F962" t="s">
        <v>40</v>
      </c>
      <c r="G962" t="s">
        <v>33</v>
      </c>
      <c r="H962" t="s">
        <v>24</v>
      </c>
      <c r="I962">
        <v>8</v>
      </c>
      <c r="J962">
        <v>800758</v>
      </c>
      <c r="K962">
        <v>5</v>
      </c>
      <c r="L962">
        <v>6085760.7999999998</v>
      </c>
      <c r="M962" t="s">
        <v>25</v>
      </c>
      <c r="N962" t="s">
        <v>43</v>
      </c>
      <c r="O962" t="s">
        <v>44</v>
      </c>
      <c r="P962" t="s">
        <v>55</v>
      </c>
    </row>
    <row r="963" spans="1:16" x14ac:dyDescent="0.25">
      <c r="A963" t="s">
        <v>1762</v>
      </c>
      <c r="B963" t="s">
        <v>1763</v>
      </c>
      <c r="C963" t="s">
        <v>198</v>
      </c>
      <c r="D963" t="s">
        <v>129</v>
      </c>
      <c r="E963" t="s">
        <v>39</v>
      </c>
      <c r="F963" t="s">
        <v>40</v>
      </c>
      <c r="G963" t="s">
        <v>73</v>
      </c>
      <c r="H963" t="s">
        <v>86</v>
      </c>
      <c r="I963">
        <v>8</v>
      </c>
      <c r="J963">
        <v>442417</v>
      </c>
      <c r="K963">
        <v>5</v>
      </c>
      <c r="L963">
        <v>3362369.2</v>
      </c>
      <c r="M963" t="s">
        <v>42</v>
      </c>
      <c r="N963" t="s">
        <v>69</v>
      </c>
      <c r="O963" t="s">
        <v>44</v>
      </c>
      <c r="P963" t="s">
        <v>55</v>
      </c>
    </row>
    <row r="964" spans="1:16" x14ac:dyDescent="0.25">
      <c r="A964" t="s">
        <v>1764</v>
      </c>
      <c r="B964" t="s">
        <v>1175</v>
      </c>
      <c r="C964" t="s">
        <v>19</v>
      </c>
      <c r="D964" t="s">
        <v>20</v>
      </c>
      <c r="E964" t="s">
        <v>21</v>
      </c>
      <c r="F964" t="s">
        <v>22</v>
      </c>
      <c r="G964" t="s">
        <v>62</v>
      </c>
      <c r="H964" t="s">
        <v>53</v>
      </c>
      <c r="I964">
        <v>5</v>
      </c>
      <c r="J964">
        <v>824985</v>
      </c>
      <c r="K964">
        <v>5</v>
      </c>
      <c r="L964">
        <v>3918678.75</v>
      </c>
      <c r="M964" t="s">
        <v>25</v>
      </c>
      <c r="N964" t="s">
        <v>69</v>
      </c>
      <c r="O964" t="s">
        <v>27</v>
      </c>
      <c r="P964" t="s">
        <v>55</v>
      </c>
    </row>
    <row r="965" spans="1:16" x14ac:dyDescent="0.25">
      <c r="A965" t="s">
        <v>1765</v>
      </c>
      <c r="B965" t="s">
        <v>1641</v>
      </c>
      <c r="C965" t="s">
        <v>65</v>
      </c>
      <c r="D965" t="s">
        <v>47</v>
      </c>
      <c r="E965" t="s">
        <v>48</v>
      </c>
      <c r="F965" t="s">
        <v>22</v>
      </c>
      <c r="G965" t="s">
        <v>23</v>
      </c>
      <c r="H965" t="s">
        <v>53</v>
      </c>
      <c r="I965">
        <v>2</v>
      </c>
      <c r="J965">
        <v>459471</v>
      </c>
      <c r="K965">
        <v>2</v>
      </c>
      <c r="L965">
        <v>900563.16</v>
      </c>
      <c r="M965" t="s">
        <v>54</v>
      </c>
      <c r="N965" t="s">
        <v>43</v>
      </c>
      <c r="O965" t="s">
        <v>27</v>
      </c>
      <c r="P965" t="s">
        <v>42</v>
      </c>
    </row>
    <row r="966" spans="1:16" x14ac:dyDescent="0.25">
      <c r="A966" t="s">
        <v>1766</v>
      </c>
      <c r="B966" t="s">
        <v>1767</v>
      </c>
      <c r="C966" t="s">
        <v>19</v>
      </c>
      <c r="D966" t="s">
        <v>30</v>
      </c>
      <c r="E966" t="s">
        <v>31</v>
      </c>
      <c r="F966" t="s">
        <v>32</v>
      </c>
      <c r="G966" t="s">
        <v>62</v>
      </c>
      <c r="H966" t="s">
        <v>58</v>
      </c>
      <c r="I966">
        <v>4</v>
      </c>
      <c r="J966">
        <v>84058</v>
      </c>
      <c r="K966">
        <v>0</v>
      </c>
      <c r="L966">
        <v>336232</v>
      </c>
      <c r="M966" t="s">
        <v>54</v>
      </c>
      <c r="N966" t="s">
        <v>26</v>
      </c>
      <c r="O966" t="s">
        <v>44</v>
      </c>
      <c r="P966" t="s">
        <v>55</v>
      </c>
    </row>
    <row r="967" spans="1:16" x14ac:dyDescent="0.25">
      <c r="A967" t="s">
        <v>1768</v>
      </c>
      <c r="B967" t="s">
        <v>589</v>
      </c>
      <c r="C967" t="s">
        <v>65</v>
      </c>
      <c r="D967" t="s">
        <v>106</v>
      </c>
      <c r="E967" t="s">
        <v>31</v>
      </c>
      <c r="F967" t="s">
        <v>32</v>
      </c>
      <c r="G967" t="s">
        <v>62</v>
      </c>
      <c r="H967" t="s">
        <v>58</v>
      </c>
      <c r="I967">
        <v>7</v>
      </c>
      <c r="J967">
        <v>247503</v>
      </c>
      <c r="K967">
        <v>0</v>
      </c>
      <c r="L967">
        <v>1732521</v>
      </c>
      <c r="M967" t="s">
        <v>54</v>
      </c>
      <c r="N967" t="s">
        <v>26</v>
      </c>
      <c r="O967" t="s">
        <v>27</v>
      </c>
      <c r="P967" t="s">
        <v>42</v>
      </c>
    </row>
    <row r="968" spans="1:16" x14ac:dyDescent="0.25">
      <c r="A968" t="s">
        <v>1769</v>
      </c>
      <c r="B968" t="s">
        <v>1770</v>
      </c>
      <c r="C968" t="s">
        <v>85</v>
      </c>
      <c r="D968" t="s">
        <v>20</v>
      </c>
      <c r="E968" t="s">
        <v>21</v>
      </c>
      <c r="F968" t="s">
        <v>22</v>
      </c>
      <c r="G968" t="s">
        <v>73</v>
      </c>
      <c r="H968" t="s">
        <v>86</v>
      </c>
      <c r="I968">
        <v>5</v>
      </c>
      <c r="J968">
        <v>288499</v>
      </c>
      <c r="K968">
        <v>2</v>
      </c>
      <c r="L968">
        <v>1413645.1</v>
      </c>
      <c r="M968" t="s">
        <v>54</v>
      </c>
      <c r="N968" t="s">
        <v>69</v>
      </c>
      <c r="O968" t="s">
        <v>27</v>
      </c>
      <c r="P968" t="s">
        <v>26</v>
      </c>
    </row>
    <row r="969" spans="1:16" x14ac:dyDescent="0.25">
      <c r="A969" t="s">
        <v>1771</v>
      </c>
      <c r="B969" t="s">
        <v>1651</v>
      </c>
      <c r="C969" t="s">
        <v>76</v>
      </c>
      <c r="D969" t="s">
        <v>47</v>
      </c>
      <c r="E969" t="s">
        <v>48</v>
      </c>
      <c r="F969" t="s">
        <v>22</v>
      </c>
      <c r="G969" t="s">
        <v>73</v>
      </c>
      <c r="H969" t="s">
        <v>58</v>
      </c>
      <c r="I969">
        <v>1</v>
      </c>
      <c r="J969">
        <v>316186</v>
      </c>
      <c r="K969">
        <v>2</v>
      </c>
      <c r="L969">
        <v>309862.28000000003</v>
      </c>
      <c r="M969" t="s">
        <v>42</v>
      </c>
      <c r="N969" t="s">
        <v>69</v>
      </c>
      <c r="O969" t="s">
        <v>44</v>
      </c>
      <c r="P969" t="s">
        <v>26</v>
      </c>
    </row>
    <row r="970" spans="1:16" x14ac:dyDescent="0.25">
      <c r="A970" t="s">
        <v>1772</v>
      </c>
      <c r="B970" t="s">
        <v>200</v>
      </c>
      <c r="C970" t="s">
        <v>76</v>
      </c>
      <c r="D970" t="s">
        <v>154</v>
      </c>
      <c r="E970" t="s">
        <v>67</v>
      </c>
      <c r="F970" t="s">
        <v>68</v>
      </c>
      <c r="G970" t="s">
        <v>62</v>
      </c>
      <c r="H970" t="s">
        <v>58</v>
      </c>
      <c r="I970">
        <v>2</v>
      </c>
      <c r="J970">
        <v>789839</v>
      </c>
      <c r="K970">
        <v>2</v>
      </c>
      <c r="L970">
        <v>1548084.44</v>
      </c>
      <c r="M970" t="s">
        <v>54</v>
      </c>
      <c r="N970" t="s">
        <v>69</v>
      </c>
      <c r="O970" t="s">
        <v>44</v>
      </c>
      <c r="P970" t="s">
        <v>42</v>
      </c>
    </row>
    <row r="971" spans="1:16" x14ac:dyDescent="0.25">
      <c r="A971" t="s">
        <v>1773</v>
      </c>
      <c r="B971" t="s">
        <v>1347</v>
      </c>
      <c r="C971" t="s">
        <v>85</v>
      </c>
      <c r="D971" t="s">
        <v>30</v>
      </c>
      <c r="E971" t="s">
        <v>31</v>
      </c>
      <c r="F971" t="s">
        <v>32</v>
      </c>
      <c r="G971" t="s">
        <v>62</v>
      </c>
      <c r="H971" t="s">
        <v>86</v>
      </c>
      <c r="I971">
        <v>4</v>
      </c>
      <c r="J971">
        <v>69573</v>
      </c>
      <c r="K971">
        <v>10</v>
      </c>
      <c r="L971">
        <v>250462.8</v>
      </c>
      <c r="M971" t="s">
        <v>42</v>
      </c>
      <c r="N971" t="s">
        <v>26</v>
      </c>
      <c r="O971" t="s">
        <v>44</v>
      </c>
      <c r="P971" t="s">
        <v>55</v>
      </c>
    </row>
    <row r="972" spans="1:16" x14ac:dyDescent="0.25">
      <c r="A972" t="s">
        <v>1774</v>
      </c>
      <c r="B972" t="s">
        <v>1775</v>
      </c>
      <c r="C972" t="s">
        <v>19</v>
      </c>
      <c r="D972" t="s">
        <v>20</v>
      </c>
      <c r="E972" t="s">
        <v>21</v>
      </c>
      <c r="F972" t="s">
        <v>22</v>
      </c>
      <c r="G972" t="s">
        <v>62</v>
      </c>
      <c r="H972" t="s">
        <v>53</v>
      </c>
      <c r="I972">
        <v>5</v>
      </c>
      <c r="J972">
        <v>349263</v>
      </c>
      <c r="K972">
        <v>5</v>
      </c>
      <c r="L972">
        <v>1658999.25</v>
      </c>
      <c r="M972" t="s">
        <v>42</v>
      </c>
      <c r="N972" t="s">
        <v>43</v>
      </c>
      <c r="O972" t="s">
        <v>44</v>
      </c>
      <c r="P972" t="s">
        <v>55</v>
      </c>
    </row>
    <row r="973" spans="1:16" x14ac:dyDescent="0.25">
      <c r="A973" t="s">
        <v>1516</v>
      </c>
      <c r="B973" t="s">
        <v>1675</v>
      </c>
      <c r="C973" t="s">
        <v>65</v>
      </c>
      <c r="D973" t="s">
        <v>47</v>
      </c>
      <c r="E973" t="s">
        <v>48</v>
      </c>
      <c r="F973" t="s">
        <v>22</v>
      </c>
      <c r="G973" t="s">
        <v>124</v>
      </c>
      <c r="H973" t="s">
        <v>24</v>
      </c>
      <c r="I973">
        <v>7</v>
      </c>
      <c r="J973">
        <v>735584</v>
      </c>
      <c r="K973">
        <v>7</v>
      </c>
      <c r="L973">
        <v>4788651.84</v>
      </c>
      <c r="M973" t="s">
        <v>25</v>
      </c>
      <c r="N973" t="s">
        <v>26</v>
      </c>
      <c r="O973" t="s">
        <v>44</v>
      </c>
      <c r="P973" t="s">
        <v>55</v>
      </c>
    </row>
    <row r="974" spans="1:16" x14ac:dyDescent="0.25">
      <c r="A974" t="s">
        <v>1776</v>
      </c>
      <c r="B974" t="s">
        <v>236</v>
      </c>
      <c r="C974" t="s">
        <v>85</v>
      </c>
      <c r="D974" t="s">
        <v>66</v>
      </c>
      <c r="E974" t="s">
        <v>67</v>
      </c>
      <c r="F974" t="s">
        <v>68</v>
      </c>
      <c r="G974" t="s">
        <v>33</v>
      </c>
      <c r="H974" t="s">
        <v>53</v>
      </c>
      <c r="I974">
        <v>2</v>
      </c>
      <c r="J974">
        <v>347577</v>
      </c>
      <c r="K974">
        <v>5</v>
      </c>
      <c r="L974">
        <v>660396.29999999993</v>
      </c>
      <c r="M974" t="s">
        <v>25</v>
      </c>
      <c r="N974" t="s">
        <v>26</v>
      </c>
      <c r="O974" t="s">
        <v>27</v>
      </c>
      <c r="P974" t="s">
        <v>55</v>
      </c>
    </row>
    <row r="975" spans="1:16" x14ac:dyDescent="0.25">
      <c r="A975" t="s">
        <v>1777</v>
      </c>
      <c r="B975" t="s">
        <v>1036</v>
      </c>
      <c r="C975" t="s">
        <v>37</v>
      </c>
      <c r="D975" t="s">
        <v>47</v>
      </c>
      <c r="E975" t="s">
        <v>48</v>
      </c>
      <c r="F975" t="s">
        <v>22</v>
      </c>
      <c r="G975" t="s">
        <v>52</v>
      </c>
      <c r="H975" t="s">
        <v>53</v>
      </c>
      <c r="I975">
        <v>5</v>
      </c>
      <c r="J975">
        <v>748969</v>
      </c>
      <c r="K975">
        <v>0</v>
      </c>
      <c r="L975">
        <v>3744845</v>
      </c>
      <c r="M975" t="s">
        <v>54</v>
      </c>
      <c r="N975" t="s">
        <v>26</v>
      </c>
      <c r="O975" t="s">
        <v>27</v>
      </c>
      <c r="P975" t="s">
        <v>55</v>
      </c>
    </row>
    <row r="976" spans="1:16" x14ac:dyDescent="0.25">
      <c r="A976" t="s">
        <v>1778</v>
      </c>
      <c r="B976" t="s">
        <v>1779</v>
      </c>
      <c r="C976" t="s">
        <v>37</v>
      </c>
      <c r="D976" t="s">
        <v>38</v>
      </c>
      <c r="E976" t="s">
        <v>39</v>
      </c>
      <c r="F976" t="s">
        <v>40</v>
      </c>
      <c r="G976" t="s">
        <v>62</v>
      </c>
      <c r="H976" t="s">
        <v>53</v>
      </c>
      <c r="I976">
        <v>7</v>
      </c>
      <c r="J976">
        <v>147718</v>
      </c>
      <c r="K976">
        <v>2</v>
      </c>
      <c r="L976">
        <v>1013345.48</v>
      </c>
      <c r="M976" t="s">
        <v>42</v>
      </c>
      <c r="N976" t="s">
        <v>69</v>
      </c>
      <c r="O976" t="s">
        <v>27</v>
      </c>
      <c r="P976" t="s">
        <v>26</v>
      </c>
    </row>
    <row r="977" spans="1:16" x14ac:dyDescent="0.25">
      <c r="A977" t="s">
        <v>1780</v>
      </c>
      <c r="B977" t="s">
        <v>1190</v>
      </c>
      <c r="C977" t="s">
        <v>19</v>
      </c>
      <c r="D977" t="s">
        <v>66</v>
      </c>
      <c r="E977" t="s">
        <v>67</v>
      </c>
      <c r="F977" t="s">
        <v>68</v>
      </c>
      <c r="G977" t="s">
        <v>135</v>
      </c>
      <c r="H977" t="s">
        <v>53</v>
      </c>
      <c r="I977">
        <v>2</v>
      </c>
      <c r="J977">
        <v>530970</v>
      </c>
      <c r="K977">
        <v>5</v>
      </c>
      <c r="L977">
        <v>1008843</v>
      </c>
      <c r="M977" t="s">
        <v>25</v>
      </c>
      <c r="N977" t="s">
        <v>69</v>
      </c>
      <c r="O977" t="s">
        <v>44</v>
      </c>
      <c r="P977" t="s">
        <v>26</v>
      </c>
    </row>
    <row r="978" spans="1:16" x14ac:dyDescent="0.25">
      <c r="A978" t="s">
        <v>1781</v>
      </c>
      <c r="B978" t="s">
        <v>1782</v>
      </c>
      <c r="C978" t="s">
        <v>19</v>
      </c>
      <c r="D978" t="s">
        <v>30</v>
      </c>
      <c r="E978" t="s">
        <v>31</v>
      </c>
      <c r="F978" t="s">
        <v>32</v>
      </c>
      <c r="G978" t="s">
        <v>89</v>
      </c>
      <c r="H978" t="s">
        <v>24</v>
      </c>
      <c r="I978">
        <v>2</v>
      </c>
      <c r="J978">
        <v>361621</v>
      </c>
      <c r="K978">
        <v>5</v>
      </c>
      <c r="L978">
        <v>687079.9</v>
      </c>
      <c r="M978" t="s">
        <v>25</v>
      </c>
      <c r="N978" t="s">
        <v>26</v>
      </c>
      <c r="O978" t="s">
        <v>27</v>
      </c>
      <c r="P978" t="s">
        <v>55</v>
      </c>
    </row>
    <row r="979" spans="1:16" x14ac:dyDescent="0.25">
      <c r="A979" t="s">
        <v>1783</v>
      </c>
      <c r="B979" t="s">
        <v>1784</v>
      </c>
      <c r="C979" t="s">
        <v>19</v>
      </c>
      <c r="D979" t="s">
        <v>47</v>
      </c>
      <c r="E979" t="s">
        <v>72</v>
      </c>
      <c r="F979" t="s">
        <v>22</v>
      </c>
      <c r="G979" t="s">
        <v>73</v>
      </c>
      <c r="H979" t="s">
        <v>24</v>
      </c>
      <c r="I979">
        <v>5</v>
      </c>
      <c r="J979">
        <v>416516</v>
      </c>
      <c r="K979">
        <v>7</v>
      </c>
      <c r="L979">
        <v>1936799.4</v>
      </c>
      <c r="M979" t="s">
        <v>54</v>
      </c>
      <c r="N979" t="s">
        <v>26</v>
      </c>
      <c r="O979" t="s">
        <v>27</v>
      </c>
      <c r="P979" t="s">
        <v>55</v>
      </c>
    </row>
    <row r="980" spans="1:16" x14ac:dyDescent="0.25">
      <c r="A980" t="s">
        <v>1785</v>
      </c>
      <c r="B980" t="s">
        <v>735</v>
      </c>
      <c r="C980" t="s">
        <v>37</v>
      </c>
      <c r="D980" t="s">
        <v>20</v>
      </c>
      <c r="E980" t="s">
        <v>21</v>
      </c>
      <c r="F980" t="s">
        <v>22</v>
      </c>
      <c r="G980" t="s">
        <v>52</v>
      </c>
      <c r="H980" t="s">
        <v>53</v>
      </c>
      <c r="I980">
        <v>7</v>
      </c>
      <c r="J980">
        <v>144722</v>
      </c>
      <c r="K980">
        <v>10</v>
      </c>
      <c r="L980">
        <v>911748.6</v>
      </c>
      <c r="M980" t="s">
        <v>54</v>
      </c>
      <c r="N980" t="s">
        <v>26</v>
      </c>
      <c r="O980" t="s">
        <v>27</v>
      </c>
      <c r="P980" t="s">
        <v>26</v>
      </c>
    </row>
    <row r="981" spans="1:16" x14ac:dyDescent="0.25">
      <c r="A981" t="s">
        <v>1786</v>
      </c>
      <c r="B981" t="s">
        <v>1787</v>
      </c>
      <c r="C981" t="s">
        <v>19</v>
      </c>
      <c r="D981" t="s">
        <v>154</v>
      </c>
      <c r="E981" t="s">
        <v>67</v>
      </c>
      <c r="F981" t="s">
        <v>68</v>
      </c>
      <c r="G981" t="s">
        <v>33</v>
      </c>
      <c r="H981" t="s">
        <v>86</v>
      </c>
      <c r="I981">
        <v>5</v>
      </c>
      <c r="J981">
        <v>160409</v>
      </c>
      <c r="M981" t="s">
        <v>42</v>
      </c>
      <c r="N981" t="s">
        <v>43</v>
      </c>
      <c r="O981" t="s">
        <v>27</v>
      </c>
      <c r="P981" t="s">
        <v>55</v>
      </c>
    </row>
    <row r="982" spans="1:16" x14ac:dyDescent="0.25">
      <c r="A982" t="s">
        <v>1788</v>
      </c>
      <c r="B982" t="s">
        <v>126</v>
      </c>
      <c r="C982" t="s">
        <v>19</v>
      </c>
      <c r="D982" t="s">
        <v>20</v>
      </c>
      <c r="E982" t="s">
        <v>21</v>
      </c>
      <c r="F982" t="s">
        <v>22</v>
      </c>
      <c r="G982" t="s">
        <v>52</v>
      </c>
      <c r="H982" t="s">
        <v>24</v>
      </c>
      <c r="I982">
        <v>4</v>
      </c>
      <c r="J982">
        <v>167266</v>
      </c>
      <c r="K982">
        <v>10</v>
      </c>
      <c r="L982">
        <v>602157.6</v>
      </c>
      <c r="M982" t="s">
        <v>25</v>
      </c>
      <c r="N982" t="s">
        <v>26</v>
      </c>
      <c r="O982" t="s">
        <v>27</v>
      </c>
      <c r="P982" t="s">
        <v>42</v>
      </c>
    </row>
    <row r="983" spans="1:16" x14ac:dyDescent="0.25">
      <c r="A983" t="s">
        <v>1789</v>
      </c>
      <c r="B983" t="s">
        <v>1504</v>
      </c>
      <c r="C983" t="s">
        <v>85</v>
      </c>
      <c r="D983" t="s">
        <v>66</v>
      </c>
      <c r="E983" t="s">
        <v>67</v>
      </c>
      <c r="F983" t="s">
        <v>68</v>
      </c>
      <c r="G983" t="s">
        <v>33</v>
      </c>
      <c r="H983" t="s">
        <v>53</v>
      </c>
      <c r="I983">
        <v>4</v>
      </c>
      <c r="J983">
        <v>430713</v>
      </c>
      <c r="M983" t="s">
        <v>42</v>
      </c>
      <c r="N983" t="s">
        <v>26</v>
      </c>
      <c r="O983" t="s">
        <v>27</v>
      </c>
      <c r="P983" t="s">
        <v>26</v>
      </c>
    </row>
    <row r="984" spans="1:16" x14ac:dyDescent="0.25">
      <c r="A984" t="s">
        <v>1790</v>
      </c>
      <c r="B984" t="s">
        <v>1791</v>
      </c>
      <c r="C984" t="s">
        <v>65</v>
      </c>
      <c r="D984" t="s">
        <v>119</v>
      </c>
      <c r="E984" t="s">
        <v>21</v>
      </c>
      <c r="F984" t="s">
        <v>22</v>
      </c>
      <c r="G984" t="s">
        <v>41</v>
      </c>
      <c r="H984" t="s">
        <v>86</v>
      </c>
      <c r="I984">
        <v>5</v>
      </c>
      <c r="J984">
        <v>96910</v>
      </c>
      <c r="K984">
        <v>0</v>
      </c>
      <c r="L984">
        <v>484550</v>
      </c>
      <c r="M984" t="s">
        <v>42</v>
      </c>
      <c r="N984" t="s">
        <v>69</v>
      </c>
      <c r="O984" t="s">
        <v>44</v>
      </c>
      <c r="P984" t="s">
        <v>55</v>
      </c>
    </row>
    <row r="985" spans="1:16" x14ac:dyDescent="0.25">
      <c r="A985" t="s">
        <v>1792</v>
      </c>
      <c r="B985" t="s">
        <v>427</v>
      </c>
      <c r="C985" t="s">
        <v>61</v>
      </c>
      <c r="D985" t="s">
        <v>20</v>
      </c>
      <c r="E985" t="s">
        <v>21</v>
      </c>
      <c r="F985" t="s">
        <v>22</v>
      </c>
      <c r="G985" t="s">
        <v>62</v>
      </c>
      <c r="H985" t="s">
        <v>86</v>
      </c>
      <c r="I985">
        <v>6</v>
      </c>
      <c r="J985">
        <v>77211</v>
      </c>
      <c r="K985">
        <v>5</v>
      </c>
      <c r="L985">
        <v>440102.7</v>
      </c>
      <c r="M985" t="s">
        <v>25</v>
      </c>
      <c r="N985" t="s">
        <v>43</v>
      </c>
      <c r="O985" t="s">
        <v>44</v>
      </c>
      <c r="P985" t="s">
        <v>55</v>
      </c>
    </row>
    <row r="986" spans="1:16" x14ac:dyDescent="0.25">
      <c r="A986" t="s">
        <v>1793</v>
      </c>
      <c r="B986" t="s">
        <v>598</v>
      </c>
      <c r="C986" t="s">
        <v>76</v>
      </c>
      <c r="D986" t="s">
        <v>38</v>
      </c>
      <c r="E986" t="s">
        <v>39</v>
      </c>
      <c r="F986" t="s">
        <v>40</v>
      </c>
      <c r="G986" t="s">
        <v>73</v>
      </c>
      <c r="H986" t="s">
        <v>53</v>
      </c>
      <c r="I986">
        <v>1</v>
      </c>
      <c r="J986">
        <v>852708</v>
      </c>
      <c r="K986">
        <v>7</v>
      </c>
      <c r="L986">
        <v>793018.44</v>
      </c>
      <c r="M986" t="s">
        <v>42</v>
      </c>
      <c r="N986" t="s">
        <v>43</v>
      </c>
      <c r="O986" t="s">
        <v>27</v>
      </c>
      <c r="P986" t="s">
        <v>42</v>
      </c>
    </row>
    <row r="987" spans="1:16" x14ac:dyDescent="0.25">
      <c r="A987" t="s">
        <v>1794</v>
      </c>
      <c r="B987" t="s">
        <v>1791</v>
      </c>
      <c r="C987" t="s">
        <v>65</v>
      </c>
      <c r="D987" t="s">
        <v>30</v>
      </c>
      <c r="E987" t="s">
        <v>31</v>
      </c>
      <c r="F987" t="s">
        <v>32</v>
      </c>
      <c r="G987" t="s">
        <v>41</v>
      </c>
      <c r="H987" t="s">
        <v>58</v>
      </c>
      <c r="I987">
        <v>6</v>
      </c>
      <c r="J987">
        <v>874777</v>
      </c>
      <c r="K987">
        <v>2</v>
      </c>
      <c r="L987">
        <v>5143688.76</v>
      </c>
      <c r="M987" t="s">
        <v>42</v>
      </c>
      <c r="N987" t="s">
        <v>43</v>
      </c>
      <c r="O987" t="s">
        <v>44</v>
      </c>
      <c r="P987" t="s">
        <v>55</v>
      </c>
    </row>
    <row r="988" spans="1:16" x14ac:dyDescent="0.25">
      <c r="A988" t="s">
        <v>1795</v>
      </c>
      <c r="B988" t="s">
        <v>1796</v>
      </c>
      <c r="C988" t="s">
        <v>65</v>
      </c>
      <c r="D988" t="s">
        <v>38</v>
      </c>
      <c r="E988" t="s">
        <v>39</v>
      </c>
      <c r="F988" t="s">
        <v>40</v>
      </c>
      <c r="G988" t="s">
        <v>41</v>
      </c>
      <c r="H988" t="s">
        <v>34</v>
      </c>
      <c r="J988">
        <v>585812</v>
      </c>
      <c r="K988">
        <v>5</v>
      </c>
      <c r="M988" t="s">
        <v>42</v>
      </c>
      <c r="N988" t="s">
        <v>43</v>
      </c>
      <c r="O988" t="s">
        <v>27</v>
      </c>
      <c r="P988" t="s">
        <v>55</v>
      </c>
    </row>
    <row r="989" spans="1:16" x14ac:dyDescent="0.25">
      <c r="A989" t="s">
        <v>1797</v>
      </c>
      <c r="B989" t="s">
        <v>1798</v>
      </c>
      <c r="C989" t="s">
        <v>19</v>
      </c>
      <c r="D989" t="s">
        <v>30</v>
      </c>
      <c r="E989" t="s">
        <v>31</v>
      </c>
      <c r="F989" t="s">
        <v>32</v>
      </c>
      <c r="G989" t="s">
        <v>62</v>
      </c>
      <c r="H989" t="s">
        <v>34</v>
      </c>
      <c r="I989">
        <v>4</v>
      </c>
      <c r="J989">
        <v>367092</v>
      </c>
      <c r="K989">
        <v>12</v>
      </c>
      <c r="L989">
        <v>1292163.8400000001</v>
      </c>
      <c r="M989" t="s">
        <v>42</v>
      </c>
      <c r="N989" t="s">
        <v>69</v>
      </c>
      <c r="O989" t="s">
        <v>27</v>
      </c>
      <c r="P989" t="s">
        <v>55</v>
      </c>
    </row>
    <row r="990" spans="1:16" x14ac:dyDescent="0.25">
      <c r="A990" t="s">
        <v>1799</v>
      </c>
      <c r="B990" t="s">
        <v>879</v>
      </c>
      <c r="C990" t="s">
        <v>79</v>
      </c>
      <c r="D990" t="s">
        <v>30</v>
      </c>
      <c r="E990" t="s">
        <v>31</v>
      </c>
      <c r="F990" t="s">
        <v>32</v>
      </c>
      <c r="G990" t="s">
        <v>41</v>
      </c>
      <c r="H990" t="s">
        <v>53</v>
      </c>
      <c r="I990">
        <v>6</v>
      </c>
      <c r="J990">
        <v>785241</v>
      </c>
      <c r="K990">
        <v>0</v>
      </c>
      <c r="L990">
        <v>4711446</v>
      </c>
      <c r="M990" t="s">
        <v>25</v>
      </c>
      <c r="N990" t="s">
        <v>26</v>
      </c>
      <c r="O990" t="s">
        <v>27</v>
      </c>
      <c r="P990" t="s">
        <v>26</v>
      </c>
    </row>
    <row r="991" spans="1:16" x14ac:dyDescent="0.25">
      <c r="A991" t="s">
        <v>1580</v>
      </c>
      <c r="B991" t="s">
        <v>1800</v>
      </c>
      <c r="C991" t="s">
        <v>37</v>
      </c>
      <c r="D991" t="s">
        <v>38</v>
      </c>
      <c r="E991" t="s">
        <v>39</v>
      </c>
      <c r="F991" t="s">
        <v>40</v>
      </c>
      <c r="G991" t="s">
        <v>33</v>
      </c>
      <c r="H991" t="s">
        <v>24</v>
      </c>
      <c r="I991">
        <v>5</v>
      </c>
      <c r="J991">
        <v>433578</v>
      </c>
      <c r="K991">
        <v>12</v>
      </c>
      <c r="L991">
        <v>1907743.2</v>
      </c>
      <c r="M991" t="s">
        <v>42</v>
      </c>
      <c r="N991" t="s">
        <v>69</v>
      </c>
      <c r="O991" t="s">
        <v>44</v>
      </c>
      <c r="P991" t="s">
        <v>26</v>
      </c>
    </row>
    <row r="992" spans="1:16" x14ac:dyDescent="0.25">
      <c r="A992" t="s">
        <v>1801</v>
      </c>
      <c r="B992" t="s">
        <v>1802</v>
      </c>
      <c r="C992" t="s">
        <v>19</v>
      </c>
      <c r="D992" t="s">
        <v>47</v>
      </c>
      <c r="E992" t="s">
        <v>48</v>
      </c>
      <c r="F992" t="s">
        <v>22</v>
      </c>
      <c r="G992" t="s">
        <v>124</v>
      </c>
      <c r="H992" t="s">
        <v>24</v>
      </c>
      <c r="I992">
        <v>6</v>
      </c>
      <c r="J992">
        <v>65130</v>
      </c>
      <c r="K992">
        <v>10</v>
      </c>
      <c r="L992">
        <v>351702</v>
      </c>
      <c r="M992" t="s">
        <v>42</v>
      </c>
      <c r="N992" t="s">
        <v>26</v>
      </c>
      <c r="O992" t="s">
        <v>44</v>
      </c>
      <c r="P992" t="s">
        <v>26</v>
      </c>
    </row>
    <row r="993" spans="1:16" x14ac:dyDescent="0.25">
      <c r="A993" t="s">
        <v>1803</v>
      </c>
      <c r="B993" t="s">
        <v>1804</v>
      </c>
      <c r="C993" t="s">
        <v>37</v>
      </c>
      <c r="D993" t="s">
        <v>66</v>
      </c>
      <c r="E993" t="s">
        <v>67</v>
      </c>
      <c r="F993" t="s">
        <v>68</v>
      </c>
      <c r="G993" t="s">
        <v>62</v>
      </c>
      <c r="H993" t="s">
        <v>34</v>
      </c>
      <c r="I993">
        <v>7</v>
      </c>
      <c r="J993">
        <v>878677</v>
      </c>
      <c r="K993">
        <v>12</v>
      </c>
      <c r="L993">
        <v>5412650.3200000003</v>
      </c>
      <c r="M993" t="s">
        <v>42</v>
      </c>
      <c r="N993" t="s">
        <v>26</v>
      </c>
      <c r="O993" t="s">
        <v>44</v>
      </c>
      <c r="P993" t="s">
        <v>42</v>
      </c>
    </row>
    <row r="994" spans="1:16" x14ac:dyDescent="0.25">
      <c r="A994" t="s">
        <v>1805</v>
      </c>
      <c r="B994" t="s">
        <v>1089</v>
      </c>
      <c r="C994" t="s">
        <v>85</v>
      </c>
      <c r="D994" t="s">
        <v>66</v>
      </c>
      <c r="E994" t="s">
        <v>67</v>
      </c>
      <c r="F994" t="s">
        <v>68</v>
      </c>
      <c r="G994" t="s">
        <v>33</v>
      </c>
      <c r="H994" t="s">
        <v>58</v>
      </c>
      <c r="I994">
        <v>3</v>
      </c>
      <c r="J994">
        <v>706826</v>
      </c>
      <c r="K994">
        <v>7</v>
      </c>
      <c r="L994">
        <v>1972044.54</v>
      </c>
      <c r="M994" t="s">
        <v>25</v>
      </c>
      <c r="N994" t="s">
        <v>26</v>
      </c>
      <c r="O994" t="s">
        <v>27</v>
      </c>
      <c r="P994" t="s">
        <v>42</v>
      </c>
    </row>
    <row r="995" spans="1:16" x14ac:dyDescent="0.25">
      <c r="A995" t="s">
        <v>1806</v>
      </c>
      <c r="B995" t="s">
        <v>36</v>
      </c>
      <c r="C995" t="s">
        <v>85</v>
      </c>
      <c r="D995" t="s">
        <v>119</v>
      </c>
      <c r="E995" t="s">
        <v>189</v>
      </c>
      <c r="F995" t="s">
        <v>22</v>
      </c>
      <c r="G995" t="s">
        <v>124</v>
      </c>
      <c r="H995" t="s">
        <v>58</v>
      </c>
      <c r="I995">
        <v>3</v>
      </c>
      <c r="J995">
        <v>133714</v>
      </c>
      <c r="K995">
        <v>5</v>
      </c>
      <c r="L995">
        <v>381084.9</v>
      </c>
      <c r="M995" t="s">
        <v>42</v>
      </c>
      <c r="N995" t="s">
        <v>43</v>
      </c>
      <c r="O995" t="s">
        <v>27</v>
      </c>
      <c r="P995" t="s">
        <v>55</v>
      </c>
    </row>
    <row r="996" spans="1:16" x14ac:dyDescent="0.25">
      <c r="A996" t="s">
        <v>1807</v>
      </c>
      <c r="B996" t="s">
        <v>1808</v>
      </c>
      <c r="C996" t="s">
        <v>85</v>
      </c>
      <c r="D996" t="s">
        <v>20</v>
      </c>
      <c r="E996" t="s">
        <v>21</v>
      </c>
      <c r="F996" t="s">
        <v>22</v>
      </c>
      <c r="G996" t="s">
        <v>52</v>
      </c>
      <c r="H996" t="s">
        <v>24</v>
      </c>
      <c r="I996">
        <v>4</v>
      </c>
      <c r="J996">
        <v>424457</v>
      </c>
      <c r="K996">
        <v>5</v>
      </c>
      <c r="L996">
        <v>1612936.6</v>
      </c>
      <c r="M996" t="s">
        <v>42</v>
      </c>
      <c r="N996" t="s">
        <v>26</v>
      </c>
      <c r="O996" t="s">
        <v>27</v>
      </c>
      <c r="P996" t="s">
        <v>55</v>
      </c>
    </row>
    <row r="997" spans="1:16" x14ac:dyDescent="0.25">
      <c r="A997" t="s">
        <v>1809</v>
      </c>
      <c r="B997" t="s">
        <v>1810</v>
      </c>
      <c r="C997" t="s">
        <v>198</v>
      </c>
      <c r="D997" t="s">
        <v>20</v>
      </c>
      <c r="E997" t="s">
        <v>21</v>
      </c>
      <c r="F997" t="s">
        <v>22</v>
      </c>
      <c r="G997" t="s">
        <v>73</v>
      </c>
      <c r="H997" t="s">
        <v>58</v>
      </c>
      <c r="I997">
        <v>3</v>
      </c>
      <c r="J997">
        <v>100647</v>
      </c>
      <c r="K997">
        <v>5</v>
      </c>
      <c r="L997">
        <v>286843.95</v>
      </c>
      <c r="M997" t="s">
        <v>25</v>
      </c>
      <c r="N997" t="s">
        <v>26</v>
      </c>
      <c r="O997" t="s">
        <v>44</v>
      </c>
      <c r="P997" t="s">
        <v>55</v>
      </c>
    </row>
    <row r="998" spans="1:16" x14ac:dyDescent="0.25">
      <c r="A998" t="s">
        <v>1811</v>
      </c>
      <c r="B998" t="s">
        <v>1812</v>
      </c>
      <c r="C998" t="s">
        <v>79</v>
      </c>
      <c r="D998" t="s">
        <v>129</v>
      </c>
      <c r="E998" t="s">
        <v>39</v>
      </c>
      <c r="F998" t="s">
        <v>40</v>
      </c>
      <c r="G998" t="s">
        <v>73</v>
      </c>
      <c r="H998" t="s">
        <v>53</v>
      </c>
      <c r="J998">
        <v>879748</v>
      </c>
      <c r="K998">
        <v>2</v>
      </c>
      <c r="M998" t="s">
        <v>25</v>
      </c>
      <c r="N998" t="s">
        <v>26</v>
      </c>
      <c r="O998" t="s">
        <v>44</v>
      </c>
      <c r="P998" t="s">
        <v>26</v>
      </c>
    </row>
    <row r="999" spans="1:16" x14ac:dyDescent="0.25">
      <c r="A999" t="s">
        <v>1813</v>
      </c>
      <c r="B999" t="s">
        <v>512</v>
      </c>
      <c r="C999" t="s">
        <v>85</v>
      </c>
      <c r="D999" t="s">
        <v>66</v>
      </c>
      <c r="E999" t="s">
        <v>201</v>
      </c>
      <c r="F999" t="s">
        <v>68</v>
      </c>
      <c r="G999" t="s">
        <v>33</v>
      </c>
      <c r="H999" t="s">
        <v>53</v>
      </c>
      <c r="I999">
        <v>6</v>
      </c>
      <c r="J999">
        <v>368363</v>
      </c>
      <c r="K999">
        <v>0</v>
      </c>
      <c r="L999">
        <v>2210178</v>
      </c>
      <c r="M999" t="s">
        <v>25</v>
      </c>
      <c r="N999" t="s">
        <v>26</v>
      </c>
      <c r="O999" t="s">
        <v>44</v>
      </c>
      <c r="P999" t="s">
        <v>55</v>
      </c>
    </row>
    <row r="1000" spans="1:16" x14ac:dyDescent="0.25">
      <c r="A1000" t="s">
        <v>1814</v>
      </c>
      <c r="B1000" t="s">
        <v>1815</v>
      </c>
      <c r="C1000" t="s">
        <v>37</v>
      </c>
      <c r="D1000" t="s">
        <v>51</v>
      </c>
      <c r="E1000" t="s">
        <v>48</v>
      </c>
      <c r="F1000" t="s">
        <v>22</v>
      </c>
      <c r="G1000" t="s">
        <v>33</v>
      </c>
      <c r="H1000" t="s">
        <v>86</v>
      </c>
      <c r="I1000">
        <v>5</v>
      </c>
      <c r="J1000">
        <v>197813</v>
      </c>
      <c r="K1000">
        <v>0</v>
      </c>
      <c r="L1000">
        <v>989065</v>
      </c>
      <c r="M1000" t="s">
        <v>42</v>
      </c>
      <c r="N1000" t="s">
        <v>69</v>
      </c>
      <c r="O1000" t="s">
        <v>44</v>
      </c>
      <c r="P1000" t="s">
        <v>55</v>
      </c>
    </row>
    <row r="1001" spans="1:16" x14ac:dyDescent="0.25">
      <c r="A1001" t="s">
        <v>1816</v>
      </c>
      <c r="B1001" t="s">
        <v>1343</v>
      </c>
      <c r="C1001" t="s">
        <v>37</v>
      </c>
      <c r="D1001" t="s">
        <v>47</v>
      </c>
      <c r="E1001" t="s">
        <v>48</v>
      </c>
      <c r="F1001" t="s">
        <v>22</v>
      </c>
      <c r="G1001" t="s">
        <v>33</v>
      </c>
      <c r="H1001" t="s">
        <v>86</v>
      </c>
      <c r="I1001">
        <v>5</v>
      </c>
      <c r="J1001">
        <v>209106</v>
      </c>
      <c r="M1001" t="s">
        <v>42</v>
      </c>
      <c r="N1001" t="s">
        <v>43</v>
      </c>
      <c r="O1001" t="s">
        <v>44</v>
      </c>
      <c r="P1001" t="s">
        <v>26</v>
      </c>
    </row>
    <row r="1002" spans="1:16" x14ac:dyDescent="0.25">
      <c r="A1002" t="s">
        <v>1817</v>
      </c>
      <c r="B1002" t="s">
        <v>725</v>
      </c>
      <c r="C1002" t="s">
        <v>76</v>
      </c>
      <c r="D1002" t="s">
        <v>20</v>
      </c>
      <c r="E1002" t="s">
        <v>21</v>
      </c>
      <c r="F1002" t="s">
        <v>22</v>
      </c>
      <c r="G1002" t="s">
        <v>73</v>
      </c>
      <c r="H1002" t="s">
        <v>34</v>
      </c>
      <c r="I1002">
        <v>5</v>
      </c>
      <c r="J1002">
        <v>625007</v>
      </c>
      <c r="K1002">
        <v>0</v>
      </c>
      <c r="L1002">
        <v>3125035</v>
      </c>
      <c r="M1002" t="s">
        <v>42</v>
      </c>
      <c r="N1002" t="s">
        <v>26</v>
      </c>
      <c r="O1002" t="s">
        <v>27</v>
      </c>
      <c r="P1002" t="s">
        <v>55</v>
      </c>
    </row>
    <row r="1003" spans="1:16" x14ac:dyDescent="0.25">
      <c r="A1003" t="s">
        <v>1818</v>
      </c>
      <c r="B1003" t="s">
        <v>1819</v>
      </c>
      <c r="C1003" t="s">
        <v>76</v>
      </c>
      <c r="D1003" t="s">
        <v>20</v>
      </c>
      <c r="E1003" t="s">
        <v>21</v>
      </c>
      <c r="F1003" t="s">
        <v>22</v>
      </c>
      <c r="G1003" t="s">
        <v>52</v>
      </c>
      <c r="H1003" t="s">
        <v>58</v>
      </c>
      <c r="I1003">
        <v>8</v>
      </c>
      <c r="J1003">
        <v>841613</v>
      </c>
      <c r="K1003">
        <v>10</v>
      </c>
      <c r="L1003">
        <v>6071958.6000000006</v>
      </c>
      <c r="M1003" t="s">
        <v>25</v>
      </c>
      <c r="N1003" t="s">
        <v>69</v>
      </c>
      <c r="O1003" t="s">
        <v>44</v>
      </c>
      <c r="P1003" t="s">
        <v>26</v>
      </c>
    </row>
    <row r="1004" spans="1:16" x14ac:dyDescent="0.25">
      <c r="A1004" t="s">
        <v>1820</v>
      </c>
      <c r="B1004" t="s">
        <v>110</v>
      </c>
      <c r="C1004" t="s">
        <v>65</v>
      </c>
      <c r="D1004" t="s">
        <v>38</v>
      </c>
      <c r="E1004" t="s">
        <v>39</v>
      </c>
      <c r="F1004" t="s">
        <v>40</v>
      </c>
      <c r="G1004" t="s">
        <v>33</v>
      </c>
      <c r="H1004" t="s">
        <v>24</v>
      </c>
      <c r="I1004">
        <v>8</v>
      </c>
      <c r="J1004">
        <v>62933</v>
      </c>
      <c r="K1004">
        <v>5</v>
      </c>
      <c r="L1004">
        <v>478290.8</v>
      </c>
      <c r="M1004" t="s">
        <v>25</v>
      </c>
      <c r="N1004" t="s">
        <v>69</v>
      </c>
      <c r="O1004" t="s">
        <v>27</v>
      </c>
      <c r="P1004" t="s">
        <v>55</v>
      </c>
    </row>
    <row r="1005" spans="1:16" x14ac:dyDescent="0.25">
      <c r="A1005" t="s">
        <v>1821</v>
      </c>
      <c r="B1005" t="s">
        <v>652</v>
      </c>
      <c r="C1005" t="s">
        <v>65</v>
      </c>
      <c r="D1005" t="s">
        <v>66</v>
      </c>
      <c r="E1005" t="s">
        <v>67</v>
      </c>
      <c r="F1005" t="s">
        <v>68</v>
      </c>
      <c r="G1005" t="s">
        <v>33</v>
      </c>
      <c r="H1005" t="s">
        <v>86</v>
      </c>
      <c r="I1005">
        <v>3</v>
      </c>
      <c r="J1005">
        <v>490251</v>
      </c>
      <c r="K1005">
        <v>12</v>
      </c>
      <c r="L1005">
        <v>1294262.6399999999</v>
      </c>
      <c r="M1005" t="s">
        <v>54</v>
      </c>
      <c r="N1005" t="s">
        <v>26</v>
      </c>
      <c r="O1005" t="s">
        <v>27</v>
      </c>
      <c r="P1005" t="s">
        <v>42</v>
      </c>
    </row>
    <row r="1006" spans="1:16" x14ac:dyDescent="0.25">
      <c r="A1006" t="s">
        <v>1822</v>
      </c>
      <c r="B1006" t="s">
        <v>1823</v>
      </c>
      <c r="C1006" t="s">
        <v>61</v>
      </c>
      <c r="D1006" t="s">
        <v>154</v>
      </c>
      <c r="E1006" t="s">
        <v>67</v>
      </c>
      <c r="F1006" t="s">
        <v>68</v>
      </c>
      <c r="G1006" t="s">
        <v>73</v>
      </c>
      <c r="H1006" t="s">
        <v>58</v>
      </c>
      <c r="I1006">
        <v>4</v>
      </c>
      <c r="J1006">
        <v>884050</v>
      </c>
      <c r="K1006">
        <v>5</v>
      </c>
      <c r="L1006">
        <v>3359390</v>
      </c>
      <c r="M1006" t="s">
        <v>25</v>
      </c>
      <c r="N1006" t="s">
        <v>43</v>
      </c>
      <c r="O1006" t="s">
        <v>44</v>
      </c>
      <c r="P1006" t="s">
        <v>26</v>
      </c>
    </row>
    <row r="1007" spans="1:16" x14ac:dyDescent="0.25">
      <c r="A1007" t="s">
        <v>1824</v>
      </c>
      <c r="B1007" t="s">
        <v>1825</v>
      </c>
      <c r="C1007" t="s">
        <v>65</v>
      </c>
      <c r="D1007" t="s">
        <v>154</v>
      </c>
      <c r="E1007" t="s">
        <v>67</v>
      </c>
      <c r="F1007" t="s">
        <v>68</v>
      </c>
      <c r="G1007" t="s">
        <v>124</v>
      </c>
      <c r="H1007" t="s">
        <v>53</v>
      </c>
      <c r="I1007">
        <v>4</v>
      </c>
      <c r="J1007">
        <v>362136</v>
      </c>
      <c r="K1007">
        <v>10</v>
      </c>
      <c r="L1007">
        <v>1303689.6000000001</v>
      </c>
      <c r="M1007" t="s">
        <v>25</v>
      </c>
      <c r="N1007" t="s">
        <v>43</v>
      </c>
      <c r="O1007" t="s">
        <v>44</v>
      </c>
      <c r="P1007" t="s">
        <v>55</v>
      </c>
    </row>
    <row r="1008" spans="1:16" x14ac:dyDescent="0.25">
      <c r="A1008" t="s">
        <v>1826</v>
      </c>
      <c r="B1008" t="s">
        <v>501</v>
      </c>
      <c r="C1008" t="s">
        <v>76</v>
      </c>
      <c r="D1008" t="s">
        <v>66</v>
      </c>
      <c r="E1008" t="s">
        <v>67</v>
      </c>
      <c r="F1008" t="s">
        <v>68</v>
      </c>
      <c r="G1008" t="s">
        <v>52</v>
      </c>
      <c r="H1008" t="s">
        <v>34</v>
      </c>
      <c r="I1008">
        <v>4</v>
      </c>
      <c r="J1008">
        <v>533553</v>
      </c>
      <c r="K1008">
        <v>5</v>
      </c>
      <c r="L1008">
        <v>2027501.4</v>
      </c>
      <c r="M1008" t="s">
        <v>42</v>
      </c>
      <c r="N1008" t="s">
        <v>69</v>
      </c>
      <c r="O1008" t="s">
        <v>27</v>
      </c>
      <c r="P1008" t="s">
        <v>42</v>
      </c>
    </row>
    <row r="1009" spans="1:16" x14ac:dyDescent="0.25">
      <c r="A1009" t="s">
        <v>1827</v>
      </c>
      <c r="B1009" t="s">
        <v>260</v>
      </c>
      <c r="C1009" t="s">
        <v>76</v>
      </c>
      <c r="D1009" t="s">
        <v>38</v>
      </c>
      <c r="E1009" t="s">
        <v>39</v>
      </c>
      <c r="F1009" t="s">
        <v>40</v>
      </c>
      <c r="G1009" t="s">
        <v>52</v>
      </c>
      <c r="H1009" t="s">
        <v>24</v>
      </c>
      <c r="I1009">
        <v>7</v>
      </c>
      <c r="J1009">
        <v>302802</v>
      </c>
      <c r="K1009">
        <v>5</v>
      </c>
      <c r="L1009">
        <v>2013633.3</v>
      </c>
      <c r="M1009" t="s">
        <v>25</v>
      </c>
      <c r="N1009" t="s">
        <v>69</v>
      </c>
      <c r="O1009" t="s">
        <v>44</v>
      </c>
      <c r="P1009" t="s">
        <v>55</v>
      </c>
    </row>
    <row r="1010" spans="1:16" x14ac:dyDescent="0.25">
      <c r="A1010" t="s">
        <v>1828</v>
      </c>
      <c r="B1010" t="s">
        <v>211</v>
      </c>
      <c r="C1010" t="s">
        <v>85</v>
      </c>
      <c r="D1010" t="s">
        <v>47</v>
      </c>
      <c r="E1010" t="s">
        <v>48</v>
      </c>
      <c r="F1010" t="s">
        <v>22</v>
      </c>
      <c r="G1010" t="s">
        <v>33</v>
      </c>
      <c r="H1010" t="s">
        <v>53</v>
      </c>
      <c r="I1010">
        <v>5</v>
      </c>
      <c r="J1010">
        <v>781621</v>
      </c>
      <c r="K1010">
        <v>7</v>
      </c>
      <c r="L1010">
        <v>3634537.65</v>
      </c>
      <c r="M1010" t="s">
        <v>25</v>
      </c>
      <c r="N1010" t="s">
        <v>69</v>
      </c>
      <c r="O1010" t="s">
        <v>27</v>
      </c>
      <c r="P1010" t="s">
        <v>42</v>
      </c>
    </row>
    <row r="1011" spans="1:16" x14ac:dyDescent="0.25">
      <c r="A1011" t="s">
        <v>1829</v>
      </c>
      <c r="B1011" t="s">
        <v>305</v>
      </c>
      <c r="C1011" t="s">
        <v>76</v>
      </c>
      <c r="D1011" t="s">
        <v>66</v>
      </c>
      <c r="E1011" t="s">
        <v>67</v>
      </c>
      <c r="F1011" t="s">
        <v>68</v>
      </c>
      <c r="G1011" t="s">
        <v>41</v>
      </c>
      <c r="H1011" t="s">
        <v>34</v>
      </c>
      <c r="I1011">
        <v>8</v>
      </c>
      <c r="J1011">
        <v>501503</v>
      </c>
      <c r="K1011">
        <v>10</v>
      </c>
      <c r="L1011">
        <v>3610821.6</v>
      </c>
      <c r="M1011" t="s">
        <v>42</v>
      </c>
      <c r="N1011" t="s">
        <v>69</v>
      </c>
      <c r="O1011" t="s">
        <v>27</v>
      </c>
      <c r="P1011" t="s">
        <v>26</v>
      </c>
    </row>
    <row r="1012" spans="1:16" x14ac:dyDescent="0.25">
      <c r="A1012" t="s">
        <v>1830</v>
      </c>
      <c r="B1012" t="s">
        <v>1831</v>
      </c>
      <c r="C1012" t="s">
        <v>37</v>
      </c>
      <c r="D1012" t="s">
        <v>47</v>
      </c>
      <c r="E1012" t="s">
        <v>48</v>
      </c>
      <c r="F1012" t="s">
        <v>22</v>
      </c>
      <c r="G1012" t="s">
        <v>62</v>
      </c>
      <c r="H1012" t="s">
        <v>24</v>
      </c>
      <c r="I1012">
        <v>2</v>
      </c>
      <c r="J1012">
        <v>877381</v>
      </c>
      <c r="K1012">
        <v>0</v>
      </c>
      <c r="L1012">
        <v>1754762</v>
      </c>
      <c r="M1012" t="s">
        <v>25</v>
      </c>
      <c r="N1012" t="s">
        <v>43</v>
      </c>
      <c r="O1012" t="s">
        <v>44</v>
      </c>
      <c r="P1012" t="s">
        <v>42</v>
      </c>
    </row>
    <row r="1013" spans="1:16" x14ac:dyDescent="0.25">
      <c r="A1013" t="s">
        <v>1832</v>
      </c>
      <c r="B1013" t="s">
        <v>1833</v>
      </c>
      <c r="C1013" t="s">
        <v>65</v>
      </c>
      <c r="D1013" t="s">
        <v>20</v>
      </c>
      <c r="E1013" t="s">
        <v>21</v>
      </c>
      <c r="F1013" t="s">
        <v>22</v>
      </c>
      <c r="G1013" t="s">
        <v>62</v>
      </c>
      <c r="H1013" t="s">
        <v>53</v>
      </c>
      <c r="I1013">
        <v>4</v>
      </c>
      <c r="J1013">
        <v>647540</v>
      </c>
      <c r="K1013">
        <v>2</v>
      </c>
      <c r="L1013">
        <v>2538356.7999999998</v>
      </c>
      <c r="M1013" t="s">
        <v>25</v>
      </c>
      <c r="N1013" t="s">
        <v>69</v>
      </c>
      <c r="O1013" t="s">
        <v>27</v>
      </c>
      <c r="P1013" t="s">
        <v>26</v>
      </c>
    </row>
    <row r="1014" spans="1:16" x14ac:dyDescent="0.25">
      <c r="A1014" t="s">
        <v>1834</v>
      </c>
      <c r="B1014" t="s">
        <v>1280</v>
      </c>
      <c r="C1014" t="s">
        <v>19</v>
      </c>
      <c r="D1014" t="s">
        <v>47</v>
      </c>
      <c r="E1014" t="s">
        <v>72</v>
      </c>
      <c r="F1014" t="s">
        <v>22</v>
      </c>
      <c r="G1014" t="s">
        <v>62</v>
      </c>
      <c r="H1014" t="s">
        <v>86</v>
      </c>
      <c r="I1014">
        <v>8</v>
      </c>
      <c r="J1014">
        <v>615297</v>
      </c>
      <c r="K1014">
        <v>0</v>
      </c>
      <c r="L1014">
        <v>4922376</v>
      </c>
      <c r="M1014" t="s">
        <v>42</v>
      </c>
      <c r="N1014" t="s">
        <v>43</v>
      </c>
      <c r="O1014" t="s">
        <v>44</v>
      </c>
      <c r="P1014" t="s">
        <v>26</v>
      </c>
    </row>
    <row r="1015" spans="1:16" x14ac:dyDescent="0.25">
      <c r="A1015" t="s">
        <v>1835</v>
      </c>
      <c r="B1015" t="s">
        <v>1186</v>
      </c>
      <c r="C1015" t="s">
        <v>76</v>
      </c>
      <c r="D1015" t="s">
        <v>47</v>
      </c>
      <c r="E1015" t="s">
        <v>48</v>
      </c>
      <c r="F1015" t="s">
        <v>22</v>
      </c>
      <c r="G1015" t="s">
        <v>41</v>
      </c>
      <c r="H1015" t="s">
        <v>34</v>
      </c>
      <c r="I1015">
        <v>4</v>
      </c>
      <c r="J1015">
        <v>293791</v>
      </c>
      <c r="K1015">
        <v>7</v>
      </c>
      <c r="L1015">
        <v>1092902.52</v>
      </c>
      <c r="M1015" t="s">
        <v>42</v>
      </c>
      <c r="N1015" t="s">
        <v>43</v>
      </c>
      <c r="O1015" t="s">
        <v>44</v>
      </c>
      <c r="P1015" t="s">
        <v>42</v>
      </c>
    </row>
    <row r="1016" spans="1:16" x14ac:dyDescent="0.25">
      <c r="A1016" t="s">
        <v>1836</v>
      </c>
      <c r="B1016" t="s">
        <v>78</v>
      </c>
      <c r="C1016" t="s">
        <v>76</v>
      </c>
      <c r="D1016" t="s">
        <v>38</v>
      </c>
      <c r="E1016" t="s">
        <v>130</v>
      </c>
      <c r="F1016" t="s">
        <v>40</v>
      </c>
      <c r="G1016" t="s">
        <v>41</v>
      </c>
      <c r="H1016" t="s">
        <v>53</v>
      </c>
      <c r="I1016">
        <v>2</v>
      </c>
      <c r="J1016">
        <v>353064</v>
      </c>
      <c r="K1016">
        <v>0</v>
      </c>
      <c r="L1016">
        <v>706128</v>
      </c>
      <c r="M1016" t="s">
        <v>25</v>
      </c>
      <c r="N1016" t="s">
        <v>43</v>
      </c>
      <c r="O1016" t="s">
        <v>44</v>
      </c>
      <c r="P1016" t="s">
        <v>26</v>
      </c>
    </row>
    <row r="1017" spans="1:16" x14ac:dyDescent="0.25">
      <c r="A1017" t="s">
        <v>1837</v>
      </c>
      <c r="B1017" t="s">
        <v>1031</v>
      </c>
      <c r="C1017" t="s">
        <v>91</v>
      </c>
      <c r="D1017" t="s">
        <v>106</v>
      </c>
      <c r="E1017" t="s">
        <v>31</v>
      </c>
      <c r="F1017" t="s">
        <v>32</v>
      </c>
      <c r="G1017" t="s">
        <v>33</v>
      </c>
      <c r="H1017" t="s">
        <v>24</v>
      </c>
      <c r="I1017">
        <v>6</v>
      </c>
      <c r="J1017">
        <v>594682</v>
      </c>
      <c r="K1017">
        <v>2</v>
      </c>
      <c r="L1017">
        <v>3496730.16</v>
      </c>
      <c r="M1017" t="s">
        <v>25</v>
      </c>
      <c r="N1017" t="s">
        <v>26</v>
      </c>
      <c r="O1017" t="s">
        <v>27</v>
      </c>
      <c r="P1017" t="s">
        <v>42</v>
      </c>
    </row>
    <row r="1018" spans="1:16" x14ac:dyDescent="0.25">
      <c r="A1018" t="s">
        <v>1838</v>
      </c>
      <c r="B1018" t="s">
        <v>965</v>
      </c>
      <c r="C1018" t="s">
        <v>19</v>
      </c>
      <c r="D1018" t="s">
        <v>20</v>
      </c>
      <c r="E1018" t="s">
        <v>189</v>
      </c>
      <c r="F1018" t="s">
        <v>22</v>
      </c>
      <c r="G1018" t="s">
        <v>62</v>
      </c>
      <c r="H1018" t="s">
        <v>34</v>
      </c>
      <c r="I1018">
        <v>8</v>
      </c>
      <c r="J1018">
        <v>202387</v>
      </c>
      <c r="K1018">
        <v>0</v>
      </c>
      <c r="L1018">
        <v>1619096</v>
      </c>
      <c r="M1018" t="s">
        <v>25</v>
      </c>
      <c r="N1018" t="s">
        <v>26</v>
      </c>
      <c r="O1018" t="s">
        <v>44</v>
      </c>
      <c r="P1018" t="s">
        <v>26</v>
      </c>
    </row>
    <row r="1019" spans="1:16" x14ac:dyDescent="0.25">
      <c r="A1019" t="s">
        <v>1839</v>
      </c>
      <c r="B1019" t="s">
        <v>1569</v>
      </c>
      <c r="C1019" t="s">
        <v>85</v>
      </c>
      <c r="D1019" t="s">
        <v>47</v>
      </c>
      <c r="E1019" t="s">
        <v>48</v>
      </c>
      <c r="F1019" t="s">
        <v>22</v>
      </c>
      <c r="G1019" t="s">
        <v>52</v>
      </c>
      <c r="H1019" t="s">
        <v>58</v>
      </c>
      <c r="I1019">
        <v>6</v>
      </c>
      <c r="J1019">
        <v>488795</v>
      </c>
      <c r="K1019">
        <v>7</v>
      </c>
      <c r="L1019">
        <v>2727476.1</v>
      </c>
      <c r="M1019" t="s">
        <v>25</v>
      </c>
      <c r="N1019" t="s">
        <v>26</v>
      </c>
      <c r="O1019" t="s">
        <v>44</v>
      </c>
      <c r="P1019" t="s">
        <v>26</v>
      </c>
    </row>
    <row r="1020" spans="1:16" x14ac:dyDescent="0.25">
      <c r="A1020" t="s">
        <v>1840</v>
      </c>
      <c r="B1020" t="s">
        <v>1841</v>
      </c>
      <c r="C1020" t="s">
        <v>76</v>
      </c>
      <c r="D1020" t="s">
        <v>47</v>
      </c>
      <c r="E1020" t="s">
        <v>48</v>
      </c>
      <c r="F1020" t="s">
        <v>22</v>
      </c>
      <c r="G1020" t="s">
        <v>52</v>
      </c>
      <c r="H1020" t="s">
        <v>58</v>
      </c>
      <c r="I1020">
        <v>2</v>
      </c>
      <c r="J1020">
        <v>807712</v>
      </c>
      <c r="K1020">
        <v>5</v>
      </c>
      <c r="L1020">
        <v>1534652.8</v>
      </c>
      <c r="M1020" t="s">
        <v>54</v>
      </c>
      <c r="N1020" t="s">
        <v>43</v>
      </c>
      <c r="O1020" t="s">
        <v>44</v>
      </c>
      <c r="P1020" t="s">
        <v>55</v>
      </c>
    </row>
    <row r="1021" spans="1:16" x14ac:dyDescent="0.25">
      <c r="A1021" t="s">
        <v>1842</v>
      </c>
      <c r="B1021" t="s">
        <v>1202</v>
      </c>
      <c r="C1021" t="s">
        <v>37</v>
      </c>
      <c r="D1021" t="s">
        <v>47</v>
      </c>
      <c r="E1021" t="s">
        <v>48</v>
      </c>
      <c r="F1021" t="s">
        <v>22</v>
      </c>
      <c r="G1021" t="s">
        <v>89</v>
      </c>
      <c r="H1021" t="s">
        <v>24</v>
      </c>
      <c r="I1021">
        <v>2</v>
      </c>
      <c r="J1021">
        <v>722838</v>
      </c>
      <c r="K1021">
        <v>5</v>
      </c>
      <c r="L1021">
        <v>1373392.2</v>
      </c>
      <c r="M1021" t="s">
        <v>54</v>
      </c>
      <c r="N1021" t="s">
        <v>26</v>
      </c>
      <c r="O1021" t="s">
        <v>44</v>
      </c>
      <c r="P1021" t="s">
        <v>42</v>
      </c>
    </row>
    <row r="1022" spans="1:16" x14ac:dyDescent="0.25">
      <c r="A1022" t="s">
        <v>1843</v>
      </c>
      <c r="B1022" t="s">
        <v>1844</v>
      </c>
      <c r="C1022" t="s">
        <v>65</v>
      </c>
      <c r="D1022" t="s">
        <v>20</v>
      </c>
      <c r="E1022" t="s">
        <v>21</v>
      </c>
      <c r="F1022" t="s">
        <v>22</v>
      </c>
      <c r="G1022" t="s">
        <v>33</v>
      </c>
      <c r="H1022" t="s">
        <v>34</v>
      </c>
      <c r="I1022">
        <v>6</v>
      </c>
      <c r="J1022">
        <v>227758</v>
      </c>
      <c r="K1022">
        <v>7</v>
      </c>
      <c r="L1022">
        <v>1270889.6399999999</v>
      </c>
      <c r="M1022" t="s">
        <v>25</v>
      </c>
      <c r="N1022" t="s">
        <v>26</v>
      </c>
      <c r="O1022" t="s">
        <v>44</v>
      </c>
      <c r="P1022" t="s">
        <v>26</v>
      </c>
    </row>
    <row r="1023" spans="1:16" x14ac:dyDescent="0.25">
      <c r="A1023" t="s">
        <v>1845</v>
      </c>
      <c r="B1023" t="s">
        <v>1846</v>
      </c>
      <c r="C1023" t="s">
        <v>65</v>
      </c>
      <c r="D1023" t="s">
        <v>129</v>
      </c>
      <c r="E1023" t="s">
        <v>130</v>
      </c>
      <c r="F1023" t="s">
        <v>40</v>
      </c>
      <c r="G1023" t="s">
        <v>73</v>
      </c>
      <c r="H1023" t="s">
        <v>86</v>
      </c>
      <c r="I1023">
        <v>1</v>
      </c>
      <c r="J1023">
        <v>732708</v>
      </c>
      <c r="K1023">
        <v>10</v>
      </c>
      <c r="L1023">
        <v>659437.20000000007</v>
      </c>
      <c r="M1023" t="s">
        <v>54</v>
      </c>
      <c r="N1023" t="s">
        <v>69</v>
      </c>
      <c r="O1023" t="s">
        <v>44</v>
      </c>
      <c r="P1023" t="s">
        <v>55</v>
      </c>
    </row>
    <row r="1024" spans="1:16" x14ac:dyDescent="0.25">
      <c r="A1024" t="s">
        <v>1847</v>
      </c>
      <c r="B1024" t="s">
        <v>565</v>
      </c>
      <c r="C1024" t="s">
        <v>65</v>
      </c>
      <c r="D1024" t="s">
        <v>51</v>
      </c>
      <c r="E1024" t="s">
        <v>48</v>
      </c>
      <c r="F1024" t="s">
        <v>22</v>
      </c>
      <c r="G1024" t="s">
        <v>62</v>
      </c>
      <c r="H1024" t="s">
        <v>86</v>
      </c>
      <c r="I1024">
        <v>1</v>
      </c>
      <c r="J1024">
        <v>567662</v>
      </c>
      <c r="K1024">
        <v>10</v>
      </c>
      <c r="L1024">
        <v>510895.8</v>
      </c>
      <c r="M1024" t="s">
        <v>25</v>
      </c>
      <c r="N1024" t="s">
        <v>69</v>
      </c>
      <c r="O1024" t="s">
        <v>27</v>
      </c>
      <c r="P1024" t="s">
        <v>42</v>
      </c>
    </row>
    <row r="1025" spans="1:16" x14ac:dyDescent="0.25">
      <c r="A1025" t="s">
        <v>1848</v>
      </c>
      <c r="B1025" t="s">
        <v>378</v>
      </c>
      <c r="C1025" t="s">
        <v>19</v>
      </c>
      <c r="D1025" t="s">
        <v>38</v>
      </c>
      <c r="E1025" t="s">
        <v>39</v>
      </c>
      <c r="F1025" t="s">
        <v>40</v>
      </c>
      <c r="G1025" t="s">
        <v>23</v>
      </c>
      <c r="H1025" t="s">
        <v>86</v>
      </c>
      <c r="I1025">
        <v>1</v>
      </c>
      <c r="J1025">
        <v>397315</v>
      </c>
      <c r="K1025">
        <v>12</v>
      </c>
      <c r="L1025">
        <v>349637.2</v>
      </c>
      <c r="M1025" t="s">
        <v>25</v>
      </c>
      <c r="N1025" t="s">
        <v>26</v>
      </c>
      <c r="O1025" t="s">
        <v>44</v>
      </c>
      <c r="P1025" t="s">
        <v>55</v>
      </c>
    </row>
    <row r="1026" spans="1:16" x14ac:dyDescent="0.25">
      <c r="A1026" t="s">
        <v>1849</v>
      </c>
      <c r="B1026" t="s">
        <v>1850</v>
      </c>
      <c r="C1026" t="s">
        <v>91</v>
      </c>
      <c r="D1026" t="s">
        <v>47</v>
      </c>
      <c r="E1026" t="s">
        <v>48</v>
      </c>
      <c r="F1026" t="s">
        <v>22</v>
      </c>
      <c r="G1026" t="s">
        <v>41</v>
      </c>
      <c r="H1026" t="s">
        <v>86</v>
      </c>
      <c r="I1026">
        <v>6</v>
      </c>
      <c r="J1026">
        <v>816316</v>
      </c>
      <c r="K1026">
        <v>12</v>
      </c>
      <c r="L1026">
        <v>4310148.4800000004</v>
      </c>
      <c r="M1026" t="s">
        <v>54</v>
      </c>
      <c r="N1026" t="s">
        <v>26</v>
      </c>
      <c r="O1026" t="s">
        <v>44</v>
      </c>
      <c r="P1026" t="s">
        <v>26</v>
      </c>
    </row>
    <row r="1027" spans="1:16" x14ac:dyDescent="0.25">
      <c r="A1027" t="s">
        <v>1851</v>
      </c>
      <c r="B1027" t="s">
        <v>225</v>
      </c>
      <c r="C1027" t="s">
        <v>61</v>
      </c>
      <c r="D1027" t="s">
        <v>66</v>
      </c>
      <c r="E1027" t="s">
        <v>67</v>
      </c>
      <c r="F1027" t="s">
        <v>68</v>
      </c>
      <c r="G1027" t="s">
        <v>73</v>
      </c>
      <c r="H1027" t="s">
        <v>58</v>
      </c>
      <c r="I1027">
        <v>8</v>
      </c>
      <c r="J1027">
        <v>132873</v>
      </c>
      <c r="K1027">
        <v>5</v>
      </c>
      <c r="L1027">
        <v>1009834.8</v>
      </c>
      <c r="M1027" t="s">
        <v>42</v>
      </c>
      <c r="N1027" t="s">
        <v>43</v>
      </c>
      <c r="O1027" t="s">
        <v>27</v>
      </c>
      <c r="P1027" t="s">
        <v>55</v>
      </c>
    </row>
    <row r="1028" spans="1:16" x14ac:dyDescent="0.25">
      <c r="A1028" t="s">
        <v>1852</v>
      </c>
      <c r="B1028" t="s">
        <v>543</v>
      </c>
      <c r="C1028" t="s">
        <v>85</v>
      </c>
      <c r="D1028" t="s">
        <v>66</v>
      </c>
      <c r="E1028" t="s">
        <v>67</v>
      </c>
      <c r="F1028" t="s">
        <v>68</v>
      </c>
      <c r="G1028" t="s">
        <v>62</v>
      </c>
      <c r="H1028" t="s">
        <v>24</v>
      </c>
      <c r="I1028">
        <v>8</v>
      </c>
      <c r="J1028">
        <v>647783</v>
      </c>
      <c r="K1028">
        <v>12</v>
      </c>
      <c r="L1028">
        <v>4560392.32</v>
      </c>
      <c r="M1028" t="s">
        <v>25</v>
      </c>
      <c r="N1028" t="s">
        <v>69</v>
      </c>
      <c r="O1028" t="s">
        <v>27</v>
      </c>
      <c r="P1028" t="s">
        <v>26</v>
      </c>
    </row>
    <row r="1029" spans="1:16" x14ac:dyDescent="0.25">
      <c r="A1029" t="s">
        <v>1853</v>
      </c>
      <c r="B1029" t="s">
        <v>1404</v>
      </c>
      <c r="C1029" t="s">
        <v>19</v>
      </c>
      <c r="D1029" t="s">
        <v>30</v>
      </c>
      <c r="E1029" t="s">
        <v>31</v>
      </c>
      <c r="F1029" t="s">
        <v>32</v>
      </c>
      <c r="G1029" t="s">
        <v>41</v>
      </c>
      <c r="H1029" t="s">
        <v>34</v>
      </c>
      <c r="I1029">
        <v>4</v>
      </c>
      <c r="J1029">
        <v>635200</v>
      </c>
      <c r="K1029">
        <v>2</v>
      </c>
      <c r="L1029">
        <v>2489984</v>
      </c>
      <c r="M1029" t="s">
        <v>42</v>
      </c>
      <c r="N1029" t="s">
        <v>69</v>
      </c>
      <c r="O1029" t="s">
        <v>27</v>
      </c>
      <c r="P1029" t="s">
        <v>26</v>
      </c>
    </row>
    <row r="1030" spans="1:16" x14ac:dyDescent="0.25">
      <c r="A1030" t="s">
        <v>1854</v>
      </c>
      <c r="B1030" t="s">
        <v>1855</v>
      </c>
      <c r="C1030" t="s">
        <v>85</v>
      </c>
      <c r="D1030" t="s">
        <v>47</v>
      </c>
      <c r="E1030" t="s">
        <v>48</v>
      </c>
      <c r="F1030" t="s">
        <v>22</v>
      </c>
      <c r="G1030" t="s">
        <v>52</v>
      </c>
      <c r="H1030" t="s">
        <v>24</v>
      </c>
      <c r="I1030">
        <v>5</v>
      </c>
      <c r="J1030">
        <v>427091</v>
      </c>
      <c r="K1030">
        <v>0</v>
      </c>
      <c r="L1030">
        <v>2135455</v>
      </c>
      <c r="M1030" t="s">
        <v>54</v>
      </c>
      <c r="N1030" t="s">
        <v>26</v>
      </c>
      <c r="O1030" t="s">
        <v>27</v>
      </c>
      <c r="P1030" t="s">
        <v>55</v>
      </c>
    </row>
    <row r="1031" spans="1:16" x14ac:dyDescent="0.25">
      <c r="A1031" t="s">
        <v>1856</v>
      </c>
      <c r="B1031" t="s">
        <v>1857</v>
      </c>
      <c r="C1031" t="s">
        <v>37</v>
      </c>
      <c r="D1031" t="s">
        <v>66</v>
      </c>
      <c r="E1031" t="s">
        <v>67</v>
      </c>
      <c r="F1031" t="s">
        <v>68</v>
      </c>
      <c r="G1031" t="s">
        <v>23</v>
      </c>
      <c r="H1031" t="s">
        <v>53</v>
      </c>
      <c r="I1031">
        <v>6</v>
      </c>
      <c r="J1031">
        <v>416356</v>
      </c>
      <c r="K1031">
        <v>12</v>
      </c>
      <c r="L1031">
        <v>2198359.6800000002</v>
      </c>
      <c r="M1031" t="s">
        <v>25</v>
      </c>
      <c r="N1031" t="s">
        <v>43</v>
      </c>
      <c r="O1031" t="s">
        <v>44</v>
      </c>
      <c r="P1031" t="s">
        <v>55</v>
      </c>
    </row>
    <row r="1032" spans="1:16" x14ac:dyDescent="0.25">
      <c r="A1032" t="s">
        <v>1858</v>
      </c>
      <c r="B1032" t="s">
        <v>1034</v>
      </c>
      <c r="C1032" t="s">
        <v>85</v>
      </c>
      <c r="D1032" t="s">
        <v>47</v>
      </c>
      <c r="E1032" t="s">
        <v>48</v>
      </c>
      <c r="F1032" t="s">
        <v>22</v>
      </c>
      <c r="G1032" t="s">
        <v>41</v>
      </c>
      <c r="H1032" t="s">
        <v>86</v>
      </c>
      <c r="I1032">
        <v>7</v>
      </c>
      <c r="J1032">
        <v>830184</v>
      </c>
      <c r="K1032">
        <v>5</v>
      </c>
      <c r="L1032">
        <v>5520723.5999999996</v>
      </c>
      <c r="M1032" t="s">
        <v>42</v>
      </c>
      <c r="N1032" t="s">
        <v>26</v>
      </c>
      <c r="O1032" t="s">
        <v>27</v>
      </c>
      <c r="P1032" t="s">
        <v>42</v>
      </c>
    </row>
    <row r="1033" spans="1:16" x14ac:dyDescent="0.25">
      <c r="A1033" t="s">
        <v>1859</v>
      </c>
      <c r="B1033" t="s">
        <v>1833</v>
      </c>
      <c r="C1033" t="s">
        <v>76</v>
      </c>
      <c r="D1033" t="s">
        <v>20</v>
      </c>
      <c r="E1033" t="s">
        <v>21</v>
      </c>
      <c r="F1033" t="s">
        <v>22</v>
      </c>
      <c r="G1033" t="s">
        <v>73</v>
      </c>
      <c r="H1033" t="s">
        <v>53</v>
      </c>
      <c r="I1033">
        <v>1</v>
      </c>
      <c r="J1033">
        <v>496466</v>
      </c>
      <c r="K1033">
        <v>7</v>
      </c>
      <c r="L1033">
        <v>461713.37999999989</v>
      </c>
      <c r="M1033" t="s">
        <v>25</v>
      </c>
      <c r="N1033" t="s">
        <v>43</v>
      </c>
      <c r="O1033" t="s">
        <v>44</v>
      </c>
      <c r="P1033" t="s">
        <v>26</v>
      </c>
    </row>
    <row r="1034" spans="1:16" x14ac:dyDescent="0.25">
      <c r="A1034" t="s">
        <v>1860</v>
      </c>
      <c r="B1034" t="s">
        <v>1250</v>
      </c>
      <c r="C1034" t="s">
        <v>19</v>
      </c>
      <c r="D1034" t="s">
        <v>30</v>
      </c>
      <c r="E1034" t="s">
        <v>31</v>
      </c>
      <c r="F1034" t="s">
        <v>32</v>
      </c>
      <c r="G1034" t="s">
        <v>73</v>
      </c>
      <c r="H1034" t="s">
        <v>34</v>
      </c>
      <c r="I1034">
        <v>5</v>
      </c>
      <c r="J1034">
        <v>757256</v>
      </c>
      <c r="K1034">
        <v>7</v>
      </c>
      <c r="L1034">
        <v>3521240.4</v>
      </c>
      <c r="M1034" t="s">
        <v>54</v>
      </c>
      <c r="N1034" t="s">
        <v>43</v>
      </c>
      <c r="O1034" t="s">
        <v>27</v>
      </c>
      <c r="P1034" t="s">
        <v>55</v>
      </c>
    </row>
    <row r="1035" spans="1:16" x14ac:dyDescent="0.25">
      <c r="A1035" t="s">
        <v>1861</v>
      </c>
      <c r="B1035" t="s">
        <v>1862</v>
      </c>
      <c r="C1035" t="s">
        <v>198</v>
      </c>
      <c r="D1035" t="s">
        <v>30</v>
      </c>
      <c r="E1035" t="s">
        <v>31</v>
      </c>
      <c r="F1035" t="s">
        <v>32</v>
      </c>
      <c r="G1035" t="s">
        <v>73</v>
      </c>
      <c r="H1035" t="s">
        <v>24</v>
      </c>
      <c r="I1035">
        <v>2</v>
      </c>
      <c r="J1035">
        <v>780928</v>
      </c>
      <c r="K1035">
        <v>10</v>
      </c>
      <c r="L1035">
        <v>1405670.3999999999</v>
      </c>
      <c r="M1035" t="s">
        <v>42</v>
      </c>
      <c r="N1035" t="s">
        <v>43</v>
      </c>
      <c r="O1035" t="s">
        <v>44</v>
      </c>
      <c r="P1035" t="s">
        <v>55</v>
      </c>
    </row>
    <row r="1036" spans="1:16" x14ac:dyDescent="0.25">
      <c r="A1036" t="s">
        <v>1863</v>
      </c>
      <c r="B1036" t="s">
        <v>508</v>
      </c>
      <c r="C1036" t="s">
        <v>79</v>
      </c>
      <c r="D1036" t="s">
        <v>51</v>
      </c>
      <c r="E1036" t="s">
        <v>48</v>
      </c>
      <c r="F1036" t="s">
        <v>22</v>
      </c>
      <c r="G1036" t="s">
        <v>33</v>
      </c>
      <c r="H1036" t="s">
        <v>58</v>
      </c>
      <c r="I1036">
        <v>8</v>
      </c>
      <c r="J1036">
        <v>689904</v>
      </c>
      <c r="K1036">
        <v>7</v>
      </c>
      <c r="L1036">
        <v>5132885.76</v>
      </c>
      <c r="M1036" t="s">
        <v>25</v>
      </c>
      <c r="N1036" t="s">
        <v>69</v>
      </c>
      <c r="O1036" t="s">
        <v>27</v>
      </c>
      <c r="P1036" t="s">
        <v>42</v>
      </c>
    </row>
    <row r="1037" spans="1:16" x14ac:dyDescent="0.25">
      <c r="A1037" t="s">
        <v>1864</v>
      </c>
      <c r="B1037" t="s">
        <v>781</v>
      </c>
      <c r="C1037" t="s">
        <v>19</v>
      </c>
      <c r="D1037" t="s">
        <v>47</v>
      </c>
      <c r="E1037" t="s">
        <v>48</v>
      </c>
      <c r="F1037" t="s">
        <v>22</v>
      </c>
      <c r="G1037" t="s">
        <v>33</v>
      </c>
      <c r="H1037" t="s">
        <v>58</v>
      </c>
      <c r="I1037">
        <v>7</v>
      </c>
      <c r="J1037">
        <v>816506</v>
      </c>
      <c r="K1037">
        <v>0</v>
      </c>
      <c r="L1037">
        <v>5715542</v>
      </c>
      <c r="M1037" t="s">
        <v>54</v>
      </c>
      <c r="N1037" t="s">
        <v>69</v>
      </c>
      <c r="O1037" t="s">
        <v>44</v>
      </c>
      <c r="P1037" t="s">
        <v>55</v>
      </c>
    </row>
    <row r="1038" spans="1:16" x14ac:dyDescent="0.25">
      <c r="A1038" t="s">
        <v>1865</v>
      </c>
      <c r="B1038" t="s">
        <v>1866</v>
      </c>
      <c r="C1038" t="s">
        <v>76</v>
      </c>
      <c r="D1038" t="s">
        <v>30</v>
      </c>
      <c r="E1038" t="s">
        <v>31</v>
      </c>
      <c r="F1038" t="s">
        <v>32</v>
      </c>
      <c r="G1038" t="s">
        <v>41</v>
      </c>
      <c r="H1038" t="s">
        <v>58</v>
      </c>
      <c r="I1038">
        <v>1</v>
      </c>
      <c r="J1038">
        <v>149032</v>
      </c>
      <c r="K1038">
        <v>10</v>
      </c>
      <c r="L1038">
        <v>134128.79999999999</v>
      </c>
      <c r="M1038" t="s">
        <v>42</v>
      </c>
      <c r="N1038" t="s">
        <v>26</v>
      </c>
      <c r="O1038" t="s">
        <v>27</v>
      </c>
      <c r="P1038" t="s">
        <v>26</v>
      </c>
    </row>
    <row r="1039" spans="1:16" x14ac:dyDescent="0.25">
      <c r="A1039" t="s">
        <v>1867</v>
      </c>
      <c r="B1039" t="s">
        <v>1868</v>
      </c>
      <c r="C1039" t="s">
        <v>37</v>
      </c>
      <c r="D1039" t="s">
        <v>38</v>
      </c>
      <c r="E1039" t="s">
        <v>39</v>
      </c>
      <c r="F1039" t="s">
        <v>40</v>
      </c>
      <c r="G1039" t="s">
        <v>52</v>
      </c>
      <c r="H1039" t="s">
        <v>34</v>
      </c>
      <c r="I1039">
        <v>7</v>
      </c>
      <c r="J1039">
        <v>890682</v>
      </c>
      <c r="K1039">
        <v>12</v>
      </c>
      <c r="L1039">
        <v>5486601.1200000001</v>
      </c>
      <c r="M1039" t="s">
        <v>54</v>
      </c>
      <c r="N1039" t="s">
        <v>26</v>
      </c>
      <c r="O1039" t="s">
        <v>27</v>
      </c>
      <c r="P1039" t="s">
        <v>26</v>
      </c>
    </row>
    <row r="1040" spans="1:16" x14ac:dyDescent="0.25">
      <c r="A1040" t="s">
        <v>1869</v>
      </c>
      <c r="B1040" t="s">
        <v>818</v>
      </c>
      <c r="C1040" t="s">
        <v>37</v>
      </c>
      <c r="D1040" t="s">
        <v>47</v>
      </c>
      <c r="E1040" t="s">
        <v>48</v>
      </c>
      <c r="F1040" t="s">
        <v>22</v>
      </c>
      <c r="G1040" t="s">
        <v>41</v>
      </c>
      <c r="H1040" t="s">
        <v>86</v>
      </c>
      <c r="I1040">
        <v>5</v>
      </c>
      <c r="J1040">
        <v>798844</v>
      </c>
      <c r="K1040">
        <v>5</v>
      </c>
      <c r="L1040">
        <v>3794509</v>
      </c>
      <c r="M1040" t="s">
        <v>25</v>
      </c>
      <c r="N1040" t="s">
        <v>26</v>
      </c>
      <c r="O1040" t="s">
        <v>44</v>
      </c>
      <c r="P1040" t="s">
        <v>42</v>
      </c>
    </row>
    <row r="1041" spans="1:16" x14ac:dyDescent="0.25">
      <c r="A1041" t="s">
        <v>1870</v>
      </c>
      <c r="B1041" t="s">
        <v>1351</v>
      </c>
      <c r="C1041" t="s">
        <v>19</v>
      </c>
      <c r="D1041" t="s">
        <v>38</v>
      </c>
      <c r="E1041" t="s">
        <v>39</v>
      </c>
      <c r="F1041" t="s">
        <v>40</v>
      </c>
      <c r="G1041" t="s">
        <v>52</v>
      </c>
      <c r="H1041" t="s">
        <v>53</v>
      </c>
      <c r="I1041">
        <v>1</v>
      </c>
      <c r="J1041">
        <v>614987</v>
      </c>
      <c r="M1041" t="s">
        <v>42</v>
      </c>
      <c r="N1041" t="s">
        <v>69</v>
      </c>
      <c r="O1041" t="s">
        <v>44</v>
      </c>
      <c r="P1041" t="s">
        <v>26</v>
      </c>
    </row>
    <row r="1042" spans="1:16" x14ac:dyDescent="0.25">
      <c r="A1042" t="s">
        <v>1871</v>
      </c>
      <c r="B1042" t="s">
        <v>1872</v>
      </c>
      <c r="C1042" t="s">
        <v>37</v>
      </c>
      <c r="D1042" t="s">
        <v>38</v>
      </c>
      <c r="E1042" t="s">
        <v>39</v>
      </c>
      <c r="F1042" t="s">
        <v>40</v>
      </c>
      <c r="G1042" t="s">
        <v>33</v>
      </c>
      <c r="H1042" t="s">
        <v>53</v>
      </c>
      <c r="I1042">
        <v>5</v>
      </c>
      <c r="J1042">
        <v>540575</v>
      </c>
      <c r="K1042">
        <v>5</v>
      </c>
      <c r="L1042">
        <v>2567731.25</v>
      </c>
      <c r="M1042" t="s">
        <v>42</v>
      </c>
      <c r="N1042" t="s">
        <v>26</v>
      </c>
      <c r="O1042" t="s">
        <v>27</v>
      </c>
      <c r="P1042" t="s">
        <v>26</v>
      </c>
    </row>
    <row r="1043" spans="1:16" x14ac:dyDescent="0.25">
      <c r="A1043" t="s">
        <v>1873</v>
      </c>
      <c r="B1043" t="s">
        <v>1062</v>
      </c>
      <c r="C1043" t="s">
        <v>99</v>
      </c>
      <c r="D1043" t="s">
        <v>38</v>
      </c>
      <c r="E1043" t="s">
        <v>130</v>
      </c>
      <c r="F1043" t="s">
        <v>40</v>
      </c>
      <c r="G1043" t="s">
        <v>62</v>
      </c>
      <c r="H1043" t="s">
        <v>34</v>
      </c>
      <c r="I1043">
        <v>2</v>
      </c>
      <c r="J1043">
        <v>406231</v>
      </c>
      <c r="K1043">
        <v>7</v>
      </c>
      <c r="L1043">
        <v>755589.65999999992</v>
      </c>
      <c r="M1043" t="s">
        <v>42</v>
      </c>
      <c r="N1043" t="s">
        <v>43</v>
      </c>
      <c r="O1043" t="s">
        <v>27</v>
      </c>
      <c r="P1043" t="s">
        <v>42</v>
      </c>
    </row>
    <row r="1044" spans="1:16" x14ac:dyDescent="0.25">
      <c r="A1044" t="s">
        <v>1874</v>
      </c>
      <c r="B1044" t="s">
        <v>1875</v>
      </c>
      <c r="C1044" t="s">
        <v>65</v>
      </c>
      <c r="D1044" t="s">
        <v>119</v>
      </c>
      <c r="E1044" t="s">
        <v>21</v>
      </c>
      <c r="F1044" t="s">
        <v>22</v>
      </c>
      <c r="G1044" t="s">
        <v>62</v>
      </c>
      <c r="H1044" t="s">
        <v>86</v>
      </c>
      <c r="I1044">
        <v>7</v>
      </c>
      <c r="J1044">
        <v>839680</v>
      </c>
      <c r="K1044">
        <v>10</v>
      </c>
      <c r="L1044">
        <v>5289984</v>
      </c>
      <c r="M1044" t="s">
        <v>54</v>
      </c>
      <c r="N1044" t="s">
        <v>69</v>
      </c>
      <c r="O1044" t="s">
        <v>44</v>
      </c>
      <c r="P1044" t="s">
        <v>55</v>
      </c>
    </row>
    <row r="1045" spans="1:16" x14ac:dyDescent="0.25">
      <c r="A1045" t="s">
        <v>1876</v>
      </c>
      <c r="B1045" t="s">
        <v>213</v>
      </c>
      <c r="C1045" t="s">
        <v>19</v>
      </c>
      <c r="D1045" t="s">
        <v>38</v>
      </c>
      <c r="E1045" t="s">
        <v>130</v>
      </c>
      <c r="F1045" t="s">
        <v>40</v>
      </c>
      <c r="G1045" t="s">
        <v>62</v>
      </c>
      <c r="H1045" t="s">
        <v>34</v>
      </c>
      <c r="I1045">
        <v>7</v>
      </c>
      <c r="J1045">
        <v>648852</v>
      </c>
      <c r="K1045">
        <v>2</v>
      </c>
      <c r="L1045">
        <v>4451124.72</v>
      </c>
      <c r="M1045" t="s">
        <v>54</v>
      </c>
      <c r="N1045" t="s">
        <v>43</v>
      </c>
      <c r="O1045" t="s">
        <v>44</v>
      </c>
      <c r="P1045" t="s">
        <v>42</v>
      </c>
    </row>
    <row r="1046" spans="1:16" x14ac:dyDescent="0.25">
      <c r="A1046" t="s">
        <v>1877</v>
      </c>
      <c r="B1046" t="s">
        <v>1651</v>
      </c>
      <c r="C1046" t="s">
        <v>37</v>
      </c>
      <c r="D1046" t="s">
        <v>20</v>
      </c>
      <c r="E1046" t="s">
        <v>21</v>
      </c>
      <c r="F1046" t="s">
        <v>22</v>
      </c>
      <c r="G1046" t="s">
        <v>62</v>
      </c>
      <c r="H1046" t="s">
        <v>34</v>
      </c>
      <c r="I1046">
        <v>1</v>
      </c>
      <c r="J1046">
        <v>662008</v>
      </c>
      <c r="K1046">
        <v>0</v>
      </c>
      <c r="L1046">
        <v>662008</v>
      </c>
      <c r="M1046" t="s">
        <v>42</v>
      </c>
      <c r="N1046" t="s">
        <v>69</v>
      </c>
      <c r="O1046" t="s">
        <v>44</v>
      </c>
      <c r="P1046" t="s">
        <v>55</v>
      </c>
    </row>
    <row r="1047" spans="1:16" x14ac:dyDescent="0.25">
      <c r="A1047" t="s">
        <v>1878</v>
      </c>
      <c r="B1047" t="s">
        <v>1879</v>
      </c>
      <c r="C1047" t="s">
        <v>76</v>
      </c>
      <c r="D1047" t="s">
        <v>66</v>
      </c>
      <c r="E1047" t="s">
        <v>67</v>
      </c>
      <c r="F1047" t="s">
        <v>68</v>
      </c>
      <c r="G1047" t="s">
        <v>33</v>
      </c>
      <c r="H1047" t="s">
        <v>24</v>
      </c>
      <c r="I1047">
        <v>7</v>
      </c>
      <c r="J1047">
        <v>399845</v>
      </c>
      <c r="K1047">
        <v>10</v>
      </c>
      <c r="L1047">
        <v>2519023.5</v>
      </c>
      <c r="M1047" t="s">
        <v>54</v>
      </c>
      <c r="N1047" t="s">
        <v>43</v>
      </c>
      <c r="O1047" t="s">
        <v>44</v>
      </c>
      <c r="P1047" t="s">
        <v>42</v>
      </c>
    </row>
    <row r="1048" spans="1:16" x14ac:dyDescent="0.25">
      <c r="A1048" t="s">
        <v>1880</v>
      </c>
      <c r="B1048" t="s">
        <v>844</v>
      </c>
      <c r="C1048" t="s">
        <v>61</v>
      </c>
      <c r="D1048" t="s">
        <v>20</v>
      </c>
      <c r="E1048" t="s">
        <v>21</v>
      </c>
      <c r="F1048" t="s">
        <v>22</v>
      </c>
      <c r="G1048" t="s">
        <v>94</v>
      </c>
      <c r="H1048" t="s">
        <v>24</v>
      </c>
      <c r="I1048">
        <v>7</v>
      </c>
      <c r="J1048">
        <v>121050</v>
      </c>
      <c r="K1048">
        <v>0</v>
      </c>
      <c r="L1048">
        <v>847350</v>
      </c>
      <c r="M1048" t="s">
        <v>54</v>
      </c>
      <c r="N1048" t="s">
        <v>43</v>
      </c>
      <c r="O1048" t="s">
        <v>44</v>
      </c>
      <c r="P1048" t="s">
        <v>55</v>
      </c>
    </row>
    <row r="1049" spans="1:16" x14ac:dyDescent="0.25">
      <c r="A1049" t="s">
        <v>1881</v>
      </c>
      <c r="B1049" t="s">
        <v>767</v>
      </c>
      <c r="C1049" t="s">
        <v>37</v>
      </c>
      <c r="D1049" t="s">
        <v>154</v>
      </c>
      <c r="E1049" t="s">
        <v>67</v>
      </c>
      <c r="F1049" t="s">
        <v>68</v>
      </c>
      <c r="G1049" t="s">
        <v>41</v>
      </c>
      <c r="H1049" t="s">
        <v>86</v>
      </c>
      <c r="I1049">
        <v>7</v>
      </c>
      <c r="J1049">
        <v>599508</v>
      </c>
      <c r="K1049">
        <v>0</v>
      </c>
      <c r="L1049">
        <v>4196556</v>
      </c>
      <c r="M1049" t="s">
        <v>54</v>
      </c>
      <c r="N1049" t="s">
        <v>26</v>
      </c>
      <c r="O1049" t="s">
        <v>44</v>
      </c>
      <c r="P1049" t="s">
        <v>42</v>
      </c>
    </row>
    <row r="1050" spans="1:16" x14ac:dyDescent="0.25">
      <c r="A1050" t="s">
        <v>1882</v>
      </c>
      <c r="B1050" t="s">
        <v>1883</v>
      </c>
      <c r="C1050" t="s">
        <v>85</v>
      </c>
      <c r="D1050" t="s">
        <v>66</v>
      </c>
      <c r="E1050" t="s">
        <v>201</v>
      </c>
      <c r="F1050" t="s">
        <v>68</v>
      </c>
      <c r="G1050" t="s">
        <v>33</v>
      </c>
      <c r="H1050" t="s">
        <v>24</v>
      </c>
      <c r="I1050">
        <v>1</v>
      </c>
      <c r="J1050">
        <v>331541</v>
      </c>
      <c r="K1050">
        <v>10</v>
      </c>
      <c r="L1050">
        <v>298386.90000000002</v>
      </c>
      <c r="M1050" t="s">
        <v>54</v>
      </c>
      <c r="N1050" t="s">
        <v>26</v>
      </c>
      <c r="O1050" t="s">
        <v>44</v>
      </c>
      <c r="P1050" t="s">
        <v>42</v>
      </c>
    </row>
    <row r="1051" spans="1:16" x14ac:dyDescent="0.25">
      <c r="A1051" t="s">
        <v>1884</v>
      </c>
      <c r="B1051" t="s">
        <v>1885</v>
      </c>
      <c r="C1051" t="s">
        <v>99</v>
      </c>
      <c r="D1051" t="s">
        <v>47</v>
      </c>
      <c r="E1051" t="s">
        <v>48</v>
      </c>
      <c r="F1051" t="s">
        <v>22</v>
      </c>
      <c r="G1051" t="s">
        <v>94</v>
      </c>
      <c r="H1051" t="s">
        <v>34</v>
      </c>
      <c r="I1051">
        <v>6</v>
      </c>
      <c r="J1051">
        <v>238724</v>
      </c>
      <c r="K1051">
        <v>12</v>
      </c>
      <c r="L1051">
        <v>1260462.72</v>
      </c>
      <c r="M1051" t="s">
        <v>42</v>
      </c>
      <c r="N1051" t="s">
        <v>43</v>
      </c>
      <c r="O1051" t="s">
        <v>44</v>
      </c>
      <c r="P1051" t="s">
        <v>26</v>
      </c>
    </row>
    <row r="1052" spans="1:16" x14ac:dyDescent="0.25">
      <c r="A1052" t="s">
        <v>1886</v>
      </c>
      <c r="B1052" t="s">
        <v>947</v>
      </c>
      <c r="C1052" t="s">
        <v>85</v>
      </c>
      <c r="D1052" t="s">
        <v>30</v>
      </c>
      <c r="E1052" t="s">
        <v>31</v>
      </c>
      <c r="F1052" t="s">
        <v>32</v>
      </c>
      <c r="G1052" t="s">
        <v>52</v>
      </c>
      <c r="H1052" t="s">
        <v>53</v>
      </c>
      <c r="I1052">
        <v>5</v>
      </c>
      <c r="J1052">
        <v>527378</v>
      </c>
      <c r="K1052">
        <v>2</v>
      </c>
      <c r="L1052">
        <v>2584152.2000000002</v>
      </c>
      <c r="M1052" t="s">
        <v>25</v>
      </c>
      <c r="N1052" t="s">
        <v>69</v>
      </c>
      <c r="O1052" t="s">
        <v>27</v>
      </c>
      <c r="P1052" t="s">
        <v>42</v>
      </c>
    </row>
    <row r="1053" spans="1:16" x14ac:dyDescent="0.25">
      <c r="A1053" t="s">
        <v>1887</v>
      </c>
      <c r="B1053" t="s">
        <v>1888</v>
      </c>
      <c r="C1053" t="s">
        <v>19</v>
      </c>
      <c r="D1053" t="s">
        <v>66</v>
      </c>
      <c r="E1053" t="s">
        <v>67</v>
      </c>
      <c r="F1053" t="s">
        <v>68</v>
      </c>
      <c r="G1053" t="s">
        <v>41</v>
      </c>
      <c r="H1053" t="s">
        <v>86</v>
      </c>
      <c r="I1053">
        <v>1</v>
      </c>
      <c r="J1053">
        <v>694776</v>
      </c>
      <c r="K1053">
        <v>7</v>
      </c>
      <c r="L1053">
        <v>646141.67999999993</v>
      </c>
      <c r="M1053" t="s">
        <v>42</v>
      </c>
      <c r="N1053" t="s">
        <v>43</v>
      </c>
      <c r="O1053" t="s">
        <v>27</v>
      </c>
      <c r="P1053" t="s">
        <v>42</v>
      </c>
    </row>
    <row r="1054" spans="1:16" x14ac:dyDescent="0.25">
      <c r="A1054" t="s">
        <v>1889</v>
      </c>
      <c r="B1054" t="s">
        <v>1890</v>
      </c>
      <c r="C1054" t="s">
        <v>76</v>
      </c>
      <c r="D1054" t="s">
        <v>66</v>
      </c>
      <c r="E1054" t="s">
        <v>67</v>
      </c>
      <c r="F1054" t="s">
        <v>68</v>
      </c>
      <c r="G1054" t="s">
        <v>41</v>
      </c>
      <c r="H1054" t="s">
        <v>58</v>
      </c>
      <c r="I1054">
        <v>6</v>
      </c>
      <c r="J1054">
        <v>758836</v>
      </c>
      <c r="K1054">
        <v>12</v>
      </c>
      <c r="L1054">
        <v>4006654.08</v>
      </c>
      <c r="M1054" t="s">
        <v>42</v>
      </c>
      <c r="N1054" t="s">
        <v>69</v>
      </c>
      <c r="O1054" t="s">
        <v>44</v>
      </c>
      <c r="P1054" t="s">
        <v>26</v>
      </c>
    </row>
    <row r="1055" spans="1:16" x14ac:dyDescent="0.25">
      <c r="A1055" t="s">
        <v>1891</v>
      </c>
      <c r="B1055" t="s">
        <v>1892</v>
      </c>
      <c r="C1055" t="s">
        <v>37</v>
      </c>
      <c r="D1055" t="s">
        <v>30</v>
      </c>
      <c r="E1055" t="s">
        <v>31</v>
      </c>
      <c r="F1055" t="s">
        <v>32</v>
      </c>
      <c r="G1055" t="s">
        <v>62</v>
      </c>
      <c r="H1055" t="s">
        <v>34</v>
      </c>
      <c r="I1055">
        <v>7</v>
      </c>
      <c r="J1055">
        <v>375308</v>
      </c>
      <c r="K1055">
        <v>7</v>
      </c>
      <c r="L1055">
        <v>2443255.08</v>
      </c>
      <c r="M1055" t="s">
        <v>54</v>
      </c>
      <c r="N1055" t="s">
        <v>26</v>
      </c>
      <c r="O1055" t="s">
        <v>27</v>
      </c>
      <c r="P1055" t="s">
        <v>55</v>
      </c>
    </row>
    <row r="1056" spans="1:16" x14ac:dyDescent="0.25">
      <c r="A1056" t="s">
        <v>1893</v>
      </c>
      <c r="B1056" t="s">
        <v>1262</v>
      </c>
      <c r="C1056" t="s">
        <v>85</v>
      </c>
      <c r="D1056" t="s">
        <v>51</v>
      </c>
      <c r="E1056" t="s">
        <v>48</v>
      </c>
      <c r="F1056" t="s">
        <v>22</v>
      </c>
      <c r="G1056" t="s">
        <v>52</v>
      </c>
      <c r="H1056" t="s">
        <v>24</v>
      </c>
      <c r="I1056">
        <v>2</v>
      </c>
      <c r="J1056">
        <v>842126</v>
      </c>
      <c r="K1056">
        <v>2</v>
      </c>
      <c r="L1056">
        <v>1650566.96</v>
      </c>
      <c r="M1056" t="s">
        <v>42</v>
      </c>
      <c r="N1056" t="s">
        <v>26</v>
      </c>
      <c r="O1056" t="s">
        <v>44</v>
      </c>
      <c r="P1056" t="s">
        <v>26</v>
      </c>
    </row>
    <row r="1057" spans="1:16" x14ac:dyDescent="0.25">
      <c r="A1057" t="s">
        <v>1894</v>
      </c>
      <c r="B1057" t="s">
        <v>132</v>
      </c>
      <c r="C1057" t="s">
        <v>37</v>
      </c>
      <c r="D1057" t="s">
        <v>47</v>
      </c>
      <c r="E1057" t="s">
        <v>48</v>
      </c>
      <c r="F1057" t="s">
        <v>22</v>
      </c>
      <c r="G1057" t="s">
        <v>94</v>
      </c>
      <c r="H1057" t="s">
        <v>86</v>
      </c>
      <c r="I1057">
        <v>2</v>
      </c>
      <c r="J1057">
        <v>312559</v>
      </c>
      <c r="K1057">
        <v>2</v>
      </c>
      <c r="L1057">
        <v>612615.64</v>
      </c>
      <c r="M1057" t="s">
        <v>25</v>
      </c>
      <c r="N1057" t="s">
        <v>43</v>
      </c>
      <c r="O1057" t="s">
        <v>44</v>
      </c>
      <c r="P1057" t="s">
        <v>55</v>
      </c>
    </row>
    <row r="1058" spans="1:16" x14ac:dyDescent="0.25">
      <c r="A1058" t="s">
        <v>1895</v>
      </c>
      <c r="B1058" t="s">
        <v>1896</v>
      </c>
      <c r="C1058" t="s">
        <v>79</v>
      </c>
      <c r="D1058" t="s">
        <v>30</v>
      </c>
      <c r="E1058" t="s">
        <v>142</v>
      </c>
      <c r="F1058" t="s">
        <v>32</v>
      </c>
      <c r="G1058" t="s">
        <v>33</v>
      </c>
      <c r="H1058" t="s">
        <v>24</v>
      </c>
      <c r="I1058">
        <v>6</v>
      </c>
      <c r="J1058">
        <v>698344</v>
      </c>
      <c r="K1058">
        <v>2</v>
      </c>
      <c r="L1058">
        <v>4106262.72</v>
      </c>
      <c r="M1058" t="s">
        <v>42</v>
      </c>
      <c r="N1058" t="s">
        <v>26</v>
      </c>
      <c r="O1058" t="s">
        <v>27</v>
      </c>
      <c r="P1058" t="s">
        <v>26</v>
      </c>
    </row>
    <row r="1059" spans="1:16" x14ac:dyDescent="0.25">
      <c r="A1059" t="s">
        <v>1897</v>
      </c>
      <c r="B1059" t="s">
        <v>1469</v>
      </c>
      <c r="C1059" t="s">
        <v>19</v>
      </c>
      <c r="D1059" t="s">
        <v>20</v>
      </c>
      <c r="E1059" t="s">
        <v>21</v>
      </c>
      <c r="F1059" t="s">
        <v>22</v>
      </c>
      <c r="G1059" t="s">
        <v>41</v>
      </c>
      <c r="H1059" t="s">
        <v>24</v>
      </c>
      <c r="I1059">
        <v>5</v>
      </c>
      <c r="J1059">
        <v>749004</v>
      </c>
      <c r="K1059">
        <v>7</v>
      </c>
      <c r="L1059">
        <v>3482868.6</v>
      </c>
      <c r="M1059" t="s">
        <v>42</v>
      </c>
      <c r="N1059" t="s">
        <v>43</v>
      </c>
      <c r="O1059" t="s">
        <v>27</v>
      </c>
      <c r="P1059" t="s">
        <v>42</v>
      </c>
    </row>
    <row r="1060" spans="1:16" x14ac:dyDescent="0.25">
      <c r="A1060" t="s">
        <v>1898</v>
      </c>
      <c r="B1060" t="s">
        <v>495</v>
      </c>
      <c r="C1060" t="s">
        <v>91</v>
      </c>
      <c r="D1060" t="s">
        <v>20</v>
      </c>
      <c r="E1060" t="s">
        <v>21</v>
      </c>
      <c r="F1060" t="s">
        <v>22</v>
      </c>
      <c r="G1060" t="s">
        <v>62</v>
      </c>
      <c r="H1060" t="s">
        <v>24</v>
      </c>
      <c r="I1060">
        <v>5</v>
      </c>
      <c r="J1060">
        <v>689569</v>
      </c>
      <c r="K1060">
        <v>12</v>
      </c>
      <c r="L1060">
        <v>3034103.6</v>
      </c>
      <c r="M1060" t="s">
        <v>42</v>
      </c>
      <c r="N1060" t="s">
        <v>43</v>
      </c>
      <c r="O1060" t="s">
        <v>44</v>
      </c>
      <c r="P1060" t="s">
        <v>55</v>
      </c>
    </row>
    <row r="1061" spans="1:16" x14ac:dyDescent="0.25">
      <c r="A1061" t="s">
        <v>1899</v>
      </c>
      <c r="B1061" t="s">
        <v>1900</v>
      </c>
      <c r="C1061" t="s">
        <v>85</v>
      </c>
      <c r="D1061" t="s">
        <v>30</v>
      </c>
      <c r="E1061" t="s">
        <v>31</v>
      </c>
      <c r="F1061" t="s">
        <v>32</v>
      </c>
      <c r="G1061" t="s">
        <v>124</v>
      </c>
      <c r="H1061" t="s">
        <v>53</v>
      </c>
      <c r="I1061">
        <v>3</v>
      </c>
      <c r="J1061">
        <v>803504</v>
      </c>
      <c r="K1061">
        <v>2</v>
      </c>
      <c r="L1061">
        <v>2362301.7599999998</v>
      </c>
      <c r="M1061" t="s">
        <v>42</v>
      </c>
      <c r="N1061" t="s">
        <v>26</v>
      </c>
      <c r="O1061" t="s">
        <v>44</v>
      </c>
      <c r="P1061" t="s">
        <v>42</v>
      </c>
    </row>
    <row r="1062" spans="1:16" x14ac:dyDescent="0.25">
      <c r="A1062" t="s">
        <v>1901</v>
      </c>
      <c r="B1062" t="s">
        <v>1902</v>
      </c>
      <c r="C1062" t="s">
        <v>19</v>
      </c>
      <c r="D1062" t="s">
        <v>20</v>
      </c>
      <c r="E1062" t="s">
        <v>21</v>
      </c>
      <c r="F1062" t="s">
        <v>22</v>
      </c>
      <c r="G1062" t="s">
        <v>89</v>
      </c>
      <c r="H1062" t="s">
        <v>24</v>
      </c>
      <c r="I1062">
        <v>2</v>
      </c>
      <c r="J1062">
        <v>817650</v>
      </c>
      <c r="K1062">
        <v>10</v>
      </c>
      <c r="L1062">
        <v>1471770</v>
      </c>
      <c r="M1062" t="s">
        <v>42</v>
      </c>
      <c r="N1062" t="s">
        <v>69</v>
      </c>
      <c r="O1062" t="s">
        <v>27</v>
      </c>
      <c r="P1062" t="s">
        <v>26</v>
      </c>
    </row>
    <row r="1063" spans="1:16" x14ac:dyDescent="0.25">
      <c r="A1063" t="s">
        <v>1903</v>
      </c>
      <c r="B1063" t="s">
        <v>139</v>
      </c>
      <c r="C1063" t="s">
        <v>65</v>
      </c>
      <c r="D1063" t="s">
        <v>20</v>
      </c>
      <c r="E1063" t="s">
        <v>21</v>
      </c>
      <c r="F1063" t="s">
        <v>22</v>
      </c>
      <c r="G1063" t="s">
        <v>52</v>
      </c>
      <c r="H1063" t="s">
        <v>34</v>
      </c>
      <c r="I1063">
        <v>4</v>
      </c>
      <c r="J1063">
        <v>521145</v>
      </c>
      <c r="M1063" t="s">
        <v>25</v>
      </c>
      <c r="N1063" t="s">
        <v>26</v>
      </c>
      <c r="O1063" t="s">
        <v>27</v>
      </c>
      <c r="P1063" t="s">
        <v>42</v>
      </c>
    </row>
    <row r="1064" spans="1:16" x14ac:dyDescent="0.25">
      <c r="A1064" t="s">
        <v>1904</v>
      </c>
      <c r="B1064" t="s">
        <v>1367</v>
      </c>
      <c r="C1064" t="s">
        <v>85</v>
      </c>
      <c r="D1064" t="s">
        <v>66</v>
      </c>
      <c r="E1064" t="s">
        <v>201</v>
      </c>
      <c r="F1064" t="s">
        <v>68</v>
      </c>
      <c r="G1064" t="s">
        <v>41</v>
      </c>
      <c r="H1064" t="s">
        <v>86</v>
      </c>
      <c r="I1064">
        <v>8</v>
      </c>
      <c r="J1064">
        <v>330787</v>
      </c>
      <c r="K1064">
        <v>7</v>
      </c>
      <c r="L1064">
        <v>2461055.2799999998</v>
      </c>
      <c r="M1064" t="s">
        <v>25</v>
      </c>
      <c r="N1064" t="s">
        <v>69</v>
      </c>
      <c r="O1064" t="s">
        <v>44</v>
      </c>
      <c r="P1064" t="s">
        <v>26</v>
      </c>
    </row>
    <row r="1065" spans="1:16" x14ac:dyDescent="0.25">
      <c r="A1065" t="s">
        <v>1905</v>
      </c>
      <c r="B1065" t="s">
        <v>409</v>
      </c>
      <c r="C1065" t="s">
        <v>37</v>
      </c>
      <c r="D1065" t="s">
        <v>38</v>
      </c>
      <c r="E1065" t="s">
        <v>39</v>
      </c>
      <c r="F1065" t="s">
        <v>40</v>
      </c>
      <c r="G1065" t="s">
        <v>73</v>
      </c>
      <c r="H1065" t="s">
        <v>24</v>
      </c>
      <c r="I1065">
        <v>7</v>
      </c>
      <c r="J1065">
        <v>703605</v>
      </c>
      <c r="K1065">
        <v>12</v>
      </c>
      <c r="L1065">
        <v>4334206.8</v>
      </c>
      <c r="M1065" t="s">
        <v>42</v>
      </c>
      <c r="N1065" t="s">
        <v>43</v>
      </c>
      <c r="O1065" t="s">
        <v>27</v>
      </c>
      <c r="P1065" t="s">
        <v>55</v>
      </c>
    </row>
    <row r="1066" spans="1:16" x14ac:dyDescent="0.25">
      <c r="A1066" t="s">
        <v>1906</v>
      </c>
      <c r="B1066" t="s">
        <v>1238</v>
      </c>
      <c r="C1066" t="s">
        <v>65</v>
      </c>
      <c r="D1066" t="s">
        <v>20</v>
      </c>
      <c r="E1066" t="s">
        <v>21</v>
      </c>
      <c r="F1066" t="s">
        <v>22</v>
      </c>
      <c r="G1066" t="s">
        <v>52</v>
      </c>
      <c r="H1066" t="s">
        <v>53</v>
      </c>
      <c r="I1066">
        <v>1</v>
      </c>
      <c r="J1066">
        <v>776290</v>
      </c>
      <c r="K1066">
        <v>12</v>
      </c>
      <c r="L1066">
        <v>683135.2</v>
      </c>
      <c r="M1066" t="s">
        <v>42</v>
      </c>
      <c r="N1066" t="s">
        <v>69</v>
      </c>
      <c r="O1066" t="s">
        <v>27</v>
      </c>
      <c r="P1066" t="s">
        <v>55</v>
      </c>
    </row>
    <row r="1067" spans="1:16" x14ac:dyDescent="0.25">
      <c r="A1067" t="s">
        <v>1907</v>
      </c>
      <c r="B1067" t="s">
        <v>674</v>
      </c>
      <c r="C1067" t="s">
        <v>85</v>
      </c>
      <c r="D1067" t="s">
        <v>20</v>
      </c>
      <c r="E1067" t="s">
        <v>21</v>
      </c>
      <c r="F1067" t="s">
        <v>22</v>
      </c>
      <c r="G1067" t="s">
        <v>52</v>
      </c>
      <c r="H1067" t="s">
        <v>53</v>
      </c>
      <c r="I1067">
        <v>3</v>
      </c>
      <c r="J1067">
        <v>472016</v>
      </c>
      <c r="K1067">
        <v>5</v>
      </c>
      <c r="L1067">
        <v>1345245.6</v>
      </c>
      <c r="M1067" t="s">
        <v>25</v>
      </c>
      <c r="N1067" t="s">
        <v>26</v>
      </c>
      <c r="O1067" t="s">
        <v>27</v>
      </c>
      <c r="P1067" t="s">
        <v>26</v>
      </c>
    </row>
    <row r="1068" spans="1:16" x14ac:dyDescent="0.25">
      <c r="A1068" t="s">
        <v>1908</v>
      </c>
      <c r="B1068" t="s">
        <v>128</v>
      </c>
      <c r="C1068" t="s">
        <v>65</v>
      </c>
      <c r="D1068" t="s">
        <v>119</v>
      </c>
      <c r="E1068" t="s">
        <v>21</v>
      </c>
      <c r="F1068" t="s">
        <v>22</v>
      </c>
      <c r="G1068" t="s">
        <v>62</v>
      </c>
      <c r="H1068" t="s">
        <v>53</v>
      </c>
      <c r="I1068">
        <v>3</v>
      </c>
      <c r="J1068">
        <v>264479</v>
      </c>
      <c r="K1068">
        <v>0</v>
      </c>
      <c r="L1068">
        <v>793437</v>
      </c>
      <c r="M1068" t="s">
        <v>54</v>
      </c>
      <c r="N1068" t="s">
        <v>26</v>
      </c>
      <c r="O1068" t="s">
        <v>44</v>
      </c>
      <c r="P1068" t="s">
        <v>42</v>
      </c>
    </row>
    <row r="1069" spans="1:16" x14ac:dyDescent="0.25">
      <c r="A1069" t="s">
        <v>1909</v>
      </c>
      <c r="B1069" t="s">
        <v>1910</v>
      </c>
      <c r="C1069" t="s">
        <v>65</v>
      </c>
      <c r="D1069" t="s">
        <v>38</v>
      </c>
      <c r="E1069" t="s">
        <v>39</v>
      </c>
      <c r="F1069" t="s">
        <v>40</v>
      </c>
      <c r="G1069" t="s">
        <v>52</v>
      </c>
      <c r="H1069" t="s">
        <v>86</v>
      </c>
      <c r="I1069">
        <v>3</v>
      </c>
      <c r="J1069">
        <v>187345</v>
      </c>
      <c r="K1069">
        <v>7</v>
      </c>
      <c r="L1069">
        <v>522692.55</v>
      </c>
      <c r="M1069" t="s">
        <v>54</v>
      </c>
      <c r="N1069" t="s">
        <v>26</v>
      </c>
      <c r="O1069" t="s">
        <v>27</v>
      </c>
      <c r="P1069" t="s">
        <v>42</v>
      </c>
    </row>
    <row r="1070" spans="1:16" x14ac:dyDescent="0.25">
      <c r="A1070" t="s">
        <v>1911</v>
      </c>
      <c r="B1070" t="s">
        <v>1912</v>
      </c>
      <c r="C1070" t="s">
        <v>76</v>
      </c>
      <c r="D1070" t="s">
        <v>119</v>
      </c>
      <c r="E1070" t="s">
        <v>189</v>
      </c>
      <c r="F1070" t="s">
        <v>22</v>
      </c>
      <c r="G1070" t="s">
        <v>62</v>
      </c>
      <c r="H1070" t="s">
        <v>53</v>
      </c>
      <c r="I1070">
        <v>2</v>
      </c>
      <c r="J1070">
        <v>372483</v>
      </c>
      <c r="K1070">
        <v>5</v>
      </c>
      <c r="L1070">
        <v>707717.7</v>
      </c>
      <c r="M1070" t="s">
        <v>42</v>
      </c>
      <c r="N1070" t="s">
        <v>26</v>
      </c>
      <c r="O1070" t="s">
        <v>27</v>
      </c>
      <c r="P1070" t="s">
        <v>42</v>
      </c>
    </row>
    <row r="1071" spans="1:16" x14ac:dyDescent="0.25">
      <c r="A1071" t="s">
        <v>1913</v>
      </c>
      <c r="B1071" t="s">
        <v>508</v>
      </c>
      <c r="C1071" t="s">
        <v>19</v>
      </c>
      <c r="D1071" t="s">
        <v>38</v>
      </c>
      <c r="E1071" t="s">
        <v>39</v>
      </c>
      <c r="F1071" t="s">
        <v>40</v>
      </c>
      <c r="G1071" t="s">
        <v>33</v>
      </c>
      <c r="H1071" t="s">
        <v>58</v>
      </c>
      <c r="I1071">
        <v>5</v>
      </c>
      <c r="J1071">
        <v>385611</v>
      </c>
      <c r="K1071">
        <v>2</v>
      </c>
      <c r="L1071">
        <v>1889493.9</v>
      </c>
      <c r="M1071" t="s">
        <v>25</v>
      </c>
      <c r="N1071" t="s">
        <v>26</v>
      </c>
      <c r="O1071" t="s">
        <v>44</v>
      </c>
      <c r="P1071" t="s">
        <v>42</v>
      </c>
    </row>
    <row r="1072" spans="1:16" x14ac:dyDescent="0.25">
      <c r="A1072" t="s">
        <v>1914</v>
      </c>
      <c r="B1072" t="s">
        <v>1915</v>
      </c>
      <c r="C1072" t="s">
        <v>76</v>
      </c>
      <c r="D1072" t="s">
        <v>38</v>
      </c>
      <c r="E1072" t="s">
        <v>39</v>
      </c>
      <c r="F1072" t="s">
        <v>40</v>
      </c>
      <c r="G1072" t="s">
        <v>52</v>
      </c>
      <c r="H1072" t="s">
        <v>86</v>
      </c>
      <c r="I1072">
        <v>7</v>
      </c>
      <c r="J1072">
        <v>512777</v>
      </c>
      <c r="K1072">
        <v>7</v>
      </c>
      <c r="L1072">
        <v>3338178.27</v>
      </c>
      <c r="M1072" t="s">
        <v>25</v>
      </c>
      <c r="N1072" t="s">
        <v>69</v>
      </c>
      <c r="O1072" t="s">
        <v>44</v>
      </c>
      <c r="P1072" t="s">
        <v>55</v>
      </c>
    </row>
    <row r="1073" spans="1:16" x14ac:dyDescent="0.25">
      <c r="A1073" t="s">
        <v>1916</v>
      </c>
      <c r="B1073" t="s">
        <v>1917</v>
      </c>
      <c r="C1073" t="s">
        <v>19</v>
      </c>
      <c r="D1073" t="s">
        <v>20</v>
      </c>
      <c r="E1073" t="s">
        <v>21</v>
      </c>
      <c r="F1073" t="s">
        <v>22</v>
      </c>
      <c r="G1073" t="s">
        <v>62</v>
      </c>
      <c r="H1073" t="s">
        <v>86</v>
      </c>
      <c r="I1073">
        <v>3</v>
      </c>
      <c r="J1073">
        <v>546964</v>
      </c>
      <c r="K1073">
        <v>0</v>
      </c>
      <c r="L1073">
        <v>1640892</v>
      </c>
      <c r="M1073" t="s">
        <v>25</v>
      </c>
      <c r="N1073" t="s">
        <v>26</v>
      </c>
      <c r="O1073" t="s">
        <v>27</v>
      </c>
      <c r="P1073" t="s">
        <v>55</v>
      </c>
    </row>
    <row r="1074" spans="1:16" x14ac:dyDescent="0.25">
      <c r="A1074" t="s">
        <v>1918</v>
      </c>
      <c r="B1074" t="s">
        <v>1919</v>
      </c>
      <c r="C1074" t="s">
        <v>37</v>
      </c>
      <c r="D1074" t="s">
        <v>66</v>
      </c>
      <c r="E1074" t="s">
        <v>67</v>
      </c>
      <c r="F1074" t="s">
        <v>68</v>
      </c>
      <c r="G1074" t="s">
        <v>73</v>
      </c>
      <c r="H1074" t="s">
        <v>34</v>
      </c>
      <c r="I1074">
        <v>1</v>
      </c>
      <c r="J1074">
        <v>356578</v>
      </c>
      <c r="K1074">
        <v>5</v>
      </c>
      <c r="L1074">
        <v>338749.1</v>
      </c>
      <c r="M1074" t="s">
        <v>25</v>
      </c>
      <c r="N1074" t="s">
        <v>26</v>
      </c>
      <c r="O1074" t="s">
        <v>27</v>
      </c>
      <c r="P1074" t="s">
        <v>55</v>
      </c>
    </row>
    <row r="1075" spans="1:16" x14ac:dyDescent="0.25">
      <c r="A1075" t="s">
        <v>1920</v>
      </c>
      <c r="B1075" t="s">
        <v>1921</v>
      </c>
      <c r="C1075" t="s">
        <v>37</v>
      </c>
      <c r="D1075" t="s">
        <v>47</v>
      </c>
      <c r="E1075" t="s">
        <v>48</v>
      </c>
      <c r="F1075" t="s">
        <v>22</v>
      </c>
      <c r="G1075" t="s">
        <v>52</v>
      </c>
      <c r="H1075" t="s">
        <v>24</v>
      </c>
      <c r="I1075">
        <v>8</v>
      </c>
      <c r="J1075">
        <v>199113</v>
      </c>
      <c r="K1075">
        <v>12</v>
      </c>
      <c r="L1075">
        <v>1401755.52</v>
      </c>
      <c r="M1075" t="s">
        <v>54</v>
      </c>
      <c r="N1075" t="s">
        <v>69</v>
      </c>
      <c r="O1075" t="s">
        <v>27</v>
      </c>
      <c r="P1075" t="s">
        <v>42</v>
      </c>
    </row>
    <row r="1076" spans="1:16" x14ac:dyDescent="0.25">
      <c r="A1076" t="s">
        <v>1922</v>
      </c>
      <c r="B1076" t="s">
        <v>1923</v>
      </c>
      <c r="C1076" t="s">
        <v>79</v>
      </c>
      <c r="D1076" t="s">
        <v>47</v>
      </c>
      <c r="E1076" t="s">
        <v>48</v>
      </c>
      <c r="F1076" t="s">
        <v>22</v>
      </c>
      <c r="G1076" t="s">
        <v>52</v>
      </c>
      <c r="H1076" t="s">
        <v>86</v>
      </c>
      <c r="I1076">
        <v>8</v>
      </c>
      <c r="J1076">
        <v>567350</v>
      </c>
      <c r="M1076" t="s">
        <v>25</v>
      </c>
      <c r="N1076" t="s">
        <v>69</v>
      </c>
      <c r="O1076" t="s">
        <v>44</v>
      </c>
      <c r="P1076" t="s">
        <v>42</v>
      </c>
    </row>
    <row r="1077" spans="1:16" x14ac:dyDescent="0.25">
      <c r="A1077" t="s">
        <v>1924</v>
      </c>
      <c r="B1077" t="s">
        <v>571</v>
      </c>
      <c r="C1077" t="s">
        <v>61</v>
      </c>
      <c r="D1077" t="s">
        <v>66</v>
      </c>
      <c r="E1077" t="s">
        <v>67</v>
      </c>
      <c r="F1077" t="s">
        <v>68</v>
      </c>
      <c r="G1077" t="s">
        <v>62</v>
      </c>
      <c r="H1077" t="s">
        <v>58</v>
      </c>
      <c r="I1077">
        <v>7</v>
      </c>
      <c r="J1077">
        <v>260255</v>
      </c>
      <c r="K1077">
        <v>5</v>
      </c>
      <c r="L1077">
        <v>1730695.75</v>
      </c>
      <c r="M1077" t="s">
        <v>54</v>
      </c>
      <c r="N1077" t="s">
        <v>26</v>
      </c>
      <c r="O1077" t="s">
        <v>44</v>
      </c>
      <c r="P1077" t="s">
        <v>42</v>
      </c>
    </row>
    <row r="1078" spans="1:16" x14ac:dyDescent="0.25">
      <c r="A1078" t="s">
        <v>1925</v>
      </c>
      <c r="B1078" t="s">
        <v>1926</v>
      </c>
      <c r="C1078" t="s">
        <v>65</v>
      </c>
      <c r="D1078" t="s">
        <v>47</v>
      </c>
      <c r="E1078" t="s">
        <v>48</v>
      </c>
      <c r="F1078" t="s">
        <v>22</v>
      </c>
      <c r="G1078" t="s">
        <v>41</v>
      </c>
      <c r="H1078" t="s">
        <v>86</v>
      </c>
      <c r="I1078">
        <v>4</v>
      </c>
      <c r="J1078">
        <v>490464</v>
      </c>
      <c r="K1078">
        <v>2</v>
      </c>
      <c r="L1078">
        <v>1922618.88</v>
      </c>
      <c r="M1078" t="s">
        <v>54</v>
      </c>
      <c r="N1078" t="s">
        <v>69</v>
      </c>
      <c r="O1078" t="s">
        <v>44</v>
      </c>
      <c r="P1078" t="s">
        <v>55</v>
      </c>
    </row>
    <row r="1079" spans="1:16" x14ac:dyDescent="0.25">
      <c r="A1079" t="s">
        <v>1927</v>
      </c>
      <c r="B1079" t="s">
        <v>1928</v>
      </c>
      <c r="C1079" t="s">
        <v>65</v>
      </c>
      <c r="D1079" t="s">
        <v>66</v>
      </c>
      <c r="E1079" t="s">
        <v>201</v>
      </c>
      <c r="F1079" t="s">
        <v>68</v>
      </c>
      <c r="G1079" t="s">
        <v>33</v>
      </c>
      <c r="H1079" t="s">
        <v>86</v>
      </c>
      <c r="I1079">
        <v>1</v>
      </c>
      <c r="J1079">
        <v>766692</v>
      </c>
      <c r="K1079">
        <v>0</v>
      </c>
      <c r="L1079">
        <v>766692</v>
      </c>
      <c r="M1079" t="s">
        <v>54</v>
      </c>
      <c r="N1079" t="s">
        <v>69</v>
      </c>
      <c r="O1079" t="s">
        <v>44</v>
      </c>
      <c r="P1079" t="s">
        <v>55</v>
      </c>
    </row>
    <row r="1080" spans="1:16" x14ac:dyDescent="0.25">
      <c r="A1080" t="s">
        <v>1929</v>
      </c>
      <c r="B1080" t="s">
        <v>765</v>
      </c>
      <c r="C1080" t="s">
        <v>79</v>
      </c>
      <c r="D1080" t="s">
        <v>30</v>
      </c>
      <c r="E1080" t="s">
        <v>142</v>
      </c>
      <c r="F1080" t="s">
        <v>32</v>
      </c>
      <c r="G1080" t="s">
        <v>52</v>
      </c>
      <c r="H1080" t="s">
        <v>24</v>
      </c>
      <c r="I1080">
        <v>2</v>
      </c>
      <c r="J1080">
        <v>144987</v>
      </c>
      <c r="K1080">
        <v>12</v>
      </c>
      <c r="L1080">
        <v>255177.12</v>
      </c>
      <c r="M1080" t="s">
        <v>25</v>
      </c>
      <c r="N1080" t="s">
        <v>69</v>
      </c>
      <c r="O1080" t="s">
        <v>27</v>
      </c>
      <c r="P1080" t="s">
        <v>42</v>
      </c>
    </row>
    <row r="1081" spans="1:16" x14ac:dyDescent="0.25">
      <c r="A1081" t="s">
        <v>1930</v>
      </c>
      <c r="B1081" t="s">
        <v>1931</v>
      </c>
      <c r="C1081" t="s">
        <v>65</v>
      </c>
      <c r="D1081" t="s">
        <v>20</v>
      </c>
      <c r="E1081" t="s">
        <v>21</v>
      </c>
      <c r="F1081" t="s">
        <v>22</v>
      </c>
      <c r="G1081" t="s">
        <v>73</v>
      </c>
      <c r="H1081" t="s">
        <v>53</v>
      </c>
      <c r="I1081">
        <v>6</v>
      </c>
      <c r="J1081">
        <v>675650</v>
      </c>
      <c r="K1081">
        <v>10</v>
      </c>
      <c r="L1081">
        <v>3648510</v>
      </c>
      <c r="M1081" t="s">
        <v>54</v>
      </c>
      <c r="N1081" t="s">
        <v>69</v>
      </c>
      <c r="O1081" t="s">
        <v>44</v>
      </c>
      <c r="P1081" t="s">
        <v>26</v>
      </c>
    </row>
    <row r="1082" spans="1:16" x14ac:dyDescent="0.25">
      <c r="A1082" t="s">
        <v>1932</v>
      </c>
      <c r="B1082" t="s">
        <v>150</v>
      </c>
      <c r="C1082" t="s">
        <v>19</v>
      </c>
      <c r="D1082" t="s">
        <v>129</v>
      </c>
      <c r="E1082" t="s">
        <v>39</v>
      </c>
      <c r="F1082" t="s">
        <v>40</v>
      </c>
      <c r="G1082" t="s">
        <v>135</v>
      </c>
      <c r="H1082" t="s">
        <v>58</v>
      </c>
      <c r="I1082">
        <v>6</v>
      </c>
      <c r="J1082">
        <v>223577</v>
      </c>
      <c r="K1082">
        <v>5</v>
      </c>
      <c r="L1082">
        <v>1274388.8999999999</v>
      </c>
      <c r="M1082" t="s">
        <v>42</v>
      </c>
      <c r="N1082" t="s">
        <v>69</v>
      </c>
      <c r="O1082" t="s">
        <v>27</v>
      </c>
      <c r="P1082" t="s">
        <v>26</v>
      </c>
    </row>
    <row r="1083" spans="1:16" x14ac:dyDescent="0.25">
      <c r="A1083" t="s">
        <v>1933</v>
      </c>
      <c r="B1083" t="s">
        <v>1934</v>
      </c>
      <c r="C1083" t="s">
        <v>85</v>
      </c>
      <c r="D1083" t="s">
        <v>66</v>
      </c>
      <c r="E1083" t="s">
        <v>201</v>
      </c>
      <c r="F1083" t="s">
        <v>68</v>
      </c>
      <c r="G1083" t="s">
        <v>135</v>
      </c>
      <c r="H1083" t="s">
        <v>86</v>
      </c>
      <c r="I1083">
        <v>1</v>
      </c>
      <c r="J1083">
        <v>736404</v>
      </c>
      <c r="K1083">
        <v>10</v>
      </c>
      <c r="L1083">
        <v>662763.6</v>
      </c>
      <c r="M1083" t="s">
        <v>42</v>
      </c>
      <c r="N1083" t="s">
        <v>26</v>
      </c>
      <c r="O1083" t="s">
        <v>27</v>
      </c>
      <c r="P1083" t="s">
        <v>42</v>
      </c>
    </row>
    <row r="1084" spans="1:16" x14ac:dyDescent="0.25">
      <c r="A1084" t="s">
        <v>1935</v>
      </c>
      <c r="B1084" t="s">
        <v>1936</v>
      </c>
      <c r="C1084" t="s">
        <v>76</v>
      </c>
      <c r="D1084" t="s">
        <v>20</v>
      </c>
      <c r="E1084" t="s">
        <v>21</v>
      </c>
      <c r="F1084" t="s">
        <v>22</v>
      </c>
      <c r="G1084" t="s">
        <v>62</v>
      </c>
      <c r="H1084" t="s">
        <v>24</v>
      </c>
      <c r="I1084">
        <v>2</v>
      </c>
      <c r="J1084">
        <v>500143</v>
      </c>
      <c r="K1084">
        <v>12</v>
      </c>
      <c r="L1084">
        <v>880251.68</v>
      </c>
      <c r="M1084" t="s">
        <v>54</v>
      </c>
      <c r="N1084" t="s">
        <v>26</v>
      </c>
      <c r="O1084" t="s">
        <v>44</v>
      </c>
      <c r="P1084" t="s">
        <v>26</v>
      </c>
    </row>
    <row r="1085" spans="1:16" x14ac:dyDescent="0.25">
      <c r="A1085" t="s">
        <v>1937</v>
      </c>
      <c r="B1085" t="s">
        <v>1938</v>
      </c>
      <c r="C1085" t="s">
        <v>65</v>
      </c>
      <c r="D1085" t="s">
        <v>38</v>
      </c>
      <c r="E1085" t="s">
        <v>39</v>
      </c>
      <c r="F1085" t="s">
        <v>40</v>
      </c>
      <c r="G1085" t="s">
        <v>52</v>
      </c>
      <c r="H1085" t="s">
        <v>58</v>
      </c>
      <c r="I1085">
        <v>3</v>
      </c>
      <c r="J1085">
        <v>723661</v>
      </c>
      <c r="K1085">
        <v>5</v>
      </c>
      <c r="L1085">
        <v>2062433.85</v>
      </c>
      <c r="M1085" t="s">
        <v>42</v>
      </c>
      <c r="N1085" t="s">
        <v>43</v>
      </c>
      <c r="O1085" t="s">
        <v>27</v>
      </c>
      <c r="P1085" t="s">
        <v>42</v>
      </c>
    </row>
    <row r="1086" spans="1:16" x14ac:dyDescent="0.25">
      <c r="A1086" t="s">
        <v>1939</v>
      </c>
      <c r="B1086" t="s">
        <v>1729</v>
      </c>
      <c r="C1086" t="s">
        <v>85</v>
      </c>
      <c r="D1086" t="s">
        <v>30</v>
      </c>
      <c r="E1086" t="s">
        <v>31</v>
      </c>
      <c r="F1086" t="s">
        <v>32</v>
      </c>
      <c r="G1086" t="s">
        <v>41</v>
      </c>
      <c r="H1086" t="s">
        <v>34</v>
      </c>
      <c r="I1086">
        <v>5</v>
      </c>
      <c r="J1086">
        <v>175181</v>
      </c>
      <c r="K1086">
        <v>0</v>
      </c>
      <c r="L1086">
        <v>875905</v>
      </c>
      <c r="M1086" t="s">
        <v>54</v>
      </c>
      <c r="N1086" t="s">
        <v>69</v>
      </c>
      <c r="O1086" t="s">
        <v>44</v>
      </c>
      <c r="P1086" t="s">
        <v>42</v>
      </c>
    </row>
    <row r="1087" spans="1:16" x14ac:dyDescent="0.25">
      <c r="A1087" t="s">
        <v>1940</v>
      </c>
      <c r="B1087" t="s">
        <v>508</v>
      </c>
      <c r="C1087" t="s">
        <v>85</v>
      </c>
      <c r="D1087" t="s">
        <v>38</v>
      </c>
      <c r="E1087" t="s">
        <v>39</v>
      </c>
      <c r="F1087" t="s">
        <v>40</v>
      </c>
      <c r="G1087" t="s">
        <v>41</v>
      </c>
      <c r="H1087" t="s">
        <v>53</v>
      </c>
      <c r="I1087">
        <v>7</v>
      </c>
      <c r="J1087">
        <v>388169</v>
      </c>
      <c r="K1087">
        <v>12</v>
      </c>
      <c r="L1087">
        <v>2391121.04</v>
      </c>
      <c r="M1087" t="s">
        <v>54</v>
      </c>
      <c r="N1087" t="s">
        <v>43</v>
      </c>
      <c r="O1087" t="s">
        <v>27</v>
      </c>
      <c r="P1087" t="s">
        <v>55</v>
      </c>
    </row>
    <row r="1088" spans="1:16" x14ac:dyDescent="0.25">
      <c r="A1088" t="s">
        <v>1941</v>
      </c>
      <c r="B1088" t="s">
        <v>1942</v>
      </c>
      <c r="C1088" t="s">
        <v>61</v>
      </c>
      <c r="D1088" t="s">
        <v>38</v>
      </c>
      <c r="E1088" t="s">
        <v>39</v>
      </c>
      <c r="F1088" t="s">
        <v>40</v>
      </c>
      <c r="G1088" t="s">
        <v>33</v>
      </c>
      <c r="H1088" t="s">
        <v>58</v>
      </c>
      <c r="I1088">
        <v>1</v>
      </c>
      <c r="J1088">
        <v>750406</v>
      </c>
      <c r="K1088">
        <v>12</v>
      </c>
      <c r="L1088">
        <v>660357.28</v>
      </c>
      <c r="M1088" t="s">
        <v>25</v>
      </c>
      <c r="N1088" t="s">
        <v>43</v>
      </c>
      <c r="O1088" t="s">
        <v>27</v>
      </c>
      <c r="P1088" t="s">
        <v>42</v>
      </c>
    </row>
    <row r="1089" spans="1:16" x14ac:dyDescent="0.25">
      <c r="A1089" t="s">
        <v>1943</v>
      </c>
      <c r="B1089" t="s">
        <v>865</v>
      </c>
      <c r="C1089" t="s">
        <v>76</v>
      </c>
      <c r="D1089" t="s">
        <v>30</v>
      </c>
      <c r="E1089" t="s">
        <v>31</v>
      </c>
      <c r="F1089" t="s">
        <v>32</v>
      </c>
      <c r="G1089" t="s">
        <v>94</v>
      </c>
      <c r="H1089" t="s">
        <v>58</v>
      </c>
      <c r="I1089">
        <v>1</v>
      </c>
      <c r="J1089">
        <v>802725</v>
      </c>
      <c r="K1089">
        <v>0</v>
      </c>
      <c r="L1089">
        <v>802725</v>
      </c>
      <c r="M1089" t="s">
        <v>42</v>
      </c>
      <c r="N1089" t="s">
        <v>69</v>
      </c>
      <c r="O1089" t="s">
        <v>44</v>
      </c>
      <c r="P1089" t="s">
        <v>26</v>
      </c>
    </row>
    <row r="1090" spans="1:16" x14ac:dyDescent="0.25">
      <c r="A1090" t="s">
        <v>1944</v>
      </c>
      <c r="B1090" t="s">
        <v>623</v>
      </c>
      <c r="C1090" t="s">
        <v>65</v>
      </c>
      <c r="D1090" t="s">
        <v>129</v>
      </c>
      <c r="E1090" t="s">
        <v>39</v>
      </c>
      <c r="F1090" t="s">
        <v>40</v>
      </c>
      <c r="G1090" t="s">
        <v>52</v>
      </c>
      <c r="H1090" t="s">
        <v>53</v>
      </c>
      <c r="I1090">
        <v>4</v>
      </c>
      <c r="J1090">
        <v>537766</v>
      </c>
      <c r="K1090">
        <v>7</v>
      </c>
      <c r="L1090">
        <v>2000489.52</v>
      </c>
      <c r="M1090" t="s">
        <v>54</v>
      </c>
      <c r="N1090" t="s">
        <v>26</v>
      </c>
      <c r="O1090" t="s">
        <v>44</v>
      </c>
      <c r="P1090" t="s">
        <v>26</v>
      </c>
    </row>
    <row r="1091" spans="1:16" x14ac:dyDescent="0.25">
      <c r="A1091" t="s">
        <v>1945</v>
      </c>
      <c r="B1091" t="s">
        <v>1208</v>
      </c>
      <c r="C1091" t="s">
        <v>61</v>
      </c>
      <c r="D1091" t="s">
        <v>20</v>
      </c>
      <c r="E1091" t="s">
        <v>21</v>
      </c>
      <c r="F1091" t="s">
        <v>22</v>
      </c>
      <c r="G1091" t="s">
        <v>135</v>
      </c>
      <c r="H1091" t="s">
        <v>34</v>
      </c>
      <c r="I1091">
        <v>5</v>
      </c>
      <c r="J1091">
        <v>216991</v>
      </c>
      <c r="K1091">
        <v>7</v>
      </c>
      <c r="L1091">
        <v>1009008.15</v>
      </c>
      <c r="M1091" t="s">
        <v>42</v>
      </c>
      <c r="N1091" t="s">
        <v>43</v>
      </c>
      <c r="O1091" t="s">
        <v>44</v>
      </c>
      <c r="P1091" t="s">
        <v>55</v>
      </c>
    </row>
    <row r="1092" spans="1:16" x14ac:dyDescent="0.25">
      <c r="A1092" t="s">
        <v>1946</v>
      </c>
      <c r="B1092" t="s">
        <v>1947</v>
      </c>
      <c r="C1092" t="s">
        <v>65</v>
      </c>
      <c r="D1092" t="s">
        <v>66</v>
      </c>
      <c r="E1092" t="s">
        <v>67</v>
      </c>
      <c r="F1092" t="s">
        <v>68</v>
      </c>
      <c r="G1092" t="s">
        <v>62</v>
      </c>
      <c r="H1092" t="s">
        <v>53</v>
      </c>
      <c r="I1092">
        <v>2</v>
      </c>
      <c r="J1092">
        <v>813166</v>
      </c>
      <c r="K1092">
        <v>5</v>
      </c>
      <c r="L1092">
        <v>1545015.4</v>
      </c>
      <c r="M1092" t="s">
        <v>54</v>
      </c>
      <c r="N1092" t="s">
        <v>69</v>
      </c>
      <c r="O1092" t="s">
        <v>27</v>
      </c>
      <c r="P1092" t="s">
        <v>55</v>
      </c>
    </row>
    <row r="1093" spans="1:16" x14ac:dyDescent="0.25">
      <c r="A1093" t="s">
        <v>1948</v>
      </c>
      <c r="B1093" t="s">
        <v>1506</v>
      </c>
      <c r="C1093" t="s">
        <v>79</v>
      </c>
      <c r="D1093" t="s">
        <v>47</v>
      </c>
      <c r="E1093" t="s">
        <v>72</v>
      </c>
      <c r="F1093" t="s">
        <v>22</v>
      </c>
      <c r="G1093" t="s">
        <v>94</v>
      </c>
      <c r="H1093" t="s">
        <v>53</v>
      </c>
      <c r="I1093">
        <v>4</v>
      </c>
      <c r="J1093">
        <v>243423</v>
      </c>
      <c r="K1093">
        <v>5</v>
      </c>
      <c r="L1093">
        <v>925007.39999999991</v>
      </c>
      <c r="M1093" t="s">
        <v>54</v>
      </c>
      <c r="N1093" t="s">
        <v>69</v>
      </c>
      <c r="O1093" t="s">
        <v>44</v>
      </c>
      <c r="P1093" t="s">
        <v>55</v>
      </c>
    </row>
    <row r="1094" spans="1:16" x14ac:dyDescent="0.25">
      <c r="A1094" t="s">
        <v>1949</v>
      </c>
      <c r="B1094" t="s">
        <v>1154</v>
      </c>
      <c r="C1094" t="s">
        <v>19</v>
      </c>
      <c r="D1094" t="s">
        <v>20</v>
      </c>
      <c r="E1094" t="s">
        <v>21</v>
      </c>
      <c r="F1094" t="s">
        <v>22</v>
      </c>
      <c r="G1094" t="s">
        <v>33</v>
      </c>
      <c r="H1094" t="s">
        <v>53</v>
      </c>
      <c r="J1094">
        <v>769858</v>
      </c>
      <c r="K1094">
        <v>2</v>
      </c>
      <c r="M1094" t="s">
        <v>42</v>
      </c>
      <c r="N1094" t="s">
        <v>69</v>
      </c>
      <c r="O1094" t="s">
        <v>27</v>
      </c>
      <c r="P1094" t="s">
        <v>26</v>
      </c>
    </row>
    <row r="1095" spans="1:16" x14ac:dyDescent="0.25">
      <c r="A1095" t="s">
        <v>1950</v>
      </c>
      <c r="B1095" t="s">
        <v>1951</v>
      </c>
      <c r="C1095" t="s">
        <v>76</v>
      </c>
      <c r="D1095" t="s">
        <v>20</v>
      </c>
      <c r="E1095" t="s">
        <v>21</v>
      </c>
      <c r="F1095" t="s">
        <v>22</v>
      </c>
      <c r="G1095" t="s">
        <v>41</v>
      </c>
      <c r="H1095" t="s">
        <v>86</v>
      </c>
      <c r="I1095">
        <v>8</v>
      </c>
      <c r="J1095">
        <v>643759</v>
      </c>
      <c r="K1095">
        <v>7</v>
      </c>
      <c r="L1095">
        <v>4789566.96</v>
      </c>
      <c r="M1095" t="s">
        <v>25</v>
      </c>
      <c r="N1095" t="s">
        <v>26</v>
      </c>
      <c r="O1095" t="s">
        <v>44</v>
      </c>
      <c r="P1095" t="s">
        <v>55</v>
      </c>
    </row>
    <row r="1096" spans="1:16" x14ac:dyDescent="0.25">
      <c r="A1096" t="s">
        <v>1952</v>
      </c>
      <c r="B1096" t="s">
        <v>1953</v>
      </c>
      <c r="C1096" t="s">
        <v>198</v>
      </c>
      <c r="D1096" t="s">
        <v>154</v>
      </c>
      <c r="E1096" t="s">
        <v>67</v>
      </c>
      <c r="F1096" t="s">
        <v>68</v>
      </c>
      <c r="G1096" t="s">
        <v>52</v>
      </c>
      <c r="H1096" t="s">
        <v>86</v>
      </c>
      <c r="I1096">
        <v>5</v>
      </c>
      <c r="J1096">
        <v>479019</v>
      </c>
      <c r="K1096">
        <v>2</v>
      </c>
      <c r="L1096">
        <v>2347193.1</v>
      </c>
      <c r="M1096" t="s">
        <v>25</v>
      </c>
      <c r="N1096" t="s">
        <v>26</v>
      </c>
      <c r="O1096" t="s">
        <v>27</v>
      </c>
      <c r="P1096" t="s">
        <v>42</v>
      </c>
    </row>
    <row r="1097" spans="1:16" x14ac:dyDescent="0.25">
      <c r="A1097" t="s">
        <v>1954</v>
      </c>
      <c r="B1097" t="s">
        <v>1955</v>
      </c>
      <c r="C1097" t="s">
        <v>65</v>
      </c>
      <c r="D1097" t="s">
        <v>51</v>
      </c>
      <c r="E1097" t="s">
        <v>48</v>
      </c>
      <c r="F1097" t="s">
        <v>22</v>
      </c>
      <c r="G1097" t="s">
        <v>33</v>
      </c>
      <c r="H1097" t="s">
        <v>86</v>
      </c>
      <c r="I1097">
        <v>2</v>
      </c>
      <c r="J1097">
        <v>611354</v>
      </c>
      <c r="M1097" t="s">
        <v>42</v>
      </c>
      <c r="N1097" t="s">
        <v>69</v>
      </c>
      <c r="O1097" t="s">
        <v>44</v>
      </c>
      <c r="P1097" t="s">
        <v>26</v>
      </c>
    </row>
    <row r="1098" spans="1:16" x14ac:dyDescent="0.25">
      <c r="A1098" t="s">
        <v>1956</v>
      </c>
      <c r="B1098" t="s">
        <v>952</v>
      </c>
      <c r="C1098" t="s">
        <v>76</v>
      </c>
      <c r="D1098" t="s">
        <v>30</v>
      </c>
      <c r="E1098" t="s">
        <v>31</v>
      </c>
      <c r="F1098" t="s">
        <v>32</v>
      </c>
      <c r="G1098" t="s">
        <v>52</v>
      </c>
      <c r="H1098" t="s">
        <v>53</v>
      </c>
      <c r="I1098">
        <v>6</v>
      </c>
      <c r="J1098">
        <v>417967</v>
      </c>
      <c r="K1098">
        <v>5</v>
      </c>
      <c r="L1098">
        <v>2382411.9</v>
      </c>
      <c r="M1098" t="s">
        <v>54</v>
      </c>
      <c r="N1098" t="s">
        <v>69</v>
      </c>
      <c r="O1098" t="s">
        <v>44</v>
      </c>
      <c r="P1098" t="s">
        <v>55</v>
      </c>
    </row>
    <row r="1099" spans="1:16" x14ac:dyDescent="0.25">
      <c r="A1099" t="s">
        <v>1957</v>
      </c>
      <c r="B1099" t="s">
        <v>60</v>
      </c>
      <c r="C1099" t="s">
        <v>19</v>
      </c>
      <c r="D1099" t="s">
        <v>38</v>
      </c>
      <c r="E1099" t="s">
        <v>39</v>
      </c>
      <c r="F1099" t="s">
        <v>40</v>
      </c>
      <c r="G1099" t="s">
        <v>33</v>
      </c>
      <c r="H1099" t="s">
        <v>58</v>
      </c>
      <c r="I1099">
        <v>7</v>
      </c>
      <c r="J1099">
        <v>507626</v>
      </c>
      <c r="K1099">
        <v>7</v>
      </c>
      <c r="L1099">
        <v>3304645.26</v>
      </c>
      <c r="M1099" t="s">
        <v>25</v>
      </c>
      <c r="N1099" t="s">
        <v>43</v>
      </c>
      <c r="O1099" t="s">
        <v>27</v>
      </c>
      <c r="P1099" t="s">
        <v>26</v>
      </c>
    </row>
    <row r="1100" spans="1:16" x14ac:dyDescent="0.25">
      <c r="A1100" t="s">
        <v>1958</v>
      </c>
      <c r="B1100" t="s">
        <v>1959</v>
      </c>
      <c r="C1100" t="s">
        <v>85</v>
      </c>
      <c r="D1100" t="s">
        <v>129</v>
      </c>
      <c r="E1100" t="s">
        <v>39</v>
      </c>
      <c r="F1100" t="s">
        <v>40</v>
      </c>
      <c r="G1100" t="s">
        <v>73</v>
      </c>
      <c r="H1100" t="s">
        <v>24</v>
      </c>
      <c r="I1100">
        <v>8</v>
      </c>
      <c r="J1100">
        <v>721804</v>
      </c>
      <c r="K1100">
        <v>7</v>
      </c>
      <c r="L1100">
        <v>5370221.7599999998</v>
      </c>
      <c r="M1100" t="s">
        <v>54</v>
      </c>
      <c r="N1100" t="s">
        <v>69</v>
      </c>
      <c r="O1100" t="s">
        <v>44</v>
      </c>
      <c r="P1100" t="s">
        <v>55</v>
      </c>
    </row>
    <row r="1101" spans="1:16" x14ac:dyDescent="0.25">
      <c r="A1101" t="s">
        <v>1960</v>
      </c>
      <c r="B1101" t="s">
        <v>1658</v>
      </c>
      <c r="C1101" t="s">
        <v>19</v>
      </c>
      <c r="D1101" t="s">
        <v>38</v>
      </c>
      <c r="E1101" t="s">
        <v>130</v>
      </c>
      <c r="F1101" t="s">
        <v>40</v>
      </c>
      <c r="G1101" t="s">
        <v>62</v>
      </c>
      <c r="H1101" t="s">
        <v>86</v>
      </c>
      <c r="I1101">
        <v>5</v>
      </c>
      <c r="J1101">
        <v>889082</v>
      </c>
      <c r="K1101">
        <v>2</v>
      </c>
      <c r="L1101">
        <v>4356501.8</v>
      </c>
      <c r="M1101" t="s">
        <v>25</v>
      </c>
      <c r="N1101" t="s">
        <v>69</v>
      </c>
      <c r="O1101" t="s">
        <v>27</v>
      </c>
      <c r="P1101" t="s">
        <v>42</v>
      </c>
    </row>
    <row r="1102" spans="1:16" x14ac:dyDescent="0.25">
      <c r="A1102" t="s">
        <v>1961</v>
      </c>
      <c r="B1102" t="s">
        <v>1218</v>
      </c>
      <c r="C1102" t="s">
        <v>85</v>
      </c>
      <c r="D1102" t="s">
        <v>47</v>
      </c>
      <c r="E1102" t="s">
        <v>72</v>
      </c>
      <c r="F1102" t="s">
        <v>22</v>
      </c>
      <c r="G1102" t="s">
        <v>52</v>
      </c>
      <c r="H1102" t="s">
        <v>24</v>
      </c>
      <c r="I1102">
        <v>4</v>
      </c>
      <c r="J1102">
        <v>175361</v>
      </c>
      <c r="K1102">
        <v>10</v>
      </c>
      <c r="L1102">
        <v>631299.6</v>
      </c>
      <c r="M1102" t="s">
        <v>25</v>
      </c>
      <c r="N1102" t="s">
        <v>26</v>
      </c>
      <c r="O1102" t="s">
        <v>44</v>
      </c>
      <c r="P1102" t="s">
        <v>55</v>
      </c>
    </row>
    <row r="1103" spans="1:16" x14ac:dyDescent="0.25">
      <c r="A1103" t="s">
        <v>1962</v>
      </c>
      <c r="B1103" t="s">
        <v>1332</v>
      </c>
      <c r="C1103" t="s">
        <v>85</v>
      </c>
      <c r="D1103" t="s">
        <v>20</v>
      </c>
      <c r="E1103" t="s">
        <v>21</v>
      </c>
      <c r="F1103" t="s">
        <v>22</v>
      </c>
      <c r="G1103" t="s">
        <v>33</v>
      </c>
      <c r="H1103" t="s">
        <v>86</v>
      </c>
      <c r="I1103">
        <v>3</v>
      </c>
      <c r="J1103">
        <v>807597</v>
      </c>
      <c r="K1103">
        <v>5</v>
      </c>
      <c r="L1103">
        <v>2301651.4500000002</v>
      </c>
      <c r="M1103" t="s">
        <v>54</v>
      </c>
      <c r="N1103" t="s">
        <v>26</v>
      </c>
      <c r="O1103" t="s">
        <v>44</v>
      </c>
      <c r="P1103" t="s">
        <v>55</v>
      </c>
    </row>
    <row r="1104" spans="1:16" x14ac:dyDescent="0.25">
      <c r="A1104" t="s">
        <v>1963</v>
      </c>
      <c r="B1104" t="s">
        <v>244</v>
      </c>
      <c r="C1104" t="s">
        <v>37</v>
      </c>
      <c r="D1104" t="s">
        <v>30</v>
      </c>
      <c r="E1104" t="s">
        <v>31</v>
      </c>
      <c r="F1104" t="s">
        <v>32</v>
      </c>
      <c r="G1104" t="s">
        <v>41</v>
      </c>
      <c r="H1104" t="s">
        <v>86</v>
      </c>
      <c r="I1104">
        <v>2</v>
      </c>
      <c r="J1104">
        <v>441204</v>
      </c>
      <c r="K1104">
        <v>5</v>
      </c>
      <c r="L1104">
        <v>838287.6</v>
      </c>
      <c r="M1104" t="s">
        <v>42</v>
      </c>
      <c r="N1104" t="s">
        <v>43</v>
      </c>
      <c r="O1104" t="s">
        <v>27</v>
      </c>
      <c r="P1104" t="s">
        <v>26</v>
      </c>
    </row>
    <row r="1105" spans="1:16" x14ac:dyDescent="0.25">
      <c r="A1105" t="s">
        <v>1964</v>
      </c>
      <c r="B1105" t="s">
        <v>341</v>
      </c>
      <c r="C1105" t="s">
        <v>37</v>
      </c>
      <c r="D1105" t="s">
        <v>106</v>
      </c>
      <c r="E1105" t="s">
        <v>31</v>
      </c>
      <c r="F1105" t="s">
        <v>32</v>
      </c>
      <c r="G1105" t="s">
        <v>33</v>
      </c>
      <c r="H1105" t="s">
        <v>58</v>
      </c>
      <c r="I1105">
        <v>1</v>
      </c>
      <c r="J1105">
        <v>229436</v>
      </c>
      <c r="K1105">
        <v>5</v>
      </c>
      <c r="L1105">
        <v>217964.2</v>
      </c>
      <c r="M1105" t="s">
        <v>25</v>
      </c>
      <c r="N1105" t="s">
        <v>43</v>
      </c>
      <c r="O1105" t="s">
        <v>27</v>
      </c>
      <c r="P1105" t="s">
        <v>55</v>
      </c>
    </row>
    <row r="1106" spans="1:16" x14ac:dyDescent="0.25">
      <c r="A1106" t="s">
        <v>1965</v>
      </c>
      <c r="B1106" t="s">
        <v>1966</v>
      </c>
      <c r="C1106" t="s">
        <v>85</v>
      </c>
      <c r="D1106" t="s">
        <v>51</v>
      </c>
      <c r="E1106" t="s">
        <v>72</v>
      </c>
      <c r="F1106" t="s">
        <v>22</v>
      </c>
      <c r="G1106" t="s">
        <v>73</v>
      </c>
      <c r="H1106" t="s">
        <v>58</v>
      </c>
      <c r="I1106">
        <v>6</v>
      </c>
      <c r="J1106">
        <v>456364</v>
      </c>
      <c r="K1106">
        <v>5</v>
      </c>
      <c r="L1106">
        <v>2601274.7999999998</v>
      </c>
      <c r="M1106" t="s">
        <v>42</v>
      </c>
      <c r="N1106" t="s">
        <v>69</v>
      </c>
      <c r="O1106" t="s">
        <v>27</v>
      </c>
      <c r="P1106" t="s">
        <v>26</v>
      </c>
    </row>
    <row r="1107" spans="1:16" x14ac:dyDescent="0.25">
      <c r="A1107" t="s">
        <v>1967</v>
      </c>
      <c r="B1107" t="s">
        <v>1312</v>
      </c>
      <c r="C1107" t="s">
        <v>65</v>
      </c>
      <c r="D1107" t="s">
        <v>20</v>
      </c>
      <c r="E1107" t="s">
        <v>189</v>
      </c>
      <c r="F1107" t="s">
        <v>22</v>
      </c>
      <c r="G1107" t="s">
        <v>62</v>
      </c>
      <c r="H1107" t="s">
        <v>86</v>
      </c>
      <c r="I1107">
        <v>2</v>
      </c>
      <c r="J1107">
        <v>342863</v>
      </c>
      <c r="K1107">
        <v>0</v>
      </c>
      <c r="L1107">
        <v>685726</v>
      </c>
      <c r="M1107" t="s">
        <v>54</v>
      </c>
      <c r="N1107" t="s">
        <v>26</v>
      </c>
      <c r="O1107" t="s">
        <v>44</v>
      </c>
      <c r="P1107" t="s">
        <v>26</v>
      </c>
    </row>
    <row r="1108" spans="1:16" x14ac:dyDescent="0.25">
      <c r="A1108" t="s">
        <v>1968</v>
      </c>
      <c r="B1108" t="s">
        <v>1969</v>
      </c>
      <c r="C1108" t="s">
        <v>61</v>
      </c>
      <c r="D1108" t="s">
        <v>20</v>
      </c>
      <c r="E1108" t="s">
        <v>21</v>
      </c>
      <c r="F1108" t="s">
        <v>22</v>
      </c>
      <c r="G1108" t="s">
        <v>41</v>
      </c>
      <c r="H1108" t="s">
        <v>34</v>
      </c>
      <c r="I1108">
        <v>8</v>
      </c>
      <c r="J1108">
        <v>435177</v>
      </c>
      <c r="K1108">
        <v>5</v>
      </c>
      <c r="L1108">
        <v>3307345.2</v>
      </c>
      <c r="M1108" t="s">
        <v>42</v>
      </c>
      <c r="N1108" t="s">
        <v>26</v>
      </c>
      <c r="O1108" t="s">
        <v>44</v>
      </c>
      <c r="P1108" t="s">
        <v>26</v>
      </c>
    </row>
    <row r="1109" spans="1:16" x14ac:dyDescent="0.25">
      <c r="A1109" t="s">
        <v>1970</v>
      </c>
      <c r="B1109" t="s">
        <v>1159</v>
      </c>
      <c r="C1109" t="s">
        <v>19</v>
      </c>
      <c r="D1109" t="s">
        <v>20</v>
      </c>
      <c r="E1109" t="s">
        <v>21</v>
      </c>
      <c r="F1109" t="s">
        <v>22</v>
      </c>
      <c r="G1109" t="s">
        <v>41</v>
      </c>
      <c r="H1109" t="s">
        <v>34</v>
      </c>
      <c r="I1109">
        <v>2</v>
      </c>
      <c r="J1109">
        <v>133252</v>
      </c>
      <c r="K1109">
        <v>7</v>
      </c>
      <c r="L1109">
        <v>247848.72</v>
      </c>
      <c r="M1109" t="s">
        <v>54</v>
      </c>
      <c r="N1109" t="s">
        <v>43</v>
      </c>
      <c r="O1109" t="s">
        <v>27</v>
      </c>
      <c r="P1109" t="s">
        <v>42</v>
      </c>
    </row>
    <row r="1110" spans="1:16" x14ac:dyDescent="0.25">
      <c r="A1110" t="s">
        <v>1971</v>
      </c>
      <c r="B1110" t="s">
        <v>1393</v>
      </c>
      <c r="C1110" t="s">
        <v>85</v>
      </c>
      <c r="D1110" t="s">
        <v>154</v>
      </c>
      <c r="E1110" t="s">
        <v>67</v>
      </c>
      <c r="F1110" t="s">
        <v>68</v>
      </c>
      <c r="G1110" t="s">
        <v>33</v>
      </c>
      <c r="H1110" t="s">
        <v>24</v>
      </c>
      <c r="I1110">
        <v>8</v>
      </c>
      <c r="J1110">
        <v>517184</v>
      </c>
      <c r="K1110">
        <v>0</v>
      </c>
      <c r="L1110">
        <v>4137472</v>
      </c>
      <c r="M1110" t="s">
        <v>54</v>
      </c>
      <c r="N1110" t="s">
        <v>43</v>
      </c>
      <c r="O1110" t="s">
        <v>44</v>
      </c>
      <c r="P1110" t="s">
        <v>26</v>
      </c>
    </row>
    <row r="1111" spans="1:16" x14ac:dyDescent="0.25">
      <c r="A1111" t="s">
        <v>1972</v>
      </c>
      <c r="B1111" t="s">
        <v>929</v>
      </c>
      <c r="C1111" t="s">
        <v>19</v>
      </c>
      <c r="D1111" t="s">
        <v>30</v>
      </c>
      <c r="E1111" t="s">
        <v>31</v>
      </c>
      <c r="F1111" t="s">
        <v>32</v>
      </c>
      <c r="G1111" t="s">
        <v>124</v>
      </c>
      <c r="H1111" t="s">
        <v>58</v>
      </c>
      <c r="I1111">
        <v>2</v>
      </c>
      <c r="J1111">
        <v>478279</v>
      </c>
      <c r="K1111">
        <v>5</v>
      </c>
      <c r="L1111">
        <v>908730.1</v>
      </c>
      <c r="M1111" t="s">
        <v>25</v>
      </c>
      <c r="N1111" t="s">
        <v>69</v>
      </c>
      <c r="O1111" t="s">
        <v>44</v>
      </c>
      <c r="P1111" t="s">
        <v>42</v>
      </c>
    </row>
    <row r="1112" spans="1:16" x14ac:dyDescent="0.25">
      <c r="A1112" t="s">
        <v>1973</v>
      </c>
      <c r="B1112" t="s">
        <v>1974</v>
      </c>
      <c r="C1112" t="s">
        <v>19</v>
      </c>
      <c r="D1112" t="s">
        <v>20</v>
      </c>
      <c r="E1112" t="s">
        <v>189</v>
      </c>
      <c r="F1112" t="s">
        <v>22</v>
      </c>
      <c r="G1112" t="s">
        <v>62</v>
      </c>
      <c r="H1112" t="s">
        <v>53</v>
      </c>
      <c r="I1112">
        <v>6</v>
      </c>
      <c r="J1112">
        <v>742151</v>
      </c>
      <c r="K1112">
        <v>2</v>
      </c>
      <c r="L1112">
        <v>4363847.88</v>
      </c>
      <c r="M1112" t="s">
        <v>54</v>
      </c>
      <c r="N1112" t="s">
        <v>43</v>
      </c>
      <c r="O1112" t="s">
        <v>44</v>
      </c>
      <c r="P1112" t="s">
        <v>55</v>
      </c>
    </row>
    <row r="1113" spans="1:16" x14ac:dyDescent="0.25">
      <c r="A1113" t="s">
        <v>1975</v>
      </c>
      <c r="B1113" t="s">
        <v>1976</v>
      </c>
      <c r="C1113" t="s">
        <v>19</v>
      </c>
      <c r="D1113" t="s">
        <v>154</v>
      </c>
      <c r="E1113" t="s">
        <v>67</v>
      </c>
      <c r="F1113" t="s">
        <v>68</v>
      </c>
      <c r="G1113" t="s">
        <v>94</v>
      </c>
      <c r="H1113" t="s">
        <v>58</v>
      </c>
      <c r="I1113">
        <v>6</v>
      </c>
      <c r="J1113">
        <v>404359</v>
      </c>
      <c r="K1113">
        <v>12</v>
      </c>
      <c r="L1113">
        <v>2135015.52</v>
      </c>
      <c r="M1113" t="s">
        <v>54</v>
      </c>
      <c r="N1113" t="s">
        <v>43</v>
      </c>
      <c r="O1113" t="s">
        <v>27</v>
      </c>
      <c r="P1113" t="s">
        <v>26</v>
      </c>
    </row>
    <row r="1114" spans="1:16" x14ac:dyDescent="0.25">
      <c r="A1114" t="s">
        <v>1977</v>
      </c>
      <c r="B1114" t="s">
        <v>1079</v>
      </c>
      <c r="C1114" t="s">
        <v>37</v>
      </c>
      <c r="D1114" t="s">
        <v>47</v>
      </c>
      <c r="E1114" t="s">
        <v>48</v>
      </c>
      <c r="F1114" t="s">
        <v>22</v>
      </c>
      <c r="G1114" t="s">
        <v>41</v>
      </c>
      <c r="H1114" t="s">
        <v>24</v>
      </c>
      <c r="I1114">
        <v>1</v>
      </c>
      <c r="J1114">
        <v>126286</v>
      </c>
      <c r="K1114">
        <v>0</v>
      </c>
      <c r="L1114">
        <v>126286</v>
      </c>
      <c r="M1114" t="s">
        <v>25</v>
      </c>
      <c r="N1114" t="s">
        <v>69</v>
      </c>
      <c r="O1114" t="s">
        <v>44</v>
      </c>
      <c r="P1114" t="s">
        <v>55</v>
      </c>
    </row>
    <row r="1115" spans="1:16" x14ac:dyDescent="0.25">
      <c r="A1115" t="s">
        <v>1978</v>
      </c>
      <c r="B1115" t="s">
        <v>1979</v>
      </c>
      <c r="C1115" t="s">
        <v>85</v>
      </c>
      <c r="D1115" t="s">
        <v>47</v>
      </c>
      <c r="E1115" t="s">
        <v>48</v>
      </c>
      <c r="F1115" t="s">
        <v>22</v>
      </c>
      <c r="G1115" t="s">
        <v>62</v>
      </c>
      <c r="H1115" t="s">
        <v>53</v>
      </c>
      <c r="I1115">
        <v>6</v>
      </c>
      <c r="J1115">
        <v>107578</v>
      </c>
      <c r="K1115">
        <v>2</v>
      </c>
      <c r="L1115">
        <v>632558.64</v>
      </c>
      <c r="M1115" t="s">
        <v>42</v>
      </c>
      <c r="N1115" t="s">
        <v>43</v>
      </c>
      <c r="O1115" t="s">
        <v>44</v>
      </c>
      <c r="P1115" t="s">
        <v>42</v>
      </c>
    </row>
    <row r="1116" spans="1:16" x14ac:dyDescent="0.25">
      <c r="A1116" t="s">
        <v>1980</v>
      </c>
      <c r="B1116" t="s">
        <v>1117</v>
      </c>
      <c r="C1116" t="s">
        <v>76</v>
      </c>
      <c r="D1116" t="s">
        <v>47</v>
      </c>
      <c r="E1116" t="s">
        <v>48</v>
      </c>
      <c r="F1116" t="s">
        <v>22</v>
      </c>
      <c r="G1116" t="s">
        <v>73</v>
      </c>
      <c r="H1116" t="s">
        <v>58</v>
      </c>
      <c r="I1116">
        <v>1</v>
      </c>
      <c r="J1116">
        <v>299186</v>
      </c>
      <c r="K1116">
        <v>7</v>
      </c>
      <c r="L1116">
        <v>278242.98</v>
      </c>
      <c r="M1116" t="s">
        <v>25</v>
      </c>
      <c r="N1116" t="s">
        <v>43</v>
      </c>
      <c r="O1116" t="s">
        <v>44</v>
      </c>
      <c r="P1116" t="s">
        <v>26</v>
      </c>
    </row>
    <row r="1117" spans="1:16" x14ac:dyDescent="0.25">
      <c r="A1117" t="s">
        <v>1981</v>
      </c>
      <c r="B1117" t="s">
        <v>1982</v>
      </c>
      <c r="C1117" t="s">
        <v>65</v>
      </c>
      <c r="D1117" t="s">
        <v>30</v>
      </c>
      <c r="E1117" t="s">
        <v>31</v>
      </c>
      <c r="F1117" t="s">
        <v>32</v>
      </c>
      <c r="G1117" t="s">
        <v>73</v>
      </c>
      <c r="H1117" t="s">
        <v>58</v>
      </c>
      <c r="I1117">
        <v>3</v>
      </c>
      <c r="J1117">
        <v>610409</v>
      </c>
      <c r="K1117">
        <v>12</v>
      </c>
      <c r="L1117">
        <v>1611479.76</v>
      </c>
      <c r="M1117" t="s">
        <v>42</v>
      </c>
      <c r="N1117" t="s">
        <v>43</v>
      </c>
      <c r="O1117" t="s">
        <v>44</v>
      </c>
      <c r="P1117" t="s">
        <v>55</v>
      </c>
    </row>
    <row r="1118" spans="1:16" x14ac:dyDescent="0.25">
      <c r="A1118" t="s">
        <v>1983</v>
      </c>
      <c r="B1118" t="s">
        <v>636</v>
      </c>
      <c r="C1118" t="s">
        <v>65</v>
      </c>
      <c r="D1118" t="s">
        <v>20</v>
      </c>
      <c r="E1118" t="s">
        <v>189</v>
      </c>
      <c r="F1118" t="s">
        <v>22</v>
      </c>
      <c r="G1118" t="s">
        <v>52</v>
      </c>
      <c r="H1118" t="s">
        <v>34</v>
      </c>
      <c r="I1118">
        <v>4</v>
      </c>
      <c r="J1118">
        <v>91846</v>
      </c>
      <c r="K1118">
        <v>2</v>
      </c>
      <c r="L1118">
        <v>360036.32</v>
      </c>
      <c r="M1118" t="s">
        <v>42</v>
      </c>
      <c r="N1118" t="s">
        <v>26</v>
      </c>
      <c r="O1118" t="s">
        <v>44</v>
      </c>
      <c r="P1118" t="s">
        <v>55</v>
      </c>
    </row>
    <row r="1119" spans="1:16" x14ac:dyDescent="0.25">
      <c r="A1119" t="s">
        <v>1984</v>
      </c>
      <c r="B1119" t="s">
        <v>1508</v>
      </c>
      <c r="C1119" t="s">
        <v>79</v>
      </c>
      <c r="D1119" t="s">
        <v>38</v>
      </c>
      <c r="E1119" t="s">
        <v>39</v>
      </c>
      <c r="F1119" t="s">
        <v>40</v>
      </c>
      <c r="G1119" t="s">
        <v>41</v>
      </c>
      <c r="H1119" t="s">
        <v>58</v>
      </c>
      <c r="I1119">
        <v>3</v>
      </c>
      <c r="J1119">
        <v>392639</v>
      </c>
      <c r="K1119">
        <v>12</v>
      </c>
      <c r="L1119">
        <v>1036566.96</v>
      </c>
      <c r="M1119" t="s">
        <v>54</v>
      </c>
      <c r="N1119" t="s">
        <v>26</v>
      </c>
      <c r="O1119" t="s">
        <v>44</v>
      </c>
      <c r="P1119" t="s">
        <v>55</v>
      </c>
    </row>
    <row r="1120" spans="1:16" x14ac:dyDescent="0.25">
      <c r="A1120" t="s">
        <v>1985</v>
      </c>
      <c r="B1120" t="s">
        <v>1660</v>
      </c>
      <c r="C1120" t="s">
        <v>37</v>
      </c>
      <c r="D1120" t="s">
        <v>20</v>
      </c>
      <c r="E1120" t="s">
        <v>21</v>
      </c>
      <c r="F1120" t="s">
        <v>22</v>
      </c>
      <c r="G1120" t="s">
        <v>94</v>
      </c>
      <c r="H1120" t="s">
        <v>24</v>
      </c>
      <c r="I1120">
        <v>8</v>
      </c>
      <c r="J1120">
        <v>80281</v>
      </c>
      <c r="K1120">
        <v>12</v>
      </c>
      <c r="L1120">
        <v>565178.24</v>
      </c>
      <c r="M1120" t="s">
        <v>54</v>
      </c>
      <c r="N1120" t="s">
        <v>43</v>
      </c>
      <c r="O1120" t="s">
        <v>44</v>
      </c>
      <c r="P1120" t="s">
        <v>55</v>
      </c>
    </row>
    <row r="1121" spans="1:16" x14ac:dyDescent="0.25">
      <c r="A1121" t="s">
        <v>1986</v>
      </c>
      <c r="B1121" t="s">
        <v>963</v>
      </c>
      <c r="C1121" t="s">
        <v>65</v>
      </c>
      <c r="D1121" t="s">
        <v>30</v>
      </c>
      <c r="E1121" t="s">
        <v>142</v>
      </c>
      <c r="F1121" t="s">
        <v>32</v>
      </c>
      <c r="G1121" t="s">
        <v>73</v>
      </c>
      <c r="H1121" t="s">
        <v>24</v>
      </c>
      <c r="I1121">
        <v>5</v>
      </c>
      <c r="J1121">
        <v>886754</v>
      </c>
      <c r="K1121">
        <v>10</v>
      </c>
      <c r="L1121">
        <v>3990393</v>
      </c>
      <c r="M1121" t="s">
        <v>54</v>
      </c>
      <c r="N1121" t="s">
        <v>43</v>
      </c>
      <c r="O1121" t="s">
        <v>44</v>
      </c>
      <c r="P1121" t="s">
        <v>26</v>
      </c>
    </row>
    <row r="1122" spans="1:16" x14ac:dyDescent="0.25">
      <c r="A1122" t="s">
        <v>1987</v>
      </c>
      <c r="B1122" t="s">
        <v>1988</v>
      </c>
      <c r="C1122" t="s">
        <v>37</v>
      </c>
      <c r="D1122" t="s">
        <v>30</v>
      </c>
      <c r="E1122" t="s">
        <v>31</v>
      </c>
      <c r="F1122" t="s">
        <v>32</v>
      </c>
      <c r="G1122" t="s">
        <v>73</v>
      </c>
      <c r="H1122" t="s">
        <v>58</v>
      </c>
      <c r="I1122">
        <v>5</v>
      </c>
      <c r="J1122">
        <v>191951</v>
      </c>
      <c r="K1122">
        <v>10</v>
      </c>
      <c r="L1122">
        <v>863779.5</v>
      </c>
      <c r="M1122" t="s">
        <v>54</v>
      </c>
      <c r="N1122" t="s">
        <v>26</v>
      </c>
      <c r="O1122" t="s">
        <v>44</v>
      </c>
      <c r="P1122" t="s">
        <v>42</v>
      </c>
    </row>
    <row r="1123" spans="1:16" x14ac:dyDescent="0.25">
      <c r="A1123" t="s">
        <v>1989</v>
      </c>
      <c r="B1123" t="s">
        <v>1230</v>
      </c>
      <c r="C1123" t="s">
        <v>19</v>
      </c>
      <c r="D1123" t="s">
        <v>38</v>
      </c>
      <c r="E1123" t="s">
        <v>39</v>
      </c>
      <c r="F1123" t="s">
        <v>40</v>
      </c>
      <c r="G1123" t="s">
        <v>52</v>
      </c>
      <c r="H1123" t="s">
        <v>53</v>
      </c>
      <c r="I1123">
        <v>4</v>
      </c>
      <c r="J1123">
        <v>762058</v>
      </c>
      <c r="K1123">
        <v>2</v>
      </c>
      <c r="L1123">
        <v>2987267.36</v>
      </c>
      <c r="M1123" t="s">
        <v>54</v>
      </c>
      <c r="N1123" t="s">
        <v>26</v>
      </c>
      <c r="O1123" t="s">
        <v>27</v>
      </c>
      <c r="P1123" t="s">
        <v>55</v>
      </c>
    </row>
    <row r="1124" spans="1:16" x14ac:dyDescent="0.25">
      <c r="A1124" t="s">
        <v>1990</v>
      </c>
      <c r="B1124" t="s">
        <v>1991</v>
      </c>
      <c r="C1124" t="s">
        <v>61</v>
      </c>
      <c r="D1124" t="s">
        <v>106</v>
      </c>
      <c r="E1124" t="s">
        <v>31</v>
      </c>
      <c r="F1124" t="s">
        <v>32</v>
      </c>
      <c r="G1124" t="s">
        <v>94</v>
      </c>
      <c r="H1124" t="s">
        <v>24</v>
      </c>
      <c r="I1124">
        <v>3</v>
      </c>
      <c r="J1124">
        <v>718461</v>
      </c>
      <c r="K1124">
        <v>12</v>
      </c>
      <c r="L1124">
        <v>1896737.04</v>
      </c>
      <c r="M1124" t="s">
        <v>42</v>
      </c>
      <c r="N1124" t="s">
        <v>26</v>
      </c>
      <c r="O1124" t="s">
        <v>44</v>
      </c>
      <c r="P1124" t="s">
        <v>26</v>
      </c>
    </row>
    <row r="1125" spans="1:16" x14ac:dyDescent="0.25">
      <c r="A1125" t="s">
        <v>1992</v>
      </c>
      <c r="B1125" t="s">
        <v>1993</v>
      </c>
      <c r="C1125" t="s">
        <v>65</v>
      </c>
      <c r="D1125" t="s">
        <v>30</v>
      </c>
      <c r="E1125" t="s">
        <v>31</v>
      </c>
      <c r="F1125" t="s">
        <v>32</v>
      </c>
      <c r="G1125" t="s">
        <v>52</v>
      </c>
      <c r="H1125" t="s">
        <v>86</v>
      </c>
      <c r="I1125">
        <v>2</v>
      </c>
      <c r="J1125">
        <v>80040</v>
      </c>
      <c r="K1125">
        <v>7</v>
      </c>
      <c r="L1125">
        <v>148874.4</v>
      </c>
      <c r="M1125" t="s">
        <v>42</v>
      </c>
      <c r="N1125" t="s">
        <v>69</v>
      </c>
      <c r="O1125" t="s">
        <v>27</v>
      </c>
      <c r="P1125" t="s">
        <v>42</v>
      </c>
    </row>
    <row r="1126" spans="1:16" x14ac:dyDescent="0.25">
      <c r="A1126" t="s">
        <v>1994</v>
      </c>
      <c r="B1126" t="s">
        <v>1995</v>
      </c>
      <c r="C1126" t="s">
        <v>19</v>
      </c>
      <c r="D1126" t="s">
        <v>30</v>
      </c>
      <c r="E1126" t="s">
        <v>142</v>
      </c>
      <c r="F1126" t="s">
        <v>32</v>
      </c>
      <c r="G1126" t="s">
        <v>73</v>
      </c>
      <c r="H1126" t="s">
        <v>34</v>
      </c>
      <c r="I1126">
        <v>8</v>
      </c>
      <c r="J1126">
        <v>832667</v>
      </c>
      <c r="K1126">
        <v>10</v>
      </c>
      <c r="L1126">
        <v>5995202.4000000004</v>
      </c>
      <c r="M1126" t="s">
        <v>42</v>
      </c>
      <c r="N1126" t="s">
        <v>43</v>
      </c>
      <c r="O1126" t="s">
        <v>27</v>
      </c>
      <c r="P1126" t="s">
        <v>55</v>
      </c>
    </row>
    <row r="1127" spans="1:16" x14ac:dyDescent="0.25">
      <c r="A1127" t="s">
        <v>1996</v>
      </c>
      <c r="B1127" t="s">
        <v>1997</v>
      </c>
      <c r="C1127" t="s">
        <v>37</v>
      </c>
      <c r="D1127" t="s">
        <v>20</v>
      </c>
      <c r="E1127" t="s">
        <v>21</v>
      </c>
      <c r="F1127" t="s">
        <v>22</v>
      </c>
      <c r="G1127" t="s">
        <v>52</v>
      </c>
      <c r="H1127" t="s">
        <v>58</v>
      </c>
      <c r="I1127">
        <v>6</v>
      </c>
      <c r="J1127">
        <v>423000</v>
      </c>
      <c r="K1127">
        <v>12</v>
      </c>
      <c r="L1127">
        <v>2233440</v>
      </c>
      <c r="M1127" t="s">
        <v>42</v>
      </c>
      <c r="N1127" t="s">
        <v>26</v>
      </c>
      <c r="O1127" t="s">
        <v>27</v>
      </c>
      <c r="P1127" t="s">
        <v>26</v>
      </c>
    </row>
    <row r="1128" spans="1:16" x14ac:dyDescent="0.25">
      <c r="A1128" t="s">
        <v>1998</v>
      </c>
      <c r="B1128" t="s">
        <v>1999</v>
      </c>
      <c r="C1128" t="s">
        <v>85</v>
      </c>
      <c r="D1128" t="s">
        <v>20</v>
      </c>
      <c r="E1128" t="s">
        <v>21</v>
      </c>
      <c r="F1128" t="s">
        <v>22</v>
      </c>
      <c r="G1128" t="s">
        <v>41</v>
      </c>
      <c r="H1128" t="s">
        <v>53</v>
      </c>
      <c r="I1128">
        <v>8</v>
      </c>
      <c r="J1128">
        <v>486724</v>
      </c>
      <c r="K1128">
        <v>12</v>
      </c>
      <c r="L1128">
        <v>3426536.96</v>
      </c>
      <c r="M1128" t="s">
        <v>54</v>
      </c>
      <c r="N1128" t="s">
        <v>69</v>
      </c>
      <c r="O1128" t="s">
        <v>27</v>
      </c>
      <c r="P1128" t="s">
        <v>55</v>
      </c>
    </row>
    <row r="1129" spans="1:16" x14ac:dyDescent="0.25">
      <c r="A1129" t="s">
        <v>2000</v>
      </c>
      <c r="B1129" t="s">
        <v>1254</v>
      </c>
      <c r="C1129" t="s">
        <v>85</v>
      </c>
      <c r="D1129" t="s">
        <v>20</v>
      </c>
      <c r="E1129" t="s">
        <v>21</v>
      </c>
      <c r="F1129" t="s">
        <v>22</v>
      </c>
      <c r="G1129" t="s">
        <v>62</v>
      </c>
      <c r="H1129" t="s">
        <v>58</v>
      </c>
      <c r="I1129">
        <v>5</v>
      </c>
      <c r="J1129">
        <v>506139</v>
      </c>
      <c r="K1129">
        <v>12</v>
      </c>
      <c r="L1129">
        <v>2227011.6</v>
      </c>
      <c r="M1129" t="s">
        <v>54</v>
      </c>
      <c r="N1129" t="s">
        <v>26</v>
      </c>
      <c r="O1129" t="s">
        <v>27</v>
      </c>
      <c r="P1129" t="s">
        <v>42</v>
      </c>
    </row>
    <row r="1130" spans="1:16" x14ac:dyDescent="0.25">
      <c r="A1130" t="s">
        <v>2001</v>
      </c>
      <c r="B1130" t="s">
        <v>2002</v>
      </c>
      <c r="C1130" t="s">
        <v>76</v>
      </c>
      <c r="D1130" t="s">
        <v>47</v>
      </c>
      <c r="E1130" t="s">
        <v>48</v>
      </c>
      <c r="F1130" t="s">
        <v>22</v>
      </c>
      <c r="G1130" t="s">
        <v>73</v>
      </c>
      <c r="H1130" t="s">
        <v>24</v>
      </c>
      <c r="I1130">
        <v>4</v>
      </c>
      <c r="J1130">
        <v>714922</v>
      </c>
      <c r="K1130">
        <v>7</v>
      </c>
      <c r="L1130">
        <v>2659509.84</v>
      </c>
      <c r="M1130" t="s">
        <v>25</v>
      </c>
      <c r="N1130" t="s">
        <v>69</v>
      </c>
      <c r="O1130" t="s">
        <v>27</v>
      </c>
      <c r="P1130" t="s">
        <v>26</v>
      </c>
    </row>
    <row r="1131" spans="1:16" x14ac:dyDescent="0.25">
      <c r="A1131" t="s">
        <v>2003</v>
      </c>
      <c r="B1131" t="s">
        <v>2004</v>
      </c>
      <c r="C1131" t="s">
        <v>37</v>
      </c>
      <c r="D1131" t="s">
        <v>66</v>
      </c>
      <c r="E1131" t="s">
        <v>67</v>
      </c>
      <c r="F1131" t="s">
        <v>68</v>
      </c>
      <c r="G1131" t="s">
        <v>41</v>
      </c>
      <c r="H1131" t="s">
        <v>24</v>
      </c>
      <c r="I1131">
        <v>5</v>
      </c>
      <c r="J1131">
        <v>390848</v>
      </c>
      <c r="K1131">
        <v>0</v>
      </c>
      <c r="L1131">
        <v>1954240</v>
      </c>
      <c r="M1131" t="s">
        <v>42</v>
      </c>
      <c r="N1131" t="s">
        <v>43</v>
      </c>
      <c r="O1131" t="s">
        <v>27</v>
      </c>
      <c r="P1131" t="s">
        <v>55</v>
      </c>
    </row>
    <row r="1132" spans="1:16" x14ac:dyDescent="0.25">
      <c r="A1132" t="s">
        <v>2005</v>
      </c>
      <c r="B1132" t="s">
        <v>1236</v>
      </c>
      <c r="C1132" t="s">
        <v>61</v>
      </c>
      <c r="D1132" t="s">
        <v>129</v>
      </c>
      <c r="E1132" t="s">
        <v>39</v>
      </c>
      <c r="F1132" t="s">
        <v>40</v>
      </c>
      <c r="G1132" t="s">
        <v>124</v>
      </c>
      <c r="H1132" t="s">
        <v>53</v>
      </c>
      <c r="I1132">
        <v>6</v>
      </c>
      <c r="J1132">
        <v>798598</v>
      </c>
      <c r="K1132">
        <v>10</v>
      </c>
      <c r="L1132">
        <v>4312429.2</v>
      </c>
      <c r="M1132" t="s">
        <v>54</v>
      </c>
      <c r="N1132" t="s">
        <v>43</v>
      </c>
      <c r="O1132" t="s">
        <v>44</v>
      </c>
      <c r="P1132" t="s">
        <v>55</v>
      </c>
    </row>
    <row r="1133" spans="1:16" x14ac:dyDescent="0.25">
      <c r="A1133" t="s">
        <v>2006</v>
      </c>
      <c r="B1133" t="s">
        <v>2007</v>
      </c>
      <c r="C1133" t="s">
        <v>61</v>
      </c>
      <c r="D1133" t="s">
        <v>38</v>
      </c>
      <c r="E1133" t="s">
        <v>39</v>
      </c>
      <c r="F1133" t="s">
        <v>40</v>
      </c>
      <c r="G1133" t="s">
        <v>94</v>
      </c>
      <c r="H1133" t="s">
        <v>53</v>
      </c>
      <c r="I1133">
        <v>4</v>
      </c>
      <c r="J1133">
        <v>505937</v>
      </c>
      <c r="K1133">
        <v>10</v>
      </c>
      <c r="L1133">
        <v>1821373.2</v>
      </c>
      <c r="M1133" t="s">
        <v>54</v>
      </c>
      <c r="N1133" t="s">
        <v>26</v>
      </c>
      <c r="O1133" t="s">
        <v>27</v>
      </c>
      <c r="P1133" t="s">
        <v>26</v>
      </c>
    </row>
    <row r="1134" spans="1:16" x14ac:dyDescent="0.25">
      <c r="A1134" t="s">
        <v>2008</v>
      </c>
      <c r="B1134" t="s">
        <v>2009</v>
      </c>
      <c r="C1134" t="s">
        <v>65</v>
      </c>
      <c r="D1134" t="s">
        <v>66</v>
      </c>
      <c r="E1134" t="s">
        <v>67</v>
      </c>
      <c r="F1134" t="s">
        <v>68</v>
      </c>
      <c r="G1134" t="s">
        <v>52</v>
      </c>
      <c r="H1134" t="s">
        <v>58</v>
      </c>
      <c r="I1134">
        <v>5</v>
      </c>
      <c r="J1134">
        <v>712051</v>
      </c>
      <c r="K1134">
        <v>5</v>
      </c>
      <c r="L1134">
        <v>3382242.25</v>
      </c>
      <c r="M1134" t="s">
        <v>25</v>
      </c>
      <c r="N1134" t="s">
        <v>43</v>
      </c>
      <c r="O1134" t="s">
        <v>44</v>
      </c>
      <c r="P1134" t="s">
        <v>42</v>
      </c>
    </row>
    <row r="1135" spans="1:16" x14ac:dyDescent="0.25">
      <c r="A1135" t="s">
        <v>2010</v>
      </c>
      <c r="B1135" t="s">
        <v>2011</v>
      </c>
      <c r="C1135" t="s">
        <v>76</v>
      </c>
      <c r="D1135" t="s">
        <v>47</v>
      </c>
      <c r="E1135" t="s">
        <v>48</v>
      </c>
      <c r="F1135" t="s">
        <v>22</v>
      </c>
      <c r="G1135" t="s">
        <v>41</v>
      </c>
      <c r="H1135" t="s">
        <v>24</v>
      </c>
      <c r="I1135">
        <v>1</v>
      </c>
      <c r="J1135">
        <v>224187</v>
      </c>
      <c r="K1135">
        <v>0</v>
      </c>
      <c r="L1135">
        <v>224187</v>
      </c>
      <c r="M1135" t="s">
        <v>54</v>
      </c>
      <c r="N1135" t="s">
        <v>69</v>
      </c>
      <c r="O1135" t="s">
        <v>44</v>
      </c>
      <c r="P1135" t="s">
        <v>55</v>
      </c>
    </row>
    <row r="1136" spans="1:16" x14ac:dyDescent="0.25">
      <c r="A1136" t="s">
        <v>2012</v>
      </c>
      <c r="B1136" t="s">
        <v>2013</v>
      </c>
      <c r="C1136" t="s">
        <v>76</v>
      </c>
      <c r="D1136" t="s">
        <v>20</v>
      </c>
      <c r="E1136" t="s">
        <v>21</v>
      </c>
      <c r="F1136" t="s">
        <v>22</v>
      </c>
      <c r="G1136" t="s">
        <v>33</v>
      </c>
      <c r="H1136" t="s">
        <v>24</v>
      </c>
      <c r="I1136">
        <v>8</v>
      </c>
      <c r="J1136">
        <v>630344</v>
      </c>
      <c r="K1136">
        <v>5</v>
      </c>
      <c r="L1136">
        <v>4790614.3999999994</v>
      </c>
      <c r="M1136" t="s">
        <v>54</v>
      </c>
      <c r="N1136" t="s">
        <v>26</v>
      </c>
      <c r="O1136" t="s">
        <v>27</v>
      </c>
      <c r="P1136" t="s">
        <v>26</v>
      </c>
    </row>
    <row r="1137" spans="1:16" x14ac:dyDescent="0.25">
      <c r="A1137" t="s">
        <v>2014</v>
      </c>
      <c r="B1137" t="s">
        <v>232</v>
      </c>
      <c r="C1137" t="s">
        <v>37</v>
      </c>
      <c r="D1137" t="s">
        <v>30</v>
      </c>
      <c r="E1137" t="s">
        <v>142</v>
      </c>
      <c r="F1137" t="s">
        <v>32</v>
      </c>
      <c r="G1137" t="s">
        <v>41</v>
      </c>
      <c r="H1137" t="s">
        <v>86</v>
      </c>
      <c r="I1137">
        <v>1</v>
      </c>
      <c r="J1137">
        <v>444634</v>
      </c>
      <c r="K1137">
        <v>0</v>
      </c>
      <c r="L1137">
        <v>444634</v>
      </c>
      <c r="M1137" t="s">
        <v>42</v>
      </c>
      <c r="N1137" t="s">
        <v>69</v>
      </c>
      <c r="O1137" t="s">
        <v>44</v>
      </c>
      <c r="P1137" t="s">
        <v>55</v>
      </c>
    </row>
    <row r="1138" spans="1:16" x14ac:dyDescent="0.25">
      <c r="A1138" t="s">
        <v>2015</v>
      </c>
      <c r="B1138" t="s">
        <v>2016</v>
      </c>
      <c r="C1138" t="s">
        <v>91</v>
      </c>
      <c r="D1138" t="s">
        <v>129</v>
      </c>
      <c r="E1138" t="s">
        <v>130</v>
      </c>
      <c r="F1138" t="s">
        <v>40</v>
      </c>
      <c r="G1138" t="s">
        <v>73</v>
      </c>
      <c r="H1138" t="s">
        <v>58</v>
      </c>
      <c r="I1138">
        <v>7</v>
      </c>
      <c r="J1138">
        <v>88718</v>
      </c>
      <c r="K1138">
        <v>0</v>
      </c>
      <c r="L1138">
        <v>621026</v>
      </c>
      <c r="M1138" t="s">
        <v>25</v>
      </c>
      <c r="N1138" t="s">
        <v>26</v>
      </c>
      <c r="O1138" t="s">
        <v>44</v>
      </c>
      <c r="P1138" t="s">
        <v>55</v>
      </c>
    </row>
    <row r="1139" spans="1:16" x14ac:dyDescent="0.25">
      <c r="A1139" t="s">
        <v>2017</v>
      </c>
      <c r="B1139" t="s">
        <v>1200</v>
      </c>
      <c r="C1139" t="s">
        <v>85</v>
      </c>
      <c r="D1139" t="s">
        <v>47</v>
      </c>
      <c r="E1139" t="s">
        <v>48</v>
      </c>
      <c r="F1139" t="s">
        <v>22</v>
      </c>
      <c r="G1139" t="s">
        <v>52</v>
      </c>
      <c r="H1139" t="s">
        <v>53</v>
      </c>
      <c r="I1139">
        <v>4</v>
      </c>
      <c r="J1139">
        <v>476246</v>
      </c>
      <c r="K1139">
        <v>12</v>
      </c>
      <c r="L1139">
        <v>1676385.92</v>
      </c>
      <c r="M1139" t="s">
        <v>54</v>
      </c>
      <c r="N1139" t="s">
        <v>43</v>
      </c>
      <c r="O1139" t="s">
        <v>44</v>
      </c>
      <c r="P1139" t="s">
        <v>42</v>
      </c>
    </row>
    <row r="1140" spans="1:16" x14ac:dyDescent="0.25">
      <c r="A1140" t="s">
        <v>2018</v>
      </c>
      <c r="B1140" t="s">
        <v>1202</v>
      </c>
      <c r="C1140" t="s">
        <v>79</v>
      </c>
      <c r="D1140" t="s">
        <v>30</v>
      </c>
      <c r="E1140" t="s">
        <v>31</v>
      </c>
      <c r="F1140" t="s">
        <v>32</v>
      </c>
      <c r="G1140" t="s">
        <v>89</v>
      </c>
      <c r="H1140" t="s">
        <v>24</v>
      </c>
      <c r="I1140">
        <v>6</v>
      </c>
      <c r="J1140">
        <v>412135</v>
      </c>
      <c r="K1140">
        <v>7</v>
      </c>
      <c r="L1140">
        <v>2299713.2999999998</v>
      </c>
      <c r="M1140" t="s">
        <v>25</v>
      </c>
      <c r="N1140" t="s">
        <v>69</v>
      </c>
      <c r="O1140" t="s">
        <v>27</v>
      </c>
      <c r="P1140" t="s">
        <v>55</v>
      </c>
    </row>
    <row r="1141" spans="1:16" x14ac:dyDescent="0.25">
      <c r="A1141" t="s">
        <v>2019</v>
      </c>
      <c r="B1141" t="s">
        <v>2020</v>
      </c>
      <c r="C1141" t="s">
        <v>79</v>
      </c>
      <c r="D1141" t="s">
        <v>20</v>
      </c>
      <c r="E1141" t="s">
        <v>21</v>
      </c>
      <c r="F1141" t="s">
        <v>22</v>
      </c>
      <c r="G1141" t="s">
        <v>33</v>
      </c>
      <c r="H1141" t="s">
        <v>53</v>
      </c>
      <c r="I1141">
        <v>7</v>
      </c>
      <c r="J1141">
        <v>663498</v>
      </c>
      <c r="K1141">
        <v>12</v>
      </c>
      <c r="L1141">
        <v>4087147.68</v>
      </c>
      <c r="M1141" t="s">
        <v>25</v>
      </c>
      <c r="N1141" t="s">
        <v>69</v>
      </c>
      <c r="O1141" t="s">
        <v>27</v>
      </c>
      <c r="P1141" t="s">
        <v>26</v>
      </c>
    </row>
    <row r="1142" spans="1:16" x14ac:dyDescent="0.25">
      <c r="A1142" t="s">
        <v>2021</v>
      </c>
      <c r="B1142" t="s">
        <v>2022</v>
      </c>
      <c r="C1142" t="s">
        <v>65</v>
      </c>
      <c r="D1142" t="s">
        <v>66</v>
      </c>
      <c r="E1142" t="s">
        <v>67</v>
      </c>
      <c r="F1142" t="s">
        <v>68</v>
      </c>
      <c r="G1142" t="s">
        <v>33</v>
      </c>
      <c r="H1142" t="s">
        <v>86</v>
      </c>
      <c r="I1142">
        <v>8</v>
      </c>
      <c r="J1142">
        <v>838502</v>
      </c>
      <c r="K1142">
        <v>7</v>
      </c>
      <c r="L1142">
        <v>6238454.8799999999</v>
      </c>
      <c r="M1142" t="s">
        <v>42</v>
      </c>
      <c r="N1142" t="s">
        <v>69</v>
      </c>
      <c r="O1142" t="s">
        <v>27</v>
      </c>
      <c r="P1142" t="s">
        <v>42</v>
      </c>
    </row>
    <row r="1143" spans="1:16" x14ac:dyDescent="0.25">
      <c r="A1143" t="s">
        <v>2023</v>
      </c>
      <c r="B1143" t="s">
        <v>2024</v>
      </c>
      <c r="C1143" t="s">
        <v>19</v>
      </c>
      <c r="D1143" t="s">
        <v>66</v>
      </c>
      <c r="E1143" t="s">
        <v>67</v>
      </c>
      <c r="F1143" t="s">
        <v>68</v>
      </c>
      <c r="G1143" t="s">
        <v>124</v>
      </c>
      <c r="H1143" t="s">
        <v>58</v>
      </c>
      <c r="I1143">
        <v>5</v>
      </c>
      <c r="J1143">
        <v>804513</v>
      </c>
      <c r="K1143">
        <v>10</v>
      </c>
      <c r="L1143">
        <v>3620308.5</v>
      </c>
      <c r="M1143" t="s">
        <v>25</v>
      </c>
      <c r="N1143" t="s">
        <v>69</v>
      </c>
      <c r="O1143" t="s">
        <v>27</v>
      </c>
      <c r="P1143" t="s">
        <v>42</v>
      </c>
    </row>
    <row r="1144" spans="1:16" x14ac:dyDescent="0.25">
      <c r="A1144" t="s">
        <v>2025</v>
      </c>
      <c r="B1144" t="s">
        <v>2026</v>
      </c>
      <c r="C1144" t="s">
        <v>76</v>
      </c>
      <c r="D1144" t="s">
        <v>154</v>
      </c>
      <c r="E1144" t="s">
        <v>67</v>
      </c>
      <c r="F1144" t="s">
        <v>68</v>
      </c>
      <c r="G1144" t="s">
        <v>62</v>
      </c>
      <c r="H1144" t="s">
        <v>58</v>
      </c>
      <c r="I1144">
        <v>8</v>
      </c>
      <c r="J1144">
        <v>285895</v>
      </c>
      <c r="K1144">
        <v>7</v>
      </c>
      <c r="L1144">
        <v>2127058.7999999998</v>
      </c>
      <c r="M1144" t="s">
        <v>25</v>
      </c>
      <c r="N1144" t="s">
        <v>43</v>
      </c>
      <c r="O1144" t="s">
        <v>44</v>
      </c>
      <c r="P1144" t="s">
        <v>26</v>
      </c>
    </row>
    <row r="1145" spans="1:16" x14ac:dyDescent="0.25">
      <c r="A1145" t="s">
        <v>2027</v>
      </c>
      <c r="B1145" t="s">
        <v>2028</v>
      </c>
      <c r="C1145" t="s">
        <v>65</v>
      </c>
      <c r="D1145" t="s">
        <v>154</v>
      </c>
      <c r="E1145" t="s">
        <v>201</v>
      </c>
      <c r="F1145" t="s">
        <v>68</v>
      </c>
      <c r="G1145" t="s">
        <v>41</v>
      </c>
      <c r="H1145" t="s">
        <v>58</v>
      </c>
      <c r="I1145">
        <v>2</v>
      </c>
      <c r="J1145">
        <v>538778</v>
      </c>
      <c r="K1145">
        <v>0</v>
      </c>
      <c r="L1145">
        <v>1077556</v>
      </c>
      <c r="M1145" t="s">
        <v>54</v>
      </c>
      <c r="N1145" t="s">
        <v>69</v>
      </c>
      <c r="O1145" t="s">
        <v>27</v>
      </c>
      <c r="P1145" t="s">
        <v>42</v>
      </c>
    </row>
    <row r="1146" spans="1:16" x14ac:dyDescent="0.25">
      <c r="A1146" t="s">
        <v>2029</v>
      </c>
      <c r="B1146" t="s">
        <v>2030</v>
      </c>
      <c r="C1146" t="s">
        <v>19</v>
      </c>
      <c r="D1146" t="s">
        <v>66</v>
      </c>
      <c r="E1146" t="s">
        <v>67</v>
      </c>
      <c r="F1146" t="s">
        <v>68</v>
      </c>
      <c r="G1146" t="s">
        <v>73</v>
      </c>
      <c r="H1146" t="s">
        <v>58</v>
      </c>
      <c r="I1146">
        <v>8</v>
      </c>
      <c r="J1146">
        <v>88857</v>
      </c>
      <c r="K1146">
        <v>2</v>
      </c>
      <c r="L1146">
        <v>696638.88</v>
      </c>
      <c r="M1146" t="s">
        <v>54</v>
      </c>
      <c r="N1146" t="s">
        <v>43</v>
      </c>
      <c r="O1146" t="s">
        <v>44</v>
      </c>
      <c r="P1146" t="s">
        <v>42</v>
      </c>
    </row>
    <row r="1147" spans="1:16" x14ac:dyDescent="0.25">
      <c r="A1147" t="s">
        <v>2031</v>
      </c>
      <c r="B1147" t="s">
        <v>1660</v>
      </c>
      <c r="C1147" t="s">
        <v>76</v>
      </c>
      <c r="D1147" t="s">
        <v>47</v>
      </c>
      <c r="E1147" t="s">
        <v>48</v>
      </c>
      <c r="F1147" t="s">
        <v>22</v>
      </c>
      <c r="G1147" t="s">
        <v>124</v>
      </c>
      <c r="H1147" t="s">
        <v>34</v>
      </c>
      <c r="I1147">
        <v>5</v>
      </c>
      <c r="J1147">
        <v>887010</v>
      </c>
      <c r="K1147">
        <v>5</v>
      </c>
      <c r="L1147">
        <v>4213297.5</v>
      </c>
      <c r="M1147" t="s">
        <v>42</v>
      </c>
      <c r="N1147" t="s">
        <v>69</v>
      </c>
      <c r="O1147" t="s">
        <v>27</v>
      </c>
      <c r="P1147" t="s">
        <v>55</v>
      </c>
    </row>
    <row r="1148" spans="1:16" x14ac:dyDescent="0.25">
      <c r="A1148" t="s">
        <v>2032</v>
      </c>
      <c r="B1148" t="s">
        <v>2033</v>
      </c>
      <c r="C1148" t="s">
        <v>85</v>
      </c>
      <c r="D1148" t="s">
        <v>30</v>
      </c>
      <c r="E1148" t="s">
        <v>31</v>
      </c>
      <c r="F1148" t="s">
        <v>32</v>
      </c>
      <c r="G1148" t="s">
        <v>52</v>
      </c>
      <c r="H1148" t="s">
        <v>53</v>
      </c>
      <c r="I1148">
        <v>7</v>
      </c>
      <c r="J1148">
        <v>193675</v>
      </c>
      <c r="K1148">
        <v>5</v>
      </c>
      <c r="L1148">
        <v>1287938.75</v>
      </c>
      <c r="M1148" t="s">
        <v>25</v>
      </c>
      <c r="N1148" t="s">
        <v>26</v>
      </c>
      <c r="O1148" t="s">
        <v>44</v>
      </c>
      <c r="P1148" t="s">
        <v>55</v>
      </c>
    </row>
    <row r="1149" spans="1:16" x14ac:dyDescent="0.25">
      <c r="A1149" t="s">
        <v>1546</v>
      </c>
      <c r="B1149" t="s">
        <v>2034</v>
      </c>
      <c r="C1149" t="s">
        <v>65</v>
      </c>
      <c r="D1149" t="s">
        <v>47</v>
      </c>
      <c r="E1149" t="s">
        <v>48</v>
      </c>
      <c r="F1149" t="s">
        <v>22</v>
      </c>
      <c r="G1149" t="s">
        <v>23</v>
      </c>
      <c r="H1149" t="s">
        <v>86</v>
      </c>
      <c r="I1149">
        <v>6</v>
      </c>
      <c r="J1149">
        <v>260628</v>
      </c>
      <c r="K1149">
        <v>0</v>
      </c>
      <c r="L1149">
        <v>1563768</v>
      </c>
      <c r="M1149" t="s">
        <v>25</v>
      </c>
      <c r="N1149" t="s">
        <v>69</v>
      </c>
      <c r="O1149" t="s">
        <v>44</v>
      </c>
      <c r="P1149" t="s">
        <v>55</v>
      </c>
    </row>
    <row r="1150" spans="1:16" x14ac:dyDescent="0.25">
      <c r="A1150" t="s">
        <v>2035</v>
      </c>
      <c r="B1150" t="s">
        <v>2036</v>
      </c>
      <c r="C1150" t="s">
        <v>85</v>
      </c>
      <c r="D1150" t="s">
        <v>47</v>
      </c>
      <c r="E1150" t="s">
        <v>48</v>
      </c>
      <c r="F1150" t="s">
        <v>22</v>
      </c>
      <c r="G1150" t="s">
        <v>62</v>
      </c>
      <c r="H1150" t="s">
        <v>34</v>
      </c>
      <c r="I1150">
        <v>6</v>
      </c>
      <c r="J1150">
        <v>107389</v>
      </c>
      <c r="K1150">
        <v>2</v>
      </c>
      <c r="L1150">
        <v>631447.31999999995</v>
      </c>
      <c r="M1150" t="s">
        <v>25</v>
      </c>
      <c r="N1150" t="s">
        <v>69</v>
      </c>
      <c r="O1150" t="s">
        <v>44</v>
      </c>
      <c r="P1150" t="s">
        <v>26</v>
      </c>
    </row>
    <row r="1151" spans="1:16" x14ac:dyDescent="0.25">
      <c r="A1151" t="s">
        <v>2037</v>
      </c>
      <c r="B1151" t="s">
        <v>1121</v>
      </c>
      <c r="C1151" t="s">
        <v>198</v>
      </c>
      <c r="D1151" t="s">
        <v>20</v>
      </c>
      <c r="E1151" t="s">
        <v>21</v>
      </c>
      <c r="F1151" t="s">
        <v>22</v>
      </c>
      <c r="G1151" t="s">
        <v>89</v>
      </c>
      <c r="H1151" t="s">
        <v>86</v>
      </c>
      <c r="I1151">
        <v>5</v>
      </c>
      <c r="J1151">
        <v>535355</v>
      </c>
      <c r="K1151">
        <v>7</v>
      </c>
      <c r="L1151">
        <v>2489400.75</v>
      </c>
      <c r="M1151" t="s">
        <v>54</v>
      </c>
      <c r="N1151" t="s">
        <v>43</v>
      </c>
      <c r="O1151" t="s">
        <v>44</v>
      </c>
      <c r="P1151" t="s">
        <v>26</v>
      </c>
    </row>
    <row r="1152" spans="1:16" x14ac:dyDescent="0.25">
      <c r="A1152" t="s">
        <v>2038</v>
      </c>
      <c r="B1152" t="s">
        <v>804</v>
      </c>
      <c r="C1152" t="s">
        <v>61</v>
      </c>
      <c r="D1152" t="s">
        <v>154</v>
      </c>
      <c r="E1152" t="s">
        <v>67</v>
      </c>
      <c r="F1152" t="s">
        <v>68</v>
      </c>
      <c r="G1152" t="s">
        <v>41</v>
      </c>
      <c r="H1152" t="s">
        <v>58</v>
      </c>
      <c r="I1152">
        <v>7</v>
      </c>
      <c r="J1152">
        <v>146614</v>
      </c>
      <c r="K1152">
        <v>5</v>
      </c>
      <c r="L1152">
        <v>974983.1</v>
      </c>
      <c r="M1152" t="s">
        <v>42</v>
      </c>
      <c r="N1152" t="s">
        <v>43</v>
      </c>
      <c r="O1152" t="s">
        <v>44</v>
      </c>
      <c r="P1152" t="s">
        <v>55</v>
      </c>
    </row>
    <row r="1153" spans="1:16" x14ac:dyDescent="0.25">
      <c r="A1153" t="s">
        <v>2039</v>
      </c>
      <c r="B1153" t="s">
        <v>1697</v>
      </c>
      <c r="C1153" t="s">
        <v>99</v>
      </c>
      <c r="D1153" t="s">
        <v>20</v>
      </c>
      <c r="E1153" t="s">
        <v>189</v>
      </c>
      <c r="F1153" t="s">
        <v>22</v>
      </c>
      <c r="G1153" t="s">
        <v>23</v>
      </c>
      <c r="H1153" t="s">
        <v>53</v>
      </c>
      <c r="I1153">
        <v>4</v>
      </c>
      <c r="J1153">
        <v>771084</v>
      </c>
      <c r="K1153">
        <v>0</v>
      </c>
      <c r="L1153">
        <v>3084336</v>
      </c>
      <c r="M1153" t="s">
        <v>54</v>
      </c>
      <c r="N1153" t="s">
        <v>43</v>
      </c>
      <c r="O1153" t="s">
        <v>44</v>
      </c>
      <c r="P1153" t="s">
        <v>55</v>
      </c>
    </row>
    <row r="1154" spans="1:16" x14ac:dyDescent="0.25">
      <c r="A1154" t="s">
        <v>2040</v>
      </c>
      <c r="B1154" t="s">
        <v>180</v>
      </c>
      <c r="C1154" t="s">
        <v>85</v>
      </c>
      <c r="D1154" t="s">
        <v>106</v>
      </c>
      <c r="E1154" t="s">
        <v>31</v>
      </c>
      <c r="F1154" t="s">
        <v>32</v>
      </c>
      <c r="G1154" t="s">
        <v>52</v>
      </c>
      <c r="H1154" t="s">
        <v>24</v>
      </c>
      <c r="I1154">
        <v>2</v>
      </c>
      <c r="J1154">
        <v>92296</v>
      </c>
      <c r="K1154">
        <v>7</v>
      </c>
      <c r="L1154">
        <v>171670.56</v>
      </c>
      <c r="M1154" t="s">
        <v>42</v>
      </c>
      <c r="N1154" t="s">
        <v>26</v>
      </c>
      <c r="O1154" t="s">
        <v>44</v>
      </c>
      <c r="P1154" t="s">
        <v>55</v>
      </c>
    </row>
    <row r="1155" spans="1:16" x14ac:dyDescent="0.25">
      <c r="A1155" t="s">
        <v>696</v>
      </c>
      <c r="B1155" t="s">
        <v>656</v>
      </c>
      <c r="C1155" t="s">
        <v>19</v>
      </c>
      <c r="D1155" t="s">
        <v>30</v>
      </c>
      <c r="E1155" t="s">
        <v>31</v>
      </c>
      <c r="F1155" t="s">
        <v>32</v>
      </c>
      <c r="G1155" t="s">
        <v>33</v>
      </c>
      <c r="H1155" t="s">
        <v>53</v>
      </c>
      <c r="I1155">
        <v>6</v>
      </c>
      <c r="J1155">
        <v>70217</v>
      </c>
      <c r="K1155">
        <v>10</v>
      </c>
      <c r="L1155">
        <v>379171.8</v>
      </c>
      <c r="M1155" t="s">
        <v>25</v>
      </c>
      <c r="N1155" t="s">
        <v>26</v>
      </c>
      <c r="O1155" t="s">
        <v>44</v>
      </c>
      <c r="P1155" t="s">
        <v>42</v>
      </c>
    </row>
    <row r="1156" spans="1:16" x14ac:dyDescent="0.25">
      <c r="A1156" t="s">
        <v>2041</v>
      </c>
      <c r="B1156" t="s">
        <v>2042</v>
      </c>
      <c r="C1156" t="s">
        <v>65</v>
      </c>
      <c r="D1156" t="s">
        <v>20</v>
      </c>
      <c r="E1156" t="s">
        <v>21</v>
      </c>
      <c r="F1156" t="s">
        <v>22</v>
      </c>
      <c r="G1156" t="s">
        <v>62</v>
      </c>
      <c r="H1156" t="s">
        <v>24</v>
      </c>
      <c r="I1156">
        <v>4</v>
      </c>
      <c r="J1156">
        <v>342821</v>
      </c>
      <c r="K1156">
        <v>0</v>
      </c>
      <c r="L1156">
        <v>1371284</v>
      </c>
      <c r="M1156" t="s">
        <v>54</v>
      </c>
      <c r="N1156" t="s">
        <v>69</v>
      </c>
      <c r="O1156" t="s">
        <v>44</v>
      </c>
      <c r="P1156" t="s">
        <v>42</v>
      </c>
    </row>
    <row r="1157" spans="1:16" x14ac:dyDescent="0.25">
      <c r="A1157" t="s">
        <v>2043</v>
      </c>
      <c r="B1157" t="s">
        <v>2044</v>
      </c>
      <c r="C1157" t="s">
        <v>76</v>
      </c>
      <c r="D1157" t="s">
        <v>47</v>
      </c>
      <c r="E1157" t="s">
        <v>48</v>
      </c>
      <c r="F1157" t="s">
        <v>22</v>
      </c>
      <c r="G1157" t="s">
        <v>33</v>
      </c>
      <c r="H1157" t="s">
        <v>24</v>
      </c>
      <c r="I1157">
        <v>3</v>
      </c>
      <c r="J1157">
        <v>620442</v>
      </c>
      <c r="K1157">
        <v>2</v>
      </c>
      <c r="L1157">
        <v>1824099.48</v>
      </c>
      <c r="M1157" t="s">
        <v>25</v>
      </c>
      <c r="N1157" t="s">
        <v>26</v>
      </c>
      <c r="O1157" t="s">
        <v>44</v>
      </c>
      <c r="P1157" t="s">
        <v>55</v>
      </c>
    </row>
    <row r="1158" spans="1:16" x14ac:dyDescent="0.25">
      <c r="A1158" t="s">
        <v>2045</v>
      </c>
      <c r="B1158" t="s">
        <v>1296</v>
      </c>
      <c r="C1158" t="s">
        <v>65</v>
      </c>
      <c r="D1158" t="s">
        <v>30</v>
      </c>
      <c r="E1158" t="s">
        <v>31</v>
      </c>
      <c r="F1158" t="s">
        <v>32</v>
      </c>
      <c r="G1158" t="s">
        <v>135</v>
      </c>
      <c r="H1158" t="s">
        <v>34</v>
      </c>
      <c r="I1158">
        <v>6</v>
      </c>
      <c r="J1158">
        <v>163602</v>
      </c>
      <c r="K1158">
        <v>2</v>
      </c>
      <c r="L1158">
        <v>961979.76</v>
      </c>
      <c r="M1158" t="s">
        <v>54</v>
      </c>
      <c r="N1158" t="s">
        <v>26</v>
      </c>
      <c r="O1158" t="s">
        <v>44</v>
      </c>
      <c r="P1158" t="s">
        <v>26</v>
      </c>
    </row>
    <row r="1159" spans="1:16" x14ac:dyDescent="0.25">
      <c r="A1159" t="s">
        <v>2046</v>
      </c>
      <c r="B1159" t="s">
        <v>2047</v>
      </c>
      <c r="C1159" t="s">
        <v>19</v>
      </c>
      <c r="D1159" t="s">
        <v>20</v>
      </c>
      <c r="E1159" t="s">
        <v>21</v>
      </c>
      <c r="F1159" t="s">
        <v>22</v>
      </c>
      <c r="G1159" t="s">
        <v>135</v>
      </c>
      <c r="H1159" t="s">
        <v>86</v>
      </c>
      <c r="I1159">
        <v>4</v>
      </c>
      <c r="J1159">
        <v>527917</v>
      </c>
      <c r="K1159">
        <v>5</v>
      </c>
      <c r="L1159">
        <v>2006084.6</v>
      </c>
      <c r="M1159" t="s">
        <v>54</v>
      </c>
      <c r="N1159" t="s">
        <v>26</v>
      </c>
      <c r="O1159" t="s">
        <v>27</v>
      </c>
      <c r="P1159" t="s">
        <v>55</v>
      </c>
    </row>
    <row r="1160" spans="1:16" x14ac:dyDescent="0.25">
      <c r="A1160" t="s">
        <v>2048</v>
      </c>
      <c r="B1160" t="s">
        <v>1050</v>
      </c>
      <c r="C1160" t="s">
        <v>61</v>
      </c>
      <c r="D1160" t="s">
        <v>129</v>
      </c>
      <c r="E1160" t="s">
        <v>39</v>
      </c>
      <c r="F1160" t="s">
        <v>40</v>
      </c>
      <c r="G1160" t="s">
        <v>41</v>
      </c>
      <c r="H1160" t="s">
        <v>34</v>
      </c>
      <c r="I1160">
        <v>8</v>
      </c>
      <c r="J1160">
        <v>172942</v>
      </c>
      <c r="K1160">
        <v>12</v>
      </c>
      <c r="L1160">
        <v>1217511.68</v>
      </c>
      <c r="M1160" t="s">
        <v>54</v>
      </c>
      <c r="N1160" t="s">
        <v>43</v>
      </c>
      <c r="O1160" t="s">
        <v>27</v>
      </c>
      <c r="P1160" t="s">
        <v>55</v>
      </c>
    </row>
    <row r="1161" spans="1:16" x14ac:dyDescent="0.25">
      <c r="A1161" t="s">
        <v>2049</v>
      </c>
      <c r="B1161" t="s">
        <v>2044</v>
      </c>
      <c r="C1161" t="s">
        <v>85</v>
      </c>
      <c r="D1161" t="s">
        <v>30</v>
      </c>
      <c r="E1161" t="s">
        <v>31</v>
      </c>
      <c r="F1161" t="s">
        <v>32</v>
      </c>
      <c r="G1161" t="s">
        <v>23</v>
      </c>
      <c r="H1161" t="s">
        <v>34</v>
      </c>
      <c r="I1161">
        <v>6</v>
      </c>
      <c r="J1161">
        <v>873488</v>
      </c>
      <c r="K1161">
        <v>0</v>
      </c>
      <c r="L1161">
        <v>5240928</v>
      </c>
      <c r="M1161" t="s">
        <v>25</v>
      </c>
      <c r="N1161" t="s">
        <v>69</v>
      </c>
      <c r="O1161" t="s">
        <v>44</v>
      </c>
      <c r="P1161" t="s">
        <v>42</v>
      </c>
    </row>
    <row r="1162" spans="1:16" x14ac:dyDescent="0.25">
      <c r="A1162" t="s">
        <v>2050</v>
      </c>
      <c r="B1162" t="s">
        <v>1923</v>
      </c>
      <c r="C1162" t="s">
        <v>65</v>
      </c>
      <c r="D1162" t="s">
        <v>66</v>
      </c>
      <c r="E1162" t="s">
        <v>67</v>
      </c>
      <c r="F1162" t="s">
        <v>68</v>
      </c>
      <c r="G1162" t="s">
        <v>52</v>
      </c>
      <c r="H1162" t="s">
        <v>58</v>
      </c>
      <c r="I1162">
        <v>2</v>
      </c>
      <c r="J1162">
        <v>64712</v>
      </c>
      <c r="K1162">
        <v>5</v>
      </c>
      <c r="L1162">
        <v>122952.8</v>
      </c>
      <c r="M1162" t="s">
        <v>25</v>
      </c>
      <c r="N1162" t="s">
        <v>69</v>
      </c>
      <c r="O1162" t="s">
        <v>44</v>
      </c>
      <c r="P1162" t="s">
        <v>55</v>
      </c>
    </row>
    <row r="1163" spans="1:16" x14ac:dyDescent="0.25">
      <c r="A1163" t="s">
        <v>2051</v>
      </c>
      <c r="B1163" t="s">
        <v>2052</v>
      </c>
      <c r="C1163" t="s">
        <v>79</v>
      </c>
      <c r="D1163" t="s">
        <v>129</v>
      </c>
      <c r="E1163" t="s">
        <v>39</v>
      </c>
      <c r="F1163" t="s">
        <v>40</v>
      </c>
      <c r="G1163" t="s">
        <v>41</v>
      </c>
      <c r="H1163" t="s">
        <v>58</v>
      </c>
      <c r="I1163">
        <v>2</v>
      </c>
      <c r="J1163">
        <v>91317</v>
      </c>
      <c r="M1163" t="s">
        <v>25</v>
      </c>
      <c r="N1163" t="s">
        <v>26</v>
      </c>
      <c r="O1163" t="s">
        <v>44</v>
      </c>
      <c r="P1163" t="s">
        <v>55</v>
      </c>
    </row>
    <row r="1164" spans="1:16" x14ac:dyDescent="0.25">
      <c r="A1164" t="s">
        <v>2053</v>
      </c>
      <c r="B1164" t="s">
        <v>1131</v>
      </c>
      <c r="C1164" t="s">
        <v>85</v>
      </c>
      <c r="D1164" t="s">
        <v>66</v>
      </c>
      <c r="E1164" t="s">
        <v>67</v>
      </c>
      <c r="F1164" t="s">
        <v>68</v>
      </c>
      <c r="G1164" t="s">
        <v>73</v>
      </c>
      <c r="H1164" t="s">
        <v>53</v>
      </c>
      <c r="I1164">
        <v>7</v>
      </c>
      <c r="J1164">
        <v>100555</v>
      </c>
      <c r="K1164">
        <v>2</v>
      </c>
      <c r="L1164">
        <v>689807.29999999993</v>
      </c>
      <c r="M1164" t="s">
        <v>42</v>
      </c>
      <c r="N1164" t="s">
        <v>26</v>
      </c>
      <c r="O1164" t="s">
        <v>44</v>
      </c>
      <c r="P1164" t="s">
        <v>55</v>
      </c>
    </row>
    <row r="1165" spans="1:16" x14ac:dyDescent="0.25">
      <c r="A1165" t="s">
        <v>2054</v>
      </c>
      <c r="B1165" t="s">
        <v>1119</v>
      </c>
      <c r="C1165" t="s">
        <v>19</v>
      </c>
      <c r="D1165" t="s">
        <v>38</v>
      </c>
      <c r="E1165" t="s">
        <v>39</v>
      </c>
      <c r="F1165" t="s">
        <v>40</v>
      </c>
      <c r="G1165" t="s">
        <v>41</v>
      </c>
      <c r="H1165" t="s">
        <v>53</v>
      </c>
      <c r="I1165">
        <v>7</v>
      </c>
      <c r="J1165">
        <v>102934</v>
      </c>
      <c r="K1165">
        <v>7</v>
      </c>
      <c r="L1165">
        <v>670100.34</v>
      </c>
      <c r="M1165" t="s">
        <v>54</v>
      </c>
      <c r="N1165" t="s">
        <v>69</v>
      </c>
      <c r="O1165" t="s">
        <v>44</v>
      </c>
      <c r="P1165" t="s">
        <v>55</v>
      </c>
    </row>
    <row r="1166" spans="1:16" x14ac:dyDescent="0.25">
      <c r="A1166" t="s">
        <v>2055</v>
      </c>
      <c r="B1166" t="s">
        <v>2056</v>
      </c>
      <c r="C1166" t="s">
        <v>76</v>
      </c>
      <c r="D1166" t="s">
        <v>106</v>
      </c>
      <c r="E1166" t="s">
        <v>31</v>
      </c>
      <c r="F1166" t="s">
        <v>32</v>
      </c>
      <c r="G1166" t="s">
        <v>41</v>
      </c>
      <c r="H1166" t="s">
        <v>53</v>
      </c>
      <c r="I1166">
        <v>5</v>
      </c>
      <c r="J1166">
        <v>544352</v>
      </c>
      <c r="K1166">
        <v>5</v>
      </c>
      <c r="L1166">
        <v>2585672</v>
      </c>
      <c r="M1166" t="s">
        <v>54</v>
      </c>
      <c r="N1166" t="s">
        <v>43</v>
      </c>
      <c r="O1166" t="s">
        <v>27</v>
      </c>
      <c r="P1166" t="s">
        <v>42</v>
      </c>
    </row>
    <row r="1167" spans="1:16" x14ac:dyDescent="0.25">
      <c r="A1167" t="s">
        <v>2057</v>
      </c>
      <c r="B1167" t="s">
        <v>1630</v>
      </c>
      <c r="C1167" t="s">
        <v>37</v>
      </c>
      <c r="D1167" t="s">
        <v>30</v>
      </c>
      <c r="E1167" t="s">
        <v>31</v>
      </c>
      <c r="F1167" t="s">
        <v>32</v>
      </c>
      <c r="G1167" t="s">
        <v>89</v>
      </c>
      <c r="H1167" t="s">
        <v>53</v>
      </c>
      <c r="I1167">
        <v>2</v>
      </c>
      <c r="J1167">
        <v>408903</v>
      </c>
      <c r="K1167">
        <v>2</v>
      </c>
      <c r="L1167">
        <v>801449.88</v>
      </c>
      <c r="M1167" t="s">
        <v>42</v>
      </c>
      <c r="N1167" t="s">
        <v>43</v>
      </c>
      <c r="O1167" t="s">
        <v>44</v>
      </c>
      <c r="P1167" t="s">
        <v>42</v>
      </c>
    </row>
    <row r="1168" spans="1:16" x14ac:dyDescent="0.25">
      <c r="A1168" t="s">
        <v>2058</v>
      </c>
      <c r="B1168" t="s">
        <v>2059</v>
      </c>
      <c r="C1168" t="s">
        <v>37</v>
      </c>
      <c r="D1168" t="s">
        <v>66</v>
      </c>
      <c r="E1168" t="s">
        <v>67</v>
      </c>
      <c r="F1168" t="s">
        <v>68</v>
      </c>
      <c r="G1168" t="s">
        <v>52</v>
      </c>
      <c r="H1168" t="s">
        <v>86</v>
      </c>
      <c r="I1168">
        <v>6</v>
      </c>
      <c r="J1168">
        <v>307684</v>
      </c>
      <c r="K1168">
        <v>5</v>
      </c>
      <c r="L1168">
        <v>1753798.8</v>
      </c>
      <c r="M1168" t="s">
        <v>42</v>
      </c>
      <c r="N1168" t="s">
        <v>43</v>
      </c>
      <c r="O1168" t="s">
        <v>27</v>
      </c>
      <c r="P1168" t="s">
        <v>42</v>
      </c>
    </row>
    <row r="1169" spans="1:16" x14ac:dyDescent="0.25">
      <c r="A1169" t="s">
        <v>2060</v>
      </c>
      <c r="B1169" t="s">
        <v>827</v>
      </c>
      <c r="C1169" t="s">
        <v>19</v>
      </c>
      <c r="D1169" t="s">
        <v>66</v>
      </c>
      <c r="E1169" t="s">
        <v>201</v>
      </c>
      <c r="F1169" t="s">
        <v>68</v>
      </c>
      <c r="G1169" t="s">
        <v>33</v>
      </c>
      <c r="H1169" t="s">
        <v>86</v>
      </c>
      <c r="I1169">
        <v>7</v>
      </c>
      <c r="J1169">
        <v>123376</v>
      </c>
      <c r="K1169">
        <v>0</v>
      </c>
      <c r="L1169">
        <v>863632</v>
      </c>
      <c r="M1169" t="s">
        <v>42</v>
      </c>
      <c r="N1169" t="s">
        <v>43</v>
      </c>
      <c r="O1169" t="s">
        <v>27</v>
      </c>
      <c r="P1169" t="s">
        <v>26</v>
      </c>
    </row>
    <row r="1170" spans="1:16" x14ac:dyDescent="0.25">
      <c r="A1170" t="s">
        <v>2061</v>
      </c>
      <c r="B1170" t="s">
        <v>2062</v>
      </c>
      <c r="C1170" t="s">
        <v>19</v>
      </c>
      <c r="D1170" t="s">
        <v>38</v>
      </c>
      <c r="E1170" t="s">
        <v>39</v>
      </c>
      <c r="F1170" t="s">
        <v>40</v>
      </c>
      <c r="G1170" t="s">
        <v>89</v>
      </c>
      <c r="H1170" t="s">
        <v>34</v>
      </c>
      <c r="I1170">
        <v>8</v>
      </c>
      <c r="J1170">
        <v>365274</v>
      </c>
      <c r="K1170">
        <v>10</v>
      </c>
      <c r="L1170">
        <v>2629972.7999999998</v>
      </c>
      <c r="M1170" t="s">
        <v>42</v>
      </c>
      <c r="N1170" t="s">
        <v>26</v>
      </c>
      <c r="O1170" t="s">
        <v>27</v>
      </c>
      <c r="P1170" t="s">
        <v>26</v>
      </c>
    </row>
    <row r="1171" spans="1:16" x14ac:dyDescent="0.25">
      <c r="A1171" t="s">
        <v>2063</v>
      </c>
      <c r="B1171" t="s">
        <v>2064</v>
      </c>
      <c r="C1171" t="s">
        <v>19</v>
      </c>
      <c r="D1171" t="s">
        <v>38</v>
      </c>
      <c r="E1171" t="s">
        <v>39</v>
      </c>
      <c r="F1171" t="s">
        <v>40</v>
      </c>
      <c r="G1171" t="s">
        <v>33</v>
      </c>
      <c r="H1171" t="s">
        <v>86</v>
      </c>
      <c r="I1171">
        <v>2</v>
      </c>
      <c r="J1171">
        <v>553231</v>
      </c>
      <c r="K1171">
        <v>5</v>
      </c>
      <c r="L1171">
        <v>1051138.8999999999</v>
      </c>
      <c r="M1171" t="s">
        <v>54</v>
      </c>
      <c r="N1171" t="s">
        <v>43</v>
      </c>
      <c r="O1171" t="s">
        <v>27</v>
      </c>
      <c r="P1171" t="s">
        <v>42</v>
      </c>
    </row>
    <row r="1172" spans="1:16" x14ac:dyDescent="0.25">
      <c r="A1172" t="s">
        <v>2065</v>
      </c>
      <c r="B1172" t="s">
        <v>1026</v>
      </c>
      <c r="C1172" t="s">
        <v>19</v>
      </c>
      <c r="D1172" t="s">
        <v>20</v>
      </c>
      <c r="E1172" t="s">
        <v>21</v>
      </c>
      <c r="F1172" t="s">
        <v>22</v>
      </c>
      <c r="G1172" t="s">
        <v>41</v>
      </c>
      <c r="H1172" t="s">
        <v>58</v>
      </c>
      <c r="I1172">
        <v>4</v>
      </c>
      <c r="J1172">
        <v>535038</v>
      </c>
      <c r="K1172">
        <v>5</v>
      </c>
      <c r="L1172">
        <v>2033144.4</v>
      </c>
      <c r="M1172" t="s">
        <v>54</v>
      </c>
      <c r="N1172" t="s">
        <v>26</v>
      </c>
      <c r="O1172" t="s">
        <v>27</v>
      </c>
      <c r="P1172" t="s">
        <v>26</v>
      </c>
    </row>
    <row r="1173" spans="1:16" x14ac:dyDescent="0.25">
      <c r="A1173" t="s">
        <v>2066</v>
      </c>
      <c r="B1173" t="s">
        <v>2067</v>
      </c>
      <c r="C1173" t="s">
        <v>65</v>
      </c>
      <c r="D1173" t="s">
        <v>47</v>
      </c>
      <c r="E1173" t="s">
        <v>48</v>
      </c>
      <c r="F1173" t="s">
        <v>22</v>
      </c>
      <c r="G1173" t="s">
        <v>41</v>
      </c>
      <c r="H1173" t="s">
        <v>58</v>
      </c>
      <c r="I1173">
        <v>7</v>
      </c>
      <c r="J1173">
        <v>438851</v>
      </c>
      <c r="K1173">
        <v>12</v>
      </c>
      <c r="L1173">
        <v>2703322.16</v>
      </c>
      <c r="M1173" t="s">
        <v>25</v>
      </c>
      <c r="N1173" t="s">
        <v>69</v>
      </c>
      <c r="O1173" t="s">
        <v>44</v>
      </c>
      <c r="P1173" t="s">
        <v>42</v>
      </c>
    </row>
    <row r="1174" spans="1:16" x14ac:dyDescent="0.25">
      <c r="A1174" t="s">
        <v>2068</v>
      </c>
      <c r="B1174" t="s">
        <v>836</v>
      </c>
      <c r="C1174" t="s">
        <v>76</v>
      </c>
      <c r="D1174" t="s">
        <v>38</v>
      </c>
      <c r="E1174" t="s">
        <v>39</v>
      </c>
      <c r="F1174" t="s">
        <v>40</v>
      </c>
      <c r="G1174" t="s">
        <v>73</v>
      </c>
      <c r="H1174" t="s">
        <v>58</v>
      </c>
      <c r="I1174">
        <v>5</v>
      </c>
      <c r="J1174">
        <v>801118</v>
      </c>
      <c r="K1174">
        <v>10</v>
      </c>
      <c r="L1174">
        <v>3605031</v>
      </c>
      <c r="M1174" t="s">
        <v>54</v>
      </c>
      <c r="N1174" t="s">
        <v>69</v>
      </c>
      <c r="O1174" t="s">
        <v>44</v>
      </c>
      <c r="P1174" t="s">
        <v>42</v>
      </c>
    </row>
    <row r="1175" spans="1:16" x14ac:dyDescent="0.25">
      <c r="A1175" t="s">
        <v>2069</v>
      </c>
      <c r="B1175" t="s">
        <v>2070</v>
      </c>
      <c r="C1175" t="s">
        <v>37</v>
      </c>
      <c r="D1175" t="s">
        <v>47</v>
      </c>
      <c r="E1175" t="s">
        <v>48</v>
      </c>
      <c r="F1175" t="s">
        <v>22</v>
      </c>
      <c r="G1175" t="s">
        <v>52</v>
      </c>
      <c r="H1175" t="s">
        <v>86</v>
      </c>
      <c r="I1175">
        <v>3</v>
      </c>
      <c r="J1175">
        <v>838025</v>
      </c>
      <c r="K1175">
        <v>0</v>
      </c>
      <c r="L1175">
        <v>2514075</v>
      </c>
      <c r="M1175" t="s">
        <v>42</v>
      </c>
      <c r="N1175" t="s">
        <v>26</v>
      </c>
      <c r="O1175" t="s">
        <v>27</v>
      </c>
      <c r="P1175" t="s">
        <v>55</v>
      </c>
    </row>
    <row r="1176" spans="1:16" x14ac:dyDescent="0.25">
      <c r="A1176" t="s">
        <v>2071</v>
      </c>
      <c r="B1176" t="s">
        <v>1115</v>
      </c>
      <c r="C1176" t="s">
        <v>19</v>
      </c>
      <c r="D1176" t="s">
        <v>119</v>
      </c>
      <c r="E1176" t="s">
        <v>21</v>
      </c>
      <c r="F1176" t="s">
        <v>22</v>
      </c>
      <c r="G1176" t="s">
        <v>41</v>
      </c>
      <c r="H1176" t="s">
        <v>34</v>
      </c>
      <c r="I1176">
        <v>3</v>
      </c>
      <c r="J1176">
        <v>271179</v>
      </c>
      <c r="K1176">
        <v>12</v>
      </c>
      <c r="L1176">
        <v>715912.56</v>
      </c>
      <c r="M1176" t="s">
        <v>42</v>
      </c>
      <c r="N1176" t="s">
        <v>69</v>
      </c>
      <c r="O1176" t="s">
        <v>44</v>
      </c>
      <c r="P1176" t="s">
        <v>55</v>
      </c>
    </row>
    <row r="1177" spans="1:16" x14ac:dyDescent="0.25">
      <c r="A1177" t="s">
        <v>2072</v>
      </c>
      <c r="B1177" t="s">
        <v>2073</v>
      </c>
      <c r="C1177" t="s">
        <v>65</v>
      </c>
      <c r="D1177" t="s">
        <v>154</v>
      </c>
      <c r="E1177" t="s">
        <v>201</v>
      </c>
      <c r="F1177" t="s">
        <v>68</v>
      </c>
      <c r="G1177" t="s">
        <v>41</v>
      </c>
      <c r="H1177" t="s">
        <v>24</v>
      </c>
      <c r="I1177">
        <v>6</v>
      </c>
      <c r="J1177">
        <v>708248</v>
      </c>
      <c r="K1177">
        <v>0</v>
      </c>
      <c r="L1177">
        <v>4249488</v>
      </c>
      <c r="M1177" t="s">
        <v>42</v>
      </c>
      <c r="N1177" t="s">
        <v>43</v>
      </c>
      <c r="O1177" t="s">
        <v>27</v>
      </c>
      <c r="P1177" t="s">
        <v>26</v>
      </c>
    </row>
    <row r="1178" spans="1:16" x14ac:dyDescent="0.25">
      <c r="A1178" t="s">
        <v>2074</v>
      </c>
      <c r="B1178" t="s">
        <v>2075</v>
      </c>
      <c r="C1178" t="s">
        <v>198</v>
      </c>
      <c r="D1178" t="s">
        <v>66</v>
      </c>
      <c r="E1178" t="s">
        <v>67</v>
      </c>
      <c r="F1178" t="s">
        <v>68</v>
      </c>
      <c r="G1178" t="s">
        <v>33</v>
      </c>
      <c r="H1178" t="s">
        <v>53</v>
      </c>
      <c r="I1178">
        <v>7</v>
      </c>
      <c r="J1178">
        <v>724792</v>
      </c>
      <c r="K1178">
        <v>7</v>
      </c>
      <c r="L1178">
        <v>4718395.92</v>
      </c>
      <c r="M1178" t="s">
        <v>42</v>
      </c>
      <c r="N1178" t="s">
        <v>26</v>
      </c>
      <c r="O1178" t="s">
        <v>27</v>
      </c>
      <c r="P1178" t="s">
        <v>42</v>
      </c>
    </row>
    <row r="1179" spans="1:16" x14ac:dyDescent="0.25">
      <c r="A1179" t="s">
        <v>2076</v>
      </c>
      <c r="B1179" t="s">
        <v>2077</v>
      </c>
      <c r="C1179" t="s">
        <v>61</v>
      </c>
      <c r="D1179" t="s">
        <v>20</v>
      </c>
      <c r="E1179" t="s">
        <v>21</v>
      </c>
      <c r="F1179" t="s">
        <v>22</v>
      </c>
      <c r="G1179" t="s">
        <v>23</v>
      </c>
      <c r="H1179" t="s">
        <v>34</v>
      </c>
      <c r="I1179">
        <v>6</v>
      </c>
      <c r="J1179">
        <v>850869</v>
      </c>
      <c r="K1179">
        <v>5</v>
      </c>
      <c r="L1179">
        <v>4849953.3</v>
      </c>
      <c r="M1179" t="s">
        <v>42</v>
      </c>
      <c r="N1179" t="s">
        <v>69</v>
      </c>
      <c r="O1179" t="s">
        <v>27</v>
      </c>
      <c r="P1179" t="s">
        <v>42</v>
      </c>
    </row>
    <row r="1180" spans="1:16" x14ac:dyDescent="0.25">
      <c r="A1180" t="s">
        <v>2078</v>
      </c>
      <c r="B1180" t="s">
        <v>2079</v>
      </c>
      <c r="C1180" t="s">
        <v>76</v>
      </c>
      <c r="D1180" t="s">
        <v>47</v>
      </c>
      <c r="E1180" t="s">
        <v>48</v>
      </c>
      <c r="F1180" t="s">
        <v>22</v>
      </c>
      <c r="G1180" t="s">
        <v>33</v>
      </c>
      <c r="H1180" t="s">
        <v>24</v>
      </c>
      <c r="I1180">
        <v>5</v>
      </c>
      <c r="J1180">
        <v>692326</v>
      </c>
      <c r="K1180">
        <v>2</v>
      </c>
      <c r="L1180">
        <v>3392397.4</v>
      </c>
      <c r="M1180" t="s">
        <v>54</v>
      </c>
      <c r="N1180" t="s">
        <v>26</v>
      </c>
      <c r="O1180" t="s">
        <v>44</v>
      </c>
      <c r="P1180" t="s">
        <v>26</v>
      </c>
    </row>
    <row r="1181" spans="1:16" x14ac:dyDescent="0.25">
      <c r="A1181" t="s">
        <v>2080</v>
      </c>
      <c r="B1181" t="s">
        <v>2081</v>
      </c>
      <c r="C1181" t="s">
        <v>61</v>
      </c>
      <c r="D1181" t="s">
        <v>20</v>
      </c>
      <c r="E1181" t="s">
        <v>21</v>
      </c>
      <c r="F1181" t="s">
        <v>22</v>
      </c>
      <c r="G1181" t="s">
        <v>73</v>
      </c>
      <c r="H1181" t="s">
        <v>53</v>
      </c>
      <c r="I1181">
        <v>7</v>
      </c>
      <c r="J1181">
        <v>298566</v>
      </c>
      <c r="K1181">
        <v>5</v>
      </c>
      <c r="L1181">
        <v>1985463.9</v>
      </c>
      <c r="M1181" t="s">
        <v>25</v>
      </c>
      <c r="N1181" t="s">
        <v>26</v>
      </c>
      <c r="O1181" t="s">
        <v>27</v>
      </c>
      <c r="P1181" t="s">
        <v>55</v>
      </c>
    </row>
    <row r="1182" spans="1:16" x14ac:dyDescent="0.25">
      <c r="A1182" t="s">
        <v>2082</v>
      </c>
      <c r="B1182" t="s">
        <v>2083</v>
      </c>
      <c r="C1182" t="s">
        <v>19</v>
      </c>
      <c r="D1182" t="s">
        <v>30</v>
      </c>
      <c r="E1182" t="s">
        <v>31</v>
      </c>
      <c r="F1182" t="s">
        <v>32</v>
      </c>
      <c r="G1182" t="s">
        <v>23</v>
      </c>
      <c r="H1182" t="s">
        <v>34</v>
      </c>
      <c r="I1182">
        <v>6</v>
      </c>
      <c r="J1182">
        <v>682256</v>
      </c>
      <c r="K1182">
        <v>2</v>
      </c>
      <c r="L1182">
        <v>4011665.28</v>
      </c>
      <c r="M1182" t="s">
        <v>25</v>
      </c>
      <c r="N1182" t="s">
        <v>69</v>
      </c>
      <c r="O1182" t="s">
        <v>27</v>
      </c>
      <c r="P1182" t="s">
        <v>26</v>
      </c>
    </row>
    <row r="1183" spans="1:16" x14ac:dyDescent="0.25">
      <c r="A1183" t="s">
        <v>2084</v>
      </c>
      <c r="B1183" t="s">
        <v>1754</v>
      </c>
      <c r="C1183" t="s">
        <v>76</v>
      </c>
      <c r="D1183" t="s">
        <v>38</v>
      </c>
      <c r="E1183" t="s">
        <v>39</v>
      </c>
      <c r="F1183" t="s">
        <v>40</v>
      </c>
      <c r="G1183" t="s">
        <v>33</v>
      </c>
      <c r="H1183" t="s">
        <v>58</v>
      </c>
      <c r="I1183">
        <v>3</v>
      </c>
      <c r="J1183">
        <v>863556</v>
      </c>
      <c r="K1183">
        <v>10</v>
      </c>
      <c r="L1183">
        <v>2343946.2000000002</v>
      </c>
      <c r="M1183" t="s">
        <v>54</v>
      </c>
      <c r="N1183" t="s">
        <v>43</v>
      </c>
      <c r="O1183" t="s">
        <v>27</v>
      </c>
      <c r="P1183" t="s">
        <v>42</v>
      </c>
    </row>
    <row r="1184" spans="1:16" x14ac:dyDescent="0.25">
      <c r="A1184" t="s">
        <v>1559</v>
      </c>
      <c r="B1184" t="s">
        <v>2062</v>
      </c>
      <c r="C1184" t="s">
        <v>99</v>
      </c>
      <c r="D1184" t="s">
        <v>20</v>
      </c>
      <c r="E1184" t="s">
        <v>21</v>
      </c>
      <c r="F1184" t="s">
        <v>22</v>
      </c>
      <c r="G1184" t="s">
        <v>41</v>
      </c>
      <c r="H1184" t="s">
        <v>53</v>
      </c>
      <c r="I1184">
        <v>1</v>
      </c>
      <c r="J1184">
        <v>678433</v>
      </c>
      <c r="K1184">
        <v>7</v>
      </c>
      <c r="L1184">
        <v>630942.68999999994</v>
      </c>
      <c r="M1184" t="s">
        <v>42</v>
      </c>
      <c r="N1184" t="s">
        <v>69</v>
      </c>
      <c r="O1184" t="s">
        <v>44</v>
      </c>
      <c r="P1184" t="s">
        <v>26</v>
      </c>
    </row>
    <row r="1185" spans="1:16" x14ac:dyDescent="0.25">
      <c r="A1185" t="s">
        <v>2085</v>
      </c>
      <c r="B1185" t="s">
        <v>2086</v>
      </c>
      <c r="C1185" t="s">
        <v>85</v>
      </c>
      <c r="D1185" t="s">
        <v>66</v>
      </c>
      <c r="E1185" t="s">
        <v>67</v>
      </c>
      <c r="F1185" t="s">
        <v>68</v>
      </c>
      <c r="G1185" t="s">
        <v>41</v>
      </c>
      <c r="H1185" t="s">
        <v>24</v>
      </c>
      <c r="I1185">
        <v>1</v>
      </c>
      <c r="J1185">
        <v>667050</v>
      </c>
      <c r="K1185">
        <v>10</v>
      </c>
      <c r="L1185">
        <v>600345</v>
      </c>
      <c r="M1185" t="s">
        <v>54</v>
      </c>
      <c r="N1185" t="s">
        <v>43</v>
      </c>
      <c r="O1185" t="s">
        <v>27</v>
      </c>
      <c r="P1185" t="s">
        <v>26</v>
      </c>
    </row>
    <row r="1186" spans="1:16" x14ac:dyDescent="0.25">
      <c r="A1186" t="s">
        <v>2087</v>
      </c>
      <c r="B1186" t="s">
        <v>575</v>
      </c>
      <c r="C1186" t="s">
        <v>65</v>
      </c>
      <c r="D1186" t="s">
        <v>30</v>
      </c>
      <c r="E1186" t="s">
        <v>31</v>
      </c>
      <c r="F1186" t="s">
        <v>32</v>
      </c>
      <c r="G1186" t="s">
        <v>94</v>
      </c>
      <c r="H1186" t="s">
        <v>53</v>
      </c>
      <c r="I1186">
        <v>2</v>
      </c>
      <c r="J1186">
        <v>102061</v>
      </c>
      <c r="M1186" t="s">
        <v>42</v>
      </c>
      <c r="N1186" t="s">
        <v>26</v>
      </c>
      <c r="O1186" t="s">
        <v>27</v>
      </c>
      <c r="P1186" t="s">
        <v>55</v>
      </c>
    </row>
    <row r="1187" spans="1:16" x14ac:dyDescent="0.25">
      <c r="A1187" t="s">
        <v>2088</v>
      </c>
      <c r="B1187" t="s">
        <v>2089</v>
      </c>
      <c r="C1187" t="s">
        <v>65</v>
      </c>
      <c r="D1187" t="s">
        <v>47</v>
      </c>
      <c r="E1187" t="s">
        <v>48</v>
      </c>
      <c r="F1187" t="s">
        <v>22</v>
      </c>
      <c r="G1187" t="s">
        <v>62</v>
      </c>
      <c r="H1187" t="s">
        <v>34</v>
      </c>
      <c r="I1187">
        <v>6</v>
      </c>
      <c r="J1187">
        <v>880915</v>
      </c>
      <c r="K1187">
        <v>12</v>
      </c>
      <c r="L1187">
        <v>4651231.2</v>
      </c>
      <c r="M1187" t="s">
        <v>54</v>
      </c>
      <c r="N1187" t="s">
        <v>43</v>
      </c>
      <c r="O1187" t="s">
        <v>27</v>
      </c>
      <c r="P1187" t="s">
        <v>55</v>
      </c>
    </row>
    <row r="1188" spans="1:16" x14ac:dyDescent="0.25">
      <c r="A1188" t="s">
        <v>2090</v>
      </c>
      <c r="B1188" t="s">
        <v>195</v>
      </c>
      <c r="C1188" t="s">
        <v>37</v>
      </c>
      <c r="D1188" t="s">
        <v>38</v>
      </c>
      <c r="E1188" t="s">
        <v>39</v>
      </c>
      <c r="F1188" t="s">
        <v>40</v>
      </c>
      <c r="G1188" t="s">
        <v>41</v>
      </c>
      <c r="H1188" t="s">
        <v>53</v>
      </c>
      <c r="I1188">
        <v>5</v>
      </c>
      <c r="J1188">
        <v>100904</v>
      </c>
      <c r="K1188">
        <v>5</v>
      </c>
      <c r="L1188">
        <v>479294</v>
      </c>
      <c r="M1188" t="s">
        <v>42</v>
      </c>
      <c r="N1188" t="s">
        <v>43</v>
      </c>
      <c r="O1188" t="s">
        <v>44</v>
      </c>
      <c r="P1188" t="s">
        <v>42</v>
      </c>
    </row>
    <row r="1189" spans="1:16" x14ac:dyDescent="0.25">
      <c r="A1189" t="s">
        <v>2091</v>
      </c>
      <c r="B1189" t="s">
        <v>1699</v>
      </c>
      <c r="C1189" t="s">
        <v>85</v>
      </c>
      <c r="D1189" t="s">
        <v>129</v>
      </c>
      <c r="E1189" t="s">
        <v>39</v>
      </c>
      <c r="F1189" t="s">
        <v>40</v>
      </c>
      <c r="G1189" t="s">
        <v>52</v>
      </c>
      <c r="H1189" t="s">
        <v>34</v>
      </c>
      <c r="I1189">
        <v>3</v>
      </c>
      <c r="J1189">
        <v>756118</v>
      </c>
      <c r="K1189">
        <v>5</v>
      </c>
      <c r="L1189">
        <v>2154936.2999999998</v>
      </c>
      <c r="M1189" t="s">
        <v>25</v>
      </c>
      <c r="N1189" t="s">
        <v>26</v>
      </c>
      <c r="O1189" t="s">
        <v>27</v>
      </c>
      <c r="P1189" t="s">
        <v>55</v>
      </c>
    </row>
    <row r="1190" spans="1:16" x14ac:dyDescent="0.25">
      <c r="A1190" t="s">
        <v>2092</v>
      </c>
      <c r="B1190" t="s">
        <v>2093</v>
      </c>
      <c r="C1190" t="s">
        <v>79</v>
      </c>
      <c r="D1190" t="s">
        <v>30</v>
      </c>
      <c r="E1190" t="s">
        <v>31</v>
      </c>
      <c r="F1190" t="s">
        <v>32</v>
      </c>
      <c r="G1190" t="s">
        <v>33</v>
      </c>
      <c r="H1190" t="s">
        <v>53</v>
      </c>
      <c r="I1190">
        <v>5</v>
      </c>
      <c r="J1190">
        <v>712244</v>
      </c>
      <c r="K1190">
        <v>5</v>
      </c>
      <c r="L1190">
        <v>3383159</v>
      </c>
      <c r="M1190" t="s">
        <v>42</v>
      </c>
      <c r="N1190" t="s">
        <v>43</v>
      </c>
      <c r="O1190" t="s">
        <v>44</v>
      </c>
      <c r="P1190" t="s">
        <v>26</v>
      </c>
    </row>
    <row r="1191" spans="1:16" x14ac:dyDescent="0.25">
      <c r="A1191" t="s">
        <v>2094</v>
      </c>
      <c r="B1191" t="s">
        <v>2095</v>
      </c>
      <c r="C1191" t="s">
        <v>85</v>
      </c>
      <c r="D1191" t="s">
        <v>30</v>
      </c>
      <c r="E1191" t="s">
        <v>31</v>
      </c>
      <c r="F1191" t="s">
        <v>32</v>
      </c>
      <c r="G1191" t="s">
        <v>33</v>
      </c>
      <c r="H1191" t="s">
        <v>53</v>
      </c>
      <c r="I1191">
        <v>2</v>
      </c>
      <c r="J1191">
        <v>392807</v>
      </c>
      <c r="K1191">
        <v>12</v>
      </c>
      <c r="L1191">
        <v>691340.32</v>
      </c>
      <c r="M1191" t="s">
        <v>25</v>
      </c>
      <c r="N1191" t="s">
        <v>43</v>
      </c>
      <c r="O1191" t="s">
        <v>27</v>
      </c>
      <c r="P1191" t="s">
        <v>26</v>
      </c>
    </row>
    <row r="1192" spans="1:16" x14ac:dyDescent="0.25">
      <c r="A1192" t="s">
        <v>2096</v>
      </c>
      <c r="B1192" t="s">
        <v>137</v>
      </c>
      <c r="C1192" t="s">
        <v>76</v>
      </c>
      <c r="D1192" t="s">
        <v>66</v>
      </c>
      <c r="E1192" t="s">
        <v>201</v>
      </c>
      <c r="F1192" t="s">
        <v>68</v>
      </c>
      <c r="G1192" t="s">
        <v>73</v>
      </c>
      <c r="H1192" t="s">
        <v>24</v>
      </c>
      <c r="I1192">
        <v>3</v>
      </c>
      <c r="J1192">
        <v>314995</v>
      </c>
      <c r="K1192">
        <v>10</v>
      </c>
      <c r="L1192">
        <v>850486.5</v>
      </c>
      <c r="M1192" t="s">
        <v>42</v>
      </c>
      <c r="N1192" t="s">
        <v>69</v>
      </c>
      <c r="O1192" t="s">
        <v>44</v>
      </c>
      <c r="P1192" t="s">
        <v>26</v>
      </c>
    </row>
    <row r="1193" spans="1:16" x14ac:dyDescent="0.25">
      <c r="A1193" t="s">
        <v>2097</v>
      </c>
      <c r="B1193" t="s">
        <v>2098</v>
      </c>
      <c r="C1193" t="s">
        <v>79</v>
      </c>
      <c r="D1193" t="s">
        <v>129</v>
      </c>
      <c r="E1193" t="s">
        <v>39</v>
      </c>
      <c r="F1193" t="s">
        <v>40</v>
      </c>
      <c r="G1193" t="s">
        <v>52</v>
      </c>
      <c r="H1193" t="s">
        <v>34</v>
      </c>
      <c r="I1193">
        <v>1</v>
      </c>
      <c r="J1193">
        <v>636067</v>
      </c>
      <c r="K1193">
        <v>7</v>
      </c>
      <c r="L1193">
        <v>591542.30999999994</v>
      </c>
      <c r="M1193" t="s">
        <v>54</v>
      </c>
      <c r="N1193" t="s">
        <v>26</v>
      </c>
      <c r="O1193" t="s">
        <v>44</v>
      </c>
      <c r="P1193" t="s">
        <v>42</v>
      </c>
    </row>
    <row r="1194" spans="1:16" x14ac:dyDescent="0.25">
      <c r="A1194" t="s">
        <v>2099</v>
      </c>
      <c r="B1194" t="s">
        <v>2100</v>
      </c>
      <c r="C1194" t="s">
        <v>79</v>
      </c>
      <c r="D1194" t="s">
        <v>38</v>
      </c>
      <c r="E1194" t="s">
        <v>39</v>
      </c>
      <c r="F1194" t="s">
        <v>40</v>
      </c>
      <c r="G1194" t="s">
        <v>62</v>
      </c>
      <c r="H1194" t="s">
        <v>24</v>
      </c>
      <c r="I1194">
        <v>5</v>
      </c>
      <c r="J1194">
        <v>450907</v>
      </c>
      <c r="K1194">
        <v>12</v>
      </c>
      <c r="L1194">
        <v>1983990.8</v>
      </c>
      <c r="M1194" t="s">
        <v>42</v>
      </c>
      <c r="N1194" t="s">
        <v>26</v>
      </c>
      <c r="O1194" t="s">
        <v>27</v>
      </c>
      <c r="P1194" t="s">
        <v>42</v>
      </c>
    </row>
    <row r="1195" spans="1:16" x14ac:dyDescent="0.25">
      <c r="A1195" t="s">
        <v>2101</v>
      </c>
      <c r="B1195" t="s">
        <v>2102</v>
      </c>
      <c r="C1195" t="s">
        <v>19</v>
      </c>
      <c r="D1195" t="s">
        <v>20</v>
      </c>
      <c r="E1195" t="s">
        <v>21</v>
      </c>
      <c r="F1195" t="s">
        <v>22</v>
      </c>
      <c r="G1195" t="s">
        <v>23</v>
      </c>
      <c r="H1195" t="s">
        <v>86</v>
      </c>
      <c r="I1195">
        <v>6</v>
      </c>
      <c r="J1195">
        <v>172066</v>
      </c>
      <c r="K1195">
        <v>2</v>
      </c>
      <c r="L1195">
        <v>1011748.08</v>
      </c>
      <c r="M1195" t="s">
        <v>25</v>
      </c>
      <c r="N1195" t="s">
        <v>69</v>
      </c>
      <c r="O1195" t="s">
        <v>27</v>
      </c>
      <c r="P1195" t="s">
        <v>26</v>
      </c>
    </row>
    <row r="1196" spans="1:16" x14ac:dyDescent="0.25">
      <c r="A1196" t="s">
        <v>2103</v>
      </c>
      <c r="B1196" t="s">
        <v>372</v>
      </c>
      <c r="C1196" t="s">
        <v>37</v>
      </c>
      <c r="D1196" t="s">
        <v>47</v>
      </c>
      <c r="E1196" t="s">
        <v>48</v>
      </c>
      <c r="F1196" t="s">
        <v>22</v>
      </c>
      <c r="G1196" t="s">
        <v>62</v>
      </c>
      <c r="H1196" t="s">
        <v>58</v>
      </c>
      <c r="I1196">
        <v>8</v>
      </c>
      <c r="J1196">
        <v>874664</v>
      </c>
      <c r="K1196">
        <v>12</v>
      </c>
      <c r="L1196">
        <v>6157634.5599999996</v>
      </c>
      <c r="M1196" t="s">
        <v>54</v>
      </c>
      <c r="N1196" t="s">
        <v>43</v>
      </c>
      <c r="O1196" t="s">
        <v>27</v>
      </c>
      <c r="P1196" t="s">
        <v>55</v>
      </c>
    </row>
    <row r="1197" spans="1:16" x14ac:dyDescent="0.25">
      <c r="A1197" t="s">
        <v>2104</v>
      </c>
      <c r="B1197" t="s">
        <v>1278</v>
      </c>
      <c r="C1197" t="s">
        <v>85</v>
      </c>
      <c r="D1197" t="s">
        <v>47</v>
      </c>
      <c r="E1197" t="s">
        <v>48</v>
      </c>
      <c r="F1197" t="s">
        <v>22</v>
      </c>
      <c r="G1197" t="s">
        <v>33</v>
      </c>
      <c r="H1197" t="s">
        <v>34</v>
      </c>
      <c r="I1197">
        <v>1</v>
      </c>
      <c r="J1197">
        <v>779481</v>
      </c>
      <c r="K1197">
        <v>12</v>
      </c>
      <c r="L1197">
        <v>685943.28</v>
      </c>
      <c r="M1197" t="s">
        <v>54</v>
      </c>
      <c r="N1197" t="s">
        <v>69</v>
      </c>
      <c r="O1197" t="s">
        <v>27</v>
      </c>
      <c r="P1197" t="s">
        <v>26</v>
      </c>
    </row>
    <row r="1198" spans="1:16" x14ac:dyDescent="0.25">
      <c r="A1198" t="s">
        <v>2105</v>
      </c>
      <c r="B1198" t="s">
        <v>681</v>
      </c>
      <c r="C1198" t="s">
        <v>37</v>
      </c>
      <c r="D1198" t="s">
        <v>47</v>
      </c>
      <c r="E1198" t="s">
        <v>48</v>
      </c>
      <c r="F1198" t="s">
        <v>22</v>
      </c>
      <c r="G1198" t="s">
        <v>73</v>
      </c>
      <c r="H1198" t="s">
        <v>58</v>
      </c>
      <c r="I1198">
        <v>7</v>
      </c>
      <c r="J1198">
        <v>191865</v>
      </c>
      <c r="K1198">
        <v>10</v>
      </c>
      <c r="L1198">
        <v>1208749.5</v>
      </c>
      <c r="M1198" t="s">
        <v>54</v>
      </c>
      <c r="N1198" t="s">
        <v>26</v>
      </c>
      <c r="O1198" t="s">
        <v>27</v>
      </c>
      <c r="P1198" t="s">
        <v>26</v>
      </c>
    </row>
    <row r="1199" spans="1:16" x14ac:dyDescent="0.25">
      <c r="A1199" t="s">
        <v>2106</v>
      </c>
      <c r="B1199" t="s">
        <v>101</v>
      </c>
      <c r="C1199" t="s">
        <v>198</v>
      </c>
      <c r="D1199" t="s">
        <v>20</v>
      </c>
      <c r="E1199" t="s">
        <v>21</v>
      </c>
      <c r="F1199" t="s">
        <v>22</v>
      </c>
      <c r="G1199" t="s">
        <v>73</v>
      </c>
      <c r="H1199" t="s">
        <v>86</v>
      </c>
      <c r="I1199">
        <v>4</v>
      </c>
      <c r="J1199">
        <v>551377</v>
      </c>
      <c r="K1199">
        <v>5</v>
      </c>
      <c r="L1199">
        <v>2095232.6</v>
      </c>
      <c r="M1199" t="s">
        <v>42</v>
      </c>
      <c r="N1199" t="s">
        <v>69</v>
      </c>
      <c r="O1199" t="s">
        <v>27</v>
      </c>
      <c r="P1199" t="s">
        <v>55</v>
      </c>
    </row>
    <row r="1200" spans="1:16" x14ac:dyDescent="0.25">
      <c r="A1200" t="s">
        <v>2107</v>
      </c>
      <c r="B1200" t="s">
        <v>2108</v>
      </c>
      <c r="C1200" t="s">
        <v>37</v>
      </c>
      <c r="D1200" t="s">
        <v>38</v>
      </c>
      <c r="E1200" t="s">
        <v>39</v>
      </c>
      <c r="F1200" t="s">
        <v>40</v>
      </c>
      <c r="G1200" t="s">
        <v>62</v>
      </c>
      <c r="H1200" t="s">
        <v>58</v>
      </c>
      <c r="I1200">
        <v>7</v>
      </c>
      <c r="J1200">
        <v>804123</v>
      </c>
      <c r="K1200">
        <v>12</v>
      </c>
      <c r="L1200">
        <v>4953397.68</v>
      </c>
      <c r="M1200" t="s">
        <v>25</v>
      </c>
      <c r="N1200" t="s">
        <v>43</v>
      </c>
      <c r="O1200" t="s">
        <v>44</v>
      </c>
      <c r="P1200" t="s">
        <v>42</v>
      </c>
    </row>
    <row r="1201" spans="1:16" x14ac:dyDescent="0.25">
      <c r="A1201" t="s">
        <v>2109</v>
      </c>
      <c r="B1201" t="s">
        <v>2110</v>
      </c>
      <c r="C1201" t="s">
        <v>198</v>
      </c>
      <c r="D1201" t="s">
        <v>119</v>
      </c>
      <c r="E1201" t="s">
        <v>21</v>
      </c>
      <c r="F1201" t="s">
        <v>22</v>
      </c>
      <c r="G1201" t="s">
        <v>33</v>
      </c>
      <c r="H1201" t="s">
        <v>53</v>
      </c>
      <c r="I1201">
        <v>3</v>
      </c>
      <c r="J1201">
        <v>568622</v>
      </c>
      <c r="K1201">
        <v>2</v>
      </c>
      <c r="L1201">
        <v>1671748.68</v>
      </c>
      <c r="M1201" t="s">
        <v>25</v>
      </c>
      <c r="N1201" t="s">
        <v>69</v>
      </c>
      <c r="O1201" t="s">
        <v>44</v>
      </c>
      <c r="P1201" t="s">
        <v>42</v>
      </c>
    </row>
    <row r="1202" spans="1:16" x14ac:dyDescent="0.25">
      <c r="A1202" t="s">
        <v>2111</v>
      </c>
      <c r="B1202" t="s">
        <v>813</v>
      </c>
      <c r="C1202" t="s">
        <v>19</v>
      </c>
      <c r="D1202" t="s">
        <v>30</v>
      </c>
      <c r="E1202" t="s">
        <v>31</v>
      </c>
      <c r="F1202" t="s">
        <v>32</v>
      </c>
      <c r="G1202" t="s">
        <v>73</v>
      </c>
      <c r="H1202" t="s">
        <v>58</v>
      </c>
      <c r="I1202">
        <v>6</v>
      </c>
      <c r="J1202">
        <v>650021</v>
      </c>
      <c r="K1202">
        <v>12</v>
      </c>
      <c r="L1202">
        <v>3432110.88</v>
      </c>
      <c r="M1202" t="s">
        <v>42</v>
      </c>
      <c r="N1202" t="s">
        <v>69</v>
      </c>
      <c r="O1202" t="s">
        <v>44</v>
      </c>
      <c r="P1202" t="s">
        <v>42</v>
      </c>
    </row>
    <row r="1203" spans="1:16" x14ac:dyDescent="0.25">
      <c r="A1203" t="s">
        <v>2112</v>
      </c>
      <c r="B1203" t="s">
        <v>1430</v>
      </c>
      <c r="C1203" t="s">
        <v>19</v>
      </c>
      <c r="D1203" t="s">
        <v>47</v>
      </c>
      <c r="E1203" t="s">
        <v>48</v>
      </c>
      <c r="F1203" t="s">
        <v>22</v>
      </c>
      <c r="G1203" t="s">
        <v>124</v>
      </c>
      <c r="H1203" t="s">
        <v>34</v>
      </c>
      <c r="I1203">
        <v>4</v>
      </c>
      <c r="J1203">
        <v>755176</v>
      </c>
      <c r="K1203">
        <v>7</v>
      </c>
      <c r="L1203">
        <v>2809254.72</v>
      </c>
      <c r="M1203" t="s">
        <v>54</v>
      </c>
      <c r="N1203" t="s">
        <v>43</v>
      </c>
      <c r="O1203" t="s">
        <v>44</v>
      </c>
      <c r="P1203" t="s">
        <v>42</v>
      </c>
    </row>
    <row r="1204" spans="1:16" x14ac:dyDescent="0.25">
      <c r="A1204" t="s">
        <v>2113</v>
      </c>
      <c r="B1204" t="s">
        <v>879</v>
      </c>
      <c r="C1204" t="s">
        <v>37</v>
      </c>
      <c r="D1204" t="s">
        <v>30</v>
      </c>
      <c r="E1204" t="s">
        <v>31</v>
      </c>
      <c r="F1204" t="s">
        <v>32</v>
      </c>
      <c r="G1204" t="s">
        <v>41</v>
      </c>
      <c r="H1204" t="s">
        <v>34</v>
      </c>
      <c r="I1204">
        <v>7</v>
      </c>
      <c r="J1204">
        <v>468601</v>
      </c>
      <c r="K1204">
        <v>0</v>
      </c>
      <c r="L1204">
        <v>3280207</v>
      </c>
      <c r="M1204" t="s">
        <v>42</v>
      </c>
      <c r="N1204" t="s">
        <v>69</v>
      </c>
      <c r="O1204" t="s">
        <v>44</v>
      </c>
      <c r="P1204" t="s">
        <v>42</v>
      </c>
    </row>
    <row r="1205" spans="1:16" x14ac:dyDescent="0.25">
      <c r="A1205" t="s">
        <v>2114</v>
      </c>
      <c r="B1205" t="s">
        <v>852</v>
      </c>
      <c r="C1205" t="s">
        <v>76</v>
      </c>
      <c r="D1205" t="s">
        <v>47</v>
      </c>
      <c r="E1205" t="s">
        <v>48</v>
      </c>
      <c r="F1205" t="s">
        <v>22</v>
      </c>
      <c r="G1205" t="s">
        <v>52</v>
      </c>
      <c r="H1205" t="s">
        <v>86</v>
      </c>
      <c r="I1205">
        <v>5</v>
      </c>
      <c r="J1205">
        <v>699622</v>
      </c>
      <c r="K1205">
        <v>10</v>
      </c>
      <c r="L1205">
        <v>3148299</v>
      </c>
      <c r="M1205" t="s">
        <v>42</v>
      </c>
      <c r="N1205" t="s">
        <v>26</v>
      </c>
      <c r="O1205" t="s">
        <v>27</v>
      </c>
      <c r="P1205" t="s">
        <v>55</v>
      </c>
    </row>
    <row r="1206" spans="1:16" x14ac:dyDescent="0.25">
      <c r="A1206" t="s">
        <v>2115</v>
      </c>
      <c r="B1206" t="s">
        <v>470</v>
      </c>
      <c r="C1206" t="s">
        <v>76</v>
      </c>
      <c r="D1206" t="s">
        <v>20</v>
      </c>
      <c r="E1206" t="s">
        <v>21</v>
      </c>
      <c r="F1206" t="s">
        <v>22</v>
      </c>
      <c r="G1206" t="s">
        <v>23</v>
      </c>
      <c r="H1206" t="s">
        <v>34</v>
      </c>
      <c r="I1206">
        <v>3</v>
      </c>
      <c r="J1206">
        <v>582992</v>
      </c>
      <c r="K1206">
        <v>2</v>
      </c>
      <c r="L1206">
        <v>1713996.48</v>
      </c>
      <c r="M1206" t="s">
        <v>42</v>
      </c>
      <c r="N1206" t="s">
        <v>69</v>
      </c>
      <c r="O1206" t="s">
        <v>44</v>
      </c>
      <c r="P1206" t="s">
        <v>42</v>
      </c>
    </row>
    <row r="1207" spans="1:16" x14ac:dyDescent="0.25">
      <c r="A1207" t="s">
        <v>2116</v>
      </c>
      <c r="B1207" t="s">
        <v>1271</v>
      </c>
      <c r="C1207" t="s">
        <v>19</v>
      </c>
      <c r="D1207" t="s">
        <v>38</v>
      </c>
      <c r="E1207" t="s">
        <v>39</v>
      </c>
      <c r="F1207" t="s">
        <v>40</v>
      </c>
      <c r="G1207" t="s">
        <v>62</v>
      </c>
      <c r="H1207" t="s">
        <v>58</v>
      </c>
      <c r="I1207">
        <v>5</v>
      </c>
      <c r="J1207">
        <v>726009</v>
      </c>
      <c r="K1207">
        <v>7</v>
      </c>
      <c r="L1207">
        <v>3375941.85</v>
      </c>
      <c r="M1207" t="s">
        <v>25</v>
      </c>
      <c r="N1207" t="s">
        <v>43</v>
      </c>
      <c r="O1207" t="s">
        <v>27</v>
      </c>
      <c r="P1207" t="s">
        <v>55</v>
      </c>
    </row>
    <row r="1208" spans="1:16" x14ac:dyDescent="0.25">
      <c r="A1208" t="s">
        <v>2117</v>
      </c>
      <c r="B1208" t="s">
        <v>586</v>
      </c>
      <c r="C1208" t="s">
        <v>19</v>
      </c>
      <c r="D1208" t="s">
        <v>38</v>
      </c>
      <c r="E1208" t="s">
        <v>39</v>
      </c>
      <c r="F1208" t="s">
        <v>40</v>
      </c>
      <c r="G1208" t="s">
        <v>73</v>
      </c>
      <c r="H1208" t="s">
        <v>24</v>
      </c>
      <c r="I1208">
        <v>2</v>
      </c>
      <c r="J1208">
        <v>815332</v>
      </c>
      <c r="K1208">
        <v>0</v>
      </c>
      <c r="L1208">
        <v>1630664</v>
      </c>
      <c r="M1208" t="s">
        <v>42</v>
      </c>
      <c r="N1208" t="s">
        <v>69</v>
      </c>
      <c r="O1208" t="s">
        <v>27</v>
      </c>
      <c r="P1208" t="s">
        <v>55</v>
      </c>
    </row>
    <row r="1209" spans="1:16" x14ac:dyDescent="0.25">
      <c r="A1209" t="s">
        <v>2118</v>
      </c>
      <c r="B1209" t="s">
        <v>2119</v>
      </c>
      <c r="C1209" t="s">
        <v>76</v>
      </c>
      <c r="D1209" t="s">
        <v>47</v>
      </c>
      <c r="E1209" t="s">
        <v>48</v>
      </c>
      <c r="F1209" t="s">
        <v>22</v>
      </c>
      <c r="G1209" t="s">
        <v>89</v>
      </c>
      <c r="H1209" t="s">
        <v>53</v>
      </c>
      <c r="I1209">
        <v>3</v>
      </c>
      <c r="J1209">
        <v>586175</v>
      </c>
      <c r="K1209">
        <v>7</v>
      </c>
      <c r="L1209">
        <v>1635428.25</v>
      </c>
      <c r="M1209" t="s">
        <v>25</v>
      </c>
      <c r="N1209" t="s">
        <v>69</v>
      </c>
      <c r="O1209" t="s">
        <v>44</v>
      </c>
      <c r="P1209" t="s">
        <v>42</v>
      </c>
    </row>
    <row r="1210" spans="1:16" x14ac:dyDescent="0.25">
      <c r="A1210" t="s">
        <v>2120</v>
      </c>
      <c r="B1210" t="s">
        <v>2121</v>
      </c>
      <c r="C1210" t="s">
        <v>198</v>
      </c>
      <c r="D1210" t="s">
        <v>20</v>
      </c>
      <c r="E1210" t="s">
        <v>189</v>
      </c>
      <c r="F1210" t="s">
        <v>22</v>
      </c>
      <c r="G1210" t="s">
        <v>73</v>
      </c>
      <c r="H1210" t="s">
        <v>53</v>
      </c>
      <c r="I1210">
        <v>1</v>
      </c>
      <c r="J1210">
        <v>311990</v>
      </c>
      <c r="K1210">
        <v>5</v>
      </c>
      <c r="L1210">
        <v>296390.5</v>
      </c>
      <c r="M1210" t="s">
        <v>25</v>
      </c>
      <c r="N1210" t="s">
        <v>26</v>
      </c>
      <c r="O1210" t="s">
        <v>44</v>
      </c>
      <c r="P1210" t="s">
        <v>42</v>
      </c>
    </row>
    <row r="1211" spans="1:16" x14ac:dyDescent="0.25">
      <c r="A1211" t="s">
        <v>2122</v>
      </c>
      <c r="B1211" t="s">
        <v>2123</v>
      </c>
      <c r="C1211" t="s">
        <v>19</v>
      </c>
      <c r="D1211" t="s">
        <v>154</v>
      </c>
      <c r="E1211" t="s">
        <v>67</v>
      </c>
      <c r="F1211" t="s">
        <v>68</v>
      </c>
      <c r="G1211" t="s">
        <v>41</v>
      </c>
      <c r="H1211" t="s">
        <v>86</v>
      </c>
      <c r="I1211">
        <v>3</v>
      </c>
      <c r="J1211">
        <v>384777</v>
      </c>
      <c r="K1211">
        <v>7</v>
      </c>
      <c r="L1211">
        <v>1073527.83</v>
      </c>
      <c r="M1211" t="s">
        <v>54</v>
      </c>
      <c r="N1211" t="s">
        <v>26</v>
      </c>
      <c r="O1211" t="s">
        <v>27</v>
      </c>
      <c r="P1211" t="s">
        <v>42</v>
      </c>
    </row>
    <row r="1212" spans="1:16" x14ac:dyDescent="0.25">
      <c r="A1212" t="s">
        <v>2124</v>
      </c>
      <c r="B1212" t="s">
        <v>1896</v>
      </c>
      <c r="C1212" t="s">
        <v>76</v>
      </c>
      <c r="D1212" t="s">
        <v>47</v>
      </c>
      <c r="E1212" t="s">
        <v>48</v>
      </c>
      <c r="F1212" t="s">
        <v>22</v>
      </c>
      <c r="G1212" t="s">
        <v>52</v>
      </c>
      <c r="H1212" t="s">
        <v>86</v>
      </c>
      <c r="I1212">
        <v>5</v>
      </c>
      <c r="J1212">
        <v>108380</v>
      </c>
      <c r="K1212">
        <v>5</v>
      </c>
      <c r="L1212">
        <v>514805</v>
      </c>
      <c r="M1212" t="s">
        <v>25</v>
      </c>
      <c r="N1212" t="s">
        <v>43</v>
      </c>
      <c r="O1212" t="s">
        <v>27</v>
      </c>
      <c r="P1212" t="s">
        <v>26</v>
      </c>
    </row>
    <row r="1213" spans="1:16" x14ac:dyDescent="0.25">
      <c r="A1213" t="s">
        <v>2125</v>
      </c>
      <c r="B1213" t="s">
        <v>1831</v>
      </c>
      <c r="C1213" t="s">
        <v>91</v>
      </c>
      <c r="D1213" t="s">
        <v>47</v>
      </c>
      <c r="E1213" t="s">
        <v>48</v>
      </c>
      <c r="F1213" t="s">
        <v>22</v>
      </c>
      <c r="G1213" t="s">
        <v>62</v>
      </c>
      <c r="H1213" t="s">
        <v>34</v>
      </c>
      <c r="I1213">
        <v>2</v>
      </c>
      <c r="J1213">
        <v>542868</v>
      </c>
      <c r="K1213">
        <v>0</v>
      </c>
      <c r="L1213">
        <v>1085736</v>
      </c>
      <c r="M1213" t="s">
        <v>54</v>
      </c>
      <c r="N1213" t="s">
        <v>43</v>
      </c>
      <c r="O1213" t="s">
        <v>27</v>
      </c>
      <c r="P1213" t="s">
        <v>26</v>
      </c>
    </row>
    <row r="1214" spans="1:16" x14ac:dyDescent="0.25">
      <c r="A1214" t="s">
        <v>2126</v>
      </c>
      <c r="B1214" t="s">
        <v>144</v>
      </c>
      <c r="C1214" t="s">
        <v>65</v>
      </c>
      <c r="D1214" t="s">
        <v>20</v>
      </c>
      <c r="E1214" t="s">
        <v>21</v>
      </c>
      <c r="F1214" t="s">
        <v>22</v>
      </c>
      <c r="G1214" t="s">
        <v>52</v>
      </c>
      <c r="H1214" t="s">
        <v>53</v>
      </c>
      <c r="I1214">
        <v>2</v>
      </c>
      <c r="J1214">
        <v>405083</v>
      </c>
      <c r="K1214">
        <v>0</v>
      </c>
      <c r="L1214">
        <v>810166</v>
      </c>
      <c r="M1214" t="s">
        <v>25</v>
      </c>
      <c r="N1214" t="s">
        <v>69</v>
      </c>
      <c r="O1214" t="s">
        <v>44</v>
      </c>
      <c r="P1214" t="s">
        <v>42</v>
      </c>
    </row>
    <row r="1215" spans="1:16" x14ac:dyDescent="0.25">
      <c r="A1215" t="s">
        <v>2127</v>
      </c>
      <c r="B1215" t="s">
        <v>254</v>
      </c>
      <c r="C1215" t="s">
        <v>65</v>
      </c>
      <c r="D1215" t="s">
        <v>129</v>
      </c>
      <c r="E1215" t="s">
        <v>39</v>
      </c>
      <c r="F1215" t="s">
        <v>40</v>
      </c>
      <c r="G1215" t="s">
        <v>135</v>
      </c>
      <c r="H1215" t="s">
        <v>86</v>
      </c>
      <c r="I1215">
        <v>4</v>
      </c>
      <c r="J1215">
        <v>846555</v>
      </c>
      <c r="K1215">
        <v>2</v>
      </c>
      <c r="L1215">
        <v>3318495.6</v>
      </c>
      <c r="M1215" t="s">
        <v>42</v>
      </c>
      <c r="N1215" t="s">
        <v>43</v>
      </c>
      <c r="O1215" t="s">
        <v>44</v>
      </c>
      <c r="P1215" t="s">
        <v>55</v>
      </c>
    </row>
    <row r="1216" spans="1:16" x14ac:dyDescent="0.25">
      <c r="A1216" t="s">
        <v>2128</v>
      </c>
      <c r="B1216" t="s">
        <v>487</v>
      </c>
      <c r="C1216" t="s">
        <v>19</v>
      </c>
      <c r="D1216" t="s">
        <v>66</v>
      </c>
      <c r="E1216" t="s">
        <v>67</v>
      </c>
      <c r="F1216" t="s">
        <v>68</v>
      </c>
      <c r="G1216" t="s">
        <v>62</v>
      </c>
      <c r="H1216" t="s">
        <v>58</v>
      </c>
      <c r="I1216">
        <v>2</v>
      </c>
      <c r="J1216">
        <v>729487</v>
      </c>
      <c r="K1216">
        <v>2</v>
      </c>
      <c r="L1216">
        <v>1429794.52</v>
      </c>
      <c r="M1216" t="s">
        <v>25</v>
      </c>
      <c r="N1216" t="s">
        <v>26</v>
      </c>
      <c r="O1216" t="s">
        <v>27</v>
      </c>
      <c r="P1216" t="s">
        <v>42</v>
      </c>
    </row>
    <row r="1217" spans="1:16" x14ac:dyDescent="0.25">
      <c r="A1217" t="s">
        <v>2129</v>
      </c>
      <c r="B1217" t="s">
        <v>1912</v>
      </c>
      <c r="C1217" t="s">
        <v>76</v>
      </c>
      <c r="D1217" t="s">
        <v>30</v>
      </c>
      <c r="E1217" t="s">
        <v>31</v>
      </c>
      <c r="F1217" t="s">
        <v>32</v>
      </c>
      <c r="G1217" t="s">
        <v>33</v>
      </c>
      <c r="H1217" t="s">
        <v>58</v>
      </c>
      <c r="I1217">
        <v>5</v>
      </c>
      <c r="J1217">
        <v>581293</v>
      </c>
      <c r="K1217">
        <v>12</v>
      </c>
      <c r="L1217">
        <v>2557689.2000000002</v>
      </c>
      <c r="M1217" t="s">
        <v>42</v>
      </c>
      <c r="N1217" t="s">
        <v>26</v>
      </c>
      <c r="O1217" t="s">
        <v>27</v>
      </c>
      <c r="P1217" t="s">
        <v>42</v>
      </c>
    </row>
    <row r="1218" spans="1:16" x14ac:dyDescent="0.25">
      <c r="A1218" t="s">
        <v>2130</v>
      </c>
      <c r="B1218" t="s">
        <v>1312</v>
      </c>
      <c r="C1218" t="s">
        <v>19</v>
      </c>
      <c r="D1218" t="s">
        <v>47</v>
      </c>
      <c r="E1218" t="s">
        <v>48</v>
      </c>
      <c r="F1218" t="s">
        <v>22</v>
      </c>
      <c r="G1218" t="s">
        <v>52</v>
      </c>
      <c r="H1218" t="s">
        <v>53</v>
      </c>
      <c r="I1218">
        <v>5</v>
      </c>
      <c r="J1218">
        <v>606222</v>
      </c>
      <c r="K1218">
        <v>7</v>
      </c>
      <c r="L1218">
        <v>2818932.3</v>
      </c>
      <c r="M1218" t="s">
        <v>42</v>
      </c>
      <c r="N1218" t="s">
        <v>26</v>
      </c>
      <c r="O1218" t="s">
        <v>27</v>
      </c>
      <c r="P1218" t="s">
        <v>26</v>
      </c>
    </row>
    <row r="1219" spans="1:16" x14ac:dyDescent="0.25">
      <c r="A1219" t="s">
        <v>2131</v>
      </c>
      <c r="B1219" t="s">
        <v>460</v>
      </c>
      <c r="C1219" t="s">
        <v>65</v>
      </c>
      <c r="D1219" t="s">
        <v>20</v>
      </c>
      <c r="E1219" t="s">
        <v>21</v>
      </c>
      <c r="F1219" t="s">
        <v>22</v>
      </c>
      <c r="G1219" t="s">
        <v>41</v>
      </c>
      <c r="H1219" t="s">
        <v>53</v>
      </c>
      <c r="I1219">
        <v>2</v>
      </c>
      <c r="J1219">
        <v>55740</v>
      </c>
      <c r="K1219">
        <v>12</v>
      </c>
      <c r="L1219">
        <v>98102.399999999994</v>
      </c>
      <c r="M1219" t="s">
        <v>25</v>
      </c>
      <c r="N1219" t="s">
        <v>26</v>
      </c>
      <c r="O1219" t="s">
        <v>44</v>
      </c>
      <c r="P1219" t="s">
        <v>55</v>
      </c>
    </row>
    <row r="1220" spans="1:16" x14ac:dyDescent="0.25">
      <c r="A1220" t="s">
        <v>2132</v>
      </c>
      <c r="B1220" t="s">
        <v>423</v>
      </c>
      <c r="C1220" t="s">
        <v>76</v>
      </c>
      <c r="D1220" t="s">
        <v>38</v>
      </c>
      <c r="E1220" t="s">
        <v>39</v>
      </c>
      <c r="F1220" t="s">
        <v>40</v>
      </c>
      <c r="G1220" t="s">
        <v>135</v>
      </c>
      <c r="H1220" t="s">
        <v>58</v>
      </c>
      <c r="I1220">
        <v>6</v>
      </c>
      <c r="J1220">
        <v>84800</v>
      </c>
      <c r="K1220">
        <v>0</v>
      </c>
      <c r="L1220">
        <v>508800</v>
      </c>
      <c r="M1220" t="s">
        <v>54</v>
      </c>
      <c r="N1220" t="s">
        <v>43</v>
      </c>
      <c r="O1220" t="s">
        <v>44</v>
      </c>
      <c r="P1220" t="s">
        <v>55</v>
      </c>
    </row>
    <row r="1221" spans="1:16" x14ac:dyDescent="0.25">
      <c r="A1221" t="s">
        <v>2133</v>
      </c>
      <c r="B1221" t="s">
        <v>2134</v>
      </c>
      <c r="C1221" t="s">
        <v>65</v>
      </c>
      <c r="D1221" t="s">
        <v>47</v>
      </c>
      <c r="E1221" t="s">
        <v>48</v>
      </c>
      <c r="F1221" t="s">
        <v>22</v>
      </c>
      <c r="G1221" t="s">
        <v>73</v>
      </c>
      <c r="H1221" t="s">
        <v>86</v>
      </c>
      <c r="I1221">
        <v>7</v>
      </c>
      <c r="J1221">
        <v>480119</v>
      </c>
      <c r="M1221" t="s">
        <v>25</v>
      </c>
      <c r="N1221" t="s">
        <v>69</v>
      </c>
      <c r="O1221" t="s">
        <v>44</v>
      </c>
      <c r="P1221" t="s">
        <v>26</v>
      </c>
    </row>
    <row r="1222" spans="1:16" x14ac:dyDescent="0.25">
      <c r="A1222" t="s">
        <v>2135</v>
      </c>
      <c r="B1222" t="s">
        <v>997</v>
      </c>
      <c r="C1222" t="s">
        <v>99</v>
      </c>
      <c r="D1222" t="s">
        <v>51</v>
      </c>
      <c r="E1222" t="s">
        <v>72</v>
      </c>
      <c r="F1222" t="s">
        <v>22</v>
      </c>
      <c r="G1222" t="s">
        <v>73</v>
      </c>
      <c r="H1222" t="s">
        <v>58</v>
      </c>
      <c r="I1222">
        <v>5</v>
      </c>
      <c r="J1222">
        <v>467424</v>
      </c>
      <c r="K1222">
        <v>2</v>
      </c>
      <c r="L1222">
        <v>2290377.6</v>
      </c>
      <c r="M1222" t="s">
        <v>25</v>
      </c>
      <c r="N1222" t="s">
        <v>69</v>
      </c>
      <c r="O1222" t="s">
        <v>44</v>
      </c>
      <c r="P1222" t="s">
        <v>42</v>
      </c>
    </row>
    <row r="1223" spans="1:16" x14ac:dyDescent="0.25">
      <c r="A1223" t="s">
        <v>2136</v>
      </c>
      <c r="B1223" t="s">
        <v>1528</v>
      </c>
      <c r="C1223" t="s">
        <v>76</v>
      </c>
      <c r="D1223" t="s">
        <v>47</v>
      </c>
      <c r="E1223" t="s">
        <v>48</v>
      </c>
      <c r="F1223" t="s">
        <v>22</v>
      </c>
      <c r="G1223" t="s">
        <v>52</v>
      </c>
      <c r="H1223" t="s">
        <v>86</v>
      </c>
      <c r="J1223">
        <v>348613</v>
      </c>
      <c r="K1223">
        <v>0</v>
      </c>
      <c r="M1223" t="s">
        <v>54</v>
      </c>
      <c r="N1223" t="s">
        <v>26</v>
      </c>
      <c r="O1223" t="s">
        <v>44</v>
      </c>
      <c r="P1223" t="s">
        <v>55</v>
      </c>
    </row>
    <row r="1224" spans="1:16" x14ac:dyDescent="0.25">
      <c r="A1224" t="s">
        <v>2137</v>
      </c>
      <c r="B1224" t="s">
        <v>716</v>
      </c>
      <c r="C1224" t="s">
        <v>65</v>
      </c>
      <c r="D1224" t="s">
        <v>66</v>
      </c>
      <c r="E1224" t="s">
        <v>67</v>
      </c>
      <c r="F1224" t="s">
        <v>68</v>
      </c>
      <c r="G1224" t="s">
        <v>62</v>
      </c>
      <c r="H1224" t="s">
        <v>34</v>
      </c>
      <c r="I1224">
        <v>2</v>
      </c>
      <c r="J1224">
        <v>809524</v>
      </c>
      <c r="K1224">
        <v>5</v>
      </c>
      <c r="L1224">
        <v>1538095.6</v>
      </c>
      <c r="M1224" t="s">
        <v>42</v>
      </c>
      <c r="N1224" t="s">
        <v>69</v>
      </c>
      <c r="O1224" t="s">
        <v>44</v>
      </c>
      <c r="P1224" t="s">
        <v>55</v>
      </c>
    </row>
    <row r="1225" spans="1:16" x14ac:dyDescent="0.25">
      <c r="A1225" t="s">
        <v>2138</v>
      </c>
      <c r="B1225" t="s">
        <v>2139</v>
      </c>
      <c r="C1225" t="s">
        <v>65</v>
      </c>
      <c r="D1225" t="s">
        <v>66</v>
      </c>
      <c r="E1225" t="s">
        <v>67</v>
      </c>
      <c r="F1225" t="s">
        <v>68</v>
      </c>
      <c r="G1225" t="s">
        <v>62</v>
      </c>
      <c r="H1225" t="s">
        <v>58</v>
      </c>
      <c r="I1225">
        <v>4</v>
      </c>
      <c r="J1225">
        <v>784323</v>
      </c>
      <c r="K1225">
        <v>0</v>
      </c>
      <c r="L1225">
        <v>3137292</v>
      </c>
      <c r="M1225" t="s">
        <v>54</v>
      </c>
      <c r="N1225" t="s">
        <v>43</v>
      </c>
      <c r="O1225" t="s">
        <v>27</v>
      </c>
      <c r="P1225" t="s">
        <v>55</v>
      </c>
    </row>
    <row r="1226" spans="1:16" x14ac:dyDescent="0.25">
      <c r="A1226" t="s">
        <v>2140</v>
      </c>
      <c r="B1226" t="s">
        <v>1361</v>
      </c>
      <c r="C1226" t="s">
        <v>91</v>
      </c>
      <c r="D1226" t="s">
        <v>66</v>
      </c>
      <c r="E1226" t="s">
        <v>67</v>
      </c>
      <c r="F1226" t="s">
        <v>68</v>
      </c>
      <c r="G1226" t="s">
        <v>124</v>
      </c>
      <c r="H1226" t="s">
        <v>86</v>
      </c>
      <c r="I1226">
        <v>1</v>
      </c>
      <c r="J1226">
        <v>443180</v>
      </c>
      <c r="K1226">
        <v>5</v>
      </c>
      <c r="L1226">
        <v>421021</v>
      </c>
      <c r="M1226" t="s">
        <v>42</v>
      </c>
      <c r="N1226" t="s">
        <v>26</v>
      </c>
      <c r="O1226" t="s">
        <v>27</v>
      </c>
      <c r="P1226" t="s">
        <v>42</v>
      </c>
    </row>
    <row r="1227" spans="1:16" x14ac:dyDescent="0.25">
      <c r="A1227" t="s">
        <v>2141</v>
      </c>
      <c r="B1227" t="s">
        <v>2142</v>
      </c>
      <c r="C1227" t="s">
        <v>19</v>
      </c>
      <c r="D1227" t="s">
        <v>30</v>
      </c>
      <c r="E1227" t="s">
        <v>31</v>
      </c>
      <c r="F1227" t="s">
        <v>32</v>
      </c>
      <c r="G1227" t="s">
        <v>41</v>
      </c>
      <c r="H1227" t="s">
        <v>86</v>
      </c>
      <c r="I1227">
        <v>7</v>
      </c>
      <c r="J1227">
        <v>528832</v>
      </c>
      <c r="K1227">
        <v>10</v>
      </c>
      <c r="L1227">
        <v>3331641.6</v>
      </c>
      <c r="M1227" t="s">
        <v>25</v>
      </c>
      <c r="N1227" t="s">
        <v>69</v>
      </c>
      <c r="O1227" t="s">
        <v>27</v>
      </c>
      <c r="P1227" t="s">
        <v>26</v>
      </c>
    </row>
    <row r="1228" spans="1:16" x14ac:dyDescent="0.25">
      <c r="A1228" t="s">
        <v>2143</v>
      </c>
      <c r="B1228" t="s">
        <v>2144</v>
      </c>
      <c r="C1228" t="s">
        <v>99</v>
      </c>
      <c r="D1228" t="s">
        <v>66</v>
      </c>
      <c r="E1228" t="s">
        <v>67</v>
      </c>
      <c r="F1228" t="s">
        <v>68</v>
      </c>
      <c r="G1228" t="s">
        <v>62</v>
      </c>
      <c r="H1228" t="s">
        <v>86</v>
      </c>
      <c r="I1228">
        <v>3</v>
      </c>
      <c r="J1228">
        <v>325662</v>
      </c>
      <c r="K1228">
        <v>7</v>
      </c>
      <c r="L1228">
        <v>908596.98</v>
      </c>
      <c r="M1228" t="s">
        <v>54</v>
      </c>
      <c r="N1228" t="s">
        <v>43</v>
      </c>
      <c r="O1228" t="s">
        <v>44</v>
      </c>
      <c r="P1228" t="s">
        <v>55</v>
      </c>
    </row>
    <row r="1229" spans="1:16" x14ac:dyDescent="0.25">
      <c r="A1229" t="s">
        <v>2145</v>
      </c>
      <c r="B1229" t="s">
        <v>262</v>
      </c>
      <c r="C1229" t="s">
        <v>65</v>
      </c>
      <c r="D1229" t="s">
        <v>47</v>
      </c>
      <c r="E1229" t="s">
        <v>72</v>
      </c>
      <c r="F1229" t="s">
        <v>22</v>
      </c>
      <c r="G1229" t="s">
        <v>33</v>
      </c>
      <c r="H1229" t="s">
        <v>34</v>
      </c>
      <c r="I1229">
        <v>8</v>
      </c>
      <c r="J1229">
        <v>529658</v>
      </c>
      <c r="K1229">
        <v>12</v>
      </c>
      <c r="L1229">
        <v>3728792.32</v>
      </c>
      <c r="M1229" t="s">
        <v>42</v>
      </c>
      <c r="N1229" t="s">
        <v>43</v>
      </c>
      <c r="O1229" t="s">
        <v>27</v>
      </c>
      <c r="P1229" t="s">
        <v>55</v>
      </c>
    </row>
    <row r="1230" spans="1:16" x14ac:dyDescent="0.25">
      <c r="A1230" t="s">
        <v>2146</v>
      </c>
      <c r="B1230" t="s">
        <v>1372</v>
      </c>
      <c r="C1230" t="s">
        <v>37</v>
      </c>
      <c r="D1230" t="s">
        <v>38</v>
      </c>
      <c r="E1230" t="s">
        <v>39</v>
      </c>
      <c r="F1230" t="s">
        <v>40</v>
      </c>
      <c r="G1230" t="s">
        <v>124</v>
      </c>
      <c r="H1230" t="s">
        <v>53</v>
      </c>
      <c r="I1230">
        <v>4</v>
      </c>
      <c r="J1230">
        <v>467891</v>
      </c>
      <c r="M1230" t="s">
        <v>54</v>
      </c>
      <c r="N1230" t="s">
        <v>26</v>
      </c>
      <c r="O1230" t="s">
        <v>27</v>
      </c>
      <c r="P1230" t="s">
        <v>26</v>
      </c>
    </row>
    <row r="1231" spans="1:16" x14ac:dyDescent="0.25">
      <c r="A1231" t="s">
        <v>2147</v>
      </c>
      <c r="B1231" t="s">
        <v>1031</v>
      </c>
      <c r="C1231" t="s">
        <v>76</v>
      </c>
      <c r="D1231" t="s">
        <v>30</v>
      </c>
      <c r="E1231" t="s">
        <v>31</v>
      </c>
      <c r="F1231" t="s">
        <v>32</v>
      </c>
      <c r="G1231" t="s">
        <v>52</v>
      </c>
      <c r="H1231" t="s">
        <v>86</v>
      </c>
      <c r="I1231">
        <v>1</v>
      </c>
      <c r="J1231">
        <v>619559</v>
      </c>
      <c r="K1231">
        <v>5</v>
      </c>
      <c r="L1231">
        <v>588581.04999999993</v>
      </c>
      <c r="M1231" t="s">
        <v>42</v>
      </c>
      <c r="N1231" t="s">
        <v>69</v>
      </c>
      <c r="O1231" t="s">
        <v>27</v>
      </c>
      <c r="P1231" t="s">
        <v>26</v>
      </c>
    </row>
    <row r="1232" spans="1:16" x14ac:dyDescent="0.25">
      <c r="A1232" t="s">
        <v>2148</v>
      </c>
      <c r="B1232" t="s">
        <v>979</v>
      </c>
      <c r="C1232" t="s">
        <v>65</v>
      </c>
      <c r="D1232" t="s">
        <v>20</v>
      </c>
      <c r="E1232" t="s">
        <v>21</v>
      </c>
      <c r="F1232" t="s">
        <v>22</v>
      </c>
      <c r="G1232" t="s">
        <v>62</v>
      </c>
      <c r="H1232" t="s">
        <v>86</v>
      </c>
      <c r="I1232">
        <v>2</v>
      </c>
      <c r="J1232">
        <v>496427</v>
      </c>
      <c r="K1232">
        <v>7</v>
      </c>
      <c r="L1232">
        <v>923354.22</v>
      </c>
      <c r="M1232" t="s">
        <v>54</v>
      </c>
      <c r="N1232" t="s">
        <v>26</v>
      </c>
      <c r="O1232" t="s">
        <v>44</v>
      </c>
      <c r="P1232" t="s">
        <v>42</v>
      </c>
    </row>
    <row r="1233" spans="1:16" x14ac:dyDescent="0.25">
      <c r="A1233" t="s">
        <v>2149</v>
      </c>
      <c r="B1233" t="s">
        <v>1048</v>
      </c>
      <c r="C1233" t="s">
        <v>19</v>
      </c>
      <c r="D1233" t="s">
        <v>30</v>
      </c>
      <c r="E1233" t="s">
        <v>31</v>
      </c>
      <c r="F1233" t="s">
        <v>32</v>
      </c>
      <c r="G1233" t="s">
        <v>52</v>
      </c>
      <c r="H1233" t="s">
        <v>34</v>
      </c>
      <c r="I1233">
        <v>3</v>
      </c>
      <c r="J1233">
        <v>363867</v>
      </c>
      <c r="K1233">
        <v>7</v>
      </c>
      <c r="L1233">
        <v>1015188.93</v>
      </c>
      <c r="M1233" t="s">
        <v>54</v>
      </c>
      <c r="N1233" t="s">
        <v>43</v>
      </c>
      <c r="O1233" t="s">
        <v>44</v>
      </c>
      <c r="P1233" t="s">
        <v>26</v>
      </c>
    </row>
    <row r="1234" spans="1:16" x14ac:dyDescent="0.25">
      <c r="A1234" t="s">
        <v>2150</v>
      </c>
      <c r="B1234" t="s">
        <v>2151</v>
      </c>
      <c r="C1234" t="s">
        <v>19</v>
      </c>
      <c r="D1234" t="s">
        <v>30</v>
      </c>
      <c r="E1234" t="s">
        <v>31</v>
      </c>
      <c r="F1234" t="s">
        <v>32</v>
      </c>
      <c r="G1234" t="s">
        <v>62</v>
      </c>
      <c r="H1234" t="s">
        <v>58</v>
      </c>
      <c r="I1234">
        <v>5</v>
      </c>
      <c r="J1234">
        <v>860205</v>
      </c>
      <c r="K1234">
        <v>5</v>
      </c>
      <c r="L1234">
        <v>4085973.75</v>
      </c>
      <c r="M1234" t="s">
        <v>42</v>
      </c>
      <c r="N1234" t="s">
        <v>69</v>
      </c>
      <c r="O1234" t="s">
        <v>44</v>
      </c>
      <c r="P1234" t="s">
        <v>42</v>
      </c>
    </row>
    <row r="1235" spans="1:16" x14ac:dyDescent="0.25">
      <c r="A1235" t="s">
        <v>2152</v>
      </c>
      <c r="B1235" t="s">
        <v>943</v>
      </c>
      <c r="C1235" t="s">
        <v>85</v>
      </c>
      <c r="D1235" t="s">
        <v>106</v>
      </c>
      <c r="E1235" t="s">
        <v>142</v>
      </c>
      <c r="F1235" t="s">
        <v>32</v>
      </c>
      <c r="G1235" t="s">
        <v>52</v>
      </c>
      <c r="H1235" t="s">
        <v>86</v>
      </c>
      <c r="I1235">
        <v>7</v>
      </c>
      <c r="J1235">
        <v>356577</v>
      </c>
      <c r="K1235">
        <v>10</v>
      </c>
      <c r="L1235">
        <v>2246435.1</v>
      </c>
      <c r="M1235" t="s">
        <v>25</v>
      </c>
      <c r="N1235" t="s">
        <v>26</v>
      </c>
      <c r="O1235" t="s">
        <v>44</v>
      </c>
      <c r="P1235" t="s">
        <v>42</v>
      </c>
    </row>
    <row r="1236" spans="1:16" x14ac:dyDescent="0.25">
      <c r="A1236" t="s">
        <v>2153</v>
      </c>
      <c r="B1236" t="s">
        <v>631</v>
      </c>
      <c r="C1236" t="s">
        <v>61</v>
      </c>
      <c r="D1236" t="s">
        <v>30</v>
      </c>
      <c r="E1236" t="s">
        <v>31</v>
      </c>
      <c r="F1236" t="s">
        <v>32</v>
      </c>
      <c r="G1236" t="s">
        <v>135</v>
      </c>
      <c r="H1236" t="s">
        <v>53</v>
      </c>
      <c r="I1236">
        <v>8</v>
      </c>
      <c r="J1236">
        <v>664746</v>
      </c>
      <c r="M1236" t="s">
        <v>42</v>
      </c>
      <c r="N1236" t="s">
        <v>69</v>
      </c>
      <c r="O1236" t="s">
        <v>27</v>
      </c>
      <c r="P1236" t="s">
        <v>26</v>
      </c>
    </row>
    <row r="1237" spans="1:16" x14ac:dyDescent="0.25">
      <c r="A1237" t="s">
        <v>2154</v>
      </c>
      <c r="B1237" t="s">
        <v>1324</v>
      </c>
      <c r="C1237" t="s">
        <v>76</v>
      </c>
      <c r="D1237" t="s">
        <v>20</v>
      </c>
      <c r="E1237" t="s">
        <v>21</v>
      </c>
      <c r="F1237" t="s">
        <v>22</v>
      </c>
      <c r="G1237" t="s">
        <v>94</v>
      </c>
      <c r="H1237" t="s">
        <v>34</v>
      </c>
      <c r="I1237">
        <v>3</v>
      </c>
      <c r="J1237">
        <v>106724</v>
      </c>
      <c r="K1237">
        <v>0</v>
      </c>
      <c r="L1237">
        <v>320172</v>
      </c>
      <c r="M1237" t="s">
        <v>42</v>
      </c>
      <c r="N1237" t="s">
        <v>43</v>
      </c>
      <c r="O1237" t="s">
        <v>27</v>
      </c>
      <c r="P1237" t="s">
        <v>55</v>
      </c>
    </row>
    <row r="1238" spans="1:16" x14ac:dyDescent="0.25">
      <c r="A1238" t="s">
        <v>2155</v>
      </c>
      <c r="B1238" t="s">
        <v>1850</v>
      </c>
      <c r="C1238" t="s">
        <v>76</v>
      </c>
      <c r="D1238" t="s">
        <v>20</v>
      </c>
      <c r="E1238" t="s">
        <v>21</v>
      </c>
      <c r="F1238" t="s">
        <v>22</v>
      </c>
      <c r="G1238" t="s">
        <v>41</v>
      </c>
      <c r="H1238" t="s">
        <v>24</v>
      </c>
      <c r="I1238">
        <v>6</v>
      </c>
      <c r="J1238">
        <v>394279</v>
      </c>
      <c r="K1238">
        <v>5</v>
      </c>
      <c r="L1238">
        <v>2247390.2999999998</v>
      </c>
      <c r="M1238" t="s">
        <v>54</v>
      </c>
      <c r="N1238" t="s">
        <v>43</v>
      </c>
      <c r="O1238" t="s">
        <v>27</v>
      </c>
      <c r="P1238" t="s">
        <v>42</v>
      </c>
    </row>
    <row r="1239" spans="1:16" x14ac:dyDescent="0.25">
      <c r="A1239" t="s">
        <v>2156</v>
      </c>
      <c r="B1239" t="s">
        <v>2157</v>
      </c>
      <c r="C1239" t="s">
        <v>19</v>
      </c>
      <c r="D1239" t="s">
        <v>38</v>
      </c>
      <c r="E1239" t="s">
        <v>39</v>
      </c>
      <c r="F1239" t="s">
        <v>40</v>
      </c>
      <c r="G1239" t="s">
        <v>33</v>
      </c>
      <c r="H1239" t="s">
        <v>53</v>
      </c>
      <c r="I1239">
        <v>6</v>
      </c>
      <c r="J1239">
        <v>381190</v>
      </c>
      <c r="K1239">
        <v>5</v>
      </c>
      <c r="L1239">
        <v>2172783</v>
      </c>
      <c r="M1239" t="s">
        <v>25</v>
      </c>
      <c r="N1239" t="s">
        <v>43</v>
      </c>
      <c r="O1239" t="s">
        <v>44</v>
      </c>
      <c r="P1239" t="s">
        <v>26</v>
      </c>
    </row>
    <row r="1240" spans="1:16" x14ac:dyDescent="0.25">
      <c r="A1240" t="s">
        <v>2158</v>
      </c>
      <c r="B1240" t="s">
        <v>997</v>
      </c>
      <c r="C1240" t="s">
        <v>198</v>
      </c>
      <c r="D1240" t="s">
        <v>30</v>
      </c>
      <c r="E1240" t="s">
        <v>31</v>
      </c>
      <c r="F1240" t="s">
        <v>32</v>
      </c>
      <c r="G1240" t="s">
        <v>73</v>
      </c>
      <c r="H1240" t="s">
        <v>86</v>
      </c>
      <c r="I1240">
        <v>8</v>
      </c>
      <c r="J1240">
        <v>336650</v>
      </c>
      <c r="K1240">
        <v>0</v>
      </c>
      <c r="L1240">
        <v>2693200</v>
      </c>
      <c r="M1240" t="s">
        <v>42</v>
      </c>
      <c r="N1240" t="s">
        <v>26</v>
      </c>
      <c r="O1240" t="s">
        <v>44</v>
      </c>
      <c r="P1240" t="s">
        <v>42</v>
      </c>
    </row>
    <row r="1241" spans="1:16" x14ac:dyDescent="0.25">
      <c r="A1241" t="s">
        <v>2159</v>
      </c>
      <c r="B1241" t="s">
        <v>842</v>
      </c>
      <c r="C1241" t="s">
        <v>76</v>
      </c>
      <c r="D1241" t="s">
        <v>47</v>
      </c>
      <c r="E1241" t="s">
        <v>48</v>
      </c>
      <c r="F1241" t="s">
        <v>22</v>
      </c>
      <c r="G1241" t="s">
        <v>41</v>
      </c>
      <c r="H1241" t="s">
        <v>24</v>
      </c>
      <c r="I1241">
        <v>6</v>
      </c>
      <c r="J1241">
        <v>558841</v>
      </c>
      <c r="K1241">
        <v>5</v>
      </c>
      <c r="L1241">
        <v>3185393.7</v>
      </c>
      <c r="M1241" t="s">
        <v>25</v>
      </c>
      <c r="N1241" t="s">
        <v>43</v>
      </c>
      <c r="O1241" t="s">
        <v>44</v>
      </c>
      <c r="P1241" t="s">
        <v>26</v>
      </c>
    </row>
    <row r="1242" spans="1:16" x14ac:dyDescent="0.25">
      <c r="A1242" t="s">
        <v>2160</v>
      </c>
      <c r="B1242" t="s">
        <v>88</v>
      </c>
      <c r="C1242" t="s">
        <v>65</v>
      </c>
      <c r="D1242" t="s">
        <v>38</v>
      </c>
      <c r="E1242" t="s">
        <v>39</v>
      </c>
      <c r="F1242" t="s">
        <v>40</v>
      </c>
      <c r="G1242" t="s">
        <v>52</v>
      </c>
      <c r="H1242" t="s">
        <v>58</v>
      </c>
      <c r="I1242">
        <v>2</v>
      </c>
      <c r="J1242">
        <v>134114</v>
      </c>
      <c r="K1242">
        <v>7</v>
      </c>
      <c r="L1242">
        <v>249452.04</v>
      </c>
      <c r="M1242" t="s">
        <v>42</v>
      </c>
      <c r="N1242" t="s">
        <v>69</v>
      </c>
      <c r="O1242" t="s">
        <v>44</v>
      </c>
      <c r="P1242" t="s">
        <v>42</v>
      </c>
    </row>
    <row r="1243" spans="1:16" x14ac:dyDescent="0.25">
      <c r="A1243" t="s">
        <v>2161</v>
      </c>
      <c r="B1243" t="s">
        <v>908</v>
      </c>
      <c r="C1243" t="s">
        <v>19</v>
      </c>
      <c r="D1243" t="s">
        <v>30</v>
      </c>
      <c r="E1243" t="s">
        <v>31</v>
      </c>
      <c r="F1243" t="s">
        <v>32</v>
      </c>
      <c r="G1243" t="s">
        <v>62</v>
      </c>
      <c r="H1243" t="s">
        <v>53</v>
      </c>
      <c r="I1243">
        <v>7</v>
      </c>
      <c r="J1243">
        <v>415679</v>
      </c>
      <c r="K1243">
        <v>5</v>
      </c>
      <c r="L1243">
        <v>2764265.35</v>
      </c>
      <c r="M1243" t="s">
        <v>25</v>
      </c>
      <c r="N1243" t="s">
        <v>43</v>
      </c>
      <c r="O1243" t="s">
        <v>44</v>
      </c>
      <c r="P1243" t="s">
        <v>26</v>
      </c>
    </row>
    <row r="1244" spans="1:16" x14ac:dyDescent="0.25">
      <c r="A1244" t="s">
        <v>2162</v>
      </c>
      <c r="B1244" t="s">
        <v>2163</v>
      </c>
      <c r="C1244" t="s">
        <v>85</v>
      </c>
      <c r="D1244" t="s">
        <v>66</v>
      </c>
      <c r="E1244" t="s">
        <v>67</v>
      </c>
      <c r="F1244" t="s">
        <v>68</v>
      </c>
      <c r="G1244" t="s">
        <v>52</v>
      </c>
      <c r="H1244" t="s">
        <v>58</v>
      </c>
      <c r="J1244">
        <v>92936</v>
      </c>
      <c r="K1244">
        <v>2</v>
      </c>
      <c r="M1244" t="s">
        <v>25</v>
      </c>
      <c r="N1244" t="s">
        <v>26</v>
      </c>
      <c r="O1244" t="s">
        <v>44</v>
      </c>
      <c r="P1244" t="s">
        <v>26</v>
      </c>
    </row>
    <row r="1245" spans="1:16" x14ac:dyDescent="0.25">
      <c r="A1245" t="s">
        <v>2164</v>
      </c>
      <c r="B1245" t="s">
        <v>417</v>
      </c>
      <c r="C1245" t="s">
        <v>61</v>
      </c>
      <c r="D1245" t="s">
        <v>129</v>
      </c>
      <c r="E1245" t="s">
        <v>39</v>
      </c>
      <c r="F1245" t="s">
        <v>40</v>
      </c>
      <c r="G1245" t="s">
        <v>124</v>
      </c>
      <c r="H1245" t="s">
        <v>24</v>
      </c>
      <c r="I1245">
        <v>8</v>
      </c>
      <c r="J1245">
        <v>489452</v>
      </c>
      <c r="K1245">
        <v>5</v>
      </c>
      <c r="L1245">
        <v>3719835.2</v>
      </c>
      <c r="M1245" t="s">
        <v>25</v>
      </c>
      <c r="N1245" t="s">
        <v>26</v>
      </c>
      <c r="O1245" t="s">
        <v>44</v>
      </c>
      <c r="P1245" t="s">
        <v>55</v>
      </c>
    </row>
    <row r="1246" spans="1:16" x14ac:dyDescent="0.25">
      <c r="A1246" t="s">
        <v>2165</v>
      </c>
      <c r="B1246" t="s">
        <v>2166</v>
      </c>
      <c r="C1246" t="s">
        <v>65</v>
      </c>
      <c r="D1246" t="s">
        <v>30</v>
      </c>
      <c r="E1246" t="s">
        <v>31</v>
      </c>
      <c r="F1246" t="s">
        <v>32</v>
      </c>
      <c r="G1246" t="s">
        <v>41</v>
      </c>
      <c r="H1246" t="s">
        <v>34</v>
      </c>
      <c r="I1246">
        <v>3</v>
      </c>
      <c r="J1246">
        <v>378639</v>
      </c>
      <c r="K1246">
        <v>12</v>
      </c>
      <c r="L1246">
        <v>999606.96</v>
      </c>
      <c r="M1246" t="s">
        <v>25</v>
      </c>
      <c r="N1246" t="s">
        <v>69</v>
      </c>
      <c r="O1246" t="s">
        <v>27</v>
      </c>
      <c r="P1246" t="s">
        <v>42</v>
      </c>
    </row>
    <row r="1247" spans="1:16" x14ac:dyDescent="0.25">
      <c r="A1247" t="s">
        <v>2167</v>
      </c>
      <c r="B1247" t="s">
        <v>1170</v>
      </c>
      <c r="C1247" t="s">
        <v>19</v>
      </c>
      <c r="D1247" t="s">
        <v>30</v>
      </c>
      <c r="E1247" t="s">
        <v>31</v>
      </c>
      <c r="F1247" t="s">
        <v>32</v>
      </c>
      <c r="G1247" t="s">
        <v>62</v>
      </c>
      <c r="H1247" t="s">
        <v>53</v>
      </c>
      <c r="I1247">
        <v>2</v>
      </c>
      <c r="J1247">
        <v>659320</v>
      </c>
      <c r="K1247">
        <v>5</v>
      </c>
      <c r="L1247">
        <v>1252708</v>
      </c>
      <c r="M1247" t="s">
        <v>25</v>
      </c>
      <c r="N1247" t="s">
        <v>43</v>
      </c>
      <c r="O1247" t="s">
        <v>27</v>
      </c>
      <c r="P1247" t="s">
        <v>55</v>
      </c>
    </row>
    <row r="1248" spans="1:16" x14ac:dyDescent="0.25">
      <c r="A1248" t="s">
        <v>2168</v>
      </c>
      <c r="B1248" t="s">
        <v>669</v>
      </c>
      <c r="C1248" t="s">
        <v>19</v>
      </c>
      <c r="D1248" t="s">
        <v>51</v>
      </c>
      <c r="E1248" t="s">
        <v>48</v>
      </c>
      <c r="F1248" t="s">
        <v>22</v>
      </c>
      <c r="G1248" t="s">
        <v>52</v>
      </c>
      <c r="H1248" t="s">
        <v>24</v>
      </c>
      <c r="I1248">
        <v>4</v>
      </c>
      <c r="J1248">
        <v>858509</v>
      </c>
      <c r="K1248">
        <v>5</v>
      </c>
      <c r="L1248">
        <v>3262334.2</v>
      </c>
      <c r="M1248" t="s">
        <v>54</v>
      </c>
      <c r="N1248" t="s">
        <v>26</v>
      </c>
      <c r="O1248" t="s">
        <v>27</v>
      </c>
      <c r="P1248" t="s">
        <v>55</v>
      </c>
    </row>
    <row r="1249" spans="1:16" x14ac:dyDescent="0.25">
      <c r="A1249" t="s">
        <v>2169</v>
      </c>
      <c r="B1249" t="s">
        <v>395</v>
      </c>
      <c r="C1249" t="s">
        <v>37</v>
      </c>
      <c r="D1249" t="s">
        <v>66</v>
      </c>
      <c r="E1249" t="s">
        <v>201</v>
      </c>
      <c r="F1249" t="s">
        <v>68</v>
      </c>
      <c r="G1249" t="s">
        <v>41</v>
      </c>
      <c r="H1249" t="s">
        <v>53</v>
      </c>
      <c r="I1249">
        <v>8</v>
      </c>
      <c r="J1249">
        <v>646303</v>
      </c>
      <c r="K1249">
        <v>0</v>
      </c>
      <c r="L1249">
        <v>5170424</v>
      </c>
      <c r="M1249" t="s">
        <v>25</v>
      </c>
      <c r="N1249" t="s">
        <v>69</v>
      </c>
      <c r="O1249" t="s">
        <v>27</v>
      </c>
      <c r="P1249" t="s">
        <v>55</v>
      </c>
    </row>
    <row r="1250" spans="1:16" x14ac:dyDescent="0.25">
      <c r="A1250" t="s">
        <v>2170</v>
      </c>
      <c r="B1250" t="s">
        <v>2171</v>
      </c>
      <c r="C1250" t="s">
        <v>76</v>
      </c>
      <c r="D1250" t="s">
        <v>66</v>
      </c>
      <c r="E1250" t="s">
        <v>67</v>
      </c>
      <c r="F1250" t="s">
        <v>68</v>
      </c>
      <c r="G1250" t="s">
        <v>41</v>
      </c>
      <c r="H1250" t="s">
        <v>86</v>
      </c>
      <c r="I1250">
        <v>3</v>
      </c>
      <c r="J1250">
        <v>309508</v>
      </c>
      <c r="K1250">
        <v>12</v>
      </c>
      <c r="L1250">
        <v>817101.12</v>
      </c>
      <c r="M1250" t="s">
        <v>42</v>
      </c>
      <c r="N1250" t="s">
        <v>69</v>
      </c>
      <c r="O1250" t="s">
        <v>44</v>
      </c>
      <c r="P1250" t="s">
        <v>42</v>
      </c>
    </row>
    <row r="1251" spans="1:16" x14ac:dyDescent="0.25">
      <c r="A1251" t="s">
        <v>2172</v>
      </c>
      <c r="B1251" t="s">
        <v>2173</v>
      </c>
      <c r="C1251" t="s">
        <v>37</v>
      </c>
      <c r="D1251" t="s">
        <v>66</v>
      </c>
      <c r="E1251" t="s">
        <v>67</v>
      </c>
      <c r="F1251" t="s">
        <v>68</v>
      </c>
      <c r="G1251" t="s">
        <v>94</v>
      </c>
      <c r="H1251" t="s">
        <v>86</v>
      </c>
      <c r="I1251">
        <v>1</v>
      </c>
      <c r="J1251">
        <v>200962</v>
      </c>
      <c r="K1251">
        <v>12</v>
      </c>
      <c r="L1251">
        <v>176846.56</v>
      </c>
      <c r="M1251" t="s">
        <v>54</v>
      </c>
      <c r="N1251" t="s">
        <v>43</v>
      </c>
      <c r="O1251" t="s">
        <v>27</v>
      </c>
      <c r="P1251" t="s">
        <v>26</v>
      </c>
    </row>
    <row r="1252" spans="1:16" x14ac:dyDescent="0.25">
      <c r="A1252" t="s">
        <v>2174</v>
      </c>
      <c r="B1252" t="s">
        <v>2175</v>
      </c>
      <c r="C1252" t="s">
        <v>198</v>
      </c>
      <c r="D1252" t="s">
        <v>66</v>
      </c>
      <c r="E1252" t="s">
        <v>67</v>
      </c>
      <c r="F1252" t="s">
        <v>68</v>
      </c>
      <c r="G1252" t="s">
        <v>73</v>
      </c>
      <c r="H1252" t="s">
        <v>24</v>
      </c>
      <c r="I1252">
        <v>1</v>
      </c>
      <c r="J1252">
        <v>362697</v>
      </c>
      <c r="K1252">
        <v>5</v>
      </c>
      <c r="L1252">
        <v>344562.15</v>
      </c>
      <c r="M1252" t="s">
        <v>54</v>
      </c>
      <c r="N1252" t="s">
        <v>69</v>
      </c>
      <c r="O1252" t="s">
        <v>27</v>
      </c>
      <c r="P1252" t="s">
        <v>42</v>
      </c>
    </row>
    <row r="1253" spans="1:16" x14ac:dyDescent="0.25">
      <c r="A1253" t="s">
        <v>2176</v>
      </c>
      <c r="B1253" t="s">
        <v>2177</v>
      </c>
      <c r="C1253" t="s">
        <v>65</v>
      </c>
      <c r="D1253" t="s">
        <v>51</v>
      </c>
      <c r="E1253" t="s">
        <v>48</v>
      </c>
      <c r="F1253" t="s">
        <v>22</v>
      </c>
      <c r="G1253" t="s">
        <v>124</v>
      </c>
      <c r="H1253" t="s">
        <v>34</v>
      </c>
      <c r="I1253">
        <v>8</v>
      </c>
      <c r="J1253">
        <v>553758</v>
      </c>
      <c r="K1253">
        <v>2</v>
      </c>
      <c r="L1253">
        <v>4341462.72</v>
      </c>
      <c r="M1253" t="s">
        <v>25</v>
      </c>
      <c r="N1253" t="s">
        <v>43</v>
      </c>
      <c r="O1253" t="s">
        <v>44</v>
      </c>
      <c r="P1253" t="s">
        <v>42</v>
      </c>
    </row>
    <row r="1254" spans="1:16" x14ac:dyDescent="0.25">
      <c r="A1254" t="s">
        <v>2178</v>
      </c>
      <c r="B1254" t="s">
        <v>1528</v>
      </c>
      <c r="C1254" t="s">
        <v>19</v>
      </c>
      <c r="D1254" t="s">
        <v>38</v>
      </c>
      <c r="E1254" t="s">
        <v>39</v>
      </c>
      <c r="F1254" t="s">
        <v>40</v>
      </c>
      <c r="G1254" t="s">
        <v>124</v>
      </c>
      <c r="H1254" t="s">
        <v>58</v>
      </c>
      <c r="I1254">
        <v>7</v>
      </c>
      <c r="J1254">
        <v>829745</v>
      </c>
      <c r="K1254">
        <v>12</v>
      </c>
      <c r="L1254">
        <v>5111229.2</v>
      </c>
      <c r="M1254" t="s">
        <v>25</v>
      </c>
      <c r="N1254" t="s">
        <v>69</v>
      </c>
      <c r="O1254" t="s">
        <v>44</v>
      </c>
      <c r="P1254" t="s">
        <v>42</v>
      </c>
    </row>
    <row r="1255" spans="1:16" x14ac:dyDescent="0.25">
      <c r="A1255" t="s">
        <v>2179</v>
      </c>
      <c r="B1255" t="s">
        <v>2180</v>
      </c>
      <c r="C1255" t="s">
        <v>76</v>
      </c>
      <c r="D1255" t="s">
        <v>20</v>
      </c>
      <c r="E1255" t="s">
        <v>21</v>
      </c>
      <c r="F1255" t="s">
        <v>22</v>
      </c>
      <c r="G1255" t="s">
        <v>89</v>
      </c>
      <c r="H1255" t="s">
        <v>53</v>
      </c>
      <c r="I1255">
        <v>5</v>
      </c>
      <c r="J1255">
        <v>210615</v>
      </c>
      <c r="K1255">
        <v>10</v>
      </c>
      <c r="L1255">
        <v>947767.5</v>
      </c>
      <c r="M1255" t="s">
        <v>42</v>
      </c>
      <c r="N1255" t="s">
        <v>26</v>
      </c>
      <c r="O1255" t="s">
        <v>44</v>
      </c>
      <c r="P1255" t="s">
        <v>42</v>
      </c>
    </row>
    <row r="1256" spans="1:16" x14ac:dyDescent="0.25">
      <c r="A1256" t="s">
        <v>2181</v>
      </c>
      <c r="B1256" t="s">
        <v>1669</v>
      </c>
      <c r="C1256" t="s">
        <v>99</v>
      </c>
      <c r="D1256" t="s">
        <v>66</v>
      </c>
      <c r="E1256" t="s">
        <v>67</v>
      </c>
      <c r="F1256" t="s">
        <v>68</v>
      </c>
      <c r="G1256" t="s">
        <v>73</v>
      </c>
      <c r="H1256" t="s">
        <v>24</v>
      </c>
      <c r="I1256">
        <v>5</v>
      </c>
      <c r="J1256">
        <v>899247</v>
      </c>
      <c r="K1256">
        <v>2</v>
      </c>
      <c r="L1256">
        <v>4406310.3</v>
      </c>
      <c r="M1256" t="s">
        <v>42</v>
      </c>
      <c r="N1256" t="s">
        <v>69</v>
      </c>
      <c r="O1256" t="s">
        <v>44</v>
      </c>
      <c r="P1256" t="s">
        <v>55</v>
      </c>
    </row>
    <row r="1257" spans="1:16" x14ac:dyDescent="0.25">
      <c r="A1257" t="s">
        <v>2182</v>
      </c>
      <c r="B1257" t="s">
        <v>963</v>
      </c>
      <c r="C1257" t="s">
        <v>37</v>
      </c>
      <c r="D1257" t="s">
        <v>30</v>
      </c>
      <c r="E1257" t="s">
        <v>31</v>
      </c>
      <c r="F1257" t="s">
        <v>32</v>
      </c>
      <c r="G1257" t="s">
        <v>62</v>
      </c>
      <c r="H1257" t="s">
        <v>58</v>
      </c>
      <c r="I1257">
        <v>7</v>
      </c>
      <c r="J1257">
        <v>589074</v>
      </c>
      <c r="K1257">
        <v>2</v>
      </c>
      <c r="L1257">
        <v>4041047.64</v>
      </c>
      <c r="M1257" t="s">
        <v>25</v>
      </c>
      <c r="N1257" t="s">
        <v>43</v>
      </c>
      <c r="O1257" t="s">
        <v>27</v>
      </c>
      <c r="P1257" t="s">
        <v>26</v>
      </c>
    </row>
    <row r="1258" spans="1:16" x14ac:dyDescent="0.25">
      <c r="A1258" t="s">
        <v>2183</v>
      </c>
      <c r="B1258" t="s">
        <v>1361</v>
      </c>
      <c r="C1258" t="s">
        <v>85</v>
      </c>
      <c r="D1258" t="s">
        <v>38</v>
      </c>
      <c r="E1258" t="s">
        <v>39</v>
      </c>
      <c r="F1258" t="s">
        <v>40</v>
      </c>
      <c r="G1258" t="s">
        <v>73</v>
      </c>
      <c r="H1258" t="s">
        <v>34</v>
      </c>
      <c r="I1258">
        <v>6</v>
      </c>
      <c r="J1258">
        <v>492323</v>
      </c>
      <c r="K1258">
        <v>7</v>
      </c>
      <c r="L1258">
        <v>2747162.34</v>
      </c>
      <c r="M1258" t="s">
        <v>25</v>
      </c>
      <c r="N1258" t="s">
        <v>43</v>
      </c>
      <c r="O1258" t="s">
        <v>44</v>
      </c>
      <c r="P1258" t="s">
        <v>42</v>
      </c>
    </row>
    <row r="1259" spans="1:16" x14ac:dyDescent="0.25">
      <c r="A1259" t="s">
        <v>2184</v>
      </c>
      <c r="B1259" t="s">
        <v>2185</v>
      </c>
      <c r="C1259" t="s">
        <v>76</v>
      </c>
      <c r="D1259" t="s">
        <v>47</v>
      </c>
      <c r="E1259" t="s">
        <v>48</v>
      </c>
      <c r="F1259" t="s">
        <v>22</v>
      </c>
      <c r="G1259" t="s">
        <v>52</v>
      </c>
      <c r="H1259" t="s">
        <v>53</v>
      </c>
      <c r="I1259">
        <v>2</v>
      </c>
      <c r="J1259">
        <v>572292</v>
      </c>
      <c r="K1259">
        <v>2</v>
      </c>
      <c r="L1259">
        <v>1121692.32</v>
      </c>
      <c r="M1259" t="s">
        <v>54</v>
      </c>
      <c r="N1259" t="s">
        <v>26</v>
      </c>
      <c r="O1259" t="s">
        <v>27</v>
      </c>
      <c r="P1259" t="s">
        <v>42</v>
      </c>
    </row>
    <row r="1260" spans="1:16" x14ac:dyDescent="0.25">
      <c r="A1260" t="s">
        <v>2186</v>
      </c>
      <c r="B1260" t="s">
        <v>925</v>
      </c>
      <c r="C1260" t="s">
        <v>37</v>
      </c>
      <c r="D1260" t="s">
        <v>30</v>
      </c>
      <c r="E1260" t="s">
        <v>31</v>
      </c>
      <c r="F1260" t="s">
        <v>32</v>
      </c>
      <c r="G1260" t="s">
        <v>62</v>
      </c>
      <c r="H1260" t="s">
        <v>24</v>
      </c>
      <c r="I1260">
        <v>7</v>
      </c>
      <c r="J1260">
        <v>276589</v>
      </c>
      <c r="K1260">
        <v>0</v>
      </c>
      <c r="L1260">
        <v>1936123</v>
      </c>
      <c r="M1260" t="s">
        <v>25</v>
      </c>
      <c r="N1260" t="s">
        <v>26</v>
      </c>
      <c r="O1260" t="s">
        <v>44</v>
      </c>
      <c r="P1260" t="s">
        <v>55</v>
      </c>
    </row>
    <row r="1261" spans="1:16" x14ac:dyDescent="0.25">
      <c r="A1261" t="s">
        <v>2187</v>
      </c>
      <c r="B1261" t="s">
        <v>997</v>
      </c>
      <c r="C1261" t="s">
        <v>37</v>
      </c>
      <c r="D1261" t="s">
        <v>47</v>
      </c>
      <c r="E1261" t="s">
        <v>48</v>
      </c>
      <c r="F1261" t="s">
        <v>22</v>
      </c>
      <c r="G1261" t="s">
        <v>41</v>
      </c>
      <c r="H1261" t="s">
        <v>24</v>
      </c>
      <c r="I1261">
        <v>3</v>
      </c>
      <c r="J1261">
        <v>289644</v>
      </c>
      <c r="K1261">
        <v>0</v>
      </c>
      <c r="L1261">
        <v>868932</v>
      </c>
      <c r="M1261" t="s">
        <v>25</v>
      </c>
      <c r="N1261" t="s">
        <v>43</v>
      </c>
      <c r="O1261" t="s">
        <v>27</v>
      </c>
      <c r="P1261" t="s">
        <v>55</v>
      </c>
    </row>
    <row r="1262" spans="1:16" x14ac:dyDescent="0.25">
      <c r="A1262" t="s">
        <v>2188</v>
      </c>
      <c r="B1262" t="s">
        <v>2189</v>
      </c>
      <c r="C1262" t="s">
        <v>61</v>
      </c>
      <c r="D1262" t="s">
        <v>38</v>
      </c>
      <c r="E1262" t="s">
        <v>130</v>
      </c>
      <c r="F1262" t="s">
        <v>40</v>
      </c>
      <c r="G1262" t="s">
        <v>41</v>
      </c>
      <c r="H1262" t="s">
        <v>86</v>
      </c>
      <c r="I1262">
        <v>3</v>
      </c>
      <c r="J1262">
        <v>341482</v>
      </c>
      <c r="K1262">
        <v>10</v>
      </c>
      <c r="L1262">
        <v>922001.4</v>
      </c>
      <c r="M1262" t="s">
        <v>42</v>
      </c>
      <c r="N1262" t="s">
        <v>43</v>
      </c>
      <c r="O1262" t="s">
        <v>44</v>
      </c>
      <c r="P1262" t="s">
        <v>26</v>
      </c>
    </row>
    <row r="1263" spans="1:16" x14ac:dyDescent="0.25">
      <c r="A1263" t="s">
        <v>2190</v>
      </c>
      <c r="B1263" t="s">
        <v>539</v>
      </c>
      <c r="C1263" t="s">
        <v>85</v>
      </c>
      <c r="D1263" t="s">
        <v>66</v>
      </c>
      <c r="E1263" t="s">
        <v>67</v>
      </c>
      <c r="F1263" t="s">
        <v>68</v>
      </c>
      <c r="G1263" t="s">
        <v>33</v>
      </c>
      <c r="H1263" t="s">
        <v>24</v>
      </c>
      <c r="I1263">
        <v>3</v>
      </c>
      <c r="J1263">
        <v>333883</v>
      </c>
      <c r="K1263">
        <v>10</v>
      </c>
      <c r="L1263">
        <v>901484.1</v>
      </c>
      <c r="M1263" t="s">
        <v>42</v>
      </c>
      <c r="N1263" t="s">
        <v>26</v>
      </c>
      <c r="O1263" t="s">
        <v>27</v>
      </c>
      <c r="P1263" t="s">
        <v>55</v>
      </c>
    </row>
    <row r="1264" spans="1:16" x14ac:dyDescent="0.25">
      <c r="A1264" t="s">
        <v>2191</v>
      </c>
      <c r="B1264" t="s">
        <v>2192</v>
      </c>
      <c r="C1264" t="s">
        <v>65</v>
      </c>
      <c r="D1264" t="s">
        <v>38</v>
      </c>
      <c r="E1264" t="s">
        <v>39</v>
      </c>
      <c r="F1264" t="s">
        <v>40</v>
      </c>
      <c r="G1264" t="s">
        <v>62</v>
      </c>
      <c r="H1264" t="s">
        <v>86</v>
      </c>
      <c r="I1264">
        <v>4</v>
      </c>
      <c r="J1264">
        <v>222986</v>
      </c>
      <c r="K1264">
        <v>5</v>
      </c>
      <c r="L1264">
        <v>847346.79999999993</v>
      </c>
      <c r="M1264" t="s">
        <v>25</v>
      </c>
      <c r="N1264" t="s">
        <v>43</v>
      </c>
      <c r="O1264" t="s">
        <v>27</v>
      </c>
      <c r="P1264" t="s">
        <v>42</v>
      </c>
    </row>
    <row r="1265" spans="1:16" x14ac:dyDescent="0.25">
      <c r="A1265" t="s">
        <v>2193</v>
      </c>
      <c r="B1265" t="s">
        <v>1636</v>
      </c>
      <c r="C1265" t="s">
        <v>99</v>
      </c>
      <c r="D1265" t="s">
        <v>20</v>
      </c>
      <c r="E1265" t="s">
        <v>21</v>
      </c>
      <c r="F1265" t="s">
        <v>22</v>
      </c>
      <c r="G1265" t="s">
        <v>52</v>
      </c>
      <c r="H1265" t="s">
        <v>24</v>
      </c>
      <c r="I1265">
        <v>8</v>
      </c>
      <c r="J1265">
        <v>341862</v>
      </c>
      <c r="K1265">
        <v>12</v>
      </c>
      <c r="L1265">
        <v>2406708.48</v>
      </c>
      <c r="M1265" t="s">
        <v>54</v>
      </c>
      <c r="N1265" t="s">
        <v>43</v>
      </c>
      <c r="O1265" t="s">
        <v>44</v>
      </c>
      <c r="P1265" t="s">
        <v>26</v>
      </c>
    </row>
    <row r="1266" spans="1:16" x14ac:dyDescent="0.25">
      <c r="A1266" t="s">
        <v>2194</v>
      </c>
      <c r="B1266" t="s">
        <v>2195</v>
      </c>
      <c r="C1266" t="s">
        <v>65</v>
      </c>
      <c r="D1266" t="s">
        <v>20</v>
      </c>
      <c r="E1266" t="s">
        <v>21</v>
      </c>
      <c r="F1266" t="s">
        <v>22</v>
      </c>
      <c r="G1266" t="s">
        <v>52</v>
      </c>
      <c r="H1266" t="s">
        <v>86</v>
      </c>
      <c r="I1266">
        <v>1</v>
      </c>
      <c r="J1266">
        <v>483387</v>
      </c>
      <c r="K1266">
        <v>12</v>
      </c>
      <c r="L1266">
        <v>425380.56</v>
      </c>
      <c r="M1266" t="s">
        <v>42</v>
      </c>
      <c r="N1266" t="s">
        <v>69</v>
      </c>
      <c r="O1266" t="s">
        <v>27</v>
      </c>
      <c r="P1266" t="s">
        <v>55</v>
      </c>
    </row>
    <row r="1267" spans="1:16" x14ac:dyDescent="0.25">
      <c r="A1267" t="s">
        <v>2196</v>
      </c>
      <c r="B1267" t="s">
        <v>419</v>
      </c>
      <c r="C1267" t="s">
        <v>19</v>
      </c>
      <c r="D1267" t="s">
        <v>20</v>
      </c>
      <c r="E1267" t="s">
        <v>21</v>
      </c>
      <c r="F1267" t="s">
        <v>22</v>
      </c>
      <c r="G1267" t="s">
        <v>62</v>
      </c>
      <c r="H1267" t="s">
        <v>34</v>
      </c>
      <c r="I1267">
        <v>2</v>
      </c>
      <c r="J1267">
        <v>418912</v>
      </c>
      <c r="K1267">
        <v>12</v>
      </c>
      <c r="L1267">
        <v>737285.12</v>
      </c>
      <c r="M1267" t="s">
        <v>54</v>
      </c>
      <c r="N1267" t="s">
        <v>26</v>
      </c>
      <c r="O1267" t="s">
        <v>27</v>
      </c>
      <c r="P1267" t="s">
        <v>55</v>
      </c>
    </row>
    <row r="1268" spans="1:16" x14ac:dyDescent="0.25">
      <c r="A1268" t="s">
        <v>2197</v>
      </c>
      <c r="B1268" t="s">
        <v>2198</v>
      </c>
      <c r="C1268" t="s">
        <v>37</v>
      </c>
      <c r="D1268" t="s">
        <v>20</v>
      </c>
      <c r="E1268" t="s">
        <v>21</v>
      </c>
      <c r="F1268" t="s">
        <v>22</v>
      </c>
      <c r="G1268" t="s">
        <v>73</v>
      </c>
      <c r="H1268" t="s">
        <v>58</v>
      </c>
      <c r="J1268">
        <v>63596</v>
      </c>
      <c r="K1268">
        <v>7</v>
      </c>
      <c r="M1268" t="s">
        <v>25</v>
      </c>
      <c r="N1268" t="s">
        <v>26</v>
      </c>
      <c r="O1268" t="s">
        <v>44</v>
      </c>
      <c r="P1268" t="s">
        <v>42</v>
      </c>
    </row>
    <row r="1269" spans="1:16" x14ac:dyDescent="0.25">
      <c r="A1269" t="s">
        <v>2199</v>
      </c>
      <c r="B1269" t="s">
        <v>2200</v>
      </c>
      <c r="C1269" t="s">
        <v>85</v>
      </c>
      <c r="D1269" t="s">
        <v>154</v>
      </c>
      <c r="E1269" t="s">
        <v>67</v>
      </c>
      <c r="F1269" t="s">
        <v>68</v>
      </c>
      <c r="G1269" t="s">
        <v>33</v>
      </c>
      <c r="H1269" t="s">
        <v>58</v>
      </c>
      <c r="I1269">
        <v>8</v>
      </c>
      <c r="J1269">
        <v>541710</v>
      </c>
      <c r="K1269">
        <v>2</v>
      </c>
      <c r="L1269">
        <v>4247006.4000000004</v>
      </c>
      <c r="M1269" t="s">
        <v>25</v>
      </c>
      <c r="N1269" t="s">
        <v>43</v>
      </c>
      <c r="O1269" t="s">
        <v>27</v>
      </c>
      <c r="P1269" t="s">
        <v>26</v>
      </c>
    </row>
    <row r="1270" spans="1:16" x14ac:dyDescent="0.25">
      <c r="A1270" t="s">
        <v>2201</v>
      </c>
      <c r="B1270" t="s">
        <v>2036</v>
      </c>
      <c r="C1270" t="s">
        <v>85</v>
      </c>
      <c r="D1270" t="s">
        <v>47</v>
      </c>
      <c r="E1270" t="s">
        <v>48</v>
      </c>
      <c r="F1270" t="s">
        <v>22</v>
      </c>
      <c r="G1270" t="s">
        <v>94</v>
      </c>
      <c r="H1270" t="s">
        <v>58</v>
      </c>
      <c r="I1270">
        <v>2</v>
      </c>
      <c r="J1270">
        <v>166707</v>
      </c>
      <c r="K1270">
        <v>7</v>
      </c>
      <c r="L1270">
        <v>310075.02</v>
      </c>
      <c r="M1270" t="s">
        <v>54</v>
      </c>
      <c r="N1270" t="s">
        <v>69</v>
      </c>
      <c r="O1270" t="s">
        <v>44</v>
      </c>
      <c r="P1270" t="s">
        <v>42</v>
      </c>
    </row>
    <row r="1271" spans="1:16" x14ac:dyDescent="0.25">
      <c r="A1271" t="s">
        <v>2202</v>
      </c>
      <c r="B1271" t="s">
        <v>2203</v>
      </c>
      <c r="C1271" t="s">
        <v>65</v>
      </c>
      <c r="D1271" t="s">
        <v>106</v>
      </c>
      <c r="E1271" t="s">
        <v>31</v>
      </c>
      <c r="F1271" t="s">
        <v>32</v>
      </c>
      <c r="G1271" t="s">
        <v>73</v>
      </c>
      <c r="H1271" t="s">
        <v>24</v>
      </c>
      <c r="I1271">
        <v>5</v>
      </c>
      <c r="J1271">
        <v>745185</v>
      </c>
      <c r="K1271">
        <v>12</v>
      </c>
      <c r="L1271">
        <v>3278814</v>
      </c>
      <c r="M1271" t="s">
        <v>25</v>
      </c>
      <c r="N1271" t="s">
        <v>26</v>
      </c>
      <c r="O1271" t="s">
        <v>44</v>
      </c>
      <c r="P1271" t="s">
        <v>55</v>
      </c>
    </row>
    <row r="1272" spans="1:16" x14ac:dyDescent="0.25">
      <c r="A1272" t="s">
        <v>2204</v>
      </c>
      <c r="B1272" t="s">
        <v>2205</v>
      </c>
      <c r="C1272" t="s">
        <v>37</v>
      </c>
      <c r="D1272" t="s">
        <v>30</v>
      </c>
      <c r="E1272" t="s">
        <v>31</v>
      </c>
      <c r="F1272" t="s">
        <v>32</v>
      </c>
      <c r="G1272" t="s">
        <v>62</v>
      </c>
      <c r="H1272" t="s">
        <v>34</v>
      </c>
      <c r="I1272">
        <v>3</v>
      </c>
      <c r="J1272">
        <v>184286</v>
      </c>
      <c r="K1272">
        <v>2</v>
      </c>
      <c r="L1272">
        <v>541800.84</v>
      </c>
      <c r="M1272" t="s">
        <v>42</v>
      </c>
      <c r="N1272" t="s">
        <v>69</v>
      </c>
      <c r="O1272" t="s">
        <v>27</v>
      </c>
      <c r="P1272" t="s">
        <v>55</v>
      </c>
    </row>
    <row r="1273" spans="1:16" x14ac:dyDescent="0.25">
      <c r="A1273" t="s">
        <v>2206</v>
      </c>
      <c r="B1273" t="s">
        <v>2207</v>
      </c>
      <c r="C1273" t="s">
        <v>91</v>
      </c>
      <c r="D1273" t="s">
        <v>30</v>
      </c>
      <c r="E1273" t="s">
        <v>31</v>
      </c>
      <c r="F1273" t="s">
        <v>32</v>
      </c>
      <c r="G1273" t="s">
        <v>73</v>
      </c>
      <c r="H1273" t="s">
        <v>53</v>
      </c>
      <c r="I1273">
        <v>8</v>
      </c>
      <c r="J1273">
        <v>121760</v>
      </c>
      <c r="K1273">
        <v>0</v>
      </c>
      <c r="L1273">
        <v>974080</v>
      </c>
      <c r="M1273" t="s">
        <v>42</v>
      </c>
      <c r="N1273" t="s">
        <v>26</v>
      </c>
      <c r="O1273" t="s">
        <v>44</v>
      </c>
      <c r="P1273" t="s">
        <v>26</v>
      </c>
    </row>
    <row r="1274" spans="1:16" x14ac:dyDescent="0.25">
      <c r="A1274" t="s">
        <v>2208</v>
      </c>
      <c r="B1274" t="s">
        <v>1064</v>
      </c>
      <c r="C1274" t="s">
        <v>198</v>
      </c>
      <c r="D1274" t="s">
        <v>38</v>
      </c>
      <c r="E1274" t="s">
        <v>39</v>
      </c>
      <c r="F1274" t="s">
        <v>40</v>
      </c>
      <c r="G1274" t="s">
        <v>52</v>
      </c>
      <c r="H1274" t="s">
        <v>58</v>
      </c>
      <c r="I1274">
        <v>6</v>
      </c>
      <c r="J1274">
        <v>202213</v>
      </c>
      <c r="K1274">
        <v>0</v>
      </c>
      <c r="L1274">
        <v>1213278</v>
      </c>
      <c r="M1274" t="s">
        <v>42</v>
      </c>
      <c r="N1274" t="s">
        <v>43</v>
      </c>
      <c r="O1274" t="s">
        <v>44</v>
      </c>
      <c r="P1274" t="s">
        <v>42</v>
      </c>
    </row>
    <row r="1275" spans="1:16" x14ac:dyDescent="0.25">
      <c r="A1275" t="s">
        <v>2209</v>
      </c>
      <c r="B1275" t="s">
        <v>2210</v>
      </c>
      <c r="C1275" t="s">
        <v>85</v>
      </c>
      <c r="D1275" t="s">
        <v>20</v>
      </c>
      <c r="E1275" t="s">
        <v>21</v>
      </c>
      <c r="F1275" t="s">
        <v>22</v>
      </c>
      <c r="G1275" t="s">
        <v>52</v>
      </c>
      <c r="H1275" t="s">
        <v>24</v>
      </c>
      <c r="I1275">
        <v>1</v>
      </c>
      <c r="J1275">
        <v>776139</v>
      </c>
      <c r="K1275">
        <v>5</v>
      </c>
      <c r="L1275">
        <v>737332.04999999993</v>
      </c>
      <c r="M1275" t="s">
        <v>25</v>
      </c>
      <c r="N1275" t="s">
        <v>69</v>
      </c>
      <c r="O1275" t="s">
        <v>44</v>
      </c>
      <c r="P1275" t="s">
        <v>55</v>
      </c>
    </row>
    <row r="1276" spans="1:16" x14ac:dyDescent="0.25">
      <c r="A1276" t="s">
        <v>2211</v>
      </c>
      <c r="B1276" t="s">
        <v>2212</v>
      </c>
      <c r="C1276" t="s">
        <v>99</v>
      </c>
      <c r="D1276" t="s">
        <v>106</v>
      </c>
      <c r="E1276" t="s">
        <v>31</v>
      </c>
      <c r="F1276" t="s">
        <v>32</v>
      </c>
      <c r="G1276" t="s">
        <v>41</v>
      </c>
      <c r="H1276" t="s">
        <v>58</v>
      </c>
      <c r="I1276">
        <v>8</v>
      </c>
      <c r="J1276">
        <v>289056</v>
      </c>
      <c r="K1276">
        <v>0</v>
      </c>
      <c r="L1276">
        <v>2312448</v>
      </c>
      <c r="M1276" t="s">
        <v>42</v>
      </c>
      <c r="N1276" t="s">
        <v>43</v>
      </c>
      <c r="O1276" t="s">
        <v>44</v>
      </c>
      <c r="P1276" t="s">
        <v>55</v>
      </c>
    </row>
    <row r="1277" spans="1:16" x14ac:dyDescent="0.25">
      <c r="A1277" t="s">
        <v>2213</v>
      </c>
      <c r="B1277" t="s">
        <v>2214</v>
      </c>
      <c r="C1277" t="s">
        <v>19</v>
      </c>
      <c r="D1277" t="s">
        <v>30</v>
      </c>
      <c r="E1277" t="s">
        <v>31</v>
      </c>
      <c r="F1277" t="s">
        <v>32</v>
      </c>
      <c r="G1277" t="s">
        <v>62</v>
      </c>
      <c r="H1277" t="s">
        <v>24</v>
      </c>
      <c r="I1277">
        <v>4</v>
      </c>
      <c r="J1277">
        <v>172405</v>
      </c>
      <c r="K1277">
        <v>5</v>
      </c>
      <c r="L1277">
        <v>655139</v>
      </c>
      <c r="M1277" t="s">
        <v>25</v>
      </c>
      <c r="N1277" t="s">
        <v>26</v>
      </c>
      <c r="O1277" t="s">
        <v>27</v>
      </c>
      <c r="P1277" t="s">
        <v>26</v>
      </c>
    </row>
    <row r="1278" spans="1:16" x14ac:dyDescent="0.25">
      <c r="A1278" t="s">
        <v>2215</v>
      </c>
      <c r="B1278" t="s">
        <v>2216</v>
      </c>
      <c r="C1278" t="s">
        <v>65</v>
      </c>
      <c r="D1278" t="s">
        <v>20</v>
      </c>
      <c r="E1278" t="s">
        <v>21</v>
      </c>
      <c r="F1278" t="s">
        <v>22</v>
      </c>
      <c r="G1278" t="s">
        <v>52</v>
      </c>
      <c r="H1278" t="s">
        <v>58</v>
      </c>
      <c r="I1278">
        <v>1</v>
      </c>
      <c r="J1278">
        <v>270590</v>
      </c>
      <c r="K1278">
        <v>0</v>
      </c>
      <c r="L1278">
        <v>270590</v>
      </c>
      <c r="M1278" t="s">
        <v>54</v>
      </c>
      <c r="N1278" t="s">
        <v>26</v>
      </c>
      <c r="O1278" t="s">
        <v>27</v>
      </c>
      <c r="P1278" t="s">
        <v>26</v>
      </c>
    </row>
    <row r="1279" spans="1:16" x14ac:dyDescent="0.25">
      <c r="A1279" t="s">
        <v>2217</v>
      </c>
      <c r="B1279" t="s">
        <v>2218</v>
      </c>
      <c r="C1279" t="s">
        <v>76</v>
      </c>
      <c r="D1279" t="s">
        <v>30</v>
      </c>
      <c r="E1279" t="s">
        <v>31</v>
      </c>
      <c r="F1279" t="s">
        <v>32</v>
      </c>
      <c r="G1279" t="s">
        <v>52</v>
      </c>
      <c r="H1279" t="s">
        <v>58</v>
      </c>
      <c r="I1279">
        <v>6</v>
      </c>
      <c r="J1279">
        <v>795412</v>
      </c>
      <c r="K1279">
        <v>10</v>
      </c>
      <c r="L1279">
        <v>4295224.8</v>
      </c>
      <c r="M1279" t="s">
        <v>54</v>
      </c>
      <c r="N1279" t="s">
        <v>69</v>
      </c>
      <c r="O1279" t="s">
        <v>27</v>
      </c>
      <c r="P1279" t="s">
        <v>55</v>
      </c>
    </row>
    <row r="1280" spans="1:16" x14ac:dyDescent="0.25">
      <c r="A1280" t="s">
        <v>2219</v>
      </c>
      <c r="B1280" t="s">
        <v>2220</v>
      </c>
      <c r="C1280" t="s">
        <v>37</v>
      </c>
      <c r="D1280" t="s">
        <v>30</v>
      </c>
      <c r="E1280" t="s">
        <v>31</v>
      </c>
      <c r="F1280" t="s">
        <v>32</v>
      </c>
      <c r="G1280" t="s">
        <v>41</v>
      </c>
      <c r="H1280" t="s">
        <v>24</v>
      </c>
      <c r="I1280">
        <v>7</v>
      </c>
      <c r="J1280">
        <v>278183</v>
      </c>
      <c r="K1280">
        <v>0</v>
      </c>
      <c r="L1280">
        <v>1947281</v>
      </c>
      <c r="M1280" t="s">
        <v>25</v>
      </c>
      <c r="N1280" t="s">
        <v>69</v>
      </c>
      <c r="O1280" t="s">
        <v>27</v>
      </c>
      <c r="P1280" t="s">
        <v>26</v>
      </c>
    </row>
    <row r="1281" spans="1:16" x14ac:dyDescent="0.25">
      <c r="A1281" t="s">
        <v>2221</v>
      </c>
      <c r="B1281" t="s">
        <v>2222</v>
      </c>
      <c r="C1281" t="s">
        <v>37</v>
      </c>
      <c r="D1281" t="s">
        <v>47</v>
      </c>
      <c r="E1281" t="s">
        <v>48</v>
      </c>
      <c r="F1281" t="s">
        <v>22</v>
      </c>
      <c r="G1281" t="s">
        <v>62</v>
      </c>
      <c r="H1281" t="s">
        <v>24</v>
      </c>
      <c r="I1281">
        <v>1</v>
      </c>
      <c r="J1281">
        <v>277376</v>
      </c>
      <c r="K1281">
        <v>10</v>
      </c>
      <c r="L1281">
        <v>249638.39999999999</v>
      </c>
      <c r="M1281" t="s">
        <v>42</v>
      </c>
      <c r="N1281" t="s">
        <v>69</v>
      </c>
      <c r="O1281" t="s">
        <v>44</v>
      </c>
      <c r="P1281" t="s">
        <v>26</v>
      </c>
    </row>
    <row r="1282" spans="1:16" x14ac:dyDescent="0.25">
      <c r="A1282" t="s">
        <v>2223</v>
      </c>
      <c r="B1282" t="s">
        <v>2224</v>
      </c>
      <c r="C1282" t="s">
        <v>19</v>
      </c>
      <c r="D1282" t="s">
        <v>20</v>
      </c>
      <c r="E1282" t="s">
        <v>21</v>
      </c>
      <c r="F1282" t="s">
        <v>22</v>
      </c>
      <c r="G1282" t="s">
        <v>33</v>
      </c>
      <c r="H1282" t="s">
        <v>58</v>
      </c>
      <c r="I1282">
        <v>8</v>
      </c>
      <c r="J1282">
        <v>156369</v>
      </c>
      <c r="K1282">
        <v>2</v>
      </c>
      <c r="L1282">
        <v>1225932.96</v>
      </c>
      <c r="M1282" t="s">
        <v>54</v>
      </c>
      <c r="N1282" t="s">
        <v>69</v>
      </c>
      <c r="O1282" t="s">
        <v>44</v>
      </c>
      <c r="P1282" t="s">
        <v>42</v>
      </c>
    </row>
    <row r="1283" spans="1:16" x14ac:dyDescent="0.25">
      <c r="A1283" t="s">
        <v>2225</v>
      </c>
      <c r="B1283" t="s">
        <v>2009</v>
      </c>
      <c r="C1283" t="s">
        <v>76</v>
      </c>
      <c r="D1283" t="s">
        <v>30</v>
      </c>
      <c r="E1283" t="s">
        <v>31</v>
      </c>
      <c r="F1283" t="s">
        <v>32</v>
      </c>
      <c r="G1283" t="s">
        <v>73</v>
      </c>
      <c r="H1283" t="s">
        <v>34</v>
      </c>
      <c r="I1283">
        <v>1</v>
      </c>
      <c r="J1283">
        <v>129939</v>
      </c>
      <c r="K1283">
        <v>12</v>
      </c>
      <c r="L1283">
        <v>114346.32</v>
      </c>
      <c r="M1283" t="s">
        <v>25</v>
      </c>
      <c r="N1283" t="s">
        <v>43</v>
      </c>
      <c r="O1283" t="s">
        <v>27</v>
      </c>
      <c r="P1283" t="s">
        <v>42</v>
      </c>
    </row>
    <row r="1284" spans="1:16" x14ac:dyDescent="0.25">
      <c r="A1284" t="s">
        <v>2226</v>
      </c>
      <c r="B1284" t="s">
        <v>2227</v>
      </c>
      <c r="C1284" t="s">
        <v>76</v>
      </c>
      <c r="D1284" t="s">
        <v>38</v>
      </c>
      <c r="E1284" t="s">
        <v>39</v>
      </c>
      <c r="F1284" t="s">
        <v>40</v>
      </c>
      <c r="G1284" t="s">
        <v>52</v>
      </c>
      <c r="H1284" t="s">
        <v>24</v>
      </c>
      <c r="I1284">
        <v>7</v>
      </c>
      <c r="J1284">
        <v>579711</v>
      </c>
      <c r="K1284">
        <v>5</v>
      </c>
      <c r="L1284">
        <v>3855078.15</v>
      </c>
      <c r="M1284" t="s">
        <v>54</v>
      </c>
      <c r="N1284" t="s">
        <v>43</v>
      </c>
      <c r="O1284" t="s">
        <v>27</v>
      </c>
      <c r="P1284" t="s">
        <v>42</v>
      </c>
    </row>
    <row r="1285" spans="1:16" x14ac:dyDescent="0.25">
      <c r="A1285" t="s">
        <v>2228</v>
      </c>
      <c r="B1285" t="s">
        <v>2229</v>
      </c>
      <c r="C1285" t="s">
        <v>65</v>
      </c>
      <c r="D1285" t="s">
        <v>38</v>
      </c>
      <c r="E1285" t="s">
        <v>39</v>
      </c>
      <c r="F1285" t="s">
        <v>40</v>
      </c>
      <c r="G1285" t="s">
        <v>41</v>
      </c>
      <c r="H1285" t="s">
        <v>34</v>
      </c>
      <c r="I1285">
        <v>8</v>
      </c>
      <c r="J1285">
        <v>538015</v>
      </c>
      <c r="K1285">
        <v>2</v>
      </c>
      <c r="L1285">
        <v>4218037.5999999996</v>
      </c>
      <c r="M1285" t="s">
        <v>42</v>
      </c>
      <c r="N1285" t="s">
        <v>26</v>
      </c>
      <c r="O1285" t="s">
        <v>27</v>
      </c>
      <c r="P1285" t="s">
        <v>42</v>
      </c>
    </row>
    <row r="1286" spans="1:16" x14ac:dyDescent="0.25">
      <c r="A1286" t="s">
        <v>2230</v>
      </c>
      <c r="B1286" t="s">
        <v>1565</v>
      </c>
      <c r="C1286" t="s">
        <v>37</v>
      </c>
      <c r="D1286" t="s">
        <v>20</v>
      </c>
      <c r="E1286" t="s">
        <v>21</v>
      </c>
      <c r="F1286" t="s">
        <v>22</v>
      </c>
      <c r="G1286" t="s">
        <v>52</v>
      </c>
      <c r="H1286" t="s">
        <v>34</v>
      </c>
      <c r="I1286">
        <v>7</v>
      </c>
      <c r="J1286">
        <v>767247</v>
      </c>
      <c r="K1286">
        <v>10</v>
      </c>
      <c r="L1286">
        <v>4833656.1000000006</v>
      </c>
      <c r="M1286" t="s">
        <v>25</v>
      </c>
      <c r="N1286" t="s">
        <v>69</v>
      </c>
      <c r="O1286" t="s">
        <v>27</v>
      </c>
      <c r="P1286" t="s">
        <v>42</v>
      </c>
    </row>
    <row r="1287" spans="1:16" x14ac:dyDescent="0.25">
      <c r="A1287" t="s">
        <v>2231</v>
      </c>
      <c r="B1287" t="s">
        <v>2232</v>
      </c>
      <c r="C1287" t="s">
        <v>76</v>
      </c>
      <c r="D1287" t="s">
        <v>38</v>
      </c>
      <c r="E1287" t="s">
        <v>39</v>
      </c>
      <c r="F1287" t="s">
        <v>40</v>
      </c>
      <c r="G1287" t="s">
        <v>89</v>
      </c>
      <c r="H1287" t="s">
        <v>34</v>
      </c>
      <c r="I1287">
        <v>8</v>
      </c>
      <c r="J1287">
        <v>504362</v>
      </c>
      <c r="K1287">
        <v>7</v>
      </c>
      <c r="L1287">
        <v>3752453.28</v>
      </c>
      <c r="M1287" t="s">
        <v>25</v>
      </c>
      <c r="N1287" t="s">
        <v>43</v>
      </c>
      <c r="O1287" t="s">
        <v>27</v>
      </c>
      <c r="P1287" t="s">
        <v>55</v>
      </c>
    </row>
    <row r="1288" spans="1:16" x14ac:dyDescent="0.25">
      <c r="A1288" t="s">
        <v>2233</v>
      </c>
      <c r="B1288" t="s">
        <v>679</v>
      </c>
      <c r="C1288" t="s">
        <v>19</v>
      </c>
      <c r="D1288" t="s">
        <v>47</v>
      </c>
      <c r="E1288" t="s">
        <v>48</v>
      </c>
      <c r="F1288" t="s">
        <v>22</v>
      </c>
      <c r="G1288" t="s">
        <v>52</v>
      </c>
      <c r="H1288" t="s">
        <v>58</v>
      </c>
      <c r="I1288">
        <v>4</v>
      </c>
      <c r="J1288">
        <v>581049</v>
      </c>
      <c r="K1288">
        <v>2</v>
      </c>
      <c r="L1288">
        <v>2277712.08</v>
      </c>
      <c r="M1288" t="s">
        <v>54</v>
      </c>
      <c r="N1288" t="s">
        <v>26</v>
      </c>
      <c r="O1288" t="s">
        <v>27</v>
      </c>
      <c r="P1288" t="s">
        <v>55</v>
      </c>
    </row>
    <row r="1289" spans="1:16" x14ac:dyDescent="0.25">
      <c r="A1289" t="s">
        <v>2234</v>
      </c>
      <c r="B1289" t="s">
        <v>2235</v>
      </c>
      <c r="C1289" t="s">
        <v>79</v>
      </c>
      <c r="D1289" t="s">
        <v>20</v>
      </c>
      <c r="E1289" t="s">
        <v>21</v>
      </c>
      <c r="F1289" t="s">
        <v>22</v>
      </c>
      <c r="G1289" t="s">
        <v>33</v>
      </c>
      <c r="H1289" t="s">
        <v>34</v>
      </c>
      <c r="I1289">
        <v>4</v>
      </c>
      <c r="J1289">
        <v>200188</v>
      </c>
      <c r="K1289">
        <v>10</v>
      </c>
      <c r="L1289">
        <v>720676.8</v>
      </c>
      <c r="M1289" t="s">
        <v>54</v>
      </c>
      <c r="N1289" t="s">
        <v>43</v>
      </c>
      <c r="O1289" t="s">
        <v>27</v>
      </c>
      <c r="P1289" t="s">
        <v>55</v>
      </c>
    </row>
    <row r="1290" spans="1:16" x14ac:dyDescent="0.25">
      <c r="A1290" t="s">
        <v>2236</v>
      </c>
      <c r="B1290" t="s">
        <v>804</v>
      </c>
      <c r="C1290" t="s">
        <v>198</v>
      </c>
      <c r="D1290" t="s">
        <v>47</v>
      </c>
      <c r="E1290" t="s">
        <v>48</v>
      </c>
      <c r="F1290" t="s">
        <v>22</v>
      </c>
      <c r="G1290" t="s">
        <v>41</v>
      </c>
      <c r="H1290" t="s">
        <v>34</v>
      </c>
      <c r="I1290">
        <v>1</v>
      </c>
      <c r="J1290">
        <v>594726</v>
      </c>
      <c r="K1290">
        <v>2</v>
      </c>
      <c r="L1290">
        <v>582831.48</v>
      </c>
      <c r="M1290" t="s">
        <v>42</v>
      </c>
      <c r="N1290" t="s">
        <v>69</v>
      </c>
      <c r="O1290" t="s">
        <v>27</v>
      </c>
      <c r="P1290" t="s">
        <v>26</v>
      </c>
    </row>
    <row r="1291" spans="1:16" x14ac:dyDescent="0.25">
      <c r="A1291" t="s">
        <v>2237</v>
      </c>
      <c r="B1291" t="s">
        <v>2227</v>
      </c>
      <c r="C1291" t="s">
        <v>37</v>
      </c>
      <c r="D1291" t="s">
        <v>66</v>
      </c>
      <c r="E1291" t="s">
        <v>67</v>
      </c>
      <c r="F1291" t="s">
        <v>68</v>
      </c>
      <c r="G1291" t="s">
        <v>41</v>
      </c>
      <c r="H1291" t="s">
        <v>24</v>
      </c>
      <c r="I1291">
        <v>5</v>
      </c>
      <c r="J1291">
        <v>472279</v>
      </c>
      <c r="K1291">
        <v>10</v>
      </c>
      <c r="L1291">
        <v>2125255.5</v>
      </c>
      <c r="M1291" t="s">
        <v>42</v>
      </c>
      <c r="N1291" t="s">
        <v>43</v>
      </c>
      <c r="O1291" t="s">
        <v>44</v>
      </c>
      <c r="P1291" t="s">
        <v>55</v>
      </c>
    </row>
    <row r="1292" spans="1:16" x14ac:dyDescent="0.25">
      <c r="A1292" t="s">
        <v>2238</v>
      </c>
      <c r="B1292" t="s">
        <v>658</v>
      </c>
      <c r="C1292" t="s">
        <v>76</v>
      </c>
      <c r="D1292" t="s">
        <v>38</v>
      </c>
      <c r="E1292" t="s">
        <v>39</v>
      </c>
      <c r="F1292" t="s">
        <v>40</v>
      </c>
      <c r="G1292" t="s">
        <v>41</v>
      </c>
      <c r="H1292" t="s">
        <v>24</v>
      </c>
      <c r="I1292">
        <v>8</v>
      </c>
      <c r="J1292">
        <v>391103</v>
      </c>
      <c r="K1292">
        <v>0</v>
      </c>
      <c r="L1292">
        <v>3128824</v>
      </c>
      <c r="M1292" t="s">
        <v>25</v>
      </c>
      <c r="N1292" t="s">
        <v>43</v>
      </c>
      <c r="O1292" t="s">
        <v>44</v>
      </c>
      <c r="P1292" t="s">
        <v>42</v>
      </c>
    </row>
    <row r="1293" spans="1:16" x14ac:dyDescent="0.25">
      <c r="A1293" t="s">
        <v>2239</v>
      </c>
      <c r="B1293" t="s">
        <v>737</v>
      </c>
      <c r="C1293" t="s">
        <v>85</v>
      </c>
      <c r="D1293" t="s">
        <v>66</v>
      </c>
      <c r="E1293" t="s">
        <v>67</v>
      </c>
      <c r="F1293" t="s">
        <v>68</v>
      </c>
      <c r="G1293" t="s">
        <v>73</v>
      </c>
      <c r="H1293" t="s">
        <v>24</v>
      </c>
      <c r="I1293">
        <v>4</v>
      </c>
      <c r="J1293">
        <v>602440</v>
      </c>
      <c r="K1293">
        <v>10</v>
      </c>
      <c r="L1293">
        <v>2168784</v>
      </c>
      <c r="M1293" t="s">
        <v>42</v>
      </c>
      <c r="N1293" t="s">
        <v>43</v>
      </c>
      <c r="O1293" t="s">
        <v>44</v>
      </c>
      <c r="P1293" t="s">
        <v>26</v>
      </c>
    </row>
    <row r="1294" spans="1:16" x14ac:dyDescent="0.25">
      <c r="A1294" t="s">
        <v>2240</v>
      </c>
      <c r="B1294" t="s">
        <v>2241</v>
      </c>
      <c r="C1294" t="s">
        <v>65</v>
      </c>
      <c r="D1294" t="s">
        <v>38</v>
      </c>
      <c r="E1294" t="s">
        <v>39</v>
      </c>
      <c r="F1294" t="s">
        <v>40</v>
      </c>
      <c r="G1294" t="s">
        <v>62</v>
      </c>
      <c r="H1294" t="s">
        <v>86</v>
      </c>
      <c r="I1294">
        <v>2</v>
      </c>
      <c r="J1294">
        <v>262004</v>
      </c>
      <c r="K1294">
        <v>2</v>
      </c>
      <c r="L1294">
        <v>513527.84</v>
      </c>
      <c r="M1294" t="s">
        <v>42</v>
      </c>
      <c r="N1294" t="s">
        <v>69</v>
      </c>
      <c r="O1294" t="s">
        <v>44</v>
      </c>
      <c r="P1294" t="s">
        <v>26</v>
      </c>
    </row>
    <row r="1295" spans="1:16" x14ac:dyDescent="0.25">
      <c r="A1295" t="s">
        <v>2242</v>
      </c>
      <c r="B1295" t="s">
        <v>706</v>
      </c>
      <c r="C1295" t="s">
        <v>65</v>
      </c>
      <c r="D1295" t="s">
        <v>47</v>
      </c>
      <c r="E1295" t="s">
        <v>48</v>
      </c>
      <c r="F1295" t="s">
        <v>22</v>
      </c>
      <c r="G1295" t="s">
        <v>73</v>
      </c>
      <c r="H1295" t="s">
        <v>58</v>
      </c>
      <c r="I1295">
        <v>5</v>
      </c>
      <c r="J1295">
        <v>152772</v>
      </c>
      <c r="K1295">
        <v>12</v>
      </c>
      <c r="L1295">
        <v>672196.8</v>
      </c>
      <c r="M1295" t="s">
        <v>42</v>
      </c>
      <c r="N1295" t="s">
        <v>69</v>
      </c>
      <c r="O1295" t="s">
        <v>44</v>
      </c>
      <c r="P1295" t="s">
        <v>26</v>
      </c>
    </row>
    <row r="1296" spans="1:16" x14ac:dyDescent="0.25">
      <c r="A1296" t="s">
        <v>2243</v>
      </c>
      <c r="B1296" t="s">
        <v>2244</v>
      </c>
      <c r="C1296" t="s">
        <v>76</v>
      </c>
      <c r="D1296" t="s">
        <v>30</v>
      </c>
      <c r="E1296" t="s">
        <v>31</v>
      </c>
      <c r="F1296" t="s">
        <v>32</v>
      </c>
      <c r="G1296" t="s">
        <v>41</v>
      </c>
      <c r="H1296" t="s">
        <v>58</v>
      </c>
      <c r="I1296">
        <v>3</v>
      </c>
      <c r="J1296">
        <v>487116</v>
      </c>
      <c r="K1296">
        <v>0</v>
      </c>
      <c r="L1296">
        <v>1461348</v>
      </c>
      <c r="M1296" t="s">
        <v>25</v>
      </c>
      <c r="N1296" t="s">
        <v>43</v>
      </c>
      <c r="O1296" t="s">
        <v>27</v>
      </c>
      <c r="P1296" t="s">
        <v>26</v>
      </c>
    </row>
    <row r="1297" spans="1:16" x14ac:dyDescent="0.25">
      <c r="A1297" t="s">
        <v>2245</v>
      </c>
      <c r="B1297" t="s">
        <v>182</v>
      </c>
      <c r="C1297" t="s">
        <v>37</v>
      </c>
      <c r="D1297" t="s">
        <v>66</v>
      </c>
      <c r="E1297" t="s">
        <v>67</v>
      </c>
      <c r="F1297" t="s">
        <v>68</v>
      </c>
      <c r="G1297" t="s">
        <v>89</v>
      </c>
      <c r="H1297" t="s">
        <v>34</v>
      </c>
      <c r="I1297">
        <v>7</v>
      </c>
      <c r="J1297">
        <v>173084</v>
      </c>
      <c r="K1297">
        <v>7</v>
      </c>
      <c r="L1297">
        <v>1126776.8400000001</v>
      </c>
      <c r="M1297" t="s">
        <v>25</v>
      </c>
      <c r="N1297" t="s">
        <v>26</v>
      </c>
      <c r="O1297" t="s">
        <v>27</v>
      </c>
      <c r="P1297" t="s">
        <v>26</v>
      </c>
    </row>
    <row r="1298" spans="1:16" x14ac:dyDescent="0.25">
      <c r="A1298" t="s">
        <v>2246</v>
      </c>
      <c r="B1298" t="s">
        <v>2247</v>
      </c>
      <c r="C1298" t="s">
        <v>19</v>
      </c>
      <c r="D1298" t="s">
        <v>106</v>
      </c>
      <c r="E1298" t="s">
        <v>31</v>
      </c>
      <c r="F1298" t="s">
        <v>32</v>
      </c>
      <c r="G1298" t="s">
        <v>41</v>
      </c>
      <c r="H1298" t="s">
        <v>86</v>
      </c>
      <c r="I1298">
        <v>7</v>
      </c>
      <c r="J1298">
        <v>700288</v>
      </c>
      <c r="K1298">
        <v>12</v>
      </c>
      <c r="L1298">
        <v>4313774.0800000001</v>
      </c>
      <c r="M1298" t="s">
        <v>42</v>
      </c>
      <c r="N1298" t="s">
        <v>69</v>
      </c>
      <c r="O1298" t="s">
        <v>27</v>
      </c>
      <c r="P1298" t="s">
        <v>42</v>
      </c>
    </row>
    <row r="1299" spans="1:16" x14ac:dyDescent="0.25">
      <c r="A1299" t="s">
        <v>2248</v>
      </c>
      <c r="B1299" t="s">
        <v>2249</v>
      </c>
      <c r="C1299" t="s">
        <v>91</v>
      </c>
      <c r="D1299" t="s">
        <v>47</v>
      </c>
      <c r="E1299" t="s">
        <v>48</v>
      </c>
      <c r="F1299" t="s">
        <v>22</v>
      </c>
      <c r="G1299" t="s">
        <v>41</v>
      </c>
      <c r="H1299" t="s">
        <v>86</v>
      </c>
      <c r="I1299">
        <v>7</v>
      </c>
      <c r="J1299">
        <v>697967</v>
      </c>
      <c r="K1299">
        <v>5</v>
      </c>
      <c r="L1299">
        <v>4641480.55</v>
      </c>
      <c r="M1299" t="s">
        <v>25</v>
      </c>
      <c r="N1299" t="s">
        <v>43</v>
      </c>
      <c r="O1299" t="s">
        <v>27</v>
      </c>
      <c r="P1299" t="s">
        <v>55</v>
      </c>
    </row>
    <row r="1300" spans="1:16" x14ac:dyDescent="0.25">
      <c r="A1300" t="s">
        <v>2250</v>
      </c>
      <c r="B1300" t="s">
        <v>2251</v>
      </c>
      <c r="C1300" t="s">
        <v>65</v>
      </c>
      <c r="D1300" t="s">
        <v>66</v>
      </c>
      <c r="E1300" t="s">
        <v>201</v>
      </c>
      <c r="F1300" t="s">
        <v>68</v>
      </c>
      <c r="G1300" t="s">
        <v>52</v>
      </c>
      <c r="H1300" t="s">
        <v>53</v>
      </c>
      <c r="I1300">
        <v>4</v>
      </c>
      <c r="J1300">
        <v>751315</v>
      </c>
      <c r="K1300">
        <v>12</v>
      </c>
      <c r="L1300">
        <v>2644628.7999999998</v>
      </c>
      <c r="M1300" t="s">
        <v>42</v>
      </c>
      <c r="N1300" t="s">
        <v>43</v>
      </c>
      <c r="O1300" t="s">
        <v>27</v>
      </c>
      <c r="P1300" t="s">
        <v>55</v>
      </c>
    </row>
    <row r="1301" spans="1:16" x14ac:dyDescent="0.25">
      <c r="A1301" t="s">
        <v>2252</v>
      </c>
      <c r="B1301" t="s">
        <v>2253</v>
      </c>
      <c r="C1301" t="s">
        <v>37</v>
      </c>
      <c r="D1301" t="s">
        <v>47</v>
      </c>
      <c r="E1301" t="s">
        <v>48</v>
      </c>
      <c r="F1301" t="s">
        <v>22</v>
      </c>
      <c r="G1301" t="s">
        <v>33</v>
      </c>
      <c r="H1301" t="s">
        <v>24</v>
      </c>
      <c r="I1301">
        <v>7</v>
      </c>
      <c r="J1301">
        <v>152533</v>
      </c>
      <c r="K1301">
        <v>0</v>
      </c>
      <c r="L1301">
        <v>1067731</v>
      </c>
      <c r="M1301" t="s">
        <v>42</v>
      </c>
      <c r="N1301" t="s">
        <v>43</v>
      </c>
      <c r="O1301" t="s">
        <v>44</v>
      </c>
      <c r="P1301" t="s">
        <v>55</v>
      </c>
    </row>
    <row r="1302" spans="1:16" x14ac:dyDescent="0.25">
      <c r="A1302" t="s">
        <v>2254</v>
      </c>
      <c r="B1302" t="s">
        <v>78</v>
      </c>
      <c r="C1302" t="s">
        <v>99</v>
      </c>
      <c r="D1302" t="s">
        <v>51</v>
      </c>
      <c r="E1302" t="s">
        <v>48</v>
      </c>
      <c r="F1302" t="s">
        <v>22</v>
      </c>
      <c r="G1302" t="s">
        <v>62</v>
      </c>
      <c r="H1302" t="s">
        <v>34</v>
      </c>
      <c r="J1302">
        <v>226352</v>
      </c>
      <c r="K1302">
        <v>5</v>
      </c>
      <c r="M1302" t="s">
        <v>54</v>
      </c>
      <c r="N1302" t="s">
        <v>43</v>
      </c>
      <c r="O1302" t="s">
        <v>27</v>
      </c>
      <c r="P1302" t="s">
        <v>55</v>
      </c>
    </row>
    <row r="1303" spans="1:16" x14ac:dyDescent="0.25">
      <c r="A1303" t="s">
        <v>2255</v>
      </c>
      <c r="B1303" t="s">
        <v>2256</v>
      </c>
      <c r="C1303" t="s">
        <v>19</v>
      </c>
      <c r="D1303" t="s">
        <v>20</v>
      </c>
      <c r="E1303" t="s">
        <v>189</v>
      </c>
      <c r="F1303" t="s">
        <v>22</v>
      </c>
      <c r="G1303" t="s">
        <v>62</v>
      </c>
      <c r="H1303" t="s">
        <v>58</v>
      </c>
      <c r="I1303">
        <v>3</v>
      </c>
      <c r="J1303">
        <v>338844</v>
      </c>
      <c r="K1303">
        <v>2</v>
      </c>
      <c r="L1303">
        <v>996201.36</v>
      </c>
      <c r="M1303" t="s">
        <v>54</v>
      </c>
      <c r="N1303" t="s">
        <v>26</v>
      </c>
      <c r="O1303" t="s">
        <v>44</v>
      </c>
      <c r="P1303" t="s">
        <v>55</v>
      </c>
    </row>
    <row r="1304" spans="1:16" x14ac:dyDescent="0.25">
      <c r="A1304" t="s">
        <v>2257</v>
      </c>
      <c r="B1304" t="s">
        <v>2258</v>
      </c>
      <c r="C1304" t="s">
        <v>19</v>
      </c>
      <c r="D1304" t="s">
        <v>38</v>
      </c>
      <c r="E1304" t="s">
        <v>39</v>
      </c>
      <c r="F1304" t="s">
        <v>40</v>
      </c>
      <c r="G1304" t="s">
        <v>62</v>
      </c>
      <c r="H1304" t="s">
        <v>58</v>
      </c>
      <c r="I1304">
        <v>4</v>
      </c>
      <c r="J1304">
        <v>410992</v>
      </c>
      <c r="K1304">
        <v>12</v>
      </c>
      <c r="L1304">
        <v>1446691.8400000001</v>
      </c>
      <c r="M1304" t="s">
        <v>54</v>
      </c>
      <c r="N1304" t="s">
        <v>69</v>
      </c>
      <c r="O1304" t="s">
        <v>44</v>
      </c>
      <c r="P1304" t="s">
        <v>26</v>
      </c>
    </row>
    <row r="1305" spans="1:16" x14ac:dyDescent="0.25">
      <c r="A1305" t="s">
        <v>2259</v>
      </c>
      <c r="B1305" t="s">
        <v>2171</v>
      </c>
      <c r="C1305" t="s">
        <v>85</v>
      </c>
      <c r="D1305" t="s">
        <v>20</v>
      </c>
      <c r="E1305" t="s">
        <v>21</v>
      </c>
      <c r="F1305" t="s">
        <v>22</v>
      </c>
      <c r="G1305" t="s">
        <v>124</v>
      </c>
      <c r="H1305" t="s">
        <v>34</v>
      </c>
      <c r="I1305">
        <v>8</v>
      </c>
      <c r="J1305">
        <v>524700</v>
      </c>
      <c r="K1305">
        <v>10</v>
      </c>
      <c r="L1305">
        <v>3777840</v>
      </c>
      <c r="M1305" t="s">
        <v>25</v>
      </c>
      <c r="N1305" t="s">
        <v>43</v>
      </c>
      <c r="O1305" t="s">
        <v>27</v>
      </c>
      <c r="P1305" t="s">
        <v>42</v>
      </c>
    </row>
    <row r="1306" spans="1:16" x14ac:dyDescent="0.25">
      <c r="A1306" t="s">
        <v>2260</v>
      </c>
      <c r="B1306" t="s">
        <v>1779</v>
      </c>
      <c r="C1306" t="s">
        <v>85</v>
      </c>
      <c r="D1306" t="s">
        <v>51</v>
      </c>
      <c r="E1306" t="s">
        <v>72</v>
      </c>
      <c r="F1306" t="s">
        <v>22</v>
      </c>
      <c r="G1306" t="s">
        <v>62</v>
      </c>
      <c r="H1306" t="s">
        <v>24</v>
      </c>
      <c r="I1306">
        <v>8</v>
      </c>
      <c r="J1306">
        <v>878546</v>
      </c>
      <c r="K1306">
        <v>5</v>
      </c>
      <c r="L1306">
        <v>6676949.5999999996</v>
      </c>
      <c r="M1306" t="s">
        <v>42</v>
      </c>
      <c r="N1306" t="s">
        <v>43</v>
      </c>
      <c r="O1306" t="s">
        <v>44</v>
      </c>
      <c r="P1306" t="s">
        <v>55</v>
      </c>
    </row>
    <row r="1307" spans="1:16" x14ac:dyDescent="0.25">
      <c r="A1307" t="s">
        <v>2261</v>
      </c>
      <c r="B1307" t="s">
        <v>1190</v>
      </c>
      <c r="C1307" t="s">
        <v>198</v>
      </c>
      <c r="D1307" t="s">
        <v>51</v>
      </c>
      <c r="E1307" t="s">
        <v>48</v>
      </c>
      <c r="F1307" t="s">
        <v>22</v>
      </c>
      <c r="G1307" t="s">
        <v>41</v>
      </c>
      <c r="H1307" t="s">
        <v>53</v>
      </c>
      <c r="I1307">
        <v>2</v>
      </c>
      <c r="J1307">
        <v>284391</v>
      </c>
      <c r="K1307">
        <v>7</v>
      </c>
      <c r="L1307">
        <v>528967.26</v>
      </c>
      <c r="M1307" t="s">
        <v>25</v>
      </c>
      <c r="N1307" t="s">
        <v>26</v>
      </c>
      <c r="O1307" t="s">
        <v>27</v>
      </c>
      <c r="P1307" t="s">
        <v>42</v>
      </c>
    </row>
    <row r="1308" spans="1:16" x14ac:dyDescent="0.25">
      <c r="A1308" t="s">
        <v>2262</v>
      </c>
      <c r="B1308" t="s">
        <v>2263</v>
      </c>
      <c r="C1308" t="s">
        <v>37</v>
      </c>
      <c r="D1308" t="s">
        <v>20</v>
      </c>
      <c r="E1308" t="s">
        <v>21</v>
      </c>
      <c r="F1308" t="s">
        <v>22</v>
      </c>
      <c r="G1308" t="s">
        <v>73</v>
      </c>
      <c r="H1308" t="s">
        <v>58</v>
      </c>
      <c r="I1308">
        <v>7</v>
      </c>
      <c r="J1308">
        <v>799334</v>
      </c>
      <c r="K1308">
        <v>2</v>
      </c>
      <c r="L1308">
        <v>5483431.2400000002</v>
      </c>
      <c r="M1308" t="s">
        <v>42</v>
      </c>
      <c r="N1308" t="s">
        <v>43</v>
      </c>
      <c r="O1308" t="s">
        <v>44</v>
      </c>
      <c r="P1308" t="s">
        <v>42</v>
      </c>
    </row>
    <row r="1309" spans="1:16" x14ac:dyDescent="0.25">
      <c r="A1309" t="s">
        <v>2264</v>
      </c>
      <c r="B1309" t="s">
        <v>1754</v>
      </c>
      <c r="C1309" t="s">
        <v>19</v>
      </c>
      <c r="D1309" t="s">
        <v>30</v>
      </c>
      <c r="E1309" t="s">
        <v>31</v>
      </c>
      <c r="F1309" t="s">
        <v>32</v>
      </c>
      <c r="G1309" t="s">
        <v>62</v>
      </c>
      <c r="H1309" t="s">
        <v>86</v>
      </c>
      <c r="I1309">
        <v>2</v>
      </c>
      <c r="J1309">
        <v>174061</v>
      </c>
      <c r="K1309">
        <v>12</v>
      </c>
      <c r="L1309">
        <v>306347.36</v>
      </c>
      <c r="M1309" t="s">
        <v>42</v>
      </c>
      <c r="N1309" t="s">
        <v>26</v>
      </c>
      <c r="O1309" t="s">
        <v>44</v>
      </c>
      <c r="P1309" t="s">
        <v>26</v>
      </c>
    </row>
    <row r="1310" spans="1:16" x14ac:dyDescent="0.25">
      <c r="A1310" t="s">
        <v>2265</v>
      </c>
      <c r="B1310" t="s">
        <v>781</v>
      </c>
      <c r="C1310" t="s">
        <v>76</v>
      </c>
      <c r="D1310" t="s">
        <v>66</v>
      </c>
      <c r="E1310" t="s">
        <v>67</v>
      </c>
      <c r="F1310" t="s">
        <v>68</v>
      </c>
      <c r="G1310" t="s">
        <v>124</v>
      </c>
      <c r="H1310" t="s">
        <v>24</v>
      </c>
      <c r="I1310">
        <v>4</v>
      </c>
      <c r="J1310">
        <v>248801</v>
      </c>
      <c r="K1310">
        <v>5</v>
      </c>
      <c r="L1310">
        <v>945443.79999999993</v>
      </c>
      <c r="M1310" t="s">
        <v>42</v>
      </c>
      <c r="N1310" t="s">
        <v>69</v>
      </c>
      <c r="O1310" t="s">
        <v>44</v>
      </c>
      <c r="P1310" t="s">
        <v>26</v>
      </c>
    </row>
    <row r="1311" spans="1:16" x14ac:dyDescent="0.25">
      <c r="A1311" t="s">
        <v>2266</v>
      </c>
      <c r="B1311" t="s">
        <v>2267</v>
      </c>
      <c r="C1311" t="s">
        <v>76</v>
      </c>
      <c r="D1311" t="s">
        <v>30</v>
      </c>
      <c r="E1311" t="s">
        <v>31</v>
      </c>
      <c r="F1311" t="s">
        <v>32</v>
      </c>
      <c r="G1311" t="s">
        <v>33</v>
      </c>
      <c r="H1311" t="s">
        <v>53</v>
      </c>
      <c r="I1311">
        <v>1</v>
      </c>
      <c r="J1311">
        <v>626764</v>
      </c>
      <c r="K1311">
        <v>5</v>
      </c>
      <c r="L1311">
        <v>595425.79999999993</v>
      </c>
      <c r="M1311" t="s">
        <v>25</v>
      </c>
      <c r="N1311" t="s">
        <v>69</v>
      </c>
      <c r="O1311" t="s">
        <v>27</v>
      </c>
      <c r="P1311" t="s">
        <v>55</v>
      </c>
    </row>
    <row r="1312" spans="1:16" x14ac:dyDescent="0.25">
      <c r="A1312" t="s">
        <v>2268</v>
      </c>
      <c r="B1312" t="s">
        <v>2269</v>
      </c>
      <c r="C1312" t="s">
        <v>65</v>
      </c>
      <c r="D1312" t="s">
        <v>47</v>
      </c>
      <c r="E1312" t="s">
        <v>72</v>
      </c>
      <c r="F1312" t="s">
        <v>22</v>
      </c>
      <c r="G1312" t="s">
        <v>33</v>
      </c>
      <c r="H1312" t="s">
        <v>86</v>
      </c>
      <c r="I1312">
        <v>6</v>
      </c>
      <c r="J1312">
        <v>361105</v>
      </c>
      <c r="K1312">
        <v>5</v>
      </c>
      <c r="L1312">
        <v>2058298.5</v>
      </c>
      <c r="M1312" t="s">
        <v>42</v>
      </c>
      <c r="N1312" t="s">
        <v>43</v>
      </c>
      <c r="O1312" t="s">
        <v>44</v>
      </c>
      <c r="P1312" t="s">
        <v>55</v>
      </c>
    </row>
    <row r="1313" spans="1:16" x14ac:dyDescent="0.25">
      <c r="A1313" t="s">
        <v>2270</v>
      </c>
      <c r="B1313" t="s">
        <v>793</v>
      </c>
      <c r="C1313" t="s">
        <v>37</v>
      </c>
      <c r="D1313" t="s">
        <v>38</v>
      </c>
      <c r="E1313" t="s">
        <v>39</v>
      </c>
      <c r="F1313" t="s">
        <v>40</v>
      </c>
      <c r="G1313" t="s">
        <v>33</v>
      </c>
      <c r="H1313" t="s">
        <v>24</v>
      </c>
      <c r="I1313">
        <v>1</v>
      </c>
      <c r="J1313">
        <v>90904</v>
      </c>
      <c r="K1313">
        <v>10</v>
      </c>
      <c r="L1313">
        <v>81813.600000000006</v>
      </c>
      <c r="M1313" t="s">
        <v>25</v>
      </c>
      <c r="N1313" t="s">
        <v>26</v>
      </c>
      <c r="O1313" t="s">
        <v>27</v>
      </c>
      <c r="P1313" t="s">
        <v>26</v>
      </c>
    </row>
    <row r="1314" spans="1:16" x14ac:dyDescent="0.25">
      <c r="A1314" t="s">
        <v>2271</v>
      </c>
      <c r="B1314" t="s">
        <v>1506</v>
      </c>
      <c r="C1314" t="s">
        <v>37</v>
      </c>
      <c r="D1314" t="s">
        <v>20</v>
      </c>
      <c r="E1314" t="s">
        <v>21</v>
      </c>
      <c r="F1314" t="s">
        <v>22</v>
      </c>
      <c r="G1314" t="s">
        <v>62</v>
      </c>
      <c r="H1314" t="s">
        <v>34</v>
      </c>
      <c r="I1314">
        <v>7</v>
      </c>
      <c r="J1314">
        <v>432267</v>
      </c>
      <c r="K1314">
        <v>12</v>
      </c>
      <c r="L1314">
        <v>2662764.7200000002</v>
      </c>
      <c r="M1314" t="s">
        <v>42</v>
      </c>
      <c r="N1314" t="s">
        <v>43</v>
      </c>
      <c r="O1314" t="s">
        <v>44</v>
      </c>
      <c r="P1314" t="s">
        <v>26</v>
      </c>
    </row>
    <row r="1315" spans="1:16" x14ac:dyDescent="0.25">
      <c r="A1315" t="s">
        <v>2272</v>
      </c>
      <c r="B1315" t="s">
        <v>2273</v>
      </c>
      <c r="C1315" t="s">
        <v>198</v>
      </c>
      <c r="D1315" t="s">
        <v>47</v>
      </c>
      <c r="E1315" t="s">
        <v>48</v>
      </c>
      <c r="F1315" t="s">
        <v>22</v>
      </c>
      <c r="G1315" t="s">
        <v>33</v>
      </c>
      <c r="H1315" t="s">
        <v>24</v>
      </c>
      <c r="I1315">
        <v>6</v>
      </c>
      <c r="J1315">
        <v>519980</v>
      </c>
      <c r="K1315">
        <v>10</v>
      </c>
      <c r="L1315">
        <v>2807892</v>
      </c>
      <c r="M1315" t="s">
        <v>54</v>
      </c>
      <c r="N1315" t="s">
        <v>26</v>
      </c>
      <c r="O1315" t="s">
        <v>44</v>
      </c>
      <c r="P1315" t="s">
        <v>26</v>
      </c>
    </row>
    <row r="1316" spans="1:16" x14ac:dyDescent="0.25">
      <c r="A1316" t="s">
        <v>2274</v>
      </c>
      <c r="B1316" t="s">
        <v>2075</v>
      </c>
      <c r="C1316" t="s">
        <v>85</v>
      </c>
      <c r="D1316" t="s">
        <v>129</v>
      </c>
      <c r="E1316" t="s">
        <v>39</v>
      </c>
      <c r="F1316" t="s">
        <v>40</v>
      </c>
      <c r="G1316" t="s">
        <v>124</v>
      </c>
      <c r="H1316" t="s">
        <v>53</v>
      </c>
      <c r="I1316">
        <v>7</v>
      </c>
      <c r="J1316">
        <v>265630</v>
      </c>
      <c r="K1316">
        <v>5</v>
      </c>
      <c r="L1316">
        <v>1766439.5</v>
      </c>
      <c r="M1316" t="s">
        <v>42</v>
      </c>
      <c r="N1316" t="s">
        <v>69</v>
      </c>
      <c r="O1316" t="s">
        <v>27</v>
      </c>
      <c r="P1316" t="s">
        <v>42</v>
      </c>
    </row>
    <row r="1317" spans="1:16" x14ac:dyDescent="0.25">
      <c r="A1317" t="s">
        <v>2275</v>
      </c>
      <c r="B1317" t="s">
        <v>981</v>
      </c>
      <c r="C1317" t="s">
        <v>91</v>
      </c>
      <c r="D1317" t="s">
        <v>47</v>
      </c>
      <c r="E1317" t="s">
        <v>48</v>
      </c>
      <c r="F1317" t="s">
        <v>22</v>
      </c>
      <c r="G1317" t="s">
        <v>135</v>
      </c>
      <c r="H1317" t="s">
        <v>34</v>
      </c>
      <c r="I1317">
        <v>7</v>
      </c>
      <c r="J1317">
        <v>344934</v>
      </c>
      <c r="K1317">
        <v>0</v>
      </c>
      <c r="L1317">
        <v>2414538</v>
      </c>
      <c r="M1317" t="s">
        <v>25</v>
      </c>
      <c r="N1317" t="s">
        <v>43</v>
      </c>
      <c r="O1317" t="s">
        <v>27</v>
      </c>
      <c r="P1317" t="s">
        <v>26</v>
      </c>
    </row>
    <row r="1318" spans="1:16" x14ac:dyDescent="0.25">
      <c r="A1318" t="s">
        <v>2276</v>
      </c>
      <c r="B1318" t="s">
        <v>2277</v>
      </c>
      <c r="C1318" t="s">
        <v>65</v>
      </c>
      <c r="D1318" t="s">
        <v>47</v>
      </c>
      <c r="E1318" t="s">
        <v>48</v>
      </c>
      <c r="F1318" t="s">
        <v>22</v>
      </c>
      <c r="G1318" t="s">
        <v>73</v>
      </c>
      <c r="H1318" t="s">
        <v>58</v>
      </c>
      <c r="I1318">
        <v>6</v>
      </c>
      <c r="J1318">
        <v>123623</v>
      </c>
      <c r="K1318">
        <v>5</v>
      </c>
      <c r="L1318">
        <v>704651.1</v>
      </c>
      <c r="M1318" t="s">
        <v>25</v>
      </c>
      <c r="N1318" t="s">
        <v>69</v>
      </c>
      <c r="O1318" t="s">
        <v>44</v>
      </c>
      <c r="P1318" t="s">
        <v>26</v>
      </c>
    </row>
    <row r="1319" spans="1:16" x14ac:dyDescent="0.25">
      <c r="A1319" t="s">
        <v>2278</v>
      </c>
      <c r="B1319" t="s">
        <v>2279</v>
      </c>
      <c r="C1319" t="s">
        <v>79</v>
      </c>
      <c r="D1319" t="s">
        <v>66</v>
      </c>
      <c r="E1319" t="s">
        <v>67</v>
      </c>
      <c r="F1319" t="s">
        <v>68</v>
      </c>
      <c r="G1319" t="s">
        <v>73</v>
      </c>
      <c r="H1319" t="s">
        <v>58</v>
      </c>
      <c r="I1319">
        <v>5</v>
      </c>
      <c r="J1319">
        <v>654920</v>
      </c>
      <c r="K1319">
        <v>5</v>
      </c>
      <c r="L1319">
        <v>3110870</v>
      </c>
      <c r="M1319" t="s">
        <v>42</v>
      </c>
      <c r="N1319" t="s">
        <v>69</v>
      </c>
      <c r="O1319" t="s">
        <v>44</v>
      </c>
      <c r="P1319" t="s">
        <v>42</v>
      </c>
    </row>
    <row r="1320" spans="1:16" x14ac:dyDescent="0.25">
      <c r="A1320" t="s">
        <v>2280</v>
      </c>
      <c r="B1320" t="s">
        <v>685</v>
      </c>
      <c r="C1320" t="s">
        <v>198</v>
      </c>
      <c r="D1320" t="s">
        <v>30</v>
      </c>
      <c r="E1320" t="s">
        <v>31</v>
      </c>
      <c r="F1320" t="s">
        <v>32</v>
      </c>
      <c r="G1320" t="s">
        <v>33</v>
      </c>
      <c r="H1320" t="s">
        <v>53</v>
      </c>
      <c r="I1320">
        <v>6</v>
      </c>
      <c r="J1320">
        <v>252060</v>
      </c>
      <c r="K1320">
        <v>5</v>
      </c>
      <c r="L1320">
        <v>1436742</v>
      </c>
      <c r="M1320" t="s">
        <v>25</v>
      </c>
      <c r="N1320" t="s">
        <v>26</v>
      </c>
      <c r="O1320" t="s">
        <v>27</v>
      </c>
      <c r="P1320" t="s">
        <v>26</v>
      </c>
    </row>
    <row r="1321" spans="1:16" x14ac:dyDescent="0.25">
      <c r="A1321" t="s">
        <v>2281</v>
      </c>
      <c r="B1321" t="s">
        <v>2282</v>
      </c>
      <c r="C1321" t="s">
        <v>79</v>
      </c>
      <c r="D1321" t="s">
        <v>38</v>
      </c>
      <c r="E1321" t="s">
        <v>39</v>
      </c>
      <c r="F1321" t="s">
        <v>40</v>
      </c>
      <c r="G1321" t="s">
        <v>41</v>
      </c>
      <c r="H1321" t="s">
        <v>86</v>
      </c>
      <c r="I1321">
        <v>8</v>
      </c>
      <c r="J1321">
        <v>550662</v>
      </c>
      <c r="K1321">
        <v>7</v>
      </c>
      <c r="L1321">
        <v>4096925.28</v>
      </c>
      <c r="M1321" t="s">
        <v>42</v>
      </c>
      <c r="N1321" t="s">
        <v>69</v>
      </c>
      <c r="O1321" t="s">
        <v>27</v>
      </c>
      <c r="P1321" t="s">
        <v>26</v>
      </c>
    </row>
    <row r="1322" spans="1:16" x14ac:dyDescent="0.25">
      <c r="A1322" t="s">
        <v>2283</v>
      </c>
      <c r="B1322" t="s">
        <v>2284</v>
      </c>
      <c r="C1322" t="s">
        <v>76</v>
      </c>
      <c r="D1322" t="s">
        <v>20</v>
      </c>
      <c r="E1322" t="s">
        <v>21</v>
      </c>
      <c r="F1322" t="s">
        <v>22</v>
      </c>
      <c r="G1322" t="s">
        <v>41</v>
      </c>
      <c r="H1322" t="s">
        <v>24</v>
      </c>
      <c r="I1322">
        <v>3</v>
      </c>
      <c r="J1322">
        <v>803230</v>
      </c>
      <c r="K1322">
        <v>5</v>
      </c>
      <c r="L1322">
        <v>2289205.5</v>
      </c>
      <c r="M1322" t="s">
        <v>42</v>
      </c>
      <c r="N1322" t="s">
        <v>26</v>
      </c>
      <c r="O1322" t="s">
        <v>44</v>
      </c>
      <c r="P1322" t="s">
        <v>55</v>
      </c>
    </row>
    <row r="1323" spans="1:16" x14ac:dyDescent="0.25">
      <c r="A1323" t="s">
        <v>2285</v>
      </c>
      <c r="B1323" t="s">
        <v>2286</v>
      </c>
      <c r="C1323" t="s">
        <v>65</v>
      </c>
      <c r="D1323" t="s">
        <v>20</v>
      </c>
      <c r="E1323" t="s">
        <v>21</v>
      </c>
      <c r="F1323" t="s">
        <v>22</v>
      </c>
      <c r="G1323" t="s">
        <v>41</v>
      </c>
      <c r="H1323" t="s">
        <v>34</v>
      </c>
      <c r="I1323">
        <v>3</v>
      </c>
      <c r="J1323">
        <v>79027</v>
      </c>
      <c r="M1323" t="s">
        <v>42</v>
      </c>
      <c r="N1323" t="s">
        <v>43</v>
      </c>
      <c r="O1323" t="s">
        <v>27</v>
      </c>
      <c r="P1323" t="s">
        <v>26</v>
      </c>
    </row>
    <row r="1324" spans="1:16" x14ac:dyDescent="0.25">
      <c r="A1324" t="s">
        <v>2287</v>
      </c>
      <c r="B1324" t="s">
        <v>2288</v>
      </c>
      <c r="C1324" t="s">
        <v>19</v>
      </c>
      <c r="D1324" t="s">
        <v>30</v>
      </c>
      <c r="E1324" t="s">
        <v>31</v>
      </c>
      <c r="F1324" t="s">
        <v>32</v>
      </c>
      <c r="G1324" t="s">
        <v>52</v>
      </c>
      <c r="H1324" t="s">
        <v>58</v>
      </c>
      <c r="I1324">
        <v>1</v>
      </c>
      <c r="J1324">
        <v>480359</v>
      </c>
      <c r="K1324">
        <v>2</v>
      </c>
      <c r="L1324">
        <v>470751.82</v>
      </c>
      <c r="M1324" t="s">
        <v>42</v>
      </c>
      <c r="N1324" t="s">
        <v>69</v>
      </c>
      <c r="O1324" t="s">
        <v>27</v>
      </c>
      <c r="P1324" t="s">
        <v>55</v>
      </c>
    </row>
    <row r="1325" spans="1:16" x14ac:dyDescent="0.25">
      <c r="A1325" t="s">
        <v>2289</v>
      </c>
      <c r="B1325" t="s">
        <v>2290</v>
      </c>
      <c r="C1325" t="s">
        <v>99</v>
      </c>
      <c r="D1325" t="s">
        <v>129</v>
      </c>
      <c r="E1325" t="s">
        <v>39</v>
      </c>
      <c r="F1325" t="s">
        <v>40</v>
      </c>
      <c r="G1325" t="s">
        <v>23</v>
      </c>
      <c r="H1325" t="s">
        <v>34</v>
      </c>
      <c r="I1325">
        <v>4</v>
      </c>
      <c r="J1325">
        <v>280912</v>
      </c>
      <c r="K1325">
        <v>2</v>
      </c>
      <c r="L1325">
        <v>1101175.04</v>
      </c>
      <c r="M1325" t="s">
        <v>54</v>
      </c>
      <c r="N1325" t="s">
        <v>26</v>
      </c>
      <c r="O1325" t="s">
        <v>27</v>
      </c>
      <c r="P1325" t="s">
        <v>42</v>
      </c>
    </row>
    <row r="1326" spans="1:16" x14ac:dyDescent="0.25">
      <c r="A1326" t="s">
        <v>486</v>
      </c>
      <c r="B1326" t="s">
        <v>1208</v>
      </c>
      <c r="C1326" t="s">
        <v>76</v>
      </c>
      <c r="D1326" t="s">
        <v>47</v>
      </c>
      <c r="E1326" t="s">
        <v>48</v>
      </c>
      <c r="F1326" t="s">
        <v>22</v>
      </c>
      <c r="G1326" t="s">
        <v>52</v>
      </c>
      <c r="H1326" t="s">
        <v>58</v>
      </c>
      <c r="J1326">
        <v>897067</v>
      </c>
      <c r="K1326">
        <v>2</v>
      </c>
      <c r="M1326" t="s">
        <v>54</v>
      </c>
      <c r="N1326" t="s">
        <v>43</v>
      </c>
      <c r="O1326" t="s">
        <v>27</v>
      </c>
      <c r="P1326" t="s">
        <v>26</v>
      </c>
    </row>
    <row r="1327" spans="1:16" x14ac:dyDescent="0.25">
      <c r="A1327" t="s">
        <v>2291</v>
      </c>
      <c r="B1327" t="s">
        <v>2292</v>
      </c>
      <c r="C1327" t="s">
        <v>65</v>
      </c>
      <c r="D1327" t="s">
        <v>66</v>
      </c>
      <c r="E1327" t="s">
        <v>201</v>
      </c>
      <c r="F1327" t="s">
        <v>68</v>
      </c>
      <c r="G1327" t="s">
        <v>52</v>
      </c>
      <c r="H1327" t="s">
        <v>24</v>
      </c>
      <c r="I1327">
        <v>8</v>
      </c>
      <c r="J1327">
        <v>85096</v>
      </c>
      <c r="K1327">
        <v>12</v>
      </c>
      <c r="L1327">
        <v>599075.83999999997</v>
      </c>
      <c r="M1327" t="s">
        <v>54</v>
      </c>
      <c r="N1327" t="s">
        <v>69</v>
      </c>
      <c r="O1327" t="s">
        <v>27</v>
      </c>
      <c r="P1327" t="s">
        <v>26</v>
      </c>
    </row>
    <row r="1328" spans="1:16" x14ac:dyDescent="0.25">
      <c r="A1328" t="s">
        <v>2293</v>
      </c>
      <c r="B1328" t="s">
        <v>1928</v>
      </c>
      <c r="C1328" t="s">
        <v>37</v>
      </c>
      <c r="D1328" t="s">
        <v>66</v>
      </c>
      <c r="E1328" t="s">
        <v>67</v>
      </c>
      <c r="F1328" t="s">
        <v>68</v>
      </c>
      <c r="G1328" t="s">
        <v>73</v>
      </c>
      <c r="H1328" t="s">
        <v>86</v>
      </c>
      <c r="I1328">
        <v>4</v>
      </c>
      <c r="J1328">
        <v>538692</v>
      </c>
      <c r="K1328">
        <v>0</v>
      </c>
      <c r="L1328">
        <v>2154768</v>
      </c>
      <c r="M1328" t="s">
        <v>42</v>
      </c>
      <c r="N1328" t="s">
        <v>43</v>
      </c>
      <c r="O1328" t="s">
        <v>27</v>
      </c>
      <c r="P1328" t="s">
        <v>42</v>
      </c>
    </row>
    <row r="1329" spans="1:16" x14ac:dyDescent="0.25">
      <c r="A1329" t="s">
        <v>2294</v>
      </c>
      <c r="B1329" t="s">
        <v>2295</v>
      </c>
      <c r="C1329" t="s">
        <v>85</v>
      </c>
      <c r="D1329" t="s">
        <v>66</v>
      </c>
      <c r="E1329" t="s">
        <v>67</v>
      </c>
      <c r="F1329" t="s">
        <v>68</v>
      </c>
      <c r="G1329" t="s">
        <v>33</v>
      </c>
      <c r="H1329" t="s">
        <v>86</v>
      </c>
      <c r="I1329">
        <v>7</v>
      </c>
      <c r="J1329">
        <v>196870</v>
      </c>
      <c r="K1329">
        <v>0</v>
      </c>
      <c r="L1329">
        <v>1378090</v>
      </c>
      <c r="M1329" t="s">
        <v>42</v>
      </c>
      <c r="N1329" t="s">
        <v>43</v>
      </c>
      <c r="O1329" t="s">
        <v>44</v>
      </c>
      <c r="P1329" t="s">
        <v>55</v>
      </c>
    </row>
    <row r="1330" spans="1:16" x14ac:dyDescent="0.25">
      <c r="A1330" t="s">
        <v>2296</v>
      </c>
      <c r="B1330" t="s">
        <v>1205</v>
      </c>
      <c r="C1330" t="s">
        <v>37</v>
      </c>
      <c r="D1330" t="s">
        <v>47</v>
      </c>
      <c r="E1330" t="s">
        <v>48</v>
      </c>
      <c r="F1330" t="s">
        <v>22</v>
      </c>
      <c r="G1330" t="s">
        <v>135</v>
      </c>
      <c r="H1330" t="s">
        <v>58</v>
      </c>
      <c r="I1330">
        <v>5</v>
      </c>
      <c r="J1330">
        <v>488143</v>
      </c>
      <c r="K1330">
        <v>5</v>
      </c>
      <c r="L1330">
        <v>2318679.25</v>
      </c>
      <c r="M1330" t="s">
        <v>54</v>
      </c>
      <c r="N1330" t="s">
        <v>26</v>
      </c>
      <c r="O1330" t="s">
        <v>44</v>
      </c>
      <c r="P1330" t="s">
        <v>42</v>
      </c>
    </row>
    <row r="1331" spans="1:16" x14ac:dyDescent="0.25">
      <c r="A1331" t="s">
        <v>2297</v>
      </c>
      <c r="B1331" t="s">
        <v>2298</v>
      </c>
      <c r="C1331" t="s">
        <v>65</v>
      </c>
      <c r="D1331" t="s">
        <v>30</v>
      </c>
      <c r="E1331" t="s">
        <v>31</v>
      </c>
      <c r="F1331" t="s">
        <v>32</v>
      </c>
      <c r="G1331" t="s">
        <v>41</v>
      </c>
      <c r="H1331" t="s">
        <v>86</v>
      </c>
      <c r="I1331">
        <v>6</v>
      </c>
      <c r="J1331">
        <v>874826</v>
      </c>
      <c r="K1331">
        <v>12</v>
      </c>
      <c r="L1331">
        <v>4619081.28</v>
      </c>
      <c r="M1331" t="s">
        <v>25</v>
      </c>
      <c r="N1331" t="s">
        <v>43</v>
      </c>
      <c r="O1331" t="s">
        <v>27</v>
      </c>
      <c r="P1331" t="s">
        <v>55</v>
      </c>
    </row>
    <row r="1332" spans="1:16" x14ac:dyDescent="0.25">
      <c r="A1332" t="s">
        <v>2299</v>
      </c>
      <c r="B1332" t="s">
        <v>156</v>
      </c>
      <c r="C1332" t="s">
        <v>37</v>
      </c>
      <c r="D1332" t="s">
        <v>20</v>
      </c>
      <c r="E1332" t="s">
        <v>21</v>
      </c>
      <c r="F1332" t="s">
        <v>22</v>
      </c>
      <c r="G1332" t="s">
        <v>52</v>
      </c>
      <c r="H1332" t="s">
        <v>53</v>
      </c>
      <c r="I1332">
        <v>1</v>
      </c>
      <c r="J1332">
        <v>245415</v>
      </c>
      <c r="K1332">
        <v>0</v>
      </c>
      <c r="L1332">
        <v>245415</v>
      </c>
      <c r="M1332" t="s">
        <v>25</v>
      </c>
      <c r="N1332" t="s">
        <v>43</v>
      </c>
      <c r="O1332" t="s">
        <v>44</v>
      </c>
      <c r="P1332" t="s">
        <v>55</v>
      </c>
    </row>
    <row r="1333" spans="1:16" x14ac:dyDescent="0.25">
      <c r="A1333" t="s">
        <v>2300</v>
      </c>
      <c r="B1333" t="s">
        <v>1513</v>
      </c>
      <c r="C1333" t="s">
        <v>85</v>
      </c>
      <c r="D1333" t="s">
        <v>66</v>
      </c>
      <c r="E1333" t="s">
        <v>67</v>
      </c>
      <c r="F1333" t="s">
        <v>68</v>
      </c>
      <c r="G1333" t="s">
        <v>33</v>
      </c>
      <c r="H1333" t="s">
        <v>24</v>
      </c>
      <c r="I1333">
        <v>7</v>
      </c>
      <c r="J1333">
        <v>179633</v>
      </c>
      <c r="K1333">
        <v>0</v>
      </c>
      <c r="L1333">
        <v>1257431</v>
      </c>
      <c r="M1333" t="s">
        <v>25</v>
      </c>
      <c r="N1333" t="s">
        <v>43</v>
      </c>
      <c r="O1333" t="s">
        <v>27</v>
      </c>
      <c r="P1333" t="s">
        <v>26</v>
      </c>
    </row>
    <row r="1334" spans="1:16" x14ac:dyDescent="0.25">
      <c r="A1334" t="s">
        <v>2301</v>
      </c>
      <c r="B1334" t="s">
        <v>2302</v>
      </c>
      <c r="C1334" t="s">
        <v>19</v>
      </c>
      <c r="D1334" t="s">
        <v>20</v>
      </c>
      <c r="E1334" t="s">
        <v>21</v>
      </c>
      <c r="F1334" t="s">
        <v>22</v>
      </c>
      <c r="G1334" t="s">
        <v>62</v>
      </c>
      <c r="H1334" t="s">
        <v>58</v>
      </c>
      <c r="I1334">
        <v>2</v>
      </c>
      <c r="J1334">
        <v>171354</v>
      </c>
      <c r="K1334">
        <v>0</v>
      </c>
      <c r="L1334">
        <v>342708</v>
      </c>
      <c r="M1334" t="s">
        <v>25</v>
      </c>
      <c r="N1334" t="s">
        <v>43</v>
      </c>
      <c r="O1334" t="s">
        <v>44</v>
      </c>
      <c r="P1334" t="s">
        <v>26</v>
      </c>
    </row>
    <row r="1335" spans="1:16" x14ac:dyDescent="0.25">
      <c r="A1335" t="s">
        <v>2303</v>
      </c>
      <c r="B1335" t="s">
        <v>2304</v>
      </c>
      <c r="C1335" t="s">
        <v>65</v>
      </c>
      <c r="D1335" t="s">
        <v>66</v>
      </c>
      <c r="E1335" t="s">
        <v>67</v>
      </c>
      <c r="F1335" t="s">
        <v>68</v>
      </c>
      <c r="G1335" t="s">
        <v>73</v>
      </c>
      <c r="H1335" t="s">
        <v>53</v>
      </c>
      <c r="I1335">
        <v>8</v>
      </c>
      <c r="J1335">
        <v>309569</v>
      </c>
      <c r="K1335">
        <v>12</v>
      </c>
      <c r="L1335">
        <v>2179365.7599999998</v>
      </c>
      <c r="M1335" t="s">
        <v>42</v>
      </c>
      <c r="N1335" t="s">
        <v>69</v>
      </c>
      <c r="O1335" t="s">
        <v>27</v>
      </c>
      <c r="P1335" t="s">
        <v>42</v>
      </c>
    </row>
    <row r="1336" spans="1:16" x14ac:dyDescent="0.25">
      <c r="A1336" t="s">
        <v>2305</v>
      </c>
      <c r="B1336" t="s">
        <v>1934</v>
      </c>
      <c r="C1336" t="s">
        <v>37</v>
      </c>
      <c r="D1336" t="s">
        <v>106</v>
      </c>
      <c r="E1336" t="s">
        <v>31</v>
      </c>
      <c r="F1336" t="s">
        <v>32</v>
      </c>
      <c r="G1336" t="s">
        <v>135</v>
      </c>
      <c r="H1336" t="s">
        <v>58</v>
      </c>
      <c r="I1336">
        <v>7</v>
      </c>
      <c r="J1336">
        <v>694925</v>
      </c>
      <c r="K1336">
        <v>0</v>
      </c>
      <c r="L1336">
        <v>4864475</v>
      </c>
      <c r="M1336" t="s">
        <v>25</v>
      </c>
      <c r="N1336" t="s">
        <v>26</v>
      </c>
      <c r="O1336" t="s">
        <v>44</v>
      </c>
      <c r="P1336" t="s">
        <v>55</v>
      </c>
    </row>
    <row r="1337" spans="1:16" x14ac:dyDescent="0.25">
      <c r="A1337" t="s">
        <v>2306</v>
      </c>
      <c r="B1337" t="s">
        <v>894</v>
      </c>
      <c r="C1337" t="s">
        <v>37</v>
      </c>
      <c r="D1337" t="s">
        <v>66</v>
      </c>
      <c r="E1337" t="s">
        <v>67</v>
      </c>
      <c r="F1337" t="s">
        <v>68</v>
      </c>
      <c r="G1337" t="s">
        <v>33</v>
      </c>
      <c r="H1337" t="s">
        <v>58</v>
      </c>
      <c r="J1337">
        <v>824378</v>
      </c>
      <c r="K1337">
        <v>2</v>
      </c>
      <c r="M1337" t="s">
        <v>42</v>
      </c>
      <c r="N1337" t="s">
        <v>69</v>
      </c>
      <c r="O1337" t="s">
        <v>44</v>
      </c>
      <c r="P1337" t="s">
        <v>26</v>
      </c>
    </row>
    <row r="1338" spans="1:16" x14ac:dyDescent="0.25">
      <c r="A1338" t="s">
        <v>2307</v>
      </c>
      <c r="B1338" t="s">
        <v>114</v>
      </c>
      <c r="C1338" t="s">
        <v>85</v>
      </c>
      <c r="D1338" t="s">
        <v>129</v>
      </c>
      <c r="E1338" t="s">
        <v>39</v>
      </c>
      <c r="F1338" t="s">
        <v>40</v>
      </c>
      <c r="G1338" t="s">
        <v>33</v>
      </c>
      <c r="H1338" t="s">
        <v>24</v>
      </c>
      <c r="I1338">
        <v>2</v>
      </c>
      <c r="J1338">
        <v>683652</v>
      </c>
      <c r="K1338">
        <v>10</v>
      </c>
      <c r="L1338">
        <v>1230573.6000000001</v>
      </c>
      <c r="M1338" t="s">
        <v>25</v>
      </c>
      <c r="N1338" t="s">
        <v>69</v>
      </c>
      <c r="O1338" t="s">
        <v>44</v>
      </c>
      <c r="P1338" t="s">
        <v>55</v>
      </c>
    </row>
    <row r="1339" spans="1:16" x14ac:dyDescent="0.25">
      <c r="A1339" t="s">
        <v>2308</v>
      </c>
      <c r="B1339" t="s">
        <v>2309</v>
      </c>
      <c r="C1339" t="s">
        <v>99</v>
      </c>
      <c r="D1339" t="s">
        <v>20</v>
      </c>
      <c r="E1339" t="s">
        <v>21</v>
      </c>
      <c r="F1339" t="s">
        <v>22</v>
      </c>
      <c r="G1339" t="s">
        <v>62</v>
      </c>
      <c r="H1339" t="s">
        <v>24</v>
      </c>
      <c r="I1339">
        <v>7</v>
      </c>
      <c r="J1339">
        <v>533974</v>
      </c>
      <c r="K1339">
        <v>0</v>
      </c>
      <c r="L1339">
        <v>3737818</v>
      </c>
      <c r="M1339" t="s">
        <v>42</v>
      </c>
      <c r="N1339" t="s">
        <v>69</v>
      </c>
      <c r="O1339" t="s">
        <v>27</v>
      </c>
      <c r="P1339" t="s">
        <v>26</v>
      </c>
    </row>
    <row r="1340" spans="1:16" x14ac:dyDescent="0.25">
      <c r="A1340" t="s">
        <v>2310</v>
      </c>
      <c r="B1340" t="s">
        <v>2311</v>
      </c>
      <c r="C1340" t="s">
        <v>65</v>
      </c>
      <c r="D1340" t="s">
        <v>38</v>
      </c>
      <c r="E1340" t="s">
        <v>39</v>
      </c>
      <c r="F1340" t="s">
        <v>40</v>
      </c>
      <c r="G1340" t="s">
        <v>52</v>
      </c>
      <c r="H1340" t="s">
        <v>58</v>
      </c>
      <c r="I1340">
        <v>2</v>
      </c>
      <c r="J1340">
        <v>150248</v>
      </c>
      <c r="K1340">
        <v>5</v>
      </c>
      <c r="L1340">
        <v>285471.2</v>
      </c>
      <c r="M1340" t="s">
        <v>42</v>
      </c>
      <c r="N1340" t="s">
        <v>26</v>
      </c>
      <c r="O1340" t="s">
        <v>27</v>
      </c>
      <c r="P1340" t="s">
        <v>55</v>
      </c>
    </row>
    <row r="1341" spans="1:16" x14ac:dyDescent="0.25">
      <c r="A1341" t="s">
        <v>2312</v>
      </c>
      <c r="B1341" t="s">
        <v>2313</v>
      </c>
      <c r="C1341" t="s">
        <v>65</v>
      </c>
      <c r="D1341" t="s">
        <v>30</v>
      </c>
      <c r="E1341" t="s">
        <v>31</v>
      </c>
      <c r="F1341" t="s">
        <v>32</v>
      </c>
      <c r="G1341" t="s">
        <v>73</v>
      </c>
      <c r="H1341" t="s">
        <v>58</v>
      </c>
      <c r="I1341">
        <v>5</v>
      </c>
      <c r="J1341">
        <v>780932</v>
      </c>
      <c r="M1341" t="s">
        <v>25</v>
      </c>
      <c r="N1341" t="s">
        <v>69</v>
      </c>
      <c r="O1341" t="s">
        <v>44</v>
      </c>
      <c r="P1341" t="s">
        <v>26</v>
      </c>
    </row>
    <row r="1342" spans="1:16" x14ac:dyDescent="0.25">
      <c r="A1342" t="s">
        <v>2314</v>
      </c>
      <c r="B1342" t="s">
        <v>2315</v>
      </c>
      <c r="C1342" t="s">
        <v>65</v>
      </c>
      <c r="D1342" t="s">
        <v>38</v>
      </c>
      <c r="E1342" t="s">
        <v>130</v>
      </c>
      <c r="F1342" t="s">
        <v>40</v>
      </c>
      <c r="G1342" t="s">
        <v>94</v>
      </c>
      <c r="H1342" t="s">
        <v>86</v>
      </c>
      <c r="I1342">
        <v>4</v>
      </c>
      <c r="J1342">
        <v>391114</v>
      </c>
      <c r="K1342">
        <v>5</v>
      </c>
      <c r="L1342">
        <v>1486233.2</v>
      </c>
      <c r="M1342" t="s">
        <v>54</v>
      </c>
      <c r="N1342" t="s">
        <v>43</v>
      </c>
      <c r="O1342" t="s">
        <v>44</v>
      </c>
      <c r="P1342" t="s">
        <v>55</v>
      </c>
    </row>
    <row r="1343" spans="1:16" x14ac:dyDescent="0.25">
      <c r="A1343" t="s">
        <v>2316</v>
      </c>
      <c r="B1343" t="s">
        <v>2317</v>
      </c>
      <c r="C1343" t="s">
        <v>37</v>
      </c>
      <c r="D1343" t="s">
        <v>66</v>
      </c>
      <c r="E1343" t="s">
        <v>67</v>
      </c>
      <c r="F1343" t="s">
        <v>68</v>
      </c>
      <c r="G1343" t="s">
        <v>73</v>
      </c>
      <c r="H1343" t="s">
        <v>58</v>
      </c>
      <c r="I1343">
        <v>6</v>
      </c>
      <c r="J1343">
        <v>824859</v>
      </c>
      <c r="K1343">
        <v>7</v>
      </c>
      <c r="L1343">
        <v>4602713.22</v>
      </c>
      <c r="M1343" t="s">
        <v>42</v>
      </c>
      <c r="N1343" t="s">
        <v>69</v>
      </c>
      <c r="O1343" t="s">
        <v>27</v>
      </c>
      <c r="P1343" t="s">
        <v>55</v>
      </c>
    </row>
    <row r="1344" spans="1:16" x14ac:dyDescent="0.25">
      <c r="A1344" t="s">
        <v>2318</v>
      </c>
      <c r="B1344" t="s">
        <v>2319</v>
      </c>
      <c r="C1344" t="s">
        <v>198</v>
      </c>
      <c r="D1344" t="s">
        <v>38</v>
      </c>
      <c r="E1344" t="s">
        <v>39</v>
      </c>
      <c r="F1344" t="s">
        <v>40</v>
      </c>
      <c r="G1344" t="s">
        <v>33</v>
      </c>
      <c r="H1344" t="s">
        <v>34</v>
      </c>
      <c r="I1344">
        <v>4</v>
      </c>
      <c r="J1344">
        <v>606806</v>
      </c>
      <c r="K1344">
        <v>12</v>
      </c>
      <c r="L1344">
        <v>2135957.12</v>
      </c>
      <c r="M1344" t="s">
        <v>42</v>
      </c>
      <c r="N1344" t="s">
        <v>43</v>
      </c>
      <c r="O1344" t="s">
        <v>44</v>
      </c>
      <c r="P1344" t="s">
        <v>55</v>
      </c>
    </row>
    <row r="1345" spans="1:16" x14ac:dyDescent="0.25">
      <c r="A1345" t="s">
        <v>2320</v>
      </c>
      <c r="B1345" t="s">
        <v>380</v>
      </c>
      <c r="C1345" t="s">
        <v>79</v>
      </c>
      <c r="D1345" t="s">
        <v>30</v>
      </c>
      <c r="E1345" t="s">
        <v>31</v>
      </c>
      <c r="F1345" t="s">
        <v>32</v>
      </c>
      <c r="G1345" t="s">
        <v>33</v>
      </c>
      <c r="H1345" t="s">
        <v>34</v>
      </c>
      <c r="I1345">
        <v>1</v>
      </c>
      <c r="J1345">
        <v>162648</v>
      </c>
      <c r="K1345">
        <v>12</v>
      </c>
      <c r="L1345">
        <v>143130.23999999999</v>
      </c>
      <c r="M1345" t="s">
        <v>25</v>
      </c>
      <c r="N1345" t="s">
        <v>26</v>
      </c>
      <c r="O1345" t="s">
        <v>44</v>
      </c>
      <c r="P1345" t="s">
        <v>26</v>
      </c>
    </row>
    <row r="1346" spans="1:16" x14ac:dyDescent="0.25">
      <c r="A1346" t="s">
        <v>2321</v>
      </c>
      <c r="B1346" t="s">
        <v>345</v>
      </c>
      <c r="C1346" t="s">
        <v>19</v>
      </c>
      <c r="D1346" t="s">
        <v>66</v>
      </c>
      <c r="E1346" t="s">
        <v>67</v>
      </c>
      <c r="F1346" t="s">
        <v>68</v>
      </c>
      <c r="G1346" t="s">
        <v>33</v>
      </c>
      <c r="H1346" t="s">
        <v>53</v>
      </c>
      <c r="I1346">
        <v>8</v>
      </c>
      <c r="J1346">
        <v>573801</v>
      </c>
      <c r="K1346">
        <v>12</v>
      </c>
      <c r="L1346">
        <v>4039559.04</v>
      </c>
      <c r="M1346" t="s">
        <v>42</v>
      </c>
      <c r="N1346" t="s">
        <v>43</v>
      </c>
      <c r="O1346" t="s">
        <v>44</v>
      </c>
      <c r="P1346" t="s">
        <v>55</v>
      </c>
    </row>
    <row r="1347" spans="1:16" x14ac:dyDescent="0.25">
      <c r="A1347" t="s">
        <v>2322</v>
      </c>
      <c r="B1347" t="s">
        <v>2323</v>
      </c>
      <c r="C1347" t="s">
        <v>19</v>
      </c>
      <c r="D1347" t="s">
        <v>38</v>
      </c>
      <c r="E1347" t="s">
        <v>39</v>
      </c>
      <c r="F1347" t="s">
        <v>40</v>
      </c>
      <c r="G1347" t="s">
        <v>73</v>
      </c>
      <c r="H1347" t="s">
        <v>24</v>
      </c>
      <c r="I1347">
        <v>1</v>
      </c>
      <c r="J1347">
        <v>198805</v>
      </c>
      <c r="K1347">
        <v>7</v>
      </c>
      <c r="L1347">
        <v>184888.65</v>
      </c>
      <c r="M1347" t="s">
        <v>54</v>
      </c>
      <c r="N1347" t="s">
        <v>43</v>
      </c>
      <c r="O1347" t="s">
        <v>27</v>
      </c>
      <c r="P1347" t="s">
        <v>42</v>
      </c>
    </row>
    <row r="1348" spans="1:16" x14ac:dyDescent="0.25">
      <c r="A1348" t="s">
        <v>2324</v>
      </c>
      <c r="B1348" t="s">
        <v>1238</v>
      </c>
      <c r="C1348" t="s">
        <v>65</v>
      </c>
      <c r="D1348" t="s">
        <v>47</v>
      </c>
      <c r="E1348" t="s">
        <v>72</v>
      </c>
      <c r="F1348" t="s">
        <v>22</v>
      </c>
      <c r="G1348" t="s">
        <v>94</v>
      </c>
      <c r="H1348" t="s">
        <v>58</v>
      </c>
      <c r="I1348">
        <v>4</v>
      </c>
      <c r="J1348">
        <v>714893</v>
      </c>
      <c r="K1348">
        <v>2</v>
      </c>
      <c r="L1348">
        <v>2802380.56</v>
      </c>
      <c r="M1348" t="s">
        <v>25</v>
      </c>
      <c r="N1348" t="s">
        <v>43</v>
      </c>
      <c r="O1348" t="s">
        <v>44</v>
      </c>
      <c r="P1348" t="s">
        <v>42</v>
      </c>
    </row>
    <row r="1349" spans="1:16" x14ac:dyDescent="0.25">
      <c r="A1349" t="s">
        <v>2325</v>
      </c>
      <c r="B1349" t="s">
        <v>2326</v>
      </c>
      <c r="C1349" t="s">
        <v>198</v>
      </c>
      <c r="D1349" t="s">
        <v>66</v>
      </c>
      <c r="E1349" t="s">
        <v>67</v>
      </c>
      <c r="F1349" t="s">
        <v>68</v>
      </c>
      <c r="G1349" t="s">
        <v>62</v>
      </c>
      <c r="H1349" t="s">
        <v>24</v>
      </c>
      <c r="I1349">
        <v>1</v>
      </c>
      <c r="J1349">
        <v>368626</v>
      </c>
      <c r="K1349">
        <v>12</v>
      </c>
      <c r="L1349">
        <v>324390.88</v>
      </c>
      <c r="M1349" t="s">
        <v>25</v>
      </c>
      <c r="N1349" t="s">
        <v>43</v>
      </c>
      <c r="O1349" t="s">
        <v>44</v>
      </c>
      <c r="P1349" t="s">
        <v>42</v>
      </c>
    </row>
    <row r="1350" spans="1:16" x14ac:dyDescent="0.25">
      <c r="A1350" t="s">
        <v>2327</v>
      </c>
      <c r="B1350" t="s">
        <v>2311</v>
      </c>
      <c r="C1350" t="s">
        <v>65</v>
      </c>
      <c r="D1350" t="s">
        <v>30</v>
      </c>
      <c r="E1350" t="s">
        <v>31</v>
      </c>
      <c r="F1350" t="s">
        <v>32</v>
      </c>
      <c r="G1350" t="s">
        <v>41</v>
      </c>
      <c r="H1350" t="s">
        <v>53</v>
      </c>
      <c r="I1350">
        <v>1</v>
      </c>
      <c r="J1350">
        <v>224317</v>
      </c>
      <c r="M1350" t="s">
        <v>42</v>
      </c>
      <c r="N1350" t="s">
        <v>43</v>
      </c>
      <c r="O1350" t="s">
        <v>44</v>
      </c>
      <c r="P1350" t="s">
        <v>26</v>
      </c>
    </row>
    <row r="1351" spans="1:16" x14ac:dyDescent="0.25">
      <c r="A1351" t="s">
        <v>2328</v>
      </c>
      <c r="B1351" t="s">
        <v>311</v>
      </c>
      <c r="C1351" t="s">
        <v>19</v>
      </c>
      <c r="D1351" t="s">
        <v>47</v>
      </c>
      <c r="E1351" t="s">
        <v>72</v>
      </c>
      <c r="F1351" t="s">
        <v>22</v>
      </c>
      <c r="G1351" t="s">
        <v>73</v>
      </c>
      <c r="H1351" t="s">
        <v>86</v>
      </c>
      <c r="I1351">
        <v>8</v>
      </c>
      <c r="J1351">
        <v>299051</v>
      </c>
      <c r="K1351">
        <v>12</v>
      </c>
      <c r="L1351">
        <v>2105319.04</v>
      </c>
      <c r="M1351" t="s">
        <v>42</v>
      </c>
      <c r="N1351" t="s">
        <v>26</v>
      </c>
      <c r="O1351" t="s">
        <v>27</v>
      </c>
      <c r="P1351" t="s">
        <v>26</v>
      </c>
    </row>
    <row r="1352" spans="1:16" x14ac:dyDescent="0.25">
      <c r="A1352" t="s">
        <v>2329</v>
      </c>
      <c r="B1352" t="s">
        <v>221</v>
      </c>
      <c r="C1352" t="s">
        <v>198</v>
      </c>
      <c r="D1352" t="s">
        <v>30</v>
      </c>
      <c r="E1352" t="s">
        <v>31</v>
      </c>
      <c r="F1352" t="s">
        <v>32</v>
      </c>
      <c r="G1352" t="s">
        <v>62</v>
      </c>
      <c r="H1352" t="s">
        <v>24</v>
      </c>
      <c r="I1352">
        <v>8</v>
      </c>
      <c r="J1352">
        <v>515209</v>
      </c>
      <c r="K1352">
        <v>12</v>
      </c>
      <c r="L1352">
        <v>3627071.36</v>
      </c>
      <c r="M1352" t="s">
        <v>42</v>
      </c>
      <c r="N1352" t="s">
        <v>69</v>
      </c>
      <c r="O1352" t="s">
        <v>27</v>
      </c>
      <c r="P1352" t="s">
        <v>55</v>
      </c>
    </row>
    <row r="1353" spans="1:16" x14ac:dyDescent="0.25">
      <c r="A1353" t="s">
        <v>2330</v>
      </c>
      <c r="B1353" t="s">
        <v>2286</v>
      </c>
      <c r="C1353" t="s">
        <v>79</v>
      </c>
      <c r="D1353" t="s">
        <v>119</v>
      </c>
      <c r="E1353" t="s">
        <v>21</v>
      </c>
      <c r="F1353" t="s">
        <v>22</v>
      </c>
      <c r="G1353" t="s">
        <v>33</v>
      </c>
      <c r="H1353" t="s">
        <v>53</v>
      </c>
      <c r="I1353">
        <v>5</v>
      </c>
      <c r="J1353">
        <v>704298</v>
      </c>
      <c r="K1353">
        <v>2</v>
      </c>
      <c r="L1353">
        <v>3451060.2</v>
      </c>
      <c r="M1353" t="s">
        <v>42</v>
      </c>
      <c r="N1353" t="s">
        <v>69</v>
      </c>
      <c r="O1353" t="s">
        <v>44</v>
      </c>
      <c r="P1353" t="s">
        <v>42</v>
      </c>
    </row>
    <row r="1354" spans="1:16" x14ac:dyDescent="0.25">
      <c r="A1354" t="s">
        <v>2331</v>
      </c>
      <c r="B1354" t="s">
        <v>1866</v>
      </c>
      <c r="C1354" t="s">
        <v>37</v>
      </c>
      <c r="D1354" t="s">
        <v>20</v>
      </c>
      <c r="E1354" t="s">
        <v>21</v>
      </c>
      <c r="F1354" t="s">
        <v>22</v>
      </c>
      <c r="G1354" t="s">
        <v>41</v>
      </c>
      <c r="H1354" t="s">
        <v>34</v>
      </c>
      <c r="I1354">
        <v>5</v>
      </c>
      <c r="J1354">
        <v>396633</v>
      </c>
      <c r="K1354">
        <v>5</v>
      </c>
      <c r="L1354">
        <v>1884006.75</v>
      </c>
      <c r="M1354" t="s">
        <v>42</v>
      </c>
      <c r="N1354" t="s">
        <v>43</v>
      </c>
      <c r="O1354" t="s">
        <v>27</v>
      </c>
      <c r="P1354" t="s">
        <v>26</v>
      </c>
    </row>
    <row r="1355" spans="1:16" x14ac:dyDescent="0.25">
      <c r="A1355" t="s">
        <v>2332</v>
      </c>
      <c r="B1355" t="s">
        <v>2333</v>
      </c>
      <c r="C1355" t="s">
        <v>76</v>
      </c>
      <c r="D1355" t="s">
        <v>51</v>
      </c>
      <c r="E1355" t="s">
        <v>48</v>
      </c>
      <c r="F1355" t="s">
        <v>22</v>
      </c>
      <c r="G1355" t="s">
        <v>62</v>
      </c>
      <c r="H1355" t="s">
        <v>53</v>
      </c>
      <c r="I1355">
        <v>8</v>
      </c>
      <c r="J1355">
        <v>541686</v>
      </c>
      <c r="K1355">
        <v>2</v>
      </c>
      <c r="L1355">
        <v>4246818.24</v>
      </c>
      <c r="M1355" t="s">
        <v>42</v>
      </c>
      <c r="N1355" t="s">
        <v>26</v>
      </c>
      <c r="O1355" t="s">
        <v>27</v>
      </c>
      <c r="P1355" t="s">
        <v>55</v>
      </c>
    </row>
    <row r="1356" spans="1:16" x14ac:dyDescent="0.25">
      <c r="A1356" t="s">
        <v>2334</v>
      </c>
      <c r="B1356" t="s">
        <v>1168</v>
      </c>
      <c r="C1356" t="s">
        <v>76</v>
      </c>
      <c r="D1356" t="s">
        <v>20</v>
      </c>
      <c r="E1356" t="s">
        <v>21</v>
      </c>
      <c r="F1356" t="s">
        <v>22</v>
      </c>
      <c r="G1356" t="s">
        <v>124</v>
      </c>
      <c r="H1356" t="s">
        <v>53</v>
      </c>
      <c r="I1356">
        <v>7</v>
      </c>
      <c r="J1356">
        <v>728428</v>
      </c>
      <c r="K1356">
        <v>7</v>
      </c>
      <c r="L1356">
        <v>4742066.2799999993</v>
      </c>
      <c r="M1356" t="s">
        <v>42</v>
      </c>
      <c r="N1356" t="s">
        <v>69</v>
      </c>
      <c r="O1356" t="s">
        <v>44</v>
      </c>
      <c r="P1356" t="s">
        <v>55</v>
      </c>
    </row>
    <row r="1357" spans="1:16" x14ac:dyDescent="0.25">
      <c r="A1357" t="s">
        <v>2335</v>
      </c>
      <c r="B1357" t="s">
        <v>112</v>
      </c>
      <c r="C1357" t="s">
        <v>99</v>
      </c>
      <c r="D1357" t="s">
        <v>129</v>
      </c>
      <c r="E1357" t="s">
        <v>39</v>
      </c>
      <c r="F1357" t="s">
        <v>40</v>
      </c>
      <c r="G1357" t="s">
        <v>62</v>
      </c>
      <c r="H1357" t="s">
        <v>34</v>
      </c>
      <c r="I1357">
        <v>8</v>
      </c>
      <c r="J1357">
        <v>767165</v>
      </c>
      <c r="K1357">
        <v>7</v>
      </c>
      <c r="L1357">
        <v>5707707.5999999996</v>
      </c>
      <c r="M1357" t="s">
        <v>54</v>
      </c>
      <c r="N1357" t="s">
        <v>26</v>
      </c>
      <c r="O1357" t="s">
        <v>27</v>
      </c>
      <c r="P1357" t="s">
        <v>42</v>
      </c>
    </row>
    <row r="1358" spans="1:16" x14ac:dyDescent="0.25">
      <c r="A1358" t="s">
        <v>2336</v>
      </c>
      <c r="B1358" t="s">
        <v>2337</v>
      </c>
      <c r="C1358" t="s">
        <v>85</v>
      </c>
      <c r="D1358" t="s">
        <v>154</v>
      </c>
      <c r="E1358" t="s">
        <v>67</v>
      </c>
      <c r="F1358" t="s">
        <v>68</v>
      </c>
      <c r="G1358" t="s">
        <v>33</v>
      </c>
      <c r="H1358" t="s">
        <v>53</v>
      </c>
      <c r="I1358">
        <v>8</v>
      </c>
      <c r="J1358">
        <v>369452</v>
      </c>
      <c r="K1358">
        <v>7</v>
      </c>
      <c r="L1358">
        <v>2748722.88</v>
      </c>
      <c r="M1358" t="s">
        <v>42</v>
      </c>
      <c r="N1358" t="s">
        <v>43</v>
      </c>
      <c r="O1358" t="s">
        <v>44</v>
      </c>
      <c r="P1358" t="s">
        <v>26</v>
      </c>
    </row>
    <row r="1359" spans="1:16" x14ac:dyDescent="0.25">
      <c r="A1359" t="s">
        <v>2338</v>
      </c>
      <c r="B1359" t="s">
        <v>2339</v>
      </c>
      <c r="C1359" t="s">
        <v>65</v>
      </c>
      <c r="D1359" t="s">
        <v>38</v>
      </c>
      <c r="E1359" t="s">
        <v>39</v>
      </c>
      <c r="F1359" t="s">
        <v>40</v>
      </c>
      <c r="G1359" t="s">
        <v>73</v>
      </c>
      <c r="H1359" t="s">
        <v>86</v>
      </c>
      <c r="I1359">
        <v>5</v>
      </c>
      <c r="J1359">
        <v>171437</v>
      </c>
      <c r="K1359">
        <v>7</v>
      </c>
      <c r="L1359">
        <v>797182.04999999993</v>
      </c>
      <c r="M1359" t="s">
        <v>54</v>
      </c>
      <c r="N1359" t="s">
        <v>69</v>
      </c>
      <c r="O1359" t="s">
        <v>44</v>
      </c>
      <c r="P1359" t="s">
        <v>55</v>
      </c>
    </row>
    <row r="1360" spans="1:16" x14ac:dyDescent="0.25">
      <c r="A1360" t="s">
        <v>2340</v>
      </c>
      <c r="B1360" t="s">
        <v>2341</v>
      </c>
      <c r="C1360" t="s">
        <v>19</v>
      </c>
      <c r="D1360" t="s">
        <v>66</v>
      </c>
      <c r="E1360" t="s">
        <v>67</v>
      </c>
      <c r="F1360" t="s">
        <v>68</v>
      </c>
      <c r="G1360" t="s">
        <v>52</v>
      </c>
      <c r="H1360" t="s">
        <v>58</v>
      </c>
      <c r="I1360">
        <v>8</v>
      </c>
      <c r="J1360">
        <v>569022</v>
      </c>
      <c r="K1360">
        <v>2</v>
      </c>
      <c r="L1360">
        <v>4461132.4800000004</v>
      </c>
      <c r="M1360" t="s">
        <v>25</v>
      </c>
      <c r="N1360" t="s">
        <v>69</v>
      </c>
      <c r="O1360" t="s">
        <v>44</v>
      </c>
      <c r="P1360" t="s">
        <v>55</v>
      </c>
    </row>
    <row r="1361" spans="1:16" x14ac:dyDescent="0.25">
      <c r="A1361" t="s">
        <v>2342</v>
      </c>
      <c r="B1361" t="s">
        <v>2343</v>
      </c>
      <c r="C1361" t="s">
        <v>85</v>
      </c>
      <c r="D1361" t="s">
        <v>119</v>
      </c>
      <c r="E1361" t="s">
        <v>21</v>
      </c>
      <c r="F1361" t="s">
        <v>22</v>
      </c>
      <c r="G1361" t="s">
        <v>135</v>
      </c>
      <c r="H1361" t="s">
        <v>53</v>
      </c>
      <c r="I1361">
        <v>2</v>
      </c>
      <c r="J1361">
        <v>484600</v>
      </c>
      <c r="K1361">
        <v>0</v>
      </c>
      <c r="L1361">
        <v>981545</v>
      </c>
      <c r="M1361" t="s">
        <v>42</v>
      </c>
      <c r="N1361" t="s">
        <v>69</v>
      </c>
      <c r="O1361" t="s">
        <v>27</v>
      </c>
      <c r="P1361" t="s">
        <v>55</v>
      </c>
    </row>
    <row r="1362" spans="1:16" x14ac:dyDescent="0.25">
      <c r="A1362" t="s">
        <v>2344</v>
      </c>
      <c r="B1362" t="s">
        <v>2345</v>
      </c>
      <c r="C1362" t="s">
        <v>37</v>
      </c>
      <c r="D1362" t="s">
        <v>47</v>
      </c>
      <c r="E1362" t="s">
        <v>48</v>
      </c>
      <c r="F1362" t="s">
        <v>22</v>
      </c>
      <c r="G1362" t="s">
        <v>23</v>
      </c>
      <c r="H1362" t="s">
        <v>53</v>
      </c>
      <c r="I1362">
        <v>3</v>
      </c>
      <c r="J1362">
        <v>458777</v>
      </c>
      <c r="K1362">
        <v>0</v>
      </c>
      <c r="L1362">
        <v>1376331</v>
      </c>
      <c r="M1362" t="s">
        <v>25</v>
      </c>
      <c r="N1362" t="s">
        <v>69</v>
      </c>
      <c r="O1362" t="s">
        <v>27</v>
      </c>
      <c r="P1362" t="s">
        <v>55</v>
      </c>
    </row>
    <row r="1363" spans="1:16" x14ac:dyDescent="0.25">
      <c r="A1363" t="s">
        <v>2346</v>
      </c>
      <c r="B1363" t="s">
        <v>2347</v>
      </c>
      <c r="C1363" t="s">
        <v>19</v>
      </c>
      <c r="D1363" t="s">
        <v>20</v>
      </c>
      <c r="E1363" t="s">
        <v>21</v>
      </c>
      <c r="F1363" t="s">
        <v>22</v>
      </c>
      <c r="G1363" t="s">
        <v>52</v>
      </c>
      <c r="H1363" t="s">
        <v>34</v>
      </c>
      <c r="I1363">
        <v>8</v>
      </c>
      <c r="J1363">
        <v>566434</v>
      </c>
      <c r="K1363">
        <v>7</v>
      </c>
      <c r="L1363">
        <v>4214268.96</v>
      </c>
      <c r="M1363" t="s">
        <v>42</v>
      </c>
      <c r="N1363" t="s">
        <v>69</v>
      </c>
      <c r="O1363" t="s">
        <v>27</v>
      </c>
      <c r="P1363" t="s">
        <v>26</v>
      </c>
    </row>
    <row r="1364" spans="1:16" x14ac:dyDescent="0.25">
      <c r="A1364" t="s">
        <v>2348</v>
      </c>
      <c r="B1364" t="s">
        <v>2349</v>
      </c>
      <c r="C1364" t="s">
        <v>85</v>
      </c>
      <c r="D1364" t="s">
        <v>47</v>
      </c>
      <c r="E1364" t="s">
        <v>48</v>
      </c>
      <c r="F1364" t="s">
        <v>22</v>
      </c>
      <c r="G1364" t="s">
        <v>73</v>
      </c>
      <c r="H1364" t="s">
        <v>58</v>
      </c>
      <c r="I1364">
        <v>5</v>
      </c>
      <c r="J1364">
        <v>432790</v>
      </c>
      <c r="K1364">
        <v>10</v>
      </c>
      <c r="L1364">
        <v>1947555</v>
      </c>
      <c r="M1364" t="s">
        <v>25</v>
      </c>
      <c r="N1364" t="s">
        <v>69</v>
      </c>
      <c r="O1364" t="s">
        <v>27</v>
      </c>
      <c r="P1364" t="s">
        <v>55</v>
      </c>
    </row>
    <row r="1365" spans="1:16" x14ac:dyDescent="0.25">
      <c r="A1365" t="s">
        <v>2350</v>
      </c>
      <c r="B1365" t="s">
        <v>2351</v>
      </c>
      <c r="C1365" t="s">
        <v>37</v>
      </c>
      <c r="D1365" t="s">
        <v>66</v>
      </c>
      <c r="E1365" t="s">
        <v>67</v>
      </c>
      <c r="F1365" t="s">
        <v>68</v>
      </c>
      <c r="G1365" t="s">
        <v>62</v>
      </c>
      <c r="H1365" t="s">
        <v>34</v>
      </c>
      <c r="I1365">
        <v>3</v>
      </c>
      <c r="J1365">
        <v>530608</v>
      </c>
      <c r="K1365">
        <v>12</v>
      </c>
      <c r="L1365">
        <v>1400805.12</v>
      </c>
      <c r="M1365" t="s">
        <v>42</v>
      </c>
      <c r="N1365" t="s">
        <v>43</v>
      </c>
      <c r="O1365" t="s">
        <v>27</v>
      </c>
      <c r="P1365" t="s">
        <v>26</v>
      </c>
    </row>
    <row r="1366" spans="1:16" x14ac:dyDescent="0.25">
      <c r="A1366" t="s">
        <v>2352</v>
      </c>
      <c r="B1366" t="s">
        <v>2353</v>
      </c>
      <c r="C1366" t="s">
        <v>61</v>
      </c>
      <c r="D1366" t="s">
        <v>47</v>
      </c>
      <c r="E1366" t="s">
        <v>48</v>
      </c>
      <c r="F1366" t="s">
        <v>22</v>
      </c>
      <c r="G1366" t="s">
        <v>33</v>
      </c>
      <c r="H1366" t="s">
        <v>58</v>
      </c>
      <c r="I1366">
        <v>3</v>
      </c>
      <c r="J1366">
        <v>654966</v>
      </c>
      <c r="K1366">
        <v>2</v>
      </c>
      <c r="L1366">
        <v>1925600.04</v>
      </c>
      <c r="M1366" t="s">
        <v>54</v>
      </c>
      <c r="N1366" t="s">
        <v>43</v>
      </c>
      <c r="O1366" t="s">
        <v>27</v>
      </c>
      <c r="P1366" t="s">
        <v>42</v>
      </c>
    </row>
    <row r="1367" spans="1:16" x14ac:dyDescent="0.25">
      <c r="A1367" t="s">
        <v>2354</v>
      </c>
      <c r="B1367" t="s">
        <v>1709</v>
      </c>
      <c r="C1367" t="s">
        <v>85</v>
      </c>
      <c r="D1367" t="s">
        <v>38</v>
      </c>
      <c r="E1367" t="s">
        <v>39</v>
      </c>
      <c r="F1367" t="s">
        <v>40</v>
      </c>
      <c r="G1367" t="s">
        <v>41</v>
      </c>
      <c r="H1367" t="s">
        <v>58</v>
      </c>
      <c r="I1367">
        <v>7</v>
      </c>
      <c r="J1367">
        <v>871041</v>
      </c>
      <c r="K1367">
        <v>0</v>
      </c>
      <c r="L1367">
        <v>6097287</v>
      </c>
      <c r="M1367" t="s">
        <v>54</v>
      </c>
      <c r="N1367" t="s">
        <v>43</v>
      </c>
      <c r="O1367" t="s">
        <v>27</v>
      </c>
      <c r="P1367" t="s">
        <v>42</v>
      </c>
    </row>
    <row r="1368" spans="1:16" x14ac:dyDescent="0.25">
      <c r="A1368" t="s">
        <v>2355</v>
      </c>
      <c r="B1368" t="s">
        <v>2356</v>
      </c>
      <c r="C1368" t="s">
        <v>99</v>
      </c>
      <c r="D1368" t="s">
        <v>30</v>
      </c>
      <c r="E1368" t="s">
        <v>31</v>
      </c>
      <c r="F1368" t="s">
        <v>32</v>
      </c>
      <c r="G1368" t="s">
        <v>41</v>
      </c>
      <c r="H1368" t="s">
        <v>58</v>
      </c>
      <c r="I1368">
        <v>1</v>
      </c>
      <c r="J1368">
        <v>551288</v>
      </c>
      <c r="K1368">
        <v>0</v>
      </c>
      <c r="L1368">
        <v>551288</v>
      </c>
      <c r="M1368" t="s">
        <v>42</v>
      </c>
      <c r="N1368" t="s">
        <v>69</v>
      </c>
      <c r="O1368" t="s">
        <v>44</v>
      </c>
      <c r="P1368" t="s">
        <v>42</v>
      </c>
    </row>
    <row r="1369" spans="1:16" x14ac:dyDescent="0.25">
      <c r="A1369" t="s">
        <v>2357</v>
      </c>
      <c r="B1369" t="s">
        <v>2030</v>
      </c>
      <c r="C1369" t="s">
        <v>37</v>
      </c>
      <c r="D1369" t="s">
        <v>47</v>
      </c>
      <c r="E1369" t="s">
        <v>48</v>
      </c>
      <c r="F1369" t="s">
        <v>22</v>
      </c>
      <c r="G1369" t="s">
        <v>52</v>
      </c>
      <c r="H1369" t="s">
        <v>24</v>
      </c>
      <c r="I1369">
        <v>1</v>
      </c>
      <c r="J1369">
        <v>384105</v>
      </c>
      <c r="K1369">
        <v>7</v>
      </c>
      <c r="L1369">
        <v>357217.65</v>
      </c>
      <c r="M1369" t="s">
        <v>54</v>
      </c>
      <c r="N1369" t="s">
        <v>69</v>
      </c>
      <c r="O1369" t="s">
        <v>27</v>
      </c>
      <c r="P1369" t="s">
        <v>55</v>
      </c>
    </row>
    <row r="1370" spans="1:16" x14ac:dyDescent="0.25">
      <c r="A1370" t="s">
        <v>2358</v>
      </c>
      <c r="B1370" t="s">
        <v>749</v>
      </c>
      <c r="C1370" t="s">
        <v>37</v>
      </c>
      <c r="D1370" t="s">
        <v>47</v>
      </c>
      <c r="E1370" t="s">
        <v>72</v>
      </c>
      <c r="F1370" t="s">
        <v>22</v>
      </c>
      <c r="G1370" t="s">
        <v>124</v>
      </c>
      <c r="H1370" t="s">
        <v>34</v>
      </c>
      <c r="J1370">
        <v>845795</v>
      </c>
      <c r="K1370">
        <v>2</v>
      </c>
      <c r="M1370" t="s">
        <v>42</v>
      </c>
      <c r="N1370" t="s">
        <v>43</v>
      </c>
      <c r="O1370" t="s">
        <v>27</v>
      </c>
      <c r="P1370" t="s">
        <v>26</v>
      </c>
    </row>
    <row r="1371" spans="1:16" x14ac:dyDescent="0.25">
      <c r="A1371" t="s">
        <v>2359</v>
      </c>
      <c r="B1371" t="s">
        <v>2360</v>
      </c>
      <c r="C1371" t="s">
        <v>65</v>
      </c>
      <c r="D1371" t="s">
        <v>30</v>
      </c>
      <c r="E1371" t="s">
        <v>31</v>
      </c>
      <c r="F1371" t="s">
        <v>32</v>
      </c>
      <c r="G1371" t="s">
        <v>33</v>
      </c>
      <c r="H1371" t="s">
        <v>58</v>
      </c>
      <c r="I1371">
        <v>6</v>
      </c>
      <c r="J1371">
        <v>489473</v>
      </c>
      <c r="K1371">
        <v>5</v>
      </c>
      <c r="L1371">
        <v>2789996.1</v>
      </c>
      <c r="M1371" t="s">
        <v>54</v>
      </c>
      <c r="N1371" t="s">
        <v>43</v>
      </c>
      <c r="O1371" t="s">
        <v>27</v>
      </c>
      <c r="P1371" t="s">
        <v>26</v>
      </c>
    </row>
    <row r="1372" spans="1:16" x14ac:dyDescent="0.25">
      <c r="A1372" t="s">
        <v>2361</v>
      </c>
      <c r="B1372" t="s">
        <v>268</v>
      </c>
      <c r="C1372" t="s">
        <v>65</v>
      </c>
      <c r="D1372" t="s">
        <v>47</v>
      </c>
      <c r="E1372" t="s">
        <v>48</v>
      </c>
      <c r="F1372" t="s">
        <v>22</v>
      </c>
      <c r="G1372" t="s">
        <v>41</v>
      </c>
      <c r="H1372" t="s">
        <v>53</v>
      </c>
      <c r="I1372">
        <v>6</v>
      </c>
      <c r="J1372">
        <v>391319</v>
      </c>
      <c r="K1372">
        <v>12</v>
      </c>
      <c r="L1372">
        <v>2066164.32</v>
      </c>
      <c r="M1372" t="s">
        <v>54</v>
      </c>
      <c r="N1372" t="s">
        <v>69</v>
      </c>
      <c r="O1372" t="s">
        <v>27</v>
      </c>
      <c r="P1372" t="s">
        <v>55</v>
      </c>
    </row>
    <row r="1373" spans="1:16" x14ac:dyDescent="0.25">
      <c r="A1373" t="s">
        <v>2362</v>
      </c>
      <c r="B1373" t="s">
        <v>2363</v>
      </c>
      <c r="C1373" t="s">
        <v>37</v>
      </c>
      <c r="D1373" t="s">
        <v>20</v>
      </c>
      <c r="E1373" t="s">
        <v>21</v>
      </c>
      <c r="F1373" t="s">
        <v>22</v>
      </c>
      <c r="G1373" t="s">
        <v>33</v>
      </c>
      <c r="H1373" t="s">
        <v>34</v>
      </c>
      <c r="I1373">
        <v>4</v>
      </c>
      <c r="J1373">
        <v>384965</v>
      </c>
      <c r="K1373">
        <v>7</v>
      </c>
      <c r="L1373">
        <v>1432069.8</v>
      </c>
      <c r="M1373" t="s">
        <v>54</v>
      </c>
      <c r="N1373" t="s">
        <v>26</v>
      </c>
      <c r="O1373" t="s">
        <v>44</v>
      </c>
      <c r="P1373" t="s">
        <v>26</v>
      </c>
    </row>
    <row r="1374" spans="1:16" x14ac:dyDescent="0.25">
      <c r="A1374" t="s">
        <v>2364</v>
      </c>
      <c r="B1374" t="s">
        <v>850</v>
      </c>
      <c r="C1374" t="s">
        <v>79</v>
      </c>
      <c r="D1374" t="s">
        <v>38</v>
      </c>
      <c r="E1374" t="s">
        <v>39</v>
      </c>
      <c r="F1374" t="s">
        <v>40</v>
      </c>
      <c r="G1374" t="s">
        <v>124</v>
      </c>
      <c r="H1374" t="s">
        <v>53</v>
      </c>
      <c r="I1374">
        <v>4</v>
      </c>
      <c r="J1374">
        <v>211806</v>
      </c>
      <c r="K1374">
        <v>7</v>
      </c>
      <c r="L1374">
        <v>787918.32</v>
      </c>
      <c r="M1374" t="s">
        <v>54</v>
      </c>
      <c r="N1374" t="s">
        <v>69</v>
      </c>
      <c r="O1374" t="s">
        <v>27</v>
      </c>
      <c r="P1374" t="s">
        <v>55</v>
      </c>
    </row>
    <row r="1375" spans="1:16" x14ac:dyDescent="0.25">
      <c r="A1375" t="s">
        <v>2365</v>
      </c>
      <c r="B1375" t="s">
        <v>2366</v>
      </c>
      <c r="C1375" t="s">
        <v>19</v>
      </c>
      <c r="D1375" t="s">
        <v>47</v>
      </c>
      <c r="E1375" t="s">
        <v>48</v>
      </c>
      <c r="F1375" t="s">
        <v>22</v>
      </c>
      <c r="G1375" t="s">
        <v>41</v>
      </c>
      <c r="H1375" t="s">
        <v>34</v>
      </c>
      <c r="I1375">
        <v>1</v>
      </c>
      <c r="J1375">
        <v>411553</v>
      </c>
      <c r="K1375">
        <v>2</v>
      </c>
      <c r="L1375">
        <v>403321.94</v>
      </c>
      <c r="M1375" t="s">
        <v>54</v>
      </c>
      <c r="N1375" t="s">
        <v>69</v>
      </c>
      <c r="O1375" t="s">
        <v>44</v>
      </c>
      <c r="P1375" t="s">
        <v>26</v>
      </c>
    </row>
    <row r="1376" spans="1:16" x14ac:dyDescent="0.25">
      <c r="A1376" t="s">
        <v>2367</v>
      </c>
      <c r="B1376" t="s">
        <v>2368</v>
      </c>
      <c r="C1376" t="s">
        <v>99</v>
      </c>
      <c r="D1376" t="s">
        <v>38</v>
      </c>
      <c r="E1376" t="s">
        <v>39</v>
      </c>
      <c r="F1376" t="s">
        <v>40</v>
      </c>
      <c r="G1376" t="s">
        <v>62</v>
      </c>
      <c r="H1376" t="s">
        <v>53</v>
      </c>
      <c r="I1376">
        <v>6</v>
      </c>
      <c r="J1376">
        <v>205448</v>
      </c>
      <c r="K1376">
        <v>0</v>
      </c>
      <c r="L1376">
        <v>1232688</v>
      </c>
      <c r="M1376" t="s">
        <v>42</v>
      </c>
      <c r="N1376" t="s">
        <v>43</v>
      </c>
      <c r="O1376" t="s">
        <v>44</v>
      </c>
      <c r="P1376" t="s">
        <v>26</v>
      </c>
    </row>
    <row r="1377" spans="1:16" x14ac:dyDescent="0.25">
      <c r="A1377" t="s">
        <v>2369</v>
      </c>
      <c r="B1377" t="s">
        <v>2370</v>
      </c>
      <c r="C1377" t="s">
        <v>19</v>
      </c>
      <c r="D1377" t="s">
        <v>38</v>
      </c>
      <c r="E1377" t="s">
        <v>39</v>
      </c>
      <c r="F1377" t="s">
        <v>40</v>
      </c>
      <c r="G1377" t="s">
        <v>73</v>
      </c>
      <c r="H1377" t="s">
        <v>34</v>
      </c>
      <c r="I1377">
        <v>6</v>
      </c>
      <c r="J1377">
        <v>56125</v>
      </c>
      <c r="K1377">
        <v>12</v>
      </c>
      <c r="L1377">
        <v>296340</v>
      </c>
      <c r="M1377" t="s">
        <v>54</v>
      </c>
      <c r="N1377" t="s">
        <v>69</v>
      </c>
      <c r="O1377" t="s">
        <v>27</v>
      </c>
      <c r="P1377" t="s">
        <v>26</v>
      </c>
    </row>
    <row r="1378" spans="1:16" x14ac:dyDescent="0.25">
      <c r="A1378" t="s">
        <v>2371</v>
      </c>
      <c r="B1378" t="s">
        <v>1102</v>
      </c>
      <c r="C1378" t="s">
        <v>76</v>
      </c>
      <c r="D1378" t="s">
        <v>66</v>
      </c>
      <c r="E1378" t="s">
        <v>67</v>
      </c>
      <c r="F1378" t="s">
        <v>68</v>
      </c>
      <c r="G1378" t="s">
        <v>73</v>
      </c>
      <c r="H1378" t="s">
        <v>53</v>
      </c>
      <c r="I1378">
        <v>7</v>
      </c>
      <c r="J1378">
        <v>742899</v>
      </c>
      <c r="K1378">
        <v>5</v>
      </c>
      <c r="L1378">
        <v>4940278.3499999996</v>
      </c>
      <c r="M1378" t="s">
        <v>42</v>
      </c>
      <c r="N1378" t="s">
        <v>26</v>
      </c>
      <c r="O1378" t="s">
        <v>44</v>
      </c>
      <c r="P1378" t="s">
        <v>55</v>
      </c>
    </row>
    <row r="1379" spans="1:16" x14ac:dyDescent="0.25">
      <c r="A1379" t="s">
        <v>2372</v>
      </c>
      <c r="B1379" t="s">
        <v>2373</v>
      </c>
      <c r="C1379" t="s">
        <v>37</v>
      </c>
      <c r="D1379" t="s">
        <v>47</v>
      </c>
      <c r="E1379" t="s">
        <v>48</v>
      </c>
      <c r="F1379" t="s">
        <v>22</v>
      </c>
      <c r="G1379" t="s">
        <v>73</v>
      </c>
      <c r="H1379" t="s">
        <v>24</v>
      </c>
      <c r="I1379">
        <v>1</v>
      </c>
      <c r="J1379">
        <v>348627</v>
      </c>
      <c r="K1379">
        <v>12</v>
      </c>
      <c r="L1379">
        <v>306791.76</v>
      </c>
      <c r="M1379" t="s">
        <v>54</v>
      </c>
      <c r="N1379" t="s">
        <v>26</v>
      </c>
      <c r="O1379" t="s">
        <v>27</v>
      </c>
      <c r="P1379" t="s">
        <v>26</v>
      </c>
    </row>
    <row r="1380" spans="1:16" x14ac:dyDescent="0.25">
      <c r="A1380" t="s">
        <v>2374</v>
      </c>
      <c r="B1380" t="s">
        <v>2375</v>
      </c>
      <c r="C1380" t="s">
        <v>65</v>
      </c>
      <c r="D1380" t="s">
        <v>66</v>
      </c>
      <c r="E1380" t="s">
        <v>67</v>
      </c>
      <c r="F1380" t="s">
        <v>68</v>
      </c>
      <c r="G1380" t="s">
        <v>23</v>
      </c>
      <c r="H1380" t="s">
        <v>53</v>
      </c>
      <c r="I1380">
        <v>1</v>
      </c>
      <c r="J1380">
        <v>104550</v>
      </c>
      <c r="K1380">
        <v>0</v>
      </c>
      <c r="L1380">
        <v>104550</v>
      </c>
      <c r="M1380" t="s">
        <v>54</v>
      </c>
      <c r="N1380" t="s">
        <v>26</v>
      </c>
      <c r="O1380" t="s">
        <v>44</v>
      </c>
      <c r="P1380" t="s">
        <v>55</v>
      </c>
    </row>
    <row r="1381" spans="1:16" x14ac:dyDescent="0.25">
      <c r="A1381" t="s">
        <v>2376</v>
      </c>
      <c r="B1381" t="s">
        <v>2317</v>
      </c>
      <c r="C1381" t="s">
        <v>76</v>
      </c>
      <c r="D1381" t="s">
        <v>47</v>
      </c>
      <c r="E1381" t="s">
        <v>48</v>
      </c>
      <c r="F1381" t="s">
        <v>22</v>
      </c>
      <c r="G1381" t="s">
        <v>73</v>
      </c>
      <c r="H1381" t="s">
        <v>53</v>
      </c>
      <c r="I1381">
        <v>8</v>
      </c>
      <c r="J1381">
        <v>254205</v>
      </c>
      <c r="K1381">
        <v>12</v>
      </c>
      <c r="L1381">
        <v>1789603.2</v>
      </c>
      <c r="M1381" t="s">
        <v>42</v>
      </c>
      <c r="N1381" t="s">
        <v>43</v>
      </c>
      <c r="O1381" t="s">
        <v>27</v>
      </c>
      <c r="P1381" t="s">
        <v>26</v>
      </c>
    </row>
    <row r="1382" spans="1:16" x14ac:dyDescent="0.25">
      <c r="A1382" t="s">
        <v>2377</v>
      </c>
      <c r="B1382" t="s">
        <v>2378</v>
      </c>
      <c r="C1382" t="s">
        <v>19</v>
      </c>
      <c r="D1382" t="s">
        <v>47</v>
      </c>
      <c r="E1382" t="s">
        <v>48</v>
      </c>
      <c r="F1382" t="s">
        <v>22</v>
      </c>
      <c r="G1382" t="s">
        <v>41</v>
      </c>
      <c r="H1382" t="s">
        <v>24</v>
      </c>
      <c r="I1382">
        <v>2</v>
      </c>
      <c r="J1382">
        <v>358644</v>
      </c>
      <c r="K1382">
        <v>12</v>
      </c>
      <c r="L1382">
        <v>631213.44000000006</v>
      </c>
      <c r="M1382" t="s">
        <v>54</v>
      </c>
      <c r="N1382" t="s">
        <v>69</v>
      </c>
      <c r="O1382" t="s">
        <v>44</v>
      </c>
      <c r="P1382" t="s">
        <v>26</v>
      </c>
    </row>
    <row r="1383" spans="1:16" x14ac:dyDescent="0.25">
      <c r="A1383" t="s">
        <v>2379</v>
      </c>
      <c r="B1383" t="s">
        <v>1358</v>
      </c>
      <c r="C1383" t="s">
        <v>76</v>
      </c>
      <c r="D1383" t="s">
        <v>66</v>
      </c>
      <c r="E1383" t="s">
        <v>67</v>
      </c>
      <c r="F1383" t="s">
        <v>68</v>
      </c>
      <c r="G1383" t="s">
        <v>73</v>
      </c>
      <c r="H1383" t="s">
        <v>53</v>
      </c>
      <c r="I1383">
        <v>1</v>
      </c>
      <c r="J1383">
        <v>207826</v>
      </c>
      <c r="K1383">
        <v>7</v>
      </c>
      <c r="L1383">
        <v>193278.18</v>
      </c>
      <c r="M1383" t="s">
        <v>54</v>
      </c>
      <c r="N1383" t="s">
        <v>43</v>
      </c>
      <c r="O1383" t="s">
        <v>44</v>
      </c>
      <c r="P1383" t="s">
        <v>42</v>
      </c>
    </row>
    <row r="1384" spans="1:16" x14ac:dyDescent="0.25">
      <c r="A1384" t="s">
        <v>2380</v>
      </c>
      <c r="B1384" t="s">
        <v>891</v>
      </c>
      <c r="C1384" t="s">
        <v>37</v>
      </c>
      <c r="D1384" t="s">
        <v>129</v>
      </c>
      <c r="E1384" t="s">
        <v>39</v>
      </c>
      <c r="F1384" t="s">
        <v>40</v>
      </c>
      <c r="G1384" t="s">
        <v>41</v>
      </c>
      <c r="H1384" t="s">
        <v>58</v>
      </c>
      <c r="I1384">
        <v>4</v>
      </c>
      <c r="J1384">
        <v>474960</v>
      </c>
      <c r="K1384">
        <v>12</v>
      </c>
      <c r="L1384">
        <v>1671859.2</v>
      </c>
      <c r="M1384" t="s">
        <v>54</v>
      </c>
      <c r="N1384" t="s">
        <v>26</v>
      </c>
      <c r="O1384" t="s">
        <v>44</v>
      </c>
      <c r="P1384" t="s">
        <v>26</v>
      </c>
    </row>
    <row r="1385" spans="1:16" x14ac:dyDescent="0.25">
      <c r="A1385" t="s">
        <v>2381</v>
      </c>
      <c r="B1385" t="s">
        <v>2382</v>
      </c>
      <c r="C1385" t="s">
        <v>37</v>
      </c>
      <c r="D1385" t="s">
        <v>119</v>
      </c>
      <c r="E1385" t="s">
        <v>21</v>
      </c>
      <c r="F1385" t="s">
        <v>22</v>
      </c>
      <c r="G1385" t="s">
        <v>62</v>
      </c>
      <c r="H1385" t="s">
        <v>86</v>
      </c>
      <c r="I1385">
        <v>1</v>
      </c>
      <c r="J1385">
        <v>830767</v>
      </c>
      <c r="M1385" t="s">
        <v>25</v>
      </c>
      <c r="N1385" t="s">
        <v>69</v>
      </c>
      <c r="O1385" t="s">
        <v>27</v>
      </c>
      <c r="P1385" t="s">
        <v>26</v>
      </c>
    </row>
    <row r="1386" spans="1:16" x14ac:dyDescent="0.25">
      <c r="A1386" t="s">
        <v>2383</v>
      </c>
      <c r="B1386" t="s">
        <v>815</v>
      </c>
      <c r="C1386" t="s">
        <v>61</v>
      </c>
      <c r="D1386" t="s">
        <v>154</v>
      </c>
      <c r="E1386" t="s">
        <v>67</v>
      </c>
      <c r="F1386" t="s">
        <v>68</v>
      </c>
      <c r="G1386" t="s">
        <v>73</v>
      </c>
      <c r="H1386" t="s">
        <v>86</v>
      </c>
      <c r="I1386">
        <v>5</v>
      </c>
      <c r="J1386">
        <v>113625</v>
      </c>
      <c r="K1386">
        <v>10</v>
      </c>
      <c r="L1386">
        <v>511312.5</v>
      </c>
      <c r="M1386" t="s">
        <v>54</v>
      </c>
      <c r="N1386" t="s">
        <v>43</v>
      </c>
      <c r="O1386" t="s">
        <v>44</v>
      </c>
      <c r="P1386" t="s">
        <v>42</v>
      </c>
    </row>
    <row r="1387" spans="1:16" x14ac:dyDescent="0.25">
      <c r="A1387" t="s">
        <v>2384</v>
      </c>
      <c r="B1387" t="s">
        <v>1299</v>
      </c>
      <c r="C1387" t="s">
        <v>76</v>
      </c>
      <c r="D1387" t="s">
        <v>119</v>
      </c>
      <c r="E1387" t="s">
        <v>21</v>
      </c>
      <c r="F1387" t="s">
        <v>22</v>
      </c>
      <c r="G1387" t="s">
        <v>41</v>
      </c>
      <c r="H1387" t="s">
        <v>53</v>
      </c>
      <c r="I1387">
        <v>5</v>
      </c>
      <c r="J1387">
        <v>598315</v>
      </c>
      <c r="K1387">
        <v>5</v>
      </c>
      <c r="L1387">
        <v>2841996.25</v>
      </c>
      <c r="M1387" t="s">
        <v>42</v>
      </c>
      <c r="N1387" t="s">
        <v>69</v>
      </c>
      <c r="O1387" t="s">
        <v>27</v>
      </c>
      <c r="P1387" t="s">
        <v>42</v>
      </c>
    </row>
    <row r="1388" spans="1:16" x14ac:dyDescent="0.25">
      <c r="A1388" t="s">
        <v>2385</v>
      </c>
      <c r="B1388" t="s">
        <v>718</v>
      </c>
      <c r="C1388" t="s">
        <v>76</v>
      </c>
      <c r="D1388" t="s">
        <v>38</v>
      </c>
      <c r="E1388" t="s">
        <v>39</v>
      </c>
      <c r="F1388" t="s">
        <v>40</v>
      </c>
      <c r="G1388" t="s">
        <v>62</v>
      </c>
      <c r="H1388" t="s">
        <v>53</v>
      </c>
      <c r="I1388">
        <v>2</v>
      </c>
      <c r="J1388">
        <v>491669</v>
      </c>
      <c r="K1388">
        <v>0</v>
      </c>
      <c r="L1388">
        <v>983338</v>
      </c>
      <c r="M1388" t="s">
        <v>25</v>
      </c>
      <c r="N1388" t="s">
        <v>43</v>
      </c>
      <c r="O1388" t="s">
        <v>44</v>
      </c>
      <c r="P1388" t="s">
        <v>26</v>
      </c>
    </row>
    <row r="1389" spans="1:16" x14ac:dyDescent="0.25">
      <c r="A1389" t="s">
        <v>2386</v>
      </c>
      <c r="B1389" t="s">
        <v>1181</v>
      </c>
      <c r="C1389" t="s">
        <v>99</v>
      </c>
      <c r="D1389" t="s">
        <v>38</v>
      </c>
      <c r="E1389" t="s">
        <v>39</v>
      </c>
      <c r="F1389" t="s">
        <v>40</v>
      </c>
      <c r="G1389" t="s">
        <v>41</v>
      </c>
      <c r="H1389" t="s">
        <v>24</v>
      </c>
      <c r="I1389">
        <v>2</v>
      </c>
      <c r="J1389">
        <v>218269</v>
      </c>
      <c r="K1389">
        <v>10</v>
      </c>
      <c r="L1389">
        <v>392884.2</v>
      </c>
      <c r="M1389" t="s">
        <v>54</v>
      </c>
      <c r="N1389" t="s">
        <v>43</v>
      </c>
      <c r="O1389" t="s">
        <v>27</v>
      </c>
      <c r="P1389" t="s">
        <v>42</v>
      </c>
    </row>
    <row r="1390" spans="1:16" x14ac:dyDescent="0.25">
      <c r="A1390" t="s">
        <v>2387</v>
      </c>
      <c r="B1390" t="s">
        <v>910</v>
      </c>
      <c r="C1390" t="s">
        <v>65</v>
      </c>
      <c r="D1390" t="s">
        <v>30</v>
      </c>
      <c r="E1390" t="s">
        <v>31</v>
      </c>
      <c r="F1390" t="s">
        <v>32</v>
      </c>
      <c r="G1390" t="s">
        <v>73</v>
      </c>
      <c r="H1390" t="s">
        <v>58</v>
      </c>
      <c r="I1390">
        <v>3</v>
      </c>
      <c r="J1390">
        <v>498064</v>
      </c>
      <c r="K1390">
        <v>2</v>
      </c>
      <c r="L1390">
        <v>1464308.16</v>
      </c>
      <c r="M1390" t="s">
        <v>25</v>
      </c>
      <c r="N1390" t="s">
        <v>69</v>
      </c>
      <c r="O1390" t="s">
        <v>44</v>
      </c>
      <c r="P1390" t="s">
        <v>55</v>
      </c>
    </row>
    <row r="1391" spans="1:16" x14ac:dyDescent="0.25">
      <c r="A1391" t="s">
        <v>2388</v>
      </c>
      <c r="B1391" t="s">
        <v>395</v>
      </c>
      <c r="C1391" t="s">
        <v>85</v>
      </c>
      <c r="D1391" t="s">
        <v>20</v>
      </c>
      <c r="E1391" t="s">
        <v>21</v>
      </c>
      <c r="F1391" t="s">
        <v>22</v>
      </c>
      <c r="G1391" t="s">
        <v>41</v>
      </c>
      <c r="H1391" t="s">
        <v>53</v>
      </c>
      <c r="I1391">
        <v>5</v>
      </c>
      <c r="J1391">
        <v>392424</v>
      </c>
      <c r="K1391">
        <v>5</v>
      </c>
      <c r="L1391">
        <v>1864014</v>
      </c>
      <c r="M1391" t="s">
        <v>42</v>
      </c>
      <c r="N1391" t="s">
        <v>26</v>
      </c>
      <c r="O1391" t="s">
        <v>44</v>
      </c>
      <c r="P1391" t="s">
        <v>42</v>
      </c>
    </row>
    <row r="1392" spans="1:16" x14ac:dyDescent="0.25">
      <c r="A1392" t="s">
        <v>2389</v>
      </c>
      <c r="B1392" t="s">
        <v>2390</v>
      </c>
      <c r="C1392" t="s">
        <v>37</v>
      </c>
      <c r="D1392" t="s">
        <v>47</v>
      </c>
      <c r="E1392" t="s">
        <v>48</v>
      </c>
      <c r="F1392" t="s">
        <v>22</v>
      </c>
      <c r="G1392" t="s">
        <v>73</v>
      </c>
      <c r="H1392" t="s">
        <v>53</v>
      </c>
      <c r="I1392">
        <v>6</v>
      </c>
      <c r="J1392">
        <v>489205</v>
      </c>
      <c r="K1392">
        <v>2</v>
      </c>
      <c r="L1392">
        <v>2876525.4</v>
      </c>
      <c r="M1392" t="s">
        <v>42</v>
      </c>
      <c r="N1392" t="s">
        <v>43</v>
      </c>
      <c r="O1392" t="s">
        <v>27</v>
      </c>
      <c r="P1392" t="s">
        <v>55</v>
      </c>
    </row>
    <row r="1393" spans="1:16" x14ac:dyDescent="0.25">
      <c r="A1393" t="s">
        <v>2391</v>
      </c>
      <c r="B1393" t="s">
        <v>211</v>
      </c>
      <c r="C1393" t="s">
        <v>65</v>
      </c>
      <c r="D1393" t="s">
        <v>30</v>
      </c>
      <c r="E1393" t="s">
        <v>31</v>
      </c>
      <c r="F1393" t="s">
        <v>32</v>
      </c>
      <c r="G1393" t="s">
        <v>41</v>
      </c>
      <c r="H1393" t="s">
        <v>53</v>
      </c>
      <c r="I1393">
        <v>5</v>
      </c>
      <c r="J1393">
        <v>161346</v>
      </c>
      <c r="K1393">
        <v>0</v>
      </c>
      <c r="L1393">
        <v>806730</v>
      </c>
      <c r="M1393" t="s">
        <v>54</v>
      </c>
      <c r="N1393" t="s">
        <v>26</v>
      </c>
      <c r="O1393" t="s">
        <v>44</v>
      </c>
      <c r="P1393" t="s">
        <v>26</v>
      </c>
    </row>
    <row r="1394" spans="1:16" x14ac:dyDescent="0.25">
      <c r="A1394" t="s">
        <v>2392</v>
      </c>
      <c r="B1394" t="s">
        <v>116</v>
      </c>
      <c r="C1394" t="s">
        <v>65</v>
      </c>
      <c r="D1394" t="s">
        <v>30</v>
      </c>
      <c r="E1394" t="s">
        <v>31</v>
      </c>
      <c r="F1394" t="s">
        <v>32</v>
      </c>
      <c r="G1394" t="s">
        <v>41</v>
      </c>
      <c r="H1394" t="s">
        <v>53</v>
      </c>
      <c r="I1394">
        <v>7</v>
      </c>
      <c r="J1394">
        <v>711821</v>
      </c>
      <c r="M1394" t="s">
        <v>54</v>
      </c>
      <c r="N1394" t="s">
        <v>69</v>
      </c>
      <c r="O1394" t="s">
        <v>44</v>
      </c>
      <c r="P1394" t="s">
        <v>42</v>
      </c>
    </row>
    <row r="1395" spans="1:16" x14ac:dyDescent="0.25">
      <c r="A1395" t="s">
        <v>2393</v>
      </c>
      <c r="B1395" t="s">
        <v>2394</v>
      </c>
      <c r="C1395" t="s">
        <v>61</v>
      </c>
      <c r="D1395" t="s">
        <v>66</v>
      </c>
      <c r="E1395" t="s">
        <v>67</v>
      </c>
      <c r="F1395" t="s">
        <v>68</v>
      </c>
      <c r="G1395" t="s">
        <v>41</v>
      </c>
      <c r="H1395" t="s">
        <v>58</v>
      </c>
      <c r="I1395">
        <v>7</v>
      </c>
      <c r="J1395">
        <v>259594</v>
      </c>
      <c r="K1395">
        <v>2</v>
      </c>
      <c r="L1395">
        <v>1780814.84</v>
      </c>
      <c r="M1395" t="s">
        <v>42</v>
      </c>
      <c r="N1395" t="s">
        <v>69</v>
      </c>
      <c r="O1395" t="s">
        <v>27</v>
      </c>
      <c r="P1395" t="s">
        <v>26</v>
      </c>
    </row>
    <row r="1396" spans="1:16" x14ac:dyDescent="0.25">
      <c r="A1396" t="s">
        <v>2395</v>
      </c>
      <c r="B1396" t="s">
        <v>2396</v>
      </c>
      <c r="C1396" t="s">
        <v>79</v>
      </c>
      <c r="D1396" t="s">
        <v>30</v>
      </c>
      <c r="E1396" t="s">
        <v>31</v>
      </c>
      <c r="F1396" t="s">
        <v>32</v>
      </c>
      <c r="G1396" t="s">
        <v>41</v>
      </c>
      <c r="H1396" t="s">
        <v>53</v>
      </c>
      <c r="I1396">
        <v>1</v>
      </c>
      <c r="J1396">
        <v>290250</v>
      </c>
      <c r="K1396">
        <v>5</v>
      </c>
      <c r="L1396">
        <v>275737.5</v>
      </c>
      <c r="M1396" t="s">
        <v>42</v>
      </c>
      <c r="N1396" t="s">
        <v>69</v>
      </c>
      <c r="O1396" t="s">
        <v>27</v>
      </c>
      <c r="P1396" t="s">
        <v>55</v>
      </c>
    </row>
    <row r="1397" spans="1:16" x14ac:dyDescent="0.25">
      <c r="A1397" t="s">
        <v>2397</v>
      </c>
      <c r="B1397" t="s">
        <v>915</v>
      </c>
      <c r="C1397" t="s">
        <v>37</v>
      </c>
      <c r="D1397" t="s">
        <v>20</v>
      </c>
      <c r="E1397" t="s">
        <v>189</v>
      </c>
      <c r="F1397" t="s">
        <v>22</v>
      </c>
      <c r="G1397" t="s">
        <v>73</v>
      </c>
      <c r="H1397" t="s">
        <v>58</v>
      </c>
      <c r="I1397">
        <v>1</v>
      </c>
      <c r="J1397">
        <v>343270</v>
      </c>
      <c r="K1397">
        <v>7</v>
      </c>
      <c r="L1397">
        <v>319241.09999999998</v>
      </c>
      <c r="M1397" t="s">
        <v>54</v>
      </c>
      <c r="N1397" t="s">
        <v>69</v>
      </c>
      <c r="O1397" t="s">
        <v>27</v>
      </c>
      <c r="P1397" t="s">
        <v>26</v>
      </c>
    </row>
    <row r="1398" spans="1:16" x14ac:dyDescent="0.25">
      <c r="A1398" t="s">
        <v>2398</v>
      </c>
      <c r="B1398" t="s">
        <v>699</v>
      </c>
      <c r="C1398" t="s">
        <v>19</v>
      </c>
      <c r="D1398" t="s">
        <v>66</v>
      </c>
      <c r="E1398" t="s">
        <v>67</v>
      </c>
      <c r="F1398" t="s">
        <v>68</v>
      </c>
      <c r="G1398" t="s">
        <v>52</v>
      </c>
      <c r="H1398" t="s">
        <v>58</v>
      </c>
      <c r="I1398">
        <v>8</v>
      </c>
      <c r="J1398">
        <v>352514</v>
      </c>
      <c r="K1398">
        <v>5</v>
      </c>
      <c r="L1398">
        <v>2679106.4</v>
      </c>
      <c r="M1398" t="s">
        <v>25</v>
      </c>
      <c r="N1398" t="s">
        <v>43</v>
      </c>
      <c r="O1398" t="s">
        <v>44</v>
      </c>
      <c r="P1398" t="s">
        <v>42</v>
      </c>
    </row>
    <row r="1399" spans="1:16" x14ac:dyDescent="0.25">
      <c r="A1399" t="s">
        <v>2399</v>
      </c>
      <c r="B1399" t="s">
        <v>681</v>
      </c>
      <c r="C1399" t="s">
        <v>61</v>
      </c>
      <c r="D1399" t="s">
        <v>119</v>
      </c>
      <c r="E1399" t="s">
        <v>21</v>
      </c>
      <c r="F1399" t="s">
        <v>22</v>
      </c>
      <c r="G1399" t="s">
        <v>62</v>
      </c>
      <c r="H1399" t="s">
        <v>86</v>
      </c>
      <c r="I1399">
        <v>1</v>
      </c>
      <c r="J1399">
        <v>90831</v>
      </c>
      <c r="K1399">
        <v>0</v>
      </c>
      <c r="L1399">
        <v>90831</v>
      </c>
      <c r="M1399" t="s">
        <v>42</v>
      </c>
      <c r="N1399" t="s">
        <v>43</v>
      </c>
      <c r="O1399" t="s">
        <v>44</v>
      </c>
      <c r="P1399" t="s">
        <v>26</v>
      </c>
    </row>
    <row r="1400" spans="1:16" x14ac:dyDescent="0.25">
      <c r="A1400" t="s">
        <v>2400</v>
      </c>
      <c r="B1400" t="s">
        <v>2401</v>
      </c>
      <c r="C1400" t="s">
        <v>65</v>
      </c>
      <c r="D1400" t="s">
        <v>47</v>
      </c>
      <c r="E1400" t="s">
        <v>48</v>
      </c>
      <c r="F1400" t="s">
        <v>22</v>
      </c>
      <c r="G1400" t="s">
        <v>94</v>
      </c>
      <c r="H1400" t="s">
        <v>86</v>
      </c>
      <c r="I1400">
        <v>2</v>
      </c>
      <c r="J1400">
        <v>566595</v>
      </c>
      <c r="K1400">
        <v>2</v>
      </c>
      <c r="L1400">
        <v>1110526.2</v>
      </c>
      <c r="M1400" t="s">
        <v>42</v>
      </c>
      <c r="N1400" t="s">
        <v>69</v>
      </c>
      <c r="O1400" t="s">
        <v>27</v>
      </c>
      <c r="P1400" t="s">
        <v>55</v>
      </c>
    </row>
    <row r="1401" spans="1:16" x14ac:dyDescent="0.25">
      <c r="A1401" t="s">
        <v>2402</v>
      </c>
      <c r="B1401" t="s">
        <v>317</v>
      </c>
      <c r="C1401" t="s">
        <v>85</v>
      </c>
      <c r="D1401" t="s">
        <v>38</v>
      </c>
      <c r="E1401" t="s">
        <v>39</v>
      </c>
      <c r="F1401" t="s">
        <v>40</v>
      </c>
      <c r="G1401" t="s">
        <v>73</v>
      </c>
      <c r="H1401" t="s">
        <v>58</v>
      </c>
      <c r="I1401">
        <v>8</v>
      </c>
      <c r="J1401">
        <v>134803</v>
      </c>
      <c r="K1401">
        <v>12</v>
      </c>
      <c r="L1401">
        <v>949013.12</v>
      </c>
      <c r="M1401" t="s">
        <v>42</v>
      </c>
      <c r="N1401" t="s">
        <v>43</v>
      </c>
      <c r="O1401" t="s">
        <v>44</v>
      </c>
      <c r="P1401" t="s">
        <v>42</v>
      </c>
    </row>
    <row r="1402" spans="1:16" x14ac:dyDescent="0.25">
      <c r="A1402" t="s">
        <v>2403</v>
      </c>
      <c r="B1402" t="s">
        <v>2404</v>
      </c>
      <c r="C1402" t="s">
        <v>198</v>
      </c>
      <c r="D1402" t="s">
        <v>47</v>
      </c>
      <c r="E1402" t="s">
        <v>48</v>
      </c>
      <c r="F1402" t="s">
        <v>22</v>
      </c>
      <c r="G1402" t="s">
        <v>52</v>
      </c>
      <c r="H1402" t="s">
        <v>34</v>
      </c>
      <c r="I1402">
        <v>4</v>
      </c>
      <c r="J1402">
        <v>91615</v>
      </c>
      <c r="K1402">
        <v>12</v>
      </c>
      <c r="L1402">
        <v>322484.8</v>
      </c>
      <c r="M1402" t="s">
        <v>54</v>
      </c>
      <c r="N1402" t="s">
        <v>43</v>
      </c>
      <c r="O1402" t="s">
        <v>27</v>
      </c>
      <c r="P1402" t="s">
        <v>42</v>
      </c>
    </row>
    <row r="1403" spans="1:16" x14ac:dyDescent="0.25">
      <c r="A1403" t="s">
        <v>2405</v>
      </c>
      <c r="B1403" t="s">
        <v>2256</v>
      </c>
      <c r="C1403" t="s">
        <v>85</v>
      </c>
      <c r="D1403" t="s">
        <v>129</v>
      </c>
      <c r="E1403" t="s">
        <v>39</v>
      </c>
      <c r="F1403" t="s">
        <v>40</v>
      </c>
      <c r="G1403" t="s">
        <v>135</v>
      </c>
      <c r="H1403" t="s">
        <v>24</v>
      </c>
      <c r="I1403">
        <v>5</v>
      </c>
      <c r="J1403">
        <v>161803</v>
      </c>
      <c r="K1403">
        <v>10</v>
      </c>
      <c r="L1403">
        <v>728113.5</v>
      </c>
      <c r="M1403" t="s">
        <v>25</v>
      </c>
      <c r="N1403" t="s">
        <v>69</v>
      </c>
      <c r="O1403" t="s">
        <v>44</v>
      </c>
      <c r="P1403" t="s">
        <v>55</v>
      </c>
    </row>
    <row r="1404" spans="1:16" x14ac:dyDescent="0.25">
      <c r="A1404" t="s">
        <v>2406</v>
      </c>
      <c r="B1404" t="s">
        <v>431</v>
      </c>
      <c r="C1404" t="s">
        <v>19</v>
      </c>
      <c r="D1404" t="s">
        <v>38</v>
      </c>
      <c r="E1404" t="s">
        <v>39</v>
      </c>
      <c r="F1404" t="s">
        <v>40</v>
      </c>
      <c r="G1404" t="s">
        <v>62</v>
      </c>
      <c r="H1404" t="s">
        <v>53</v>
      </c>
      <c r="I1404">
        <v>3</v>
      </c>
      <c r="J1404">
        <v>276853</v>
      </c>
      <c r="K1404">
        <v>12</v>
      </c>
      <c r="L1404">
        <v>730891.92</v>
      </c>
      <c r="M1404" t="s">
        <v>42</v>
      </c>
      <c r="N1404" t="s">
        <v>43</v>
      </c>
      <c r="O1404" t="s">
        <v>27</v>
      </c>
      <c r="P1404" t="s">
        <v>55</v>
      </c>
    </row>
    <row r="1405" spans="1:16" x14ac:dyDescent="0.25">
      <c r="A1405" t="s">
        <v>2407</v>
      </c>
      <c r="B1405" t="s">
        <v>2408</v>
      </c>
      <c r="C1405" t="s">
        <v>19</v>
      </c>
      <c r="D1405" t="s">
        <v>30</v>
      </c>
      <c r="E1405" t="s">
        <v>31</v>
      </c>
      <c r="F1405" t="s">
        <v>32</v>
      </c>
      <c r="G1405" t="s">
        <v>41</v>
      </c>
      <c r="H1405" t="s">
        <v>53</v>
      </c>
      <c r="I1405">
        <v>5</v>
      </c>
      <c r="J1405">
        <v>821281</v>
      </c>
      <c r="K1405">
        <v>7</v>
      </c>
      <c r="L1405">
        <v>3818956.65</v>
      </c>
      <c r="M1405" t="s">
        <v>42</v>
      </c>
      <c r="N1405" t="s">
        <v>43</v>
      </c>
      <c r="O1405" t="s">
        <v>44</v>
      </c>
      <c r="P1405" t="s">
        <v>55</v>
      </c>
    </row>
    <row r="1406" spans="1:16" x14ac:dyDescent="0.25">
      <c r="A1406" t="s">
        <v>2409</v>
      </c>
      <c r="B1406" t="s">
        <v>2410</v>
      </c>
      <c r="C1406" t="s">
        <v>79</v>
      </c>
      <c r="D1406" t="s">
        <v>30</v>
      </c>
      <c r="E1406" t="s">
        <v>31</v>
      </c>
      <c r="F1406" t="s">
        <v>32</v>
      </c>
      <c r="G1406" t="s">
        <v>33</v>
      </c>
      <c r="H1406" t="s">
        <v>58</v>
      </c>
      <c r="I1406">
        <v>8</v>
      </c>
      <c r="J1406">
        <v>495423</v>
      </c>
      <c r="K1406">
        <v>5</v>
      </c>
      <c r="L1406">
        <v>3765214.8</v>
      </c>
      <c r="M1406" t="s">
        <v>25</v>
      </c>
      <c r="N1406" t="s">
        <v>69</v>
      </c>
      <c r="O1406" t="s">
        <v>44</v>
      </c>
      <c r="P1406" t="s">
        <v>42</v>
      </c>
    </row>
    <row r="1407" spans="1:16" x14ac:dyDescent="0.25">
      <c r="A1407" t="s">
        <v>2411</v>
      </c>
      <c r="B1407" t="s">
        <v>2412</v>
      </c>
      <c r="C1407" t="s">
        <v>91</v>
      </c>
      <c r="D1407" t="s">
        <v>38</v>
      </c>
      <c r="E1407" t="s">
        <v>39</v>
      </c>
      <c r="F1407" t="s">
        <v>40</v>
      </c>
      <c r="G1407" t="s">
        <v>33</v>
      </c>
      <c r="H1407" t="s">
        <v>24</v>
      </c>
      <c r="I1407">
        <v>3</v>
      </c>
      <c r="J1407">
        <v>548599</v>
      </c>
      <c r="K1407">
        <v>10</v>
      </c>
      <c r="L1407">
        <v>1481217.3</v>
      </c>
      <c r="M1407" t="s">
        <v>42</v>
      </c>
      <c r="N1407" t="s">
        <v>43</v>
      </c>
      <c r="O1407" t="s">
        <v>44</v>
      </c>
      <c r="P1407" t="s">
        <v>42</v>
      </c>
    </row>
    <row r="1408" spans="1:16" x14ac:dyDescent="0.25">
      <c r="A1408" t="s">
        <v>2413</v>
      </c>
      <c r="B1408" t="s">
        <v>2258</v>
      </c>
      <c r="C1408" t="s">
        <v>19</v>
      </c>
      <c r="D1408" t="s">
        <v>30</v>
      </c>
      <c r="E1408" t="s">
        <v>31</v>
      </c>
      <c r="F1408" t="s">
        <v>32</v>
      </c>
      <c r="G1408" t="s">
        <v>62</v>
      </c>
      <c r="H1408" t="s">
        <v>58</v>
      </c>
      <c r="I1408">
        <v>2</v>
      </c>
      <c r="J1408">
        <v>343259</v>
      </c>
      <c r="K1408">
        <v>7</v>
      </c>
      <c r="L1408">
        <v>638461.74</v>
      </c>
      <c r="M1408" t="s">
        <v>42</v>
      </c>
      <c r="N1408" t="s">
        <v>69</v>
      </c>
      <c r="O1408" t="s">
        <v>27</v>
      </c>
      <c r="P1408" t="s">
        <v>55</v>
      </c>
    </row>
    <row r="1409" spans="1:16" x14ac:dyDescent="0.25">
      <c r="A1409" t="s">
        <v>2414</v>
      </c>
      <c r="B1409" t="s">
        <v>2151</v>
      </c>
      <c r="C1409" t="s">
        <v>76</v>
      </c>
      <c r="D1409" t="s">
        <v>38</v>
      </c>
      <c r="E1409" t="s">
        <v>39</v>
      </c>
      <c r="F1409" t="s">
        <v>40</v>
      </c>
      <c r="G1409" t="s">
        <v>89</v>
      </c>
      <c r="H1409" t="s">
        <v>34</v>
      </c>
      <c r="I1409">
        <v>7</v>
      </c>
      <c r="J1409">
        <v>773258</v>
      </c>
      <c r="K1409">
        <v>0</v>
      </c>
      <c r="L1409">
        <v>5412806</v>
      </c>
      <c r="M1409" t="s">
        <v>54</v>
      </c>
      <c r="N1409" t="s">
        <v>43</v>
      </c>
      <c r="O1409" t="s">
        <v>27</v>
      </c>
      <c r="P1409" t="s">
        <v>42</v>
      </c>
    </row>
    <row r="1410" spans="1:16" x14ac:dyDescent="0.25">
      <c r="A1410" t="s">
        <v>2415</v>
      </c>
      <c r="B1410" t="s">
        <v>2416</v>
      </c>
      <c r="C1410" t="s">
        <v>19</v>
      </c>
      <c r="D1410" t="s">
        <v>20</v>
      </c>
      <c r="E1410" t="s">
        <v>21</v>
      </c>
      <c r="F1410" t="s">
        <v>22</v>
      </c>
      <c r="G1410" t="s">
        <v>52</v>
      </c>
      <c r="H1410" t="s">
        <v>34</v>
      </c>
      <c r="I1410">
        <v>4</v>
      </c>
      <c r="J1410">
        <v>442119</v>
      </c>
      <c r="K1410">
        <v>12</v>
      </c>
      <c r="L1410">
        <v>1556258.88</v>
      </c>
      <c r="M1410" t="s">
        <v>42</v>
      </c>
      <c r="N1410" t="s">
        <v>43</v>
      </c>
      <c r="O1410" t="s">
        <v>27</v>
      </c>
      <c r="P1410" t="s">
        <v>55</v>
      </c>
    </row>
    <row r="1411" spans="1:16" x14ac:dyDescent="0.25">
      <c r="A1411" t="s">
        <v>2417</v>
      </c>
      <c r="B1411" t="s">
        <v>2418</v>
      </c>
      <c r="C1411" t="s">
        <v>19</v>
      </c>
      <c r="D1411" t="s">
        <v>20</v>
      </c>
      <c r="E1411" t="s">
        <v>21</v>
      </c>
      <c r="F1411" t="s">
        <v>22</v>
      </c>
      <c r="G1411" t="s">
        <v>62</v>
      </c>
      <c r="H1411" t="s">
        <v>34</v>
      </c>
      <c r="I1411">
        <v>6</v>
      </c>
      <c r="J1411">
        <v>795607</v>
      </c>
      <c r="K1411">
        <v>12</v>
      </c>
      <c r="L1411">
        <v>4200804.96</v>
      </c>
      <c r="M1411" t="s">
        <v>54</v>
      </c>
      <c r="N1411" t="s">
        <v>26</v>
      </c>
      <c r="O1411" t="s">
        <v>44</v>
      </c>
      <c r="P1411" t="s">
        <v>42</v>
      </c>
    </row>
    <row r="1412" spans="1:16" x14ac:dyDescent="0.25">
      <c r="A1412" t="s">
        <v>2419</v>
      </c>
      <c r="B1412" t="s">
        <v>2420</v>
      </c>
      <c r="C1412" t="s">
        <v>85</v>
      </c>
      <c r="D1412" t="s">
        <v>66</v>
      </c>
      <c r="E1412" t="s">
        <v>67</v>
      </c>
      <c r="F1412" t="s">
        <v>68</v>
      </c>
      <c r="G1412" t="s">
        <v>52</v>
      </c>
      <c r="H1412" t="s">
        <v>24</v>
      </c>
      <c r="I1412">
        <v>2</v>
      </c>
      <c r="J1412">
        <v>567791</v>
      </c>
      <c r="K1412">
        <v>12</v>
      </c>
      <c r="L1412">
        <v>999312.16</v>
      </c>
      <c r="M1412" t="s">
        <v>54</v>
      </c>
      <c r="N1412" t="s">
        <v>43</v>
      </c>
      <c r="O1412" t="s">
        <v>27</v>
      </c>
      <c r="P1412" t="s">
        <v>55</v>
      </c>
    </row>
    <row r="1413" spans="1:16" x14ac:dyDescent="0.25">
      <c r="A1413" t="s">
        <v>2421</v>
      </c>
      <c r="B1413" t="s">
        <v>1931</v>
      </c>
      <c r="C1413" t="s">
        <v>76</v>
      </c>
      <c r="D1413" t="s">
        <v>30</v>
      </c>
      <c r="E1413" t="s">
        <v>31</v>
      </c>
      <c r="F1413" t="s">
        <v>32</v>
      </c>
      <c r="G1413" t="s">
        <v>94</v>
      </c>
      <c r="H1413" t="s">
        <v>58</v>
      </c>
      <c r="I1413">
        <v>7</v>
      </c>
      <c r="J1413">
        <v>319449</v>
      </c>
      <c r="K1413">
        <v>7</v>
      </c>
      <c r="L1413">
        <v>2079612.99</v>
      </c>
      <c r="M1413" t="s">
        <v>54</v>
      </c>
      <c r="N1413" t="s">
        <v>43</v>
      </c>
      <c r="O1413" t="s">
        <v>27</v>
      </c>
      <c r="P1413" t="s">
        <v>26</v>
      </c>
    </row>
    <row r="1414" spans="1:16" x14ac:dyDescent="0.25">
      <c r="A1414" t="s">
        <v>2422</v>
      </c>
      <c r="B1414" t="s">
        <v>2235</v>
      </c>
      <c r="C1414" t="s">
        <v>85</v>
      </c>
      <c r="D1414" t="s">
        <v>30</v>
      </c>
      <c r="E1414" t="s">
        <v>31</v>
      </c>
      <c r="F1414" t="s">
        <v>32</v>
      </c>
      <c r="G1414" t="s">
        <v>73</v>
      </c>
      <c r="H1414" t="s">
        <v>24</v>
      </c>
      <c r="I1414">
        <v>8</v>
      </c>
      <c r="J1414">
        <v>716603</v>
      </c>
      <c r="K1414">
        <v>2</v>
      </c>
      <c r="L1414">
        <v>5618167.5199999996</v>
      </c>
      <c r="M1414" t="s">
        <v>42</v>
      </c>
      <c r="N1414" t="s">
        <v>43</v>
      </c>
      <c r="O1414" t="s">
        <v>27</v>
      </c>
      <c r="P1414" t="s">
        <v>26</v>
      </c>
    </row>
    <row r="1415" spans="1:16" x14ac:dyDescent="0.25">
      <c r="A1415" t="s">
        <v>2423</v>
      </c>
      <c r="B1415" t="s">
        <v>747</v>
      </c>
      <c r="C1415" t="s">
        <v>85</v>
      </c>
      <c r="D1415" t="s">
        <v>30</v>
      </c>
      <c r="E1415" t="s">
        <v>31</v>
      </c>
      <c r="F1415" t="s">
        <v>32</v>
      </c>
      <c r="G1415" t="s">
        <v>41</v>
      </c>
      <c r="H1415" t="s">
        <v>58</v>
      </c>
      <c r="I1415">
        <v>6</v>
      </c>
      <c r="J1415">
        <v>620142</v>
      </c>
      <c r="M1415" t="s">
        <v>25</v>
      </c>
      <c r="N1415" t="s">
        <v>43</v>
      </c>
      <c r="O1415" t="s">
        <v>44</v>
      </c>
      <c r="P1415" t="s">
        <v>26</v>
      </c>
    </row>
    <row r="1416" spans="1:16" x14ac:dyDescent="0.25">
      <c r="A1416" t="s">
        <v>2424</v>
      </c>
      <c r="B1416" t="s">
        <v>2425</v>
      </c>
      <c r="C1416" t="s">
        <v>85</v>
      </c>
      <c r="D1416" t="s">
        <v>47</v>
      </c>
      <c r="E1416" t="s">
        <v>48</v>
      </c>
      <c r="F1416" t="s">
        <v>22</v>
      </c>
      <c r="G1416" t="s">
        <v>73</v>
      </c>
      <c r="H1416" t="s">
        <v>86</v>
      </c>
      <c r="I1416">
        <v>4</v>
      </c>
      <c r="J1416">
        <v>765436</v>
      </c>
      <c r="K1416">
        <v>7</v>
      </c>
      <c r="L1416">
        <v>2847421.92</v>
      </c>
      <c r="M1416" t="s">
        <v>42</v>
      </c>
      <c r="N1416" t="s">
        <v>69</v>
      </c>
      <c r="O1416" t="s">
        <v>44</v>
      </c>
      <c r="P1416" t="s">
        <v>55</v>
      </c>
    </row>
    <row r="1417" spans="1:16" x14ac:dyDescent="0.25">
      <c r="A1417" t="s">
        <v>1030</v>
      </c>
      <c r="B1417" t="s">
        <v>1844</v>
      </c>
      <c r="C1417" t="s">
        <v>85</v>
      </c>
      <c r="D1417" t="s">
        <v>30</v>
      </c>
      <c r="E1417" t="s">
        <v>31</v>
      </c>
      <c r="F1417" t="s">
        <v>32</v>
      </c>
      <c r="G1417" t="s">
        <v>33</v>
      </c>
      <c r="H1417" t="s">
        <v>58</v>
      </c>
      <c r="I1417">
        <v>2</v>
      </c>
      <c r="J1417">
        <v>237905</v>
      </c>
      <c r="K1417">
        <v>0</v>
      </c>
      <c r="L1417">
        <v>475810</v>
      </c>
      <c r="M1417" t="s">
        <v>54</v>
      </c>
      <c r="N1417" t="s">
        <v>26</v>
      </c>
      <c r="O1417" t="s">
        <v>44</v>
      </c>
      <c r="P1417" t="s">
        <v>42</v>
      </c>
    </row>
    <row r="1418" spans="1:16" x14ac:dyDescent="0.25">
      <c r="A1418" t="s">
        <v>2426</v>
      </c>
      <c r="B1418" t="s">
        <v>2427</v>
      </c>
      <c r="C1418" t="s">
        <v>61</v>
      </c>
      <c r="D1418" t="s">
        <v>66</v>
      </c>
      <c r="E1418" t="s">
        <v>67</v>
      </c>
      <c r="F1418" t="s">
        <v>68</v>
      </c>
      <c r="G1418" t="s">
        <v>33</v>
      </c>
      <c r="H1418" t="s">
        <v>58</v>
      </c>
      <c r="I1418">
        <v>6</v>
      </c>
      <c r="J1418">
        <v>521152</v>
      </c>
      <c r="K1418">
        <v>0</v>
      </c>
      <c r="L1418">
        <v>3126912</v>
      </c>
      <c r="M1418" t="s">
        <v>42</v>
      </c>
      <c r="N1418" t="s">
        <v>43</v>
      </c>
      <c r="O1418" t="s">
        <v>44</v>
      </c>
      <c r="P1418" t="s">
        <v>55</v>
      </c>
    </row>
    <row r="1419" spans="1:16" x14ac:dyDescent="0.25">
      <c r="A1419" t="s">
        <v>2428</v>
      </c>
      <c r="B1419" t="s">
        <v>2429</v>
      </c>
      <c r="C1419" t="s">
        <v>76</v>
      </c>
      <c r="D1419" t="s">
        <v>47</v>
      </c>
      <c r="E1419" t="s">
        <v>72</v>
      </c>
      <c r="F1419" t="s">
        <v>22</v>
      </c>
      <c r="G1419" t="s">
        <v>62</v>
      </c>
      <c r="H1419" t="s">
        <v>53</v>
      </c>
      <c r="I1419">
        <v>5</v>
      </c>
      <c r="J1419">
        <v>811220</v>
      </c>
      <c r="K1419">
        <v>5</v>
      </c>
      <c r="L1419">
        <v>3853295</v>
      </c>
      <c r="M1419" t="s">
        <v>42</v>
      </c>
      <c r="N1419" t="s">
        <v>69</v>
      </c>
      <c r="O1419" t="s">
        <v>44</v>
      </c>
      <c r="P1419" t="s">
        <v>26</v>
      </c>
    </row>
    <row r="1420" spans="1:16" x14ac:dyDescent="0.25">
      <c r="A1420" t="s">
        <v>2430</v>
      </c>
      <c r="B1420" t="s">
        <v>2431</v>
      </c>
      <c r="C1420" t="s">
        <v>65</v>
      </c>
      <c r="D1420" t="s">
        <v>119</v>
      </c>
      <c r="E1420" t="s">
        <v>21</v>
      </c>
      <c r="F1420" t="s">
        <v>22</v>
      </c>
      <c r="G1420" t="s">
        <v>52</v>
      </c>
      <c r="H1420" t="s">
        <v>86</v>
      </c>
      <c r="I1420">
        <v>8</v>
      </c>
      <c r="J1420">
        <v>769412</v>
      </c>
      <c r="K1420">
        <v>0</v>
      </c>
      <c r="L1420">
        <v>6155296</v>
      </c>
      <c r="M1420" t="s">
        <v>25</v>
      </c>
      <c r="N1420" t="s">
        <v>43</v>
      </c>
      <c r="O1420" t="s">
        <v>44</v>
      </c>
      <c r="P1420" t="s">
        <v>42</v>
      </c>
    </row>
    <row r="1421" spans="1:16" x14ac:dyDescent="0.25">
      <c r="A1421" t="s">
        <v>2432</v>
      </c>
      <c r="B1421" t="s">
        <v>2433</v>
      </c>
      <c r="C1421" t="s">
        <v>76</v>
      </c>
      <c r="D1421" t="s">
        <v>38</v>
      </c>
      <c r="E1421" t="s">
        <v>39</v>
      </c>
      <c r="F1421" t="s">
        <v>40</v>
      </c>
      <c r="G1421" t="s">
        <v>33</v>
      </c>
      <c r="H1421" t="s">
        <v>24</v>
      </c>
      <c r="I1421">
        <v>3</v>
      </c>
      <c r="J1421">
        <v>375745</v>
      </c>
      <c r="M1421" t="s">
        <v>42</v>
      </c>
      <c r="N1421" t="s">
        <v>69</v>
      </c>
      <c r="O1421" t="s">
        <v>44</v>
      </c>
      <c r="P1421" t="s">
        <v>42</v>
      </c>
    </row>
    <row r="1422" spans="1:16" x14ac:dyDescent="0.25">
      <c r="A1422" t="s">
        <v>2434</v>
      </c>
      <c r="B1422" t="s">
        <v>1002</v>
      </c>
      <c r="C1422" t="s">
        <v>85</v>
      </c>
      <c r="D1422" t="s">
        <v>38</v>
      </c>
      <c r="E1422" t="s">
        <v>39</v>
      </c>
      <c r="F1422" t="s">
        <v>40</v>
      </c>
      <c r="G1422" t="s">
        <v>41</v>
      </c>
      <c r="H1422" t="s">
        <v>24</v>
      </c>
      <c r="I1422">
        <v>5</v>
      </c>
      <c r="J1422">
        <v>65500</v>
      </c>
      <c r="K1422">
        <v>5</v>
      </c>
      <c r="L1422">
        <v>311125</v>
      </c>
      <c r="M1422" t="s">
        <v>54</v>
      </c>
      <c r="N1422" t="s">
        <v>43</v>
      </c>
      <c r="O1422" t="s">
        <v>44</v>
      </c>
      <c r="P1422" t="s">
        <v>42</v>
      </c>
    </row>
    <row r="1423" spans="1:16" x14ac:dyDescent="0.25">
      <c r="A1423" t="s">
        <v>2435</v>
      </c>
      <c r="B1423" t="s">
        <v>2401</v>
      </c>
      <c r="C1423" t="s">
        <v>19</v>
      </c>
      <c r="D1423" t="s">
        <v>30</v>
      </c>
      <c r="E1423" t="s">
        <v>142</v>
      </c>
      <c r="F1423" t="s">
        <v>32</v>
      </c>
      <c r="G1423" t="s">
        <v>52</v>
      </c>
      <c r="H1423" t="s">
        <v>24</v>
      </c>
      <c r="I1423">
        <v>8</v>
      </c>
      <c r="J1423">
        <v>305499</v>
      </c>
      <c r="K1423">
        <v>5</v>
      </c>
      <c r="L1423">
        <v>2321792.4</v>
      </c>
      <c r="M1423" t="s">
        <v>42</v>
      </c>
      <c r="N1423" t="s">
        <v>43</v>
      </c>
      <c r="O1423" t="s">
        <v>44</v>
      </c>
      <c r="P1423" t="s">
        <v>55</v>
      </c>
    </row>
    <row r="1424" spans="1:16" x14ac:dyDescent="0.25">
      <c r="A1424" t="s">
        <v>2436</v>
      </c>
      <c r="B1424" t="s">
        <v>775</v>
      </c>
      <c r="C1424" t="s">
        <v>19</v>
      </c>
      <c r="D1424" t="s">
        <v>66</v>
      </c>
      <c r="E1424" t="s">
        <v>67</v>
      </c>
      <c r="F1424" t="s">
        <v>68</v>
      </c>
      <c r="G1424" t="s">
        <v>62</v>
      </c>
      <c r="H1424" t="s">
        <v>53</v>
      </c>
      <c r="I1424">
        <v>8</v>
      </c>
      <c r="J1424">
        <v>702511</v>
      </c>
      <c r="K1424">
        <v>10</v>
      </c>
      <c r="L1424">
        <v>5058079.2</v>
      </c>
      <c r="M1424" t="s">
        <v>54</v>
      </c>
      <c r="N1424" t="s">
        <v>26</v>
      </c>
      <c r="O1424" t="s">
        <v>27</v>
      </c>
      <c r="P1424" t="s">
        <v>26</v>
      </c>
    </row>
    <row r="1425" spans="1:16" x14ac:dyDescent="0.25">
      <c r="A1425" t="s">
        <v>2437</v>
      </c>
      <c r="B1425" t="s">
        <v>1754</v>
      </c>
      <c r="C1425" t="s">
        <v>76</v>
      </c>
      <c r="D1425" t="s">
        <v>66</v>
      </c>
      <c r="E1425" t="s">
        <v>67</v>
      </c>
      <c r="F1425" t="s">
        <v>68</v>
      </c>
      <c r="G1425" t="s">
        <v>41</v>
      </c>
      <c r="H1425" t="s">
        <v>34</v>
      </c>
      <c r="I1425">
        <v>5</v>
      </c>
      <c r="J1425">
        <v>213453</v>
      </c>
      <c r="K1425">
        <v>7</v>
      </c>
      <c r="L1425">
        <v>992556.45</v>
      </c>
      <c r="M1425" t="s">
        <v>54</v>
      </c>
      <c r="N1425" t="s">
        <v>26</v>
      </c>
      <c r="O1425" t="s">
        <v>27</v>
      </c>
      <c r="P1425" t="s">
        <v>55</v>
      </c>
    </row>
    <row r="1426" spans="1:16" x14ac:dyDescent="0.25">
      <c r="A1426" t="s">
        <v>2438</v>
      </c>
      <c r="B1426" t="s">
        <v>802</v>
      </c>
      <c r="C1426" t="s">
        <v>99</v>
      </c>
      <c r="D1426" t="s">
        <v>30</v>
      </c>
      <c r="E1426" t="s">
        <v>142</v>
      </c>
      <c r="F1426" t="s">
        <v>32</v>
      </c>
      <c r="G1426" t="s">
        <v>135</v>
      </c>
      <c r="H1426" t="s">
        <v>53</v>
      </c>
      <c r="I1426">
        <v>8</v>
      </c>
      <c r="J1426">
        <v>201587</v>
      </c>
      <c r="K1426">
        <v>2</v>
      </c>
      <c r="L1426">
        <v>1580442.08</v>
      </c>
      <c r="M1426" t="s">
        <v>54</v>
      </c>
      <c r="N1426" t="s">
        <v>69</v>
      </c>
      <c r="O1426" t="s">
        <v>44</v>
      </c>
      <c r="P1426" t="s">
        <v>55</v>
      </c>
    </row>
    <row r="1427" spans="1:16" x14ac:dyDescent="0.25">
      <c r="A1427" t="s">
        <v>2439</v>
      </c>
      <c r="B1427" t="s">
        <v>2440</v>
      </c>
      <c r="C1427" t="s">
        <v>37</v>
      </c>
      <c r="D1427" t="s">
        <v>20</v>
      </c>
      <c r="E1427" t="s">
        <v>189</v>
      </c>
      <c r="F1427" t="s">
        <v>22</v>
      </c>
      <c r="G1427" t="s">
        <v>135</v>
      </c>
      <c r="H1427" t="s">
        <v>86</v>
      </c>
      <c r="I1427">
        <v>1</v>
      </c>
      <c r="J1427">
        <v>155735</v>
      </c>
      <c r="K1427">
        <v>2</v>
      </c>
      <c r="L1427">
        <v>152620.29999999999</v>
      </c>
      <c r="M1427" t="s">
        <v>25</v>
      </c>
      <c r="N1427" t="s">
        <v>69</v>
      </c>
      <c r="O1427" t="s">
        <v>27</v>
      </c>
      <c r="P1427" t="s">
        <v>26</v>
      </c>
    </row>
    <row r="1428" spans="1:16" x14ac:dyDescent="0.25">
      <c r="A1428" t="s">
        <v>2441</v>
      </c>
      <c r="B1428" t="s">
        <v>372</v>
      </c>
      <c r="C1428" t="s">
        <v>19</v>
      </c>
      <c r="D1428" t="s">
        <v>38</v>
      </c>
      <c r="E1428" t="s">
        <v>39</v>
      </c>
      <c r="F1428" t="s">
        <v>40</v>
      </c>
      <c r="G1428" t="s">
        <v>52</v>
      </c>
      <c r="H1428" t="s">
        <v>53</v>
      </c>
      <c r="I1428">
        <v>1</v>
      </c>
      <c r="J1428">
        <v>684967</v>
      </c>
      <c r="K1428">
        <v>0</v>
      </c>
      <c r="L1428">
        <v>697312</v>
      </c>
      <c r="M1428" t="s">
        <v>54</v>
      </c>
      <c r="N1428" t="s">
        <v>43</v>
      </c>
      <c r="O1428" t="s">
        <v>44</v>
      </c>
      <c r="P1428" t="s">
        <v>26</v>
      </c>
    </row>
    <row r="1429" spans="1:16" x14ac:dyDescent="0.25">
      <c r="A1429" t="s">
        <v>2442</v>
      </c>
      <c r="B1429" t="s">
        <v>2443</v>
      </c>
      <c r="C1429" t="s">
        <v>99</v>
      </c>
      <c r="D1429" t="s">
        <v>47</v>
      </c>
      <c r="E1429" t="s">
        <v>48</v>
      </c>
      <c r="F1429" t="s">
        <v>22</v>
      </c>
      <c r="G1429" t="s">
        <v>124</v>
      </c>
      <c r="H1429" t="s">
        <v>53</v>
      </c>
      <c r="I1429">
        <v>2</v>
      </c>
      <c r="J1429">
        <v>873155</v>
      </c>
      <c r="K1429">
        <v>0</v>
      </c>
      <c r="L1429">
        <v>1746310</v>
      </c>
      <c r="M1429" t="s">
        <v>54</v>
      </c>
      <c r="N1429" t="s">
        <v>26</v>
      </c>
      <c r="O1429" t="s">
        <v>44</v>
      </c>
      <c r="P1429" t="s">
        <v>55</v>
      </c>
    </row>
    <row r="1430" spans="1:16" x14ac:dyDescent="0.25">
      <c r="A1430" t="s">
        <v>2444</v>
      </c>
      <c r="B1430" t="s">
        <v>1619</v>
      </c>
      <c r="C1430" t="s">
        <v>19</v>
      </c>
      <c r="D1430" t="s">
        <v>38</v>
      </c>
      <c r="E1430" t="s">
        <v>39</v>
      </c>
      <c r="F1430" t="s">
        <v>40</v>
      </c>
      <c r="G1430" t="s">
        <v>33</v>
      </c>
      <c r="H1430" t="s">
        <v>34</v>
      </c>
      <c r="I1430">
        <v>7</v>
      </c>
      <c r="J1430">
        <v>84447</v>
      </c>
      <c r="K1430">
        <v>12</v>
      </c>
      <c r="L1430">
        <v>520193.52</v>
      </c>
      <c r="M1430" t="s">
        <v>54</v>
      </c>
      <c r="N1430" t="s">
        <v>69</v>
      </c>
      <c r="O1430" t="s">
        <v>44</v>
      </c>
      <c r="P1430" t="s">
        <v>55</v>
      </c>
    </row>
    <row r="1431" spans="1:16" x14ac:dyDescent="0.25">
      <c r="A1431" t="s">
        <v>2445</v>
      </c>
      <c r="B1431" t="s">
        <v>262</v>
      </c>
      <c r="C1431" t="s">
        <v>37</v>
      </c>
      <c r="D1431" t="s">
        <v>66</v>
      </c>
      <c r="E1431" t="s">
        <v>67</v>
      </c>
      <c r="F1431" t="s">
        <v>68</v>
      </c>
      <c r="G1431" t="s">
        <v>62</v>
      </c>
      <c r="H1431" t="s">
        <v>34</v>
      </c>
      <c r="I1431">
        <v>6</v>
      </c>
      <c r="J1431">
        <v>398930</v>
      </c>
      <c r="K1431">
        <v>0</v>
      </c>
      <c r="L1431">
        <v>2393580</v>
      </c>
      <c r="M1431" t="s">
        <v>54</v>
      </c>
      <c r="N1431" t="s">
        <v>26</v>
      </c>
      <c r="O1431" t="s">
        <v>44</v>
      </c>
      <c r="P1431" t="s">
        <v>55</v>
      </c>
    </row>
    <row r="1432" spans="1:16" x14ac:dyDescent="0.25">
      <c r="A1432" t="s">
        <v>2446</v>
      </c>
      <c r="B1432" t="s">
        <v>815</v>
      </c>
      <c r="C1432" t="s">
        <v>91</v>
      </c>
      <c r="D1432" t="s">
        <v>129</v>
      </c>
      <c r="E1432" t="s">
        <v>39</v>
      </c>
      <c r="F1432" t="s">
        <v>40</v>
      </c>
      <c r="G1432" t="s">
        <v>41</v>
      </c>
      <c r="H1432" t="s">
        <v>24</v>
      </c>
      <c r="I1432">
        <v>7</v>
      </c>
      <c r="J1432">
        <v>120741</v>
      </c>
      <c r="K1432">
        <v>10</v>
      </c>
      <c r="L1432">
        <v>760668.3</v>
      </c>
      <c r="M1432" t="s">
        <v>42</v>
      </c>
      <c r="N1432" t="s">
        <v>43</v>
      </c>
      <c r="O1432" t="s">
        <v>27</v>
      </c>
      <c r="P1432" t="s">
        <v>26</v>
      </c>
    </row>
    <row r="1433" spans="1:16" x14ac:dyDescent="0.25">
      <c r="A1433" t="s">
        <v>2447</v>
      </c>
      <c r="B1433" t="s">
        <v>2448</v>
      </c>
      <c r="C1433" t="s">
        <v>19</v>
      </c>
      <c r="D1433" t="s">
        <v>47</v>
      </c>
      <c r="E1433" t="s">
        <v>48</v>
      </c>
      <c r="F1433" t="s">
        <v>22</v>
      </c>
      <c r="G1433" t="s">
        <v>94</v>
      </c>
      <c r="H1433" t="s">
        <v>58</v>
      </c>
      <c r="I1433">
        <v>2</v>
      </c>
      <c r="J1433">
        <v>323566</v>
      </c>
      <c r="K1433">
        <v>10</v>
      </c>
      <c r="L1433">
        <v>582418.80000000005</v>
      </c>
      <c r="M1433" t="s">
        <v>54</v>
      </c>
      <c r="N1433" t="s">
        <v>69</v>
      </c>
      <c r="O1433" t="s">
        <v>27</v>
      </c>
      <c r="P1433" t="s">
        <v>55</v>
      </c>
    </row>
    <row r="1434" spans="1:16" x14ac:dyDescent="0.25">
      <c r="A1434" t="s">
        <v>2449</v>
      </c>
      <c r="B1434" t="s">
        <v>2450</v>
      </c>
      <c r="C1434" t="s">
        <v>65</v>
      </c>
      <c r="D1434" t="s">
        <v>38</v>
      </c>
      <c r="E1434" t="s">
        <v>39</v>
      </c>
      <c r="F1434" t="s">
        <v>40</v>
      </c>
      <c r="G1434" t="s">
        <v>52</v>
      </c>
      <c r="H1434" t="s">
        <v>53</v>
      </c>
      <c r="I1434">
        <v>2</v>
      </c>
      <c r="J1434">
        <v>849679</v>
      </c>
      <c r="K1434">
        <v>2</v>
      </c>
      <c r="L1434">
        <v>1665370.84</v>
      </c>
      <c r="M1434" t="s">
        <v>42</v>
      </c>
      <c r="N1434" t="s">
        <v>43</v>
      </c>
      <c r="O1434" t="s">
        <v>44</v>
      </c>
      <c r="P1434" t="s">
        <v>26</v>
      </c>
    </row>
    <row r="1435" spans="1:16" x14ac:dyDescent="0.25">
      <c r="A1435" t="s">
        <v>2451</v>
      </c>
      <c r="B1435" t="s">
        <v>1258</v>
      </c>
      <c r="C1435" t="s">
        <v>37</v>
      </c>
      <c r="D1435" t="s">
        <v>66</v>
      </c>
      <c r="E1435" t="s">
        <v>67</v>
      </c>
      <c r="F1435" t="s">
        <v>68</v>
      </c>
      <c r="G1435" t="s">
        <v>52</v>
      </c>
      <c r="H1435" t="s">
        <v>53</v>
      </c>
      <c r="I1435">
        <v>2</v>
      </c>
      <c r="J1435">
        <v>805851</v>
      </c>
      <c r="K1435">
        <v>0</v>
      </c>
      <c r="L1435">
        <v>1611702</v>
      </c>
      <c r="M1435" t="s">
        <v>42</v>
      </c>
      <c r="N1435" t="s">
        <v>43</v>
      </c>
      <c r="O1435" t="s">
        <v>27</v>
      </c>
      <c r="P1435" t="s">
        <v>42</v>
      </c>
    </row>
    <row r="1436" spans="1:16" x14ac:dyDescent="0.25">
      <c r="A1436" t="s">
        <v>2452</v>
      </c>
      <c r="B1436" t="s">
        <v>2453</v>
      </c>
      <c r="C1436" t="s">
        <v>65</v>
      </c>
      <c r="D1436" t="s">
        <v>47</v>
      </c>
      <c r="E1436" t="s">
        <v>72</v>
      </c>
      <c r="F1436" t="s">
        <v>22</v>
      </c>
      <c r="G1436" t="s">
        <v>124</v>
      </c>
      <c r="H1436" t="s">
        <v>86</v>
      </c>
      <c r="I1436">
        <v>5</v>
      </c>
      <c r="J1436">
        <v>450175</v>
      </c>
      <c r="K1436">
        <v>12</v>
      </c>
      <c r="L1436">
        <v>1980770</v>
      </c>
      <c r="M1436" t="s">
        <v>25</v>
      </c>
      <c r="N1436" t="s">
        <v>26</v>
      </c>
      <c r="O1436" t="s">
        <v>44</v>
      </c>
      <c r="P1436" t="s">
        <v>26</v>
      </c>
    </row>
    <row r="1437" spans="1:16" x14ac:dyDescent="0.25">
      <c r="A1437" t="s">
        <v>2454</v>
      </c>
      <c r="B1437" t="s">
        <v>1955</v>
      </c>
      <c r="C1437" t="s">
        <v>91</v>
      </c>
      <c r="D1437" t="s">
        <v>154</v>
      </c>
      <c r="E1437" t="s">
        <v>67</v>
      </c>
      <c r="F1437" t="s">
        <v>68</v>
      </c>
      <c r="G1437" t="s">
        <v>89</v>
      </c>
      <c r="H1437" t="s">
        <v>34</v>
      </c>
      <c r="I1437">
        <v>6</v>
      </c>
      <c r="J1437">
        <v>637076</v>
      </c>
      <c r="K1437">
        <v>2</v>
      </c>
      <c r="L1437">
        <v>3746006.88</v>
      </c>
      <c r="M1437" t="s">
        <v>25</v>
      </c>
      <c r="N1437" t="s">
        <v>26</v>
      </c>
      <c r="O1437" t="s">
        <v>27</v>
      </c>
      <c r="P1437" t="s">
        <v>26</v>
      </c>
    </row>
    <row r="1438" spans="1:16" x14ac:dyDescent="0.25">
      <c r="A1438" t="s">
        <v>2455</v>
      </c>
      <c r="B1438" t="s">
        <v>2456</v>
      </c>
      <c r="C1438" t="s">
        <v>37</v>
      </c>
      <c r="D1438" t="s">
        <v>30</v>
      </c>
      <c r="E1438" t="s">
        <v>31</v>
      </c>
      <c r="F1438" t="s">
        <v>32</v>
      </c>
      <c r="G1438" t="s">
        <v>89</v>
      </c>
      <c r="H1438" t="s">
        <v>53</v>
      </c>
      <c r="I1438">
        <v>1</v>
      </c>
      <c r="J1438">
        <v>815225</v>
      </c>
      <c r="K1438">
        <v>12</v>
      </c>
      <c r="L1438">
        <v>717398</v>
      </c>
      <c r="M1438" t="s">
        <v>54</v>
      </c>
      <c r="N1438" t="s">
        <v>69</v>
      </c>
      <c r="O1438" t="s">
        <v>27</v>
      </c>
      <c r="P1438" t="s">
        <v>26</v>
      </c>
    </row>
    <row r="1439" spans="1:16" x14ac:dyDescent="0.25">
      <c r="A1439" t="s">
        <v>2457</v>
      </c>
      <c r="B1439" t="s">
        <v>644</v>
      </c>
      <c r="C1439" t="s">
        <v>19</v>
      </c>
      <c r="D1439" t="s">
        <v>154</v>
      </c>
      <c r="E1439" t="s">
        <v>201</v>
      </c>
      <c r="F1439" t="s">
        <v>68</v>
      </c>
      <c r="G1439" t="s">
        <v>124</v>
      </c>
      <c r="H1439" t="s">
        <v>24</v>
      </c>
      <c r="I1439">
        <v>6</v>
      </c>
      <c r="J1439">
        <v>788381</v>
      </c>
      <c r="K1439">
        <v>5</v>
      </c>
      <c r="L1439">
        <v>4493771.7</v>
      </c>
      <c r="M1439" t="s">
        <v>54</v>
      </c>
      <c r="N1439" t="s">
        <v>43</v>
      </c>
      <c r="O1439" t="s">
        <v>27</v>
      </c>
      <c r="P1439" t="s">
        <v>42</v>
      </c>
    </row>
    <row r="1440" spans="1:16" x14ac:dyDescent="0.25">
      <c r="A1440" t="s">
        <v>2458</v>
      </c>
      <c r="B1440" t="s">
        <v>1308</v>
      </c>
      <c r="C1440" t="s">
        <v>76</v>
      </c>
      <c r="D1440" t="s">
        <v>47</v>
      </c>
      <c r="E1440" t="s">
        <v>48</v>
      </c>
      <c r="F1440" t="s">
        <v>22</v>
      </c>
      <c r="G1440" t="s">
        <v>41</v>
      </c>
      <c r="H1440" t="s">
        <v>24</v>
      </c>
      <c r="J1440">
        <v>832149</v>
      </c>
      <c r="K1440">
        <v>7</v>
      </c>
      <c r="M1440" t="s">
        <v>25</v>
      </c>
      <c r="N1440" t="s">
        <v>26</v>
      </c>
      <c r="O1440" t="s">
        <v>44</v>
      </c>
      <c r="P1440" t="s">
        <v>42</v>
      </c>
    </row>
    <row r="1441" spans="1:16" x14ac:dyDescent="0.25">
      <c r="A1441" t="s">
        <v>2459</v>
      </c>
      <c r="B1441" t="s">
        <v>1791</v>
      </c>
      <c r="C1441" t="s">
        <v>19</v>
      </c>
      <c r="D1441" t="s">
        <v>38</v>
      </c>
      <c r="E1441" t="s">
        <v>39</v>
      </c>
      <c r="F1441" t="s">
        <v>40</v>
      </c>
      <c r="G1441" t="s">
        <v>73</v>
      </c>
      <c r="H1441" t="s">
        <v>86</v>
      </c>
      <c r="I1441">
        <v>8</v>
      </c>
      <c r="J1441">
        <v>185100</v>
      </c>
      <c r="K1441">
        <v>7</v>
      </c>
      <c r="L1441">
        <v>1377144</v>
      </c>
      <c r="M1441" t="s">
        <v>25</v>
      </c>
      <c r="N1441" t="s">
        <v>26</v>
      </c>
      <c r="O1441" t="s">
        <v>27</v>
      </c>
      <c r="P1441" t="s">
        <v>42</v>
      </c>
    </row>
    <row r="1442" spans="1:16" x14ac:dyDescent="0.25">
      <c r="A1442" t="s">
        <v>2460</v>
      </c>
      <c r="B1442" t="s">
        <v>2461</v>
      </c>
      <c r="C1442" t="s">
        <v>65</v>
      </c>
      <c r="D1442" t="s">
        <v>66</v>
      </c>
      <c r="E1442" t="s">
        <v>67</v>
      </c>
      <c r="F1442" t="s">
        <v>68</v>
      </c>
      <c r="G1442" t="s">
        <v>124</v>
      </c>
      <c r="H1442" t="s">
        <v>34</v>
      </c>
      <c r="I1442">
        <v>4</v>
      </c>
      <c r="J1442">
        <v>164686</v>
      </c>
      <c r="K1442">
        <v>0</v>
      </c>
      <c r="L1442">
        <v>658744</v>
      </c>
      <c r="M1442" t="s">
        <v>25</v>
      </c>
      <c r="N1442" t="s">
        <v>43</v>
      </c>
      <c r="O1442" t="s">
        <v>44</v>
      </c>
      <c r="P1442" t="s">
        <v>55</v>
      </c>
    </row>
    <row r="1443" spans="1:16" x14ac:dyDescent="0.25">
      <c r="A1443" t="s">
        <v>2462</v>
      </c>
      <c r="B1443" t="s">
        <v>1292</v>
      </c>
      <c r="C1443" t="s">
        <v>65</v>
      </c>
      <c r="D1443" t="s">
        <v>20</v>
      </c>
      <c r="E1443" t="s">
        <v>21</v>
      </c>
      <c r="F1443" t="s">
        <v>22</v>
      </c>
      <c r="G1443" t="s">
        <v>73</v>
      </c>
      <c r="H1443" t="s">
        <v>86</v>
      </c>
      <c r="I1443">
        <v>7</v>
      </c>
      <c r="J1443">
        <v>129028</v>
      </c>
      <c r="K1443">
        <v>7</v>
      </c>
      <c r="L1443">
        <v>839972.27999999991</v>
      </c>
      <c r="M1443" t="s">
        <v>54</v>
      </c>
      <c r="N1443" t="s">
        <v>26</v>
      </c>
      <c r="O1443" t="s">
        <v>44</v>
      </c>
      <c r="P1443" t="s">
        <v>42</v>
      </c>
    </row>
    <row r="1444" spans="1:16" x14ac:dyDescent="0.25">
      <c r="A1444" t="s">
        <v>2463</v>
      </c>
      <c r="B1444" t="s">
        <v>2464</v>
      </c>
      <c r="C1444" t="s">
        <v>85</v>
      </c>
      <c r="D1444" t="s">
        <v>20</v>
      </c>
      <c r="E1444" t="s">
        <v>189</v>
      </c>
      <c r="F1444" t="s">
        <v>22</v>
      </c>
      <c r="G1444" t="s">
        <v>52</v>
      </c>
      <c r="H1444" t="s">
        <v>53</v>
      </c>
      <c r="I1444">
        <v>3</v>
      </c>
      <c r="J1444">
        <v>742022</v>
      </c>
      <c r="K1444">
        <v>5</v>
      </c>
      <c r="L1444">
        <v>2114762.7000000002</v>
      </c>
      <c r="M1444" t="s">
        <v>54</v>
      </c>
      <c r="N1444" t="s">
        <v>43</v>
      </c>
      <c r="O1444" t="s">
        <v>44</v>
      </c>
      <c r="P1444" t="s">
        <v>26</v>
      </c>
    </row>
    <row r="1445" spans="1:16" x14ac:dyDescent="0.25">
      <c r="A1445" t="s">
        <v>1325</v>
      </c>
      <c r="B1445" t="s">
        <v>2220</v>
      </c>
      <c r="C1445" t="s">
        <v>37</v>
      </c>
      <c r="D1445" t="s">
        <v>106</v>
      </c>
      <c r="E1445" t="s">
        <v>31</v>
      </c>
      <c r="F1445" t="s">
        <v>32</v>
      </c>
      <c r="G1445" t="s">
        <v>73</v>
      </c>
      <c r="H1445" t="s">
        <v>58</v>
      </c>
      <c r="I1445">
        <v>5</v>
      </c>
      <c r="J1445">
        <v>680161</v>
      </c>
      <c r="K1445">
        <v>7</v>
      </c>
      <c r="L1445">
        <v>3162748.65</v>
      </c>
      <c r="M1445" t="s">
        <v>54</v>
      </c>
      <c r="N1445" t="s">
        <v>43</v>
      </c>
      <c r="O1445" t="s">
        <v>44</v>
      </c>
      <c r="P1445" t="s">
        <v>26</v>
      </c>
    </row>
    <row r="1446" spans="1:16" x14ac:dyDescent="0.25">
      <c r="A1446" t="s">
        <v>2465</v>
      </c>
      <c r="B1446" t="s">
        <v>2466</v>
      </c>
      <c r="C1446" t="s">
        <v>76</v>
      </c>
      <c r="D1446" t="s">
        <v>47</v>
      </c>
      <c r="E1446" t="s">
        <v>48</v>
      </c>
      <c r="F1446" t="s">
        <v>22</v>
      </c>
      <c r="G1446" t="s">
        <v>33</v>
      </c>
      <c r="H1446" t="s">
        <v>53</v>
      </c>
      <c r="I1446">
        <v>2</v>
      </c>
      <c r="J1446">
        <v>400531</v>
      </c>
      <c r="K1446">
        <v>2</v>
      </c>
      <c r="L1446">
        <v>785040.76</v>
      </c>
      <c r="M1446" t="s">
        <v>54</v>
      </c>
      <c r="N1446" t="s">
        <v>26</v>
      </c>
      <c r="O1446" t="s">
        <v>44</v>
      </c>
      <c r="P1446" t="s">
        <v>55</v>
      </c>
    </row>
    <row r="1447" spans="1:16" x14ac:dyDescent="0.25">
      <c r="A1447" t="s">
        <v>2467</v>
      </c>
      <c r="B1447" t="s">
        <v>2468</v>
      </c>
      <c r="C1447" t="s">
        <v>85</v>
      </c>
      <c r="D1447" t="s">
        <v>66</v>
      </c>
      <c r="E1447" t="s">
        <v>201</v>
      </c>
      <c r="F1447" t="s">
        <v>68</v>
      </c>
      <c r="G1447" t="s">
        <v>52</v>
      </c>
      <c r="H1447" t="s">
        <v>34</v>
      </c>
      <c r="I1447">
        <v>3</v>
      </c>
      <c r="J1447">
        <v>611926</v>
      </c>
      <c r="K1447">
        <v>0</v>
      </c>
      <c r="L1447">
        <v>1835778</v>
      </c>
      <c r="M1447" t="s">
        <v>25</v>
      </c>
      <c r="N1447" t="s">
        <v>43</v>
      </c>
      <c r="O1447" t="s">
        <v>27</v>
      </c>
      <c r="P1447" t="s">
        <v>55</v>
      </c>
    </row>
    <row r="1448" spans="1:16" x14ac:dyDescent="0.25">
      <c r="A1448" t="s">
        <v>2469</v>
      </c>
      <c r="B1448" t="s">
        <v>2007</v>
      </c>
      <c r="C1448" t="s">
        <v>37</v>
      </c>
      <c r="D1448" t="s">
        <v>66</v>
      </c>
      <c r="E1448" t="s">
        <v>67</v>
      </c>
      <c r="F1448" t="s">
        <v>68</v>
      </c>
      <c r="G1448" t="s">
        <v>52</v>
      </c>
      <c r="H1448" t="s">
        <v>86</v>
      </c>
      <c r="I1448">
        <v>3</v>
      </c>
      <c r="J1448">
        <v>274247</v>
      </c>
      <c r="K1448">
        <v>7</v>
      </c>
      <c r="L1448">
        <v>765149.13</v>
      </c>
      <c r="M1448" t="s">
        <v>42</v>
      </c>
      <c r="N1448" t="s">
        <v>43</v>
      </c>
      <c r="O1448" t="s">
        <v>27</v>
      </c>
      <c r="P1448" t="s">
        <v>55</v>
      </c>
    </row>
    <row r="1449" spans="1:16" x14ac:dyDescent="0.25">
      <c r="A1449" t="s">
        <v>2470</v>
      </c>
      <c r="B1449" t="s">
        <v>2471</v>
      </c>
      <c r="C1449" t="s">
        <v>19</v>
      </c>
      <c r="D1449" t="s">
        <v>20</v>
      </c>
      <c r="E1449" t="s">
        <v>21</v>
      </c>
      <c r="F1449" t="s">
        <v>22</v>
      </c>
      <c r="G1449" t="s">
        <v>62</v>
      </c>
      <c r="H1449" t="s">
        <v>53</v>
      </c>
      <c r="I1449">
        <v>3</v>
      </c>
      <c r="J1449">
        <v>844380</v>
      </c>
      <c r="K1449">
        <v>5</v>
      </c>
      <c r="L1449">
        <v>2406483</v>
      </c>
      <c r="M1449" t="s">
        <v>54</v>
      </c>
      <c r="N1449" t="s">
        <v>26</v>
      </c>
      <c r="O1449" t="s">
        <v>27</v>
      </c>
      <c r="P1449" t="s">
        <v>42</v>
      </c>
    </row>
    <row r="1450" spans="1:16" x14ac:dyDescent="0.25">
      <c r="A1450" t="s">
        <v>2472</v>
      </c>
      <c r="B1450" t="s">
        <v>1475</v>
      </c>
      <c r="C1450" t="s">
        <v>37</v>
      </c>
      <c r="D1450" t="s">
        <v>30</v>
      </c>
      <c r="E1450" t="s">
        <v>31</v>
      </c>
      <c r="F1450" t="s">
        <v>32</v>
      </c>
      <c r="G1450" t="s">
        <v>41</v>
      </c>
      <c r="H1450" t="s">
        <v>34</v>
      </c>
      <c r="I1450">
        <v>1</v>
      </c>
      <c r="J1450">
        <v>295333</v>
      </c>
      <c r="K1450">
        <v>5</v>
      </c>
      <c r="L1450">
        <v>280566.34999999998</v>
      </c>
      <c r="M1450" t="s">
        <v>25</v>
      </c>
      <c r="N1450" t="s">
        <v>69</v>
      </c>
      <c r="O1450" t="s">
        <v>27</v>
      </c>
      <c r="P1450" t="s">
        <v>42</v>
      </c>
    </row>
    <row r="1451" spans="1:16" x14ac:dyDescent="0.25">
      <c r="A1451" t="s">
        <v>2473</v>
      </c>
      <c r="B1451" t="s">
        <v>1486</v>
      </c>
      <c r="C1451" t="s">
        <v>65</v>
      </c>
      <c r="D1451" t="s">
        <v>66</v>
      </c>
      <c r="E1451" t="s">
        <v>67</v>
      </c>
      <c r="F1451" t="s">
        <v>68</v>
      </c>
      <c r="G1451" t="s">
        <v>62</v>
      </c>
      <c r="H1451" t="s">
        <v>34</v>
      </c>
      <c r="I1451">
        <v>8</v>
      </c>
      <c r="J1451">
        <v>624913</v>
      </c>
      <c r="K1451">
        <v>7</v>
      </c>
      <c r="L1451">
        <v>4649352.72</v>
      </c>
      <c r="M1451" t="s">
        <v>42</v>
      </c>
      <c r="N1451" t="s">
        <v>26</v>
      </c>
      <c r="O1451" t="s">
        <v>44</v>
      </c>
      <c r="P1451" t="s">
        <v>26</v>
      </c>
    </row>
    <row r="1452" spans="1:16" x14ac:dyDescent="0.25">
      <c r="A1452" t="s">
        <v>2474</v>
      </c>
      <c r="B1452" t="s">
        <v>2475</v>
      </c>
      <c r="C1452" t="s">
        <v>61</v>
      </c>
      <c r="D1452" t="s">
        <v>154</v>
      </c>
      <c r="E1452" t="s">
        <v>67</v>
      </c>
      <c r="F1452" t="s">
        <v>68</v>
      </c>
      <c r="G1452" t="s">
        <v>41</v>
      </c>
      <c r="H1452" t="s">
        <v>58</v>
      </c>
      <c r="I1452">
        <v>6</v>
      </c>
      <c r="J1452">
        <v>274006</v>
      </c>
      <c r="K1452">
        <v>7</v>
      </c>
      <c r="L1452">
        <v>1528953.48</v>
      </c>
      <c r="M1452" t="s">
        <v>42</v>
      </c>
      <c r="N1452" t="s">
        <v>69</v>
      </c>
      <c r="O1452" t="s">
        <v>27</v>
      </c>
      <c r="P1452" t="s">
        <v>55</v>
      </c>
    </row>
    <row r="1453" spans="1:16" x14ac:dyDescent="0.25">
      <c r="A1453" t="s">
        <v>2476</v>
      </c>
      <c r="B1453" t="s">
        <v>1653</v>
      </c>
      <c r="C1453" t="s">
        <v>19</v>
      </c>
      <c r="D1453" t="s">
        <v>66</v>
      </c>
      <c r="E1453" t="s">
        <v>67</v>
      </c>
      <c r="F1453" t="s">
        <v>68</v>
      </c>
      <c r="G1453" t="s">
        <v>41</v>
      </c>
      <c r="H1453" t="s">
        <v>24</v>
      </c>
      <c r="I1453">
        <v>3</v>
      </c>
      <c r="J1453">
        <v>284574</v>
      </c>
      <c r="K1453">
        <v>2</v>
      </c>
      <c r="L1453">
        <v>836647.55999999994</v>
      </c>
      <c r="M1453" t="s">
        <v>54</v>
      </c>
      <c r="N1453" t="s">
        <v>43</v>
      </c>
      <c r="O1453" t="s">
        <v>27</v>
      </c>
      <c r="P1453" t="s">
        <v>42</v>
      </c>
    </row>
    <row r="1454" spans="1:16" x14ac:dyDescent="0.25">
      <c r="A1454" t="s">
        <v>2477</v>
      </c>
      <c r="B1454" t="s">
        <v>2478</v>
      </c>
      <c r="C1454" t="s">
        <v>37</v>
      </c>
      <c r="D1454" t="s">
        <v>38</v>
      </c>
      <c r="E1454" t="s">
        <v>39</v>
      </c>
      <c r="F1454" t="s">
        <v>40</v>
      </c>
      <c r="G1454" t="s">
        <v>73</v>
      </c>
      <c r="H1454" t="s">
        <v>58</v>
      </c>
      <c r="I1454">
        <v>8</v>
      </c>
      <c r="J1454">
        <v>671872</v>
      </c>
      <c r="K1454">
        <v>12</v>
      </c>
      <c r="L1454">
        <v>4729978.8799999999</v>
      </c>
      <c r="M1454" t="s">
        <v>42</v>
      </c>
      <c r="N1454" t="s">
        <v>69</v>
      </c>
      <c r="O1454" t="s">
        <v>44</v>
      </c>
      <c r="P1454" t="s">
        <v>42</v>
      </c>
    </row>
    <row r="1455" spans="1:16" x14ac:dyDescent="0.25">
      <c r="A1455" t="s">
        <v>2479</v>
      </c>
      <c r="B1455" t="s">
        <v>2480</v>
      </c>
      <c r="C1455" t="s">
        <v>76</v>
      </c>
      <c r="D1455" t="s">
        <v>30</v>
      </c>
      <c r="E1455" t="s">
        <v>31</v>
      </c>
      <c r="F1455" t="s">
        <v>32</v>
      </c>
      <c r="G1455" t="s">
        <v>41</v>
      </c>
      <c r="H1455" t="s">
        <v>24</v>
      </c>
      <c r="I1455">
        <v>5</v>
      </c>
      <c r="J1455">
        <v>384007</v>
      </c>
      <c r="K1455">
        <v>10</v>
      </c>
      <c r="L1455">
        <v>1728031.5</v>
      </c>
      <c r="M1455" t="s">
        <v>42</v>
      </c>
      <c r="N1455" t="s">
        <v>43</v>
      </c>
      <c r="O1455" t="s">
        <v>27</v>
      </c>
      <c r="P1455" t="s">
        <v>26</v>
      </c>
    </row>
    <row r="1456" spans="1:16" x14ac:dyDescent="0.25">
      <c r="A1456" t="s">
        <v>2481</v>
      </c>
      <c r="B1456" t="s">
        <v>2440</v>
      </c>
      <c r="C1456" t="s">
        <v>85</v>
      </c>
      <c r="D1456" t="s">
        <v>129</v>
      </c>
      <c r="E1456" t="s">
        <v>39</v>
      </c>
      <c r="F1456" t="s">
        <v>40</v>
      </c>
      <c r="G1456" t="s">
        <v>52</v>
      </c>
      <c r="H1456" t="s">
        <v>53</v>
      </c>
      <c r="I1456">
        <v>5</v>
      </c>
      <c r="J1456">
        <v>464508</v>
      </c>
      <c r="K1456">
        <v>12</v>
      </c>
      <c r="L1456">
        <v>2043835.2</v>
      </c>
      <c r="M1456" t="s">
        <v>25</v>
      </c>
      <c r="N1456" t="s">
        <v>43</v>
      </c>
      <c r="O1456" t="s">
        <v>44</v>
      </c>
      <c r="P1456" t="s">
        <v>55</v>
      </c>
    </row>
    <row r="1457" spans="1:16" x14ac:dyDescent="0.25">
      <c r="A1457" t="s">
        <v>2482</v>
      </c>
      <c r="B1457" t="s">
        <v>1265</v>
      </c>
      <c r="C1457" t="s">
        <v>37</v>
      </c>
      <c r="D1457" t="s">
        <v>38</v>
      </c>
      <c r="E1457" t="s">
        <v>39</v>
      </c>
      <c r="F1457" t="s">
        <v>40</v>
      </c>
      <c r="G1457" t="s">
        <v>33</v>
      </c>
      <c r="H1457" t="s">
        <v>53</v>
      </c>
      <c r="I1457">
        <v>7</v>
      </c>
      <c r="J1457">
        <v>559654</v>
      </c>
      <c r="K1457">
        <v>0</v>
      </c>
      <c r="L1457">
        <v>3917578</v>
      </c>
      <c r="M1457" t="s">
        <v>42</v>
      </c>
      <c r="N1457" t="s">
        <v>26</v>
      </c>
      <c r="O1457" t="s">
        <v>27</v>
      </c>
      <c r="P1457" t="s">
        <v>26</v>
      </c>
    </row>
    <row r="1458" spans="1:16" x14ac:dyDescent="0.25">
      <c r="A1458" t="s">
        <v>2483</v>
      </c>
      <c r="B1458" t="s">
        <v>1846</v>
      </c>
      <c r="C1458" t="s">
        <v>79</v>
      </c>
      <c r="D1458" t="s">
        <v>20</v>
      </c>
      <c r="E1458" t="s">
        <v>21</v>
      </c>
      <c r="F1458" t="s">
        <v>22</v>
      </c>
      <c r="G1458" t="s">
        <v>33</v>
      </c>
      <c r="H1458" t="s">
        <v>24</v>
      </c>
      <c r="I1458">
        <v>4</v>
      </c>
      <c r="J1458">
        <v>87322</v>
      </c>
      <c r="K1458">
        <v>0</v>
      </c>
      <c r="L1458">
        <v>349288</v>
      </c>
      <c r="M1458" t="s">
        <v>25</v>
      </c>
      <c r="N1458" t="s">
        <v>69</v>
      </c>
      <c r="O1458" t="s">
        <v>44</v>
      </c>
      <c r="P1458" t="s">
        <v>55</v>
      </c>
    </row>
    <row r="1459" spans="1:16" x14ac:dyDescent="0.25">
      <c r="A1459" t="s">
        <v>2484</v>
      </c>
      <c r="B1459" t="s">
        <v>1892</v>
      </c>
      <c r="C1459" t="s">
        <v>19</v>
      </c>
      <c r="D1459" t="s">
        <v>30</v>
      </c>
      <c r="E1459" t="s">
        <v>31</v>
      </c>
      <c r="F1459" t="s">
        <v>32</v>
      </c>
      <c r="G1459" t="s">
        <v>23</v>
      </c>
      <c r="H1459" t="s">
        <v>34</v>
      </c>
      <c r="I1459">
        <v>8</v>
      </c>
      <c r="J1459">
        <v>167317</v>
      </c>
      <c r="K1459">
        <v>12</v>
      </c>
      <c r="L1459">
        <v>1177911.68</v>
      </c>
      <c r="M1459" t="s">
        <v>25</v>
      </c>
      <c r="N1459" t="s">
        <v>43</v>
      </c>
      <c r="O1459" t="s">
        <v>44</v>
      </c>
      <c r="P1459" t="s">
        <v>55</v>
      </c>
    </row>
    <row r="1460" spans="1:16" x14ac:dyDescent="0.25">
      <c r="A1460" t="s">
        <v>2485</v>
      </c>
      <c r="B1460" t="s">
        <v>2486</v>
      </c>
      <c r="C1460" t="s">
        <v>85</v>
      </c>
      <c r="D1460" t="s">
        <v>30</v>
      </c>
      <c r="E1460" t="s">
        <v>31</v>
      </c>
      <c r="F1460" t="s">
        <v>32</v>
      </c>
      <c r="G1460" t="s">
        <v>73</v>
      </c>
      <c r="H1460" t="s">
        <v>34</v>
      </c>
      <c r="I1460">
        <v>2</v>
      </c>
      <c r="J1460">
        <v>346795</v>
      </c>
      <c r="K1460">
        <v>0</v>
      </c>
      <c r="L1460">
        <v>693590</v>
      </c>
      <c r="M1460" t="s">
        <v>54</v>
      </c>
      <c r="N1460" t="s">
        <v>43</v>
      </c>
      <c r="O1460" t="s">
        <v>27</v>
      </c>
      <c r="P1460" t="s">
        <v>55</v>
      </c>
    </row>
    <row r="1461" spans="1:16" x14ac:dyDescent="0.25">
      <c r="A1461" t="s">
        <v>2487</v>
      </c>
      <c r="B1461" t="s">
        <v>2488</v>
      </c>
      <c r="C1461" t="s">
        <v>65</v>
      </c>
      <c r="D1461" t="s">
        <v>30</v>
      </c>
      <c r="E1461" t="s">
        <v>31</v>
      </c>
      <c r="F1461" t="s">
        <v>32</v>
      </c>
      <c r="G1461" t="s">
        <v>124</v>
      </c>
      <c r="H1461" t="s">
        <v>34</v>
      </c>
      <c r="I1461">
        <v>4</v>
      </c>
      <c r="J1461">
        <v>623969</v>
      </c>
      <c r="K1461">
        <v>12</v>
      </c>
      <c r="L1461">
        <v>2196370.88</v>
      </c>
      <c r="M1461" t="s">
        <v>54</v>
      </c>
      <c r="N1461" t="s">
        <v>26</v>
      </c>
      <c r="O1461" t="s">
        <v>44</v>
      </c>
      <c r="P1461" t="s">
        <v>55</v>
      </c>
    </row>
    <row r="1462" spans="1:16" x14ac:dyDescent="0.25">
      <c r="A1462" t="s">
        <v>2489</v>
      </c>
      <c r="B1462" t="s">
        <v>2203</v>
      </c>
      <c r="C1462" t="s">
        <v>19</v>
      </c>
      <c r="D1462" t="s">
        <v>38</v>
      </c>
      <c r="E1462" t="s">
        <v>39</v>
      </c>
      <c r="F1462" t="s">
        <v>40</v>
      </c>
      <c r="G1462" t="s">
        <v>33</v>
      </c>
      <c r="H1462" t="s">
        <v>34</v>
      </c>
      <c r="I1462">
        <v>2</v>
      </c>
      <c r="J1462">
        <v>382742</v>
      </c>
      <c r="K1462">
        <v>2</v>
      </c>
      <c r="L1462">
        <v>750174.32</v>
      </c>
      <c r="M1462" t="s">
        <v>42</v>
      </c>
      <c r="N1462" t="s">
        <v>69</v>
      </c>
      <c r="O1462" t="s">
        <v>27</v>
      </c>
      <c r="P1462" t="s">
        <v>55</v>
      </c>
    </row>
    <row r="1463" spans="1:16" x14ac:dyDescent="0.25">
      <c r="A1463" t="s">
        <v>2490</v>
      </c>
      <c r="B1463" t="s">
        <v>2253</v>
      </c>
      <c r="C1463" t="s">
        <v>85</v>
      </c>
      <c r="D1463" t="s">
        <v>47</v>
      </c>
      <c r="E1463" t="s">
        <v>48</v>
      </c>
      <c r="F1463" t="s">
        <v>22</v>
      </c>
      <c r="G1463" t="s">
        <v>41</v>
      </c>
      <c r="H1463" t="s">
        <v>86</v>
      </c>
      <c r="I1463">
        <v>4</v>
      </c>
      <c r="J1463">
        <v>327003</v>
      </c>
      <c r="K1463">
        <v>7</v>
      </c>
      <c r="L1463">
        <v>1216451.1599999999</v>
      </c>
      <c r="M1463" t="s">
        <v>42</v>
      </c>
      <c r="N1463" t="s">
        <v>69</v>
      </c>
      <c r="O1463" t="s">
        <v>27</v>
      </c>
      <c r="P1463" t="s">
        <v>26</v>
      </c>
    </row>
    <row r="1464" spans="1:16" x14ac:dyDescent="0.25">
      <c r="A1464" t="s">
        <v>2491</v>
      </c>
      <c r="B1464" t="s">
        <v>2492</v>
      </c>
      <c r="C1464" t="s">
        <v>85</v>
      </c>
      <c r="D1464" t="s">
        <v>66</v>
      </c>
      <c r="E1464" t="s">
        <v>67</v>
      </c>
      <c r="F1464" t="s">
        <v>68</v>
      </c>
      <c r="G1464" t="s">
        <v>73</v>
      </c>
      <c r="H1464" t="s">
        <v>58</v>
      </c>
      <c r="I1464">
        <v>1</v>
      </c>
      <c r="J1464">
        <v>628581</v>
      </c>
      <c r="K1464">
        <v>5</v>
      </c>
      <c r="L1464">
        <v>597151.94999999995</v>
      </c>
      <c r="M1464" t="s">
        <v>54</v>
      </c>
      <c r="N1464" t="s">
        <v>69</v>
      </c>
      <c r="O1464" t="s">
        <v>44</v>
      </c>
      <c r="P1464" t="s">
        <v>26</v>
      </c>
    </row>
    <row r="1465" spans="1:16" x14ac:dyDescent="0.25">
      <c r="A1465" t="s">
        <v>2493</v>
      </c>
      <c r="B1465" t="s">
        <v>1955</v>
      </c>
      <c r="C1465" t="s">
        <v>99</v>
      </c>
      <c r="D1465" t="s">
        <v>47</v>
      </c>
      <c r="E1465" t="s">
        <v>48</v>
      </c>
      <c r="F1465" t="s">
        <v>22</v>
      </c>
      <c r="G1465" t="s">
        <v>33</v>
      </c>
      <c r="H1465" t="s">
        <v>86</v>
      </c>
      <c r="I1465">
        <v>7</v>
      </c>
      <c r="J1465">
        <v>754275</v>
      </c>
      <c r="K1465">
        <v>2</v>
      </c>
      <c r="L1465">
        <v>5174326.5</v>
      </c>
      <c r="M1465" t="s">
        <v>25</v>
      </c>
      <c r="N1465" t="s">
        <v>43</v>
      </c>
      <c r="O1465" t="s">
        <v>44</v>
      </c>
      <c r="P1465" t="s">
        <v>55</v>
      </c>
    </row>
    <row r="1466" spans="1:16" x14ac:dyDescent="0.25">
      <c r="A1466" t="s">
        <v>2494</v>
      </c>
      <c r="B1466" t="s">
        <v>1071</v>
      </c>
      <c r="C1466" t="s">
        <v>65</v>
      </c>
      <c r="D1466" t="s">
        <v>47</v>
      </c>
      <c r="E1466" t="s">
        <v>48</v>
      </c>
      <c r="F1466" t="s">
        <v>22</v>
      </c>
      <c r="G1466" t="s">
        <v>73</v>
      </c>
      <c r="H1466" t="s">
        <v>58</v>
      </c>
      <c r="I1466">
        <v>8</v>
      </c>
      <c r="J1466">
        <v>157240</v>
      </c>
      <c r="K1466">
        <v>7</v>
      </c>
      <c r="L1466">
        <v>1169865.6000000001</v>
      </c>
      <c r="M1466" t="s">
        <v>25</v>
      </c>
      <c r="N1466" t="s">
        <v>43</v>
      </c>
      <c r="O1466" t="s">
        <v>44</v>
      </c>
      <c r="P1466" t="s">
        <v>26</v>
      </c>
    </row>
    <row r="1467" spans="1:16" x14ac:dyDescent="0.25">
      <c r="A1467" t="s">
        <v>2495</v>
      </c>
      <c r="B1467" t="s">
        <v>2496</v>
      </c>
      <c r="C1467" t="s">
        <v>91</v>
      </c>
      <c r="D1467" t="s">
        <v>38</v>
      </c>
      <c r="E1467" t="s">
        <v>39</v>
      </c>
      <c r="F1467" t="s">
        <v>40</v>
      </c>
      <c r="G1467" t="s">
        <v>52</v>
      </c>
      <c r="H1467" t="s">
        <v>24</v>
      </c>
      <c r="I1467">
        <v>8</v>
      </c>
      <c r="J1467">
        <v>459961</v>
      </c>
      <c r="K1467">
        <v>2</v>
      </c>
      <c r="L1467">
        <v>3606094.24</v>
      </c>
      <c r="M1467" t="s">
        <v>25</v>
      </c>
      <c r="N1467" t="s">
        <v>69</v>
      </c>
      <c r="O1467" t="s">
        <v>44</v>
      </c>
      <c r="P1467" t="s">
        <v>42</v>
      </c>
    </row>
    <row r="1468" spans="1:16" x14ac:dyDescent="0.25">
      <c r="A1468" t="s">
        <v>2497</v>
      </c>
      <c r="B1468" t="s">
        <v>331</v>
      </c>
      <c r="C1468" t="s">
        <v>99</v>
      </c>
      <c r="D1468" t="s">
        <v>51</v>
      </c>
      <c r="E1468" t="s">
        <v>48</v>
      </c>
      <c r="F1468" t="s">
        <v>22</v>
      </c>
      <c r="G1468" t="s">
        <v>33</v>
      </c>
      <c r="H1468" t="s">
        <v>53</v>
      </c>
      <c r="I1468">
        <v>8</v>
      </c>
      <c r="J1468">
        <v>803509</v>
      </c>
      <c r="K1468">
        <v>5</v>
      </c>
      <c r="L1468">
        <v>6106668.3999999994</v>
      </c>
      <c r="M1468" t="s">
        <v>25</v>
      </c>
      <c r="N1468" t="s">
        <v>26</v>
      </c>
      <c r="O1468" t="s">
        <v>27</v>
      </c>
      <c r="P1468" t="s">
        <v>26</v>
      </c>
    </row>
    <row r="1469" spans="1:16" x14ac:dyDescent="0.25">
      <c r="A1469" t="s">
        <v>2498</v>
      </c>
      <c r="B1469" t="s">
        <v>2499</v>
      </c>
      <c r="C1469" t="s">
        <v>198</v>
      </c>
      <c r="D1469" t="s">
        <v>66</v>
      </c>
      <c r="E1469" t="s">
        <v>67</v>
      </c>
      <c r="F1469" t="s">
        <v>68</v>
      </c>
      <c r="G1469" t="s">
        <v>89</v>
      </c>
      <c r="H1469" t="s">
        <v>86</v>
      </c>
      <c r="I1469">
        <v>2</v>
      </c>
      <c r="J1469">
        <v>891097</v>
      </c>
      <c r="K1469">
        <v>2</v>
      </c>
      <c r="L1469">
        <v>1746550.12</v>
      </c>
      <c r="M1469" t="s">
        <v>25</v>
      </c>
      <c r="N1469" t="s">
        <v>43</v>
      </c>
      <c r="O1469" t="s">
        <v>27</v>
      </c>
      <c r="P1469" t="s">
        <v>42</v>
      </c>
    </row>
    <row r="1470" spans="1:16" x14ac:dyDescent="0.25">
      <c r="A1470" t="s">
        <v>2500</v>
      </c>
      <c r="B1470" t="s">
        <v>2501</v>
      </c>
      <c r="C1470" t="s">
        <v>19</v>
      </c>
      <c r="D1470" t="s">
        <v>66</v>
      </c>
      <c r="E1470" t="s">
        <v>67</v>
      </c>
      <c r="F1470" t="s">
        <v>68</v>
      </c>
      <c r="G1470" t="s">
        <v>41</v>
      </c>
      <c r="H1470" t="s">
        <v>58</v>
      </c>
      <c r="I1470">
        <v>8</v>
      </c>
      <c r="J1470">
        <v>395043</v>
      </c>
      <c r="K1470">
        <v>2</v>
      </c>
      <c r="L1470">
        <v>3097137.12</v>
      </c>
      <c r="M1470" t="s">
        <v>54</v>
      </c>
      <c r="N1470" t="s">
        <v>43</v>
      </c>
      <c r="O1470" t="s">
        <v>27</v>
      </c>
      <c r="P1470" t="s">
        <v>42</v>
      </c>
    </row>
    <row r="1471" spans="1:16" x14ac:dyDescent="0.25">
      <c r="A1471" t="s">
        <v>2502</v>
      </c>
      <c r="B1471" t="s">
        <v>896</v>
      </c>
      <c r="C1471" t="s">
        <v>37</v>
      </c>
      <c r="D1471" t="s">
        <v>20</v>
      </c>
      <c r="E1471" t="s">
        <v>21</v>
      </c>
      <c r="F1471" t="s">
        <v>22</v>
      </c>
      <c r="G1471" t="s">
        <v>52</v>
      </c>
      <c r="H1471" t="s">
        <v>53</v>
      </c>
      <c r="I1471">
        <v>1</v>
      </c>
      <c r="J1471">
        <v>593153</v>
      </c>
      <c r="K1471">
        <v>7</v>
      </c>
      <c r="L1471">
        <v>551632.28999999992</v>
      </c>
      <c r="M1471" t="s">
        <v>54</v>
      </c>
      <c r="N1471" t="s">
        <v>69</v>
      </c>
      <c r="O1471" t="s">
        <v>27</v>
      </c>
      <c r="P1471" t="s">
        <v>55</v>
      </c>
    </row>
    <row r="1472" spans="1:16" x14ac:dyDescent="0.25">
      <c r="A1472" t="s">
        <v>2503</v>
      </c>
      <c r="B1472" t="s">
        <v>2504</v>
      </c>
      <c r="C1472" t="s">
        <v>37</v>
      </c>
      <c r="D1472" t="s">
        <v>47</v>
      </c>
      <c r="E1472" t="s">
        <v>48</v>
      </c>
      <c r="F1472" t="s">
        <v>22</v>
      </c>
      <c r="G1472" t="s">
        <v>62</v>
      </c>
      <c r="H1472" t="s">
        <v>86</v>
      </c>
      <c r="I1472">
        <v>3</v>
      </c>
      <c r="J1472">
        <v>387786</v>
      </c>
      <c r="K1472">
        <v>7</v>
      </c>
      <c r="L1472">
        <v>1081922.94</v>
      </c>
      <c r="M1472" t="s">
        <v>54</v>
      </c>
      <c r="N1472" t="s">
        <v>26</v>
      </c>
      <c r="O1472" t="s">
        <v>27</v>
      </c>
      <c r="P1472" t="s">
        <v>55</v>
      </c>
    </row>
    <row r="1473" spans="1:16" x14ac:dyDescent="0.25">
      <c r="A1473" t="s">
        <v>2505</v>
      </c>
      <c r="B1473" t="s">
        <v>631</v>
      </c>
      <c r="C1473" t="s">
        <v>85</v>
      </c>
      <c r="D1473" t="s">
        <v>129</v>
      </c>
      <c r="E1473" t="s">
        <v>39</v>
      </c>
      <c r="F1473" t="s">
        <v>40</v>
      </c>
      <c r="G1473" t="s">
        <v>62</v>
      </c>
      <c r="H1473" t="s">
        <v>53</v>
      </c>
      <c r="I1473">
        <v>7</v>
      </c>
      <c r="J1473">
        <v>677858</v>
      </c>
      <c r="K1473">
        <v>10</v>
      </c>
      <c r="L1473">
        <v>4270505.4000000004</v>
      </c>
      <c r="M1473" t="s">
        <v>54</v>
      </c>
      <c r="N1473" t="s">
        <v>69</v>
      </c>
      <c r="O1473" t="s">
        <v>44</v>
      </c>
      <c r="P1473" t="s">
        <v>26</v>
      </c>
    </row>
    <row r="1474" spans="1:16" x14ac:dyDescent="0.25">
      <c r="A1474" t="s">
        <v>2506</v>
      </c>
      <c r="B1474" t="s">
        <v>2507</v>
      </c>
      <c r="C1474" t="s">
        <v>99</v>
      </c>
      <c r="D1474" t="s">
        <v>20</v>
      </c>
      <c r="E1474" t="s">
        <v>21</v>
      </c>
      <c r="F1474" t="s">
        <v>22</v>
      </c>
      <c r="G1474" t="s">
        <v>33</v>
      </c>
      <c r="H1474" t="s">
        <v>86</v>
      </c>
      <c r="I1474">
        <v>1</v>
      </c>
      <c r="J1474">
        <v>216488</v>
      </c>
      <c r="M1474" t="s">
        <v>54</v>
      </c>
      <c r="N1474" t="s">
        <v>69</v>
      </c>
      <c r="O1474" t="s">
        <v>44</v>
      </c>
      <c r="P1474" t="s">
        <v>55</v>
      </c>
    </row>
    <row r="1475" spans="1:16" x14ac:dyDescent="0.25">
      <c r="A1475" t="s">
        <v>2508</v>
      </c>
      <c r="B1475" t="s">
        <v>2509</v>
      </c>
      <c r="C1475" t="s">
        <v>79</v>
      </c>
      <c r="D1475" t="s">
        <v>38</v>
      </c>
      <c r="E1475" t="s">
        <v>39</v>
      </c>
      <c r="F1475" t="s">
        <v>40</v>
      </c>
      <c r="G1475" t="s">
        <v>94</v>
      </c>
      <c r="H1475" t="s">
        <v>58</v>
      </c>
      <c r="I1475">
        <v>3</v>
      </c>
      <c r="J1475">
        <v>867557</v>
      </c>
      <c r="K1475">
        <v>10</v>
      </c>
      <c r="L1475">
        <v>2342403.9</v>
      </c>
      <c r="M1475" t="s">
        <v>54</v>
      </c>
      <c r="N1475" t="s">
        <v>69</v>
      </c>
      <c r="O1475" t="s">
        <v>27</v>
      </c>
      <c r="P1475" t="s">
        <v>42</v>
      </c>
    </row>
    <row r="1476" spans="1:16" x14ac:dyDescent="0.25">
      <c r="A1476" t="s">
        <v>2510</v>
      </c>
      <c r="B1476" t="s">
        <v>2511</v>
      </c>
      <c r="C1476" t="s">
        <v>76</v>
      </c>
      <c r="D1476" t="s">
        <v>66</v>
      </c>
      <c r="E1476" t="s">
        <v>67</v>
      </c>
      <c r="F1476" t="s">
        <v>68</v>
      </c>
      <c r="G1476" t="s">
        <v>73</v>
      </c>
      <c r="H1476" t="s">
        <v>34</v>
      </c>
      <c r="I1476">
        <v>2</v>
      </c>
      <c r="J1476">
        <v>414751</v>
      </c>
      <c r="K1476">
        <v>0</v>
      </c>
      <c r="L1476">
        <v>829502</v>
      </c>
      <c r="M1476" t="s">
        <v>25</v>
      </c>
      <c r="N1476" t="s">
        <v>43</v>
      </c>
      <c r="O1476" t="s">
        <v>44</v>
      </c>
      <c r="P1476" t="s">
        <v>42</v>
      </c>
    </row>
    <row r="1477" spans="1:16" x14ac:dyDescent="0.25">
      <c r="A1477" t="s">
        <v>2512</v>
      </c>
      <c r="B1477" t="s">
        <v>1453</v>
      </c>
      <c r="C1477" t="s">
        <v>65</v>
      </c>
      <c r="D1477" t="s">
        <v>30</v>
      </c>
      <c r="E1477" t="s">
        <v>31</v>
      </c>
      <c r="F1477" t="s">
        <v>32</v>
      </c>
      <c r="G1477" t="s">
        <v>41</v>
      </c>
      <c r="H1477" t="s">
        <v>34</v>
      </c>
      <c r="I1477">
        <v>8</v>
      </c>
      <c r="J1477">
        <v>518227</v>
      </c>
      <c r="K1477">
        <v>7</v>
      </c>
      <c r="L1477">
        <v>3855608.88</v>
      </c>
      <c r="M1477" t="s">
        <v>54</v>
      </c>
      <c r="N1477" t="s">
        <v>26</v>
      </c>
      <c r="O1477" t="s">
        <v>27</v>
      </c>
      <c r="P1477" t="s">
        <v>42</v>
      </c>
    </row>
    <row r="1478" spans="1:16" x14ac:dyDescent="0.25">
      <c r="A1478" t="s">
        <v>2513</v>
      </c>
      <c r="B1478" t="s">
        <v>594</v>
      </c>
      <c r="C1478" t="s">
        <v>37</v>
      </c>
      <c r="D1478" t="s">
        <v>38</v>
      </c>
      <c r="E1478" t="s">
        <v>39</v>
      </c>
      <c r="F1478" t="s">
        <v>40</v>
      </c>
      <c r="G1478" t="s">
        <v>41</v>
      </c>
      <c r="H1478" t="s">
        <v>53</v>
      </c>
      <c r="I1478">
        <v>3</v>
      </c>
      <c r="J1478">
        <v>144932</v>
      </c>
      <c r="K1478">
        <v>2</v>
      </c>
      <c r="L1478">
        <v>426100.08</v>
      </c>
      <c r="M1478" t="s">
        <v>54</v>
      </c>
      <c r="N1478" t="s">
        <v>69</v>
      </c>
      <c r="O1478" t="s">
        <v>44</v>
      </c>
      <c r="P1478" t="s">
        <v>55</v>
      </c>
    </row>
    <row r="1479" spans="1:16" x14ac:dyDescent="0.25">
      <c r="A1479" t="s">
        <v>2514</v>
      </c>
      <c r="B1479" t="s">
        <v>1282</v>
      </c>
      <c r="C1479" t="s">
        <v>76</v>
      </c>
      <c r="D1479" t="s">
        <v>30</v>
      </c>
      <c r="E1479" t="s">
        <v>31</v>
      </c>
      <c r="F1479" t="s">
        <v>32</v>
      </c>
      <c r="G1479" t="s">
        <v>33</v>
      </c>
      <c r="H1479" t="s">
        <v>58</v>
      </c>
      <c r="I1479">
        <v>8</v>
      </c>
      <c r="J1479">
        <v>570227</v>
      </c>
      <c r="M1479" t="s">
        <v>42</v>
      </c>
      <c r="N1479" t="s">
        <v>43</v>
      </c>
      <c r="O1479" t="s">
        <v>44</v>
      </c>
      <c r="P1479" t="s">
        <v>26</v>
      </c>
    </row>
    <row r="1480" spans="1:16" x14ac:dyDescent="0.25">
      <c r="A1480" t="s">
        <v>2515</v>
      </c>
      <c r="B1480" t="s">
        <v>543</v>
      </c>
      <c r="C1480" t="s">
        <v>85</v>
      </c>
      <c r="D1480" t="s">
        <v>30</v>
      </c>
      <c r="E1480" t="s">
        <v>31</v>
      </c>
      <c r="F1480" t="s">
        <v>32</v>
      </c>
      <c r="G1480" t="s">
        <v>52</v>
      </c>
      <c r="H1480" t="s">
        <v>86</v>
      </c>
      <c r="I1480">
        <v>1</v>
      </c>
      <c r="J1480">
        <v>544983</v>
      </c>
      <c r="K1480">
        <v>0</v>
      </c>
      <c r="L1480">
        <v>544983</v>
      </c>
      <c r="M1480" t="s">
        <v>25</v>
      </c>
      <c r="N1480" t="s">
        <v>43</v>
      </c>
      <c r="O1480" t="s">
        <v>44</v>
      </c>
      <c r="P1480" t="s">
        <v>26</v>
      </c>
    </row>
    <row r="1481" spans="1:16" x14ac:dyDescent="0.25">
      <c r="A1481" t="s">
        <v>2516</v>
      </c>
      <c r="B1481" t="s">
        <v>945</v>
      </c>
      <c r="C1481" t="s">
        <v>85</v>
      </c>
      <c r="D1481" t="s">
        <v>47</v>
      </c>
      <c r="E1481" t="s">
        <v>48</v>
      </c>
      <c r="F1481" t="s">
        <v>22</v>
      </c>
      <c r="G1481" t="s">
        <v>124</v>
      </c>
      <c r="H1481" t="s">
        <v>58</v>
      </c>
      <c r="I1481">
        <v>4</v>
      </c>
      <c r="J1481">
        <v>893220</v>
      </c>
      <c r="K1481">
        <v>5</v>
      </c>
      <c r="L1481">
        <v>3394236</v>
      </c>
      <c r="M1481" t="s">
        <v>42</v>
      </c>
      <c r="N1481" t="s">
        <v>26</v>
      </c>
      <c r="O1481" t="s">
        <v>44</v>
      </c>
      <c r="P1481" t="s">
        <v>42</v>
      </c>
    </row>
    <row r="1482" spans="1:16" x14ac:dyDescent="0.25">
      <c r="A1482" t="s">
        <v>2517</v>
      </c>
      <c r="B1482" t="s">
        <v>2518</v>
      </c>
      <c r="C1482" t="s">
        <v>65</v>
      </c>
      <c r="D1482" t="s">
        <v>66</v>
      </c>
      <c r="E1482" t="s">
        <v>67</v>
      </c>
      <c r="F1482" t="s">
        <v>68</v>
      </c>
      <c r="G1482" t="s">
        <v>52</v>
      </c>
      <c r="H1482" t="s">
        <v>53</v>
      </c>
      <c r="I1482">
        <v>7</v>
      </c>
      <c r="J1482">
        <v>172807</v>
      </c>
      <c r="K1482">
        <v>10</v>
      </c>
      <c r="L1482">
        <v>1088684.1000000001</v>
      </c>
      <c r="M1482" t="s">
        <v>54</v>
      </c>
      <c r="N1482" t="s">
        <v>26</v>
      </c>
      <c r="O1482" t="s">
        <v>44</v>
      </c>
      <c r="P1482" t="s">
        <v>55</v>
      </c>
    </row>
    <row r="1483" spans="1:16" x14ac:dyDescent="0.25">
      <c r="A1483" t="s">
        <v>2519</v>
      </c>
      <c r="B1483" t="s">
        <v>2520</v>
      </c>
      <c r="C1483" t="s">
        <v>79</v>
      </c>
      <c r="D1483" t="s">
        <v>38</v>
      </c>
      <c r="E1483" t="s">
        <v>130</v>
      </c>
      <c r="F1483" t="s">
        <v>40</v>
      </c>
      <c r="G1483" t="s">
        <v>62</v>
      </c>
      <c r="H1483" t="s">
        <v>24</v>
      </c>
      <c r="I1483">
        <v>1</v>
      </c>
      <c r="J1483">
        <v>184626</v>
      </c>
      <c r="K1483">
        <v>5</v>
      </c>
      <c r="L1483">
        <v>175394.7</v>
      </c>
      <c r="M1483" t="s">
        <v>42</v>
      </c>
      <c r="N1483" t="s">
        <v>26</v>
      </c>
      <c r="O1483" t="s">
        <v>44</v>
      </c>
      <c r="P1483" t="s">
        <v>42</v>
      </c>
    </row>
    <row r="1484" spans="1:16" x14ac:dyDescent="0.25">
      <c r="A1484" t="s">
        <v>2521</v>
      </c>
      <c r="B1484" t="s">
        <v>395</v>
      </c>
      <c r="C1484" t="s">
        <v>76</v>
      </c>
      <c r="D1484" t="s">
        <v>129</v>
      </c>
      <c r="E1484" t="s">
        <v>39</v>
      </c>
      <c r="F1484" t="s">
        <v>40</v>
      </c>
      <c r="G1484" t="s">
        <v>41</v>
      </c>
      <c r="H1484" t="s">
        <v>34</v>
      </c>
      <c r="I1484">
        <v>1</v>
      </c>
      <c r="J1484">
        <v>334139</v>
      </c>
      <c r="K1484">
        <v>10</v>
      </c>
      <c r="L1484">
        <v>300725.09999999998</v>
      </c>
      <c r="M1484" t="s">
        <v>25</v>
      </c>
      <c r="N1484" t="s">
        <v>43</v>
      </c>
      <c r="O1484" t="s">
        <v>27</v>
      </c>
      <c r="P1484" t="s">
        <v>26</v>
      </c>
    </row>
    <row r="1485" spans="1:16" x14ac:dyDescent="0.25">
      <c r="A1485" t="s">
        <v>2522</v>
      </c>
      <c r="B1485" t="s">
        <v>2523</v>
      </c>
      <c r="C1485" t="s">
        <v>65</v>
      </c>
      <c r="D1485" t="s">
        <v>47</v>
      </c>
      <c r="E1485" t="s">
        <v>48</v>
      </c>
      <c r="F1485" t="s">
        <v>22</v>
      </c>
      <c r="G1485" t="s">
        <v>52</v>
      </c>
      <c r="H1485" t="s">
        <v>34</v>
      </c>
      <c r="I1485">
        <v>5</v>
      </c>
      <c r="J1485">
        <v>722418</v>
      </c>
      <c r="K1485">
        <v>0</v>
      </c>
      <c r="L1485">
        <v>3612090</v>
      </c>
      <c r="M1485" t="s">
        <v>54</v>
      </c>
      <c r="N1485" t="s">
        <v>26</v>
      </c>
      <c r="O1485" t="s">
        <v>44</v>
      </c>
      <c r="P1485" t="s">
        <v>55</v>
      </c>
    </row>
    <row r="1486" spans="1:16" x14ac:dyDescent="0.25">
      <c r="A1486" t="s">
        <v>2524</v>
      </c>
      <c r="B1486" t="s">
        <v>399</v>
      </c>
      <c r="C1486" t="s">
        <v>85</v>
      </c>
      <c r="D1486" t="s">
        <v>20</v>
      </c>
      <c r="E1486" t="s">
        <v>21</v>
      </c>
      <c r="F1486" t="s">
        <v>22</v>
      </c>
      <c r="G1486" t="s">
        <v>73</v>
      </c>
      <c r="H1486" t="s">
        <v>24</v>
      </c>
      <c r="I1486">
        <v>5</v>
      </c>
      <c r="J1486">
        <v>398000</v>
      </c>
      <c r="K1486">
        <v>12</v>
      </c>
      <c r="L1486">
        <v>1751200</v>
      </c>
      <c r="M1486" t="s">
        <v>25</v>
      </c>
      <c r="N1486" t="s">
        <v>69</v>
      </c>
      <c r="O1486" t="s">
        <v>27</v>
      </c>
      <c r="P1486" t="s">
        <v>42</v>
      </c>
    </row>
    <row r="1487" spans="1:16" x14ac:dyDescent="0.25">
      <c r="A1487" t="s">
        <v>2525</v>
      </c>
      <c r="B1487" t="s">
        <v>366</v>
      </c>
      <c r="C1487" t="s">
        <v>76</v>
      </c>
      <c r="D1487" t="s">
        <v>154</v>
      </c>
      <c r="E1487" t="s">
        <v>67</v>
      </c>
      <c r="F1487" t="s">
        <v>68</v>
      </c>
      <c r="G1487" t="s">
        <v>73</v>
      </c>
      <c r="H1487" t="s">
        <v>86</v>
      </c>
      <c r="I1487">
        <v>2</v>
      </c>
      <c r="J1487">
        <v>259444</v>
      </c>
      <c r="K1487">
        <v>0</v>
      </c>
      <c r="L1487">
        <v>518888</v>
      </c>
      <c r="M1487" t="s">
        <v>54</v>
      </c>
      <c r="N1487" t="s">
        <v>26</v>
      </c>
      <c r="O1487" t="s">
        <v>27</v>
      </c>
      <c r="P1487" t="s">
        <v>26</v>
      </c>
    </row>
    <row r="1488" spans="1:16" x14ac:dyDescent="0.25">
      <c r="A1488" t="s">
        <v>2526</v>
      </c>
      <c r="B1488" t="s">
        <v>1955</v>
      </c>
      <c r="C1488" t="s">
        <v>37</v>
      </c>
      <c r="D1488" t="s">
        <v>20</v>
      </c>
      <c r="E1488" t="s">
        <v>21</v>
      </c>
      <c r="F1488" t="s">
        <v>22</v>
      </c>
      <c r="G1488" t="s">
        <v>62</v>
      </c>
      <c r="H1488" t="s">
        <v>24</v>
      </c>
      <c r="I1488">
        <v>7</v>
      </c>
      <c r="J1488">
        <v>363939</v>
      </c>
      <c r="K1488">
        <v>10</v>
      </c>
      <c r="L1488">
        <v>2292815.7000000002</v>
      </c>
      <c r="M1488" t="s">
        <v>54</v>
      </c>
      <c r="N1488" t="s">
        <v>26</v>
      </c>
      <c r="O1488" t="s">
        <v>44</v>
      </c>
      <c r="P1488" t="s">
        <v>55</v>
      </c>
    </row>
    <row r="1489" spans="1:16" x14ac:dyDescent="0.25">
      <c r="A1489" t="s">
        <v>2527</v>
      </c>
      <c r="B1489" t="s">
        <v>2528</v>
      </c>
      <c r="C1489" t="s">
        <v>65</v>
      </c>
      <c r="D1489" t="s">
        <v>154</v>
      </c>
      <c r="E1489" t="s">
        <v>67</v>
      </c>
      <c r="F1489" t="s">
        <v>68</v>
      </c>
      <c r="G1489" t="s">
        <v>33</v>
      </c>
      <c r="H1489" t="s">
        <v>34</v>
      </c>
      <c r="I1489">
        <v>3</v>
      </c>
      <c r="J1489">
        <v>531214</v>
      </c>
      <c r="K1489">
        <v>12</v>
      </c>
      <c r="L1489">
        <v>1402404.96</v>
      </c>
      <c r="M1489" t="s">
        <v>42</v>
      </c>
      <c r="N1489" t="s">
        <v>43</v>
      </c>
      <c r="O1489" t="s">
        <v>44</v>
      </c>
      <c r="P1489" t="s">
        <v>26</v>
      </c>
    </row>
    <row r="1490" spans="1:16" x14ac:dyDescent="0.25">
      <c r="A1490" t="s">
        <v>2529</v>
      </c>
      <c r="B1490" t="s">
        <v>1888</v>
      </c>
      <c r="C1490" t="s">
        <v>37</v>
      </c>
      <c r="D1490" t="s">
        <v>38</v>
      </c>
      <c r="E1490" t="s">
        <v>39</v>
      </c>
      <c r="F1490" t="s">
        <v>40</v>
      </c>
      <c r="G1490" t="s">
        <v>33</v>
      </c>
      <c r="H1490" t="s">
        <v>34</v>
      </c>
      <c r="I1490">
        <v>5</v>
      </c>
      <c r="J1490">
        <v>861749</v>
      </c>
      <c r="K1490">
        <v>7</v>
      </c>
      <c r="L1490">
        <v>4007132.85</v>
      </c>
      <c r="M1490" t="s">
        <v>42</v>
      </c>
      <c r="N1490" t="s">
        <v>26</v>
      </c>
      <c r="O1490" t="s">
        <v>44</v>
      </c>
      <c r="P1490" t="s">
        <v>55</v>
      </c>
    </row>
    <row r="1491" spans="1:16" x14ac:dyDescent="0.25">
      <c r="A1491" t="s">
        <v>2530</v>
      </c>
      <c r="B1491" t="s">
        <v>2177</v>
      </c>
      <c r="C1491" t="s">
        <v>19</v>
      </c>
      <c r="D1491" t="s">
        <v>20</v>
      </c>
      <c r="E1491" t="s">
        <v>21</v>
      </c>
      <c r="F1491" t="s">
        <v>22</v>
      </c>
      <c r="G1491" t="s">
        <v>41</v>
      </c>
      <c r="H1491" t="s">
        <v>53</v>
      </c>
      <c r="I1491">
        <v>3</v>
      </c>
      <c r="J1491">
        <v>494468</v>
      </c>
      <c r="K1491">
        <v>5</v>
      </c>
      <c r="L1491">
        <v>1409233.8</v>
      </c>
      <c r="M1491" t="s">
        <v>25</v>
      </c>
      <c r="N1491" t="s">
        <v>43</v>
      </c>
      <c r="O1491" t="s">
        <v>27</v>
      </c>
      <c r="P1491" t="s">
        <v>42</v>
      </c>
    </row>
    <row r="1492" spans="1:16" x14ac:dyDescent="0.25">
      <c r="A1492" t="s">
        <v>2531</v>
      </c>
      <c r="B1492" t="s">
        <v>2532</v>
      </c>
      <c r="C1492" t="s">
        <v>37</v>
      </c>
      <c r="D1492" t="s">
        <v>38</v>
      </c>
      <c r="E1492" t="s">
        <v>39</v>
      </c>
      <c r="F1492" t="s">
        <v>40</v>
      </c>
      <c r="G1492" t="s">
        <v>73</v>
      </c>
      <c r="H1492" t="s">
        <v>53</v>
      </c>
      <c r="I1492">
        <v>3</v>
      </c>
      <c r="J1492">
        <v>309703</v>
      </c>
      <c r="K1492">
        <v>0</v>
      </c>
      <c r="L1492">
        <v>929109</v>
      </c>
      <c r="M1492" t="s">
        <v>42</v>
      </c>
      <c r="N1492" t="s">
        <v>26</v>
      </c>
      <c r="O1492" t="s">
        <v>44</v>
      </c>
      <c r="P1492" t="s">
        <v>42</v>
      </c>
    </row>
    <row r="1493" spans="1:16" x14ac:dyDescent="0.25">
      <c r="A1493" t="s">
        <v>2533</v>
      </c>
      <c r="B1493" t="s">
        <v>81</v>
      </c>
      <c r="C1493" t="s">
        <v>61</v>
      </c>
      <c r="D1493" t="s">
        <v>47</v>
      </c>
      <c r="E1493" t="s">
        <v>48</v>
      </c>
      <c r="F1493" t="s">
        <v>22</v>
      </c>
      <c r="G1493" t="s">
        <v>23</v>
      </c>
      <c r="H1493" t="s">
        <v>34</v>
      </c>
      <c r="I1493">
        <v>3</v>
      </c>
      <c r="J1493">
        <v>53622</v>
      </c>
      <c r="K1493">
        <v>0</v>
      </c>
      <c r="L1493">
        <v>160866</v>
      </c>
      <c r="M1493" t="s">
        <v>42</v>
      </c>
      <c r="N1493" t="s">
        <v>43</v>
      </c>
      <c r="O1493" t="s">
        <v>44</v>
      </c>
      <c r="P1493" t="s">
        <v>26</v>
      </c>
    </row>
    <row r="1494" spans="1:16" x14ac:dyDescent="0.25">
      <c r="A1494" t="s">
        <v>2534</v>
      </c>
      <c r="B1494" t="s">
        <v>579</v>
      </c>
      <c r="C1494" t="s">
        <v>65</v>
      </c>
      <c r="D1494" t="s">
        <v>20</v>
      </c>
      <c r="E1494" t="s">
        <v>21</v>
      </c>
      <c r="F1494" t="s">
        <v>22</v>
      </c>
      <c r="G1494" t="s">
        <v>33</v>
      </c>
      <c r="H1494" t="s">
        <v>58</v>
      </c>
      <c r="I1494">
        <v>8</v>
      </c>
      <c r="J1494">
        <v>581605</v>
      </c>
      <c r="K1494">
        <v>12</v>
      </c>
      <c r="L1494">
        <v>4094499.2</v>
      </c>
      <c r="M1494" t="s">
        <v>25</v>
      </c>
      <c r="N1494" t="s">
        <v>43</v>
      </c>
      <c r="O1494" t="s">
        <v>44</v>
      </c>
      <c r="P1494" t="s">
        <v>42</v>
      </c>
    </row>
    <row r="1495" spans="1:16" x14ac:dyDescent="0.25">
      <c r="A1495" t="s">
        <v>2535</v>
      </c>
      <c r="B1495" t="s">
        <v>2536</v>
      </c>
      <c r="C1495" t="s">
        <v>79</v>
      </c>
      <c r="D1495" t="s">
        <v>47</v>
      </c>
      <c r="E1495" t="s">
        <v>48</v>
      </c>
      <c r="F1495" t="s">
        <v>22</v>
      </c>
      <c r="G1495" t="s">
        <v>52</v>
      </c>
      <c r="H1495" t="s">
        <v>34</v>
      </c>
      <c r="I1495">
        <v>1</v>
      </c>
      <c r="J1495">
        <v>593973</v>
      </c>
      <c r="K1495">
        <v>7</v>
      </c>
      <c r="L1495">
        <v>552394.89</v>
      </c>
      <c r="M1495" t="s">
        <v>54</v>
      </c>
      <c r="N1495" t="s">
        <v>43</v>
      </c>
      <c r="O1495" t="s">
        <v>27</v>
      </c>
      <c r="P1495" t="s">
        <v>26</v>
      </c>
    </row>
    <row r="1496" spans="1:16" x14ac:dyDescent="0.25">
      <c r="A1496" t="s">
        <v>2537</v>
      </c>
      <c r="B1496" t="s">
        <v>238</v>
      </c>
      <c r="C1496" t="s">
        <v>85</v>
      </c>
      <c r="D1496" t="s">
        <v>38</v>
      </c>
      <c r="E1496" t="s">
        <v>39</v>
      </c>
      <c r="F1496" t="s">
        <v>40</v>
      </c>
      <c r="G1496" t="s">
        <v>62</v>
      </c>
      <c r="H1496" t="s">
        <v>53</v>
      </c>
      <c r="I1496">
        <v>3</v>
      </c>
      <c r="J1496">
        <v>304860</v>
      </c>
      <c r="K1496">
        <v>12</v>
      </c>
      <c r="L1496">
        <v>804830.4</v>
      </c>
      <c r="M1496" t="s">
        <v>54</v>
      </c>
      <c r="N1496" t="s">
        <v>26</v>
      </c>
      <c r="O1496" t="s">
        <v>44</v>
      </c>
      <c r="P1496" t="s">
        <v>42</v>
      </c>
    </row>
    <row r="1497" spans="1:16" x14ac:dyDescent="0.25">
      <c r="A1497" t="s">
        <v>2538</v>
      </c>
      <c r="B1497" t="s">
        <v>1351</v>
      </c>
      <c r="C1497" t="s">
        <v>65</v>
      </c>
      <c r="D1497" t="s">
        <v>20</v>
      </c>
      <c r="E1497" t="s">
        <v>21</v>
      </c>
      <c r="F1497" t="s">
        <v>22</v>
      </c>
      <c r="G1497" t="s">
        <v>33</v>
      </c>
      <c r="H1497" t="s">
        <v>53</v>
      </c>
      <c r="I1497">
        <v>7</v>
      </c>
      <c r="J1497">
        <v>171436</v>
      </c>
      <c r="K1497">
        <v>12</v>
      </c>
      <c r="L1497">
        <v>1056045.76</v>
      </c>
      <c r="M1497" t="s">
        <v>25</v>
      </c>
      <c r="N1497" t="s">
        <v>43</v>
      </c>
      <c r="O1497" t="s">
        <v>44</v>
      </c>
      <c r="P1497" t="s">
        <v>42</v>
      </c>
    </row>
    <row r="1498" spans="1:16" x14ac:dyDescent="0.25">
      <c r="A1498" t="s">
        <v>2539</v>
      </c>
      <c r="B1498" t="s">
        <v>2540</v>
      </c>
      <c r="C1498" t="s">
        <v>85</v>
      </c>
      <c r="D1498" t="s">
        <v>129</v>
      </c>
      <c r="E1498" t="s">
        <v>39</v>
      </c>
      <c r="F1498" t="s">
        <v>40</v>
      </c>
      <c r="G1498" t="s">
        <v>33</v>
      </c>
      <c r="H1498" t="s">
        <v>86</v>
      </c>
      <c r="I1498">
        <v>7</v>
      </c>
      <c r="J1498">
        <v>668496</v>
      </c>
      <c r="K1498">
        <v>12</v>
      </c>
      <c r="L1498">
        <v>4117935.36</v>
      </c>
      <c r="M1498" t="s">
        <v>25</v>
      </c>
      <c r="N1498" t="s">
        <v>69</v>
      </c>
      <c r="O1498" t="s">
        <v>27</v>
      </c>
      <c r="P1498" t="s">
        <v>55</v>
      </c>
    </row>
    <row r="1499" spans="1:16" x14ac:dyDescent="0.25">
      <c r="A1499" t="s">
        <v>2541</v>
      </c>
      <c r="B1499" t="s">
        <v>2542</v>
      </c>
      <c r="C1499" t="s">
        <v>198</v>
      </c>
      <c r="D1499" t="s">
        <v>47</v>
      </c>
      <c r="E1499" t="s">
        <v>48</v>
      </c>
      <c r="F1499" t="s">
        <v>22</v>
      </c>
      <c r="G1499" t="s">
        <v>41</v>
      </c>
      <c r="H1499" t="s">
        <v>34</v>
      </c>
      <c r="I1499">
        <v>7</v>
      </c>
      <c r="J1499">
        <v>627031</v>
      </c>
      <c r="K1499">
        <v>0</v>
      </c>
      <c r="L1499">
        <v>4389217</v>
      </c>
      <c r="M1499" t="s">
        <v>54</v>
      </c>
      <c r="N1499" t="s">
        <v>43</v>
      </c>
      <c r="O1499" t="s">
        <v>44</v>
      </c>
      <c r="P1499" t="s">
        <v>42</v>
      </c>
    </row>
    <row r="1500" spans="1:16" x14ac:dyDescent="0.25">
      <c r="A1500" t="s">
        <v>2543</v>
      </c>
      <c r="B1500" t="s">
        <v>1451</v>
      </c>
      <c r="C1500" t="s">
        <v>76</v>
      </c>
      <c r="D1500" t="s">
        <v>66</v>
      </c>
      <c r="E1500" t="s">
        <v>67</v>
      </c>
      <c r="F1500" t="s">
        <v>68</v>
      </c>
      <c r="G1500" t="s">
        <v>52</v>
      </c>
      <c r="H1500" t="s">
        <v>24</v>
      </c>
      <c r="I1500">
        <v>7</v>
      </c>
      <c r="J1500">
        <v>389352</v>
      </c>
      <c r="K1500">
        <v>12</v>
      </c>
      <c r="L1500">
        <v>2398408.3199999998</v>
      </c>
      <c r="M1500" t="s">
        <v>54</v>
      </c>
      <c r="N1500" t="s">
        <v>69</v>
      </c>
      <c r="O1500" t="s">
        <v>44</v>
      </c>
      <c r="P1500" t="s">
        <v>26</v>
      </c>
    </row>
    <row r="1501" spans="1:16" x14ac:dyDescent="0.25">
      <c r="A1501" t="s">
        <v>2544</v>
      </c>
      <c r="B1501" t="s">
        <v>2545</v>
      </c>
      <c r="C1501" t="s">
        <v>61</v>
      </c>
      <c r="D1501" t="s">
        <v>20</v>
      </c>
      <c r="E1501" t="s">
        <v>21</v>
      </c>
      <c r="F1501" t="s">
        <v>22</v>
      </c>
      <c r="G1501" t="s">
        <v>33</v>
      </c>
      <c r="H1501" t="s">
        <v>24</v>
      </c>
      <c r="I1501">
        <v>5</v>
      </c>
      <c r="J1501">
        <v>70768</v>
      </c>
      <c r="K1501">
        <v>10</v>
      </c>
      <c r="L1501">
        <v>318456</v>
      </c>
      <c r="M1501" t="s">
        <v>25</v>
      </c>
      <c r="N1501" t="s">
        <v>69</v>
      </c>
      <c r="O1501" t="s">
        <v>27</v>
      </c>
      <c r="P1501" t="s">
        <v>55</v>
      </c>
    </row>
    <row r="1502" spans="1:16" x14ac:dyDescent="0.25">
      <c r="A1502" t="s">
        <v>2546</v>
      </c>
      <c r="B1502" t="s">
        <v>2547</v>
      </c>
      <c r="C1502" t="s">
        <v>79</v>
      </c>
      <c r="D1502" t="s">
        <v>38</v>
      </c>
      <c r="E1502" t="s">
        <v>39</v>
      </c>
      <c r="F1502" t="s">
        <v>40</v>
      </c>
      <c r="G1502" t="s">
        <v>41</v>
      </c>
      <c r="H1502" t="s">
        <v>53</v>
      </c>
      <c r="I1502">
        <v>7</v>
      </c>
      <c r="J1502">
        <v>794113</v>
      </c>
      <c r="K1502">
        <v>12</v>
      </c>
      <c r="L1502">
        <v>4891736.08</v>
      </c>
      <c r="M1502" t="s">
        <v>42</v>
      </c>
      <c r="N1502" t="s">
        <v>43</v>
      </c>
      <c r="O1502" t="s">
        <v>44</v>
      </c>
      <c r="P1502" t="s">
        <v>55</v>
      </c>
    </row>
    <row r="1503" spans="1:16" x14ac:dyDescent="0.25">
      <c r="A1503" t="s">
        <v>2548</v>
      </c>
      <c r="B1503" t="s">
        <v>1732</v>
      </c>
      <c r="C1503" t="s">
        <v>76</v>
      </c>
      <c r="D1503" t="s">
        <v>20</v>
      </c>
      <c r="E1503" t="s">
        <v>21</v>
      </c>
      <c r="F1503" t="s">
        <v>22</v>
      </c>
      <c r="G1503" t="s">
        <v>73</v>
      </c>
      <c r="H1503" t="s">
        <v>58</v>
      </c>
      <c r="I1503">
        <v>5</v>
      </c>
      <c r="J1503">
        <v>860215</v>
      </c>
      <c r="K1503">
        <v>7</v>
      </c>
      <c r="L1503">
        <v>3999999.75</v>
      </c>
      <c r="M1503" t="s">
        <v>42</v>
      </c>
      <c r="N1503" t="s">
        <v>69</v>
      </c>
      <c r="O1503" t="s">
        <v>27</v>
      </c>
      <c r="P1503" t="s">
        <v>42</v>
      </c>
    </row>
    <row r="1504" spans="1:16" x14ac:dyDescent="0.25">
      <c r="A1504" t="s">
        <v>2549</v>
      </c>
      <c r="B1504" t="s">
        <v>2550</v>
      </c>
      <c r="C1504" t="s">
        <v>61</v>
      </c>
      <c r="D1504" t="s">
        <v>51</v>
      </c>
      <c r="E1504" t="s">
        <v>48</v>
      </c>
      <c r="F1504" t="s">
        <v>22</v>
      </c>
      <c r="G1504" t="s">
        <v>41</v>
      </c>
      <c r="H1504" t="s">
        <v>58</v>
      </c>
      <c r="I1504">
        <v>4</v>
      </c>
      <c r="J1504">
        <v>316503</v>
      </c>
      <c r="K1504">
        <v>7</v>
      </c>
      <c r="L1504">
        <v>1177391.1599999999</v>
      </c>
      <c r="M1504" t="s">
        <v>25</v>
      </c>
      <c r="N1504" t="s">
        <v>26</v>
      </c>
      <c r="O1504" t="s">
        <v>27</v>
      </c>
      <c r="P1504" t="s">
        <v>55</v>
      </c>
    </row>
    <row r="1505" spans="1:16" x14ac:dyDescent="0.25">
      <c r="A1505" t="s">
        <v>2551</v>
      </c>
      <c r="B1505" t="s">
        <v>2552</v>
      </c>
      <c r="C1505" t="s">
        <v>85</v>
      </c>
      <c r="D1505" t="s">
        <v>30</v>
      </c>
      <c r="E1505" t="s">
        <v>31</v>
      </c>
      <c r="F1505" t="s">
        <v>32</v>
      </c>
      <c r="G1505" t="s">
        <v>52</v>
      </c>
      <c r="H1505" t="s">
        <v>34</v>
      </c>
      <c r="I1505">
        <v>6</v>
      </c>
      <c r="J1505">
        <v>294214</v>
      </c>
      <c r="K1505">
        <v>12</v>
      </c>
      <c r="L1505">
        <v>1553449.92</v>
      </c>
      <c r="M1505" t="s">
        <v>54</v>
      </c>
      <c r="N1505" t="s">
        <v>69</v>
      </c>
      <c r="O1505" t="s">
        <v>27</v>
      </c>
      <c r="P1505" t="s">
        <v>42</v>
      </c>
    </row>
    <row r="1506" spans="1:16" x14ac:dyDescent="0.25">
      <c r="A1506" t="s">
        <v>2553</v>
      </c>
      <c r="B1506" t="s">
        <v>439</v>
      </c>
      <c r="C1506" t="s">
        <v>99</v>
      </c>
      <c r="D1506" t="s">
        <v>66</v>
      </c>
      <c r="E1506" t="s">
        <v>67</v>
      </c>
      <c r="F1506" t="s">
        <v>68</v>
      </c>
      <c r="G1506" t="s">
        <v>73</v>
      </c>
      <c r="H1506" t="s">
        <v>24</v>
      </c>
      <c r="I1506">
        <v>3</v>
      </c>
      <c r="J1506">
        <v>302979</v>
      </c>
      <c r="K1506">
        <v>0</v>
      </c>
      <c r="L1506">
        <v>908937</v>
      </c>
      <c r="M1506" t="s">
        <v>54</v>
      </c>
      <c r="N1506" t="s">
        <v>43</v>
      </c>
      <c r="O1506" t="s">
        <v>27</v>
      </c>
      <c r="P1506" t="s">
        <v>42</v>
      </c>
    </row>
    <row r="1507" spans="1:16" x14ac:dyDescent="0.25">
      <c r="A1507" t="s">
        <v>2554</v>
      </c>
      <c r="B1507" t="s">
        <v>2555</v>
      </c>
      <c r="C1507" t="s">
        <v>19</v>
      </c>
      <c r="D1507" t="s">
        <v>20</v>
      </c>
      <c r="E1507" t="s">
        <v>21</v>
      </c>
      <c r="F1507" t="s">
        <v>22</v>
      </c>
      <c r="G1507" t="s">
        <v>52</v>
      </c>
      <c r="H1507" t="s">
        <v>86</v>
      </c>
      <c r="I1507">
        <v>2</v>
      </c>
      <c r="J1507">
        <v>549403</v>
      </c>
      <c r="K1507">
        <v>7</v>
      </c>
      <c r="L1507">
        <v>1021889.58</v>
      </c>
      <c r="M1507" t="s">
        <v>25</v>
      </c>
      <c r="N1507" t="s">
        <v>69</v>
      </c>
      <c r="O1507" t="s">
        <v>44</v>
      </c>
      <c r="P1507" t="s">
        <v>42</v>
      </c>
    </row>
    <row r="1508" spans="1:16" x14ac:dyDescent="0.25">
      <c r="A1508" t="s">
        <v>2556</v>
      </c>
      <c r="B1508" t="s">
        <v>2557</v>
      </c>
      <c r="C1508" t="s">
        <v>76</v>
      </c>
      <c r="D1508" t="s">
        <v>129</v>
      </c>
      <c r="E1508" t="s">
        <v>130</v>
      </c>
      <c r="F1508" t="s">
        <v>40</v>
      </c>
      <c r="G1508" t="s">
        <v>41</v>
      </c>
      <c r="H1508" t="s">
        <v>86</v>
      </c>
      <c r="I1508">
        <v>3</v>
      </c>
      <c r="J1508">
        <v>666528</v>
      </c>
      <c r="K1508">
        <v>7</v>
      </c>
      <c r="L1508">
        <v>1859613.12</v>
      </c>
      <c r="M1508" t="s">
        <v>54</v>
      </c>
      <c r="N1508" t="s">
        <v>26</v>
      </c>
      <c r="O1508" t="s">
        <v>27</v>
      </c>
      <c r="P1508" t="s">
        <v>55</v>
      </c>
    </row>
    <row r="1509" spans="1:16" x14ac:dyDescent="0.25">
      <c r="A1509" t="s">
        <v>2558</v>
      </c>
      <c r="B1509" t="s">
        <v>1673</v>
      </c>
      <c r="C1509" t="s">
        <v>65</v>
      </c>
      <c r="D1509" t="s">
        <v>66</v>
      </c>
      <c r="E1509" t="s">
        <v>67</v>
      </c>
      <c r="F1509" t="s">
        <v>68</v>
      </c>
      <c r="G1509" t="s">
        <v>135</v>
      </c>
      <c r="H1509" t="s">
        <v>24</v>
      </c>
      <c r="I1509">
        <v>3</v>
      </c>
      <c r="J1509">
        <v>617532</v>
      </c>
      <c r="K1509">
        <v>2</v>
      </c>
      <c r="L1509">
        <v>1815544.08</v>
      </c>
      <c r="M1509" t="s">
        <v>25</v>
      </c>
      <c r="N1509" t="s">
        <v>26</v>
      </c>
      <c r="O1509" t="s">
        <v>27</v>
      </c>
      <c r="P1509" t="s">
        <v>55</v>
      </c>
    </row>
    <row r="1510" spans="1:16" x14ac:dyDescent="0.25">
      <c r="A1510" t="s">
        <v>2559</v>
      </c>
      <c r="B1510" t="s">
        <v>132</v>
      </c>
      <c r="C1510" t="s">
        <v>85</v>
      </c>
      <c r="D1510" t="s">
        <v>20</v>
      </c>
      <c r="E1510" t="s">
        <v>21</v>
      </c>
      <c r="F1510" t="s">
        <v>22</v>
      </c>
      <c r="G1510" t="s">
        <v>73</v>
      </c>
      <c r="H1510" t="s">
        <v>58</v>
      </c>
      <c r="I1510">
        <v>2</v>
      </c>
      <c r="J1510">
        <v>895665</v>
      </c>
      <c r="K1510">
        <v>12</v>
      </c>
      <c r="L1510">
        <v>1576370.4</v>
      </c>
      <c r="M1510" t="s">
        <v>25</v>
      </c>
      <c r="N1510" t="s">
        <v>26</v>
      </c>
      <c r="O1510" t="s">
        <v>27</v>
      </c>
      <c r="P1510" t="s">
        <v>55</v>
      </c>
    </row>
    <row r="1511" spans="1:16" x14ac:dyDescent="0.25">
      <c r="A1511" t="s">
        <v>2560</v>
      </c>
      <c r="B1511" t="s">
        <v>2561</v>
      </c>
      <c r="C1511" t="s">
        <v>79</v>
      </c>
      <c r="D1511" t="s">
        <v>30</v>
      </c>
      <c r="E1511" t="s">
        <v>31</v>
      </c>
      <c r="F1511" t="s">
        <v>32</v>
      </c>
      <c r="G1511" t="s">
        <v>62</v>
      </c>
      <c r="H1511" t="s">
        <v>24</v>
      </c>
      <c r="I1511">
        <v>6</v>
      </c>
      <c r="J1511">
        <v>395229</v>
      </c>
      <c r="K1511">
        <v>7</v>
      </c>
      <c r="L1511">
        <v>2205377.8199999998</v>
      </c>
      <c r="M1511" t="s">
        <v>42</v>
      </c>
      <c r="N1511" t="s">
        <v>26</v>
      </c>
      <c r="O1511" t="s">
        <v>44</v>
      </c>
      <c r="P1511" t="s">
        <v>42</v>
      </c>
    </row>
    <row r="1512" spans="1:16" x14ac:dyDescent="0.25">
      <c r="A1512" t="s">
        <v>2562</v>
      </c>
      <c r="B1512" t="s">
        <v>1653</v>
      </c>
      <c r="C1512" t="s">
        <v>61</v>
      </c>
      <c r="D1512" t="s">
        <v>47</v>
      </c>
      <c r="E1512" t="s">
        <v>72</v>
      </c>
      <c r="F1512" t="s">
        <v>22</v>
      </c>
      <c r="G1512" t="s">
        <v>62</v>
      </c>
      <c r="H1512" t="s">
        <v>53</v>
      </c>
      <c r="I1512">
        <v>5</v>
      </c>
      <c r="J1512">
        <v>812736</v>
      </c>
      <c r="K1512">
        <v>10</v>
      </c>
      <c r="L1512">
        <v>3657312</v>
      </c>
      <c r="M1512" t="s">
        <v>42</v>
      </c>
      <c r="N1512" t="s">
        <v>26</v>
      </c>
      <c r="O1512" t="s">
        <v>27</v>
      </c>
      <c r="P1512" t="s">
        <v>55</v>
      </c>
    </row>
    <row r="1513" spans="1:16" x14ac:dyDescent="0.25">
      <c r="A1513" t="s">
        <v>2563</v>
      </c>
      <c r="B1513" t="s">
        <v>2564</v>
      </c>
      <c r="C1513" t="s">
        <v>65</v>
      </c>
      <c r="D1513" t="s">
        <v>20</v>
      </c>
      <c r="E1513" t="s">
        <v>21</v>
      </c>
      <c r="F1513" t="s">
        <v>22</v>
      </c>
      <c r="G1513" t="s">
        <v>73</v>
      </c>
      <c r="H1513" t="s">
        <v>24</v>
      </c>
      <c r="I1513">
        <v>2</v>
      </c>
      <c r="J1513">
        <v>363766</v>
      </c>
      <c r="K1513">
        <v>5</v>
      </c>
      <c r="L1513">
        <v>691155.4</v>
      </c>
      <c r="M1513" t="s">
        <v>25</v>
      </c>
      <c r="N1513" t="s">
        <v>43</v>
      </c>
      <c r="O1513" t="s">
        <v>27</v>
      </c>
      <c r="P1513" t="s">
        <v>42</v>
      </c>
    </row>
    <row r="1514" spans="1:16" x14ac:dyDescent="0.25">
      <c r="A1514" t="s">
        <v>2565</v>
      </c>
      <c r="B1514" t="s">
        <v>1553</v>
      </c>
      <c r="C1514" t="s">
        <v>85</v>
      </c>
      <c r="D1514" t="s">
        <v>47</v>
      </c>
      <c r="E1514" t="s">
        <v>48</v>
      </c>
      <c r="F1514" t="s">
        <v>22</v>
      </c>
      <c r="G1514" t="s">
        <v>62</v>
      </c>
      <c r="H1514" t="s">
        <v>58</v>
      </c>
      <c r="I1514">
        <v>6</v>
      </c>
      <c r="J1514">
        <v>509952</v>
      </c>
      <c r="K1514">
        <v>5</v>
      </c>
      <c r="L1514">
        <v>2906726.3999999999</v>
      </c>
      <c r="M1514" t="s">
        <v>42</v>
      </c>
      <c r="N1514" t="s">
        <v>43</v>
      </c>
      <c r="O1514" t="s">
        <v>27</v>
      </c>
      <c r="P1514" t="s">
        <v>26</v>
      </c>
    </row>
    <row r="1515" spans="1:16" x14ac:dyDescent="0.25">
      <c r="A1515" t="s">
        <v>2566</v>
      </c>
      <c r="B1515" t="s">
        <v>2567</v>
      </c>
      <c r="C1515" t="s">
        <v>19</v>
      </c>
      <c r="D1515" t="s">
        <v>66</v>
      </c>
      <c r="E1515" t="s">
        <v>67</v>
      </c>
      <c r="F1515" t="s">
        <v>68</v>
      </c>
      <c r="G1515" t="s">
        <v>124</v>
      </c>
      <c r="H1515" t="s">
        <v>53</v>
      </c>
      <c r="I1515">
        <v>7</v>
      </c>
      <c r="J1515">
        <v>343473</v>
      </c>
      <c r="K1515">
        <v>12</v>
      </c>
      <c r="L1515">
        <v>2115793.6800000002</v>
      </c>
      <c r="M1515" t="s">
        <v>42</v>
      </c>
      <c r="N1515" t="s">
        <v>43</v>
      </c>
      <c r="O1515" t="s">
        <v>44</v>
      </c>
      <c r="P1515" t="s">
        <v>26</v>
      </c>
    </row>
    <row r="1516" spans="1:16" x14ac:dyDescent="0.25">
      <c r="A1516" t="s">
        <v>2568</v>
      </c>
      <c r="B1516" t="s">
        <v>2569</v>
      </c>
      <c r="C1516" t="s">
        <v>85</v>
      </c>
      <c r="D1516" t="s">
        <v>38</v>
      </c>
      <c r="E1516" t="s">
        <v>39</v>
      </c>
      <c r="F1516" t="s">
        <v>40</v>
      </c>
      <c r="G1516" t="s">
        <v>41</v>
      </c>
      <c r="H1516" t="s">
        <v>53</v>
      </c>
      <c r="I1516">
        <v>8</v>
      </c>
      <c r="J1516">
        <v>149830</v>
      </c>
      <c r="K1516">
        <v>12</v>
      </c>
      <c r="L1516">
        <v>1054803.2</v>
      </c>
      <c r="M1516" t="s">
        <v>42</v>
      </c>
      <c r="N1516" t="s">
        <v>43</v>
      </c>
      <c r="O1516" t="s">
        <v>27</v>
      </c>
      <c r="P1516" t="s">
        <v>26</v>
      </c>
    </row>
    <row r="1517" spans="1:16" x14ac:dyDescent="0.25">
      <c r="A1517" t="s">
        <v>2570</v>
      </c>
      <c r="B1517" t="s">
        <v>818</v>
      </c>
      <c r="C1517" t="s">
        <v>37</v>
      </c>
      <c r="D1517" t="s">
        <v>30</v>
      </c>
      <c r="E1517" t="s">
        <v>31</v>
      </c>
      <c r="F1517" t="s">
        <v>32</v>
      </c>
      <c r="G1517" t="s">
        <v>33</v>
      </c>
      <c r="H1517" t="s">
        <v>86</v>
      </c>
      <c r="I1517">
        <v>8</v>
      </c>
      <c r="J1517">
        <v>585006</v>
      </c>
      <c r="K1517">
        <v>2</v>
      </c>
      <c r="L1517">
        <v>4586447.04</v>
      </c>
      <c r="M1517" t="s">
        <v>42</v>
      </c>
      <c r="N1517" t="s">
        <v>69</v>
      </c>
      <c r="O1517" t="s">
        <v>27</v>
      </c>
      <c r="P1517" t="s">
        <v>26</v>
      </c>
    </row>
    <row r="1518" spans="1:16" x14ac:dyDescent="0.25">
      <c r="A1518" t="s">
        <v>2571</v>
      </c>
      <c r="B1518" t="s">
        <v>627</v>
      </c>
      <c r="C1518" t="s">
        <v>85</v>
      </c>
      <c r="D1518" t="s">
        <v>51</v>
      </c>
      <c r="E1518" t="s">
        <v>48</v>
      </c>
      <c r="F1518" t="s">
        <v>22</v>
      </c>
      <c r="G1518" t="s">
        <v>124</v>
      </c>
      <c r="H1518" t="s">
        <v>86</v>
      </c>
      <c r="I1518">
        <v>1</v>
      </c>
      <c r="J1518">
        <v>222738</v>
      </c>
      <c r="K1518">
        <v>2</v>
      </c>
      <c r="L1518">
        <v>218283.24</v>
      </c>
      <c r="M1518" t="s">
        <v>25</v>
      </c>
      <c r="N1518" t="s">
        <v>26</v>
      </c>
      <c r="O1518" t="s">
        <v>27</v>
      </c>
      <c r="P1518" t="s">
        <v>55</v>
      </c>
    </row>
    <row r="1519" spans="1:16" x14ac:dyDescent="0.25">
      <c r="A1519" t="s">
        <v>2572</v>
      </c>
      <c r="B1519" t="s">
        <v>1938</v>
      </c>
      <c r="C1519" t="s">
        <v>19</v>
      </c>
      <c r="D1519" t="s">
        <v>47</v>
      </c>
      <c r="E1519" t="s">
        <v>48</v>
      </c>
      <c r="F1519" t="s">
        <v>22</v>
      </c>
      <c r="G1519" t="s">
        <v>33</v>
      </c>
      <c r="H1519" t="s">
        <v>34</v>
      </c>
      <c r="I1519">
        <v>5</v>
      </c>
      <c r="J1519">
        <v>64819</v>
      </c>
      <c r="K1519">
        <v>7</v>
      </c>
      <c r="L1519">
        <v>301408.34999999998</v>
      </c>
      <c r="M1519" t="s">
        <v>42</v>
      </c>
      <c r="N1519" t="s">
        <v>69</v>
      </c>
      <c r="O1519" t="s">
        <v>27</v>
      </c>
      <c r="P1519" t="s">
        <v>55</v>
      </c>
    </row>
    <row r="1520" spans="1:16" x14ac:dyDescent="0.25">
      <c r="A1520" t="s">
        <v>2573</v>
      </c>
      <c r="B1520" t="s">
        <v>2093</v>
      </c>
      <c r="C1520" t="s">
        <v>19</v>
      </c>
      <c r="D1520" t="s">
        <v>20</v>
      </c>
      <c r="E1520" t="s">
        <v>21</v>
      </c>
      <c r="F1520" t="s">
        <v>22</v>
      </c>
      <c r="G1520" t="s">
        <v>135</v>
      </c>
      <c r="H1520" t="s">
        <v>53</v>
      </c>
      <c r="I1520">
        <v>3</v>
      </c>
      <c r="J1520">
        <v>91971</v>
      </c>
      <c r="K1520">
        <v>2</v>
      </c>
      <c r="L1520">
        <v>270394.74</v>
      </c>
      <c r="M1520" t="s">
        <v>42</v>
      </c>
      <c r="N1520" t="s">
        <v>43</v>
      </c>
      <c r="O1520" t="s">
        <v>27</v>
      </c>
      <c r="P1520" t="s">
        <v>55</v>
      </c>
    </row>
    <row r="1521" spans="1:16" x14ac:dyDescent="0.25">
      <c r="A1521" t="s">
        <v>2574</v>
      </c>
      <c r="B1521" t="s">
        <v>1469</v>
      </c>
      <c r="C1521" t="s">
        <v>91</v>
      </c>
      <c r="D1521" t="s">
        <v>20</v>
      </c>
      <c r="E1521" t="s">
        <v>21</v>
      </c>
      <c r="F1521" t="s">
        <v>22</v>
      </c>
      <c r="G1521" t="s">
        <v>33</v>
      </c>
      <c r="H1521" t="s">
        <v>86</v>
      </c>
      <c r="I1521">
        <v>5</v>
      </c>
      <c r="J1521">
        <v>572179</v>
      </c>
      <c r="K1521">
        <v>5</v>
      </c>
      <c r="L1521">
        <v>2717850.25</v>
      </c>
      <c r="M1521" t="s">
        <v>25</v>
      </c>
      <c r="N1521" t="s">
        <v>43</v>
      </c>
      <c r="O1521" t="s">
        <v>44</v>
      </c>
      <c r="P1521" t="s">
        <v>55</v>
      </c>
    </row>
    <row r="1522" spans="1:16" x14ac:dyDescent="0.25">
      <c r="A1522" t="s">
        <v>2575</v>
      </c>
      <c r="B1522" t="s">
        <v>1127</v>
      </c>
      <c r="C1522" t="s">
        <v>76</v>
      </c>
      <c r="D1522" t="s">
        <v>20</v>
      </c>
      <c r="E1522" t="s">
        <v>21</v>
      </c>
      <c r="F1522" t="s">
        <v>22</v>
      </c>
      <c r="G1522" t="s">
        <v>62</v>
      </c>
      <c r="H1522" t="s">
        <v>34</v>
      </c>
      <c r="I1522">
        <v>8</v>
      </c>
      <c r="J1522">
        <v>789144</v>
      </c>
      <c r="K1522">
        <v>12</v>
      </c>
      <c r="L1522">
        <v>5555573.7599999998</v>
      </c>
      <c r="M1522" t="s">
        <v>54</v>
      </c>
      <c r="N1522" t="s">
        <v>26</v>
      </c>
      <c r="O1522" t="s">
        <v>27</v>
      </c>
      <c r="P1522" t="s">
        <v>55</v>
      </c>
    </row>
    <row r="1523" spans="1:16" x14ac:dyDescent="0.25">
      <c r="A1523" t="s">
        <v>2576</v>
      </c>
      <c r="B1523" t="s">
        <v>1022</v>
      </c>
      <c r="C1523" t="s">
        <v>37</v>
      </c>
      <c r="D1523" t="s">
        <v>20</v>
      </c>
      <c r="E1523" t="s">
        <v>21</v>
      </c>
      <c r="F1523" t="s">
        <v>22</v>
      </c>
      <c r="G1523" t="s">
        <v>89</v>
      </c>
      <c r="H1523" t="s">
        <v>53</v>
      </c>
      <c r="I1523">
        <v>6</v>
      </c>
      <c r="J1523">
        <v>177130</v>
      </c>
      <c r="K1523">
        <v>7</v>
      </c>
      <c r="L1523">
        <v>988385.39999999991</v>
      </c>
      <c r="M1523" t="s">
        <v>42</v>
      </c>
      <c r="N1523" t="s">
        <v>43</v>
      </c>
      <c r="O1523" t="s">
        <v>27</v>
      </c>
      <c r="P1523" t="s">
        <v>26</v>
      </c>
    </row>
    <row r="1524" spans="1:16" x14ac:dyDescent="0.25">
      <c r="A1524" t="s">
        <v>2577</v>
      </c>
      <c r="B1524" t="s">
        <v>1737</v>
      </c>
      <c r="C1524" t="s">
        <v>76</v>
      </c>
      <c r="D1524" t="s">
        <v>30</v>
      </c>
      <c r="E1524" t="s">
        <v>31</v>
      </c>
      <c r="F1524" t="s">
        <v>32</v>
      </c>
      <c r="G1524" t="s">
        <v>23</v>
      </c>
      <c r="H1524" t="s">
        <v>24</v>
      </c>
      <c r="I1524">
        <v>2</v>
      </c>
      <c r="J1524">
        <v>450975</v>
      </c>
      <c r="M1524" t="s">
        <v>42</v>
      </c>
      <c r="N1524" t="s">
        <v>43</v>
      </c>
      <c r="O1524" t="s">
        <v>44</v>
      </c>
      <c r="P1524" t="s">
        <v>42</v>
      </c>
    </row>
    <row r="1525" spans="1:16" x14ac:dyDescent="0.25">
      <c r="A1525" t="s">
        <v>2578</v>
      </c>
      <c r="B1525" t="s">
        <v>959</v>
      </c>
      <c r="C1525" t="s">
        <v>76</v>
      </c>
      <c r="D1525" t="s">
        <v>30</v>
      </c>
      <c r="E1525" t="s">
        <v>31</v>
      </c>
      <c r="F1525" t="s">
        <v>32</v>
      </c>
      <c r="G1525" t="s">
        <v>52</v>
      </c>
      <c r="H1525" t="s">
        <v>34</v>
      </c>
      <c r="I1525">
        <v>5</v>
      </c>
      <c r="J1525">
        <v>884548</v>
      </c>
      <c r="K1525">
        <v>2</v>
      </c>
      <c r="L1525">
        <v>4334285.2</v>
      </c>
      <c r="M1525" t="s">
        <v>25</v>
      </c>
      <c r="N1525" t="s">
        <v>26</v>
      </c>
      <c r="O1525" t="s">
        <v>27</v>
      </c>
      <c r="P1525" t="s">
        <v>42</v>
      </c>
    </row>
    <row r="1526" spans="1:16" x14ac:dyDescent="0.25">
      <c r="A1526" t="s">
        <v>2579</v>
      </c>
      <c r="B1526" t="s">
        <v>952</v>
      </c>
      <c r="C1526" t="s">
        <v>76</v>
      </c>
      <c r="D1526" t="s">
        <v>154</v>
      </c>
      <c r="E1526" t="s">
        <v>67</v>
      </c>
      <c r="F1526" t="s">
        <v>68</v>
      </c>
      <c r="G1526" t="s">
        <v>33</v>
      </c>
      <c r="H1526" t="s">
        <v>53</v>
      </c>
      <c r="I1526">
        <v>4</v>
      </c>
      <c r="J1526">
        <v>637327</v>
      </c>
      <c r="K1526">
        <v>5</v>
      </c>
      <c r="L1526">
        <v>2421842.6</v>
      </c>
      <c r="M1526" t="s">
        <v>54</v>
      </c>
      <c r="N1526" t="s">
        <v>26</v>
      </c>
      <c r="O1526" t="s">
        <v>27</v>
      </c>
      <c r="P1526" t="s">
        <v>26</v>
      </c>
    </row>
    <row r="1527" spans="1:16" x14ac:dyDescent="0.25">
      <c r="A1527" t="s">
        <v>2580</v>
      </c>
      <c r="B1527" t="s">
        <v>2581</v>
      </c>
      <c r="C1527" t="s">
        <v>19</v>
      </c>
      <c r="D1527" t="s">
        <v>30</v>
      </c>
      <c r="E1527" t="s">
        <v>31</v>
      </c>
      <c r="F1527" t="s">
        <v>32</v>
      </c>
      <c r="G1527" t="s">
        <v>73</v>
      </c>
      <c r="H1527" t="s">
        <v>53</v>
      </c>
      <c r="I1527">
        <v>6</v>
      </c>
      <c r="J1527">
        <v>438666</v>
      </c>
      <c r="K1527">
        <v>0</v>
      </c>
      <c r="L1527">
        <v>2631996</v>
      </c>
      <c r="M1527" t="s">
        <v>25</v>
      </c>
      <c r="N1527" t="s">
        <v>43</v>
      </c>
      <c r="O1527" t="s">
        <v>44</v>
      </c>
      <c r="P1527" t="s">
        <v>55</v>
      </c>
    </row>
    <row r="1528" spans="1:16" x14ac:dyDescent="0.25">
      <c r="A1528" t="s">
        <v>2582</v>
      </c>
      <c r="B1528" t="s">
        <v>2583</v>
      </c>
      <c r="C1528" t="s">
        <v>76</v>
      </c>
      <c r="D1528" t="s">
        <v>20</v>
      </c>
      <c r="E1528" t="s">
        <v>21</v>
      </c>
      <c r="F1528" t="s">
        <v>22</v>
      </c>
      <c r="G1528" t="s">
        <v>52</v>
      </c>
      <c r="H1528" t="s">
        <v>58</v>
      </c>
      <c r="I1528">
        <v>5</v>
      </c>
      <c r="J1528">
        <v>335493</v>
      </c>
      <c r="K1528">
        <v>5</v>
      </c>
      <c r="L1528">
        <v>1593591.75</v>
      </c>
      <c r="M1528" t="s">
        <v>42</v>
      </c>
      <c r="N1528" t="s">
        <v>43</v>
      </c>
      <c r="O1528" t="s">
        <v>27</v>
      </c>
      <c r="P1528" t="s">
        <v>42</v>
      </c>
    </row>
    <row r="1529" spans="1:16" x14ac:dyDescent="0.25">
      <c r="A1529" t="s">
        <v>2584</v>
      </c>
      <c r="B1529" t="s">
        <v>2585</v>
      </c>
      <c r="C1529" t="s">
        <v>65</v>
      </c>
      <c r="D1529" t="s">
        <v>66</v>
      </c>
      <c r="E1529" t="s">
        <v>67</v>
      </c>
      <c r="F1529" t="s">
        <v>68</v>
      </c>
      <c r="G1529" t="s">
        <v>94</v>
      </c>
      <c r="H1529" t="s">
        <v>53</v>
      </c>
      <c r="I1529">
        <v>3</v>
      </c>
      <c r="J1529">
        <v>309566</v>
      </c>
      <c r="K1529">
        <v>2</v>
      </c>
      <c r="L1529">
        <v>910124.04</v>
      </c>
      <c r="M1529" t="s">
        <v>25</v>
      </c>
      <c r="N1529" t="s">
        <v>69</v>
      </c>
      <c r="O1529" t="s">
        <v>27</v>
      </c>
      <c r="P1529" t="s">
        <v>42</v>
      </c>
    </row>
    <row r="1530" spans="1:16" x14ac:dyDescent="0.25">
      <c r="A1530" t="s">
        <v>2586</v>
      </c>
      <c r="B1530" t="s">
        <v>2587</v>
      </c>
      <c r="C1530" t="s">
        <v>85</v>
      </c>
      <c r="D1530" t="s">
        <v>30</v>
      </c>
      <c r="E1530" t="s">
        <v>31</v>
      </c>
      <c r="F1530" t="s">
        <v>32</v>
      </c>
      <c r="G1530" t="s">
        <v>73</v>
      </c>
      <c r="H1530" t="s">
        <v>34</v>
      </c>
      <c r="I1530">
        <v>5</v>
      </c>
      <c r="J1530">
        <v>309503</v>
      </c>
      <c r="K1530">
        <v>2</v>
      </c>
      <c r="L1530">
        <v>1516564.7</v>
      </c>
      <c r="M1530" t="s">
        <v>54</v>
      </c>
      <c r="N1530" t="s">
        <v>43</v>
      </c>
      <c r="O1530" t="s">
        <v>44</v>
      </c>
      <c r="P1530" t="s">
        <v>26</v>
      </c>
    </row>
    <row r="1531" spans="1:16" x14ac:dyDescent="0.25">
      <c r="A1531" t="s">
        <v>2588</v>
      </c>
      <c r="B1531" t="s">
        <v>989</v>
      </c>
      <c r="C1531" t="s">
        <v>37</v>
      </c>
      <c r="D1531" t="s">
        <v>30</v>
      </c>
      <c r="E1531" t="s">
        <v>31</v>
      </c>
      <c r="F1531" t="s">
        <v>32</v>
      </c>
      <c r="G1531" t="s">
        <v>73</v>
      </c>
      <c r="H1531" t="s">
        <v>86</v>
      </c>
      <c r="I1531">
        <v>5</v>
      </c>
      <c r="J1531">
        <v>108201</v>
      </c>
      <c r="K1531">
        <v>12</v>
      </c>
      <c r="L1531">
        <v>476084.4</v>
      </c>
      <c r="M1531" t="s">
        <v>54</v>
      </c>
      <c r="N1531" t="s">
        <v>26</v>
      </c>
      <c r="O1531" t="s">
        <v>27</v>
      </c>
      <c r="P1531" t="s">
        <v>55</v>
      </c>
    </row>
    <row r="1532" spans="1:16" x14ac:dyDescent="0.25">
      <c r="A1532" t="s">
        <v>2589</v>
      </c>
      <c r="B1532" t="s">
        <v>1016</v>
      </c>
      <c r="C1532" t="s">
        <v>198</v>
      </c>
      <c r="D1532" t="s">
        <v>38</v>
      </c>
      <c r="E1532" t="s">
        <v>39</v>
      </c>
      <c r="F1532" t="s">
        <v>40</v>
      </c>
      <c r="G1532" t="s">
        <v>41</v>
      </c>
      <c r="H1532" t="s">
        <v>58</v>
      </c>
      <c r="I1532">
        <v>1</v>
      </c>
      <c r="J1532">
        <v>618086</v>
      </c>
      <c r="K1532">
        <v>5</v>
      </c>
      <c r="L1532">
        <v>587181.69999999995</v>
      </c>
      <c r="M1532" t="s">
        <v>54</v>
      </c>
      <c r="N1532" t="s">
        <v>69</v>
      </c>
      <c r="O1532" t="s">
        <v>44</v>
      </c>
      <c r="P1532" t="s">
        <v>55</v>
      </c>
    </row>
    <row r="1533" spans="1:16" x14ac:dyDescent="0.25">
      <c r="A1533" t="s">
        <v>2590</v>
      </c>
      <c r="B1533" t="s">
        <v>2591</v>
      </c>
      <c r="C1533" t="s">
        <v>19</v>
      </c>
      <c r="D1533" t="s">
        <v>47</v>
      </c>
      <c r="E1533" t="s">
        <v>48</v>
      </c>
      <c r="F1533" t="s">
        <v>22</v>
      </c>
      <c r="G1533" t="s">
        <v>41</v>
      </c>
      <c r="H1533" t="s">
        <v>58</v>
      </c>
      <c r="I1533">
        <v>7</v>
      </c>
      <c r="J1533">
        <v>465362</v>
      </c>
      <c r="K1533">
        <v>10</v>
      </c>
      <c r="L1533">
        <v>2931780.6</v>
      </c>
      <c r="M1533" t="s">
        <v>42</v>
      </c>
      <c r="N1533" t="s">
        <v>43</v>
      </c>
      <c r="O1533" t="s">
        <v>27</v>
      </c>
      <c r="P1533" t="s">
        <v>55</v>
      </c>
    </row>
    <row r="1534" spans="1:16" x14ac:dyDescent="0.25">
      <c r="A1534" t="s">
        <v>2592</v>
      </c>
      <c r="B1534" t="s">
        <v>598</v>
      </c>
      <c r="C1534" t="s">
        <v>99</v>
      </c>
      <c r="D1534" t="s">
        <v>38</v>
      </c>
      <c r="E1534" t="s">
        <v>130</v>
      </c>
      <c r="F1534" t="s">
        <v>40</v>
      </c>
      <c r="G1534" t="s">
        <v>52</v>
      </c>
      <c r="H1534" t="s">
        <v>58</v>
      </c>
      <c r="I1534">
        <v>3</v>
      </c>
      <c r="J1534">
        <v>418764</v>
      </c>
      <c r="K1534">
        <v>12</v>
      </c>
      <c r="L1534">
        <v>1105536.96</v>
      </c>
      <c r="M1534" t="s">
        <v>25</v>
      </c>
      <c r="N1534" t="s">
        <v>69</v>
      </c>
      <c r="O1534" t="s">
        <v>44</v>
      </c>
      <c r="P1534" t="s">
        <v>42</v>
      </c>
    </row>
    <row r="1535" spans="1:16" x14ac:dyDescent="0.25">
      <c r="A1535" t="s">
        <v>2593</v>
      </c>
      <c r="B1535" t="s">
        <v>489</v>
      </c>
      <c r="C1535" t="s">
        <v>19</v>
      </c>
      <c r="D1535" t="s">
        <v>38</v>
      </c>
      <c r="E1535" t="s">
        <v>39</v>
      </c>
      <c r="F1535" t="s">
        <v>40</v>
      </c>
      <c r="G1535" t="s">
        <v>94</v>
      </c>
      <c r="H1535" t="s">
        <v>24</v>
      </c>
      <c r="I1535">
        <v>3</v>
      </c>
      <c r="J1535">
        <v>839506</v>
      </c>
      <c r="K1535">
        <v>7</v>
      </c>
      <c r="L1535">
        <v>2342221.7400000002</v>
      </c>
      <c r="M1535" t="s">
        <v>54</v>
      </c>
      <c r="N1535" t="s">
        <v>69</v>
      </c>
      <c r="O1535" t="s">
        <v>44</v>
      </c>
      <c r="P1535" t="s">
        <v>42</v>
      </c>
    </row>
    <row r="1536" spans="1:16" x14ac:dyDescent="0.25">
      <c r="A1536" t="s">
        <v>2594</v>
      </c>
      <c r="B1536" t="s">
        <v>2595</v>
      </c>
      <c r="C1536" t="s">
        <v>198</v>
      </c>
      <c r="D1536" t="s">
        <v>20</v>
      </c>
      <c r="E1536" t="s">
        <v>21</v>
      </c>
      <c r="F1536" t="s">
        <v>22</v>
      </c>
      <c r="G1536" t="s">
        <v>62</v>
      </c>
      <c r="H1536" t="s">
        <v>34</v>
      </c>
      <c r="I1536">
        <v>6</v>
      </c>
      <c r="J1536">
        <v>635022</v>
      </c>
      <c r="K1536">
        <v>2</v>
      </c>
      <c r="L1536">
        <v>3733929.36</v>
      </c>
      <c r="M1536" t="s">
        <v>42</v>
      </c>
      <c r="N1536" t="s">
        <v>69</v>
      </c>
      <c r="O1536" t="s">
        <v>27</v>
      </c>
      <c r="P1536" t="s">
        <v>42</v>
      </c>
    </row>
    <row r="1537" spans="1:16" x14ac:dyDescent="0.25">
      <c r="A1537" t="s">
        <v>2596</v>
      </c>
      <c r="B1537" t="s">
        <v>1453</v>
      </c>
      <c r="C1537" t="s">
        <v>76</v>
      </c>
      <c r="D1537" t="s">
        <v>47</v>
      </c>
      <c r="E1537" t="s">
        <v>48</v>
      </c>
      <c r="F1537" t="s">
        <v>22</v>
      </c>
      <c r="G1537" t="s">
        <v>52</v>
      </c>
      <c r="H1537" t="s">
        <v>53</v>
      </c>
      <c r="I1537">
        <v>3</v>
      </c>
      <c r="J1537">
        <v>896222</v>
      </c>
      <c r="K1537">
        <v>5</v>
      </c>
      <c r="L1537">
        <v>2554232.7000000002</v>
      </c>
      <c r="M1537" t="s">
        <v>54</v>
      </c>
      <c r="N1537" t="s">
        <v>69</v>
      </c>
      <c r="O1537" t="s">
        <v>27</v>
      </c>
      <c r="P1537" t="s">
        <v>55</v>
      </c>
    </row>
    <row r="1538" spans="1:16" x14ac:dyDescent="0.25">
      <c r="A1538" t="s">
        <v>2597</v>
      </c>
      <c r="B1538" t="s">
        <v>2509</v>
      </c>
      <c r="C1538" t="s">
        <v>19</v>
      </c>
      <c r="D1538" t="s">
        <v>30</v>
      </c>
      <c r="E1538" t="s">
        <v>31</v>
      </c>
      <c r="F1538" t="s">
        <v>32</v>
      </c>
      <c r="G1538" t="s">
        <v>41</v>
      </c>
      <c r="H1538" t="s">
        <v>24</v>
      </c>
      <c r="I1538">
        <v>4</v>
      </c>
      <c r="J1538">
        <v>182282</v>
      </c>
      <c r="K1538">
        <v>2</v>
      </c>
      <c r="L1538">
        <v>714545.44</v>
      </c>
      <c r="M1538" t="s">
        <v>54</v>
      </c>
      <c r="N1538" t="s">
        <v>43</v>
      </c>
      <c r="O1538" t="s">
        <v>27</v>
      </c>
      <c r="P1538" t="s">
        <v>26</v>
      </c>
    </row>
    <row r="1539" spans="1:16" x14ac:dyDescent="0.25">
      <c r="A1539" t="s">
        <v>2598</v>
      </c>
      <c r="B1539" t="s">
        <v>681</v>
      </c>
      <c r="C1539" t="s">
        <v>65</v>
      </c>
      <c r="D1539" t="s">
        <v>30</v>
      </c>
      <c r="E1539" t="s">
        <v>31</v>
      </c>
      <c r="F1539" t="s">
        <v>32</v>
      </c>
      <c r="G1539" t="s">
        <v>94</v>
      </c>
      <c r="H1539" t="s">
        <v>34</v>
      </c>
      <c r="I1539">
        <v>4</v>
      </c>
      <c r="J1539">
        <v>213053</v>
      </c>
      <c r="K1539">
        <v>0</v>
      </c>
      <c r="L1539">
        <v>852212</v>
      </c>
      <c r="M1539" t="s">
        <v>42</v>
      </c>
      <c r="N1539" t="s">
        <v>26</v>
      </c>
      <c r="O1539" t="s">
        <v>44</v>
      </c>
      <c r="P1539" t="s">
        <v>26</v>
      </c>
    </row>
    <row r="1540" spans="1:16" x14ac:dyDescent="0.25">
      <c r="A1540" t="s">
        <v>2599</v>
      </c>
      <c r="B1540" t="s">
        <v>2600</v>
      </c>
      <c r="C1540" t="s">
        <v>85</v>
      </c>
      <c r="D1540" t="s">
        <v>66</v>
      </c>
      <c r="E1540" t="s">
        <v>201</v>
      </c>
      <c r="F1540" t="s">
        <v>68</v>
      </c>
      <c r="G1540" t="s">
        <v>41</v>
      </c>
      <c r="H1540" t="s">
        <v>53</v>
      </c>
      <c r="I1540">
        <v>8</v>
      </c>
      <c r="J1540">
        <v>115486</v>
      </c>
      <c r="K1540">
        <v>0</v>
      </c>
      <c r="L1540">
        <v>923888</v>
      </c>
      <c r="M1540" t="s">
        <v>54</v>
      </c>
      <c r="N1540" t="s">
        <v>69</v>
      </c>
      <c r="O1540" t="s">
        <v>27</v>
      </c>
      <c r="P1540" t="s">
        <v>42</v>
      </c>
    </row>
    <row r="1541" spans="1:16" x14ac:dyDescent="0.25">
      <c r="A1541" t="s">
        <v>2601</v>
      </c>
      <c r="B1541" t="s">
        <v>2602</v>
      </c>
      <c r="C1541" t="s">
        <v>37</v>
      </c>
      <c r="D1541" t="s">
        <v>20</v>
      </c>
      <c r="E1541" t="s">
        <v>21</v>
      </c>
      <c r="F1541" t="s">
        <v>22</v>
      </c>
      <c r="G1541" t="s">
        <v>23</v>
      </c>
      <c r="H1541" t="s">
        <v>58</v>
      </c>
      <c r="I1541">
        <v>6</v>
      </c>
      <c r="J1541">
        <v>526335</v>
      </c>
      <c r="K1541">
        <v>5</v>
      </c>
      <c r="L1541">
        <v>3000109.5</v>
      </c>
      <c r="M1541" t="s">
        <v>42</v>
      </c>
      <c r="N1541" t="s">
        <v>69</v>
      </c>
      <c r="O1541" t="s">
        <v>44</v>
      </c>
      <c r="P1541" t="s">
        <v>42</v>
      </c>
    </row>
    <row r="1542" spans="1:16" x14ac:dyDescent="0.25">
      <c r="A1542" t="s">
        <v>2603</v>
      </c>
      <c r="B1542" t="s">
        <v>644</v>
      </c>
      <c r="C1542" t="s">
        <v>85</v>
      </c>
      <c r="D1542" t="s">
        <v>47</v>
      </c>
      <c r="E1542" t="s">
        <v>48</v>
      </c>
      <c r="F1542" t="s">
        <v>22</v>
      </c>
      <c r="G1542" t="s">
        <v>33</v>
      </c>
      <c r="H1542" t="s">
        <v>86</v>
      </c>
      <c r="I1542">
        <v>2</v>
      </c>
      <c r="J1542">
        <v>806013</v>
      </c>
      <c r="K1542">
        <v>0</v>
      </c>
      <c r="L1542">
        <v>1612026</v>
      </c>
      <c r="M1542" t="s">
        <v>25</v>
      </c>
      <c r="N1542" t="s">
        <v>43</v>
      </c>
      <c r="O1542" t="s">
        <v>27</v>
      </c>
      <c r="P1542" t="s">
        <v>42</v>
      </c>
    </row>
    <row r="1543" spans="1:16" x14ac:dyDescent="0.25">
      <c r="A1543" t="s">
        <v>2604</v>
      </c>
      <c r="B1543" t="s">
        <v>176</v>
      </c>
      <c r="C1543" t="s">
        <v>61</v>
      </c>
      <c r="D1543" t="s">
        <v>20</v>
      </c>
      <c r="E1543" t="s">
        <v>21</v>
      </c>
      <c r="F1543" t="s">
        <v>22</v>
      </c>
      <c r="G1543" t="s">
        <v>62</v>
      </c>
      <c r="H1543" t="s">
        <v>34</v>
      </c>
      <c r="J1543">
        <v>280738</v>
      </c>
      <c r="K1543">
        <v>5</v>
      </c>
      <c r="M1543" t="s">
        <v>54</v>
      </c>
      <c r="N1543" t="s">
        <v>26</v>
      </c>
      <c r="O1543" t="s">
        <v>27</v>
      </c>
      <c r="P1543" t="s">
        <v>55</v>
      </c>
    </row>
    <row r="1544" spans="1:16" x14ac:dyDescent="0.25">
      <c r="A1544" t="s">
        <v>2605</v>
      </c>
      <c r="B1544" t="s">
        <v>2263</v>
      </c>
      <c r="C1544" t="s">
        <v>76</v>
      </c>
      <c r="D1544" t="s">
        <v>30</v>
      </c>
      <c r="E1544" t="s">
        <v>31</v>
      </c>
      <c r="F1544" t="s">
        <v>32</v>
      </c>
      <c r="G1544" t="s">
        <v>52</v>
      </c>
      <c r="H1544" t="s">
        <v>24</v>
      </c>
      <c r="I1544">
        <v>3</v>
      </c>
      <c r="J1544">
        <v>226518</v>
      </c>
      <c r="K1544">
        <v>2</v>
      </c>
      <c r="L1544">
        <v>665962.92000000004</v>
      </c>
      <c r="M1544" t="s">
        <v>42</v>
      </c>
      <c r="N1544" t="s">
        <v>26</v>
      </c>
      <c r="O1544" t="s">
        <v>44</v>
      </c>
      <c r="P1544" t="s">
        <v>26</v>
      </c>
    </row>
    <row r="1545" spans="1:16" x14ac:dyDescent="0.25">
      <c r="A1545" t="s">
        <v>2606</v>
      </c>
      <c r="B1545" t="s">
        <v>1751</v>
      </c>
      <c r="C1545" t="s">
        <v>37</v>
      </c>
      <c r="D1545" t="s">
        <v>129</v>
      </c>
      <c r="E1545" t="s">
        <v>39</v>
      </c>
      <c r="F1545" t="s">
        <v>40</v>
      </c>
      <c r="G1545" t="s">
        <v>62</v>
      </c>
      <c r="H1545" t="s">
        <v>24</v>
      </c>
      <c r="I1545">
        <v>8</v>
      </c>
      <c r="J1545">
        <v>424136</v>
      </c>
      <c r="K1545">
        <v>2</v>
      </c>
      <c r="L1545">
        <v>3325226.24</v>
      </c>
      <c r="M1545" t="s">
        <v>42</v>
      </c>
      <c r="N1545" t="s">
        <v>69</v>
      </c>
      <c r="O1545" t="s">
        <v>44</v>
      </c>
      <c r="P1545" t="s">
        <v>26</v>
      </c>
    </row>
    <row r="1546" spans="1:16" x14ac:dyDescent="0.25">
      <c r="A1546" t="s">
        <v>2607</v>
      </c>
      <c r="B1546" t="s">
        <v>2608</v>
      </c>
      <c r="C1546" t="s">
        <v>76</v>
      </c>
      <c r="D1546" t="s">
        <v>129</v>
      </c>
      <c r="E1546" t="s">
        <v>39</v>
      </c>
      <c r="F1546" t="s">
        <v>40</v>
      </c>
      <c r="G1546" t="s">
        <v>41</v>
      </c>
      <c r="H1546" t="s">
        <v>86</v>
      </c>
      <c r="I1546">
        <v>4</v>
      </c>
      <c r="J1546">
        <v>610133</v>
      </c>
      <c r="K1546">
        <v>10</v>
      </c>
      <c r="L1546">
        <v>2196478.7999999998</v>
      </c>
      <c r="M1546" t="s">
        <v>42</v>
      </c>
      <c r="N1546" t="s">
        <v>43</v>
      </c>
      <c r="O1546" t="s">
        <v>44</v>
      </c>
      <c r="P1546" t="s">
        <v>55</v>
      </c>
    </row>
    <row r="1547" spans="1:16" x14ac:dyDescent="0.25">
      <c r="A1547" t="s">
        <v>2609</v>
      </c>
      <c r="B1547" t="s">
        <v>2610</v>
      </c>
      <c r="C1547" t="s">
        <v>37</v>
      </c>
      <c r="D1547" t="s">
        <v>47</v>
      </c>
      <c r="E1547" t="s">
        <v>48</v>
      </c>
      <c r="F1547" t="s">
        <v>22</v>
      </c>
      <c r="G1547" t="s">
        <v>52</v>
      </c>
      <c r="H1547" t="s">
        <v>58</v>
      </c>
      <c r="I1547">
        <v>8</v>
      </c>
      <c r="J1547">
        <v>99809</v>
      </c>
      <c r="K1547">
        <v>2</v>
      </c>
      <c r="L1547">
        <v>782502.55999999994</v>
      </c>
      <c r="M1547" t="s">
        <v>54</v>
      </c>
      <c r="N1547" t="s">
        <v>26</v>
      </c>
      <c r="O1547" t="s">
        <v>44</v>
      </c>
      <c r="P1547" t="s">
        <v>42</v>
      </c>
    </row>
    <row r="1548" spans="1:16" x14ac:dyDescent="0.25">
      <c r="A1548" t="s">
        <v>2611</v>
      </c>
      <c r="B1548" t="s">
        <v>545</v>
      </c>
      <c r="C1548" t="s">
        <v>37</v>
      </c>
      <c r="D1548" t="s">
        <v>66</v>
      </c>
      <c r="E1548" t="s">
        <v>67</v>
      </c>
      <c r="F1548" t="s">
        <v>68</v>
      </c>
      <c r="G1548" t="s">
        <v>73</v>
      </c>
      <c r="H1548" t="s">
        <v>58</v>
      </c>
      <c r="I1548">
        <v>8</v>
      </c>
      <c r="J1548">
        <v>871884</v>
      </c>
      <c r="K1548">
        <v>12</v>
      </c>
      <c r="L1548">
        <v>6138063.3600000003</v>
      </c>
      <c r="M1548" t="s">
        <v>42</v>
      </c>
      <c r="N1548" t="s">
        <v>69</v>
      </c>
      <c r="O1548" t="s">
        <v>27</v>
      </c>
      <c r="P1548" t="s">
        <v>26</v>
      </c>
    </row>
    <row r="1549" spans="1:16" x14ac:dyDescent="0.25">
      <c r="A1549" t="s">
        <v>2612</v>
      </c>
      <c r="B1549" t="s">
        <v>2613</v>
      </c>
      <c r="C1549" t="s">
        <v>37</v>
      </c>
      <c r="D1549" t="s">
        <v>119</v>
      </c>
      <c r="E1549" t="s">
        <v>21</v>
      </c>
      <c r="F1549" t="s">
        <v>22</v>
      </c>
      <c r="G1549" t="s">
        <v>52</v>
      </c>
      <c r="H1549" t="s">
        <v>34</v>
      </c>
      <c r="I1549">
        <v>3</v>
      </c>
      <c r="J1549">
        <v>597444</v>
      </c>
      <c r="K1549">
        <v>5</v>
      </c>
      <c r="L1549">
        <v>1702715.4</v>
      </c>
      <c r="M1549" t="s">
        <v>42</v>
      </c>
      <c r="N1549" t="s">
        <v>43</v>
      </c>
      <c r="O1549" t="s">
        <v>27</v>
      </c>
      <c r="P1549" t="s">
        <v>42</v>
      </c>
    </row>
    <row r="1550" spans="1:16" x14ac:dyDescent="0.25">
      <c r="A1550" t="s">
        <v>2614</v>
      </c>
      <c r="B1550" t="s">
        <v>1159</v>
      </c>
      <c r="C1550" t="s">
        <v>65</v>
      </c>
      <c r="D1550" t="s">
        <v>38</v>
      </c>
      <c r="E1550" t="s">
        <v>39</v>
      </c>
      <c r="F1550" t="s">
        <v>40</v>
      </c>
      <c r="G1550" t="s">
        <v>73</v>
      </c>
      <c r="H1550" t="s">
        <v>34</v>
      </c>
      <c r="I1550">
        <v>2</v>
      </c>
      <c r="J1550">
        <v>323075</v>
      </c>
      <c r="M1550" t="s">
        <v>54</v>
      </c>
      <c r="N1550" t="s">
        <v>43</v>
      </c>
      <c r="O1550" t="s">
        <v>27</v>
      </c>
      <c r="P1550" t="s">
        <v>26</v>
      </c>
    </row>
    <row r="1551" spans="1:16" x14ac:dyDescent="0.25">
      <c r="A1551" t="s">
        <v>2615</v>
      </c>
      <c r="B1551" t="s">
        <v>1318</v>
      </c>
      <c r="C1551" t="s">
        <v>85</v>
      </c>
      <c r="D1551" t="s">
        <v>66</v>
      </c>
      <c r="E1551" t="s">
        <v>201</v>
      </c>
      <c r="F1551" t="s">
        <v>68</v>
      </c>
      <c r="G1551" t="s">
        <v>52</v>
      </c>
      <c r="H1551" t="s">
        <v>58</v>
      </c>
      <c r="I1551">
        <v>2</v>
      </c>
      <c r="J1551">
        <v>847839</v>
      </c>
      <c r="K1551">
        <v>7</v>
      </c>
      <c r="L1551">
        <v>1576980.54</v>
      </c>
      <c r="M1551" t="s">
        <v>42</v>
      </c>
      <c r="N1551" t="s">
        <v>69</v>
      </c>
      <c r="O1551" t="s">
        <v>44</v>
      </c>
      <c r="P1551" t="s">
        <v>42</v>
      </c>
    </row>
    <row r="1552" spans="1:16" x14ac:dyDescent="0.25">
      <c r="A1552" t="s">
        <v>2616</v>
      </c>
      <c r="B1552" t="s">
        <v>729</v>
      </c>
      <c r="C1552" t="s">
        <v>61</v>
      </c>
      <c r="D1552" t="s">
        <v>38</v>
      </c>
      <c r="E1552" t="s">
        <v>39</v>
      </c>
      <c r="F1552" t="s">
        <v>40</v>
      </c>
      <c r="G1552" t="s">
        <v>41</v>
      </c>
      <c r="H1552" t="s">
        <v>34</v>
      </c>
      <c r="I1552">
        <v>4</v>
      </c>
      <c r="J1552">
        <v>200308</v>
      </c>
      <c r="K1552">
        <v>2</v>
      </c>
      <c r="L1552">
        <v>785207.36</v>
      </c>
      <c r="M1552" t="s">
        <v>25</v>
      </c>
      <c r="N1552" t="s">
        <v>43</v>
      </c>
      <c r="O1552" t="s">
        <v>44</v>
      </c>
      <c r="P1552" t="s">
        <v>42</v>
      </c>
    </row>
    <row r="1553" spans="1:16" x14ac:dyDescent="0.25">
      <c r="A1553" t="s">
        <v>2617</v>
      </c>
      <c r="B1553" t="s">
        <v>1258</v>
      </c>
      <c r="C1553" t="s">
        <v>65</v>
      </c>
      <c r="D1553" t="s">
        <v>47</v>
      </c>
      <c r="E1553" t="s">
        <v>48</v>
      </c>
      <c r="F1553" t="s">
        <v>22</v>
      </c>
      <c r="G1553" t="s">
        <v>41</v>
      </c>
      <c r="H1553" t="s">
        <v>58</v>
      </c>
      <c r="I1553">
        <v>3</v>
      </c>
      <c r="J1553">
        <v>899332</v>
      </c>
      <c r="K1553">
        <v>10</v>
      </c>
      <c r="L1553">
        <v>2428196.4</v>
      </c>
      <c r="M1553" t="s">
        <v>54</v>
      </c>
      <c r="N1553" t="s">
        <v>26</v>
      </c>
      <c r="O1553" t="s">
        <v>27</v>
      </c>
      <c r="P1553" t="s">
        <v>55</v>
      </c>
    </row>
    <row r="1554" spans="1:16" x14ac:dyDescent="0.25">
      <c r="A1554" t="s">
        <v>2618</v>
      </c>
      <c r="B1554" t="s">
        <v>2619</v>
      </c>
      <c r="C1554" t="s">
        <v>37</v>
      </c>
      <c r="D1554" t="s">
        <v>154</v>
      </c>
      <c r="E1554" t="s">
        <v>67</v>
      </c>
      <c r="F1554" t="s">
        <v>68</v>
      </c>
      <c r="G1554" t="s">
        <v>94</v>
      </c>
      <c r="H1554" t="s">
        <v>34</v>
      </c>
      <c r="I1554">
        <v>7</v>
      </c>
      <c r="J1554">
        <v>295109</v>
      </c>
      <c r="K1554">
        <v>5</v>
      </c>
      <c r="L1554">
        <v>1962474.85</v>
      </c>
      <c r="M1554" t="s">
        <v>54</v>
      </c>
      <c r="N1554" t="s">
        <v>26</v>
      </c>
      <c r="O1554" t="s">
        <v>44</v>
      </c>
      <c r="P1554" t="s">
        <v>42</v>
      </c>
    </row>
    <row r="1555" spans="1:16" x14ac:dyDescent="0.25">
      <c r="A1555" t="s">
        <v>2620</v>
      </c>
      <c r="B1555" t="s">
        <v>1743</v>
      </c>
      <c r="C1555" t="s">
        <v>85</v>
      </c>
      <c r="D1555" t="s">
        <v>38</v>
      </c>
      <c r="E1555" t="s">
        <v>39</v>
      </c>
      <c r="F1555" t="s">
        <v>40</v>
      </c>
      <c r="G1555" t="s">
        <v>52</v>
      </c>
      <c r="H1555" t="s">
        <v>34</v>
      </c>
      <c r="I1555">
        <v>6</v>
      </c>
      <c r="J1555">
        <v>328479</v>
      </c>
      <c r="K1555">
        <v>12</v>
      </c>
      <c r="L1555">
        <v>1734369.12</v>
      </c>
      <c r="M1555" t="s">
        <v>25</v>
      </c>
      <c r="N1555" t="s">
        <v>69</v>
      </c>
      <c r="O1555" t="s">
        <v>44</v>
      </c>
      <c r="P1555" t="s">
        <v>26</v>
      </c>
    </row>
    <row r="1556" spans="1:16" x14ac:dyDescent="0.25">
      <c r="A1556" t="s">
        <v>2621</v>
      </c>
      <c r="B1556" t="s">
        <v>2591</v>
      </c>
      <c r="C1556" t="s">
        <v>65</v>
      </c>
      <c r="D1556" t="s">
        <v>66</v>
      </c>
      <c r="E1556" t="s">
        <v>67</v>
      </c>
      <c r="F1556" t="s">
        <v>68</v>
      </c>
      <c r="G1556" t="s">
        <v>89</v>
      </c>
      <c r="H1556" t="s">
        <v>53</v>
      </c>
      <c r="I1556">
        <v>1</v>
      </c>
      <c r="J1556">
        <v>139867</v>
      </c>
      <c r="K1556">
        <v>2</v>
      </c>
      <c r="L1556">
        <v>137069.66</v>
      </c>
      <c r="M1556" t="s">
        <v>25</v>
      </c>
      <c r="N1556" t="s">
        <v>26</v>
      </c>
      <c r="O1556" t="s">
        <v>44</v>
      </c>
      <c r="P1556" t="s">
        <v>42</v>
      </c>
    </row>
    <row r="1557" spans="1:16" x14ac:dyDescent="0.25">
      <c r="A1557" t="s">
        <v>2622</v>
      </c>
      <c r="B1557" t="s">
        <v>2623</v>
      </c>
      <c r="C1557" t="s">
        <v>76</v>
      </c>
      <c r="D1557" t="s">
        <v>66</v>
      </c>
      <c r="E1557" t="s">
        <v>67</v>
      </c>
      <c r="F1557" t="s">
        <v>68</v>
      </c>
      <c r="G1557" t="s">
        <v>62</v>
      </c>
      <c r="H1557" t="s">
        <v>58</v>
      </c>
      <c r="I1557">
        <v>5</v>
      </c>
      <c r="J1557">
        <v>824449</v>
      </c>
      <c r="K1557">
        <v>2</v>
      </c>
      <c r="L1557">
        <v>4039800.1</v>
      </c>
      <c r="M1557" t="s">
        <v>42</v>
      </c>
      <c r="N1557" t="s">
        <v>69</v>
      </c>
      <c r="O1557" t="s">
        <v>27</v>
      </c>
      <c r="P1557" t="s">
        <v>26</v>
      </c>
    </row>
    <row r="1558" spans="1:16" x14ac:dyDescent="0.25">
      <c r="A1558" t="s">
        <v>2624</v>
      </c>
      <c r="B1558" t="s">
        <v>2591</v>
      </c>
      <c r="C1558" t="s">
        <v>198</v>
      </c>
      <c r="D1558" t="s">
        <v>30</v>
      </c>
      <c r="E1558" t="s">
        <v>31</v>
      </c>
      <c r="F1558" t="s">
        <v>32</v>
      </c>
      <c r="G1558" t="s">
        <v>62</v>
      </c>
      <c r="H1558" t="s">
        <v>24</v>
      </c>
      <c r="I1558">
        <v>2</v>
      </c>
      <c r="J1558">
        <v>709336</v>
      </c>
      <c r="K1558">
        <v>7</v>
      </c>
      <c r="L1558">
        <v>1319364.96</v>
      </c>
      <c r="M1558" t="s">
        <v>25</v>
      </c>
      <c r="N1558" t="s">
        <v>26</v>
      </c>
      <c r="O1558" t="s">
        <v>27</v>
      </c>
      <c r="P1558" t="s">
        <v>26</v>
      </c>
    </row>
    <row r="1559" spans="1:16" x14ac:dyDescent="0.25">
      <c r="A1559" t="s">
        <v>2625</v>
      </c>
      <c r="B1559" t="s">
        <v>2626</v>
      </c>
      <c r="C1559" t="s">
        <v>76</v>
      </c>
      <c r="D1559" t="s">
        <v>47</v>
      </c>
      <c r="E1559" t="s">
        <v>48</v>
      </c>
      <c r="F1559" t="s">
        <v>22</v>
      </c>
      <c r="G1559" t="s">
        <v>33</v>
      </c>
      <c r="H1559" t="s">
        <v>34</v>
      </c>
      <c r="I1559">
        <v>8</v>
      </c>
      <c r="J1559">
        <v>698811</v>
      </c>
      <c r="K1559">
        <v>0</v>
      </c>
      <c r="L1559">
        <v>5590488</v>
      </c>
      <c r="M1559" t="s">
        <v>42</v>
      </c>
      <c r="N1559" t="s">
        <v>69</v>
      </c>
      <c r="O1559" t="s">
        <v>27</v>
      </c>
      <c r="P1559" t="s">
        <v>26</v>
      </c>
    </row>
    <row r="1560" spans="1:16" x14ac:dyDescent="0.25">
      <c r="A1560" t="s">
        <v>2627</v>
      </c>
      <c r="B1560" t="s">
        <v>2263</v>
      </c>
      <c r="C1560" t="s">
        <v>76</v>
      </c>
      <c r="D1560" t="s">
        <v>66</v>
      </c>
      <c r="E1560" t="s">
        <v>67</v>
      </c>
      <c r="F1560" t="s">
        <v>68</v>
      </c>
      <c r="G1560" t="s">
        <v>94</v>
      </c>
      <c r="H1560" t="s">
        <v>86</v>
      </c>
      <c r="I1560">
        <v>3</v>
      </c>
      <c r="J1560">
        <v>89805</v>
      </c>
      <c r="K1560">
        <v>0</v>
      </c>
      <c r="L1560">
        <v>269415</v>
      </c>
      <c r="M1560" t="s">
        <v>42</v>
      </c>
      <c r="N1560" t="s">
        <v>43</v>
      </c>
      <c r="O1560" t="s">
        <v>44</v>
      </c>
      <c r="P1560" t="s">
        <v>42</v>
      </c>
    </row>
    <row r="1561" spans="1:16" x14ac:dyDescent="0.25">
      <c r="A1561" t="s">
        <v>2628</v>
      </c>
      <c r="B1561" t="s">
        <v>1402</v>
      </c>
      <c r="C1561" t="s">
        <v>65</v>
      </c>
      <c r="D1561" t="s">
        <v>47</v>
      </c>
      <c r="E1561" t="s">
        <v>48</v>
      </c>
      <c r="F1561" t="s">
        <v>22</v>
      </c>
      <c r="G1561" t="s">
        <v>73</v>
      </c>
      <c r="H1561" t="s">
        <v>53</v>
      </c>
      <c r="I1561">
        <v>7</v>
      </c>
      <c r="J1561">
        <v>127477</v>
      </c>
      <c r="K1561">
        <v>5</v>
      </c>
      <c r="L1561">
        <v>847722.04999999993</v>
      </c>
      <c r="M1561" t="s">
        <v>54</v>
      </c>
      <c r="N1561" t="s">
        <v>69</v>
      </c>
      <c r="O1561" t="s">
        <v>27</v>
      </c>
      <c r="P1561" t="s">
        <v>55</v>
      </c>
    </row>
    <row r="1562" spans="1:16" x14ac:dyDescent="0.25">
      <c r="A1562" t="s">
        <v>2629</v>
      </c>
      <c r="B1562" t="s">
        <v>1278</v>
      </c>
      <c r="C1562" t="s">
        <v>19</v>
      </c>
      <c r="D1562" t="s">
        <v>38</v>
      </c>
      <c r="E1562" t="s">
        <v>39</v>
      </c>
      <c r="F1562" t="s">
        <v>40</v>
      </c>
      <c r="G1562" t="s">
        <v>23</v>
      </c>
      <c r="H1562" t="s">
        <v>24</v>
      </c>
      <c r="I1562">
        <v>2</v>
      </c>
      <c r="J1562">
        <v>812640</v>
      </c>
      <c r="K1562">
        <v>7</v>
      </c>
      <c r="L1562">
        <v>1511510.4</v>
      </c>
      <c r="M1562" t="s">
        <v>25</v>
      </c>
      <c r="N1562" t="s">
        <v>26</v>
      </c>
      <c r="O1562" t="s">
        <v>27</v>
      </c>
      <c r="P1562" t="s">
        <v>55</v>
      </c>
    </row>
    <row r="1563" spans="1:16" x14ac:dyDescent="0.25">
      <c r="A1563" t="s">
        <v>2630</v>
      </c>
      <c r="B1563" t="s">
        <v>1177</v>
      </c>
      <c r="C1563" t="s">
        <v>19</v>
      </c>
      <c r="D1563" t="s">
        <v>129</v>
      </c>
      <c r="E1563" t="s">
        <v>39</v>
      </c>
      <c r="F1563" t="s">
        <v>40</v>
      </c>
      <c r="G1563" t="s">
        <v>41</v>
      </c>
      <c r="H1563" t="s">
        <v>53</v>
      </c>
      <c r="I1563">
        <v>5</v>
      </c>
      <c r="J1563">
        <v>276957</v>
      </c>
      <c r="K1563">
        <v>5</v>
      </c>
      <c r="L1563">
        <v>1315545.75</v>
      </c>
      <c r="M1563" t="s">
        <v>42</v>
      </c>
      <c r="N1563" t="s">
        <v>43</v>
      </c>
      <c r="O1563" t="s">
        <v>27</v>
      </c>
      <c r="P1563" t="s">
        <v>26</v>
      </c>
    </row>
    <row r="1564" spans="1:16" x14ac:dyDescent="0.25">
      <c r="A1564" t="s">
        <v>2631</v>
      </c>
      <c r="B1564" t="s">
        <v>2632</v>
      </c>
      <c r="C1564" t="s">
        <v>76</v>
      </c>
      <c r="D1564" t="s">
        <v>38</v>
      </c>
      <c r="E1564" t="s">
        <v>130</v>
      </c>
      <c r="F1564" t="s">
        <v>40</v>
      </c>
      <c r="G1564" t="s">
        <v>41</v>
      </c>
      <c r="H1564" t="s">
        <v>34</v>
      </c>
      <c r="I1564">
        <v>7</v>
      </c>
      <c r="J1564">
        <v>245642</v>
      </c>
      <c r="K1564">
        <v>0</v>
      </c>
      <c r="L1564">
        <v>1719494</v>
      </c>
      <c r="M1564" t="s">
        <v>42</v>
      </c>
      <c r="N1564" t="s">
        <v>43</v>
      </c>
      <c r="O1564" t="s">
        <v>44</v>
      </c>
      <c r="P1564" t="s">
        <v>55</v>
      </c>
    </row>
    <row r="1565" spans="1:16" x14ac:dyDescent="0.25">
      <c r="A1565" t="s">
        <v>2633</v>
      </c>
      <c r="B1565" t="s">
        <v>2634</v>
      </c>
      <c r="C1565" t="s">
        <v>76</v>
      </c>
      <c r="D1565" t="s">
        <v>66</v>
      </c>
      <c r="E1565" t="s">
        <v>201</v>
      </c>
      <c r="F1565" t="s">
        <v>68</v>
      </c>
      <c r="G1565" t="s">
        <v>62</v>
      </c>
      <c r="H1565" t="s">
        <v>53</v>
      </c>
      <c r="I1565">
        <v>6</v>
      </c>
      <c r="J1565">
        <v>850468</v>
      </c>
      <c r="K1565">
        <v>5</v>
      </c>
      <c r="L1565">
        <v>4847667.5999999996</v>
      </c>
      <c r="M1565" t="s">
        <v>25</v>
      </c>
      <c r="N1565" t="s">
        <v>43</v>
      </c>
      <c r="O1565" t="s">
        <v>27</v>
      </c>
      <c r="P1565" t="s">
        <v>55</v>
      </c>
    </row>
    <row r="1566" spans="1:16" x14ac:dyDescent="0.25">
      <c r="A1566" t="s">
        <v>2635</v>
      </c>
      <c r="B1566" t="s">
        <v>1113</v>
      </c>
      <c r="C1566" t="s">
        <v>76</v>
      </c>
      <c r="D1566" t="s">
        <v>154</v>
      </c>
      <c r="E1566" t="s">
        <v>67</v>
      </c>
      <c r="F1566" t="s">
        <v>68</v>
      </c>
      <c r="G1566" t="s">
        <v>52</v>
      </c>
      <c r="H1566" t="s">
        <v>58</v>
      </c>
      <c r="I1566">
        <v>4</v>
      </c>
      <c r="J1566">
        <v>473700</v>
      </c>
      <c r="K1566">
        <v>5</v>
      </c>
      <c r="L1566">
        <v>1800060</v>
      </c>
      <c r="M1566" t="s">
        <v>54</v>
      </c>
      <c r="N1566" t="s">
        <v>26</v>
      </c>
      <c r="O1566" t="s">
        <v>44</v>
      </c>
      <c r="P1566" t="s">
        <v>42</v>
      </c>
    </row>
    <row r="1567" spans="1:16" x14ac:dyDescent="0.25">
      <c r="A1567" t="s">
        <v>2636</v>
      </c>
      <c r="B1567" t="s">
        <v>1296</v>
      </c>
      <c r="C1567" t="s">
        <v>65</v>
      </c>
      <c r="D1567" t="s">
        <v>38</v>
      </c>
      <c r="E1567" t="s">
        <v>39</v>
      </c>
      <c r="F1567" t="s">
        <v>40</v>
      </c>
      <c r="G1567" t="s">
        <v>52</v>
      </c>
      <c r="H1567" t="s">
        <v>86</v>
      </c>
      <c r="I1567">
        <v>8</v>
      </c>
      <c r="J1567">
        <v>548482</v>
      </c>
      <c r="K1567">
        <v>2</v>
      </c>
      <c r="L1567">
        <v>4300098.88</v>
      </c>
      <c r="M1567" t="s">
        <v>54</v>
      </c>
      <c r="N1567" t="s">
        <v>26</v>
      </c>
      <c r="O1567" t="s">
        <v>44</v>
      </c>
      <c r="P1567" t="s">
        <v>42</v>
      </c>
    </row>
    <row r="1568" spans="1:16" x14ac:dyDescent="0.25">
      <c r="A1568" t="s">
        <v>2637</v>
      </c>
      <c r="B1568" t="s">
        <v>575</v>
      </c>
      <c r="C1568" t="s">
        <v>19</v>
      </c>
      <c r="D1568" t="s">
        <v>30</v>
      </c>
      <c r="E1568" t="s">
        <v>31</v>
      </c>
      <c r="F1568" t="s">
        <v>32</v>
      </c>
      <c r="G1568" t="s">
        <v>52</v>
      </c>
      <c r="H1568" t="s">
        <v>34</v>
      </c>
      <c r="J1568">
        <v>323347</v>
      </c>
      <c r="K1568">
        <v>5</v>
      </c>
      <c r="M1568" t="s">
        <v>42</v>
      </c>
      <c r="N1568" t="s">
        <v>43</v>
      </c>
      <c r="O1568" t="s">
        <v>44</v>
      </c>
      <c r="P1568" t="s">
        <v>42</v>
      </c>
    </row>
    <row r="1569" spans="1:16" x14ac:dyDescent="0.25">
      <c r="A1569" t="s">
        <v>2638</v>
      </c>
      <c r="B1569" t="s">
        <v>2639</v>
      </c>
      <c r="C1569" t="s">
        <v>61</v>
      </c>
      <c r="D1569" t="s">
        <v>47</v>
      </c>
      <c r="E1569" t="s">
        <v>72</v>
      </c>
      <c r="F1569" t="s">
        <v>22</v>
      </c>
      <c r="G1569" t="s">
        <v>52</v>
      </c>
      <c r="H1569" t="s">
        <v>53</v>
      </c>
      <c r="I1569">
        <v>4</v>
      </c>
      <c r="J1569">
        <v>170514</v>
      </c>
      <c r="K1569">
        <v>10</v>
      </c>
      <c r="L1569">
        <v>613850.4</v>
      </c>
      <c r="M1569" t="s">
        <v>42</v>
      </c>
      <c r="N1569" t="s">
        <v>69</v>
      </c>
      <c r="O1569" t="s">
        <v>27</v>
      </c>
      <c r="P1569" t="s">
        <v>55</v>
      </c>
    </row>
    <row r="1570" spans="1:16" x14ac:dyDescent="0.25">
      <c r="A1570" t="s">
        <v>2640</v>
      </c>
      <c r="B1570" t="s">
        <v>2641</v>
      </c>
      <c r="C1570" t="s">
        <v>65</v>
      </c>
      <c r="D1570" t="s">
        <v>20</v>
      </c>
      <c r="E1570" t="s">
        <v>21</v>
      </c>
      <c r="F1570" t="s">
        <v>22</v>
      </c>
      <c r="G1570" t="s">
        <v>23</v>
      </c>
      <c r="H1570" t="s">
        <v>86</v>
      </c>
      <c r="I1570">
        <v>7</v>
      </c>
      <c r="J1570">
        <v>417861</v>
      </c>
      <c r="K1570">
        <v>0</v>
      </c>
      <c r="L1570">
        <v>2925027</v>
      </c>
      <c r="M1570" t="s">
        <v>25</v>
      </c>
      <c r="N1570" t="s">
        <v>69</v>
      </c>
      <c r="O1570" t="s">
        <v>44</v>
      </c>
      <c r="P1570" t="s">
        <v>55</v>
      </c>
    </row>
    <row r="1571" spans="1:16" x14ac:dyDescent="0.25">
      <c r="A1571" t="s">
        <v>2642</v>
      </c>
      <c r="B1571" t="s">
        <v>927</v>
      </c>
      <c r="C1571" t="s">
        <v>65</v>
      </c>
      <c r="D1571" t="s">
        <v>20</v>
      </c>
      <c r="E1571" t="s">
        <v>21</v>
      </c>
      <c r="F1571" t="s">
        <v>22</v>
      </c>
      <c r="G1571" t="s">
        <v>52</v>
      </c>
      <c r="H1571" t="s">
        <v>34</v>
      </c>
      <c r="I1571">
        <v>4</v>
      </c>
      <c r="J1571">
        <v>516752</v>
      </c>
      <c r="K1571">
        <v>10</v>
      </c>
      <c r="L1571">
        <v>1860307.2</v>
      </c>
      <c r="M1571" t="s">
        <v>42</v>
      </c>
      <c r="N1571" t="s">
        <v>43</v>
      </c>
      <c r="O1571" t="s">
        <v>44</v>
      </c>
      <c r="P1571" t="s">
        <v>42</v>
      </c>
    </row>
    <row r="1572" spans="1:16" x14ac:dyDescent="0.25">
      <c r="A1572" t="s">
        <v>2643</v>
      </c>
      <c r="B1572" t="s">
        <v>1685</v>
      </c>
      <c r="C1572" t="s">
        <v>61</v>
      </c>
      <c r="D1572" t="s">
        <v>30</v>
      </c>
      <c r="E1572" t="s">
        <v>31</v>
      </c>
      <c r="F1572" t="s">
        <v>32</v>
      </c>
      <c r="G1572" t="s">
        <v>62</v>
      </c>
      <c r="H1572" t="s">
        <v>86</v>
      </c>
      <c r="I1572">
        <v>7</v>
      </c>
      <c r="J1572">
        <v>614476</v>
      </c>
      <c r="K1572">
        <v>0</v>
      </c>
      <c r="L1572">
        <v>4301332</v>
      </c>
      <c r="M1572" t="s">
        <v>54</v>
      </c>
      <c r="N1572" t="s">
        <v>43</v>
      </c>
      <c r="O1572" t="s">
        <v>44</v>
      </c>
      <c r="P1572" t="s">
        <v>55</v>
      </c>
    </row>
    <row r="1573" spans="1:16" x14ac:dyDescent="0.25">
      <c r="A1573" t="s">
        <v>2644</v>
      </c>
      <c r="B1573" t="s">
        <v>2645</v>
      </c>
      <c r="C1573" t="s">
        <v>65</v>
      </c>
      <c r="D1573" t="s">
        <v>30</v>
      </c>
      <c r="E1573" t="s">
        <v>31</v>
      </c>
      <c r="F1573" t="s">
        <v>32</v>
      </c>
      <c r="G1573" t="s">
        <v>73</v>
      </c>
      <c r="H1573" t="s">
        <v>53</v>
      </c>
      <c r="I1573">
        <v>5</v>
      </c>
      <c r="J1573">
        <v>488204</v>
      </c>
      <c r="K1573">
        <v>2</v>
      </c>
      <c r="L1573">
        <v>2392199.6</v>
      </c>
      <c r="M1573" t="s">
        <v>42</v>
      </c>
      <c r="N1573" t="s">
        <v>43</v>
      </c>
      <c r="O1573" t="s">
        <v>27</v>
      </c>
      <c r="P1573" t="s">
        <v>55</v>
      </c>
    </row>
    <row r="1574" spans="1:16" x14ac:dyDescent="0.25">
      <c r="A1574" t="s">
        <v>2646</v>
      </c>
      <c r="B1574" t="s">
        <v>2461</v>
      </c>
      <c r="C1574" t="s">
        <v>65</v>
      </c>
      <c r="D1574" t="s">
        <v>47</v>
      </c>
      <c r="E1574" t="s">
        <v>48</v>
      </c>
      <c r="F1574" t="s">
        <v>22</v>
      </c>
      <c r="G1574" t="s">
        <v>33</v>
      </c>
      <c r="H1574" t="s">
        <v>34</v>
      </c>
      <c r="I1574">
        <v>6</v>
      </c>
      <c r="J1574">
        <v>807845</v>
      </c>
      <c r="K1574">
        <v>7</v>
      </c>
      <c r="L1574">
        <v>4507775.0999999996</v>
      </c>
      <c r="M1574" t="s">
        <v>42</v>
      </c>
      <c r="N1574" t="s">
        <v>69</v>
      </c>
      <c r="O1574" t="s">
        <v>27</v>
      </c>
      <c r="P1574" t="s">
        <v>26</v>
      </c>
    </row>
    <row r="1575" spans="1:16" x14ac:dyDescent="0.25">
      <c r="A1575" t="s">
        <v>2647</v>
      </c>
      <c r="B1575" t="s">
        <v>781</v>
      </c>
      <c r="C1575" t="s">
        <v>19</v>
      </c>
      <c r="D1575" t="s">
        <v>129</v>
      </c>
      <c r="E1575" t="s">
        <v>39</v>
      </c>
      <c r="F1575" t="s">
        <v>40</v>
      </c>
      <c r="G1575" t="s">
        <v>73</v>
      </c>
      <c r="H1575" t="s">
        <v>58</v>
      </c>
      <c r="I1575">
        <v>3</v>
      </c>
      <c r="J1575">
        <v>108323</v>
      </c>
      <c r="K1575">
        <v>2</v>
      </c>
      <c r="L1575">
        <v>318469.62</v>
      </c>
      <c r="M1575" t="s">
        <v>54</v>
      </c>
      <c r="N1575" t="s">
        <v>43</v>
      </c>
      <c r="O1575" t="s">
        <v>27</v>
      </c>
      <c r="P1575" t="s">
        <v>55</v>
      </c>
    </row>
    <row r="1576" spans="1:16" x14ac:dyDescent="0.25">
      <c r="A1576" t="s">
        <v>2648</v>
      </c>
      <c r="B1576" t="s">
        <v>2649</v>
      </c>
      <c r="C1576" t="s">
        <v>61</v>
      </c>
      <c r="D1576" t="s">
        <v>20</v>
      </c>
      <c r="E1576" t="s">
        <v>21</v>
      </c>
      <c r="F1576" t="s">
        <v>22</v>
      </c>
      <c r="G1576" t="s">
        <v>41</v>
      </c>
      <c r="H1576" t="s">
        <v>58</v>
      </c>
      <c r="I1576">
        <v>6</v>
      </c>
      <c r="J1576">
        <v>207094</v>
      </c>
      <c r="K1576">
        <v>0</v>
      </c>
      <c r="L1576">
        <v>1242564</v>
      </c>
      <c r="M1576" t="s">
        <v>25</v>
      </c>
      <c r="N1576" t="s">
        <v>26</v>
      </c>
      <c r="O1576" t="s">
        <v>44</v>
      </c>
      <c r="P1576" t="s">
        <v>42</v>
      </c>
    </row>
    <row r="1577" spans="1:16" x14ac:dyDescent="0.25">
      <c r="A1577" t="s">
        <v>2650</v>
      </c>
      <c r="B1577" t="s">
        <v>2319</v>
      </c>
      <c r="C1577" t="s">
        <v>65</v>
      </c>
      <c r="D1577" t="s">
        <v>30</v>
      </c>
      <c r="E1577" t="s">
        <v>31</v>
      </c>
      <c r="F1577" t="s">
        <v>32</v>
      </c>
      <c r="G1577" t="s">
        <v>52</v>
      </c>
      <c r="H1577" t="s">
        <v>86</v>
      </c>
      <c r="I1577">
        <v>8</v>
      </c>
      <c r="J1577">
        <v>236885</v>
      </c>
      <c r="K1577">
        <v>7</v>
      </c>
      <c r="L1577">
        <v>1762424.4</v>
      </c>
      <c r="M1577" t="s">
        <v>54</v>
      </c>
      <c r="N1577" t="s">
        <v>69</v>
      </c>
      <c r="O1577" t="s">
        <v>44</v>
      </c>
      <c r="P1577" t="s">
        <v>55</v>
      </c>
    </row>
    <row r="1578" spans="1:16" x14ac:dyDescent="0.25">
      <c r="A1578" t="s">
        <v>2651</v>
      </c>
      <c r="B1578" t="s">
        <v>1678</v>
      </c>
      <c r="C1578" t="s">
        <v>19</v>
      </c>
      <c r="D1578" t="s">
        <v>20</v>
      </c>
      <c r="E1578" t="s">
        <v>21</v>
      </c>
      <c r="F1578" t="s">
        <v>22</v>
      </c>
      <c r="G1578" t="s">
        <v>41</v>
      </c>
      <c r="H1578" t="s">
        <v>24</v>
      </c>
      <c r="I1578">
        <v>2</v>
      </c>
      <c r="J1578">
        <v>538010</v>
      </c>
      <c r="K1578">
        <v>10</v>
      </c>
      <c r="L1578">
        <v>968418</v>
      </c>
      <c r="M1578" t="s">
        <v>54</v>
      </c>
      <c r="N1578" t="s">
        <v>26</v>
      </c>
      <c r="O1578" t="s">
        <v>27</v>
      </c>
      <c r="P1578" t="s">
        <v>26</v>
      </c>
    </row>
    <row r="1579" spans="1:16" x14ac:dyDescent="0.25">
      <c r="A1579" t="s">
        <v>2652</v>
      </c>
      <c r="B1579" t="s">
        <v>2653</v>
      </c>
      <c r="C1579" t="s">
        <v>37</v>
      </c>
      <c r="D1579" t="s">
        <v>38</v>
      </c>
      <c r="E1579" t="s">
        <v>39</v>
      </c>
      <c r="F1579" t="s">
        <v>40</v>
      </c>
      <c r="G1579" t="s">
        <v>94</v>
      </c>
      <c r="H1579" t="s">
        <v>53</v>
      </c>
      <c r="I1579">
        <v>8</v>
      </c>
      <c r="J1579">
        <v>757784</v>
      </c>
      <c r="K1579">
        <v>10</v>
      </c>
      <c r="L1579">
        <v>5456044.7999999998</v>
      </c>
      <c r="M1579" t="s">
        <v>54</v>
      </c>
      <c r="N1579" t="s">
        <v>43</v>
      </c>
      <c r="O1579" t="s">
        <v>27</v>
      </c>
      <c r="P1579" t="s">
        <v>42</v>
      </c>
    </row>
    <row r="1580" spans="1:16" x14ac:dyDescent="0.25">
      <c r="A1580" t="s">
        <v>2654</v>
      </c>
      <c r="B1580" t="s">
        <v>460</v>
      </c>
      <c r="C1580" t="s">
        <v>79</v>
      </c>
      <c r="D1580" t="s">
        <v>66</v>
      </c>
      <c r="E1580" t="s">
        <v>67</v>
      </c>
      <c r="F1580" t="s">
        <v>68</v>
      </c>
      <c r="G1580" t="s">
        <v>52</v>
      </c>
      <c r="H1580" t="s">
        <v>24</v>
      </c>
      <c r="I1580">
        <v>1</v>
      </c>
      <c r="J1580">
        <v>836264</v>
      </c>
      <c r="K1580">
        <v>12</v>
      </c>
      <c r="L1580">
        <v>735912.32</v>
      </c>
      <c r="M1580" t="s">
        <v>25</v>
      </c>
      <c r="N1580" t="s">
        <v>26</v>
      </c>
      <c r="O1580" t="s">
        <v>44</v>
      </c>
      <c r="P1580" t="s">
        <v>42</v>
      </c>
    </row>
    <row r="1581" spans="1:16" x14ac:dyDescent="0.25">
      <c r="A1581" t="s">
        <v>2655</v>
      </c>
      <c r="B1581" t="s">
        <v>2656</v>
      </c>
      <c r="C1581" t="s">
        <v>76</v>
      </c>
      <c r="D1581" t="s">
        <v>30</v>
      </c>
      <c r="E1581" t="s">
        <v>31</v>
      </c>
      <c r="F1581" t="s">
        <v>32</v>
      </c>
      <c r="G1581" t="s">
        <v>89</v>
      </c>
      <c r="H1581" t="s">
        <v>58</v>
      </c>
      <c r="I1581">
        <v>6</v>
      </c>
      <c r="J1581">
        <v>728043</v>
      </c>
      <c r="K1581">
        <v>12</v>
      </c>
      <c r="L1581">
        <v>3844067.04</v>
      </c>
      <c r="M1581" t="s">
        <v>42</v>
      </c>
      <c r="N1581" t="s">
        <v>43</v>
      </c>
      <c r="O1581" t="s">
        <v>44</v>
      </c>
      <c r="P1581" t="s">
        <v>26</v>
      </c>
    </row>
    <row r="1582" spans="1:16" x14ac:dyDescent="0.25">
      <c r="A1582" t="s">
        <v>2657</v>
      </c>
      <c r="B1582" t="s">
        <v>2552</v>
      </c>
      <c r="C1582" t="s">
        <v>65</v>
      </c>
      <c r="D1582" t="s">
        <v>66</v>
      </c>
      <c r="E1582" t="s">
        <v>67</v>
      </c>
      <c r="F1582" t="s">
        <v>68</v>
      </c>
      <c r="G1582" t="s">
        <v>41</v>
      </c>
      <c r="H1582" t="s">
        <v>86</v>
      </c>
      <c r="I1582">
        <v>2</v>
      </c>
      <c r="J1582">
        <v>406461</v>
      </c>
      <c r="K1582">
        <v>12</v>
      </c>
      <c r="L1582">
        <v>715371.36</v>
      </c>
      <c r="M1582" t="s">
        <v>42</v>
      </c>
      <c r="N1582" t="s">
        <v>26</v>
      </c>
      <c r="O1582" t="s">
        <v>44</v>
      </c>
      <c r="P1582" t="s">
        <v>55</v>
      </c>
    </row>
    <row r="1583" spans="1:16" x14ac:dyDescent="0.25">
      <c r="A1583" t="s">
        <v>2658</v>
      </c>
      <c r="B1583" t="s">
        <v>2659</v>
      </c>
      <c r="C1583" t="s">
        <v>65</v>
      </c>
      <c r="D1583" t="s">
        <v>38</v>
      </c>
      <c r="E1583" t="s">
        <v>39</v>
      </c>
      <c r="F1583" t="s">
        <v>40</v>
      </c>
      <c r="G1583" t="s">
        <v>89</v>
      </c>
      <c r="H1583" t="s">
        <v>86</v>
      </c>
      <c r="I1583">
        <v>4</v>
      </c>
      <c r="J1583">
        <v>541184</v>
      </c>
      <c r="K1583">
        <v>10</v>
      </c>
      <c r="L1583">
        <v>1948262.3999999999</v>
      </c>
      <c r="M1583" t="s">
        <v>25</v>
      </c>
      <c r="N1583" t="s">
        <v>43</v>
      </c>
      <c r="O1583" t="s">
        <v>44</v>
      </c>
      <c r="P1583" t="s">
        <v>55</v>
      </c>
    </row>
    <row r="1584" spans="1:16" x14ac:dyDescent="0.25">
      <c r="A1584" t="s">
        <v>2660</v>
      </c>
      <c r="B1584" t="s">
        <v>362</v>
      </c>
      <c r="C1584" t="s">
        <v>76</v>
      </c>
      <c r="D1584" t="s">
        <v>47</v>
      </c>
      <c r="E1584" t="s">
        <v>48</v>
      </c>
      <c r="F1584" t="s">
        <v>22</v>
      </c>
      <c r="G1584" t="s">
        <v>73</v>
      </c>
      <c r="H1584" t="s">
        <v>86</v>
      </c>
      <c r="I1584">
        <v>4</v>
      </c>
      <c r="J1584">
        <v>125713</v>
      </c>
      <c r="K1584">
        <v>5</v>
      </c>
      <c r="L1584">
        <v>477709.4</v>
      </c>
      <c r="M1584" t="s">
        <v>54</v>
      </c>
      <c r="N1584" t="s">
        <v>26</v>
      </c>
      <c r="O1584" t="s">
        <v>44</v>
      </c>
      <c r="P1584" t="s">
        <v>26</v>
      </c>
    </row>
    <row r="1585" spans="1:16" x14ac:dyDescent="0.25">
      <c r="A1585" t="s">
        <v>2661</v>
      </c>
      <c r="B1585" t="s">
        <v>1106</v>
      </c>
      <c r="C1585" t="s">
        <v>79</v>
      </c>
      <c r="D1585" t="s">
        <v>154</v>
      </c>
      <c r="E1585" t="s">
        <v>67</v>
      </c>
      <c r="F1585" t="s">
        <v>68</v>
      </c>
      <c r="G1585" t="s">
        <v>33</v>
      </c>
      <c r="H1585" t="s">
        <v>86</v>
      </c>
      <c r="I1585">
        <v>3</v>
      </c>
      <c r="J1585">
        <v>378612</v>
      </c>
      <c r="K1585">
        <v>12</v>
      </c>
      <c r="L1585">
        <v>999535.68</v>
      </c>
      <c r="M1585" t="s">
        <v>54</v>
      </c>
      <c r="N1585" t="s">
        <v>26</v>
      </c>
      <c r="O1585" t="s">
        <v>44</v>
      </c>
      <c r="P1585" t="s">
        <v>55</v>
      </c>
    </row>
    <row r="1586" spans="1:16" x14ac:dyDescent="0.25">
      <c r="A1586" t="s">
        <v>2662</v>
      </c>
      <c r="B1586" t="s">
        <v>1558</v>
      </c>
      <c r="C1586" t="s">
        <v>99</v>
      </c>
      <c r="D1586" t="s">
        <v>47</v>
      </c>
      <c r="E1586" t="s">
        <v>48</v>
      </c>
      <c r="F1586" t="s">
        <v>22</v>
      </c>
      <c r="G1586" t="s">
        <v>89</v>
      </c>
      <c r="H1586" t="s">
        <v>58</v>
      </c>
      <c r="I1586">
        <v>4</v>
      </c>
      <c r="J1586">
        <v>558195</v>
      </c>
      <c r="K1586">
        <v>7</v>
      </c>
      <c r="L1586">
        <v>2076485.4</v>
      </c>
      <c r="M1586" t="s">
        <v>25</v>
      </c>
      <c r="N1586" t="s">
        <v>26</v>
      </c>
      <c r="O1586" t="s">
        <v>27</v>
      </c>
      <c r="P1586" t="s">
        <v>42</v>
      </c>
    </row>
    <row r="1587" spans="1:16" x14ac:dyDescent="0.25">
      <c r="A1587" t="s">
        <v>2663</v>
      </c>
      <c r="B1587" t="s">
        <v>339</v>
      </c>
      <c r="C1587" t="s">
        <v>65</v>
      </c>
      <c r="D1587" t="s">
        <v>66</v>
      </c>
      <c r="E1587" t="s">
        <v>67</v>
      </c>
      <c r="F1587" t="s">
        <v>68</v>
      </c>
      <c r="G1587" t="s">
        <v>94</v>
      </c>
      <c r="H1587" t="s">
        <v>53</v>
      </c>
      <c r="I1587">
        <v>5</v>
      </c>
      <c r="J1587">
        <v>442322</v>
      </c>
      <c r="K1587">
        <v>10</v>
      </c>
      <c r="L1587">
        <v>1990449</v>
      </c>
      <c r="M1587" t="s">
        <v>42</v>
      </c>
      <c r="N1587" t="s">
        <v>69</v>
      </c>
      <c r="O1587" t="s">
        <v>44</v>
      </c>
      <c r="P1587" t="s">
        <v>55</v>
      </c>
    </row>
    <row r="1588" spans="1:16" x14ac:dyDescent="0.25">
      <c r="A1588" t="s">
        <v>2664</v>
      </c>
      <c r="B1588" t="s">
        <v>2665</v>
      </c>
      <c r="C1588" t="s">
        <v>99</v>
      </c>
      <c r="D1588" t="s">
        <v>66</v>
      </c>
      <c r="E1588" t="s">
        <v>67</v>
      </c>
      <c r="F1588" t="s">
        <v>68</v>
      </c>
      <c r="G1588" t="s">
        <v>62</v>
      </c>
      <c r="H1588" t="s">
        <v>58</v>
      </c>
      <c r="I1588">
        <v>1</v>
      </c>
      <c r="J1588">
        <v>686937</v>
      </c>
      <c r="K1588">
        <v>10</v>
      </c>
      <c r="L1588">
        <v>618243.30000000005</v>
      </c>
      <c r="M1588" t="s">
        <v>42</v>
      </c>
      <c r="N1588" t="s">
        <v>69</v>
      </c>
      <c r="O1588" t="s">
        <v>44</v>
      </c>
      <c r="P1588" t="s">
        <v>42</v>
      </c>
    </row>
    <row r="1589" spans="1:16" x14ac:dyDescent="0.25">
      <c r="A1589" t="s">
        <v>2666</v>
      </c>
      <c r="B1589" t="s">
        <v>1230</v>
      </c>
      <c r="C1589" t="s">
        <v>76</v>
      </c>
      <c r="D1589" t="s">
        <v>38</v>
      </c>
      <c r="E1589" t="s">
        <v>39</v>
      </c>
      <c r="F1589" t="s">
        <v>40</v>
      </c>
      <c r="G1589" t="s">
        <v>94</v>
      </c>
      <c r="H1589" t="s">
        <v>86</v>
      </c>
      <c r="I1589">
        <v>5</v>
      </c>
      <c r="J1589">
        <v>336130</v>
      </c>
      <c r="K1589">
        <v>10</v>
      </c>
      <c r="L1589">
        <v>1512585</v>
      </c>
      <c r="M1589" t="s">
        <v>25</v>
      </c>
      <c r="N1589" t="s">
        <v>69</v>
      </c>
      <c r="O1589" t="s">
        <v>44</v>
      </c>
      <c r="P1589" t="s">
        <v>26</v>
      </c>
    </row>
    <row r="1590" spans="1:16" x14ac:dyDescent="0.25">
      <c r="A1590" t="s">
        <v>2667</v>
      </c>
      <c r="B1590" t="s">
        <v>2668</v>
      </c>
      <c r="C1590" t="s">
        <v>61</v>
      </c>
      <c r="D1590" t="s">
        <v>66</v>
      </c>
      <c r="E1590" t="s">
        <v>67</v>
      </c>
      <c r="F1590" t="s">
        <v>68</v>
      </c>
      <c r="G1590" t="s">
        <v>73</v>
      </c>
      <c r="H1590" t="s">
        <v>86</v>
      </c>
      <c r="I1590">
        <v>6</v>
      </c>
      <c r="J1590">
        <v>488810</v>
      </c>
      <c r="K1590">
        <v>2</v>
      </c>
      <c r="L1590">
        <v>2874202.8</v>
      </c>
      <c r="M1590" t="s">
        <v>42</v>
      </c>
      <c r="N1590" t="s">
        <v>69</v>
      </c>
      <c r="O1590" t="s">
        <v>27</v>
      </c>
      <c r="P1590" t="s">
        <v>55</v>
      </c>
    </row>
    <row r="1591" spans="1:16" x14ac:dyDescent="0.25">
      <c r="A1591" t="s">
        <v>2669</v>
      </c>
      <c r="B1591" t="s">
        <v>2670</v>
      </c>
      <c r="C1591" t="s">
        <v>37</v>
      </c>
      <c r="D1591" t="s">
        <v>38</v>
      </c>
      <c r="E1591" t="s">
        <v>39</v>
      </c>
      <c r="F1591" t="s">
        <v>40</v>
      </c>
      <c r="G1591" t="s">
        <v>94</v>
      </c>
      <c r="H1591" t="s">
        <v>24</v>
      </c>
      <c r="I1591">
        <v>8</v>
      </c>
      <c r="J1591">
        <v>582648</v>
      </c>
      <c r="K1591">
        <v>5</v>
      </c>
      <c r="L1591">
        <v>4428124.8</v>
      </c>
      <c r="M1591" t="s">
        <v>25</v>
      </c>
      <c r="N1591" t="s">
        <v>26</v>
      </c>
      <c r="O1591" t="s">
        <v>44</v>
      </c>
      <c r="P1591" t="s">
        <v>26</v>
      </c>
    </row>
    <row r="1592" spans="1:16" x14ac:dyDescent="0.25">
      <c r="A1592" t="s">
        <v>2671</v>
      </c>
      <c r="B1592" t="s">
        <v>2672</v>
      </c>
      <c r="C1592" t="s">
        <v>61</v>
      </c>
      <c r="D1592" t="s">
        <v>47</v>
      </c>
      <c r="E1592" t="s">
        <v>48</v>
      </c>
      <c r="F1592" t="s">
        <v>22</v>
      </c>
      <c r="G1592" t="s">
        <v>41</v>
      </c>
      <c r="H1592" t="s">
        <v>53</v>
      </c>
      <c r="I1592">
        <v>4</v>
      </c>
      <c r="J1592">
        <v>568632</v>
      </c>
      <c r="K1592">
        <v>7</v>
      </c>
      <c r="L1592">
        <v>2115311.04</v>
      </c>
      <c r="M1592" t="s">
        <v>25</v>
      </c>
      <c r="N1592" t="s">
        <v>26</v>
      </c>
      <c r="O1592" t="s">
        <v>27</v>
      </c>
      <c r="P1592" t="s">
        <v>26</v>
      </c>
    </row>
    <row r="1593" spans="1:16" x14ac:dyDescent="0.25">
      <c r="A1593" t="s">
        <v>2673</v>
      </c>
      <c r="B1593" t="s">
        <v>1515</v>
      </c>
      <c r="C1593" t="s">
        <v>85</v>
      </c>
      <c r="D1593" t="s">
        <v>30</v>
      </c>
      <c r="E1593" t="s">
        <v>31</v>
      </c>
      <c r="F1593" t="s">
        <v>32</v>
      </c>
      <c r="G1593" t="s">
        <v>52</v>
      </c>
      <c r="H1593" t="s">
        <v>24</v>
      </c>
      <c r="I1593">
        <v>7</v>
      </c>
      <c r="J1593">
        <v>495547</v>
      </c>
      <c r="K1593">
        <v>5</v>
      </c>
      <c r="L1593">
        <v>3295387.55</v>
      </c>
      <c r="M1593" t="s">
        <v>25</v>
      </c>
      <c r="N1593" t="s">
        <v>69</v>
      </c>
      <c r="O1593" t="s">
        <v>27</v>
      </c>
      <c r="P1593" t="s">
        <v>42</v>
      </c>
    </row>
    <row r="1594" spans="1:16" x14ac:dyDescent="0.25">
      <c r="A1594" t="s">
        <v>2674</v>
      </c>
      <c r="B1594" t="s">
        <v>1947</v>
      </c>
      <c r="C1594" t="s">
        <v>99</v>
      </c>
      <c r="D1594" t="s">
        <v>38</v>
      </c>
      <c r="E1594" t="s">
        <v>130</v>
      </c>
      <c r="F1594" t="s">
        <v>40</v>
      </c>
      <c r="G1594" t="s">
        <v>41</v>
      </c>
      <c r="H1594" t="s">
        <v>58</v>
      </c>
      <c r="I1594">
        <v>2</v>
      </c>
      <c r="J1594">
        <v>438284</v>
      </c>
      <c r="K1594">
        <v>10</v>
      </c>
      <c r="L1594">
        <v>788911.20000000007</v>
      </c>
      <c r="M1594" t="s">
        <v>42</v>
      </c>
      <c r="N1594" t="s">
        <v>43</v>
      </c>
      <c r="O1594" t="s">
        <v>27</v>
      </c>
      <c r="P1594" t="s">
        <v>55</v>
      </c>
    </row>
    <row r="1595" spans="1:16" x14ac:dyDescent="0.25">
      <c r="A1595" t="s">
        <v>2675</v>
      </c>
      <c r="B1595" t="s">
        <v>2273</v>
      </c>
      <c r="C1595" t="s">
        <v>19</v>
      </c>
      <c r="D1595" t="s">
        <v>30</v>
      </c>
      <c r="E1595" t="s">
        <v>31</v>
      </c>
      <c r="F1595" t="s">
        <v>32</v>
      </c>
      <c r="G1595" t="s">
        <v>41</v>
      </c>
      <c r="H1595" t="s">
        <v>58</v>
      </c>
      <c r="I1595">
        <v>3</v>
      </c>
      <c r="J1595">
        <v>426325</v>
      </c>
      <c r="K1595">
        <v>12</v>
      </c>
      <c r="L1595">
        <v>1125498</v>
      </c>
      <c r="M1595" t="s">
        <v>25</v>
      </c>
      <c r="N1595" t="s">
        <v>43</v>
      </c>
      <c r="O1595" t="s">
        <v>27</v>
      </c>
      <c r="P1595" t="s">
        <v>42</v>
      </c>
    </row>
    <row r="1596" spans="1:16" x14ac:dyDescent="0.25">
      <c r="A1596" t="s">
        <v>2676</v>
      </c>
      <c r="B1596" t="s">
        <v>2677</v>
      </c>
      <c r="C1596" t="s">
        <v>85</v>
      </c>
      <c r="D1596" t="s">
        <v>66</v>
      </c>
      <c r="E1596" t="s">
        <v>67</v>
      </c>
      <c r="F1596" t="s">
        <v>68</v>
      </c>
      <c r="G1596" t="s">
        <v>124</v>
      </c>
      <c r="H1596" t="s">
        <v>34</v>
      </c>
      <c r="I1596">
        <v>5</v>
      </c>
      <c r="J1596">
        <v>278424</v>
      </c>
      <c r="K1596">
        <v>7</v>
      </c>
      <c r="L1596">
        <v>1294671.6000000001</v>
      </c>
      <c r="M1596" t="s">
        <v>54</v>
      </c>
      <c r="N1596" t="s">
        <v>69</v>
      </c>
      <c r="O1596" t="s">
        <v>27</v>
      </c>
      <c r="P1596" t="s">
        <v>26</v>
      </c>
    </row>
    <row r="1597" spans="1:16" x14ac:dyDescent="0.25">
      <c r="A1597" t="s">
        <v>2678</v>
      </c>
      <c r="B1597" t="s">
        <v>50</v>
      </c>
      <c r="C1597" t="s">
        <v>37</v>
      </c>
      <c r="D1597" t="s">
        <v>20</v>
      </c>
      <c r="E1597" t="s">
        <v>21</v>
      </c>
      <c r="F1597" t="s">
        <v>22</v>
      </c>
      <c r="G1597" t="s">
        <v>33</v>
      </c>
      <c r="H1597" t="s">
        <v>53</v>
      </c>
      <c r="I1597">
        <v>4</v>
      </c>
      <c r="J1597">
        <v>311552</v>
      </c>
      <c r="K1597">
        <v>12</v>
      </c>
      <c r="L1597">
        <v>1096663.04</v>
      </c>
      <c r="M1597" t="s">
        <v>54</v>
      </c>
      <c r="N1597" t="s">
        <v>26</v>
      </c>
      <c r="O1597" t="s">
        <v>27</v>
      </c>
      <c r="P1597" t="s">
        <v>55</v>
      </c>
    </row>
    <row r="1598" spans="1:16" x14ac:dyDescent="0.25">
      <c r="A1598" t="s">
        <v>2679</v>
      </c>
      <c r="B1598" t="s">
        <v>2680</v>
      </c>
      <c r="C1598" t="s">
        <v>76</v>
      </c>
      <c r="D1598" t="s">
        <v>66</v>
      </c>
      <c r="E1598" t="s">
        <v>67</v>
      </c>
      <c r="F1598" t="s">
        <v>68</v>
      </c>
      <c r="G1598" t="s">
        <v>89</v>
      </c>
      <c r="H1598" t="s">
        <v>34</v>
      </c>
      <c r="I1598">
        <v>6</v>
      </c>
      <c r="J1598">
        <v>587790</v>
      </c>
      <c r="K1598">
        <v>10</v>
      </c>
      <c r="L1598">
        <v>3174066</v>
      </c>
      <c r="M1598" t="s">
        <v>25</v>
      </c>
      <c r="N1598" t="s">
        <v>26</v>
      </c>
      <c r="O1598" t="s">
        <v>27</v>
      </c>
      <c r="P1598" t="s">
        <v>26</v>
      </c>
    </row>
    <row r="1599" spans="1:16" x14ac:dyDescent="0.25">
      <c r="A1599" t="s">
        <v>2681</v>
      </c>
      <c r="B1599" t="s">
        <v>341</v>
      </c>
      <c r="C1599" t="s">
        <v>99</v>
      </c>
      <c r="D1599" t="s">
        <v>66</v>
      </c>
      <c r="E1599" t="s">
        <v>67</v>
      </c>
      <c r="F1599" t="s">
        <v>68</v>
      </c>
      <c r="G1599" t="s">
        <v>62</v>
      </c>
      <c r="H1599" t="s">
        <v>58</v>
      </c>
      <c r="I1599">
        <v>8</v>
      </c>
      <c r="J1599">
        <v>117721</v>
      </c>
      <c r="K1599">
        <v>10</v>
      </c>
      <c r="L1599">
        <v>847591.20000000007</v>
      </c>
      <c r="M1599" t="s">
        <v>54</v>
      </c>
      <c r="N1599" t="s">
        <v>26</v>
      </c>
      <c r="O1599" t="s">
        <v>27</v>
      </c>
      <c r="P1599" t="s">
        <v>42</v>
      </c>
    </row>
    <row r="1600" spans="1:16" x14ac:dyDescent="0.25">
      <c r="A1600" t="s">
        <v>2682</v>
      </c>
      <c r="B1600" t="s">
        <v>2418</v>
      </c>
      <c r="C1600" t="s">
        <v>76</v>
      </c>
      <c r="D1600" t="s">
        <v>30</v>
      </c>
      <c r="E1600" t="s">
        <v>31</v>
      </c>
      <c r="F1600" t="s">
        <v>32</v>
      </c>
      <c r="G1600" t="s">
        <v>52</v>
      </c>
      <c r="H1600" t="s">
        <v>24</v>
      </c>
      <c r="I1600">
        <v>6</v>
      </c>
      <c r="J1600">
        <v>251492</v>
      </c>
      <c r="K1600">
        <v>0</v>
      </c>
      <c r="L1600">
        <v>1508952</v>
      </c>
      <c r="M1600" t="s">
        <v>25</v>
      </c>
      <c r="N1600" t="s">
        <v>26</v>
      </c>
      <c r="O1600" t="s">
        <v>27</v>
      </c>
      <c r="P1600" t="s">
        <v>42</v>
      </c>
    </row>
    <row r="1601" spans="1:16" x14ac:dyDescent="0.25">
      <c r="A1601" t="s">
        <v>2683</v>
      </c>
      <c r="B1601" t="s">
        <v>2684</v>
      </c>
      <c r="C1601" t="s">
        <v>19</v>
      </c>
      <c r="D1601" t="s">
        <v>20</v>
      </c>
      <c r="E1601" t="s">
        <v>189</v>
      </c>
      <c r="F1601" t="s">
        <v>22</v>
      </c>
      <c r="G1601" t="s">
        <v>33</v>
      </c>
      <c r="H1601" t="s">
        <v>34</v>
      </c>
      <c r="I1601">
        <v>6</v>
      </c>
      <c r="J1601">
        <v>656273</v>
      </c>
      <c r="K1601">
        <v>0</v>
      </c>
      <c r="L1601">
        <v>3937638</v>
      </c>
      <c r="M1601" t="s">
        <v>42</v>
      </c>
      <c r="N1601" t="s">
        <v>69</v>
      </c>
      <c r="O1601" t="s">
        <v>27</v>
      </c>
      <c r="P1601" t="s">
        <v>42</v>
      </c>
    </row>
    <row r="1602" spans="1:16" x14ac:dyDescent="0.25">
      <c r="A1602" t="s">
        <v>2402</v>
      </c>
      <c r="B1602" t="s">
        <v>358</v>
      </c>
      <c r="C1602" t="s">
        <v>61</v>
      </c>
      <c r="D1602" t="s">
        <v>20</v>
      </c>
      <c r="E1602" t="s">
        <v>21</v>
      </c>
      <c r="F1602" t="s">
        <v>22</v>
      </c>
      <c r="G1602" t="s">
        <v>52</v>
      </c>
      <c r="H1602" t="s">
        <v>86</v>
      </c>
      <c r="I1602">
        <v>4</v>
      </c>
      <c r="J1602">
        <v>111218</v>
      </c>
      <c r="K1602">
        <v>7</v>
      </c>
      <c r="L1602">
        <v>413730.96</v>
      </c>
      <c r="M1602" t="s">
        <v>42</v>
      </c>
      <c r="N1602" t="s">
        <v>69</v>
      </c>
      <c r="O1602" t="s">
        <v>27</v>
      </c>
      <c r="P1602" t="s">
        <v>42</v>
      </c>
    </row>
    <row r="1603" spans="1:16" x14ac:dyDescent="0.25">
      <c r="A1603" t="s">
        <v>2685</v>
      </c>
      <c r="B1603" t="s">
        <v>1926</v>
      </c>
      <c r="C1603" t="s">
        <v>37</v>
      </c>
      <c r="D1603" t="s">
        <v>20</v>
      </c>
      <c r="E1603" t="s">
        <v>21</v>
      </c>
      <c r="F1603" t="s">
        <v>22</v>
      </c>
      <c r="G1603" t="s">
        <v>33</v>
      </c>
      <c r="H1603" t="s">
        <v>58</v>
      </c>
      <c r="I1603">
        <v>5</v>
      </c>
      <c r="J1603">
        <v>472668</v>
      </c>
      <c r="K1603">
        <v>5</v>
      </c>
      <c r="L1603">
        <v>2245173</v>
      </c>
      <c r="M1603" t="s">
        <v>54</v>
      </c>
      <c r="N1603" t="s">
        <v>26</v>
      </c>
      <c r="O1603" t="s">
        <v>44</v>
      </c>
      <c r="P1603" t="s">
        <v>42</v>
      </c>
    </row>
    <row r="1604" spans="1:16" x14ac:dyDescent="0.25">
      <c r="A1604" t="s">
        <v>2686</v>
      </c>
      <c r="B1604" t="s">
        <v>2244</v>
      </c>
      <c r="C1604" t="s">
        <v>37</v>
      </c>
      <c r="D1604" t="s">
        <v>20</v>
      </c>
      <c r="E1604" t="s">
        <v>21</v>
      </c>
      <c r="F1604" t="s">
        <v>22</v>
      </c>
      <c r="G1604" t="s">
        <v>33</v>
      </c>
      <c r="H1604" t="s">
        <v>53</v>
      </c>
      <c r="I1604">
        <v>1</v>
      </c>
      <c r="J1604">
        <v>392156</v>
      </c>
      <c r="K1604">
        <v>7</v>
      </c>
      <c r="L1604">
        <v>364705.08</v>
      </c>
      <c r="M1604" t="s">
        <v>25</v>
      </c>
      <c r="N1604" t="s">
        <v>26</v>
      </c>
      <c r="O1604" t="s">
        <v>27</v>
      </c>
      <c r="P1604" t="s">
        <v>55</v>
      </c>
    </row>
    <row r="1605" spans="1:16" x14ac:dyDescent="0.25">
      <c r="A1605" t="s">
        <v>2687</v>
      </c>
      <c r="B1605" t="s">
        <v>2157</v>
      </c>
      <c r="C1605" t="s">
        <v>37</v>
      </c>
      <c r="D1605" t="s">
        <v>129</v>
      </c>
      <c r="E1605" t="s">
        <v>39</v>
      </c>
      <c r="F1605" t="s">
        <v>40</v>
      </c>
      <c r="G1605" t="s">
        <v>73</v>
      </c>
      <c r="H1605" t="s">
        <v>53</v>
      </c>
      <c r="I1605">
        <v>6</v>
      </c>
      <c r="J1605">
        <v>686991</v>
      </c>
      <c r="K1605">
        <v>5</v>
      </c>
      <c r="L1605">
        <v>3915848.7</v>
      </c>
      <c r="M1605" t="s">
        <v>42</v>
      </c>
      <c r="N1605" t="s">
        <v>69</v>
      </c>
      <c r="O1605" t="s">
        <v>27</v>
      </c>
      <c r="P1605" t="s">
        <v>42</v>
      </c>
    </row>
    <row r="1606" spans="1:16" x14ac:dyDescent="0.25">
      <c r="A1606" t="s">
        <v>2688</v>
      </c>
      <c r="B1606" t="s">
        <v>850</v>
      </c>
      <c r="C1606" t="s">
        <v>19</v>
      </c>
      <c r="D1606" t="s">
        <v>20</v>
      </c>
      <c r="E1606" t="s">
        <v>21</v>
      </c>
      <c r="F1606" t="s">
        <v>22</v>
      </c>
      <c r="G1606" t="s">
        <v>41</v>
      </c>
      <c r="H1606" t="s">
        <v>86</v>
      </c>
      <c r="J1606">
        <v>896806</v>
      </c>
      <c r="K1606">
        <v>5</v>
      </c>
      <c r="M1606" t="s">
        <v>54</v>
      </c>
      <c r="N1606" t="s">
        <v>26</v>
      </c>
      <c r="O1606" t="s">
        <v>27</v>
      </c>
      <c r="P1606" t="s">
        <v>42</v>
      </c>
    </row>
    <row r="1607" spans="1:16" x14ac:dyDescent="0.25">
      <c r="A1607" t="s">
        <v>2689</v>
      </c>
      <c r="B1607" t="s">
        <v>2690</v>
      </c>
      <c r="C1607" t="s">
        <v>198</v>
      </c>
      <c r="D1607" t="s">
        <v>154</v>
      </c>
      <c r="E1607" t="s">
        <v>67</v>
      </c>
      <c r="F1607" t="s">
        <v>68</v>
      </c>
      <c r="G1607" t="s">
        <v>41</v>
      </c>
      <c r="H1607" t="s">
        <v>34</v>
      </c>
      <c r="I1607">
        <v>8</v>
      </c>
      <c r="J1607">
        <v>245596</v>
      </c>
      <c r="K1607">
        <v>0</v>
      </c>
      <c r="L1607">
        <v>1964768</v>
      </c>
      <c r="M1607" t="s">
        <v>54</v>
      </c>
      <c r="N1607" t="s">
        <v>43</v>
      </c>
      <c r="O1607" t="s">
        <v>27</v>
      </c>
      <c r="P1607" t="s">
        <v>26</v>
      </c>
    </row>
    <row r="1608" spans="1:16" x14ac:dyDescent="0.25">
      <c r="A1608" t="s">
        <v>2691</v>
      </c>
      <c r="B1608" t="s">
        <v>881</v>
      </c>
      <c r="C1608" t="s">
        <v>65</v>
      </c>
      <c r="D1608" t="s">
        <v>38</v>
      </c>
      <c r="E1608" t="s">
        <v>39</v>
      </c>
      <c r="F1608" t="s">
        <v>40</v>
      </c>
      <c r="G1608" t="s">
        <v>41</v>
      </c>
      <c r="H1608" t="s">
        <v>86</v>
      </c>
      <c r="I1608">
        <v>7</v>
      </c>
      <c r="J1608">
        <v>810749</v>
      </c>
      <c r="K1608">
        <v>2</v>
      </c>
      <c r="L1608">
        <v>5561738.1399999997</v>
      </c>
      <c r="M1608" t="s">
        <v>54</v>
      </c>
      <c r="N1608" t="s">
        <v>69</v>
      </c>
      <c r="O1608" t="s">
        <v>27</v>
      </c>
      <c r="P1608" t="s">
        <v>26</v>
      </c>
    </row>
    <row r="1609" spans="1:16" x14ac:dyDescent="0.25">
      <c r="A1609" t="s">
        <v>2692</v>
      </c>
      <c r="B1609" t="s">
        <v>2693</v>
      </c>
      <c r="C1609" t="s">
        <v>99</v>
      </c>
      <c r="D1609" t="s">
        <v>47</v>
      </c>
      <c r="E1609" t="s">
        <v>48</v>
      </c>
      <c r="F1609" t="s">
        <v>22</v>
      </c>
      <c r="G1609" t="s">
        <v>89</v>
      </c>
      <c r="H1609" t="s">
        <v>86</v>
      </c>
      <c r="I1609">
        <v>3</v>
      </c>
      <c r="J1609">
        <v>478226</v>
      </c>
      <c r="K1609">
        <v>5</v>
      </c>
      <c r="L1609">
        <v>1362944.1</v>
      </c>
      <c r="M1609" t="s">
        <v>54</v>
      </c>
      <c r="N1609" t="s">
        <v>26</v>
      </c>
      <c r="O1609" t="s">
        <v>27</v>
      </c>
      <c r="P1609" t="s">
        <v>55</v>
      </c>
    </row>
    <row r="1610" spans="1:16" x14ac:dyDescent="0.25">
      <c r="A1610" t="s">
        <v>2694</v>
      </c>
      <c r="B1610" t="s">
        <v>2695</v>
      </c>
      <c r="C1610" t="s">
        <v>76</v>
      </c>
      <c r="D1610" t="s">
        <v>20</v>
      </c>
      <c r="E1610" t="s">
        <v>21</v>
      </c>
      <c r="F1610" t="s">
        <v>22</v>
      </c>
      <c r="G1610" t="s">
        <v>94</v>
      </c>
      <c r="H1610" t="s">
        <v>24</v>
      </c>
      <c r="I1610">
        <v>6</v>
      </c>
      <c r="J1610">
        <v>523633</v>
      </c>
      <c r="K1610">
        <v>5</v>
      </c>
      <c r="L1610">
        <v>2984708.1</v>
      </c>
      <c r="M1610" t="s">
        <v>54</v>
      </c>
      <c r="N1610" t="s">
        <v>69</v>
      </c>
      <c r="O1610" t="s">
        <v>44</v>
      </c>
      <c r="P1610" t="s">
        <v>26</v>
      </c>
    </row>
    <row r="1611" spans="1:16" x14ac:dyDescent="0.25">
      <c r="A1611" t="s">
        <v>2696</v>
      </c>
      <c r="B1611" t="s">
        <v>2697</v>
      </c>
      <c r="C1611" t="s">
        <v>76</v>
      </c>
      <c r="D1611" t="s">
        <v>30</v>
      </c>
      <c r="E1611" t="s">
        <v>142</v>
      </c>
      <c r="F1611" t="s">
        <v>32</v>
      </c>
      <c r="G1611" t="s">
        <v>52</v>
      </c>
      <c r="H1611" t="s">
        <v>24</v>
      </c>
      <c r="I1611">
        <v>6</v>
      </c>
      <c r="J1611">
        <v>390253</v>
      </c>
      <c r="K1611">
        <v>0</v>
      </c>
      <c r="L1611">
        <v>2341518</v>
      </c>
      <c r="M1611" t="s">
        <v>25</v>
      </c>
      <c r="N1611" t="s">
        <v>69</v>
      </c>
      <c r="O1611" t="s">
        <v>44</v>
      </c>
      <c r="P1611" t="s">
        <v>26</v>
      </c>
    </row>
    <row r="1612" spans="1:16" x14ac:dyDescent="0.25">
      <c r="A1612" t="s">
        <v>2698</v>
      </c>
      <c r="B1612" t="s">
        <v>2684</v>
      </c>
      <c r="C1612" t="s">
        <v>99</v>
      </c>
      <c r="D1612" t="s">
        <v>20</v>
      </c>
      <c r="E1612" t="s">
        <v>21</v>
      </c>
      <c r="F1612" t="s">
        <v>22</v>
      </c>
      <c r="G1612" t="s">
        <v>52</v>
      </c>
      <c r="H1612" t="s">
        <v>86</v>
      </c>
      <c r="I1612">
        <v>5</v>
      </c>
      <c r="J1612">
        <v>316810</v>
      </c>
      <c r="K1612">
        <v>2</v>
      </c>
      <c r="L1612">
        <v>1552369</v>
      </c>
      <c r="M1612" t="s">
        <v>54</v>
      </c>
      <c r="N1612" t="s">
        <v>26</v>
      </c>
      <c r="O1612" t="s">
        <v>44</v>
      </c>
      <c r="P1612" t="s">
        <v>55</v>
      </c>
    </row>
    <row r="1613" spans="1:16" x14ac:dyDescent="0.25">
      <c r="A1613" t="s">
        <v>2699</v>
      </c>
      <c r="B1613" t="s">
        <v>2700</v>
      </c>
      <c r="C1613" t="s">
        <v>61</v>
      </c>
      <c r="D1613" t="s">
        <v>66</v>
      </c>
      <c r="E1613" t="s">
        <v>67</v>
      </c>
      <c r="F1613" t="s">
        <v>68</v>
      </c>
      <c r="G1613" t="s">
        <v>41</v>
      </c>
      <c r="H1613" t="s">
        <v>34</v>
      </c>
      <c r="I1613">
        <v>6</v>
      </c>
      <c r="J1613">
        <v>568931</v>
      </c>
      <c r="K1613">
        <v>10</v>
      </c>
      <c r="L1613">
        <v>3072227.4</v>
      </c>
      <c r="M1613" t="s">
        <v>25</v>
      </c>
      <c r="N1613" t="s">
        <v>69</v>
      </c>
      <c r="O1613" t="s">
        <v>44</v>
      </c>
      <c r="P1613" t="s">
        <v>26</v>
      </c>
    </row>
    <row r="1614" spans="1:16" x14ac:dyDescent="0.25">
      <c r="A1614" t="s">
        <v>2701</v>
      </c>
      <c r="B1614" t="s">
        <v>2702</v>
      </c>
      <c r="C1614" t="s">
        <v>65</v>
      </c>
      <c r="D1614" t="s">
        <v>20</v>
      </c>
      <c r="E1614" t="s">
        <v>21</v>
      </c>
      <c r="F1614" t="s">
        <v>22</v>
      </c>
      <c r="G1614" t="s">
        <v>41</v>
      </c>
      <c r="H1614" t="s">
        <v>86</v>
      </c>
      <c r="I1614">
        <v>1</v>
      </c>
      <c r="J1614">
        <v>678408</v>
      </c>
      <c r="K1614">
        <v>7</v>
      </c>
      <c r="L1614">
        <v>630919.43999999994</v>
      </c>
      <c r="M1614" t="s">
        <v>54</v>
      </c>
      <c r="N1614" t="s">
        <v>43</v>
      </c>
      <c r="O1614" t="s">
        <v>44</v>
      </c>
      <c r="P1614" t="s">
        <v>26</v>
      </c>
    </row>
    <row r="1615" spans="1:16" x14ac:dyDescent="0.25">
      <c r="A1615" t="s">
        <v>2703</v>
      </c>
      <c r="B1615" t="s">
        <v>2704</v>
      </c>
      <c r="C1615" t="s">
        <v>76</v>
      </c>
      <c r="D1615" t="s">
        <v>38</v>
      </c>
      <c r="E1615" t="s">
        <v>39</v>
      </c>
      <c r="F1615" t="s">
        <v>40</v>
      </c>
      <c r="G1615" t="s">
        <v>33</v>
      </c>
      <c r="H1615" t="s">
        <v>24</v>
      </c>
      <c r="I1615">
        <v>5</v>
      </c>
      <c r="J1615">
        <v>572271</v>
      </c>
      <c r="K1615">
        <v>7</v>
      </c>
      <c r="L1615">
        <v>2661060.15</v>
      </c>
      <c r="M1615" t="s">
        <v>54</v>
      </c>
      <c r="N1615" t="s">
        <v>26</v>
      </c>
      <c r="O1615" t="s">
        <v>27</v>
      </c>
      <c r="P1615" t="s">
        <v>55</v>
      </c>
    </row>
    <row r="1616" spans="1:16" x14ac:dyDescent="0.25">
      <c r="A1616" t="s">
        <v>2705</v>
      </c>
      <c r="B1616" t="s">
        <v>1363</v>
      </c>
      <c r="C1616" t="s">
        <v>76</v>
      </c>
      <c r="D1616" t="s">
        <v>30</v>
      </c>
      <c r="E1616" t="s">
        <v>31</v>
      </c>
      <c r="F1616" t="s">
        <v>32</v>
      </c>
      <c r="G1616" t="s">
        <v>124</v>
      </c>
      <c r="H1616" t="s">
        <v>53</v>
      </c>
      <c r="I1616">
        <v>1</v>
      </c>
      <c r="J1616">
        <v>84024</v>
      </c>
      <c r="K1616">
        <v>0</v>
      </c>
      <c r="L1616">
        <v>84024</v>
      </c>
      <c r="M1616" t="s">
        <v>42</v>
      </c>
      <c r="N1616" t="s">
        <v>26</v>
      </c>
      <c r="O1616" t="s">
        <v>27</v>
      </c>
      <c r="P1616" t="s">
        <v>55</v>
      </c>
    </row>
    <row r="1617" spans="1:16" x14ac:dyDescent="0.25">
      <c r="A1617" t="s">
        <v>2706</v>
      </c>
      <c r="B1617" t="s">
        <v>2707</v>
      </c>
      <c r="C1617" t="s">
        <v>76</v>
      </c>
      <c r="D1617" t="s">
        <v>119</v>
      </c>
      <c r="E1617" t="s">
        <v>21</v>
      </c>
      <c r="F1617" t="s">
        <v>22</v>
      </c>
      <c r="G1617" t="s">
        <v>62</v>
      </c>
      <c r="H1617" t="s">
        <v>58</v>
      </c>
      <c r="I1617">
        <v>8</v>
      </c>
      <c r="J1617">
        <v>891140</v>
      </c>
      <c r="K1617">
        <v>7</v>
      </c>
      <c r="L1617">
        <v>6630081.5999999996</v>
      </c>
      <c r="M1617" t="s">
        <v>54</v>
      </c>
      <c r="N1617" t="s">
        <v>43</v>
      </c>
      <c r="O1617" t="s">
        <v>27</v>
      </c>
      <c r="P1617" t="s">
        <v>55</v>
      </c>
    </row>
    <row r="1618" spans="1:16" x14ac:dyDescent="0.25">
      <c r="A1618" t="s">
        <v>2708</v>
      </c>
      <c r="B1618" t="s">
        <v>2709</v>
      </c>
      <c r="C1618" t="s">
        <v>99</v>
      </c>
      <c r="D1618" t="s">
        <v>66</v>
      </c>
      <c r="E1618" t="s">
        <v>67</v>
      </c>
      <c r="F1618" t="s">
        <v>68</v>
      </c>
      <c r="G1618" t="s">
        <v>73</v>
      </c>
      <c r="H1618" t="s">
        <v>24</v>
      </c>
      <c r="I1618">
        <v>3</v>
      </c>
      <c r="J1618">
        <v>325774</v>
      </c>
      <c r="K1618">
        <v>0</v>
      </c>
      <c r="L1618">
        <v>977322</v>
      </c>
      <c r="M1618" t="s">
        <v>54</v>
      </c>
      <c r="N1618" t="s">
        <v>26</v>
      </c>
      <c r="O1618" t="s">
        <v>44</v>
      </c>
      <c r="P1618" t="s">
        <v>42</v>
      </c>
    </row>
    <row r="1619" spans="1:16" x14ac:dyDescent="0.25">
      <c r="A1619" t="s">
        <v>2710</v>
      </c>
      <c r="B1619" t="s">
        <v>366</v>
      </c>
      <c r="C1619" t="s">
        <v>61</v>
      </c>
      <c r="D1619" t="s">
        <v>66</v>
      </c>
      <c r="E1619" t="s">
        <v>67</v>
      </c>
      <c r="F1619" t="s">
        <v>68</v>
      </c>
      <c r="G1619" t="s">
        <v>52</v>
      </c>
      <c r="H1619" t="s">
        <v>24</v>
      </c>
      <c r="I1619">
        <v>3</v>
      </c>
      <c r="J1619">
        <v>543024</v>
      </c>
      <c r="K1619">
        <v>2</v>
      </c>
      <c r="L1619">
        <v>1608835.56</v>
      </c>
      <c r="M1619" t="s">
        <v>42</v>
      </c>
      <c r="N1619" t="s">
        <v>26</v>
      </c>
      <c r="O1619" t="s">
        <v>27</v>
      </c>
      <c r="P1619" t="s">
        <v>42</v>
      </c>
    </row>
    <row r="1620" spans="1:16" x14ac:dyDescent="0.25">
      <c r="A1620" t="s">
        <v>2711</v>
      </c>
      <c r="B1620" t="s">
        <v>121</v>
      </c>
      <c r="C1620" t="s">
        <v>19</v>
      </c>
      <c r="D1620" t="s">
        <v>20</v>
      </c>
      <c r="E1620" t="s">
        <v>189</v>
      </c>
      <c r="F1620" t="s">
        <v>22</v>
      </c>
      <c r="G1620" t="s">
        <v>73</v>
      </c>
      <c r="H1620" t="s">
        <v>58</v>
      </c>
      <c r="I1620">
        <v>8</v>
      </c>
      <c r="J1620">
        <v>305541</v>
      </c>
      <c r="K1620">
        <v>12</v>
      </c>
      <c r="L1620">
        <v>2163353.64</v>
      </c>
      <c r="M1620" t="s">
        <v>54</v>
      </c>
      <c r="N1620" t="s">
        <v>43</v>
      </c>
      <c r="O1620" t="s">
        <v>27</v>
      </c>
      <c r="P1620" t="s">
        <v>42</v>
      </c>
    </row>
    <row r="1621" spans="1:16" x14ac:dyDescent="0.25">
      <c r="A1621" t="s">
        <v>2712</v>
      </c>
      <c r="B1621" t="s">
        <v>2443</v>
      </c>
      <c r="C1621" t="s">
        <v>85</v>
      </c>
      <c r="D1621" t="s">
        <v>30</v>
      </c>
      <c r="E1621" t="s">
        <v>31</v>
      </c>
      <c r="F1621" t="s">
        <v>32</v>
      </c>
      <c r="G1621" t="s">
        <v>33</v>
      </c>
      <c r="H1621" t="s">
        <v>53</v>
      </c>
      <c r="I1621">
        <v>1</v>
      </c>
      <c r="J1621">
        <v>289799</v>
      </c>
      <c r="K1621">
        <v>12</v>
      </c>
      <c r="L1621">
        <v>255023.12</v>
      </c>
      <c r="M1621" t="s">
        <v>25</v>
      </c>
      <c r="N1621" t="s">
        <v>43</v>
      </c>
      <c r="O1621" t="s">
        <v>44</v>
      </c>
      <c r="P1621" t="s">
        <v>26</v>
      </c>
    </row>
    <row r="1622" spans="1:16" x14ac:dyDescent="0.25">
      <c r="A1622" t="s">
        <v>2713</v>
      </c>
      <c r="B1622" t="s">
        <v>2198</v>
      </c>
      <c r="C1622" t="s">
        <v>19</v>
      </c>
      <c r="D1622" t="s">
        <v>66</v>
      </c>
      <c r="E1622" t="s">
        <v>201</v>
      </c>
      <c r="F1622" t="s">
        <v>68</v>
      </c>
      <c r="G1622" t="s">
        <v>41</v>
      </c>
      <c r="H1622" t="s">
        <v>34</v>
      </c>
      <c r="I1622">
        <v>3</v>
      </c>
      <c r="J1622">
        <v>269574</v>
      </c>
      <c r="K1622">
        <v>0</v>
      </c>
      <c r="L1622">
        <v>808722</v>
      </c>
      <c r="M1622" t="s">
        <v>42</v>
      </c>
      <c r="N1622" t="s">
        <v>69</v>
      </c>
      <c r="O1622" t="s">
        <v>27</v>
      </c>
      <c r="P1622" t="s">
        <v>55</v>
      </c>
    </row>
    <row r="1623" spans="1:16" x14ac:dyDescent="0.25">
      <c r="A1623" t="s">
        <v>2714</v>
      </c>
      <c r="B1623" t="s">
        <v>2715</v>
      </c>
      <c r="C1623" t="s">
        <v>19</v>
      </c>
      <c r="D1623" t="s">
        <v>66</v>
      </c>
      <c r="E1623" t="s">
        <v>67</v>
      </c>
      <c r="F1623" t="s">
        <v>68</v>
      </c>
      <c r="G1623" t="s">
        <v>33</v>
      </c>
      <c r="H1623" t="s">
        <v>53</v>
      </c>
      <c r="I1623">
        <v>8</v>
      </c>
      <c r="J1623">
        <v>645745</v>
      </c>
      <c r="K1623">
        <v>0</v>
      </c>
      <c r="L1623">
        <v>5165960</v>
      </c>
      <c r="M1623" t="s">
        <v>54</v>
      </c>
      <c r="N1623" t="s">
        <v>69</v>
      </c>
      <c r="O1623" t="s">
        <v>27</v>
      </c>
      <c r="P1623" t="s">
        <v>42</v>
      </c>
    </row>
    <row r="1624" spans="1:16" x14ac:dyDescent="0.25">
      <c r="A1624" t="s">
        <v>2716</v>
      </c>
      <c r="B1624" t="s">
        <v>2717</v>
      </c>
      <c r="C1624" t="s">
        <v>65</v>
      </c>
      <c r="D1624" t="s">
        <v>66</v>
      </c>
      <c r="E1624" t="s">
        <v>67</v>
      </c>
      <c r="F1624" t="s">
        <v>68</v>
      </c>
      <c r="G1624" t="s">
        <v>73</v>
      </c>
      <c r="H1624" t="s">
        <v>86</v>
      </c>
      <c r="I1624">
        <v>3</v>
      </c>
      <c r="J1624">
        <v>602748</v>
      </c>
      <c r="K1624">
        <v>7</v>
      </c>
      <c r="L1624">
        <v>1681666.92</v>
      </c>
      <c r="M1624" t="s">
        <v>54</v>
      </c>
      <c r="N1624" t="s">
        <v>26</v>
      </c>
      <c r="O1624" t="s">
        <v>44</v>
      </c>
      <c r="P1624" t="s">
        <v>42</v>
      </c>
    </row>
    <row r="1625" spans="1:16" x14ac:dyDescent="0.25">
      <c r="A1625" t="s">
        <v>2718</v>
      </c>
      <c r="B1625" t="s">
        <v>813</v>
      </c>
      <c r="C1625" t="s">
        <v>37</v>
      </c>
      <c r="D1625" t="s">
        <v>30</v>
      </c>
      <c r="E1625" t="s">
        <v>31</v>
      </c>
      <c r="F1625" t="s">
        <v>32</v>
      </c>
      <c r="G1625" t="s">
        <v>73</v>
      </c>
      <c r="H1625" t="s">
        <v>58</v>
      </c>
      <c r="I1625">
        <v>2</v>
      </c>
      <c r="J1625">
        <v>840345</v>
      </c>
      <c r="K1625">
        <v>12</v>
      </c>
      <c r="L1625">
        <v>1479007.2</v>
      </c>
      <c r="M1625" t="s">
        <v>42</v>
      </c>
      <c r="N1625" t="s">
        <v>26</v>
      </c>
      <c r="O1625" t="s">
        <v>44</v>
      </c>
      <c r="P1625" t="s">
        <v>55</v>
      </c>
    </row>
    <row r="1626" spans="1:16" x14ac:dyDescent="0.25">
      <c r="A1626" t="s">
        <v>2719</v>
      </c>
      <c r="B1626" t="s">
        <v>2720</v>
      </c>
      <c r="C1626" t="s">
        <v>85</v>
      </c>
      <c r="D1626" t="s">
        <v>66</v>
      </c>
      <c r="E1626" t="s">
        <v>67</v>
      </c>
      <c r="F1626" t="s">
        <v>68</v>
      </c>
      <c r="G1626" t="s">
        <v>41</v>
      </c>
      <c r="H1626" t="s">
        <v>24</v>
      </c>
      <c r="I1626">
        <v>7</v>
      </c>
      <c r="J1626">
        <v>252287</v>
      </c>
      <c r="K1626">
        <v>0</v>
      </c>
      <c r="L1626">
        <v>1778354</v>
      </c>
      <c r="M1626" t="s">
        <v>54</v>
      </c>
      <c r="N1626" t="s">
        <v>69</v>
      </c>
      <c r="O1626" t="s">
        <v>27</v>
      </c>
      <c r="P1626" t="s">
        <v>26</v>
      </c>
    </row>
    <row r="1627" spans="1:16" x14ac:dyDescent="0.25">
      <c r="A1627" t="s">
        <v>2721</v>
      </c>
      <c r="B1627" t="s">
        <v>2722</v>
      </c>
      <c r="C1627" t="s">
        <v>65</v>
      </c>
      <c r="D1627" t="s">
        <v>20</v>
      </c>
      <c r="E1627" t="s">
        <v>21</v>
      </c>
      <c r="F1627" t="s">
        <v>22</v>
      </c>
      <c r="G1627" t="s">
        <v>73</v>
      </c>
      <c r="H1627" t="s">
        <v>24</v>
      </c>
      <c r="I1627">
        <v>8</v>
      </c>
      <c r="J1627">
        <v>494911</v>
      </c>
      <c r="K1627">
        <v>7</v>
      </c>
      <c r="L1627">
        <v>3682137.84</v>
      </c>
      <c r="M1627" t="s">
        <v>25</v>
      </c>
      <c r="N1627" t="s">
        <v>69</v>
      </c>
      <c r="O1627" t="s">
        <v>27</v>
      </c>
      <c r="P1627" t="s">
        <v>26</v>
      </c>
    </row>
    <row r="1628" spans="1:16" x14ac:dyDescent="0.25">
      <c r="A1628" t="s">
        <v>2723</v>
      </c>
      <c r="B1628" t="s">
        <v>2724</v>
      </c>
      <c r="C1628" t="s">
        <v>37</v>
      </c>
      <c r="D1628" t="s">
        <v>20</v>
      </c>
      <c r="E1628" t="s">
        <v>21</v>
      </c>
      <c r="F1628" t="s">
        <v>22</v>
      </c>
      <c r="G1628" t="s">
        <v>73</v>
      </c>
      <c r="H1628" t="s">
        <v>58</v>
      </c>
      <c r="I1628">
        <v>3</v>
      </c>
      <c r="J1628">
        <v>820075</v>
      </c>
      <c r="K1628">
        <v>12</v>
      </c>
      <c r="L1628">
        <v>2164998</v>
      </c>
      <c r="M1628" t="s">
        <v>54</v>
      </c>
      <c r="N1628" t="s">
        <v>69</v>
      </c>
      <c r="O1628" t="s">
        <v>44</v>
      </c>
      <c r="P1628" t="s">
        <v>55</v>
      </c>
    </row>
    <row r="1629" spans="1:16" x14ac:dyDescent="0.25">
      <c r="A1629" t="s">
        <v>2725</v>
      </c>
      <c r="B1629" t="s">
        <v>530</v>
      </c>
      <c r="C1629" t="s">
        <v>65</v>
      </c>
      <c r="D1629" t="s">
        <v>47</v>
      </c>
      <c r="E1629" t="s">
        <v>48</v>
      </c>
      <c r="F1629" t="s">
        <v>22</v>
      </c>
      <c r="G1629" t="s">
        <v>23</v>
      </c>
      <c r="H1629" t="s">
        <v>58</v>
      </c>
      <c r="I1629">
        <v>3</v>
      </c>
      <c r="J1629">
        <v>831680</v>
      </c>
      <c r="K1629">
        <v>10</v>
      </c>
      <c r="L1629">
        <v>2245536</v>
      </c>
      <c r="M1629" t="s">
        <v>42</v>
      </c>
      <c r="N1629" t="s">
        <v>69</v>
      </c>
      <c r="O1629" t="s">
        <v>27</v>
      </c>
      <c r="P1629" t="s">
        <v>26</v>
      </c>
    </row>
    <row r="1630" spans="1:16" x14ac:dyDescent="0.25">
      <c r="A1630" t="s">
        <v>2726</v>
      </c>
      <c r="B1630" t="s">
        <v>636</v>
      </c>
      <c r="C1630" t="s">
        <v>19</v>
      </c>
      <c r="D1630" t="s">
        <v>119</v>
      </c>
      <c r="E1630" t="s">
        <v>21</v>
      </c>
      <c r="F1630" t="s">
        <v>22</v>
      </c>
      <c r="G1630" t="s">
        <v>52</v>
      </c>
      <c r="H1630" t="s">
        <v>24</v>
      </c>
      <c r="I1630">
        <v>7</v>
      </c>
      <c r="J1630">
        <v>83743</v>
      </c>
      <c r="K1630">
        <v>5</v>
      </c>
      <c r="L1630">
        <v>556890.94999999995</v>
      </c>
      <c r="M1630" t="s">
        <v>25</v>
      </c>
      <c r="N1630" t="s">
        <v>69</v>
      </c>
      <c r="O1630" t="s">
        <v>27</v>
      </c>
      <c r="P1630" t="s">
        <v>26</v>
      </c>
    </row>
    <row r="1631" spans="1:16" x14ac:dyDescent="0.25">
      <c r="A1631" t="s">
        <v>2727</v>
      </c>
      <c r="B1631" t="s">
        <v>2728</v>
      </c>
      <c r="C1631" t="s">
        <v>19</v>
      </c>
      <c r="D1631" t="s">
        <v>38</v>
      </c>
      <c r="E1631" t="s">
        <v>39</v>
      </c>
      <c r="F1631" t="s">
        <v>40</v>
      </c>
      <c r="G1631" t="s">
        <v>41</v>
      </c>
      <c r="H1631" t="s">
        <v>53</v>
      </c>
      <c r="I1631">
        <v>3</v>
      </c>
      <c r="J1631">
        <v>618950</v>
      </c>
      <c r="K1631">
        <v>2</v>
      </c>
      <c r="L1631">
        <v>1819713</v>
      </c>
      <c r="M1631" t="s">
        <v>54</v>
      </c>
      <c r="N1631" t="s">
        <v>43</v>
      </c>
      <c r="O1631" t="s">
        <v>44</v>
      </c>
      <c r="P1631" t="s">
        <v>42</v>
      </c>
    </row>
    <row r="1632" spans="1:16" x14ac:dyDescent="0.25">
      <c r="A1632" t="s">
        <v>2729</v>
      </c>
      <c r="B1632" t="s">
        <v>2198</v>
      </c>
      <c r="C1632" t="s">
        <v>91</v>
      </c>
      <c r="D1632" t="s">
        <v>20</v>
      </c>
      <c r="E1632" t="s">
        <v>21</v>
      </c>
      <c r="F1632" t="s">
        <v>22</v>
      </c>
      <c r="G1632" t="s">
        <v>33</v>
      </c>
      <c r="H1632" t="s">
        <v>86</v>
      </c>
      <c r="I1632">
        <v>8</v>
      </c>
      <c r="J1632">
        <v>606549</v>
      </c>
      <c r="K1632">
        <v>10</v>
      </c>
      <c r="L1632">
        <v>4367152.8</v>
      </c>
      <c r="M1632" t="s">
        <v>25</v>
      </c>
      <c r="N1632" t="s">
        <v>43</v>
      </c>
      <c r="O1632" t="s">
        <v>44</v>
      </c>
      <c r="P1632" t="s">
        <v>42</v>
      </c>
    </row>
    <row r="1633" spans="1:16" x14ac:dyDescent="0.25">
      <c r="A1633" t="s">
        <v>2730</v>
      </c>
      <c r="B1633" t="s">
        <v>1426</v>
      </c>
      <c r="C1633" t="s">
        <v>19</v>
      </c>
      <c r="D1633" t="s">
        <v>38</v>
      </c>
      <c r="E1633" t="s">
        <v>39</v>
      </c>
      <c r="F1633" t="s">
        <v>40</v>
      </c>
      <c r="G1633" t="s">
        <v>23</v>
      </c>
      <c r="H1633" t="s">
        <v>86</v>
      </c>
      <c r="I1633">
        <v>2</v>
      </c>
      <c r="J1633">
        <v>179545</v>
      </c>
      <c r="K1633">
        <v>0</v>
      </c>
      <c r="L1633">
        <v>359090</v>
      </c>
      <c r="M1633" t="s">
        <v>54</v>
      </c>
      <c r="N1633" t="s">
        <v>69</v>
      </c>
      <c r="O1633" t="s">
        <v>27</v>
      </c>
      <c r="P1633" t="s">
        <v>26</v>
      </c>
    </row>
    <row r="1634" spans="1:16" x14ac:dyDescent="0.25">
      <c r="A1634" t="s">
        <v>2731</v>
      </c>
      <c r="B1634" t="s">
        <v>1062</v>
      </c>
      <c r="C1634" t="s">
        <v>65</v>
      </c>
      <c r="D1634" t="s">
        <v>38</v>
      </c>
      <c r="E1634" t="s">
        <v>39</v>
      </c>
      <c r="F1634" t="s">
        <v>40</v>
      </c>
      <c r="G1634" t="s">
        <v>89</v>
      </c>
      <c r="H1634" t="s">
        <v>58</v>
      </c>
      <c r="I1634">
        <v>1</v>
      </c>
      <c r="J1634">
        <v>132827</v>
      </c>
      <c r="K1634">
        <v>12</v>
      </c>
      <c r="L1634">
        <v>116887.76</v>
      </c>
      <c r="M1634" t="s">
        <v>25</v>
      </c>
      <c r="N1634" t="s">
        <v>43</v>
      </c>
      <c r="O1634" t="s">
        <v>44</v>
      </c>
      <c r="P1634" t="s">
        <v>42</v>
      </c>
    </row>
    <row r="1635" spans="1:16" x14ac:dyDescent="0.25">
      <c r="A1635" t="s">
        <v>2732</v>
      </c>
      <c r="B1635" t="s">
        <v>2733</v>
      </c>
      <c r="C1635" t="s">
        <v>37</v>
      </c>
      <c r="D1635" t="s">
        <v>47</v>
      </c>
      <c r="E1635" t="s">
        <v>48</v>
      </c>
      <c r="F1635" t="s">
        <v>22</v>
      </c>
      <c r="G1635" t="s">
        <v>23</v>
      </c>
      <c r="H1635" t="s">
        <v>58</v>
      </c>
      <c r="I1635">
        <v>8</v>
      </c>
      <c r="J1635">
        <v>143089</v>
      </c>
      <c r="K1635">
        <v>10</v>
      </c>
      <c r="L1635">
        <v>1030240.8</v>
      </c>
      <c r="M1635" t="s">
        <v>54</v>
      </c>
      <c r="N1635" t="s">
        <v>26</v>
      </c>
      <c r="O1635" t="s">
        <v>44</v>
      </c>
      <c r="P1635" t="s">
        <v>55</v>
      </c>
    </row>
    <row r="1636" spans="1:16" x14ac:dyDescent="0.25">
      <c r="A1636" t="s">
        <v>2734</v>
      </c>
      <c r="B1636" t="s">
        <v>2363</v>
      </c>
      <c r="C1636" t="s">
        <v>37</v>
      </c>
      <c r="D1636" t="s">
        <v>30</v>
      </c>
      <c r="E1636" t="s">
        <v>31</v>
      </c>
      <c r="F1636" t="s">
        <v>32</v>
      </c>
      <c r="G1636" t="s">
        <v>41</v>
      </c>
      <c r="H1636" t="s">
        <v>24</v>
      </c>
      <c r="I1636">
        <v>8</v>
      </c>
      <c r="J1636">
        <v>433882</v>
      </c>
      <c r="K1636">
        <v>12</v>
      </c>
      <c r="L1636">
        <v>3054529.28</v>
      </c>
      <c r="M1636" t="s">
        <v>25</v>
      </c>
      <c r="N1636" t="s">
        <v>69</v>
      </c>
      <c r="O1636" t="s">
        <v>44</v>
      </c>
      <c r="P1636" t="s">
        <v>26</v>
      </c>
    </row>
    <row r="1637" spans="1:16" x14ac:dyDescent="0.25">
      <c r="A1637" t="s">
        <v>2735</v>
      </c>
      <c r="B1637" t="s">
        <v>2736</v>
      </c>
      <c r="C1637" t="s">
        <v>198</v>
      </c>
      <c r="D1637" t="s">
        <v>47</v>
      </c>
      <c r="E1637" t="s">
        <v>48</v>
      </c>
      <c r="F1637" t="s">
        <v>22</v>
      </c>
      <c r="G1637" t="s">
        <v>41</v>
      </c>
      <c r="H1637" t="s">
        <v>58</v>
      </c>
      <c r="I1637">
        <v>4</v>
      </c>
      <c r="J1637">
        <v>145732</v>
      </c>
      <c r="K1637">
        <v>5</v>
      </c>
      <c r="L1637">
        <v>553781.6</v>
      </c>
      <c r="M1637" t="s">
        <v>25</v>
      </c>
      <c r="N1637" t="s">
        <v>43</v>
      </c>
      <c r="O1637" t="s">
        <v>44</v>
      </c>
      <c r="P1637" t="s">
        <v>26</v>
      </c>
    </row>
    <row r="1638" spans="1:16" x14ac:dyDescent="0.25">
      <c r="A1638" t="s">
        <v>2737</v>
      </c>
      <c r="B1638" t="s">
        <v>1547</v>
      </c>
      <c r="C1638" t="s">
        <v>76</v>
      </c>
      <c r="D1638" t="s">
        <v>66</v>
      </c>
      <c r="E1638" t="s">
        <v>67</v>
      </c>
      <c r="F1638" t="s">
        <v>68</v>
      </c>
      <c r="G1638" t="s">
        <v>23</v>
      </c>
      <c r="H1638" t="s">
        <v>53</v>
      </c>
      <c r="I1638">
        <v>6</v>
      </c>
      <c r="J1638">
        <v>107287</v>
      </c>
      <c r="K1638">
        <v>2</v>
      </c>
      <c r="L1638">
        <v>630847.55999999994</v>
      </c>
      <c r="M1638" t="s">
        <v>25</v>
      </c>
      <c r="N1638" t="s">
        <v>43</v>
      </c>
      <c r="O1638" t="s">
        <v>44</v>
      </c>
      <c r="P1638" t="s">
        <v>42</v>
      </c>
    </row>
    <row r="1639" spans="1:16" x14ac:dyDescent="0.25">
      <c r="A1639" t="s">
        <v>2738</v>
      </c>
      <c r="B1639" t="s">
        <v>2134</v>
      </c>
      <c r="C1639" t="s">
        <v>76</v>
      </c>
      <c r="D1639" t="s">
        <v>66</v>
      </c>
      <c r="E1639" t="s">
        <v>201</v>
      </c>
      <c r="F1639" t="s">
        <v>68</v>
      </c>
      <c r="G1639" t="s">
        <v>62</v>
      </c>
      <c r="H1639" t="s">
        <v>58</v>
      </c>
      <c r="I1639">
        <v>8</v>
      </c>
      <c r="J1639">
        <v>557833</v>
      </c>
      <c r="K1639">
        <v>2</v>
      </c>
      <c r="L1639">
        <v>4373410.72</v>
      </c>
      <c r="M1639" t="s">
        <v>42</v>
      </c>
      <c r="N1639" t="s">
        <v>43</v>
      </c>
      <c r="O1639" t="s">
        <v>27</v>
      </c>
      <c r="P1639" t="s">
        <v>42</v>
      </c>
    </row>
    <row r="1640" spans="1:16" x14ac:dyDescent="0.25">
      <c r="A1640" t="s">
        <v>2739</v>
      </c>
      <c r="B1640" t="s">
        <v>2464</v>
      </c>
      <c r="C1640" t="s">
        <v>65</v>
      </c>
      <c r="D1640" t="s">
        <v>38</v>
      </c>
      <c r="E1640" t="s">
        <v>39</v>
      </c>
      <c r="F1640" t="s">
        <v>40</v>
      </c>
      <c r="G1640" t="s">
        <v>52</v>
      </c>
      <c r="H1640" t="s">
        <v>58</v>
      </c>
      <c r="I1640">
        <v>1</v>
      </c>
      <c r="J1640">
        <v>490485</v>
      </c>
      <c r="K1640">
        <v>5</v>
      </c>
      <c r="L1640">
        <v>465960.75</v>
      </c>
      <c r="M1640" t="s">
        <v>42</v>
      </c>
      <c r="N1640" t="s">
        <v>43</v>
      </c>
      <c r="O1640" t="s">
        <v>44</v>
      </c>
      <c r="P1640" t="s">
        <v>55</v>
      </c>
    </row>
    <row r="1641" spans="1:16" x14ac:dyDescent="0.25">
      <c r="A1641" t="s">
        <v>2740</v>
      </c>
      <c r="B1641" t="s">
        <v>848</v>
      </c>
      <c r="C1641" t="s">
        <v>76</v>
      </c>
      <c r="D1641" t="s">
        <v>30</v>
      </c>
      <c r="E1641" t="s">
        <v>31</v>
      </c>
      <c r="F1641" t="s">
        <v>32</v>
      </c>
      <c r="G1641" t="s">
        <v>41</v>
      </c>
      <c r="H1641" t="s">
        <v>34</v>
      </c>
      <c r="I1641">
        <v>2</v>
      </c>
      <c r="J1641">
        <v>839876</v>
      </c>
      <c r="K1641">
        <v>10</v>
      </c>
      <c r="L1641">
        <v>1511776.8</v>
      </c>
      <c r="M1641" t="s">
        <v>25</v>
      </c>
      <c r="N1641" t="s">
        <v>69</v>
      </c>
      <c r="O1641" t="s">
        <v>27</v>
      </c>
      <c r="P1641" t="s">
        <v>42</v>
      </c>
    </row>
    <row r="1642" spans="1:16" x14ac:dyDescent="0.25">
      <c r="A1642" t="s">
        <v>2741</v>
      </c>
      <c r="B1642" t="s">
        <v>619</v>
      </c>
      <c r="C1642" t="s">
        <v>76</v>
      </c>
      <c r="D1642" t="s">
        <v>30</v>
      </c>
      <c r="E1642" t="s">
        <v>31</v>
      </c>
      <c r="F1642" t="s">
        <v>32</v>
      </c>
      <c r="G1642" t="s">
        <v>124</v>
      </c>
      <c r="H1642" t="s">
        <v>34</v>
      </c>
      <c r="J1642">
        <v>612666</v>
      </c>
      <c r="K1642">
        <v>5</v>
      </c>
      <c r="M1642" t="s">
        <v>54</v>
      </c>
      <c r="N1642" t="s">
        <v>26</v>
      </c>
      <c r="O1642" t="s">
        <v>44</v>
      </c>
      <c r="P1642" t="s">
        <v>55</v>
      </c>
    </row>
    <row r="1643" spans="1:16" x14ac:dyDescent="0.25">
      <c r="A1643" t="s">
        <v>2742</v>
      </c>
      <c r="B1643" t="s">
        <v>605</v>
      </c>
      <c r="C1643" t="s">
        <v>91</v>
      </c>
      <c r="D1643" t="s">
        <v>47</v>
      </c>
      <c r="E1643" t="s">
        <v>72</v>
      </c>
      <c r="F1643" t="s">
        <v>22</v>
      </c>
      <c r="G1643" t="s">
        <v>124</v>
      </c>
      <c r="H1643" t="s">
        <v>58</v>
      </c>
      <c r="I1643">
        <v>7</v>
      </c>
      <c r="J1643">
        <v>232782</v>
      </c>
      <c r="K1643">
        <v>7</v>
      </c>
      <c r="L1643">
        <v>1515410.82</v>
      </c>
      <c r="M1643" t="s">
        <v>42</v>
      </c>
      <c r="N1643" t="s">
        <v>26</v>
      </c>
      <c r="O1643" t="s">
        <v>27</v>
      </c>
      <c r="P1643" t="s">
        <v>26</v>
      </c>
    </row>
    <row r="1644" spans="1:16" x14ac:dyDescent="0.25">
      <c r="A1644" t="s">
        <v>2743</v>
      </c>
      <c r="B1644" t="s">
        <v>2744</v>
      </c>
      <c r="C1644" t="s">
        <v>37</v>
      </c>
      <c r="D1644" t="s">
        <v>20</v>
      </c>
      <c r="E1644" t="s">
        <v>189</v>
      </c>
      <c r="F1644" t="s">
        <v>22</v>
      </c>
      <c r="G1644" t="s">
        <v>52</v>
      </c>
      <c r="H1644" t="s">
        <v>58</v>
      </c>
      <c r="I1644">
        <v>2</v>
      </c>
      <c r="J1644">
        <v>251926</v>
      </c>
      <c r="K1644">
        <v>0</v>
      </c>
      <c r="L1644">
        <v>503852</v>
      </c>
      <c r="M1644" t="s">
        <v>42</v>
      </c>
      <c r="N1644" t="s">
        <v>69</v>
      </c>
      <c r="O1644" t="s">
        <v>27</v>
      </c>
      <c r="P1644" t="s">
        <v>26</v>
      </c>
    </row>
    <row r="1645" spans="1:16" x14ac:dyDescent="0.25">
      <c r="A1645" t="s">
        <v>2745</v>
      </c>
      <c r="B1645" t="s">
        <v>1159</v>
      </c>
      <c r="C1645" t="s">
        <v>19</v>
      </c>
      <c r="D1645" t="s">
        <v>38</v>
      </c>
      <c r="E1645" t="s">
        <v>39</v>
      </c>
      <c r="F1645" t="s">
        <v>40</v>
      </c>
      <c r="G1645" t="s">
        <v>41</v>
      </c>
      <c r="H1645" t="s">
        <v>58</v>
      </c>
      <c r="I1645">
        <v>8</v>
      </c>
      <c r="J1645">
        <v>736278</v>
      </c>
      <c r="K1645">
        <v>0</v>
      </c>
      <c r="L1645">
        <v>5890224</v>
      </c>
      <c r="M1645" t="s">
        <v>54</v>
      </c>
      <c r="N1645" t="s">
        <v>69</v>
      </c>
      <c r="O1645" t="s">
        <v>27</v>
      </c>
      <c r="P1645" t="s">
        <v>42</v>
      </c>
    </row>
    <row r="1646" spans="1:16" x14ac:dyDescent="0.25">
      <c r="A1646" t="s">
        <v>2746</v>
      </c>
      <c r="B1646" t="s">
        <v>499</v>
      </c>
      <c r="C1646" t="s">
        <v>61</v>
      </c>
      <c r="D1646" t="s">
        <v>119</v>
      </c>
      <c r="E1646" t="s">
        <v>189</v>
      </c>
      <c r="F1646" t="s">
        <v>22</v>
      </c>
      <c r="G1646" t="s">
        <v>73</v>
      </c>
      <c r="H1646" t="s">
        <v>53</v>
      </c>
      <c r="I1646">
        <v>2</v>
      </c>
      <c r="J1646">
        <v>337127</v>
      </c>
      <c r="K1646">
        <v>0</v>
      </c>
      <c r="L1646">
        <v>674254</v>
      </c>
      <c r="M1646" t="s">
        <v>54</v>
      </c>
      <c r="N1646" t="s">
        <v>69</v>
      </c>
      <c r="O1646" t="s">
        <v>44</v>
      </c>
      <c r="P1646" t="s">
        <v>55</v>
      </c>
    </row>
    <row r="1647" spans="1:16" x14ac:dyDescent="0.25">
      <c r="A1647" t="s">
        <v>2747</v>
      </c>
      <c r="B1647" t="s">
        <v>906</v>
      </c>
      <c r="C1647" t="s">
        <v>99</v>
      </c>
      <c r="D1647" t="s">
        <v>47</v>
      </c>
      <c r="E1647" t="s">
        <v>72</v>
      </c>
      <c r="F1647" t="s">
        <v>22</v>
      </c>
      <c r="G1647" t="s">
        <v>73</v>
      </c>
      <c r="H1647" t="s">
        <v>24</v>
      </c>
      <c r="I1647">
        <v>1</v>
      </c>
      <c r="J1647">
        <v>176220</v>
      </c>
      <c r="K1647">
        <v>5</v>
      </c>
      <c r="L1647">
        <v>167409</v>
      </c>
      <c r="M1647" t="s">
        <v>25</v>
      </c>
      <c r="N1647" t="s">
        <v>26</v>
      </c>
      <c r="O1647" t="s">
        <v>44</v>
      </c>
      <c r="P1647" t="s">
        <v>55</v>
      </c>
    </row>
    <row r="1648" spans="1:16" x14ac:dyDescent="0.25">
      <c r="A1648" t="s">
        <v>2748</v>
      </c>
      <c r="B1648" t="s">
        <v>1812</v>
      </c>
      <c r="C1648" t="s">
        <v>85</v>
      </c>
      <c r="D1648" t="s">
        <v>20</v>
      </c>
      <c r="E1648" t="s">
        <v>189</v>
      </c>
      <c r="F1648" t="s">
        <v>22</v>
      </c>
      <c r="G1648" t="s">
        <v>62</v>
      </c>
      <c r="H1648" t="s">
        <v>86</v>
      </c>
      <c r="I1648">
        <v>1</v>
      </c>
      <c r="J1648">
        <v>363968</v>
      </c>
      <c r="K1648">
        <v>0</v>
      </c>
      <c r="L1648">
        <v>363968</v>
      </c>
      <c r="M1648" t="s">
        <v>42</v>
      </c>
      <c r="N1648" t="s">
        <v>69</v>
      </c>
      <c r="O1648" t="s">
        <v>27</v>
      </c>
      <c r="P1648" t="s">
        <v>26</v>
      </c>
    </row>
    <row r="1649" spans="1:16" x14ac:dyDescent="0.25">
      <c r="A1649" t="s">
        <v>2749</v>
      </c>
      <c r="B1649" t="s">
        <v>2750</v>
      </c>
      <c r="C1649" t="s">
        <v>198</v>
      </c>
      <c r="D1649" t="s">
        <v>38</v>
      </c>
      <c r="E1649" t="s">
        <v>39</v>
      </c>
      <c r="F1649" t="s">
        <v>40</v>
      </c>
      <c r="G1649" t="s">
        <v>94</v>
      </c>
      <c r="H1649" t="s">
        <v>58</v>
      </c>
      <c r="I1649">
        <v>7</v>
      </c>
      <c r="J1649">
        <v>407362</v>
      </c>
      <c r="K1649">
        <v>5</v>
      </c>
      <c r="L1649">
        <v>2708957.3</v>
      </c>
      <c r="M1649" t="s">
        <v>42</v>
      </c>
      <c r="N1649" t="s">
        <v>69</v>
      </c>
      <c r="O1649" t="s">
        <v>44</v>
      </c>
      <c r="P1649" t="s">
        <v>26</v>
      </c>
    </row>
    <row r="1650" spans="1:16" x14ac:dyDescent="0.25">
      <c r="A1650" t="s">
        <v>2751</v>
      </c>
      <c r="B1650" t="s">
        <v>2752</v>
      </c>
      <c r="C1650" t="s">
        <v>198</v>
      </c>
      <c r="D1650" t="s">
        <v>106</v>
      </c>
      <c r="E1650" t="s">
        <v>31</v>
      </c>
      <c r="F1650" t="s">
        <v>32</v>
      </c>
      <c r="G1650" t="s">
        <v>73</v>
      </c>
      <c r="H1650" t="s">
        <v>34</v>
      </c>
      <c r="I1650">
        <v>8</v>
      </c>
      <c r="J1650">
        <v>627114</v>
      </c>
      <c r="K1650">
        <v>10</v>
      </c>
      <c r="L1650">
        <v>4515220.8</v>
      </c>
      <c r="M1650" t="s">
        <v>54</v>
      </c>
      <c r="N1650" t="s">
        <v>69</v>
      </c>
      <c r="O1650" t="s">
        <v>27</v>
      </c>
      <c r="P1650" t="s">
        <v>26</v>
      </c>
    </row>
    <row r="1651" spans="1:16" x14ac:dyDescent="0.25">
      <c r="A1651" t="s">
        <v>2753</v>
      </c>
      <c r="B1651" t="s">
        <v>1020</v>
      </c>
      <c r="C1651" t="s">
        <v>76</v>
      </c>
      <c r="D1651" t="s">
        <v>66</v>
      </c>
      <c r="E1651" t="s">
        <v>67</v>
      </c>
      <c r="F1651" t="s">
        <v>68</v>
      </c>
      <c r="G1651" t="s">
        <v>62</v>
      </c>
      <c r="H1651" t="s">
        <v>58</v>
      </c>
      <c r="I1651">
        <v>3</v>
      </c>
      <c r="J1651">
        <v>139932</v>
      </c>
      <c r="K1651">
        <v>0</v>
      </c>
      <c r="L1651">
        <v>419796</v>
      </c>
      <c r="M1651" t="s">
        <v>42</v>
      </c>
      <c r="N1651" t="s">
        <v>43</v>
      </c>
      <c r="O1651" t="s">
        <v>44</v>
      </c>
      <c r="P1651" t="s">
        <v>55</v>
      </c>
    </row>
    <row r="1652" spans="1:16" x14ac:dyDescent="0.25">
      <c r="A1652" t="s">
        <v>2754</v>
      </c>
      <c r="B1652" t="s">
        <v>18</v>
      </c>
      <c r="C1652" t="s">
        <v>85</v>
      </c>
      <c r="D1652" t="s">
        <v>66</v>
      </c>
      <c r="E1652" t="s">
        <v>67</v>
      </c>
      <c r="F1652" t="s">
        <v>68</v>
      </c>
      <c r="G1652" t="s">
        <v>52</v>
      </c>
      <c r="H1652" t="s">
        <v>58</v>
      </c>
      <c r="I1652">
        <v>3</v>
      </c>
      <c r="J1652">
        <v>623058</v>
      </c>
      <c r="K1652">
        <v>7</v>
      </c>
      <c r="L1652">
        <v>1738331.82</v>
      </c>
      <c r="M1652" t="s">
        <v>25</v>
      </c>
      <c r="N1652" t="s">
        <v>69</v>
      </c>
      <c r="O1652" t="s">
        <v>44</v>
      </c>
      <c r="P1652" t="s">
        <v>26</v>
      </c>
    </row>
    <row r="1653" spans="1:16" x14ac:dyDescent="0.25">
      <c r="A1653" t="s">
        <v>2755</v>
      </c>
      <c r="B1653" t="s">
        <v>825</v>
      </c>
      <c r="C1653" t="s">
        <v>37</v>
      </c>
      <c r="D1653" t="s">
        <v>20</v>
      </c>
      <c r="E1653" t="s">
        <v>21</v>
      </c>
      <c r="F1653" t="s">
        <v>22</v>
      </c>
      <c r="G1653" t="s">
        <v>62</v>
      </c>
      <c r="H1653" t="s">
        <v>34</v>
      </c>
      <c r="I1653">
        <v>4</v>
      </c>
      <c r="J1653">
        <v>743663</v>
      </c>
      <c r="K1653">
        <v>10</v>
      </c>
      <c r="L1653">
        <v>2677186.7999999998</v>
      </c>
      <c r="M1653" t="s">
        <v>54</v>
      </c>
      <c r="N1653" t="s">
        <v>69</v>
      </c>
      <c r="O1653" t="s">
        <v>44</v>
      </c>
      <c r="P1653" t="s">
        <v>55</v>
      </c>
    </row>
    <row r="1654" spans="1:16" x14ac:dyDescent="0.25">
      <c r="A1654" t="s">
        <v>2756</v>
      </c>
      <c r="B1654" t="s">
        <v>985</v>
      </c>
      <c r="C1654" t="s">
        <v>37</v>
      </c>
      <c r="D1654" t="s">
        <v>20</v>
      </c>
      <c r="E1654" t="s">
        <v>21</v>
      </c>
      <c r="F1654" t="s">
        <v>22</v>
      </c>
      <c r="G1654" t="s">
        <v>62</v>
      </c>
      <c r="H1654" t="s">
        <v>34</v>
      </c>
      <c r="I1654">
        <v>6</v>
      </c>
      <c r="J1654">
        <v>556898</v>
      </c>
      <c r="K1654">
        <v>5</v>
      </c>
      <c r="L1654">
        <v>3174318.6</v>
      </c>
      <c r="M1654" t="s">
        <v>42</v>
      </c>
      <c r="N1654" t="s">
        <v>26</v>
      </c>
      <c r="O1654" t="s">
        <v>27</v>
      </c>
      <c r="P1654" t="s">
        <v>42</v>
      </c>
    </row>
    <row r="1655" spans="1:16" x14ac:dyDescent="0.25">
      <c r="A1655" t="s">
        <v>2757</v>
      </c>
      <c r="B1655" t="s">
        <v>2139</v>
      </c>
      <c r="C1655" t="s">
        <v>19</v>
      </c>
      <c r="D1655" t="s">
        <v>20</v>
      </c>
      <c r="E1655" t="s">
        <v>21</v>
      </c>
      <c r="F1655" t="s">
        <v>22</v>
      </c>
      <c r="G1655" t="s">
        <v>94</v>
      </c>
      <c r="H1655" t="s">
        <v>34</v>
      </c>
      <c r="I1655">
        <v>1</v>
      </c>
      <c r="J1655">
        <v>115899</v>
      </c>
      <c r="K1655">
        <v>0</v>
      </c>
      <c r="L1655">
        <v>115899</v>
      </c>
      <c r="M1655" t="s">
        <v>54</v>
      </c>
      <c r="N1655" t="s">
        <v>26</v>
      </c>
      <c r="O1655" t="s">
        <v>27</v>
      </c>
      <c r="P1655" t="s">
        <v>42</v>
      </c>
    </row>
    <row r="1656" spans="1:16" x14ac:dyDescent="0.25">
      <c r="A1656" t="s">
        <v>2758</v>
      </c>
      <c r="B1656" t="s">
        <v>2759</v>
      </c>
      <c r="C1656" t="s">
        <v>85</v>
      </c>
      <c r="D1656" t="s">
        <v>47</v>
      </c>
      <c r="E1656" t="s">
        <v>48</v>
      </c>
      <c r="F1656" t="s">
        <v>22</v>
      </c>
      <c r="G1656" t="s">
        <v>94</v>
      </c>
      <c r="H1656" t="s">
        <v>86</v>
      </c>
      <c r="I1656">
        <v>2</v>
      </c>
      <c r="J1656">
        <v>331367</v>
      </c>
      <c r="K1656">
        <v>5</v>
      </c>
      <c r="L1656">
        <v>629597.29999999993</v>
      </c>
      <c r="M1656" t="s">
        <v>25</v>
      </c>
      <c r="N1656" t="s">
        <v>69</v>
      </c>
      <c r="O1656" t="s">
        <v>27</v>
      </c>
      <c r="P1656" t="s">
        <v>55</v>
      </c>
    </row>
    <row r="1657" spans="1:16" x14ac:dyDescent="0.25">
      <c r="A1657" t="s">
        <v>2760</v>
      </c>
      <c r="B1657" t="s">
        <v>1170</v>
      </c>
      <c r="C1657" t="s">
        <v>99</v>
      </c>
      <c r="D1657" t="s">
        <v>38</v>
      </c>
      <c r="E1657" t="s">
        <v>39</v>
      </c>
      <c r="F1657" t="s">
        <v>40</v>
      </c>
      <c r="G1657" t="s">
        <v>73</v>
      </c>
      <c r="H1657" t="s">
        <v>34</v>
      </c>
      <c r="I1657">
        <v>4</v>
      </c>
      <c r="J1657">
        <v>537966</v>
      </c>
      <c r="K1657">
        <v>7</v>
      </c>
      <c r="L1657">
        <v>2001233.52</v>
      </c>
      <c r="M1657" t="s">
        <v>25</v>
      </c>
      <c r="N1657" t="s">
        <v>43</v>
      </c>
      <c r="O1657" t="s">
        <v>27</v>
      </c>
      <c r="P1657" t="s">
        <v>26</v>
      </c>
    </row>
    <row r="1658" spans="1:16" x14ac:dyDescent="0.25">
      <c r="A1658" t="s">
        <v>2761</v>
      </c>
      <c r="B1658" t="s">
        <v>356</v>
      </c>
      <c r="C1658" t="s">
        <v>37</v>
      </c>
      <c r="D1658" t="s">
        <v>20</v>
      </c>
      <c r="E1658" t="s">
        <v>21</v>
      </c>
      <c r="F1658" t="s">
        <v>22</v>
      </c>
      <c r="G1658" t="s">
        <v>33</v>
      </c>
      <c r="H1658" t="s">
        <v>34</v>
      </c>
      <c r="I1658">
        <v>3</v>
      </c>
      <c r="J1658">
        <v>574832</v>
      </c>
      <c r="K1658">
        <v>5</v>
      </c>
      <c r="L1658">
        <v>1638271.2</v>
      </c>
      <c r="M1658" t="s">
        <v>54</v>
      </c>
      <c r="N1658" t="s">
        <v>26</v>
      </c>
      <c r="O1658" t="s">
        <v>27</v>
      </c>
      <c r="P1658" t="s">
        <v>26</v>
      </c>
    </row>
    <row r="1659" spans="1:16" x14ac:dyDescent="0.25">
      <c r="A1659" t="s">
        <v>2762</v>
      </c>
      <c r="B1659" t="s">
        <v>952</v>
      </c>
      <c r="C1659" t="s">
        <v>198</v>
      </c>
      <c r="D1659" t="s">
        <v>154</v>
      </c>
      <c r="E1659" t="s">
        <v>67</v>
      </c>
      <c r="F1659" t="s">
        <v>68</v>
      </c>
      <c r="G1659" t="s">
        <v>33</v>
      </c>
      <c r="H1659" t="s">
        <v>34</v>
      </c>
      <c r="I1659">
        <v>8</v>
      </c>
      <c r="J1659">
        <v>547388</v>
      </c>
      <c r="K1659">
        <v>12</v>
      </c>
      <c r="L1659">
        <v>3853611.52</v>
      </c>
      <c r="M1659" t="s">
        <v>42</v>
      </c>
      <c r="N1659" t="s">
        <v>43</v>
      </c>
      <c r="O1659" t="s">
        <v>27</v>
      </c>
      <c r="P1659" t="s">
        <v>26</v>
      </c>
    </row>
    <row r="1660" spans="1:16" x14ac:dyDescent="0.25">
      <c r="A1660" t="s">
        <v>2763</v>
      </c>
      <c r="B1660" t="s">
        <v>406</v>
      </c>
      <c r="C1660" t="s">
        <v>99</v>
      </c>
      <c r="D1660" t="s">
        <v>38</v>
      </c>
      <c r="E1660" t="s">
        <v>39</v>
      </c>
      <c r="F1660" t="s">
        <v>40</v>
      </c>
      <c r="G1660" t="s">
        <v>52</v>
      </c>
      <c r="H1660" t="s">
        <v>58</v>
      </c>
      <c r="I1660">
        <v>1</v>
      </c>
      <c r="J1660">
        <v>555307</v>
      </c>
      <c r="K1660">
        <v>0</v>
      </c>
      <c r="L1660">
        <v>555307</v>
      </c>
      <c r="M1660" t="s">
        <v>42</v>
      </c>
      <c r="N1660" t="s">
        <v>69</v>
      </c>
      <c r="O1660" t="s">
        <v>27</v>
      </c>
      <c r="P1660" t="s">
        <v>55</v>
      </c>
    </row>
    <row r="1661" spans="1:16" x14ac:dyDescent="0.25">
      <c r="A1661" t="s">
        <v>2764</v>
      </c>
      <c r="B1661" t="s">
        <v>211</v>
      </c>
      <c r="C1661" t="s">
        <v>91</v>
      </c>
      <c r="D1661" t="s">
        <v>38</v>
      </c>
      <c r="E1661" t="s">
        <v>39</v>
      </c>
      <c r="F1661" t="s">
        <v>40</v>
      </c>
      <c r="G1661" t="s">
        <v>33</v>
      </c>
      <c r="H1661" t="s">
        <v>58</v>
      </c>
      <c r="I1661">
        <v>4</v>
      </c>
      <c r="J1661">
        <v>629417</v>
      </c>
      <c r="M1661" t="s">
        <v>42</v>
      </c>
      <c r="N1661" t="s">
        <v>43</v>
      </c>
      <c r="O1661" t="s">
        <v>44</v>
      </c>
      <c r="P1661" t="s">
        <v>42</v>
      </c>
    </row>
    <row r="1662" spans="1:16" x14ac:dyDescent="0.25">
      <c r="A1662" t="s">
        <v>2765</v>
      </c>
      <c r="B1662" t="s">
        <v>1246</v>
      </c>
      <c r="C1662" t="s">
        <v>76</v>
      </c>
      <c r="D1662" t="s">
        <v>30</v>
      </c>
      <c r="E1662" t="s">
        <v>31</v>
      </c>
      <c r="F1662" t="s">
        <v>32</v>
      </c>
      <c r="G1662" t="s">
        <v>41</v>
      </c>
      <c r="H1662" t="s">
        <v>34</v>
      </c>
      <c r="I1662">
        <v>2</v>
      </c>
      <c r="J1662">
        <v>157446</v>
      </c>
      <c r="K1662">
        <v>5</v>
      </c>
      <c r="L1662">
        <v>299147.40000000002</v>
      </c>
      <c r="M1662" t="s">
        <v>42</v>
      </c>
      <c r="N1662" t="s">
        <v>43</v>
      </c>
      <c r="O1662" t="s">
        <v>27</v>
      </c>
      <c r="P1662" t="s">
        <v>26</v>
      </c>
    </row>
    <row r="1663" spans="1:16" x14ac:dyDescent="0.25">
      <c r="A1663" t="s">
        <v>2766</v>
      </c>
      <c r="B1663" t="s">
        <v>335</v>
      </c>
      <c r="C1663" t="s">
        <v>76</v>
      </c>
      <c r="D1663" t="s">
        <v>20</v>
      </c>
      <c r="E1663" t="s">
        <v>21</v>
      </c>
      <c r="F1663" t="s">
        <v>22</v>
      </c>
      <c r="G1663" t="s">
        <v>73</v>
      </c>
      <c r="H1663" t="s">
        <v>86</v>
      </c>
      <c r="I1663">
        <v>3</v>
      </c>
      <c r="J1663">
        <v>724625</v>
      </c>
      <c r="K1663">
        <v>5</v>
      </c>
      <c r="L1663">
        <v>2065181.25</v>
      </c>
      <c r="M1663" t="s">
        <v>54</v>
      </c>
      <c r="N1663" t="s">
        <v>43</v>
      </c>
      <c r="O1663" t="s">
        <v>27</v>
      </c>
      <c r="P1663" t="s">
        <v>26</v>
      </c>
    </row>
    <row r="1664" spans="1:16" x14ac:dyDescent="0.25">
      <c r="A1664" t="s">
        <v>2767</v>
      </c>
      <c r="B1664" t="s">
        <v>2768</v>
      </c>
      <c r="C1664" t="s">
        <v>19</v>
      </c>
      <c r="D1664" t="s">
        <v>47</v>
      </c>
      <c r="E1664" t="s">
        <v>48</v>
      </c>
      <c r="F1664" t="s">
        <v>22</v>
      </c>
      <c r="G1664" t="s">
        <v>73</v>
      </c>
      <c r="H1664" t="s">
        <v>86</v>
      </c>
      <c r="I1664">
        <v>3</v>
      </c>
      <c r="J1664">
        <v>896119</v>
      </c>
      <c r="K1664">
        <v>2</v>
      </c>
      <c r="L1664">
        <v>2634589.86</v>
      </c>
      <c r="M1664" t="s">
        <v>25</v>
      </c>
      <c r="N1664" t="s">
        <v>69</v>
      </c>
      <c r="O1664" t="s">
        <v>44</v>
      </c>
      <c r="P1664" t="s">
        <v>55</v>
      </c>
    </row>
    <row r="1665" spans="1:16" x14ac:dyDescent="0.25">
      <c r="A1665" t="s">
        <v>2769</v>
      </c>
      <c r="B1665" t="s">
        <v>1761</v>
      </c>
      <c r="C1665" t="s">
        <v>85</v>
      </c>
      <c r="D1665" t="s">
        <v>119</v>
      </c>
      <c r="E1665" t="s">
        <v>189</v>
      </c>
      <c r="F1665" t="s">
        <v>22</v>
      </c>
      <c r="G1665" t="s">
        <v>41</v>
      </c>
      <c r="H1665" t="s">
        <v>86</v>
      </c>
      <c r="I1665">
        <v>7</v>
      </c>
      <c r="J1665">
        <v>445222</v>
      </c>
      <c r="K1665">
        <v>0</v>
      </c>
      <c r="L1665">
        <v>3116554</v>
      </c>
      <c r="M1665" t="s">
        <v>25</v>
      </c>
      <c r="N1665" t="s">
        <v>26</v>
      </c>
      <c r="O1665" t="s">
        <v>27</v>
      </c>
      <c r="P1665" t="s">
        <v>55</v>
      </c>
    </row>
    <row r="1666" spans="1:16" x14ac:dyDescent="0.25">
      <c r="A1666" t="s">
        <v>2770</v>
      </c>
      <c r="B1666" t="s">
        <v>1038</v>
      </c>
      <c r="C1666" t="s">
        <v>61</v>
      </c>
      <c r="D1666" t="s">
        <v>51</v>
      </c>
      <c r="E1666" t="s">
        <v>72</v>
      </c>
      <c r="F1666" t="s">
        <v>22</v>
      </c>
      <c r="G1666" t="s">
        <v>33</v>
      </c>
      <c r="H1666" t="s">
        <v>34</v>
      </c>
      <c r="I1666">
        <v>6</v>
      </c>
      <c r="J1666">
        <v>586616</v>
      </c>
      <c r="K1666">
        <v>2</v>
      </c>
      <c r="L1666">
        <v>3449302.08</v>
      </c>
      <c r="M1666" t="s">
        <v>42</v>
      </c>
      <c r="N1666" t="s">
        <v>26</v>
      </c>
      <c r="O1666" t="s">
        <v>27</v>
      </c>
      <c r="P1666" t="s">
        <v>55</v>
      </c>
    </row>
    <row r="1667" spans="1:16" x14ac:dyDescent="0.25">
      <c r="A1667" t="s">
        <v>2771</v>
      </c>
      <c r="B1667" t="s">
        <v>1703</v>
      </c>
      <c r="C1667" t="s">
        <v>19</v>
      </c>
      <c r="D1667" t="s">
        <v>106</v>
      </c>
      <c r="E1667" t="s">
        <v>31</v>
      </c>
      <c r="F1667" t="s">
        <v>32</v>
      </c>
      <c r="G1667" t="s">
        <v>94</v>
      </c>
      <c r="H1667" t="s">
        <v>24</v>
      </c>
      <c r="I1667">
        <v>3</v>
      </c>
      <c r="J1667">
        <v>525371</v>
      </c>
      <c r="M1667" t="s">
        <v>25</v>
      </c>
      <c r="N1667" t="s">
        <v>26</v>
      </c>
      <c r="O1667" t="s">
        <v>44</v>
      </c>
      <c r="P1667" t="s">
        <v>42</v>
      </c>
    </row>
    <row r="1668" spans="1:16" x14ac:dyDescent="0.25">
      <c r="A1668" t="s">
        <v>2772</v>
      </c>
      <c r="B1668" t="s">
        <v>886</v>
      </c>
      <c r="C1668" t="s">
        <v>37</v>
      </c>
      <c r="D1668" t="s">
        <v>119</v>
      </c>
      <c r="E1668" t="s">
        <v>21</v>
      </c>
      <c r="F1668" t="s">
        <v>22</v>
      </c>
      <c r="G1668" t="s">
        <v>41</v>
      </c>
      <c r="H1668" t="s">
        <v>34</v>
      </c>
      <c r="I1668">
        <v>2</v>
      </c>
      <c r="J1668">
        <v>169012</v>
      </c>
      <c r="K1668">
        <v>7</v>
      </c>
      <c r="L1668">
        <v>314362.32</v>
      </c>
      <c r="M1668" t="s">
        <v>42</v>
      </c>
      <c r="N1668" t="s">
        <v>43</v>
      </c>
      <c r="O1668" t="s">
        <v>44</v>
      </c>
      <c r="P1668" t="s">
        <v>26</v>
      </c>
    </row>
    <row r="1669" spans="1:16" x14ac:dyDescent="0.25">
      <c r="A1669" t="s">
        <v>2773</v>
      </c>
      <c r="B1669" t="s">
        <v>1081</v>
      </c>
      <c r="C1669" t="s">
        <v>65</v>
      </c>
      <c r="D1669" t="s">
        <v>30</v>
      </c>
      <c r="E1669" t="s">
        <v>31</v>
      </c>
      <c r="F1669" t="s">
        <v>32</v>
      </c>
      <c r="G1669" t="s">
        <v>52</v>
      </c>
      <c r="H1669" t="s">
        <v>53</v>
      </c>
      <c r="I1669">
        <v>2</v>
      </c>
      <c r="J1669">
        <v>876218</v>
      </c>
      <c r="K1669">
        <v>10</v>
      </c>
      <c r="L1669">
        <v>1577192.4</v>
      </c>
      <c r="M1669" t="s">
        <v>54</v>
      </c>
      <c r="N1669" t="s">
        <v>43</v>
      </c>
      <c r="O1669" t="s">
        <v>27</v>
      </c>
      <c r="P1669" t="s">
        <v>42</v>
      </c>
    </row>
    <row r="1670" spans="1:16" x14ac:dyDescent="0.25">
      <c r="A1670" t="s">
        <v>2774</v>
      </c>
      <c r="B1670" t="s">
        <v>586</v>
      </c>
      <c r="C1670" t="s">
        <v>79</v>
      </c>
      <c r="D1670" t="s">
        <v>30</v>
      </c>
      <c r="E1670" t="s">
        <v>31</v>
      </c>
      <c r="F1670" t="s">
        <v>32</v>
      </c>
      <c r="G1670" t="s">
        <v>33</v>
      </c>
      <c r="H1670" t="s">
        <v>34</v>
      </c>
      <c r="I1670">
        <v>2</v>
      </c>
      <c r="J1670">
        <v>364565</v>
      </c>
      <c r="K1670">
        <v>0</v>
      </c>
      <c r="L1670">
        <v>729130</v>
      </c>
      <c r="M1670" t="s">
        <v>25</v>
      </c>
      <c r="N1670" t="s">
        <v>26</v>
      </c>
      <c r="O1670" t="s">
        <v>44</v>
      </c>
      <c r="P1670" t="s">
        <v>26</v>
      </c>
    </row>
    <row r="1671" spans="1:16" x14ac:dyDescent="0.25">
      <c r="A1671" t="s">
        <v>2775</v>
      </c>
      <c r="B1671" t="s">
        <v>2195</v>
      </c>
      <c r="C1671" t="s">
        <v>37</v>
      </c>
      <c r="D1671" t="s">
        <v>129</v>
      </c>
      <c r="E1671" t="s">
        <v>130</v>
      </c>
      <c r="F1671" t="s">
        <v>40</v>
      </c>
      <c r="G1671" t="s">
        <v>89</v>
      </c>
      <c r="H1671" t="s">
        <v>53</v>
      </c>
      <c r="I1671">
        <v>7</v>
      </c>
      <c r="J1671">
        <v>213852</v>
      </c>
      <c r="K1671">
        <v>7</v>
      </c>
      <c r="L1671">
        <v>1392176.52</v>
      </c>
      <c r="M1671" t="s">
        <v>54</v>
      </c>
      <c r="N1671" t="s">
        <v>43</v>
      </c>
      <c r="O1671" t="s">
        <v>27</v>
      </c>
      <c r="P1671" t="s">
        <v>55</v>
      </c>
    </row>
    <row r="1672" spans="1:16" x14ac:dyDescent="0.25">
      <c r="A1672" t="s">
        <v>2776</v>
      </c>
      <c r="B1672" t="s">
        <v>2044</v>
      </c>
      <c r="C1672" t="s">
        <v>85</v>
      </c>
      <c r="D1672" t="s">
        <v>47</v>
      </c>
      <c r="E1672" t="s">
        <v>48</v>
      </c>
      <c r="F1672" t="s">
        <v>22</v>
      </c>
      <c r="G1672" t="s">
        <v>52</v>
      </c>
      <c r="H1672" t="s">
        <v>24</v>
      </c>
      <c r="I1672">
        <v>4</v>
      </c>
      <c r="J1672">
        <v>422207</v>
      </c>
      <c r="K1672">
        <v>12</v>
      </c>
      <c r="L1672">
        <v>1486168.64</v>
      </c>
      <c r="M1672" t="s">
        <v>42</v>
      </c>
      <c r="N1672" t="s">
        <v>26</v>
      </c>
      <c r="O1672" t="s">
        <v>44</v>
      </c>
      <c r="P1672" t="s">
        <v>26</v>
      </c>
    </row>
    <row r="1673" spans="1:16" x14ac:dyDescent="0.25">
      <c r="A1673" t="s">
        <v>2777</v>
      </c>
      <c r="B1673" t="s">
        <v>2466</v>
      </c>
      <c r="C1673" t="s">
        <v>85</v>
      </c>
      <c r="D1673" t="s">
        <v>30</v>
      </c>
      <c r="E1673" t="s">
        <v>31</v>
      </c>
      <c r="F1673" t="s">
        <v>32</v>
      </c>
      <c r="G1673" t="s">
        <v>41</v>
      </c>
      <c r="H1673" t="s">
        <v>53</v>
      </c>
      <c r="J1673">
        <v>571139</v>
      </c>
      <c r="K1673">
        <v>10</v>
      </c>
      <c r="M1673" t="s">
        <v>54</v>
      </c>
      <c r="N1673" t="s">
        <v>69</v>
      </c>
      <c r="O1673" t="s">
        <v>27</v>
      </c>
      <c r="P1673" t="s">
        <v>55</v>
      </c>
    </row>
    <row r="1674" spans="1:16" x14ac:dyDescent="0.25">
      <c r="A1674" t="s">
        <v>2778</v>
      </c>
      <c r="B1674" t="s">
        <v>563</v>
      </c>
      <c r="C1674" t="s">
        <v>99</v>
      </c>
      <c r="D1674" t="s">
        <v>38</v>
      </c>
      <c r="E1674" t="s">
        <v>39</v>
      </c>
      <c r="F1674" t="s">
        <v>40</v>
      </c>
      <c r="G1674" t="s">
        <v>41</v>
      </c>
      <c r="H1674" t="s">
        <v>86</v>
      </c>
      <c r="I1674">
        <v>6</v>
      </c>
      <c r="J1674">
        <v>670827</v>
      </c>
      <c r="K1674">
        <v>0</v>
      </c>
      <c r="L1674">
        <v>4024962</v>
      </c>
      <c r="M1674" t="s">
        <v>54</v>
      </c>
      <c r="N1674" t="s">
        <v>69</v>
      </c>
      <c r="O1674" t="s">
        <v>44</v>
      </c>
      <c r="P1674" t="s">
        <v>26</v>
      </c>
    </row>
    <row r="1675" spans="1:16" x14ac:dyDescent="0.25">
      <c r="A1675" t="s">
        <v>2779</v>
      </c>
      <c r="B1675" t="s">
        <v>195</v>
      </c>
      <c r="C1675" t="s">
        <v>85</v>
      </c>
      <c r="D1675" t="s">
        <v>47</v>
      </c>
      <c r="E1675" t="s">
        <v>48</v>
      </c>
      <c r="F1675" t="s">
        <v>22</v>
      </c>
      <c r="G1675" t="s">
        <v>62</v>
      </c>
      <c r="H1675" t="s">
        <v>58</v>
      </c>
      <c r="I1675">
        <v>5</v>
      </c>
      <c r="J1675">
        <v>175389</v>
      </c>
      <c r="K1675">
        <v>2</v>
      </c>
      <c r="L1675">
        <v>859406.1</v>
      </c>
      <c r="M1675" t="s">
        <v>54</v>
      </c>
      <c r="N1675" t="s">
        <v>43</v>
      </c>
      <c r="O1675" t="s">
        <v>27</v>
      </c>
      <c r="P1675" t="s">
        <v>42</v>
      </c>
    </row>
    <row r="1676" spans="1:16" x14ac:dyDescent="0.25">
      <c r="A1676" t="s">
        <v>2780</v>
      </c>
      <c r="B1676" t="s">
        <v>1277</v>
      </c>
      <c r="C1676" t="s">
        <v>76</v>
      </c>
      <c r="D1676" t="s">
        <v>20</v>
      </c>
      <c r="E1676" t="s">
        <v>21</v>
      </c>
      <c r="F1676" t="s">
        <v>22</v>
      </c>
      <c r="G1676" t="s">
        <v>52</v>
      </c>
      <c r="H1676" t="s">
        <v>53</v>
      </c>
      <c r="I1676">
        <v>4</v>
      </c>
      <c r="J1676">
        <v>162783</v>
      </c>
      <c r="K1676">
        <v>10</v>
      </c>
      <c r="L1676">
        <v>586018.80000000005</v>
      </c>
      <c r="M1676" t="s">
        <v>42</v>
      </c>
      <c r="N1676" t="s">
        <v>43</v>
      </c>
      <c r="O1676" t="s">
        <v>27</v>
      </c>
      <c r="P1676" t="s">
        <v>42</v>
      </c>
    </row>
    <row r="1677" spans="1:16" x14ac:dyDescent="0.25">
      <c r="A1677" t="s">
        <v>2781</v>
      </c>
      <c r="B1677" t="s">
        <v>1497</v>
      </c>
      <c r="C1677" t="s">
        <v>65</v>
      </c>
      <c r="D1677" t="s">
        <v>38</v>
      </c>
      <c r="E1677" t="s">
        <v>39</v>
      </c>
      <c r="F1677" t="s">
        <v>40</v>
      </c>
      <c r="G1677" t="s">
        <v>73</v>
      </c>
      <c r="H1677" t="s">
        <v>86</v>
      </c>
      <c r="I1677">
        <v>7</v>
      </c>
      <c r="J1677">
        <v>539697</v>
      </c>
      <c r="K1677">
        <v>2</v>
      </c>
      <c r="L1677">
        <v>3702321.42</v>
      </c>
      <c r="M1677" t="s">
        <v>25</v>
      </c>
      <c r="N1677" t="s">
        <v>43</v>
      </c>
      <c r="O1677" t="s">
        <v>27</v>
      </c>
      <c r="P1677" t="s">
        <v>55</v>
      </c>
    </row>
    <row r="1678" spans="1:16" x14ac:dyDescent="0.25">
      <c r="A1678" t="s">
        <v>2782</v>
      </c>
      <c r="B1678" t="s">
        <v>1497</v>
      </c>
      <c r="C1678" t="s">
        <v>37</v>
      </c>
      <c r="D1678" t="s">
        <v>20</v>
      </c>
      <c r="E1678" t="s">
        <v>21</v>
      </c>
      <c r="F1678" t="s">
        <v>22</v>
      </c>
      <c r="G1678" t="s">
        <v>124</v>
      </c>
      <c r="H1678" t="s">
        <v>24</v>
      </c>
      <c r="I1678">
        <v>5</v>
      </c>
      <c r="J1678">
        <v>370635</v>
      </c>
      <c r="K1678">
        <v>10</v>
      </c>
      <c r="L1678">
        <v>1667857.5</v>
      </c>
      <c r="M1678" t="s">
        <v>25</v>
      </c>
      <c r="N1678" t="s">
        <v>26</v>
      </c>
      <c r="O1678" t="s">
        <v>27</v>
      </c>
      <c r="P1678" t="s">
        <v>42</v>
      </c>
    </row>
    <row r="1679" spans="1:16" x14ac:dyDescent="0.25">
      <c r="A1679" t="s">
        <v>2783</v>
      </c>
      <c r="B1679" t="s">
        <v>818</v>
      </c>
      <c r="C1679" t="s">
        <v>76</v>
      </c>
      <c r="D1679" t="s">
        <v>106</v>
      </c>
      <c r="E1679" t="s">
        <v>31</v>
      </c>
      <c r="F1679" t="s">
        <v>32</v>
      </c>
      <c r="G1679" t="s">
        <v>62</v>
      </c>
      <c r="H1679" t="s">
        <v>24</v>
      </c>
      <c r="I1679">
        <v>2</v>
      </c>
      <c r="J1679">
        <v>692159</v>
      </c>
      <c r="K1679">
        <v>10</v>
      </c>
      <c r="L1679">
        <v>1245886.2</v>
      </c>
      <c r="M1679" t="s">
        <v>54</v>
      </c>
      <c r="N1679" t="s">
        <v>26</v>
      </c>
      <c r="O1679" t="s">
        <v>44</v>
      </c>
      <c r="P1679" t="s">
        <v>55</v>
      </c>
    </row>
    <row r="1680" spans="1:16" x14ac:dyDescent="0.25">
      <c r="A1680" t="s">
        <v>2784</v>
      </c>
      <c r="B1680" t="s">
        <v>2707</v>
      </c>
      <c r="C1680" t="s">
        <v>37</v>
      </c>
      <c r="D1680" t="s">
        <v>66</v>
      </c>
      <c r="E1680" t="s">
        <v>67</v>
      </c>
      <c r="F1680" t="s">
        <v>68</v>
      </c>
      <c r="G1680" t="s">
        <v>41</v>
      </c>
      <c r="H1680" t="s">
        <v>24</v>
      </c>
      <c r="I1680">
        <v>7</v>
      </c>
      <c r="J1680">
        <v>364111</v>
      </c>
      <c r="K1680">
        <v>2</v>
      </c>
      <c r="L1680">
        <v>2497801.46</v>
      </c>
      <c r="M1680" t="s">
        <v>54</v>
      </c>
      <c r="N1680" t="s">
        <v>26</v>
      </c>
      <c r="O1680" t="s">
        <v>44</v>
      </c>
      <c r="P1680" t="s">
        <v>42</v>
      </c>
    </row>
    <row r="1681" spans="1:16" x14ac:dyDescent="0.25">
      <c r="A1681" t="s">
        <v>2785</v>
      </c>
      <c r="B1681" t="s">
        <v>1862</v>
      </c>
      <c r="C1681" t="s">
        <v>85</v>
      </c>
      <c r="D1681" t="s">
        <v>47</v>
      </c>
      <c r="E1681" t="s">
        <v>48</v>
      </c>
      <c r="F1681" t="s">
        <v>22</v>
      </c>
      <c r="G1681" t="s">
        <v>124</v>
      </c>
      <c r="H1681" t="s">
        <v>24</v>
      </c>
      <c r="I1681">
        <v>1</v>
      </c>
      <c r="J1681">
        <v>715279</v>
      </c>
      <c r="K1681">
        <v>12</v>
      </c>
      <c r="L1681">
        <v>629445.52</v>
      </c>
      <c r="M1681" t="s">
        <v>25</v>
      </c>
      <c r="N1681" t="s">
        <v>26</v>
      </c>
      <c r="O1681" t="s">
        <v>27</v>
      </c>
      <c r="P1681" t="s">
        <v>42</v>
      </c>
    </row>
    <row r="1682" spans="1:16" x14ac:dyDescent="0.25">
      <c r="A1682" t="s">
        <v>2786</v>
      </c>
      <c r="B1682" t="s">
        <v>1036</v>
      </c>
      <c r="C1682" t="s">
        <v>76</v>
      </c>
      <c r="D1682" t="s">
        <v>47</v>
      </c>
      <c r="E1682" t="s">
        <v>48</v>
      </c>
      <c r="F1682" t="s">
        <v>22</v>
      </c>
      <c r="G1682" t="s">
        <v>52</v>
      </c>
      <c r="H1682" t="s">
        <v>53</v>
      </c>
      <c r="I1682">
        <v>4</v>
      </c>
      <c r="J1682">
        <v>93304</v>
      </c>
      <c r="K1682">
        <v>2</v>
      </c>
      <c r="L1682">
        <v>365751.68</v>
      </c>
      <c r="M1682" t="s">
        <v>25</v>
      </c>
      <c r="N1682" t="s">
        <v>69</v>
      </c>
      <c r="O1682" t="s">
        <v>44</v>
      </c>
      <c r="P1682" t="s">
        <v>26</v>
      </c>
    </row>
    <row r="1683" spans="1:16" x14ac:dyDescent="0.25">
      <c r="A1683" t="s">
        <v>2787</v>
      </c>
      <c r="B1683" t="s">
        <v>825</v>
      </c>
      <c r="C1683" t="s">
        <v>79</v>
      </c>
      <c r="D1683" t="s">
        <v>20</v>
      </c>
      <c r="E1683" t="s">
        <v>21</v>
      </c>
      <c r="F1683" t="s">
        <v>22</v>
      </c>
      <c r="G1683" t="s">
        <v>89</v>
      </c>
      <c r="H1683" t="s">
        <v>24</v>
      </c>
      <c r="I1683">
        <v>2</v>
      </c>
      <c r="J1683">
        <v>341218</v>
      </c>
      <c r="K1683">
        <v>10</v>
      </c>
      <c r="L1683">
        <v>614192.4</v>
      </c>
      <c r="M1683" t="s">
        <v>25</v>
      </c>
      <c r="N1683" t="s">
        <v>69</v>
      </c>
      <c r="O1683" t="s">
        <v>44</v>
      </c>
      <c r="P1683" t="s">
        <v>55</v>
      </c>
    </row>
    <row r="1684" spans="1:16" x14ac:dyDescent="0.25">
      <c r="A1684" t="s">
        <v>2788</v>
      </c>
      <c r="B1684" t="s">
        <v>2789</v>
      </c>
      <c r="C1684" t="s">
        <v>85</v>
      </c>
      <c r="D1684" t="s">
        <v>106</v>
      </c>
      <c r="E1684" t="s">
        <v>31</v>
      </c>
      <c r="F1684" t="s">
        <v>32</v>
      </c>
      <c r="G1684" t="s">
        <v>73</v>
      </c>
      <c r="H1684" t="s">
        <v>86</v>
      </c>
      <c r="I1684">
        <v>8</v>
      </c>
      <c r="J1684">
        <v>127291</v>
      </c>
      <c r="K1684">
        <v>7</v>
      </c>
      <c r="L1684">
        <v>947045.03999999992</v>
      </c>
      <c r="M1684" t="s">
        <v>42</v>
      </c>
      <c r="N1684" t="s">
        <v>69</v>
      </c>
      <c r="O1684" t="s">
        <v>27</v>
      </c>
      <c r="P1684" t="s">
        <v>42</v>
      </c>
    </row>
    <row r="1685" spans="1:16" x14ac:dyDescent="0.25">
      <c r="A1685" t="s">
        <v>2790</v>
      </c>
      <c r="B1685" t="s">
        <v>2791</v>
      </c>
      <c r="C1685" t="s">
        <v>65</v>
      </c>
      <c r="D1685" t="s">
        <v>38</v>
      </c>
      <c r="E1685" t="s">
        <v>39</v>
      </c>
      <c r="F1685" t="s">
        <v>40</v>
      </c>
      <c r="G1685" t="s">
        <v>62</v>
      </c>
      <c r="H1685" t="s">
        <v>53</v>
      </c>
      <c r="I1685">
        <v>6</v>
      </c>
      <c r="J1685">
        <v>346263</v>
      </c>
      <c r="K1685">
        <v>7</v>
      </c>
      <c r="L1685">
        <v>1932147.54</v>
      </c>
      <c r="M1685" t="s">
        <v>54</v>
      </c>
      <c r="N1685" t="s">
        <v>43</v>
      </c>
      <c r="O1685" t="s">
        <v>27</v>
      </c>
      <c r="P1685" t="s">
        <v>55</v>
      </c>
    </row>
    <row r="1686" spans="1:16" x14ac:dyDescent="0.25">
      <c r="A1686" t="s">
        <v>2792</v>
      </c>
      <c r="B1686" t="s">
        <v>2793</v>
      </c>
      <c r="C1686" t="s">
        <v>198</v>
      </c>
      <c r="D1686" t="s">
        <v>66</v>
      </c>
      <c r="E1686" t="s">
        <v>67</v>
      </c>
      <c r="F1686" t="s">
        <v>68</v>
      </c>
      <c r="G1686" t="s">
        <v>73</v>
      </c>
      <c r="H1686" t="s">
        <v>24</v>
      </c>
      <c r="I1686">
        <v>2</v>
      </c>
      <c r="J1686">
        <v>536118</v>
      </c>
      <c r="K1686">
        <v>2</v>
      </c>
      <c r="L1686">
        <v>1050791.28</v>
      </c>
      <c r="M1686" t="s">
        <v>54</v>
      </c>
      <c r="N1686" t="s">
        <v>43</v>
      </c>
      <c r="O1686" t="s">
        <v>44</v>
      </c>
      <c r="P1686" t="s">
        <v>42</v>
      </c>
    </row>
    <row r="1687" spans="1:16" x14ac:dyDescent="0.25">
      <c r="A1687" t="s">
        <v>2794</v>
      </c>
      <c r="B1687" t="s">
        <v>303</v>
      </c>
      <c r="C1687" t="s">
        <v>76</v>
      </c>
      <c r="D1687" t="s">
        <v>47</v>
      </c>
      <c r="E1687" t="s">
        <v>48</v>
      </c>
      <c r="F1687" t="s">
        <v>22</v>
      </c>
      <c r="G1687" t="s">
        <v>23</v>
      </c>
      <c r="H1687" t="s">
        <v>86</v>
      </c>
      <c r="I1687">
        <v>6</v>
      </c>
      <c r="J1687">
        <v>251243</v>
      </c>
      <c r="K1687">
        <v>5</v>
      </c>
      <c r="L1687">
        <v>1432085.1</v>
      </c>
      <c r="M1687" t="s">
        <v>25</v>
      </c>
      <c r="N1687" t="s">
        <v>26</v>
      </c>
      <c r="O1687" t="s">
        <v>44</v>
      </c>
      <c r="P1687" t="s">
        <v>42</v>
      </c>
    </row>
    <row r="1688" spans="1:16" x14ac:dyDescent="0.25">
      <c r="A1688" t="s">
        <v>2795</v>
      </c>
      <c r="B1688" t="s">
        <v>1343</v>
      </c>
      <c r="C1688" t="s">
        <v>76</v>
      </c>
      <c r="D1688" t="s">
        <v>154</v>
      </c>
      <c r="E1688" t="s">
        <v>67</v>
      </c>
      <c r="F1688" t="s">
        <v>68</v>
      </c>
      <c r="G1688" t="s">
        <v>33</v>
      </c>
      <c r="H1688" t="s">
        <v>58</v>
      </c>
      <c r="I1688">
        <v>3</v>
      </c>
      <c r="J1688">
        <v>135410</v>
      </c>
      <c r="K1688">
        <v>12</v>
      </c>
      <c r="L1688">
        <v>357482.4</v>
      </c>
      <c r="M1688" t="s">
        <v>54</v>
      </c>
      <c r="N1688" t="s">
        <v>43</v>
      </c>
      <c r="O1688" t="s">
        <v>44</v>
      </c>
      <c r="P1688" t="s">
        <v>26</v>
      </c>
    </row>
    <row r="1689" spans="1:16" x14ac:dyDescent="0.25">
      <c r="A1689" t="s">
        <v>2796</v>
      </c>
      <c r="B1689" t="s">
        <v>1722</v>
      </c>
      <c r="C1689" t="s">
        <v>19</v>
      </c>
      <c r="D1689" t="s">
        <v>30</v>
      </c>
      <c r="E1689" t="s">
        <v>31</v>
      </c>
      <c r="F1689" t="s">
        <v>32</v>
      </c>
      <c r="G1689" t="s">
        <v>62</v>
      </c>
      <c r="H1689" t="s">
        <v>58</v>
      </c>
      <c r="I1689">
        <v>6</v>
      </c>
      <c r="J1689">
        <v>321038</v>
      </c>
      <c r="K1689">
        <v>0</v>
      </c>
      <c r="L1689">
        <v>1926228</v>
      </c>
      <c r="M1689" t="s">
        <v>42</v>
      </c>
      <c r="N1689" t="s">
        <v>43</v>
      </c>
      <c r="O1689" t="s">
        <v>27</v>
      </c>
      <c r="P1689" t="s">
        <v>55</v>
      </c>
    </row>
    <row r="1690" spans="1:16" x14ac:dyDescent="0.25">
      <c r="A1690" t="s">
        <v>2797</v>
      </c>
      <c r="B1690" t="s">
        <v>2798</v>
      </c>
      <c r="C1690" t="s">
        <v>79</v>
      </c>
      <c r="D1690" t="s">
        <v>47</v>
      </c>
      <c r="E1690" t="s">
        <v>48</v>
      </c>
      <c r="F1690" t="s">
        <v>22</v>
      </c>
      <c r="G1690" t="s">
        <v>41</v>
      </c>
      <c r="H1690" t="s">
        <v>86</v>
      </c>
      <c r="I1690">
        <v>6</v>
      </c>
      <c r="J1690">
        <v>658939</v>
      </c>
      <c r="K1690">
        <v>12</v>
      </c>
      <c r="L1690">
        <v>3479197.92</v>
      </c>
      <c r="M1690" t="s">
        <v>42</v>
      </c>
      <c r="N1690" t="s">
        <v>43</v>
      </c>
      <c r="O1690" t="s">
        <v>27</v>
      </c>
      <c r="P1690" t="s">
        <v>42</v>
      </c>
    </row>
    <row r="1691" spans="1:16" x14ac:dyDescent="0.25">
      <c r="A1691" t="s">
        <v>2799</v>
      </c>
      <c r="B1691" t="s">
        <v>2800</v>
      </c>
      <c r="C1691" t="s">
        <v>85</v>
      </c>
      <c r="D1691" t="s">
        <v>30</v>
      </c>
      <c r="E1691" t="s">
        <v>31</v>
      </c>
      <c r="F1691" t="s">
        <v>32</v>
      </c>
      <c r="G1691" t="s">
        <v>73</v>
      </c>
      <c r="H1691" t="s">
        <v>86</v>
      </c>
      <c r="I1691">
        <v>6</v>
      </c>
      <c r="J1691">
        <v>502582</v>
      </c>
      <c r="K1691">
        <v>7</v>
      </c>
      <c r="L1691">
        <v>2804407.56</v>
      </c>
      <c r="M1691" t="s">
        <v>54</v>
      </c>
      <c r="N1691" t="s">
        <v>26</v>
      </c>
      <c r="O1691" t="s">
        <v>27</v>
      </c>
      <c r="P1691" t="s">
        <v>42</v>
      </c>
    </row>
    <row r="1692" spans="1:16" x14ac:dyDescent="0.25">
      <c r="A1692" t="s">
        <v>2801</v>
      </c>
      <c r="B1692" t="s">
        <v>2802</v>
      </c>
      <c r="C1692" t="s">
        <v>65</v>
      </c>
      <c r="D1692" t="s">
        <v>66</v>
      </c>
      <c r="E1692" t="s">
        <v>67</v>
      </c>
      <c r="F1692" t="s">
        <v>68</v>
      </c>
      <c r="G1692" t="s">
        <v>73</v>
      </c>
      <c r="H1692" t="s">
        <v>34</v>
      </c>
      <c r="I1692">
        <v>7</v>
      </c>
      <c r="J1692">
        <v>667597</v>
      </c>
      <c r="M1692" t="s">
        <v>54</v>
      </c>
      <c r="N1692" t="s">
        <v>43</v>
      </c>
      <c r="O1692" t="s">
        <v>27</v>
      </c>
      <c r="P1692" t="s">
        <v>55</v>
      </c>
    </row>
    <row r="1693" spans="1:16" x14ac:dyDescent="0.25">
      <c r="A1693" t="s">
        <v>2803</v>
      </c>
      <c r="B1693" t="s">
        <v>2670</v>
      </c>
      <c r="C1693" t="s">
        <v>37</v>
      </c>
      <c r="D1693" t="s">
        <v>66</v>
      </c>
      <c r="E1693" t="s">
        <v>67</v>
      </c>
      <c r="F1693" t="s">
        <v>68</v>
      </c>
      <c r="G1693" t="s">
        <v>94</v>
      </c>
      <c r="H1693" t="s">
        <v>58</v>
      </c>
      <c r="I1693">
        <v>2</v>
      </c>
      <c r="J1693">
        <v>542811</v>
      </c>
      <c r="K1693">
        <v>12</v>
      </c>
      <c r="L1693">
        <v>955347.36</v>
      </c>
      <c r="M1693" t="s">
        <v>42</v>
      </c>
      <c r="N1693" t="s">
        <v>69</v>
      </c>
      <c r="O1693" t="s">
        <v>27</v>
      </c>
      <c r="P1693" t="s">
        <v>42</v>
      </c>
    </row>
    <row r="1694" spans="1:16" x14ac:dyDescent="0.25">
      <c r="A1694" t="s">
        <v>2804</v>
      </c>
      <c r="B1694" t="s">
        <v>1374</v>
      </c>
      <c r="C1694" t="s">
        <v>85</v>
      </c>
      <c r="D1694" t="s">
        <v>129</v>
      </c>
      <c r="E1694" t="s">
        <v>39</v>
      </c>
      <c r="F1694" t="s">
        <v>40</v>
      </c>
      <c r="G1694" t="s">
        <v>33</v>
      </c>
      <c r="H1694" t="s">
        <v>58</v>
      </c>
      <c r="I1694">
        <v>5</v>
      </c>
      <c r="J1694">
        <v>769458</v>
      </c>
      <c r="K1694">
        <v>12</v>
      </c>
      <c r="L1694">
        <v>3385615.2</v>
      </c>
      <c r="M1694" t="s">
        <v>54</v>
      </c>
      <c r="N1694" t="s">
        <v>43</v>
      </c>
      <c r="O1694" t="s">
        <v>27</v>
      </c>
      <c r="P1694" t="s">
        <v>26</v>
      </c>
    </row>
    <row r="1695" spans="1:16" x14ac:dyDescent="0.25">
      <c r="A1695" t="s">
        <v>2805</v>
      </c>
      <c r="B1695" t="s">
        <v>2269</v>
      </c>
      <c r="C1695" t="s">
        <v>76</v>
      </c>
      <c r="D1695" t="s">
        <v>20</v>
      </c>
      <c r="E1695" t="s">
        <v>21</v>
      </c>
      <c r="F1695" t="s">
        <v>22</v>
      </c>
      <c r="G1695" t="s">
        <v>41</v>
      </c>
      <c r="H1695" t="s">
        <v>24</v>
      </c>
      <c r="I1695">
        <v>3</v>
      </c>
      <c r="J1695">
        <v>632899</v>
      </c>
      <c r="K1695">
        <v>2</v>
      </c>
      <c r="L1695">
        <v>1860723.06</v>
      </c>
      <c r="M1695" t="s">
        <v>42</v>
      </c>
      <c r="N1695" t="s">
        <v>26</v>
      </c>
      <c r="O1695" t="s">
        <v>27</v>
      </c>
      <c r="P1695" t="s">
        <v>42</v>
      </c>
    </row>
    <row r="1696" spans="1:16" x14ac:dyDescent="0.25">
      <c r="A1696" t="s">
        <v>2806</v>
      </c>
      <c r="B1696" t="s">
        <v>325</v>
      </c>
      <c r="C1696" t="s">
        <v>37</v>
      </c>
      <c r="D1696" t="s">
        <v>30</v>
      </c>
      <c r="E1696" t="s">
        <v>31</v>
      </c>
      <c r="F1696" t="s">
        <v>32</v>
      </c>
      <c r="G1696" t="s">
        <v>73</v>
      </c>
      <c r="H1696" t="s">
        <v>86</v>
      </c>
      <c r="I1696">
        <v>1</v>
      </c>
      <c r="J1696">
        <v>336401</v>
      </c>
      <c r="K1696">
        <v>5</v>
      </c>
      <c r="L1696">
        <v>319580.95</v>
      </c>
      <c r="M1696" t="s">
        <v>42</v>
      </c>
      <c r="N1696" t="s">
        <v>43</v>
      </c>
      <c r="O1696" t="s">
        <v>27</v>
      </c>
      <c r="P1696" t="s">
        <v>42</v>
      </c>
    </row>
    <row r="1697" spans="1:16" x14ac:dyDescent="0.25">
      <c r="A1697" t="s">
        <v>2807</v>
      </c>
      <c r="B1697" t="s">
        <v>1651</v>
      </c>
      <c r="C1697" t="s">
        <v>76</v>
      </c>
      <c r="D1697" t="s">
        <v>47</v>
      </c>
      <c r="E1697" t="s">
        <v>48</v>
      </c>
      <c r="F1697" t="s">
        <v>22</v>
      </c>
      <c r="G1697" t="s">
        <v>89</v>
      </c>
      <c r="H1697" t="s">
        <v>34</v>
      </c>
      <c r="I1697">
        <v>2</v>
      </c>
      <c r="J1697">
        <v>655919</v>
      </c>
      <c r="K1697">
        <v>5</v>
      </c>
      <c r="L1697">
        <v>1246246.1000000001</v>
      </c>
      <c r="M1697" t="s">
        <v>42</v>
      </c>
      <c r="N1697" t="s">
        <v>26</v>
      </c>
      <c r="O1697" t="s">
        <v>27</v>
      </c>
      <c r="P1697" t="s">
        <v>42</v>
      </c>
    </row>
    <row r="1698" spans="1:16" x14ac:dyDescent="0.25">
      <c r="A1698" t="s">
        <v>2808</v>
      </c>
      <c r="B1698" t="s">
        <v>2809</v>
      </c>
      <c r="C1698" t="s">
        <v>37</v>
      </c>
      <c r="D1698" t="s">
        <v>20</v>
      </c>
      <c r="E1698" t="s">
        <v>21</v>
      </c>
      <c r="F1698" t="s">
        <v>22</v>
      </c>
      <c r="G1698" t="s">
        <v>62</v>
      </c>
      <c r="H1698" t="s">
        <v>86</v>
      </c>
      <c r="I1698">
        <v>1</v>
      </c>
      <c r="J1698">
        <v>323328</v>
      </c>
      <c r="K1698">
        <v>7</v>
      </c>
      <c r="L1698">
        <v>300695.03999999998</v>
      </c>
      <c r="M1698" t="s">
        <v>25</v>
      </c>
      <c r="N1698" t="s">
        <v>26</v>
      </c>
      <c r="O1698" t="s">
        <v>27</v>
      </c>
      <c r="P1698" t="s">
        <v>42</v>
      </c>
    </row>
    <row r="1699" spans="1:16" x14ac:dyDescent="0.25">
      <c r="A1699" t="s">
        <v>2810</v>
      </c>
      <c r="B1699" t="s">
        <v>1784</v>
      </c>
      <c r="C1699" t="s">
        <v>37</v>
      </c>
      <c r="D1699" t="s">
        <v>20</v>
      </c>
      <c r="E1699" t="s">
        <v>21</v>
      </c>
      <c r="F1699" t="s">
        <v>22</v>
      </c>
      <c r="G1699" t="s">
        <v>23</v>
      </c>
      <c r="H1699" t="s">
        <v>24</v>
      </c>
      <c r="I1699">
        <v>6</v>
      </c>
      <c r="J1699">
        <v>98229</v>
      </c>
      <c r="K1699">
        <v>0</v>
      </c>
      <c r="L1699">
        <v>589374</v>
      </c>
      <c r="M1699" t="s">
        <v>25</v>
      </c>
      <c r="N1699" t="s">
        <v>26</v>
      </c>
      <c r="O1699" t="s">
        <v>44</v>
      </c>
      <c r="P1699" t="s">
        <v>42</v>
      </c>
    </row>
    <row r="1700" spans="1:16" x14ac:dyDescent="0.25">
      <c r="A1700" t="s">
        <v>2811</v>
      </c>
      <c r="B1700" t="s">
        <v>2173</v>
      </c>
      <c r="C1700" t="s">
        <v>61</v>
      </c>
      <c r="D1700" t="s">
        <v>47</v>
      </c>
      <c r="E1700" t="s">
        <v>48</v>
      </c>
      <c r="F1700" t="s">
        <v>22</v>
      </c>
      <c r="G1700" t="s">
        <v>41</v>
      </c>
      <c r="H1700" t="s">
        <v>53</v>
      </c>
      <c r="I1700">
        <v>1</v>
      </c>
      <c r="J1700">
        <v>156614</v>
      </c>
      <c r="K1700">
        <v>7</v>
      </c>
      <c r="L1700">
        <v>145651.01999999999</v>
      </c>
      <c r="M1700" t="s">
        <v>42</v>
      </c>
      <c r="N1700" t="s">
        <v>43</v>
      </c>
      <c r="O1700" t="s">
        <v>27</v>
      </c>
      <c r="P1700" t="s">
        <v>55</v>
      </c>
    </row>
    <row r="1701" spans="1:16" x14ac:dyDescent="0.25">
      <c r="A1701" t="s">
        <v>2812</v>
      </c>
      <c r="B1701" t="s">
        <v>1885</v>
      </c>
      <c r="C1701" t="s">
        <v>85</v>
      </c>
      <c r="D1701" t="s">
        <v>129</v>
      </c>
      <c r="E1701" t="s">
        <v>39</v>
      </c>
      <c r="F1701" t="s">
        <v>40</v>
      </c>
      <c r="G1701" t="s">
        <v>124</v>
      </c>
      <c r="H1701" t="s">
        <v>58</v>
      </c>
      <c r="I1701">
        <v>5</v>
      </c>
      <c r="J1701">
        <v>425940</v>
      </c>
      <c r="K1701">
        <v>12</v>
      </c>
      <c r="L1701">
        <v>1874136</v>
      </c>
      <c r="M1701" t="s">
        <v>42</v>
      </c>
      <c r="N1701" t="s">
        <v>26</v>
      </c>
      <c r="O1701" t="s">
        <v>44</v>
      </c>
      <c r="P1701" t="s">
        <v>42</v>
      </c>
    </row>
    <row r="1702" spans="1:16" x14ac:dyDescent="0.25">
      <c r="A1702" t="s">
        <v>2813</v>
      </c>
      <c r="B1702" t="s">
        <v>983</v>
      </c>
      <c r="C1702" t="s">
        <v>37</v>
      </c>
      <c r="D1702" t="s">
        <v>51</v>
      </c>
      <c r="E1702" t="s">
        <v>72</v>
      </c>
      <c r="F1702" t="s">
        <v>22</v>
      </c>
      <c r="G1702" t="s">
        <v>62</v>
      </c>
      <c r="H1702" t="s">
        <v>34</v>
      </c>
      <c r="I1702">
        <v>2</v>
      </c>
      <c r="J1702">
        <v>494895</v>
      </c>
      <c r="K1702">
        <v>0</v>
      </c>
      <c r="L1702">
        <v>989790</v>
      </c>
      <c r="M1702" t="s">
        <v>42</v>
      </c>
      <c r="N1702" t="s">
        <v>43</v>
      </c>
      <c r="O1702" t="s">
        <v>27</v>
      </c>
      <c r="P1702" t="s">
        <v>55</v>
      </c>
    </row>
    <row r="1703" spans="1:16" x14ac:dyDescent="0.25">
      <c r="A1703" t="s">
        <v>2814</v>
      </c>
      <c r="B1703" t="s">
        <v>1549</v>
      </c>
      <c r="C1703" t="s">
        <v>76</v>
      </c>
      <c r="D1703" t="s">
        <v>47</v>
      </c>
      <c r="E1703" t="s">
        <v>48</v>
      </c>
      <c r="F1703" t="s">
        <v>22</v>
      </c>
      <c r="G1703" t="s">
        <v>62</v>
      </c>
      <c r="H1703" t="s">
        <v>24</v>
      </c>
      <c r="I1703">
        <v>3</v>
      </c>
      <c r="J1703">
        <v>740363</v>
      </c>
      <c r="K1703">
        <v>2</v>
      </c>
      <c r="L1703">
        <v>2176667.2200000002</v>
      </c>
      <c r="M1703" t="s">
        <v>25</v>
      </c>
      <c r="N1703" t="s">
        <v>69</v>
      </c>
      <c r="O1703" t="s">
        <v>27</v>
      </c>
      <c r="P1703" t="s">
        <v>26</v>
      </c>
    </row>
    <row r="1704" spans="1:16" x14ac:dyDescent="0.25">
      <c r="A1704" t="s">
        <v>2815</v>
      </c>
      <c r="B1704" t="s">
        <v>1569</v>
      </c>
      <c r="C1704" t="s">
        <v>65</v>
      </c>
      <c r="D1704" t="s">
        <v>38</v>
      </c>
      <c r="E1704" t="s">
        <v>39</v>
      </c>
      <c r="F1704" t="s">
        <v>40</v>
      </c>
      <c r="G1704" t="s">
        <v>52</v>
      </c>
      <c r="H1704" t="s">
        <v>58</v>
      </c>
      <c r="I1704">
        <v>7</v>
      </c>
      <c r="J1704">
        <v>601256</v>
      </c>
      <c r="K1704">
        <v>7</v>
      </c>
      <c r="L1704">
        <v>3914176.56</v>
      </c>
      <c r="M1704" t="s">
        <v>42</v>
      </c>
      <c r="N1704" t="s">
        <v>43</v>
      </c>
      <c r="O1704" t="s">
        <v>27</v>
      </c>
      <c r="P1704" t="s">
        <v>26</v>
      </c>
    </row>
    <row r="1705" spans="1:16" x14ac:dyDescent="0.25">
      <c r="A1705" t="s">
        <v>2816</v>
      </c>
      <c r="B1705" t="s">
        <v>1680</v>
      </c>
      <c r="C1705" t="s">
        <v>19</v>
      </c>
      <c r="D1705" t="s">
        <v>47</v>
      </c>
      <c r="E1705" t="s">
        <v>48</v>
      </c>
      <c r="F1705" t="s">
        <v>22</v>
      </c>
      <c r="G1705" t="s">
        <v>73</v>
      </c>
      <c r="H1705" t="s">
        <v>34</v>
      </c>
      <c r="I1705">
        <v>6</v>
      </c>
      <c r="J1705">
        <v>254071</v>
      </c>
      <c r="K1705">
        <v>5</v>
      </c>
      <c r="L1705">
        <v>1448204.7</v>
      </c>
      <c r="M1705" t="s">
        <v>54</v>
      </c>
      <c r="N1705" t="s">
        <v>69</v>
      </c>
      <c r="O1705" t="s">
        <v>44</v>
      </c>
      <c r="P1705" t="s">
        <v>55</v>
      </c>
    </row>
    <row r="1706" spans="1:16" x14ac:dyDescent="0.25">
      <c r="A1706" t="s">
        <v>2817</v>
      </c>
      <c r="B1706" t="s">
        <v>380</v>
      </c>
      <c r="C1706" t="s">
        <v>85</v>
      </c>
      <c r="D1706" t="s">
        <v>119</v>
      </c>
      <c r="E1706" t="s">
        <v>21</v>
      </c>
      <c r="F1706" t="s">
        <v>22</v>
      </c>
      <c r="G1706" t="s">
        <v>62</v>
      </c>
      <c r="H1706" t="s">
        <v>53</v>
      </c>
      <c r="I1706">
        <v>8</v>
      </c>
      <c r="J1706">
        <v>60250</v>
      </c>
      <c r="K1706">
        <v>5</v>
      </c>
      <c r="L1706">
        <v>457900</v>
      </c>
      <c r="M1706" t="s">
        <v>25</v>
      </c>
      <c r="N1706" t="s">
        <v>69</v>
      </c>
      <c r="O1706" t="s">
        <v>27</v>
      </c>
      <c r="P1706" t="s">
        <v>55</v>
      </c>
    </row>
    <row r="1707" spans="1:16" x14ac:dyDescent="0.25">
      <c r="A1707" t="s">
        <v>2818</v>
      </c>
      <c r="B1707" t="s">
        <v>933</v>
      </c>
      <c r="C1707" t="s">
        <v>19</v>
      </c>
      <c r="D1707" t="s">
        <v>38</v>
      </c>
      <c r="E1707" t="s">
        <v>39</v>
      </c>
      <c r="F1707" t="s">
        <v>40</v>
      </c>
      <c r="G1707" t="s">
        <v>124</v>
      </c>
      <c r="H1707" t="s">
        <v>24</v>
      </c>
      <c r="I1707">
        <v>2</v>
      </c>
      <c r="J1707">
        <v>275877</v>
      </c>
      <c r="K1707">
        <v>12</v>
      </c>
      <c r="L1707">
        <v>485543.52</v>
      </c>
      <c r="M1707" t="s">
        <v>54</v>
      </c>
      <c r="N1707" t="s">
        <v>26</v>
      </c>
      <c r="O1707" t="s">
        <v>44</v>
      </c>
      <c r="P1707" t="s">
        <v>26</v>
      </c>
    </row>
    <row r="1708" spans="1:16" x14ac:dyDescent="0.25">
      <c r="A1708" t="s">
        <v>2819</v>
      </c>
      <c r="B1708" t="s">
        <v>833</v>
      </c>
      <c r="C1708" t="s">
        <v>85</v>
      </c>
      <c r="D1708" t="s">
        <v>66</v>
      </c>
      <c r="E1708" t="s">
        <v>67</v>
      </c>
      <c r="F1708" t="s">
        <v>68</v>
      </c>
      <c r="G1708" t="s">
        <v>73</v>
      </c>
      <c r="H1708" t="s">
        <v>58</v>
      </c>
      <c r="I1708">
        <v>7</v>
      </c>
      <c r="J1708">
        <v>210074</v>
      </c>
      <c r="K1708">
        <v>7</v>
      </c>
      <c r="L1708">
        <v>1367581.74</v>
      </c>
      <c r="M1708" t="s">
        <v>54</v>
      </c>
      <c r="N1708" t="s">
        <v>26</v>
      </c>
      <c r="O1708" t="s">
        <v>27</v>
      </c>
      <c r="P1708" t="s">
        <v>42</v>
      </c>
    </row>
    <row r="1709" spans="1:16" x14ac:dyDescent="0.25">
      <c r="A1709" t="s">
        <v>2820</v>
      </c>
      <c r="B1709" t="s">
        <v>1653</v>
      </c>
      <c r="C1709" t="s">
        <v>85</v>
      </c>
      <c r="D1709" t="s">
        <v>20</v>
      </c>
      <c r="E1709" t="s">
        <v>21</v>
      </c>
      <c r="F1709" t="s">
        <v>22</v>
      </c>
      <c r="G1709" t="s">
        <v>135</v>
      </c>
      <c r="H1709" t="s">
        <v>34</v>
      </c>
      <c r="I1709">
        <v>3</v>
      </c>
      <c r="J1709">
        <v>669138</v>
      </c>
      <c r="K1709">
        <v>5</v>
      </c>
      <c r="L1709">
        <v>1907043.3</v>
      </c>
      <c r="M1709" t="s">
        <v>54</v>
      </c>
      <c r="N1709" t="s">
        <v>69</v>
      </c>
      <c r="O1709" t="s">
        <v>44</v>
      </c>
      <c r="P1709" t="s">
        <v>55</v>
      </c>
    </row>
    <row r="1710" spans="1:16" x14ac:dyDescent="0.25">
      <c r="A1710" t="s">
        <v>2821</v>
      </c>
      <c r="B1710" t="s">
        <v>1892</v>
      </c>
      <c r="C1710" t="s">
        <v>37</v>
      </c>
      <c r="D1710" t="s">
        <v>47</v>
      </c>
      <c r="E1710" t="s">
        <v>48</v>
      </c>
      <c r="F1710" t="s">
        <v>22</v>
      </c>
      <c r="G1710" t="s">
        <v>41</v>
      </c>
      <c r="H1710" t="s">
        <v>58</v>
      </c>
      <c r="I1710">
        <v>6</v>
      </c>
      <c r="J1710">
        <v>260244</v>
      </c>
      <c r="K1710">
        <v>5</v>
      </c>
      <c r="L1710">
        <v>1495735.8</v>
      </c>
      <c r="M1710" t="s">
        <v>25</v>
      </c>
      <c r="N1710" t="s">
        <v>43</v>
      </c>
      <c r="O1710" t="s">
        <v>44</v>
      </c>
      <c r="P1710" t="s">
        <v>42</v>
      </c>
    </row>
    <row r="1711" spans="1:16" x14ac:dyDescent="0.25">
      <c r="A1711" t="s">
        <v>2822</v>
      </c>
      <c r="B1711" t="s">
        <v>1246</v>
      </c>
      <c r="C1711" t="s">
        <v>37</v>
      </c>
      <c r="D1711" t="s">
        <v>30</v>
      </c>
      <c r="E1711" t="s">
        <v>31</v>
      </c>
      <c r="F1711" t="s">
        <v>32</v>
      </c>
      <c r="G1711" t="s">
        <v>52</v>
      </c>
      <c r="H1711" t="s">
        <v>24</v>
      </c>
      <c r="I1711">
        <v>2</v>
      </c>
      <c r="J1711">
        <v>798431</v>
      </c>
      <c r="K1711">
        <v>10</v>
      </c>
      <c r="L1711">
        <v>1437175.8</v>
      </c>
      <c r="M1711" t="s">
        <v>54</v>
      </c>
      <c r="N1711" t="s">
        <v>69</v>
      </c>
      <c r="O1711" t="s">
        <v>44</v>
      </c>
      <c r="P1711" t="s">
        <v>55</v>
      </c>
    </row>
    <row r="1712" spans="1:16" x14ac:dyDescent="0.25">
      <c r="A1712" t="s">
        <v>2823</v>
      </c>
      <c r="B1712" t="s">
        <v>1604</v>
      </c>
      <c r="C1712" t="s">
        <v>19</v>
      </c>
      <c r="D1712" t="s">
        <v>20</v>
      </c>
      <c r="E1712" t="s">
        <v>21</v>
      </c>
      <c r="F1712" t="s">
        <v>22</v>
      </c>
      <c r="G1712" t="s">
        <v>52</v>
      </c>
      <c r="H1712" t="s">
        <v>53</v>
      </c>
      <c r="I1712">
        <v>6</v>
      </c>
      <c r="J1712">
        <v>357614</v>
      </c>
      <c r="K1712">
        <v>7</v>
      </c>
      <c r="L1712">
        <v>1995486.12</v>
      </c>
      <c r="M1712" t="s">
        <v>25</v>
      </c>
      <c r="N1712" t="s">
        <v>26</v>
      </c>
      <c r="O1712" t="s">
        <v>44</v>
      </c>
      <c r="P1712" t="s">
        <v>55</v>
      </c>
    </row>
    <row r="1713" spans="1:16" x14ac:dyDescent="0.25">
      <c r="A1713" t="s">
        <v>2824</v>
      </c>
      <c r="B1713" t="s">
        <v>1841</v>
      </c>
      <c r="C1713" t="s">
        <v>65</v>
      </c>
      <c r="D1713" t="s">
        <v>38</v>
      </c>
      <c r="E1713" t="s">
        <v>39</v>
      </c>
      <c r="F1713" t="s">
        <v>40</v>
      </c>
      <c r="G1713" t="s">
        <v>33</v>
      </c>
      <c r="H1713" t="s">
        <v>86</v>
      </c>
      <c r="I1713">
        <v>4</v>
      </c>
      <c r="J1713">
        <v>866190</v>
      </c>
      <c r="K1713">
        <v>10</v>
      </c>
      <c r="L1713">
        <v>3118284</v>
      </c>
      <c r="M1713" t="s">
        <v>25</v>
      </c>
      <c r="N1713" t="s">
        <v>26</v>
      </c>
      <c r="O1713" t="s">
        <v>27</v>
      </c>
      <c r="P1713" t="s">
        <v>26</v>
      </c>
    </row>
    <row r="1714" spans="1:16" x14ac:dyDescent="0.25">
      <c r="A1714" t="s">
        <v>2825</v>
      </c>
      <c r="B1714" t="s">
        <v>1271</v>
      </c>
      <c r="C1714" t="s">
        <v>37</v>
      </c>
      <c r="D1714" t="s">
        <v>38</v>
      </c>
      <c r="E1714" t="s">
        <v>39</v>
      </c>
      <c r="F1714" t="s">
        <v>40</v>
      </c>
      <c r="G1714" t="s">
        <v>73</v>
      </c>
      <c r="H1714" t="s">
        <v>53</v>
      </c>
      <c r="I1714">
        <v>5</v>
      </c>
      <c r="J1714">
        <v>285213</v>
      </c>
      <c r="K1714">
        <v>2</v>
      </c>
      <c r="L1714">
        <v>1397543.7</v>
      </c>
      <c r="M1714" t="s">
        <v>54</v>
      </c>
      <c r="N1714" t="s">
        <v>43</v>
      </c>
      <c r="O1714" t="s">
        <v>27</v>
      </c>
      <c r="P1714" t="s">
        <v>42</v>
      </c>
    </row>
    <row r="1715" spans="1:16" x14ac:dyDescent="0.25">
      <c r="A1715" t="s">
        <v>2826</v>
      </c>
      <c r="B1715" t="s">
        <v>1910</v>
      </c>
      <c r="C1715" t="s">
        <v>85</v>
      </c>
      <c r="D1715" t="s">
        <v>106</v>
      </c>
      <c r="E1715" t="s">
        <v>31</v>
      </c>
      <c r="F1715" t="s">
        <v>32</v>
      </c>
      <c r="G1715" t="s">
        <v>41</v>
      </c>
      <c r="H1715" t="s">
        <v>34</v>
      </c>
      <c r="I1715">
        <v>2</v>
      </c>
      <c r="J1715">
        <v>472480</v>
      </c>
      <c r="K1715">
        <v>12</v>
      </c>
      <c r="L1715">
        <v>831564.80000000005</v>
      </c>
      <c r="M1715" t="s">
        <v>25</v>
      </c>
      <c r="N1715" t="s">
        <v>69</v>
      </c>
      <c r="O1715" t="s">
        <v>44</v>
      </c>
      <c r="P1715" t="s">
        <v>55</v>
      </c>
    </row>
    <row r="1716" spans="1:16" x14ac:dyDescent="0.25">
      <c r="A1716" t="s">
        <v>2827</v>
      </c>
      <c r="B1716" t="s">
        <v>2552</v>
      </c>
      <c r="C1716" t="s">
        <v>37</v>
      </c>
      <c r="D1716" t="s">
        <v>38</v>
      </c>
      <c r="E1716" t="s">
        <v>39</v>
      </c>
      <c r="F1716" t="s">
        <v>40</v>
      </c>
      <c r="G1716" t="s">
        <v>62</v>
      </c>
      <c r="H1716" t="s">
        <v>58</v>
      </c>
      <c r="I1716">
        <v>1</v>
      </c>
      <c r="J1716">
        <v>838577</v>
      </c>
      <c r="K1716">
        <v>12</v>
      </c>
      <c r="L1716">
        <v>737947.76</v>
      </c>
      <c r="M1716" t="s">
        <v>54</v>
      </c>
      <c r="N1716" t="s">
        <v>69</v>
      </c>
      <c r="O1716" t="s">
        <v>44</v>
      </c>
      <c r="P1716" t="s">
        <v>26</v>
      </c>
    </row>
    <row r="1717" spans="1:16" x14ac:dyDescent="0.25">
      <c r="A1717" t="s">
        <v>1684</v>
      </c>
      <c r="B1717" t="s">
        <v>2218</v>
      </c>
      <c r="C1717" t="s">
        <v>85</v>
      </c>
      <c r="D1717" t="s">
        <v>66</v>
      </c>
      <c r="E1717" t="s">
        <v>67</v>
      </c>
      <c r="F1717" t="s">
        <v>68</v>
      </c>
      <c r="G1717" t="s">
        <v>73</v>
      </c>
      <c r="H1717" t="s">
        <v>58</v>
      </c>
      <c r="I1717">
        <v>4</v>
      </c>
      <c r="J1717">
        <v>594907</v>
      </c>
      <c r="K1717">
        <v>0</v>
      </c>
      <c r="L1717">
        <v>2379628</v>
      </c>
      <c r="M1717" t="s">
        <v>25</v>
      </c>
      <c r="N1717" t="s">
        <v>69</v>
      </c>
      <c r="O1717" t="s">
        <v>27</v>
      </c>
      <c r="P1717" t="s">
        <v>55</v>
      </c>
    </row>
    <row r="1718" spans="1:16" x14ac:dyDescent="0.25">
      <c r="A1718" t="s">
        <v>2828</v>
      </c>
      <c r="B1718" t="s">
        <v>2700</v>
      </c>
      <c r="C1718" t="s">
        <v>65</v>
      </c>
      <c r="D1718" t="s">
        <v>47</v>
      </c>
      <c r="E1718" t="s">
        <v>48</v>
      </c>
      <c r="F1718" t="s">
        <v>22</v>
      </c>
      <c r="G1718" t="s">
        <v>33</v>
      </c>
      <c r="H1718" t="s">
        <v>34</v>
      </c>
      <c r="I1718">
        <v>2</v>
      </c>
      <c r="J1718">
        <v>534279</v>
      </c>
      <c r="K1718">
        <v>5</v>
      </c>
      <c r="L1718">
        <v>1015130.1</v>
      </c>
      <c r="M1718" t="s">
        <v>54</v>
      </c>
      <c r="N1718" t="s">
        <v>69</v>
      </c>
      <c r="O1718" t="s">
        <v>44</v>
      </c>
      <c r="P1718" t="s">
        <v>26</v>
      </c>
    </row>
    <row r="1719" spans="1:16" x14ac:dyDescent="0.25">
      <c r="A1719" t="s">
        <v>2829</v>
      </c>
      <c r="B1719" t="s">
        <v>2585</v>
      </c>
      <c r="C1719" t="s">
        <v>37</v>
      </c>
      <c r="D1719" t="s">
        <v>66</v>
      </c>
      <c r="E1719" t="s">
        <v>67</v>
      </c>
      <c r="F1719" t="s">
        <v>68</v>
      </c>
      <c r="G1719" t="s">
        <v>41</v>
      </c>
      <c r="H1719" t="s">
        <v>34</v>
      </c>
      <c r="I1719">
        <v>1</v>
      </c>
      <c r="J1719">
        <v>630916</v>
      </c>
      <c r="K1719">
        <v>12</v>
      </c>
      <c r="L1719">
        <v>555206.07999999996</v>
      </c>
      <c r="M1719" t="s">
        <v>25</v>
      </c>
      <c r="N1719" t="s">
        <v>69</v>
      </c>
      <c r="O1719" t="s">
        <v>27</v>
      </c>
      <c r="P1719" t="s">
        <v>42</v>
      </c>
    </row>
    <row r="1720" spans="1:16" x14ac:dyDescent="0.25">
      <c r="A1720" t="s">
        <v>2830</v>
      </c>
      <c r="B1720" t="s">
        <v>2831</v>
      </c>
      <c r="C1720" t="s">
        <v>65</v>
      </c>
      <c r="D1720" t="s">
        <v>20</v>
      </c>
      <c r="E1720" t="s">
        <v>21</v>
      </c>
      <c r="F1720" t="s">
        <v>22</v>
      </c>
      <c r="G1720" t="s">
        <v>52</v>
      </c>
      <c r="H1720" t="s">
        <v>86</v>
      </c>
      <c r="I1720">
        <v>8</v>
      </c>
      <c r="J1720">
        <v>857343</v>
      </c>
      <c r="K1720">
        <v>2</v>
      </c>
      <c r="L1720">
        <v>6721569.1200000001</v>
      </c>
      <c r="M1720" t="s">
        <v>54</v>
      </c>
      <c r="N1720" t="s">
        <v>69</v>
      </c>
      <c r="O1720" t="s">
        <v>44</v>
      </c>
      <c r="P1720" t="s">
        <v>55</v>
      </c>
    </row>
    <row r="1721" spans="1:16" x14ac:dyDescent="0.25">
      <c r="A1721" t="s">
        <v>2832</v>
      </c>
      <c r="B1721" t="s">
        <v>621</v>
      </c>
      <c r="C1721" t="s">
        <v>37</v>
      </c>
      <c r="D1721" t="s">
        <v>20</v>
      </c>
      <c r="E1721" t="s">
        <v>21</v>
      </c>
      <c r="F1721" t="s">
        <v>22</v>
      </c>
      <c r="G1721" t="s">
        <v>62</v>
      </c>
      <c r="H1721" t="s">
        <v>34</v>
      </c>
      <c r="I1721">
        <v>5</v>
      </c>
      <c r="J1721">
        <v>419260</v>
      </c>
      <c r="K1721">
        <v>0</v>
      </c>
      <c r="L1721">
        <v>2096300</v>
      </c>
      <c r="M1721" t="s">
        <v>42</v>
      </c>
      <c r="N1721" t="s">
        <v>43</v>
      </c>
      <c r="O1721" t="s">
        <v>44</v>
      </c>
      <c r="P1721" t="s">
        <v>42</v>
      </c>
    </row>
    <row r="1722" spans="1:16" x14ac:dyDescent="0.25">
      <c r="A1722" t="s">
        <v>2833</v>
      </c>
      <c r="B1722" t="s">
        <v>2834</v>
      </c>
      <c r="C1722" t="s">
        <v>76</v>
      </c>
      <c r="D1722" t="s">
        <v>20</v>
      </c>
      <c r="E1722" t="s">
        <v>21</v>
      </c>
      <c r="F1722" t="s">
        <v>22</v>
      </c>
      <c r="G1722" t="s">
        <v>41</v>
      </c>
      <c r="H1722" t="s">
        <v>86</v>
      </c>
      <c r="I1722">
        <v>2</v>
      </c>
      <c r="J1722">
        <v>725607</v>
      </c>
      <c r="K1722">
        <v>12</v>
      </c>
      <c r="L1722">
        <v>1277068.32</v>
      </c>
      <c r="M1722" t="s">
        <v>54</v>
      </c>
      <c r="N1722" t="s">
        <v>69</v>
      </c>
      <c r="O1722" t="s">
        <v>27</v>
      </c>
      <c r="P1722" t="s">
        <v>26</v>
      </c>
    </row>
    <row r="1723" spans="1:16" x14ac:dyDescent="0.25">
      <c r="A1723" t="s">
        <v>2835</v>
      </c>
      <c r="B1723" t="s">
        <v>2836</v>
      </c>
      <c r="C1723" t="s">
        <v>99</v>
      </c>
      <c r="D1723" t="s">
        <v>38</v>
      </c>
      <c r="E1723" t="s">
        <v>39</v>
      </c>
      <c r="F1723" t="s">
        <v>40</v>
      </c>
      <c r="G1723" t="s">
        <v>52</v>
      </c>
      <c r="H1723" t="s">
        <v>24</v>
      </c>
      <c r="I1723">
        <v>6</v>
      </c>
      <c r="J1723">
        <v>340158</v>
      </c>
      <c r="K1723">
        <v>5</v>
      </c>
      <c r="L1723">
        <v>1938900.6</v>
      </c>
      <c r="M1723" t="s">
        <v>25</v>
      </c>
      <c r="N1723" t="s">
        <v>69</v>
      </c>
      <c r="O1723" t="s">
        <v>44</v>
      </c>
      <c r="P1723" t="s">
        <v>42</v>
      </c>
    </row>
    <row r="1724" spans="1:16" x14ac:dyDescent="0.25">
      <c r="A1724" t="s">
        <v>2837</v>
      </c>
      <c r="B1724" t="s">
        <v>2838</v>
      </c>
      <c r="C1724" t="s">
        <v>99</v>
      </c>
      <c r="D1724" t="s">
        <v>47</v>
      </c>
      <c r="E1724" t="s">
        <v>48</v>
      </c>
      <c r="F1724" t="s">
        <v>22</v>
      </c>
      <c r="G1724" t="s">
        <v>33</v>
      </c>
      <c r="H1724" t="s">
        <v>24</v>
      </c>
      <c r="I1724">
        <v>8</v>
      </c>
      <c r="J1724">
        <v>199827</v>
      </c>
      <c r="K1724">
        <v>2</v>
      </c>
      <c r="L1724">
        <v>1566643.68</v>
      </c>
      <c r="M1724" t="s">
        <v>25</v>
      </c>
      <c r="N1724" t="s">
        <v>43</v>
      </c>
      <c r="O1724" t="s">
        <v>27</v>
      </c>
      <c r="P1724" t="s">
        <v>26</v>
      </c>
    </row>
    <row r="1725" spans="1:16" x14ac:dyDescent="0.25">
      <c r="A1725" t="s">
        <v>2839</v>
      </c>
      <c r="B1725" t="s">
        <v>1332</v>
      </c>
      <c r="C1725" t="s">
        <v>85</v>
      </c>
      <c r="D1725" t="s">
        <v>47</v>
      </c>
      <c r="E1725" t="s">
        <v>48</v>
      </c>
      <c r="F1725" t="s">
        <v>22</v>
      </c>
      <c r="G1725" t="s">
        <v>33</v>
      </c>
      <c r="H1725" t="s">
        <v>58</v>
      </c>
      <c r="I1725">
        <v>2</v>
      </c>
      <c r="J1725">
        <v>784151</v>
      </c>
      <c r="K1725">
        <v>12</v>
      </c>
      <c r="L1725">
        <v>1380105.76</v>
      </c>
      <c r="M1725" t="s">
        <v>25</v>
      </c>
      <c r="N1725" t="s">
        <v>26</v>
      </c>
      <c r="O1725" t="s">
        <v>44</v>
      </c>
      <c r="P1725" t="s">
        <v>42</v>
      </c>
    </row>
    <row r="1726" spans="1:16" x14ac:dyDescent="0.25">
      <c r="A1726" t="s">
        <v>2840</v>
      </c>
      <c r="B1726" t="s">
        <v>260</v>
      </c>
      <c r="C1726" t="s">
        <v>37</v>
      </c>
      <c r="D1726" t="s">
        <v>30</v>
      </c>
      <c r="E1726" t="s">
        <v>31</v>
      </c>
      <c r="F1726" t="s">
        <v>32</v>
      </c>
      <c r="G1726" t="s">
        <v>52</v>
      </c>
      <c r="H1726" t="s">
        <v>34</v>
      </c>
      <c r="I1726">
        <v>6</v>
      </c>
      <c r="J1726">
        <v>506373</v>
      </c>
      <c r="K1726">
        <v>5</v>
      </c>
      <c r="L1726">
        <v>2886326.1</v>
      </c>
      <c r="M1726" t="s">
        <v>25</v>
      </c>
      <c r="N1726" t="s">
        <v>69</v>
      </c>
      <c r="O1726" t="s">
        <v>44</v>
      </c>
      <c r="P1726" t="s">
        <v>42</v>
      </c>
    </row>
    <row r="1727" spans="1:16" x14ac:dyDescent="0.25">
      <c r="A1727" t="s">
        <v>2841</v>
      </c>
      <c r="B1727" t="s">
        <v>2842</v>
      </c>
      <c r="C1727" t="s">
        <v>19</v>
      </c>
      <c r="D1727" t="s">
        <v>20</v>
      </c>
      <c r="E1727" t="s">
        <v>21</v>
      </c>
      <c r="F1727" t="s">
        <v>22</v>
      </c>
      <c r="G1727" t="s">
        <v>52</v>
      </c>
      <c r="H1727" t="s">
        <v>24</v>
      </c>
      <c r="I1727">
        <v>5</v>
      </c>
      <c r="J1727">
        <v>615522</v>
      </c>
      <c r="K1727">
        <v>7</v>
      </c>
      <c r="L1727">
        <v>2862177.3</v>
      </c>
      <c r="M1727" t="s">
        <v>25</v>
      </c>
      <c r="N1727" t="s">
        <v>26</v>
      </c>
      <c r="O1727" t="s">
        <v>44</v>
      </c>
      <c r="P1727" t="s">
        <v>42</v>
      </c>
    </row>
    <row r="1728" spans="1:16" x14ac:dyDescent="0.25">
      <c r="A1728" t="s">
        <v>2843</v>
      </c>
      <c r="B1728" t="s">
        <v>349</v>
      </c>
      <c r="C1728" t="s">
        <v>19</v>
      </c>
      <c r="D1728" t="s">
        <v>47</v>
      </c>
      <c r="E1728" t="s">
        <v>48</v>
      </c>
      <c r="F1728" t="s">
        <v>22</v>
      </c>
      <c r="G1728" t="s">
        <v>52</v>
      </c>
      <c r="H1728" t="s">
        <v>53</v>
      </c>
      <c r="I1728">
        <v>2</v>
      </c>
      <c r="J1728">
        <v>570411</v>
      </c>
      <c r="K1728">
        <v>7</v>
      </c>
      <c r="L1728">
        <v>1060964.46</v>
      </c>
      <c r="M1728" t="s">
        <v>54</v>
      </c>
      <c r="N1728" t="s">
        <v>69</v>
      </c>
      <c r="O1728" t="s">
        <v>27</v>
      </c>
      <c r="P1728" t="s">
        <v>55</v>
      </c>
    </row>
    <row r="1729" spans="1:16" x14ac:dyDescent="0.25">
      <c r="A1729" t="s">
        <v>2844</v>
      </c>
      <c r="B1729" t="s">
        <v>2845</v>
      </c>
      <c r="C1729" t="s">
        <v>79</v>
      </c>
      <c r="D1729" t="s">
        <v>20</v>
      </c>
      <c r="E1729" t="s">
        <v>21</v>
      </c>
      <c r="F1729" t="s">
        <v>22</v>
      </c>
      <c r="G1729" t="s">
        <v>41</v>
      </c>
      <c r="H1729" t="s">
        <v>24</v>
      </c>
      <c r="I1729">
        <v>5</v>
      </c>
      <c r="J1729">
        <v>126001</v>
      </c>
      <c r="K1729">
        <v>2</v>
      </c>
      <c r="L1729">
        <v>617404.9</v>
      </c>
      <c r="M1729" t="s">
        <v>42</v>
      </c>
      <c r="N1729" t="s">
        <v>26</v>
      </c>
      <c r="O1729" t="s">
        <v>44</v>
      </c>
      <c r="P1729" t="s">
        <v>55</v>
      </c>
    </row>
    <row r="1730" spans="1:16" x14ac:dyDescent="0.25">
      <c r="A1730" t="s">
        <v>2846</v>
      </c>
      <c r="B1730" t="s">
        <v>549</v>
      </c>
      <c r="C1730" t="s">
        <v>198</v>
      </c>
      <c r="D1730" t="s">
        <v>38</v>
      </c>
      <c r="E1730" t="s">
        <v>39</v>
      </c>
      <c r="F1730" t="s">
        <v>40</v>
      </c>
      <c r="G1730" t="s">
        <v>73</v>
      </c>
      <c r="H1730" t="s">
        <v>53</v>
      </c>
      <c r="I1730">
        <v>8</v>
      </c>
      <c r="J1730">
        <v>272360</v>
      </c>
      <c r="K1730">
        <v>10</v>
      </c>
      <c r="L1730">
        <v>1960992</v>
      </c>
      <c r="M1730" t="s">
        <v>54</v>
      </c>
      <c r="N1730" t="s">
        <v>69</v>
      </c>
      <c r="O1730" t="s">
        <v>27</v>
      </c>
      <c r="P1730" t="s">
        <v>42</v>
      </c>
    </row>
    <row r="1731" spans="1:16" x14ac:dyDescent="0.25">
      <c r="A1731" t="s">
        <v>2847</v>
      </c>
      <c r="B1731" t="s">
        <v>319</v>
      </c>
      <c r="C1731" t="s">
        <v>65</v>
      </c>
      <c r="D1731" t="s">
        <v>30</v>
      </c>
      <c r="E1731" t="s">
        <v>31</v>
      </c>
      <c r="F1731" t="s">
        <v>32</v>
      </c>
      <c r="G1731" t="s">
        <v>62</v>
      </c>
      <c r="H1731" t="s">
        <v>34</v>
      </c>
      <c r="I1731">
        <v>3</v>
      </c>
      <c r="J1731">
        <v>599057</v>
      </c>
      <c r="K1731">
        <v>10</v>
      </c>
      <c r="L1731">
        <v>1617453.9</v>
      </c>
      <c r="M1731" t="s">
        <v>54</v>
      </c>
      <c r="N1731" t="s">
        <v>43</v>
      </c>
      <c r="O1731" t="s">
        <v>27</v>
      </c>
      <c r="P1731" t="s">
        <v>55</v>
      </c>
    </row>
    <row r="1732" spans="1:16" x14ac:dyDescent="0.25">
      <c r="A1732" t="s">
        <v>2848</v>
      </c>
      <c r="B1732" t="s">
        <v>1671</v>
      </c>
      <c r="C1732" t="s">
        <v>76</v>
      </c>
      <c r="D1732" t="s">
        <v>66</v>
      </c>
      <c r="E1732" t="s">
        <v>67</v>
      </c>
      <c r="F1732" t="s">
        <v>68</v>
      </c>
      <c r="G1732" t="s">
        <v>52</v>
      </c>
      <c r="H1732" t="s">
        <v>34</v>
      </c>
      <c r="I1732">
        <v>2</v>
      </c>
      <c r="J1732">
        <v>517417</v>
      </c>
      <c r="K1732">
        <v>10</v>
      </c>
      <c r="L1732">
        <v>931350.6</v>
      </c>
      <c r="M1732" t="s">
        <v>25</v>
      </c>
      <c r="N1732" t="s">
        <v>26</v>
      </c>
      <c r="O1732" t="s">
        <v>44</v>
      </c>
      <c r="P1732" t="s">
        <v>55</v>
      </c>
    </row>
    <row r="1733" spans="1:16" x14ac:dyDescent="0.25">
      <c r="A1733" t="s">
        <v>2849</v>
      </c>
      <c r="B1733" t="s">
        <v>1121</v>
      </c>
      <c r="C1733" t="s">
        <v>198</v>
      </c>
      <c r="D1733" t="s">
        <v>38</v>
      </c>
      <c r="E1733" t="s">
        <v>39</v>
      </c>
      <c r="F1733" t="s">
        <v>40</v>
      </c>
      <c r="G1733" t="s">
        <v>62</v>
      </c>
      <c r="H1733" t="s">
        <v>53</v>
      </c>
      <c r="I1733">
        <v>3</v>
      </c>
      <c r="J1733">
        <v>477334</v>
      </c>
      <c r="K1733">
        <v>12</v>
      </c>
      <c r="L1733">
        <v>1260161.76</v>
      </c>
      <c r="M1733" t="s">
        <v>42</v>
      </c>
      <c r="N1733" t="s">
        <v>69</v>
      </c>
      <c r="O1733" t="s">
        <v>44</v>
      </c>
      <c r="P1733" t="s">
        <v>55</v>
      </c>
    </row>
    <row r="1734" spans="1:16" x14ac:dyDescent="0.25">
      <c r="A1734" t="s">
        <v>2850</v>
      </c>
      <c r="B1734" t="s">
        <v>1402</v>
      </c>
      <c r="C1734" t="s">
        <v>19</v>
      </c>
      <c r="D1734" t="s">
        <v>30</v>
      </c>
      <c r="E1734" t="s">
        <v>31</v>
      </c>
      <c r="F1734" t="s">
        <v>32</v>
      </c>
      <c r="G1734" t="s">
        <v>73</v>
      </c>
      <c r="H1734" t="s">
        <v>86</v>
      </c>
      <c r="I1734">
        <v>2</v>
      </c>
      <c r="J1734">
        <v>555662</v>
      </c>
      <c r="K1734">
        <v>0</v>
      </c>
      <c r="L1734">
        <v>1111324</v>
      </c>
      <c r="M1734" t="s">
        <v>54</v>
      </c>
      <c r="N1734" t="s">
        <v>43</v>
      </c>
      <c r="O1734" t="s">
        <v>44</v>
      </c>
      <c r="P1734" t="s">
        <v>55</v>
      </c>
    </row>
    <row r="1735" spans="1:16" x14ac:dyDescent="0.25">
      <c r="A1735" t="s">
        <v>2851</v>
      </c>
      <c r="B1735" t="s">
        <v>2852</v>
      </c>
      <c r="C1735" t="s">
        <v>198</v>
      </c>
      <c r="D1735" t="s">
        <v>30</v>
      </c>
      <c r="E1735" t="s">
        <v>31</v>
      </c>
      <c r="F1735" t="s">
        <v>32</v>
      </c>
      <c r="G1735" t="s">
        <v>73</v>
      </c>
      <c r="H1735" t="s">
        <v>53</v>
      </c>
      <c r="I1735">
        <v>1</v>
      </c>
      <c r="J1735">
        <v>210999</v>
      </c>
      <c r="K1735">
        <v>2</v>
      </c>
      <c r="L1735">
        <v>206779.02</v>
      </c>
      <c r="M1735" t="s">
        <v>54</v>
      </c>
      <c r="N1735" t="s">
        <v>43</v>
      </c>
      <c r="O1735" t="s">
        <v>44</v>
      </c>
      <c r="P1735" t="s">
        <v>42</v>
      </c>
    </row>
    <row r="1736" spans="1:16" x14ac:dyDescent="0.25">
      <c r="A1736" t="s">
        <v>2853</v>
      </c>
      <c r="B1736" t="s">
        <v>2416</v>
      </c>
      <c r="C1736" t="s">
        <v>37</v>
      </c>
      <c r="D1736" t="s">
        <v>30</v>
      </c>
      <c r="E1736" t="s">
        <v>31</v>
      </c>
      <c r="F1736" t="s">
        <v>32</v>
      </c>
      <c r="G1736" t="s">
        <v>23</v>
      </c>
      <c r="H1736" t="s">
        <v>34</v>
      </c>
      <c r="I1736">
        <v>7</v>
      </c>
      <c r="J1736">
        <v>745331</v>
      </c>
      <c r="K1736">
        <v>5</v>
      </c>
      <c r="L1736">
        <v>4956451.1499999994</v>
      </c>
      <c r="M1736" t="s">
        <v>42</v>
      </c>
      <c r="N1736" t="s">
        <v>43</v>
      </c>
      <c r="O1736" t="s">
        <v>44</v>
      </c>
      <c r="P1736" t="s">
        <v>42</v>
      </c>
    </row>
    <row r="1737" spans="1:16" x14ac:dyDescent="0.25">
      <c r="A1737" t="s">
        <v>2854</v>
      </c>
      <c r="B1737" t="s">
        <v>2166</v>
      </c>
      <c r="C1737" t="s">
        <v>61</v>
      </c>
      <c r="D1737" t="s">
        <v>47</v>
      </c>
      <c r="E1737" t="s">
        <v>72</v>
      </c>
      <c r="F1737" t="s">
        <v>22</v>
      </c>
      <c r="G1737" t="s">
        <v>52</v>
      </c>
      <c r="H1737" t="s">
        <v>53</v>
      </c>
      <c r="I1737">
        <v>8</v>
      </c>
      <c r="J1737">
        <v>577882</v>
      </c>
      <c r="K1737">
        <v>2</v>
      </c>
      <c r="L1737">
        <v>4530594.88</v>
      </c>
      <c r="M1737" t="s">
        <v>42</v>
      </c>
      <c r="N1737" t="s">
        <v>43</v>
      </c>
      <c r="O1737" t="s">
        <v>44</v>
      </c>
      <c r="P1737" t="s">
        <v>42</v>
      </c>
    </row>
    <row r="1738" spans="1:16" x14ac:dyDescent="0.25">
      <c r="A1738" t="s">
        <v>2855</v>
      </c>
      <c r="B1738" t="s">
        <v>725</v>
      </c>
      <c r="C1738" t="s">
        <v>76</v>
      </c>
      <c r="D1738" t="s">
        <v>106</v>
      </c>
      <c r="E1738" t="s">
        <v>31</v>
      </c>
      <c r="F1738" t="s">
        <v>32</v>
      </c>
      <c r="G1738" t="s">
        <v>52</v>
      </c>
      <c r="H1738" t="s">
        <v>53</v>
      </c>
      <c r="I1738">
        <v>4</v>
      </c>
      <c r="J1738">
        <v>294659</v>
      </c>
      <c r="K1738">
        <v>2</v>
      </c>
      <c r="L1738">
        <v>1155063.28</v>
      </c>
      <c r="M1738" t="s">
        <v>42</v>
      </c>
      <c r="N1738" t="s">
        <v>69</v>
      </c>
      <c r="O1738" t="s">
        <v>27</v>
      </c>
      <c r="P1738" t="s">
        <v>26</v>
      </c>
    </row>
    <row r="1739" spans="1:16" x14ac:dyDescent="0.25">
      <c r="A1739" t="s">
        <v>2856</v>
      </c>
      <c r="B1739" t="s">
        <v>2396</v>
      </c>
      <c r="C1739" t="s">
        <v>65</v>
      </c>
      <c r="D1739" t="s">
        <v>38</v>
      </c>
      <c r="E1739" t="s">
        <v>39</v>
      </c>
      <c r="F1739" t="s">
        <v>40</v>
      </c>
      <c r="G1739" t="s">
        <v>41</v>
      </c>
      <c r="H1739" t="s">
        <v>86</v>
      </c>
      <c r="I1739">
        <v>4</v>
      </c>
      <c r="J1739">
        <v>677789</v>
      </c>
      <c r="K1739">
        <v>10</v>
      </c>
      <c r="L1739">
        <v>2440040.4</v>
      </c>
      <c r="M1739" t="s">
        <v>25</v>
      </c>
      <c r="N1739" t="s">
        <v>69</v>
      </c>
      <c r="O1739" t="s">
        <v>44</v>
      </c>
      <c r="P1739" t="s">
        <v>42</v>
      </c>
    </row>
    <row r="1740" spans="1:16" x14ac:dyDescent="0.25">
      <c r="A1740" t="s">
        <v>2857</v>
      </c>
      <c r="B1740" t="s">
        <v>860</v>
      </c>
      <c r="C1740" t="s">
        <v>85</v>
      </c>
      <c r="D1740" t="s">
        <v>20</v>
      </c>
      <c r="E1740" t="s">
        <v>21</v>
      </c>
      <c r="F1740" t="s">
        <v>22</v>
      </c>
      <c r="G1740" t="s">
        <v>124</v>
      </c>
      <c r="H1740" t="s">
        <v>34</v>
      </c>
      <c r="I1740">
        <v>2</v>
      </c>
      <c r="J1740">
        <v>374868</v>
      </c>
      <c r="M1740" t="s">
        <v>42</v>
      </c>
      <c r="N1740" t="s">
        <v>43</v>
      </c>
      <c r="O1740" t="s">
        <v>44</v>
      </c>
      <c r="P1740" t="s">
        <v>42</v>
      </c>
    </row>
    <row r="1741" spans="1:16" x14ac:dyDescent="0.25">
      <c r="A1741" t="s">
        <v>2858</v>
      </c>
      <c r="B1741" t="s">
        <v>2198</v>
      </c>
      <c r="C1741" t="s">
        <v>19</v>
      </c>
      <c r="D1741" t="s">
        <v>20</v>
      </c>
      <c r="E1741" t="s">
        <v>21</v>
      </c>
      <c r="F1741" t="s">
        <v>22</v>
      </c>
      <c r="G1741" t="s">
        <v>41</v>
      </c>
      <c r="H1741" t="s">
        <v>86</v>
      </c>
      <c r="I1741">
        <v>1</v>
      </c>
      <c r="J1741">
        <v>711651</v>
      </c>
      <c r="K1741">
        <v>2</v>
      </c>
      <c r="L1741">
        <v>697417.98</v>
      </c>
      <c r="M1741" t="s">
        <v>42</v>
      </c>
      <c r="N1741" t="s">
        <v>43</v>
      </c>
      <c r="O1741" t="s">
        <v>44</v>
      </c>
      <c r="P1741" t="s">
        <v>26</v>
      </c>
    </row>
    <row r="1742" spans="1:16" x14ac:dyDescent="0.25">
      <c r="A1742" t="s">
        <v>2859</v>
      </c>
      <c r="B1742" t="s">
        <v>2860</v>
      </c>
      <c r="C1742" t="s">
        <v>76</v>
      </c>
      <c r="D1742" t="s">
        <v>38</v>
      </c>
      <c r="E1742" t="s">
        <v>39</v>
      </c>
      <c r="F1742" t="s">
        <v>40</v>
      </c>
      <c r="G1742" t="s">
        <v>41</v>
      </c>
      <c r="H1742" t="s">
        <v>86</v>
      </c>
      <c r="I1742">
        <v>3</v>
      </c>
      <c r="J1742">
        <v>625302</v>
      </c>
      <c r="K1742">
        <v>10</v>
      </c>
      <c r="L1742">
        <v>1688315.4</v>
      </c>
      <c r="M1742" t="s">
        <v>54</v>
      </c>
      <c r="N1742" t="s">
        <v>43</v>
      </c>
      <c r="O1742" t="s">
        <v>44</v>
      </c>
      <c r="P1742" t="s">
        <v>26</v>
      </c>
    </row>
    <row r="1743" spans="1:16" x14ac:dyDescent="0.25">
      <c r="A1743" t="s">
        <v>2861</v>
      </c>
      <c r="B1743" t="s">
        <v>945</v>
      </c>
      <c r="C1743" t="s">
        <v>91</v>
      </c>
      <c r="D1743" t="s">
        <v>20</v>
      </c>
      <c r="E1743" t="s">
        <v>21</v>
      </c>
      <c r="F1743" t="s">
        <v>22</v>
      </c>
      <c r="G1743" t="s">
        <v>52</v>
      </c>
      <c r="H1743" t="s">
        <v>34</v>
      </c>
      <c r="I1743">
        <v>6</v>
      </c>
      <c r="J1743">
        <v>670590</v>
      </c>
      <c r="K1743">
        <v>10</v>
      </c>
      <c r="L1743">
        <v>3621186</v>
      </c>
      <c r="M1743" t="s">
        <v>42</v>
      </c>
      <c r="N1743" t="s">
        <v>26</v>
      </c>
      <c r="O1743" t="s">
        <v>44</v>
      </c>
      <c r="P1743" t="s">
        <v>55</v>
      </c>
    </row>
    <row r="1744" spans="1:16" x14ac:dyDescent="0.25">
      <c r="A1744" t="s">
        <v>2862</v>
      </c>
      <c r="B1744" t="s">
        <v>2863</v>
      </c>
      <c r="C1744" t="s">
        <v>79</v>
      </c>
      <c r="D1744" t="s">
        <v>20</v>
      </c>
      <c r="E1744" t="s">
        <v>21</v>
      </c>
      <c r="F1744" t="s">
        <v>22</v>
      </c>
      <c r="G1744" t="s">
        <v>89</v>
      </c>
      <c r="H1744" t="s">
        <v>24</v>
      </c>
      <c r="I1744">
        <v>1</v>
      </c>
      <c r="J1744">
        <v>464652</v>
      </c>
      <c r="K1744">
        <v>0</v>
      </c>
      <c r="L1744">
        <v>464652</v>
      </c>
      <c r="M1744" t="s">
        <v>42</v>
      </c>
      <c r="N1744" t="s">
        <v>26</v>
      </c>
      <c r="O1744" t="s">
        <v>44</v>
      </c>
      <c r="P1744" t="s">
        <v>55</v>
      </c>
    </row>
    <row r="1745" spans="1:16" x14ac:dyDescent="0.25">
      <c r="A1745" t="s">
        <v>2864</v>
      </c>
      <c r="B1745" t="s">
        <v>2865</v>
      </c>
      <c r="C1745" t="s">
        <v>19</v>
      </c>
      <c r="D1745" t="s">
        <v>20</v>
      </c>
      <c r="E1745" t="s">
        <v>21</v>
      </c>
      <c r="F1745" t="s">
        <v>22</v>
      </c>
      <c r="G1745" t="s">
        <v>52</v>
      </c>
      <c r="H1745" t="s">
        <v>24</v>
      </c>
      <c r="I1745">
        <v>1</v>
      </c>
      <c r="J1745">
        <v>457198</v>
      </c>
      <c r="K1745">
        <v>0</v>
      </c>
      <c r="L1745">
        <v>457198</v>
      </c>
      <c r="M1745" t="s">
        <v>25</v>
      </c>
      <c r="N1745" t="s">
        <v>26</v>
      </c>
      <c r="O1745" t="s">
        <v>44</v>
      </c>
      <c r="P1745" t="s">
        <v>55</v>
      </c>
    </row>
    <row r="1746" spans="1:16" x14ac:dyDescent="0.25">
      <c r="A1746" t="s">
        <v>2866</v>
      </c>
      <c r="B1746" t="s">
        <v>399</v>
      </c>
      <c r="C1746" t="s">
        <v>19</v>
      </c>
      <c r="D1746" t="s">
        <v>38</v>
      </c>
      <c r="E1746" t="s">
        <v>39</v>
      </c>
      <c r="F1746" t="s">
        <v>40</v>
      </c>
      <c r="G1746" t="s">
        <v>41</v>
      </c>
      <c r="H1746" t="s">
        <v>24</v>
      </c>
      <c r="I1746">
        <v>4</v>
      </c>
      <c r="J1746">
        <v>894718</v>
      </c>
      <c r="K1746">
        <v>5</v>
      </c>
      <c r="L1746">
        <v>3399928.4</v>
      </c>
      <c r="M1746" t="s">
        <v>25</v>
      </c>
      <c r="N1746" t="s">
        <v>43</v>
      </c>
      <c r="O1746" t="s">
        <v>44</v>
      </c>
      <c r="P1746" t="s">
        <v>42</v>
      </c>
    </row>
    <row r="1747" spans="1:16" x14ac:dyDescent="0.25">
      <c r="A1747" t="s">
        <v>2867</v>
      </c>
      <c r="B1747" t="s">
        <v>615</v>
      </c>
      <c r="C1747" t="s">
        <v>76</v>
      </c>
      <c r="D1747" t="s">
        <v>66</v>
      </c>
      <c r="E1747" t="s">
        <v>67</v>
      </c>
      <c r="F1747" t="s">
        <v>68</v>
      </c>
      <c r="G1747" t="s">
        <v>52</v>
      </c>
      <c r="H1747" t="s">
        <v>86</v>
      </c>
      <c r="I1747">
        <v>4</v>
      </c>
      <c r="J1747">
        <v>496423</v>
      </c>
      <c r="K1747">
        <v>2</v>
      </c>
      <c r="L1747">
        <v>1945978.16</v>
      </c>
      <c r="M1747" t="s">
        <v>54</v>
      </c>
      <c r="N1747" t="s">
        <v>43</v>
      </c>
      <c r="O1747" t="s">
        <v>27</v>
      </c>
      <c r="P1747" t="s">
        <v>55</v>
      </c>
    </row>
    <row r="1748" spans="1:16" x14ac:dyDescent="0.25">
      <c r="A1748" t="s">
        <v>2868</v>
      </c>
      <c r="B1748" t="s">
        <v>2869</v>
      </c>
      <c r="C1748" t="s">
        <v>91</v>
      </c>
      <c r="D1748" t="s">
        <v>38</v>
      </c>
      <c r="E1748" t="s">
        <v>39</v>
      </c>
      <c r="F1748" t="s">
        <v>40</v>
      </c>
      <c r="G1748" t="s">
        <v>52</v>
      </c>
      <c r="H1748" t="s">
        <v>58</v>
      </c>
      <c r="J1748">
        <v>850788</v>
      </c>
      <c r="K1748">
        <v>5</v>
      </c>
      <c r="M1748" t="s">
        <v>54</v>
      </c>
      <c r="N1748" t="s">
        <v>69</v>
      </c>
      <c r="O1748" t="s">
        <v>44</v>
      </c>
      <c r="P1748" t="s">
        <v>55</v>
      </c>
    </row>
    <row r="1749" spans="1:16" x14ac:dyDescent="0.25">
      <c r="A1749" t="s">
        <v>2870</v>
      </c>
      <c r="B1749" t="s">
        <v>2277</v>
      </c>
      <c r="C1749" t="s">
        <v>65</v>
      </c>
      <c r="D1749" t="s">
        <v>47</v>
      </c>
      <c r="E1749" t="s">
        <v>48</v>
      </c>
      <c r="F1749" t="s">
        <v>22</v>
      </c>
      <c r="G1749" t="s">
        <v>41</v>
      </c>
      <c r="H1749" t="s">
        <v>86</v>
      </c>
      <c r="I1749">
        <v>1</v>
      </c>
      <c r="J1749">
        <v>557216</v>
      </c>
      <c r="K1749">
        <v>5</v>
      </c>
      <c r="L1749">
        <v>529355.19999999995</v>
      </c>
      <c r="M1749" t="s">
        <v>42</v>
      </c>
      <c r="N1749" t="s">
        <v>69</v>
      </c>
      <c r="O1749" t="s">
        <v>44</v>
      </c>
      <c r="P1749" t="s">
        <v>55</v>
      </c>
    </row>
    <row r="1750" spans="1:16" x14ac:dyDescent="0.25">
      <c r="A1750" t="s">
        <v>2871</v>
      </c>
      <c r="B1750" t="s">
        <v>608</v>
      </c>
      <c r="C1750" t="s">
        <v>61</v>
      </c>
      <c r="D1750" t="s">
        <v>20</v>
      </c>
      <c r="E1750" t="s">
        <v>189</v>
      </c>
      <c r="F1750" t="s">
        <v>22</v>
      </c>
      <c r="G1750" t="s">
        <v>62</v>
      </c>
      <c r="H1750" t="s">
        <v>24</v>
      </c>
      <c r="I1750">
        <v>1</v>
      </c>
      <c r="J1750">
        <v>429541</v>
      </c>
      <c r="K1750">
        <v>10</v>
      </c>
      <c r="L1750">
        <v>386586.9</v>
      </c>
      <c r="M1750" t="s">
        <v>25</v>
      </c>
      <c r="N1750" t="s">
        <v>69</v>
      </c>
      <c r="O1750" t="s">
        <v>44</v>
      </c>
      <c r="P1750" t="s">
        <v>55</v>
      </c>
    </row>
    <row r="1751" spans="1:16" x14ac:dyDescent="0.25">
      <c r="A1751" t="s">
        <v>2872</v>
      </c>
      <c r="B1751" t="s">
        <v>2304</v>
      </c>
      <c r="C1751" t="s">
        <v>19</v>
      </c>
      <c r="D1751" t="s">
        <v>20</v>
      </c>
      <c r="E1751" t="s">
        <v>21</v>
      </c>
      <c r="F1751" t="s">
        <v>22</v>
      </c>
      <c r="G1751" t="s">
        <v>124</v>
      </c>
      <c r="H1751" t="s">
        <v>86</v>
      </c>
      <c r="I1751">
        <v>6</v>
      </c>
      <c r="J1751">
        <v>321615</v>
      </c>
      <c r="K1751">
        <v>0</v>
      </c>
      <c r="L1751">
        <v>1929690</v>
      </c>
      <c r="M1751" t="s">
        <v>42</v>
      </c>
      <c r="N1751" t="s">
        <v>69</v>
      </c>
      <c r="O1751" t="s">
        <v>44</v>
      </c>
      <c r="P1751" t="s">
        <v>55</v>
      </c>
    </row>
    <row r="1752" spans="1:16" x14ac:dyDescent="0.25">
      <c r="A1752" t="s">
        <v>2873</v>
      </c>
      <c r="B1752" t="s">
        <v>1093</v>
      </c>
      <c r="C1752" t="s">
        <v>79</v>
      </c>
      <c r="D1752" t="s">
        <v>66</v>
      </c>
      <c r="E1752" t="s">
        <v>67</v>
      </c>
      <c r="F1752" t="s">
        <v>68</v>
      </c>
      <c r="G1752" t="s">
        <v>89</v>
      </c>
      <c r="H1752" t="s">
        <v>86</v>
      </c>
      <c r="I1752">
        <v>8</v>
      </c>
      <c r="J1752">
        <v>63768</v>
      </c>
      <c r="K1752">
        <v>2</v>
      </c>
      <c r="L1752">
        <v>499941.12</v>
      </c>
      <c r="M1752" t="s">
        <v>25</v>
      </c>
      <c r="N1752" t="s">
        <v>43</v>
      </c>
      <c r="O1752" t="s">
        <v>44</v>
      </c>
      <c r="P1752" t="s">
        <v>26</v>
      </c>
    </row>
    <row r="1753" spans="1:16" x14ac:dyDescent="0.25">
      <c r="A1753" t="s">
        <v>2874</v>
      </c>
      <c r="B1753" t="s">
        <v>2875</v>
      </c>
      <c r="C1753" t="s">
        <v>19</v>
      </c>
      <c r="D1753" t="s">
        <v>38</v>
      </c>
      <c r="E1753" t="s">
        <v>39</v>
      </c>
      <c r="F1753" t="s">
        <v>40</v>
      </c>
      <c r="G1753" t="s">
        <v>73</v>
      </c>
      <c r="H1753" t="s">
        <v>86</v>
      </c>
      <c r="I1753">
        <v>8</v>
      </c>
      <c r="J1753">
        <v>164368</v>
      </c>
      <c r="K1753">
        <v>2</v>
      </c>
      <c r="L1753">
        <v>1288645.1200000001</v>
      </c>
      <c r="M1753" t="s">
        <v>42</v>
      </c>
      <c r="N1753" t="s">
        <v>69</v>
      </c>
      <c r="O1753" t="s">
        <v>44</v>
      </c>
      <c r="P1753" t="s">
        <v>26</v>
      </c>
    </row>
    <row r="1754" spans="1:16" x14ac:dyDescent="0.25">
      <c r="A1754" t="s">
        <v>2876</v>
      </c>
      <c r="B1754" t="s">
        <v>844</v>
      </c>
      <c r="C1754" t="s">
        <v>85</v>
      </c>
      <c r="D1754" t="s">
        <v>129</v>
      </c>
      <c r="E1754" t="s">
        <v>39</v>
      </c>
      <c r="F1754" t="s">
        <v>40</v>
      </c>
      <c r="G1754" t="s">
        <v>62</v>
      </c>
      <c r="H1754" t="s">
        <v>86</v>
      </c>
      <c r="J1754">
        <v>156424</v>
      </c>
      <c r="K1754">
        <v>2</v>
      </c>
      <c r="M1754" t="s">
        <v>42</v>
      </c>
      <c r="N1754" t="s">
        <v>69</v>
      </c>
      <c r="O1754" t="s">
        <v>44</v>
      </c>
      <c r="P1754" t="s">
        <v>55</v>
      </c>
    </row>
    <row r="1755" spans="1:16" x14ac:dyDescent="0.25">
      <c r="A1755" t="s">
        <v>2877</v>
      </c>
      <c r="B1755" t="s">
        <v>2878</v>
      </c>
      <c r="C1755" t="s">
        <v>85</v>
      </c>
      <c r="D1755" t="s">
        <v>20</v>
      </c>
      <c r="E1755" t="s">
        <v>21</v>
      </c>
      <c r="F1755" t="s">
        <v>22</v>
      </c>
      <c r="G1755" t="s">
        <v>73</v>
      </c>
      <c r="H1755" t="s">
        <v>86</v>
      </c>
      <c r="I1755">
        <v>2</v>
      </c>
      <c r="J1755">
        <v>592202</v>
      </c>
      <c r="K1755">
        <v>2</v>
      </c>
      <c r="L1755">
        <v>1160715.92</v>
      </c>
      <c r="M1755" t="s">
        <v>42</v>
      </c>
      <c r="N1755" t="s">
        <v>26</v>
      </c>
      <c r="O1755" t="s">
        <v>27</v>
      </c>
      <c r="P1755" t="s">
        <v>26</v>
      </c>
    </row>
    <row r="1756" spans="1:16" x14ac:dyDescent="0.25">
      <c r="A1756" t="s">
        <v>2879</v>
      </c>
      <c r="B1756" t="s">
        <v>370</v>
      </c>
      <c r="C1756" t="s">
        <v>65</v>
      </c>
      <c r="D1756" t="s">
        <v>66</v>
      </c>
      <c r="E1756" t="s">
        <v>67</v>
      </c>
      <c r="F1756" t="s">
        <v>68</v>
      </c>
      <c r="G1756" t="s">
        <v>62</v>
      </c>
      <c r="H1756" t="s">
        <v>58</v>
      </c>
      <c r="I1756">
        <v>1</v>
      </c>
      <c r="J1756">
        <v>774146</v>
      </c>
      <c r="K1756">
        <v>0</v>
      </c>
      <c r="L1756">
        <v>774146</v>
      </c>
      <c r="M1756" t="s">
        <v>42</v>
      </c>
      <c r="N1756" t="s">
        <v>69</v>
      </c>
      <c r="O1756" t="s">
        <v>27</v>
      </c>
      <c r="P1756" t="s">
        <v>42</v>
      </c>
    </row>
    <row r="1757" spans="1:16" x14ac:dyDescent="0.25">
      <c r="A1757" t="s">
        <v>2880</v>
      </c>
      <c r="B1757" t="s">
        <v>619</v>
      </c>
      <c r="C1757" t="s">
        <v>19</v>
      </c>
      <c r="D1757" t="s">
        <v>38</v>
      </c>
      <c r="E1757" t="s">
        <v>39</v>
      </c>
      <c r="F1757" t="s">
        <v>40</v>
      </c>
      <c r="G1757" t="s">
        <v>135</v>
      </c>
      <c r="H1757" t="s">
        <v>86</v>
      </c>
      <c r="I1757">
        <v>2</v>
      </c>
      <c r="J1757">
        <v>782305</v>
      </c>
      <c r="K1757">
        <v>12</v>
      </c>
      <c r="L1757">
        <v>1376856.8</v>
      </c>
      <c r="M1757" t="s">
        <v>42</v>
      </c>
      <c r="N1757" t="s">
        <v>26</v>
      </c>
      <c r="O1757" t="s">
        <v>27</v>
      </c>
      <c r="P1757" t="s">
        <v>42</v>
      </c>
    </row>
    <row r="1758" spans="1:16" x14ac:dyDescent="0.25">
      <c r="A1758" t="s">
        <v>2881</v>
      </c>
      <c r="B1758" t="s">
        <v>139</v>
      </c>
      <c r="C1758" t="s">
        <v>65</v>
      </c>
      <c r="D1758" t="s">
        <v>38</v>
      </c>
      <c r="E1758" t="s">
        <v>39</v>
      </c>
      <c r="F1758" t="s">
        <v>40</v>
      </c>
      <c r="G1758" t="s">
        <v>33</v>
      </c>
      <c r="H1758" t="s">
        <v>34</v>
      </c>
      <c r="I1758">
        <v>8</v>
      </c>
      <c r="J1758">
        <v>59082</v>
      </c>
      <c r="K1758">
        <v>0</v>
      </c>
      <c r="L1758">
        <v>472656</v>
      </c>
      <c r="M1758" t="s">
        <v>25</v>
      </c>
      <c r="N1758" t="s">
        <v>26</v>
      </c>
      <c r="O1758" t="s">
        <v>27</v>
      </c>
      <c r="P1758" t="s">
        <v>55</v>
      </c>
    </row>
    <row r="1759" spans="1:16" x14ac:dyDescent="0.25">
      <c r="A1759" t="s">
        <v>2882</v>
      </c>
      <c r="B1759" t="s">
        <v>1351</v>
      </c>
      <c r="C1759" t="s">
        <v>65</v>
      </c>
      <c r="D1759" t="s">
        <v>119</v>
      </c>
      <c r="E1759" t="s">
        <v>21</v>
      </c>
      <c r="F1759" t="s">
        <v>22</v>
      </c>
      <c r="G1759" t="s">
        <v>89</v>
      </c>
      <c r="H1759" t="s">
        <v>24</v>
      </c>
      <c r="I1759">
        <v>8</v>
      </c>
      <c r="J1759">
        <v>518902</v>
      </c>
      <c r="K1759">
        <v>12</v>
      </c>
      <c r="L1759">
        <v>3653070.08</v>
      </c>
      <c r="M1759" t="s">
        <v>42</v>
      </c>
      <c r="N1759" t="s">
        <v>69</v>
      </c>
      <c r="O1759" t="s">
        <v>27</v>
      </c>
      <c r="P1759" t="s">
        <v>55</v>
      </c>
    </row>
    <row r="1760" spans="1:16" x14ac:dyDescent="0.25">
      <c r="A1760" t="s">
        <v>2883</v>
      </c>
      <c r="B1760" t="s">
        <v>2073</v>
      </c>
      <c r="C1760" t="s">
        <v>65</v>
      </c>
      <c r="D1760" t="s">
        <v>20</v>
      </c>
      <c r="E1760" t="s">
        <v>21</v>
      </c>
      <c r="F1760" t="s">
        <v>22</v>
      </c>
      <c r="G1760" t="s">
        <v>41</v>
      </c>
      <c r="H1760" t="s">
        <v>24</v>
      </c>
      <c r="I1760">
        <v>1</v>
      </c>
      <c r="J1760">
        <v>132072</v>
      </c>
      <c r="K1760">
        <v>7</v>
      </c>
      <c r="L1760">
        <v>122826.96</v>
      </c>
      <c r="M1760" t="s">
        <v>54</v>
      </c>
      <c r="N1760" t="s">
        <v>69</v>
      </c>
      <c r="O1760" t="s">
        <v>27</v>
      </c>
      <c r="P1760" t="s">
        <v>42</v>
      </c>
    </row>
    <row r="1761" spans="1:16" x14ac:dyDescent="0.25">
      <c r="A1761" t="s">
        <v>2884</v>
      </c>
      <c r="B1761" t="s">
        <v>1667</v>
      </c>
      <c r="C1761" t="s">
        <v>85</v>
      </c>
      <c r="D1761" t="s">
        <v>20</v>
      </c>
      <c r="E1761" t="s">
        <v>189</v>
      </c>
      <c r="F1761" t="s">
        <v>22</v>
      </c>
      <c r="G1761" t="s">
        <v>23</v>
      </c>
      <c r="H1761" t="s">
        <v>58</v>
      </c>
      <c r="I1761">
        <v>2</v>
      </c>
      <c r="J1761">
        <v>382279</v>
      </c>
      <c r="K1761">
        <v>0</v>
      </c>
      <c r="L1761">
        <v>764558</v>
      </c>
      <c r="M1761" t="s">
        <v>25</v>
      </c>
      <c r="N1761" t="s">
        <v>69</v>
      </c>
      <c r="O1761" t="s">
        <v>44</v>
      </c>
      <c r="P1761" t="s">
        <v>42</v>
      </c>
    </row>
    <row r="1762" spans="1:16" x14ac:dyDescent="0.25">
      <c r="A1762" t="s">
        <v>2885</v>
      </c>
      <c r="B1762" t="s">
        <v>229</v>
      </c>
      <c r="C1762" t="s">
        <v>76</v>
      </c>
      <c r="D1762" t="s">
        <v>38</v>
      </c>
      <c r="E1762" t="s">
        <v>39</v>
      </c>
      <c r="F1762" t="s">
        <v>40</v>
      </c>
      <c r="G1762" t="s">
        <v>41</v>
      </c>
      <c r="H1762" t="s">
        <v>53</v>
      </c>
      <c r="I1762">
        <v>1</v>
      </c>
      <c r="J1762">
        <v>400001</v>
      </c>
      <c r="K1762">
        <v>0</v>
      </c>
      <c r="L1762">
        <v>400001</v>
      </c>
      <c r="M1762" t="s">
        <v>54</v>
      </c>
      <c r="N1762" t="s">
        <v>69</v>
      </c>
      <c r="O1762" t="s">
        <v>27</v>
      </c>
      <c r="P1762" t="s">
        <v>42</v>
      </c>
    </row>
    <row r="1763" spans="1:16" x14ac:dyDescent="0.25">
      <c r="A1763" t="s">
        <v>2886</v>
      </c>
      <c r="B1763" t="s">
        <v>2724</v>
      </c>
      <c r="C1763" t="s">
        <v>76</v>
      </c>
      <c r="D1763" t="s">
        <v>20</v>
      </c>
      <c r="E1763" t="s">
        <v>21</v>
      </c>
      <c r="F1763" t="s">
        <v>22</v>
      </c>
      <c r="G1763" t="s">
        <v>41</v>
      </c>
      <c r="H1763" t="s">
        <v>58</v>
      </c>
      <c r="I1763">
        <v>1</v>
      </c>
      <c r="J1763">
        <v>461151</v>
      </c>
      <c r="K1763">
        <v>7</v>
      </c>
      <c r="L1763">
        <v>428870.43</v>
      </c>
      <c r="M1763" t="s">
        <v>42</v>
      </c>
      <c r="N1763" t="s">
        <v>43</v>
      </c>
      <c r="O1763" t="s">
        <v>44</v>
      </c>
      <c r="P1763" t="s">
        <v>42</v>
      </c>
    </row>
    <row r="1764" spans="1:16" x14ac:dyDescent="0.25">
      <c r="A1764" t="s">
        <v>2887</v>
      </c>
      <c r="B1764" t="s">
        <v>2888</v>
      </c>
      <c r="C1764" t="s">
        <v>37</v>
      </c>
      <c r="D1764" t="s">
        <v>20</v>
      </c>
      <c r="E1764" t="s">
        <v>21</v>
      </c>
      <c r="F1764" t="s">
        <v>22</v>
      </c>
      <c r="G1764" t="s">
        <v>73</v>
      </c>
      <c r="H1764" t="s">
        <v>53</v>
      </c>
      <c r="I1764">
        <v>7</v>
      </c>
      <c r="J1764">
        <v>611355</v>
      </c>
      <c r="K1764">
        <v>5</v>
      </c>
      <c r="L1764">
        <v>4065510.75</v>
      </c>
      <c r="M1764" t="s">
        <v>42</v>
      </c>
      <c r="N1764" t="s">
        <v>26</v>
      </c>
      <c r="O1764" t="s">
        <v>27</v>
      </c>
      <c r="P1764" t="s">
        <v>42</v>
      </c>
    </row>
    <row r="1765" spans="1:16" x14ac:dyDescent="0.25">
      <c r="A1765" t="s">
        <v>2889</v>
      </c>
      <c r="B1765" t="s">
        <v>1127</v>
      </c>
      <c r="C1765" t="s">
        <v>76</v>
      </c>
      <c r="D1765" t="s">
        <v>47</v>
      </c>
      <c r="E1765" t="s">
        <v>48</v>
      </c>
      <c r="F1765" t="s">
        <v>22</v>
      </c>
      <c r="G1765" t="s">
        <v>73</v>
      </c>
      <c r="H1765" t="s">
        <v>53</v>
      </c>
      <c r="I1765">
        <v>4</v>
      </c>
      <c r="J1765">
        <v>539896</v>
      </c>
      <c r="K1765">
        <v>12</v>
      </c>
      <c r="L1765">
        <v>1900433.92</v>
      </c>
      <c r="M1765" t="s">
        <v>42</v>
      </c>
      <c r="N1765" t="s">
        <v>26</v>
      </c>
      <c r="O1765" t="s">
        <v>44</v>
      </c>
      <c r="P1765" t="s">
        <v>42</v>
      </c>
    </row>
    <row r="1766" spans="1:16" x14ac:dyDescent="0.25">
      <c r="A1766" t="s">
        <v>2890</v>
      </c>
      <c r="B1766" t="s">
        <v>784</v>
      </c>
      <c r="C1766" t="s">
        <v>99</v>
      </c>
      <c r="D1766" t="s">
        <v>30</v>
      </c>
      <c r="E1766" t="s">
        <v>142</v>
      </c>
      <c r="F1766" t="s">
        <v>32</v>
      </c>
      <c r="G1766" t="s">
        <v>41</v>
      </c>
      <c r="H1766" t="s">
        <v>34</v>
      </c>
      <c r="I1766">
        <v>1</v>
      </c>
      <c r="J1766">
        <v>412633</v>
      </c>
      <c r="K1766">
        <v>10</v>
      </c>
      <c r="L1766">
        <v>371369.7</v>
      </c>
      <c r="M1766" t="s">
        <v>42</v>
      </c>
      <c r="N1766" t="s">
        <v>69</v>
      </c>
      <c r="O1766" t="s">
        <v>27</v>
      </c>
      <c r="P1766" t="s">
        <v>55</v>
      </c>
    </row>
    <row r="1767" spans="1:16" x14ac:dyDescent="0.25">
      <c r="A1767" t="s">
        <v>2891</v>
      </c>
      <c r="B1767" t="s">
        <v>433</v>
      </c>
      <c r="C1767" t="s">
        <v>65</v>
      </c>
      <c r="D1767" t="s">
        <v>47</v>
      </c>
      <c r="E1767" t="s">
        <v>48</v>
      </c>
      <c r="F1767" t="s">
        <v>22</v>
      </c>
      <c r="G1767" t="s">
        <v>62</v>
      </c>
      <c r="H1767" t="s">
        <v>58</v>
      </c>
      <c r="I1767">
        <v>7</v>
      </c>
      <c r="J1767">
        <v>238906</v>
      </c>
      <c r="K1767">
        <v>0</v>
      </c>
      <c r="L1767">
        <v>1672342</v>
      </c>
      <c r="M1767" t="s">
        <v>25</v>
      </c>
      <c r="N1767" t="s">
        <v>69</v>
      </c>
      <c r="O1767" t="s">
        <v>44</v>
      </c>
      <c r="P1767" t="s">
        <v>42</v>
      </c>
    </row>
    <row r="1768" spans="1:16" x14ac:dyDescent="0.25">
      <c r="A1768" t="s">
        <v>2892</v>
      </c>
      <c r="B1768" t="s">
        <v>908</v>
      </c>
      <c r="C1768" t="s">
        <v>19</v>
      </c>
      <c r="D1768" t="s">
        <v>47</v>
      </c>
      <c r="E1768" t="s">
        <v>48</v>
      </c>
      <c r="F1768" t="s">
        <v>22</v>
      </c>
      <c r="G1768" t="s">
        <v>73</v>
      </c>
      <c r="H1768" t="s">
        <v>24</v>
      </c>
      <c r="I1768">
        <v>8</v>
      </c>
      <c r="J1768">
        <v>579117</v>
      </c>
      <c r="M1768" t="s">
        <v>42</v>
      </c>
      <c r="N1768" t="s">
        <v>69</v>
      </c>
      <c r="O1768" t="s">
        <v>27</v>
      </c>
      <c r="P1768" t="s">
        <v>26</v>
      </c>
    </row>
    <row r="1769" spans="1:16" x14ac:dyDescent="0.25">
      <c r="A1769" t="s">
        <v>2893</v>
      </c>
      <c r="B1769" t="s">
        <v>2894</v>
      </c>
      <c r="C1769" t="s">
        <v>37</v>
      </c>
      <c r="D1769" t="s">
        <v>106</v>
      </c>
      <c r="E1769" t="s">
        <v>31</v>
      </c>
      <c r="F1769" t="s">
        <v>32</v>
      </c>
      <c r="G1769" t="s">
        <v>33</v>
      </c>
      <c r="H1769" t="s">
        <v>24</v>
      </c>
      <c r="I1769">
        <v>6</v>
      </c>
      <c r="J1769">
        <v>547868</v>
      </c>
      <c r="K1769">
        <v>2</v>
      </c>
      <c r="L1769">
        <v>3221463.84</v>
      </c>
      <c r="M1769" t="s">
        <v>54</v>
      </c>
      <c r="N1769" t="s">
        <v>26</v>
      </c>
      <c r="O1769" t="s">
        <v>44</v>
      </c>
      <c r="P1769" t="s">
        <v>55</v>
      </c>
    </row>
    <row r="1770" spans="1:16" x14ac:dyDescent="0.25">
      <c r="A1770" t="s">
        <v>2895</v>
      </c>
      <c r="B1770" t="s">
        <v>389</v>
      </c>
      <c r="C1770" t="s">
        <v>37</v>
      </c>
      <c r="D1770" t="s">
        <v>20</v>
      </c>
      <c r="E1770" t="s">
        <v>21</v>
      </c>
      <c r="F1770" t="s">
        <v>22</v>
      </c>
      <c r="G1770" t="s">
        <v>41</v>
      </c>
      <c r="H1770" t="s">
        <v>86</v>
      </c>
      <c r="I1770">
        <v>7</v>
      </c>
      <c r="J1770">
        <v>120903</v>
      </c>
      <c r="K1770">
        <v>7</v>
      </c>
      <c r="L1770">
        <v>787078.52999999991</v>
      </c>
      <c r="M1770" t="s">
        <v>25</v>
      </c>
      <c r="N1770" t="s">
        <v>43</v>
      </c>
      <c r="O1770" t="s">
        <v>27</v>
      </c>
      <c r="P1770" t="s">
        <v>26</v>
      </c>
    </row>
    <row r="1771" spans="1:16" x14ac:dyDescent="0.25">
      <c r="A1771" t="s">
        <v>2896</v>
      </c>
      <c r="B1771" t="s">
        <v>2897</v>
      </c>
      <c r="C1771" t="s">
        <v>37</v>
      </c>
      <c r="D1771" t="s">
        <v>38</v>
      </c>
      <c r="E1771" t="s">
        <v>39</v>
      </c>
      <c r="F1771" t="s">
        <v>40</v>
      </c>
      <c r="G1771" t="s">
        <v>135</v>
      </c>
      <c r="H1771" t="s">
        <v>24</v>
      </c>
      <c r="I1771">
        <v>4</v>
      </c>
      <c r="J1771">
        <v>629097</v>
      </c>
      <c r="K1771">
        <v>0</v>
      </c>
      <c r="L1771">
        <v>2516388</v>
      </c>
      <c r="M1771" t="s">
        <v>42</v>
      </c>
      <c r="N1771" t="s">
        <v>43</v>
      </c>
      <c r="O1771" t="s">
        <v>27</v>
      </c>
      <c r="P1771" t="s">
        <v>26</v>
      </c>
    </row>
    <row r="1772" spans="1:16" x14ac:dyDescent="0.25">
      <c r="A1772" t="s">
        <v>2898</v>
      </c>
      <c r="B1772" t="s">
        <v>2899</v>
      </c>
      <c r="C1772" t="s">
        <v>19</v>
      </c>
      <c r="D1772" t="s">
        <v>47</v>
      </c>
      <c r="E1772" t="s">
        <v>48</v>
      </c>
      <c r="F1772" t="s">
        <v>22</v>
      </c>
      <c r="G1772" t="s">
        <v>23</v>
      </c>
      <c r="H1772" t="s">
        <v>58</v>
      </c>
      <c r="I1772">
        <v>5</v>
      </c>
      <c r="J1772">
        <v>639667</v>
      </c>
      <c r="K1772">
        <v>7</v>
      </c>
      <c r="L1772">
        <v>2974451.55</v>
      </c>
      <c r="M1772" t="s">
        <v>54</v>
      </c>
      <c r="N1772" t="s">
        <v>26</v>
      </c>
      <c r="O1772" t="s">
        <v>44</v>
      </c>
      <c r="P1772" t="s">
        <v>55</v>
      </c>
    </row>
    <row r="1773" spans="1:16" x14ac:dyDescent="0.25">
      <c r="A1773" t="s">
        <v>2900</v>
      </c>
      <c r="B1773" t="s">
        <v>2047</v>
      </c>
      <c r="C1773" t="s">
        <v>76</v>
      </c>
      <c r="D1773" t="s">
        <v>38</v>
      </c>
      <c r="E1773" t="s">
        <v>39</v>
      </c>
      <c r="F1773" t="s">
        <v>40</v>
      </c>
      <c r="G1773" t="s">
        <v>23</v>
      </c>
      <c r="H1773" t="s">
        <v>53</v>
      </c>
      <c r="I1773">
        <v>1</v>
      </c>
      <c r="J1773">
        <v>437939</v>
      </c>
      <c r="K1773">
        <v>7</v>
      </c>
      <c r="L1773">
        <v>407283.27</v>
      </c>
      <c r="M1773" t="s">
        <v>42</v>
      </c>
      <c r="N1773" t="s">
        <v>26</v>
      </c>
      <c r="O1773" t="s">
        <v>44</v>
      </c>
      <c r="P1773" t="s">
        <v>42</v>
      </c>
    </row>
    <row r="1774" spans="1:16" x14ac:dyDescent="0.25">
      <c r="A1774" t="s">
        <v>2901</v>
      </c>
      <c r="B1774" t="s">
        <v>2108</v>
      </c>
      <c r="C1774" t="s">
        <v>85</v>
      </c>
      <c r="D1774" t="s">
        <v>154</v>
      </c>
      <c r="E1774" t="s">
        <v>67</v>
      </c>
      <c r="F1774" t="s">
        <v>68</v>
      </c>
      <c r="G1774" t="s">
        <v>33</v>
      </c>
      <c r="H1774" t="s">
        <v>58</v>
      </c>
      <c r="J1774">
        <v>888637</v>
      </c>
      <c r="K1774">
        <v>0</v>
      </c>
      <c r="M1774" t="s">
        <v>25</v>
      </c>
      <c r="N1774" t="s">
        <v>26</v>
      </c>
      <c r="O1774" t="s">
        <v>27</v>
      </c>
      <c r="P1774" t="s">
        <v>42</v>
      </c>
    </row>
    <row r="1775" spans="1:16" x14ac:dyDescent="0.25">
      <c r="A1775" t="s">
        <v>2902</v>
      </c>
      <c r="B1775" t="s">
        <v>2903</v>
      </c>
      <c r="C1775" t="s">
        <v>37</v>
      </c>
      <c r="D1775" t="s">
        <v>66</v>
      </c>
      <c r="E1775" t="s">
        <v>67</v>
      </c>
      <c r="F1775" t="s">
        <v>68</v>
      </c>
      <c r="G1775" t="s">
        <v>124</v>
      </c>
      <c r="H1775" t="s">
        <v>86</v>
      </c>
      <c r="I1775">
        <v>6</v>
      </c>
      <c r="J1775">
        <v>277727</v>
      </c>
      <c r="K1775">
        <v>12</v>
      </c>
      <c r="L1775">
        <v>1466398.56</v>
      </c>
      <c r="M1775" t="s">
        <v>42</v>
      </c>
      <c r="N1775" t="s">
        <v>43</v>
      </c>
      <c r="O1775" t="s">
        <v>44</v>
      </c>
      <c r="P1775" t="s">
        <v>55</v>
      </c>
    </row>
    <row r="1776" spans="1:16" x14ac:dyDescent="0.25">
      <c r="A1776" t="s">
        <v>2904</v>
      </c>
      <c r="B1776" t="s">
        <v>2288</v>
      </c>
      <c r="C1776" t="s">
        <v>91</v>
      </c>
      <c r="D1776" t="s">
        <v>20</v>
      </c>
      <c r="E1776" t="s">
        <v>21</v>
      </c>
      <c r="F1776" t="s">
        <v>22</v>
      </c>
      <c r="G1776" t="s">
        <v>52</v>
      </c>
      <c r="H1776" t="s">
        <v>53</v>
      </c>
      <c r="I1776">
        <v>8</v>
      </c>
      <c r="J1776">
        <v>447793</v>
      </c>
      <c r="K1776">
        <v>2</v>
      </c>
      <c r="L1776">
        <v>3510697.12</v>
      </c>
      <c r="M1776" t="s">
        <v>42</v>
      </c>
      <c r="N1776" t="s">
        <v>69</v>
      </c>
      <c r="O1776" t="s">
        <v>44</v>
      </c>
      <c r="P1776" t="s">
        <v>42</v>
      </c>
    </row>
    <row r="1777" spans="1:16" x14ac:dyDescent="0.25">
      <c r="A1777" t="s">
        <v>2905</v>
      </c>
      <c r="B1777" t="s">
        <v>881</v>
      </c>
      <c r="C1777" t="s">
        <v>65</v>
      </c>
      <c r="D1777" t="s">
        <v>38</v>
      </c>
      <c r="E1777" t="s">
        <v>39</v>
      </c>
      <c r="F1777" t="s">
        <v>40</v>
      </c>
      <c r="G1777" t="s">
        <v>52</v>
      </c>
      <c r="H1777" t="s">
        <v>86</v>
      </c>
      <c r="I1777">
        <v>6</v>
      </c>
      <c r="J1777">
        <v>233029</v>
      </c>
      <c r="K1777">
        <v>7</v>
      </c>
      <c r="L1777">
        <v>1300301.82</v>
      </c>
      <c r="M1777" t="s">
        <v>25</v>
      </c>
      <c r="N1777" t="s">
        <v>69</v>
      </c>
      <c r="O1777" t="s">
        <v>27</v>
      </c>
      <c r="P1777" t="s">
        <v>55</v>
      </c>
    </row>
    <row r="1778" spans="1:16" x14ac:dyDescent="0.25">
      <c r="A1778" t="s">
        <v>2906</v>
      </c>
      <c r="B1778" t="s">
        <v>2253</v>
      </c>
      <c r="C1778" t="s">
        <v>85</v>
      </c>
      <c r="D1778" t="s">
        <v>66</v>
      </c>
      <c r="E1778" t="s">
        <v>67</v>
      </c>
      <c r="F1778" t="s">
        <v>68</v>
      </c>
      <c r="G1778" t="s">
        <v>73</v>
      </c>
      <c r="H1778" t="s">
        <v>24</v>
      </c>
      <c r="I1778">
        <v>5</v>
      </c>
      <c r="J1778">
        <v>446164</v>
      </c>
      <c r="K1778">
        <v>5</v>
      </c>
      <c r="L1778">
        <v>2119279</v>
      </c>
      <c r="M1778" t="s">
        <v>25</v>
      </c>
      <c r="N1778" t="s">
        <v>69</v>
      </c>
      <c r="O1778" t="s">
        <v>27</v>
      </c>
      <c r="P1778" t="s">
        <v>26</v>
      </c>
    </row>
    <row r="1779" spans="1:16" x14ac:dyDescent="0.25">
      <c r="A1779" t="s">
        <v>2907</v>
      </c>
      <c r="B1779" t="s">
        <v>1875</v>
      </c>
      <c r="C1779" t="s">
        <v>65</v>
      </c>
      <c r="D1779" t="s">
        <v>66</v>
      </c>
      <c r="E1779" t="s">
        <v>67</v>
      </c>
      <c r="F1779" t="s">
        <v>68</v>
      </c>
      <c r="G1779" t="s">
        <v>33</v>
      </c>
      <c r="H1779" t="s">
        <v>24</v>
      </c>
      <c r="I1779">
        <v>5</v>
      </c>
      <c r="J1779">
        <v>471732</v>
      </c>
      <c r="K1779">
        <v>7</v>
      </c>
      <c r="L1779">
        <v>2193553.7999999998</v>
      </c>
      <c r="M1779" t="s">
        <v>25</v>
      </c>
      <c r="N1779" t="s">
        <v>69</v>
      </c>
      <c r="O1779" t="s">
        <v>44</v>
      </c>
      <c r="P1779" t="s">
        <v>55</v>
      </c>
    </row>
    <row r="1780" spans="1:16" x14ac:dyDescent="0.25">
      <c r="A1780" t="s">
        <v>2908</v>
      </c>
      <c r="B1780" t="s">
        <v>1866</v>
      </c>
      <c r="C1780" t="s">
        <v>37</v>
      </c>
      <c r="D1780" t="s">
        <v>20</v>
      </c>
      <c r="E1780" t="s">
        <v>21</v>
      </c>
      <c r="F1780" t="s">
        <v>22</v>
      </c>
      <c r="G1780" t="s">
        <v>23</v>
      </c>
      <c r="H1780" t="s">
        <v>58</v>
      </c>
      <c r="I1780">
        <v>4</v>
      </c>
      <c r="J1780">
        <v>866660</v>
      </c>
      <c r="K1780">
        <v>2</v>
      </c>
      <c r="L1780">
        <v>3397307.2</v>
      </c>
      <c r="M1780" t="s">
        <v>42</v>
      </c>
      <c r="N1780" t="s">
        <v>69</v>
      </c>
      <c r="O1780" t="s">
        <v>44</v>
      </c>
      <c r="P1780" t="s">
        <v>26</v>
      </c>
    </row>
    <row r="1781" spans="1:16" x14ac:dyDescent="0.25">
      <c r="A1781" t="s">
        <v>2909</v>
      </c>
      <c r="B1781" t="s">
        <v>658</v>
      </c>
      <c r="C1781" t="s">
        <v>65</v>
      </c>
      <c r="D1781" t="s">
        <v>30</v>
      </c>
      <c r="E1781" t="s">
        <v>31</v>
      </c>
      <c r="F1781" t="s">
        <v>32</v>
      </c>
      <c r="G1781" t="s">
        <v>89</v>
      </c>
      <c r="H1781" t="s">
        <v>86</v>
      </c>
      <c r="I1781">
        <v>7</v>
      </c>
      <c r="J1781">
        <v>865208</v>
      </c>
      <c r="K1781">
        <v>10</v>
      </c>
      <c r="L1781">
        <v>5450810.4000000004</v>
      </c>
      <c r="M1781" t="s">
        <v>25</v>
      </c>
      <c r="N1781" t="s">
        <v>43</v>
      </c>
      <c r="O1781" t="s">
        <v>44</v>
      </c>
      <c r="P1781" t="s">
        <v>26</v>
      </c>
    </row>
    <row r="1782" spans="1:16" x14ac:dyDescent="0.25">
      <c r="A1782" t="s">
        <v>2910</v>
      </c>
      <c r="B1782" t="s">
        <v>2863</v>
      </c>
      <c r="C1782" t="s">
        <v>19</v>
      </c>
      <c r="D1782" t="s">
        <v>47</v>
      </c>
      <c r="E1782" t="s">
        <v>48</v>
      </c>
      <c r="F1782" t="s">
        <v>22</v>
      </c>
      <c r="G1782" t="s">
        <v>73</v>
      </c>
      <c r="H1782" t="s">
        <v>34</v>
      </c>
      <c r="I1782">
        <v>5</v>
      </c>
      <c r="J1782">
        <v>669327</v>
      </c>
      <c r="K1782">
        <v>10</v>
      </c>
      <c r="L1782">
        <v>3011971.5</v>
      </c>
      <c r="M1782" t="s">
        <v>42</v>
      </c>
      <c r="N1782" t="s">
        <v>43</v>
      </c>
      <c r="O1782" t="s">
        <v>27</v>
      </c>
      <c r="P1782" t="s">
        <v>26</v>
      </c>
    </row>
    <row r="1783" spans="1:16" x14ac:dyDescent="0.25">
      <c r="A1783" t="s">
        <v>2911</v>
      </c>
      <c r="B1783" t="s">
        <v>1029</v>
      </c>
      <c r="C1783" t="s">
        <v>19</v>
      </c>
      <c r="D1783" t="s">
        <v>51</v>
      </c>
      <c r="E1783" t="s">
        <v>48</v>
      </c>
      <c r="F1783" t="s">
        <v>22</v>
      </c>
      <c r="G1783" t="s">
        <v>41</v>
      </c>
      <c r="H1783" t="s">
        <v>53</v>
      </c>
      <c r="J1783">
        <v>578445</v>
      </c>
      <c r="K1783">
        <v>10</v>
      </c>
      <c r="M1783" t="s">
        <v>42</v>
      </c>
      <c r="N1783" t="s">
        <v>26</v>
      </c>
      <c r="O1783" t="s">
        <v>44</v>
      </c>
      <c r="P1783" t="s">
        <v>42</v>
      </c>
    </row>
    <row r="1784" spans="1:16" x14ac:dyDescent="0.25">
      <c r="A1784" t="s">
        <v>2912</v>
      </c>
      <c r="B1784" t="s">
        <v>2913</v>
      </c>
      <c r="C1784" t="s">
        <v>37</v>
      </c>
      <c r="D1784" t="s">
        <v>66</v>
      </c>
      <c r="E1784" t="s">
        <v>67</v>
      </c>
      <c r="F1784" t="s">
        <v>68</v>
      </c>
      <c r="G1784" t="s">
        <v>124</v>
      </c>
      <c r="H1784" t="s">
        <v>34</v>
      </c>
      <c r="I1784">
        <v>8</v>
      </c>
      <c r="J1784">
        <v>175852</v>
      </c>
      <c r="K1784">
        <v>10</v>
      </c>
      <c r="L1784">
        <v>1266134.3999999999</v>
      </c>
      <c r="M1784" t="s">
        <v>25</v>
      </c>
      <c r="N1784" t="s">
        <v>26</v>
      </c>
      <c r="O1784" t="s">
        <v>44</v>
      </c>
      <c r="P1784" t="s">
        <v>42</v>
      </c>
    </row>
    <row r="1785" spans="1:16" x14ac:dyDescent="0.25">
      <c r="A1785" t="s">
        <v>2914</v>
      </c>
      <c r="B1785" t="s">
        <v>2915</v>
      </c>
      <c r="C1785" t="s">
        <v>19</v>
      </c>
      <c r="D1785" t="s">
        <v>30</v>
      </c>
      <c r="E1785" t="s">
        <v>31</v>
      </c>
      <c r="F1785" t="s">
        <v>32</v>
      </c>
      <c r="G1785" t="s">
        <v>52</v>
      </c>
      <c r="H1785" t="s">
        <v>24</v>
      </c>
      <c r="I1785">
        <v>4</v>
      </c>
      <c r="J1785">
        <v>325081</v>
      </c>
      <c r="K1785">
        <v>12</v>
      </c>
      <c r="L1785">
        <v>1144285.1200000001</v>
      </c>
      <c r="M1785" t="s">
        <v>25</v>
      </c>
      <c r="N1785" t="s">
        <v>69</v>
      </c>
      <c r="O1785" t="s">
        <v>44</v>
      </c>
      <c r="P1785" t="s">
        <v>42</v>
      </c>
    </row>
    <row r="1786" spans="1:16" x14ac:dyDescent="0.25">
      <c r="A1786" t="s">
        <v>2916</v>
      </c>
      <c r="B1786" t="s">
        <v>1934</v>
      </c>
      <c r="C1786" t="s">
        <v>76</v>
      </c>
      <c r="D1786" t="s">
        <v>154</v>
      </c>
      <c r="E1786" t="s">
        <v>67</v>
      </c>
      <c r="F1786" t="s">
        <v>68</v>
      </c>
      <c r="G1786" t="s">
        <v>33</v>
      </c>
      <c r="H1786" t="s">
        <v>24</v>
      </c>
      <c r="I1786">
        <v>5</v>
      </c>
      <c r="J1786">
        <v>324327</v>
      </c>
      <c r="K1786">
        <v>7</v>
      </c>
      <c r="L1786">
        <v>1508120.55</v>
      </c>
      <c r="M1786" t="s">
        <v>54</v>
      </c>
      <c r="N1786" t="s">
        <v>43</v>
      </c>
      <c r="O1786" t="s">
        <v>44</v>
      </c>
      <c r="P1786" t="s">
        <v>42</v>
      </c>
    </row>
    <row r="1787" spans="1:16" x14ac:dyDescent="0.25">
      <c r="A1787" t="s">
        <v>2917</v>
      </c>
      <c r="B1787" t="s">
        <v>1125</v>
      </c>
      <c r="C1787" t="s">
        <v>99</v>
      </c>
      <c r="D1787" t="s">
        <v>47</v>
      </c>
      <c r="E1787" t="s">
        <v>48</v>
      </c>
      <c r="F1787" t="s">
        <v>22</v>
      </c>
      <c r="G1787" t="s">
        <v>62</v>
      </c>
      <c r="H1787" t="s">
        <v>58</v>
      </c>
      <c r="I1787">
        <v>7</v>
      </c>
      <c r="J1787">
        <v>241304</v>
      </c>
      <c r="K1787">
        <v>7</v>
      </c>
      <c r="L1787">
        <v>1570889.04</v>
      </c>
      <c r="M1787" t="s">
        <v>42</v>
      </c>
      <c r="N1787" t="s">
        <v>26</v>
      </c>
      <c r="O1787" t="s">
        <v>44</v>
      </c>
      <c r="P1787" t="s">
        <v>55</v>
      </c>
    </row>
    <row r="1788" spans="1:16" x14ac:dyDescent="0.25">
      <c r="A1788" t="s">
        <v>2918</v>
      </c>
      <c r="B1788" t="s">
        <v>2317</v>
      </c>
      <c r="C1788" t="s">
        <v>37</v>
      </c>
      <c r="D1788" t="s">
        <v>38</v>
      </c>
      <c r="E1788" t="s">
        <v>39</v>
      </c>
      <c r="F1788" t="s">
        <v>40</v>
      </c>
      <c r="G1788" t="s">
        <v>41</v>
      </c>
      <c r="H1788" t="s">
        <v>86</v>
      </c>
      <c r="I1788">
        <v>8</v>
      </c>
      <c r="J1788">
        <v>120017</v>
      </c>
      <c r="M1788" t="s">
        <v>54</v>
      </c>
      <c r="N1788" t="s">
        <v>26</v>
      </c>
      <c r="O1788" t="s">
        <v>27</v>
      </c>
      <c r="P1788" t="s">
        <v>26</v>
      </c>
    </row>
    <row r="1789" spans="1:16" x14ac:dyDescent="0.25">
      <c r="A1789" t="s">
        <v>2919</v>
      </c>
      <c r="B1789" t="s">
        <v>1399</v>
      </c>
      <c r="C1789" t="s">
        <v>99</v>
      </c>
      <c r="D1789" t="s">
        <v>38</v>
      </c>
      <c r="E1789" t="s">
        <v>39</v>
      </c>
      <c r="F1789" t="s">
        <v>40</v>
      </c>
      <c r="G1789" t="s">
        <v>73</v>
      </c>
      <c r="H1789" t="s">
        <v>58</v>
      </c>
      <c r="I1789">
        <v>3</v>
      </c>
      <c r="J1789">
        <v>765052</v>
      </c>
      <c r="K1789">
        <v>2</v>
      </c>
      <c r="L1789">
        <v>2249252.88</v>
      </c>
      <c r="M1789" t="s">
        <v>25</v>
      </c>
      <c r="N1789" t="s">
        <v>26</v>
      </c>
      <c r="O1789" t="s">
        <v>27</v>
      </c>
      <c r="P1789" t="s">
        <v>42</v>
      </c>
    </row>
    <row r="1790" spans="1:16" x14ac:dyDescent="0.25">
      <c r="A1790" t="s">
        <v>2920</v>
      </c>
      <c r="B1790" t="s">
        <v>842</v>
      </c>
      <c r="C1790" t="s">
        <v>76</v>
      </c>
      <c r="D1790" t="s">
        <v>20</v>
      </c>
      <c r="E1790" t="s">
        <v>21</v>
      </c>
      <c r="F1790" t="s">
        <v>22</v>
      </c>
      <c r="G1790" t="s">
        <v>52</v>
      </c>
      <c r="H1790" t="s">
        <v>24</v>
      </c>
      <c r="I1790">
        <v>6</v>
      </c>
      <c r="J1790">
        <v>239969</v>
      </c>
      <c r="K1790">
        <v>5</v>
      </c>
      <c r="L1790">
        <v>1367823.3</v>
      </c>
      <c r="M1790" t="s">
        <v>54</v>
      </c>
      <c r="N1790" t="s">
        <v>26</v>
      </c>
      <c r="O1790" t="s">
        <v>44</v>
      </c>
      <c r="P1790" t="s">
        <v>42</v>
      </c>
    </row>
    <row r="1791" spans="1:16" x14ac:dyDescent="0.25">
      <c r="A1791" t="s">
        <v>2921</v>
      </c>
      <c r="B1791" t="s">
        <v>148</v>
      </c>
      <c r="C1791" t="s">
        <v>61</v>
      </c>
      <c r="D1791" t="s">
        <v>38</v>
      </c>
      <c r="E1791" t="s">
        <v>39</v>
      </c>
      <c r="F1791" t="s">
        <v>40</v>
      </c>
      <c r="G1791" t="s">
        <v>94</v>
      </c>
      <c r="H1791" t="s">
        <v>34</v>
      </c>
      <c r="I1791">
        <v>8</v>
      </c>
      <c r="J1791">
        <v>114391</v>
      </c>
      <c r="K1791">
        <v>0</v>
      </c>
      <c r="L1791">
        <v>915128</v>
      </c>
      <c r="M1791" t="s">
        <v>42</v>
      </c>
      <c r="N1791" t="s">
        <v>26</v>
      </c>
      <c r="O1791" t="s">
        <v>27</v>
      </c>
      <c r="P1791" t="s">
        <v>42</v>
      </c>
    </row>
    <row r="1792" spans="1:16" x14ac:dyDescent="0.25">
      <c r="A1792" t="s">
        <v>2922</v>
      </c>
      <c r="B1792" t="s">
        <v>2923</v>
      </c>
      <c r="C1792" t="s">
        <v>65</v>
      </c>
      <c r="D1792" t="s">
        <v>47</v>
      </c>
      <c r="E1792" t="s">
        <v>48</v>
      </c>
      <c r="F1792" t="s">
        <v>22</v>
      </c>
      <c r="G1792" t="s">
        <v>33</v>
      </c>
      <c r="H1792" t="s">
        <v>58</v>
      </c>
      <c r="I1792">
        <v>5</v>
      </c>
      <c r="J1792">
        <v>492688</v>
      </c>
      <c r="K1792">
        <v>10</v>
      </c>
      <c r="L1792">
        <v>2217096</v>
      </c>
      <c r="M1792" t="s">
        <v>42</v>
      </c>
      <c r="N1792" t="s">
        <v>69</v>
      </c>
      <c r="O1792" t="s">
        <v>44</v>
      </c>
      <c r="P1792" t="s">
        <v>26</v>
      </c>
    </row>
    <row r="1793" spans="1:16" x14ac:dyDescent="0.25">
      <c r="A1793" t="s">
        <v>2924</v>
      </c>
      <c r="B1793" t="s">
        <v>2925</v>
      </c>
      <c r="C1793" t="s">
        <v>61</v>
      </c>
      <c r="D1793" t="s">
        <v>106</v>
      </c>
      <c r="E1793" t="s">
        <v>31</v>
      </c>
      <c r="F1793" t="s">
        <v>32</v>
      </c>
      <c r="G1793" t="s">
        <v>41</v>
      </c>
      <c r="H1793" t="s">
        <v>86</v>
      </c>
      <c r="I1793">
        <v>4</v>
      </c>
      <c r="J1793">
        <v>826458</v>
      </c>
      <c r="K1793">
        <v>5</v>
      </c>
      <c r="L1793">
        <v>3140540.4</v>
      </c>
      <c r="M1793" t="s">
        <v>54</v>
      </c>
      <c r="N1793" t="s">
        <v>43</v>
      </c>
      <c r="O1793" t="s">
        <v>44</v>
      </c>
      <c r="P1793" t="s">
        <v>42</v>
      </c>
    </row>
    <row r="1794" spans="1:16" x14ac:dyDescent="0.25">
      <c r="A1794" t="s">
        <v>2926</v>
      </c>
      <c r="B1794" t="s">
        <v>2927</v>
      </c>
      <c r="C1794" t="s">
        <v>19</v>
      </c>
      <c r="D1794" t="s">
        <v>20</v>
      </c>
      <c r="E1794" t="s">
        <v>21</v>
      </c>
      <c r="F1794" t="s">
        <v>22</v>
      </c>
      <c r="G1794" t="s">
        <v>62</v>
      </c>
      <c r="H1794" t="s">
        <v>53</v>
      </c>
      <c r="I1794">
        <v>3</v>
      </c>
      <c r="J1794">
        <v>115484</v>
      </c>
      <c r="K1794">
        <v>2</v>
      </c>
      <c r="L1794">
        <v>339522.96</v>
      </c>
      <c r="M1794" t="s">
        <v>42</v>
      </c>
      <c r="N1794" t="s">
        <v>26</v>
      </c>
      <c r="O1794" t="s">
        <v>27</v>
      </c>
      <c r="P1794" t="s">
        <v>42</v>
      </c>
    </row>
    <row r="1795" spans="1:16" x14ac:dyDescent="0.25">
      <c r="A1795" t="s">
        <v>2928</v>
      </c>
      <c r="B1795" t="s">
        <v>2929</v>
      </c>
      <c r="C1795" t="s">
        <v>19</v>
      </c>
      <c r="D1795" t="s">
        <v>20</v>
      </c>
      <c r="E1795" t="s">
        <v>21</v>
      </c>
      <c r="F1795" t="s">
        <v>22</v>
      </c>
      <c r="G1795" t="s">
        <v>33</v>
      </c>
      <c r="H1795" t="s">
        <v>53</v>
      </c>
      <c r="I1795">
        <v>6</v>
      </c>
      <c r="J1795">
        <v>296742</v>
      </c>
      <c r="K1795">
        <v>12</v>
      </c>
      <c r="L1795">
        <v>1566797.76</v>
      </c>
      <c r="M1795" t="s">
        <v>25</v>
      </c>
      <c r="N1795" t="s">
        <v>26</v>
      </c>
      <c r="O1795" t="s">
        <v>27</v>
      </c>
      <c r="P1795" t="s">
        <v>55</v>
      </c>
    </row>
    <row r="1796" spans="1:16" x14ac:dyDescent="0.25">
      <c r="A1796" t="s">
        <v>2930</v>
      </c>
      <c r="B1796" t="s">
        <v>613</v>
      </c>
      <c r="C1796" t="s">
        <v>65</v>
      </c>
      <c r="D1796" t="s">
        <v>47</v>
      </c>
      <c r="E1796" t="s">
        <v>72</v>
      </c>
      <c r="F1796" t="s">
        <v>22</v>
      </c>
      <c r="G1796" t="s">
        <v>33</v>
      </c>
      <c r="H1796" t="s">
        <v>58</v>
      </c>
      <c r="I1796">
        <v>8</v>
      </c>
      <c r="J1796">
        <v>530808</v>
      </c>
      <c r="K1796">
        <v>0</v>
      </c>
      <c r="L1796">
        <v>4246464</v>
      </c>
      <c r="M1796" t="s">
        <v>42</v>
      </c>
      <c r="N1796" t="s">
        <v>26</v>
      </c>
      <c r="O1796" t="s">
        <v>27</v>
      </c>
      <c r="P1796" t="s">
        <v>26</v>
      </c>
    </row>
    <row r="1797" spans="1:16" x14ac:dyDescent="0.25">
      <c r="A1797" t="s">
        <v>2931</v>
      </c>
      <c r="B1797" t="s">
        <v>2932</v>
      </c>
      <c r="C1797" t="s">
        <v>85</v>
      </c>
      <c r="D1797" t="s">
        <v>66</v>
      </c>
      <c r="E1797" t="s">
        <v>67</v>
      </c>
      <c r="F1797" t="s">
        <v>68</v>
      </c>
      <c r="G1797" t="s">
        <v>52</v>
      </c>
      <c r="H1797" t="s">
        <v>53</v>
      </c>
      <c r="I1797">
        <v>3</v>
      </c>
      <c r="J1797">
        <v>770028</v>
      </c>
      <c r="K1797">
        <v>0</v>
      </c>
      <c r="L1797">
        <v>2310084</v>
      </c>
      <c r="M1797" t="s">
        <v>42</v>
      </c>
      <c r="N1797" t="s">
        <v>26</v>
      </c>
      <c r="O1797" t="s">
        <v>44</v>
      </c>
      <c r="P1797" t="s">
        <v>55</v>
      </c>
    </row>
    <row r="1798" spans="1:16" x14ac:dyDescent="0.25">
      <c r="A1798" t="s">
        <v>2933</v>
      </c>
      <c r="B1798" t="s">
        <v>2934</v>
      </c>
      <c r="C1798" t="s">
        <v>85</v>
      </c>
      <c r="D1798" t="s">
        <v>38</v>
      </c>
      <c r="E1798" t="s">
        <v>39</v>
      </c>
      <c r="F1798" t="s">
        <v>40</v>
      </c>
      <c r="G1798" t="s">
        <v>52</v>
      </c>
      <c r="H1798" t="s">
        <v>34</v>
      </c>
      <c r="I1798">
        <v>3</v>
      </c>
      <c r="J1798">
        <v>206113</v>
      </c>
      <c r="K1798">
        <v>10</v>
      </c>
      <c r="L1798">
        <v>556505.1</v>
      </c>
      <c r="M1798" t="s">
        <v>25</v>
      </c>
      <c r="N1798" t="s">
        <v>26</v>
      </c>
      <c r="O1798" t="s">
        <v>27</v>
      </c>
      <c r="P1798" t="s">
        <v>55</v>
      </c>
    </row>
    <row r="1799" spans="1:16" x14ac:dyDescent="0.25">
      <c r="A1799" t="s">
        <v>2935</v>
      </c>
      <c r="B1799" t="s">
        <v>2936</v>
      </c>
      <c r="C1799" t="s">
        <v>85</v>
      </c>
      <c r="D1799" t="s">
        <v>66</v>
      </c>
      <c r="E1799" t="s">
        <v>201</v>
      </c>
      <c r="F1799" t="s">
        <v>68</v>
      </c>
      <c r="G1799" t="s">
        <v>41</v>
      </c>
      <c r="H1799" t="s">
        <v>24</v>
      </c>
      <c r="I1799">
        <v>7</v>
      </c>
      <c r="J1799">
        <v>389311</v>
      </c>
      <c r="K1799">
        <v>0</v>
      </c>
      <c r="L1799">
        <v>2725177</v>
      </c>
      <c r="M1799" t="s">
        <v>54</v>
      </c>
      <c r="N1799" t="s">
        <v>43</v>
      </c>
      <c r="O1799" t="s">
        <v>27</v>
      </c>
      <c r="P1799" t="s">
        <v>26</v>
      </c>
    </row>
    <row r="1800" spans="1:16" x14ac:dyDescent="0.25">
      <c r="A1800" t="s">
        <v>2937</v>
      </c>
      <c r="B1800" t="s">
        <v>1619</v>
      </c>
      <c r="C1800" t="s">
        <v>37</v>
      </c>
      <c r="D1800" t="s">
        <v>106</v>
      </c>
      <c r="E1800" t="s">
        <v>31</v>
      </c>
      <c r="F1800" t="s">
        <v>32</v>
      </c>
      <c r="G1800" t="s">
        <v>124</v>
      </c>
      <c r="H1800" t="s">
        <v>58</v>
      </c>
      <c r="I1800">
        <v>2</v>
      </c>
      <c r="J1800">
        <v>564800</v>
      </c>
      <c r="K1800">
        <v>10</v>
      </c>
      <c r="L1800">
        <v>1016640</v>
      </c>
      <c r="M1800" t="s">
        <v>25</v>
      </c>
      <c r="N1800" t="s">
        <v>26</v>
      </c>
      <c r="O1800" t="s">
        <v>44</v>
      </c>
      <c r="P1800" t="s">
        <v>42</v>
      </c>
    </row>
    <row r="1801" spans="1:16" x14ac:dyDescent="0.25">
      <c r="A1801" t="s">
        <v>2938</v>
      </c>
      <c r="B1801" t="s">
        <v>2540</v>
      </c>
      <c r="C1801" t="s">
        <v>76</v>
      </c>
      <c r="D1801" t="s">
        <v>66</v>
      </c>
      <c r="E1801" t="s">
        <v>67</v>
      </c>
      <c r="F1801" t="s">
        <v>68</v>
      </c>
      <c r="G1801" t="s">
        <v>73</v>
      </c>
      <c r="H1801" t="s">
        <v>86</v>
      </c>
      <c r="I1801">
        <v>6</v>
      </c>
      <c r="J1801">
        <v>607859</v>
      </c>
      <c r="K1801">
        <v>0</v>
      </c>
      <c r="L1801">
        <v>3647154</v>
      </c>
      <c r="M1801" t="s">
        <v>25</v>
      </c>
      <c r="N1801" t="s">
        <v>26</v>
      </c>
      <c r="O1801" t="s">
        <v>27</v>
      </c>
      <c r="P1801" t="s">
        <v>55</v>
      </c>
    </row>
    <row r="1802" spans="1:16" x14ac:dyDescent="0.25">
      <c r="A1802" t="s">
        <v>2939</v>
      </c>
      <c r="B1802" t="s">
        <v>1936</v>
      </c>
      <c r="C1802" t="s">
        <v>76</v>
      </c>
      <c r="D1802" t="s">
        <v>47</v>
      </c>
      <c r="E1802" t="s">
        <v>48</v>
      </c>
      <c r="F1802" t="s">
        <v>22</v>
      </c>
      <c r="G1802" t="s">
        <v>62</v>
      </c>
      <c r="H1802" t="s">
        <v>86</v>
      </c>
      <c r="I1802">
        <v>3</v>
      </c>
      <c r="J1802">
        <v>514048</v>
      </c>
      <c r="K1802">
        <v>7</v>
      </c>
      <c r="L1802">
        <v>1434193.9199999999</v>
      </c>
      <c r="M1802" t="s">
        <v>54</v>
      </c>
      <c r="N1802" t="s">
        <v>43</v>
      </c>
      <c r="O1802" t="s">
        <v>44</v>
      </c>
      <c r="P1802" t="s">
        <v>55</v>
      </c>
    </row>
    <row r="1803" spans="1:16" x14ac:dyDescent="0.25">
      <c r="A1803" t="s">
        <v>2940</v>
      </c>
      <c r="B1803" t="s">
        <v>2075</v>
      </c>
      <c r="C1803" t="s">
        <v>65</v>
      </c>
      <c r="D1803" t="s">
        <v>38</v>
      </c>
      <c r="E1803" t="s">
        <v>39</v>
      </c>
      <c r="F1803" t="s">
        <v>40</v>
      </c>
      <c r="G1803" t="s">
        <v>41</v>
      </c>
      <c r="H1803" t="s">
        <v>58</v>
      </c>
      <c r="I1803">
        <v>5</v>
      </c>
      <c r="J1803">
        <v>494299</v>
      </c>
      <c r="K1803">
        <v>7</v>
      </c>
      <c r="L1803">
        <v>2298490.35</v>
      </c>
      <c r="M1803" t="s">
        <v>25</v>
      </c>
      <c r="N1803" t="s">
        <v>26</v>
      </c>
      <c r="O1803" t="s">
        <v>44</v>
      </c>
      <c r="P1803" t="s">
        <v>55</v>
      </c>
    </row>
    <row r="1804" spans="1:16" x14ac:dyDescent="0.25">
      <c r="A1804" t="s">
        <v>2941</v>
      </c>
      <c r="B1804" t="s">
        <v>1613</v>
      </c>
      <c r="C1804" t="s">
        <v>85</v>
      </c>
      <c r="D1804" t="s">
        <v>30</v>
      </c>
      <c r="E1804" t="s">
        <v>31</v>
      </c>
      <c r="F1804" t="s">
        <v>32</v>
      </c>
      <c r="G1804" t="s">
        <v>135</v>
      </c>
      <c r="H1804" t="s">
        <v>86</v>
      </c>
      <c r="I1804">
        <v>2</v>
      </c>
      <c r="J1804">
        <v>505434</v>
      </c>
      <c r="K1804">
        <v>5</v>
      </c>
      <c r="L1804">
        <v>960324.6</v>
      </c>
      <c r="M1804" t="s">
        <v>42</v>
      </c>
      <c r="N1804" t="s">
        <v>69</v>
      </c>
      <c r="O1804" t="s">
        <v>44</v>
      </c>
      <c r="P1804" t="s">
        <v>26</v>
      </c>
    </row>
    <row r="1805" spans="1:16" x14ac:dyDescent="0.25">
      <c r="A1805" t="s">
        <v>2942</v>
      </c>
      <c r="B1805" t="s">
        <v>358</v>
      </c>
      <c r="C1805" t="s">
        <v>65</v>
      </c>
      <c r="D1805" t="s">
        <v>38</v>
      </c>
      <c r="E1805" t="s">
        <v>39</v>
      </c>
      <c r="F1805" t="s">
        <v>40</v>
      </c>
      <c r="G1805" t="s">
        <v>52</v>
      </c>
      <c r="H1805" t="s">
        <v>34</v>
      </c>
      <c r="I1805">
        <v>3</v>
      </c>
      <c r="J1805">
        <v>589338</v>
      </c>
      <c r="K1805">
        <v>12</v>
      </c>
      <c r="L1805">
        <v>1555852.32</v>
      </c>
      <c r="M1805" t="s">
        <v>25</v>
      </c>
      <c r="N1805" t="s">
        <v>43</v>
      </c>
      <c r="O1805" t="s">
        <v>44</v>
      </c>
      <c r="P1805" t="s">
        <v>26</v>
      </c>
    </row>
    <row r="1806" spans="1:16" x14ac:dyDescent="0.25">
      <c r="A1806" t="s">
        <v>2943</v>
      </c>
      <c r="B1806" t="s">
        <v>1942</v>
      </c>
      <c r="C1806" t="s">
        <v>19</v>
      </c>
      <c r="D1806" t="s">
        <v>66</v>
      </c>
      <c r="E1806" t="s">
        <v>67</v>
      </c>
      <c r="F1806" t="s">
        <v>68</v>
      </c>
      <c r="G1806" t="s">
        <v>73</v>
      </c>
      <c r="H1806" t="s">
        <v>58</v>
      </c>
      <c r="I1806">
        <v>8</v>
      </c>
      <c r="J1806">
        <v>304595</v>
      </c>
      <c r="K1806">
        <v>12</v>
      </c>
      <c r="L1806">
        <v>2144348.7999999998</v>
      </c>
      <c r="M1806" t="s">
        <v>54</v>
      </c>
      <c r="N1806" t="s">
        <v>26</v>
      </c>
      <c r="O1806" t="s">
        <v>27</v>
      </c>
      <c r="P1806" t="s">
        <v>26</v>
      </c>
    </row>
    <row r="1807" spans="1:16" x14ac:dyDescent="0.25">
      <c r="A1807" t="s">
        <v>2944</v>
      </c>
      <c r="B1807" t="s">
        <v>1484</v>
      </c>
      <c r="C1807" t="s">
        <v>65</v>
      </c>
      <c r="D1807" t="s">
        <v>47</v>
      </c>
      <c r="E1807" t="s">
        <v>48</v>
      </c>
      <c r="F1807" t="s">
        <v>22</v>
      </c>
      <c r="G1807" t="s">
        <v>94</v>
      </c>
      <c r="H1807" t="s">
        <v>53</v>
      </c>
      <c r="I1807">
        <v>4</v>
      </c>
      <c r="J1807">
        <v>667925</v>
      </c>
      <c r="K1807">
        <v>10</v>
      </c>
      <c r="L1807">
        <v>2404530</v>
      </c>
      <c r="M1807" t="s">
        <v>54</v>
      </c>
      <c r="N1807" t="s">
        <v>26</v>
      </c>
      <c r="O1807" t="s">
        <v>27</v>
      </c>
      <c r="P1807" t="s">
        <v>42</v>
      </c>
    </row>
    <row r="1808" spans="1:16" x14ac:dyDescent="0.25">
      <c r="A1808" t="s">
        <v>2945</v>
      </c>
      <c r="B1808" t="s">
        <v>1934</v>
      </c>
      <c r="C1808" t="s">
        <v>65</v>
      </c>
      <c r="D1808" t="s">
        <v>119</v>
      </c>
      <c r="E1808" t="s">
        <v>21</v>
      </c>
      <c r="F1808" t="s">
        <v>22</v>
      </c>
      <c r="G1808" t="s">
        <v>135</v>
      </c>
      <c r="H1808" t="s">
        <v>58</v>
      </c>
      <c r="I1808">
        <v>2</v>
      </c>
      <c r="J1808">
        <v>121267</v>
      </c>
      <c r="K1808">
        <v>2</v>
      </c>
      <c r="L1808">
        <v>237683.32</v>
      </c>
      <c r="M1808" t="s">
        <v>54</v>
      </c>
      <c r="N1808" t="s">
        <v>69</v>
      </c>
      <c r="O1808" t="s">
        <v>27</v>
      </c>
      <c r="P1808" t="s">
        <v>42</v>
      </c>
    </row>
    <row r="1809" spans="1:16" x14ac:dyDescent="0.25">
      <c r="A1809" t="s">
        <v>2946</v>
      </c>
      <c r="B1809" t="s">
        <v>2583</v>
      </c>
      <c r="C1809" t="s">
        <v>65</v>
      </c>
      <c r="D1809" t="s">
        <v>20</v>
      </c>
      <c r="E1809" t="s">
        <v>21</v>
      </c>
      <c r="F1809" t="s">
        <v>22</v>
      </c>
      <c r="G1809" t="s">
        <v>33</v>
      </c>
      <c r="H1809" t="s">
        <v>58</v>
      </c>
      <c r="I1809">
        <v>6</v>
      </c>
      <c r="J1809">
        <v>830606</v>
      </c>
      <c r="K1809">
        <v>7</v>
      </c>
      <c r="L1809">
        <v>4634781.4800000004</v>
      </c>
      <c r="M1809" t="s">
        <v>25</v>
      </c>
      <c r="N1809" t="s">
        <v>43</v>
      </c>
      <c r="O1809" t="s">
        <v>44</v>
      </c>
      <c r="P1809" t="s">
        <v>26</v>
      </c>
    </row>
    <row r="1810" spans="1:16" x14ac:dyDescent="0.25">
      <c r="A1810" t="s">
        <v>2947</v>
      </c>
      <c r="B1810" t="s">
        <v>2680</v>
      </c>
      <c r="C1810" t="s">
        <v>91</v>
      </c>
      <c r="D1810" t="s">
        <v>129</v>
      </c>
      <c r="E1810" t="s">
        <v>39</v>
      </c>
      <c r="F1810" t="s">
        <v>40</v>
      </c>
      <c r="G1810" t="s">
        <v>94</v>
      </c>
      <c r="H1810" t="s">
        <v>86</v>
      </c>
      <c r="J1810">
        <v>479533</v>
      </c>
      <c r="K1810">
        <v>12</v>
      </c>
      <c r="M1810" t="s">
        <v>42</v>
      </c>
      <c r="N1810" t="s">
        <v>43</v>
      </c>
      <c r="O1810" t="s">
        <v>44</v>
      </c>
      <c r="P1810" t="s">
        <v>42</v>
      </c>
    </row>
    <row r="1811" spans="1:16" x14ac:dyDescent="0.25">
      <c r="A1811" t="s">
        <v>2948</v>
      </c>
      <c r="B1811" t="s">
        <v>2949</v>
      </c>
      <c r="C1811" t="s">
        <v>37</v>
      </c>
      <c r="D1811" t="s">
        <v>66</v>
      </c>
      <c r="E1811" t="s">
        <v>67</v>
      </c>
      <c r="F1811" t="s">
        <v>68</v>
      </c>
      <c r="G1811" t="s">
        <v>41</v>
      </c>
      <c r="H1811" t="s">
        <v>24</v>
      </c>
      <c r="I1811">
        <v>2</v>
      </c>
      <c r="J1811">
        <v>60891</v>
      </c>
      <c r="K1811">
        <v>5</v>
      </c>
      <c r="L1811">
        <v>115692.9</v>
      </c>
      <c r="M1811" t="s">
        <v>25</v>
      </c>
      <c r="N1811" t="s">
        <v>69</v>
      </c>
      <c r="O1811" t="s">
        <v>27</v>
      </c>
      <c r="P1811" t="s">
        <v>55</v>
      </c>
    </row>
    <row r="1812" spans="1:16" x14ac:dyDescent="0.25">
      <c r="A1812" t="s">
        <v>2950</v>
      </c>
      <c r="B1812" t="s">
        <v>2951</v>
      </c>
      <c r="C1812" t="s">
        <v>76</v>
      </c>
      <c r="D1812" t="s">
        <v>20</v>
      </c>
      <c r="E1812" t="s">
        <v>21</v>
      </c>
      <c r="F1812" t="s">
        <v>22</v>
      </c>
      <c r="G1812" t="s">
        <v>73</v>
      </c>
      <c r="H1812" t="s">
        <v>34</v>
      </c>
      <c r="I1812">
        <v>1</v>
      </c>
      <c r="J1812">
        <v>64910</v>
      </c>
      <c r="K1812">
        <v>2</v>
      </c>
      <c r="L1812">
        <v>63611.8</v>
      </c>
      <c r="M1812" t="s">
        <v>42</v>
      </c>
      <c r="N1812" t="s">
        <v>69</v>
      </c>
      <c r="O1812" t="s">
        <v>44</v>
      </c>
      <c r="P1812" t="s">
        <v>26</v>
      </c>
    </row>
    <row r="1813" spans="1:16" x14ac:dyDescent="0.25">
      <c r="A1813" t="s">
        <v>2952</v>
      </c>
      <c r="B1813" t="s">
        <v>997</v>
      </c>
      <c r="C1813" t="s">
        <v>37</v>
      </c>
      <c r="D1813" t="s">
        <v>47</v>
      </c>
      <c r="E1813" t="s">
        <v>48</v>
      </c>
      <c r="F1813" t="s">
        <v>22</v>
      </c>
      <c r="G1813" t="s">
        <v>52</v>
      </c>
      <c r="H1813" t="s">
        <v>58</v>
      </c>
      <c r="I1813">
        <v>1</v>
      </c>
      <c r="J1813">
        <v>644962</v>
      </c>
      <c r="K1813">
        <v>0</v>
      </c>
      <c r="L1813">
        <v>644962</v>
      </c>
      <c r="M1813" t="s">
        <v>25</v>
      </c>
      <c r="N1813" t="s">
        <v>43</v>
      </c>
      <c r="O1813" t="s">
        <v>27</v>
      </c>
      <c r="P1813" t="s">
        <v>26</v>
      </c>
    </row>
    <row r="1814" spans="1:16" x14ac:dyDescent="0.25">
      <c r="A1814" t="s">
        <v>2953</v>
      </c>
      <c r="B1814" t="s">
        <v>1011</v>
      </c>
      <c r="C1814" t="s">
        <v>76</v>
      </c>
      <c r="D1814" t="s">
        <v>66</v>
      </c>
      <c r="E1814" t="s">
        <v>201</v>
      </c>
      <c r="F1814" t="s">
        <v>68</v>
      </c>
      <c r="G1814" t="s">
        <v>62</v>
      </c>
      <c r="H1814" t="s">
        <v>86</v>
      </c>
      <c r="I1814">
        <v>4</v>
      </c>
      <c r="J1814">
        <v>806788</v>
      </c>
      <c r="K1814">
        <v>5</v>
      </c>
      <c r="L1814">
        <v>3065794.4</v>
      </c>
      <c r="M1814" t="s">
        <v>54</v>
      </c>
      <c r="N1814" t="s">
        <v>69</v>
      </c>
      <c r="O1814" t="s">
        <v>44</v>
      </c>
      <c r="P1814" t="s">
        <v>42</v>
      </c>
    </row>
    <row r="1815" spans="1:16" x14ac:dyDescent="0.25">
      <c r="A1815" t="s">
        <v>2954</v>
      </c>
      <c r="B1815" t="s">
        <v>1391</v>
      </c>
      <c r="C1815" t="s">
        <v>65</v>
      </c>
      <c r="D1815" t="s">
        <v>38</v>
      </c>
      <c r="E1815" t="s">
        <v>39</v>
      </c>
      <c r="F1815" t="s">
        <v>40</v>
      </c>
      <c r="G1815" t="s">
        <v>23</v>
      </c>
      <c r="H1815" t="s">
        <v>34</v>
      </c>
      <c r="I1815">
        <v>2</v>
      </c>
      <c r="J1815">
        <v>719898</v>
      </c>
      <c r="K1815">
        <v>7</v>
      </c>
      <c r="L1815">
        <v>1339010.28</v>
      </c>
      <c r="M1815" t="s">
        <v>42</v>
      </c>
      <c r="N1815" t="s">
        <v>69</v>
      </c>
      <c r="O1815" t="s">
        <v>44</v>
      </c>
      <c r="P1815" t="s">
        <v>42</v>
      </c>
    </row>
    <row r="1816" spans="1:16" x14ac:dyDescent="0.25">
      <c r="A1816" t="s">
        <v>2955</v>
      </c>
      <c r="B1816" t="s">
        <v>2956</v>
      </c>
      <c r="C1816" t="s">
        <v>85</v>
      </c>
      <c r="D1816" t="s">
        <v>20</v>
      </c>
      <c r="E1816" t="s">
        <v>21</v>
      </c>
      <c r="F1816" t="s">
        <v>22</v>
      </c>
      <c r="G1816" t="s">
        <v>33</v>
      </c>
      <c r="H1816" t="s">
        <v>24</v>
      </c>
      <c r="I1816">
        <v>6</v>
      </c>
      <c r="J1816">
        <v>290209</v>
      </c>
      <c r="K1816">
        <v>2</v>
      </c>
      <c r="L1816">
        <v>1706428.92</v>
      </c>
      <c r="M1816" t="s">
        <v>42</v>
      </c>
      <c r="N1816" t="s">
        <v>26</v>
      </c>
      <c r="O1816" t="s">
        <v>44</v>
      </c>
      <c r="P1816" t="s">
        <v>55</v>
      </c>
    </row>
    <row r="1817" spans="1:16" x14ac:dyDescent="0.25">
      <c r="A1817" t="s">
        <v>2957</v>
      </c>
      <c r="B1817" t="s">
        <v>2958</v>
      </c>
      <c r="C1817" t="s">
        <v>65</v>
      </c>
      <c r="D1817" t="s">
        <v>66</v>
      </c>
      <c r="E1817" t="s">
        <v>67</v>
      </c>
      <c r="F1817" t="s">
        <v>68</v>
      </c>
      <c r="G1817" t="s">
        <v>62</v>
      </c>
      <c r="H1817" t="s">
        <v>34</v>
      </c>
      <c r="I1817">
        <v>8</v>
      </c>
      <c r="J1817">
        <v>308900</v>
      </c>
      <c r="M1817" t="s">
        <v>25</v>
      </c>
      <c r="N1817" t="s">
        <v>26</v>
      </c>
      <c r="O1817" t="s">
        <v>44</v>
      </c>
      <c r="P1817" t="s">
        <v>55</v>
      </c>
    </row>
    <row r="1818" spans="1:16" x14ac:dyDescent="0.25">
      <c r="A1818" t="s">
        <v>2959</v>
      </c>
      <c r="B1818" t="s">
        <v>2894</v>
      </c>
      <c r="C1818" t="s">
        <v>19</v>
      </c>
      <c r="D1818" t="s">
        <v>30</v>
      </c>
      <c r="E1818" t="s">
        <v>31</v>
      </c>
      <c r="F1818" t="s">
        <v>32</v>
      </c>
      <c r="G1818" t="s">
        <v>33</v>
      </c>
      <c r="H1818" t="s">
        <v>58</v>
      </c>
      <c r="I1818">
        <v>6</v>
      </c>
      <c r="J1818">
        <v>317403</v>
      </c>
      <c r="K1818">
        <v>12</v>
      </c>
      <c r="L1818">
        <v>1675887.84</v>
      </c>
      <c r="M1818" t="s">
        <v>42</v>
      </c>
      <c r="N1818" t="s">
        <v>69</v>
      </c>
      <c r="O1818" t="s">
        <v>27</v>
      </c>
      <c r="P1818" t="s">
        <v>55</v>
      </c>
    </row>
    <row r="1819" spans="1:16" x14ac:dyDescent="0.25">
      <c r="A1819" t="s">
        <v>2960</v>
      </c>
      <c r="B1819" t="s">
        <v>2961</v>
      </c>
      <c r="C1819" t="s">
        <v>85</v>
      </c>
      <c r="D1819" t="s">
        <v>129</v>
      </c>
      <c r="E1819" t="s">
        <v>39</v>
      </c>
      <c r="F1819" t="s">
        <v>40</v>
      </c>
      <c r="G1819" t="s">
        <v>62</v>
      </c>
      <c r="H1819" t="s">
        <v>53</v>
      </c>
      <c r="I1819">
        <v>1</v>
      </c>
      <c r="J1819">
        <v>574504</v>
      </c>
      <c r="K1819">
        <v>7</v>
      </c>
      <c r="L1819">
        <v>534288.72</v>
      </c>
      <c r="M1819" t="s">
        <v>42</v>
      </c>
      <c r="N1819" t="s">
        <v>43</v>
      </c>
      <c r="O1819" t="s">
        <v>27</v>
      </c>
      <c r="P1819" t="s">
        <v>55</v>
      </c>
    </row>
    <row r="1820" spans="1:16" x14ac:dyDescent="0.25">
      <c r="A1820" t="s">
        <v>2962</v>
      </c>
      <c r="B1820" t="s">
        <v>679</v>
      </c>
      <c r="C1820" t="s">
        <v>91</v>
      </c>
      <c r="D1820" t="s">
        <v>20</v>
      </c>
      <c r="E1820" t="s">
        <v>21</v>
      </c>
      <c r="F1820" t="s">
        <v>22</v>
      </c>
      <c r="G1820" t="s">
        <v>33</v>
      </c>
      <c r="H1820" t="s">
        <v>24</v>
      </c>
      <c r="I1820">
        <v>8</v>
      </c>
      <c r="J1820">
        <v>744481</v>
      </c>
      <c r="K1820">
        <v>10</v>
      </c>
      <c r="L1820">
        <v>5360263.2</v>
      </c>
      <c r="M1820" t="s">
        <v>42</v>
      </c>
      <c r="N1820" t="s">
        <v>43</v>
      </c>
      <c r="O1820" t="s">
        <v>27</v>
      </c>
      <c r="P1820" t="s">
        <v>26</v>
      </c>
    </row>
    <row r="1821" spans="1:16" x14ac:dyDescent="0.25">
      <c r="A1821" t="s">
        <v>2963</v>
      </c>
      <c r="B1821" t="s">
        <v>1102</v>
      </c>
      <c r="C1821" t="s">
        <v>65</v>
      </c>
      <c r="D1821" t="s">
        <v>51</v>
      </c>
      <c r="E1821" t="s">
        <v>48</v>
      </c>
      <c r="F1821" t="s">
        <v>22</v>
      </c>
      <c r="G1821" t="s">
        <v>62</v>
      </c>
      <c r="H1821" t="s">
        <v>58</v>
      </c>
      <c r="I1821">
        <v>3</v>
      </c>
      <c r="J1821">
        <v>364650</v>
      </c>
      <c r="K1821">
        <v>2</v>
      </c>
      <c r="L1821">
        <v>1072071</v>
      </c>
      <c r="M1821" t="s">
        <v>54</v>
      </c>
      <c r="N1821" t="s">
        <v>69</v>
      </c>
      <c r="O1821" t="s">
        <v>27</v>
      </c>
      <c r="P1821" t="s">
        <v>42</v>
      </c>
    </row>
    <row r="1822" spans="1:16" x14ac:dyDescent="0.25">
      <c r="A1822" t="s">
        <v>2964</v>
      </c>
      <c r="B1822" t="s">
        <v>1085</v>
      </c>
      <c r="C1822" t="s">
        <v>79</v>
      </c>
      <c r="D1822" t="s">
        <v>38</v>
      </c>
      <c r="E1822" t="s">
        <v>39</v>
      </c>
      <c r="F1822" t="s">
        <v>40</v>
      </c>
      <c r="G1822" t="s">
        <v>73</v>
      </c>
      <c r="H1822" t="s">
        <v>34</v>
      </c>
      <c r="I1822">
        <v>6</v>
      </c>
      <c r="J1822">
        <v>315709</v>
      </c>
      <c r="K1822">
        <v>0</v>
      </c>
      <c r="L1822">
        <v>1894254</v>
      </c>
      <c r="M1822" t="s">
        <v>25</v>
      </c>
      <c r="N1822" t="s">
        <v>69</v>
      </c>
      <c r="O1822" t="s">
        <v>27</v>
      </c>
      <c r="P1822" t="s">
        <v>26</v>
      </c>
    </row>
    <row r="1823" spans="1:16" x14ac:dyDescent="0.25">
      <c r="A1823" t="s">
        <v>2965</v>
      </c>
      <c r="B1823" t="s">
        <v>2966</v>
      </c>
      <c r="C1823" t="s">
        <v>37</v>
      </c>
      <c r="D1823" t="s">
        <v>38</v>
      </c>
      <c r="E1823" t="s">
        <v>39</v>
      </c>
      <c r="F1823" t="s">
        <v>40</v>
      </c>
      <c r="G1823" t="s">
        <v>135</v>
      </c>
      <c r="H1823" t="s">
        <v>58</v>
      </c>
      <c r="I1823">
        <v>7</v>
      </c>
      <c r="J1823">
        <v>651047</v>
      </c>
      <c r="K1823">
        <v>12</v>
      </c>
      <c r="L1823">
        <v>4010449.52</v>
      </c>
      <c r="M1823" t="s">
        <v>25</v>
      </c>
      <c r="N1823" t="s">
        <v>26</v>
      </c>
      <c r="O1823" t="s">
        <v>44</v>
      </c>
      <c r="P1823" t="s">
        <v>42</v>
      </c>
    </row>
    <row r="1824" spans="1:16" x14ac:dyDescent="0.25">
      <c r="A1824" t="s">
        <v>2967</v>
      </c>
      <c r="B1824" t="s">
        <v>747</v>
      </c>
      <c r="C1824" t="s">
        <v>19</v>
      </c>
      <c r="D1824" t="s">
        <v>66</v>
      </c>
      <c r="E1824" t="s">
        <v>67</v>
      </c>
      <c r="F1824" t="s">
        <v>68</v>
      </c>
      <c r="G1824" t="s">
        <v>73</v>
      </c>
      <c r="H1824" t="s">
        <v>53</v>
      </c>
      <c r="I1824">
        <v>5</v>
      </c>
      <c r="J1824">
        <v>218091</v>
      </c>
      <c r="K1824">
        <v>7</v>
      </c>
      <c r="L1824">
        <v>1014123.15</v>
      </c>
      <c r="M1824" t="s">
        <v>25</v>
      </c>
      <c r="N1824" t="s">
        <v>43</v>
      </c>
      <c r="O1824" t="s">
        <v>27</v>
      </c>
      <c r="P1824" t="s">
        <v>55</v>
      </c>
    </row>
    <row r="1825" spans="1:16" x14ac:dyDescent="0.25">
      <c r="A1825" t="s">
        <v>2968</v>
      </c>
      <c r="B1825" t="s">
        <v>2969</v>
      </c>
      <c r="C1825" t="s">
        <v>91</v>
      </c>
      <c r="D1825" t="s">
        <v>38</v>
      </c>
      <c r="E1825" t="s">
        <v>39</v>
      </c>
      <c r="F1825" t="s">
        <v>40</v>
      </c>
      <c r="G1825" t="s">
        <v>52</v>
      </c>
      <c r="H1825" t="s">
        <v>34</v>
      </c>
      <c r="I1825">
        <v>4</v>
      </c>
      <c r="J1825">
        <v>854956</v>
      </c>
      <c r="K1825">
        <v>7</v>
      </c>
      <c r="L1825">
        <v>3180436.32</v>
      </c>
      <c r="M1825" t="s">
        <v>54</v>
      </c>
      <c r="N1825" t="s">
        <v>43</v>
      </c>
      <c r="O1825" t="s">
        <v>27</v>
      </c>
      <c r="P1825" t="s">
        <v>26</v>
      </c>
    </row>
    <row r="1826" spans="1:16" x14ac:dyDescent="0.25">
      <c r="A1826" t="s">
        <v>2970</v>
      </c>
      <c r="B1826" t="s">
        <v>2277</v>
      </c>
      <c r="C1826" t="s">
        <v>76</v>
      </c>
      <c r="D1826" t="s">
        <v>20</v>
      </c>
      <c r="E1826" t="s">
        <v>189</v>
      </c>
      <c r="F1826" t="s">
        <v>22</v>
      </c>
      <c r="G1826" t="s">
        <v>41</v>
      </c>
      <c r="H1826" t="s">
        <v>58</v>
      </c>
      <c r="I1826">
        <v>4</v>
      </c>
      <c r="J1826">
        <v>496708</v>
      </c>
      <c r="K1826">
        <v>0</v>
      </c>
      <c r="L1826">
        <v>1986832</v>
      </c>
      <c r="M1826" t="s">
        <v>54</v>
      </c>
      <c r="N1826" t="s">
        <v>43</v>
      </c>
      <c r="O1826" t="s">
        <v>44</v>
      </c>
      <c r="P1826" t="s">
        <v>55</v>
      </c>
    </row>
    <row r="1827" spans="1:16" x14ac:dyDescent="0.25">
      <c r="A1827" t="s">
        <v>2971</v>
      </c>
      <c r="B1827" t="s">
        <v>114</v>
      </c>
      <c r="C1827" t="s">
        <v>85</v>
      </c>
      <c r="D1827" t="s">
        <v>30</v>
      </c>
      <c r="E1827" t="s">
        <v>31</v>
      </c>
      <c r="F1827" t="s">
        <v>32</v>
      </c>
      <c r="G1827" t="s">
        <v>62</v>
      </c>
      <c r="H1827" t="s">
        <v>34</v>
      </c>
      <c r="I1827">
        <v>2</v>
      </c>
      <c r="J1827">
        <v>443796</v>
      </c>
      <c r="K1827">
        <v>2</v>
      </c>
      <c r="L1827">
        <v>869840.16</v>
      </c>
      <c r="M1827" t="s">
        <v>25</v>
      </c>
      <c r="N1827" t="s">
        <v>43</v>
      </c>
      <c r="O1827" t="s">
        <v>44</v>
      </c>
      <c r="P1827" t="s">
        <v>55</v>
      </c>
    </row>
    <row r="1828" spans="1:16" x14ac:dyDescent="0.25">
      <c r="A1828" t="s">
        <v>2972</v>
      </c>
      <c r="B1828" t="s">
        <v>871</v>
      </c>
      <c r="C1828" t="s">
        <v>85</v>
      </c>
      <c r="D1828" t="s">
        <v>47</v>
      </c>
      <c r="E1828" t="s">
        <v>48</v>
      </c>
      <c r="F1828" t="s">
        <v>22</v>
      </c>
      <c r="G1828" t="s">
        <v>41</v>
      </c>
      <c r="H1828" t="s">
        <v>53</v>
      </c>
      <c r="I1828">
        <v>7</v>
      </c>
      <c r="J1828">
        <v>896602</v>
      </c>
      <c r="K1828">
        <v>0</v>
      </c>
      <c r="L1828">
        <v>6276214</v>
      </c>
      <c r="M1828" t="s">
        <v>25</v>
      </c>
      <c r="N1828" t="s">
        <v>26</v>
      </c>
      <c r="O1828" t="s">
        <v>44</v>
      </c>
      <c r="P1828" t="s">
        <v>42</v>
      </c>
    </row>
    <row r="1829" spans="1:16" x14ac:dyDescent="0.25">
      <c r="A1829" t="s">
        <v>2973</v>
      </c>
      <c r="B1829" t="s">
        <v>2974</v>
      </c>
      <c r="C1829" t="s">
        <v>37</v>
      </c>
      <c r="D1829" t="s">
        <v>66</v>
      </c>
      <c r="E1829" t="s">
        <v>67</v>
      </c>
      <c r="F1829" t="s">
        <v>68</v>
      </c>
      <c r="G1829" t="s">
        <v>73</v>
      </c>
      <c r="H1829" t="s">
        <v>24</v>
      </c>
      <c r="I1829">
        <v>1</v>
      </c>
      <c r="J1829">
        <v>270412</v>
      </c>
      <c r="K1829">
        <v>5</v>
      </c>
      <c r="L1829">
        <v>256891.4</v>
      </c>
      <c r="M1829" t="s">
        <v>54</v>
      </c>
      <c r="N1829" t="s">
        <v>43</v>
      </c>
      <c r="O1829" t="s">
        <v>27</v>
      </c>
      <c r="P1829" t="s">
        <v>55</v>
      </c>
    </row>
    <row r="1830" spans="1:16" x14ac:dyDescent="0.25">
      <c r="A1830" t="s">
        <v>2975</v>
      </c>
      <c r="B1830" t="s">
        <v>1208</v>
      </c>
      <c r="C1830" t="s">
        <v>76</v>
      </c>
      <c r="D1830" t="s">
        <v>66</v>
      </c>
      <c r="E1830" t="s">
        <v>67</v>
      </c>
      <c r="F1830" t="s">
        <v>68</v>
      </c>
      <c r="G1830" t="s">
        <v>73</v>
      </c>
      <c r="H1830" t="s">
        <v>58</v>
      </c>
      <c r="I1830">
        <v>8</v>
      </c>
      <c r="J1830">
        <v>446827</v>
      </c>
      <c r="K1830">
        <v>0</v>
      </c>
      <c r="L1830">
        <v>3586961</v>
      </c>
      <c r="M1830" t="s">
        <v>42</v>
      </c>
      <c r="N1830" t="s">
        <v>26</v>
      </c>
      <c r="O1830" t="s">
        <v>27</v>
      </c>
      <c r="P1830" t="s">
        <v>42</v>
      </c>
    </row>
    <row r="1831" spans="1:16" x14ac:dyDescent="0.25">
      <c r="A1831" t="s">
        <v>2976</v>
      </c>
      <c r="B1831" t="s">
        <v>2977</v>
      </c>
      <c r="C1831" t="s">
        <v>19</v>
      </c>
      <c r="D1831" t="s">
        <v>20</v>
      </c>
      <c r="E1831" t="s">
        <v>21</v>
      </c>
      <c r="F1831" t="s">
        <v>22</v>
      </c>
      <c r="G1831" t="s">
        <v>73</v>
      </c>
      <c r="H1831" t="s">
        <v>58</v>
      </c>
      <c r="I1831">
        <v>8</v>
      </c>
      <c r="J1831">
        <v>196038</v>
      </c>
      <c r="M1831" t="s">
        <v>42</v>
      </c>
      <c r="N1831" t="s">
        <v>69</v>
      </c>
      <c r="O1831" t="s">
        <v>44</v>
      </c>
      <c r="P1831" t="s">
        <v>42</v>
      </c>
    </row>
    <row r="1832" spans="1:16" x14ac:dyDescent="0.25">
      <c r="A1832" t="s">
        <v>2978</v>
      </c>
      <c r="B1832" t="s">
        <v>176</v>
      </c>
      <c r="C1832" t="s">
        <v>85</v>
      </c>
      <c r="D1832" t="s">
        <v>66</v>
      </c>
      <c r="E1832" t="s">
        <v>67</v>
      </c>
      <c r="F1832" t="s">
        <v>68</v>
      </c>
      <c r="G1832" t="s">
        <v>124</v>
      </c>
      <c r="H1832" t="s">
        <v>86</v>
      </c>
      <c r="I1832">
        <v>8</v>
      </c>
      <c r="J1832">
        <v>525803</v>
      </c>
      <c r="K1832">
        <v>0</v>
      </c>
      <c r="L1832">
        <v>4218769</v>
      </c>
      <c r="M1832" t="s">
        <v>25</v>
      </c>
      <c r="N1832" t="s">
        <v>69</v>
      </c>
      <c r="O1832" t="s">
        <v>27</v>
      </c>
      <c r="P1832" t="s">
        <v>42</v>
      </c>
    </row>
    <row r="1833" spans="1:16" x14ac:dyDescent="0.25">
      <c r="A1833" t="s">
        <v>2979</v>
      </c>
      <c r="B1833" t="s">
        <v>1724</v>
      </c>
      <c r="C1833" t="s">
        <v>65</v>
      </c>
      <c r="D1833" t="s">
        <v>38</v>
      </c>
      <c r="E1833" t="s">
        <v>130</v>
      </c>
      <c r="F1833" t="s">
        <v>40</v>
      </c>
      <c r="G1833" t="s">
        <v>73</v>
      </c>
      <c r="H1833" t="s">
        <v>53</v>
      </c>
      <c r="I1833">
        <v>6</v>
      </c>
      <c r="J1833">
        <v>528163</v>
      </c>
      <c r="K1833">
        <v>10</v>
      </c>
      <c r="L1833">
        <v>2852080.2</v>
      </c>
      <c r="M1833" t="s">
        <v>25</v>
      </c>
      <c r="N1833" t="s">
        <v>69</v>
      </c>
      <c r="O1833" t="s">
        <v>27</v>
      </c>
      <c r="P1833" t="s">
        <v>42</v>
      </c>
    </row>
    <row r="1834" spans="1:16" x14ac:dyDescent="0.25">
      <c r="A1834" t="s">
        <v>2980</v>
      </c>
      <c r="B1834" t="s">
        <v>2981</v>
      </c>
      <c r="C1834" t="s">
        <v>85</v>
      </c>
      <c r="D1834" t="s">
        <v>38</v>
      </c>
      <c r="E1834" t="s">
        <v>39</v>
      </c>
      <c r="F1834" t="s">
        <v>40</v>
      </c>
      <c r="G1834" t="s">
        <v>41</v>
      </c>
      <c r="H1834" t="s">
        <v>24</v>
      </c>
      <c r="I1834">
        <v>4</v>
      </c>
      <c r="J1834">
        <v>382932</v>
      </c>
      <c r="K1834">
        <v>7</v>
      </c>
      <c r="L1834">
        <v>1424507.04</v>
      </c>
      <c r="M1834" t="s">
        <v>25</v>
      </c>
      <c r="N1834" t="s">
        <v>69</v>
      </c>
      <c r="O1834" t="s">
        <v>27</v>
      </c>
      <c r="P1834" t="s">
        <v>42</v>
      </c>
    </row>
    <row r="1835" spans="1:16" x14ac:dyDescent="0.25">
      <c r="A1835" t="s">
        <v>2982</v>
      </c>
      <c r="B1835" t="s">
        <v>2983</v>
      </c>
      <c r="C1835" t="s">
        <v>37</v>
      </c>
      <c r="D1835" t="s">
        <v>47</v>
      </c>
      <c r="E1835" t="s">
        <v>48</v>
      </c>
      <c r="F1835" t="s">
        <v>22</v>
      </c>
      <c r="G1835" t="s">
        <v>41</v>
      </c>
      <c r="H1835" t="s">
        <v>53</v>
      </c>
      <c r="I1835">
        <v>3</v>
      </c>
      <c r="J1835">
        <v>354850</v>
      </c>
      <c r="K1835">
        <v>2</v>
      </c>
      <c r="L1835">
        <v>1043259</v>
      </c>
      <c r="M1835" t="s">
        <v>54</v>
      </c>
      <c r="N1835" t="s">
        <v>43</v>
      </c>
      <c r="O1835" t="s">
        <v>27</v>
      </c>
      <c r="P1835" t="s">
        <v>42</v>
      </c>
    </row>
    <row r="1836" spans="1:16" x14ac:dyDescent="0.25">
      <c r="A1836" t="s">
        <v>2984</v>
      </c>
      <c r="B1836" t="s">
        <v>1220</v>
      </c>
      <c r="C1836" t="s">
        <v>198</v>
      </c>
      <c r="D1836" t="s">
        <v>66</v>
      </c>
      <c r="E1836" t="s">
        <v>67</v>
      </c>
      <c r="F1836" t="s">
        <v>68</v>
      </c>
      <c r="G1836" t="s">
        <v>52</v>
      </c>
      <c r="H1836" t="s">
        <v>58</v>
      </c>
      <c r="I1836">
        <v>8</v>
      </c>
      <c r="J1836">
        <v>236526</v>
      </c>
      <c r="K1836">
        <v>12</v>
      </c>
      <c r="L1836">
        <v>1665143.04</v>
      </c>
      <c r="M1836" t="s">
        <v>54</v>
      </c>
      <c r="N1836" t="s">
        <v>69</v>
      </c>
      <c r="O1836" t="s">
        <v>27</v>
      </c>
      <c r="P1836" t="s">
        <v>26</v>
      </c>
    </row>
    <row r="1837" spans="1:16" x14ac:dyDescent="0.25">
      <c r="A1837" t="s">
        <v>2985</v>
      </c>
      <c r="B1837" t="s">
        <v>802</v>
      </c>
      <c r="C1837" t="s">
        <v>85</v>
      </c>
      <c r="D1837" t="s">
        <v>38</v>
      </c>
      <c r="E1837" t="s">
        <v>39</v>
      </c>
      <c r="F1837" t="s">
        <v>40</v>
      </c>
      <c r="G1837" t="s">
        <v>52</v>
      </c>
      <c r="H1837" t="s">
        <v>34</v>
      </c>
      <c r="I1837">
        <v>2</v>
      </c>
      <c r="J1837">
        <v>297224</v>
      </c>
      <c r="K1837">
        <v>0</v>
      </c>
      <c r="L1837">
        <v>594448</v>
      </c>
      <c r="M1837" t="s">
        <v>54</v>
      </c>
      <c r="N1837" t="s">
        <v>43</v>
      </c>
      <c r="O1837" t="s">
        <v>44</v>
      </c>
      <c r="P1837" t="s">
        <v>42</v>
      </c>
    </row>
    <row r="1838" spans="1:16" x14ac:dyDescent="0.25">
      <c r="A1838" t="s">
        <v>2986</v>
      </c>
      <c r="B1838" t="s">
        <v>2987</v>
      </c>
      <c r="C1838" t="s">
        <v>85</v>
      </c>
      <c r="D1838" t="s">
        <v>38</v>
      </c>
      <c r="E1838" t="s">
        <v>39</v>
      </c>
      <c r="F1838" t="s">
        <v>40</v>
      </c>
      <c r="G1838" t="s">
        <v>73</v>
      </c>
      <c r="H1838" t="s">
        <v>34</v>
      </c>
      <c r="I1838">
        <v>3</v>
      </c>
      <c r="J1838">
        <v>740982</v>
      </c>
      <c r="K1838">
        <v>2</v>
      </c>
      <c r="L1838">
        <v>2190832.08</v>
      </c>
      <c r="M1838" t="s">
        <v>42</v>
      </c>
      <c r="N1838" t="s">
        <v>43</v>
      </c>
      <c r="O1838" t="s">
        <v>27</v>
      </c>
      <c r="P1838" t="s">
        <v>55</v>
      </c>
    </row>
    <row r="1839" spans="1:16" x14ac:dyDescent="0.25">
      <c r="A1839" t="s">
        <v>2988</v>
      </c>
      <c r="B1839" t="s">
        <v>2989</v>
      </c>
      <c r="C1839" t="s">
        <v>91</v>
      </c>
      <c r="D1839" t="s">
        <v>30</v>
      </c>
      <c r="E1839" t="s">
        <v>31</v>
      </c>
      <c r="F1839" t="s">
        <v>32</v>
      </c>
      <c r="G1839" t="s">
        <v>73</v>
      </c>
      <c r="H1839" t="s">
        <v>86</v>
      </c>
      <c r="I1839">
        <v>6</v>
      </c>
      <c r="J1839">
        <v>124947</v>
      </c>
      <c r="K1839">
        <v>2</v>
      </c>
      <c r="L1839">
        <v>734688.36</v>
      </c>
      <c r="M1839" t="s">
        <v>42</v>
      </c>
      <c r="N1839" t="s">
        <v>43</v>
      </c>
      <c r="O1839" t="s">
        <v>27</v>
      </c>
      <c r="P1839" t="s">
        <v>26</v>
      </c>
    </row>
    <row r="1840" spans="1:16" x14ac:dyDescent="0.25">
      <c r="A1840" t="s">
        <v>2990</v>
      </c>
      <c r="B1840" t="s">
        <v>731</v>
      </c>
      <c r="C1840" t="s">
        <v>85</v>
      </c>
      <c r="D1840" t="s">
        <v>66</v>
      </c>
      <c r="E1840" t="s">
        <v>67</v>
      </c>
      <c r="F1840" t="s">
        <v>68</v>
      </c>
      <c r="G1840" t="s">
        <v>33</v>
      </c>
      <c r="H1840" t="s">
        <v>53</v>
      </c>
      <c r="I1840">
        <v>6</v>
      </c>
      <c r="J1840">
        <v>392547</v>
      </c>
      <c r="K1840">
        <v>5</v>
      </c>
      <c r="L1840">
        <v>2237517.9</v>
      </c>
      <c r="M1840" t="s">
        <v>42</v>
      </c>
      <c r="N1840" t="s">
        <v>69</v>
      </c>
      <c r="O1840" t="s">
        <v>27</v>
      </c>
      <c r="P1840" t="s">
        <v>26</v>
      </c>
    </row>
    <row r="1841" spans="1:16" x14ac:dyDescent="0.25">
      <c r="A1841" t="s">
        <v>2991</v>
      </c>
      <c r="B1841" t="s">
        <v>1404</v>
      </c>
      <c r="C1841" t="s">
        <v>65</v>
      </c>
      <c r="D1841" t="s">
        <v>47</v>
      </c>
      <c r="E1841" t="s">
        <v>48</v>
      </c>
      <c r="F1841" t="s">
        <v>22</v>
      </c>
      <c r="G1841" t="s">
        <v>73</v>
      </c>
      <c r="H1841" t="s">
        <v>24</v>
      </c>
      <c r="I1841">
        <v>1</v>
      </c>
      <c r="J1841">
        <v>493151</v>
      </c>
      <c r="K1841">
        <v>2</v>
      </c>
      <c r="L1841">
        <v>483287.98</v>
      </c>
      <c r="M1841" t="s">
        <v>54</v>
      </c>
      <c r="N1841" t="s">
        <v>26</v>
      </c>
      <c r="O1841" t="s">
        <v>27</v>
      </c>
      <c r="P1841" t="s">
        <v>55</v>
      </c>
    </row>
    <row r="1842" spans="1:16" x14ac:dyDescent="0.25">
      <c r="A1842" t="s">
        <v>2992</v>
      </c>
      <c r="B1842" t="s">
        <v>2993</v>
      </c>
      <c r="C1842" t="s">
        <v>65</v>
      </c>
      <c r="D1842" t="s">
        <v>38</v>
      </c>
      <c r="E1842" t="s">
        <v>130</v>
      </c>
      <c r="F1842" t="s">
        <v>40</v>
      </c>
      <c r="G1842" t="s">
        <v>23</v>
      </c>
      <c r="H1842" t="s">
        <v>34</v>
      </c>
      <c r="I1842">
        <v>4</v>
      </c>
      <c r="J1842">
        <v>647181</v>
      </c>
      <c r="K1842">
        <v>2</v>
      </c>
      <c r="L1842">
        <v>2536949.52</v>
      </c>
      <c r="M1842" t="s">
        <v>25</v>
      </c>
      <c r="N1842" t="s">
        <v>69</v>
      </c>
      <c r="O1842" t="s">
        <v>44</v>
      </c>
      <c r="P1842" t="s">
        <v>55</v>
      </c>
    </row>
    <row r="1843" spans="1:16" x14ac:dyDescent="0.25">
      <c r="A1843" t="s">
        <v>2994</v>
      </c>
      <c r="B1843" t="s">
        <v>898</v>
      </c>
      <c r="C1843" t="s">
        <v>65</v>
      </c>
      <c r="D1843" t="s">
        <v>30</v>
      </c>
      <c r="E1843" t="s">
        <v>142</v>
      </c>
      <c r="F1843" t="s">
        <v>32</v>
      </c>
      <c r="G1843" t="s">
        <v>52</v>
      </c>
      <c r="H1843" t="s">
        <v>86</v>
      </c>
      <c r="I1843">
        <v>6</v>
      </c>
      <c r="J1843">
        <v>394048</v>
      </c>
      <c r="K1843">
        <v>10</v>
      </c>
      <c r="L1843">
        <v>2127859.2000000002</v>
      </c>
      <c r="M1843" t="s">
        <v>42</v>
      </c>
      <c r="N1843" t="s">
        <v>69</v>
      </c>
      <c r="O1843" t="s">
        <v>27</v>
      </c>
      <c r="P1843" t="s">
        <v>42</v>
      </c>
    </row>
    <row r="1844" spans="1:16" x14ac:dyDescent="0.25">
      <c r="A1844" t="s">
        <v>2995</v>
      </c>
      <c r="B1844" t="s">
        <v>1976</v>
      </c>
      <c r="C1844" t="s">
        <v>79</v>
      </c>
      <c r="D1844" t="s">
        <v>47</v>
      </c>
      <c r="E1844" t="s">
        <v>48</v>
      </c>
      <c r="F1844" t="s">
        <v>22</v>
      </c>
      <c r="G1844" t="s">
        <v>52</v>
      </c>
      <c r="H1844" t="s">
        <v>53</v>
      </c>
      <c r="I1844">
        <v>7</v>
      </c>
      <c r="J1844">
        <v>861458</v>
      </c>
      <c r="K1844">
        <v>10</v>
      </c>
      <c r="L1844">
        <v>5427185.4000000004</v>
      </c>
      <c r="M1844" t="s">
        <v>54</v>
      </c>
      <c r="N1844" t="s">
        <v>69</v>
      </c>
      <c r="O1844" t="s">
        <v>27</v>
      </c>
      <c r="P1844" t="s">
        <v>55</v>
      </c>
    </row>
    <row r="1845" spans="1:16" x14ac:dyDescent="0.25">
      <c r="A1845" t="s">
        <v>2996</v>
      </c>
      <c r="B1845" t="s">
        <v>1179</v>
      </c>
      <c r="C1845" t="s">
        <v>76</v>
      </c>
      <c r="D1845" t="s">
        <v>66</v>
      </c>
      <c r="E1845" t="s">
        <v>67</v>
      </c>
      <c r="F1845" t="s">
        <v>68</v>
      </c>
      <c r="G1845" t="s">
        <v>33</v>
      </c>
      <c r="H1845" t="s">
        <v>34</v>
      </c>
      <c r="I1845">
        <v>5</v>
      </c>
      <c r="J1845">
        <v>898881</v>
      </c>
      <c r="K1845">
        <v>2</v>
      </c>
      <c r="L1845">
        <v>4404516.9000000004</v>
      </c>
      <c r="M1845" t="s">
        <v>54</v>
      </c>
      <c r="N1845" t="s">
        <v>43</v>
      </c>
      <c r="O1845" t="s">
        <v>44</v>
      </c>
      <c r="P1845" t="s">
        <v>42</v>
      </c>
    </row>
    <row r="1846" spans="1:16" x14ac:dyDescent="0.25">
      <c r="A1846" t="s">
        <v>2997</v>
      </c>
      <c r="B1846" t="s">
        <v>2793</v>
      </c>
      <c r="C1846" t="s">
        <v>65</v>
      </c>
      <c r="D1846" t="s">
        <v>20</v>
      </c>
      <c r="E1846" t="s">
        <v>189</v>
      </c>
      <c r="F1846" t="s">
        <v>22</v>
      </c>
      <c r="G1846" t="s">
        <v>52</v>
      </c>
      <c r="H1846" t="s">
        <v>24</v>
      </c>
      <c r="I1846">
        <v>3</v>
      </c>
      <c r="J1846">
        <v>857564</v>
      </c>
      <c r="K1846">
        <v>2</v>
      </c>
      <c r="L1846">
        <v>2521238.16</v>
      </c>
      <c r="M1846" t="s">
        <v>25</v>
      </c>
      <c r="N1846" t="s">
        <v>43</v>
      </c>
      <c r="O1846" t="s">
        <v>27</v>
      </c>
      <c r="P1846" t="s">
        <v>55</v>
      </c>
    </row>
    <row r="1847" spans="1:16" x14ac:dyDescent="0.25">
      <c r="A1847" t="s">
        <v>2998</v>
      </c>
      <c r="B1847" t="s">
        <v>148</v>
      </c>
      <c r="C1847" t="s">
        <v>99</v>
      </c>
      <c r="D1847" t="s">
        <v>30</v>
      </c>
      <c r="E1847" t="s">
        <v>31</v>
      </c>
      <c r="F1847" t="s">
        <v>32</v>
      </c>
      <c r="G1847" t="s">
        <v>52</v>
      </c>
      <c r="H1847" t="s">
        <v>53</v>
      </c>
      <c r="I1847">
        <v>1</v>
      </c>
      <c r="J1847">
        <v>161389</v>
      </c>
      <c r="M1847" t="s">
        <v>54</v>
      </c>
      <c r="N1847" t="s">
        <v>26</v>
      </c>
      <c r="O1847" t="s">
        <v>27</v>
      </c>
      <c r="P1847" t="s">
        <v>55</v>
      </c>
    </row>
    <row r="1848" spans="1:16" x14ac:dyDescent="0.25">
      <c r="A1848" t="s">
        <v>2999</v>
      </c>
      <c r="B1848" t="s">
        <v>3000</v>
      </c>
      <c r="C1848" t="s">
        <v>76</v>
      </c>
      <c r="D1848" t="s">
        <v>119</v>
      </c>
      <c r="E1848" t="s">
        <v>21</v>
      </c>
      <c r="F1848" t="s">
        <v>22</v>
      </c>
      <c r="G1848" t="s">
        <v>33</v>
      </c>
      <c r="H1848" t="s">
        <v>86</v>
      </c>
      <c r="I1848">
        <v>6</v>
      </c>
      <c r="J1848">
        <v>648785</v>
      </c>
      <c r="K1848">
        <v>5</v>
      </c>
      <c r="L1848">
        <v>3698074.5</v>
      </c>
      <c r="M1848" t="s">
        <v>42</v>
      </c>
      <c r="N1848" t="s">
        <v>26</v>
      </c>
      <c r="O1848" t="s">
        <v>44</v>
      </c>
      <c r="P1848" t="s">
        <v>55</v>
      </c>
    </row>
    <row r="1849" spans="1:16" x14ac:dyDescent="0.25">
      <c r="A1849" t="s">
        <v>3001</v>
      </c>
      <c r="B1849" t="s">
        <v>2067</v>
      </c>
      <c r="C1849" t="s">
        <v>85</v>
      </c>
      <c r="D1849" t="s">
        <v>47</v>
      </c>
      <c r="E1849" t="s">
        <v>48</v>
      </c>
      <c r="F1849" t="s">
        <v>22</v>
      </c>
      <c r="G1849" t="s">
        <v>52</v>
      </c>
      <c r="H1849" t="s">
        <v>58</v>
      </c>
      <c r="I1849">
        <v>7</v>
      </c>
      <c r="J1849">
        <v>562733</v>
      </c>
      <c r="K1849">
        <v>5</v>
      </c>
      <c r="L1849">
        <v>3742174.45</v>
      </c>
      <c r="M1849" t="s">
        <v>25</v>
      </c>
      <c r="N1849" t="s">
        <v>26</v>
      </c>
      <c r="O1849" t="s">
        <v>44</v>
      </c>
      <c r="P1849" t="s">
        <v>42</v>
      </c>
    </row>
    <row r="1850" spans="1:16" x14ac:dyDescent="0.25">
      <c r="A1850" t="s">
        <v>3002</v>
      </c>
      <c r="B1850" t="s">
        <v>886</v>
      </c>
      <c r="C1850" t="s">
        <v>19</v>
      </c>
      <c r="D1850" t="s">
        <v>38</v>
      </c>
      <c r="E1850" t="s">
        <v>39</v>
      </c>
      <c r="F1850" t="s">
        <v>40</v>
      </c>
      <c r="G1850" t="s">
        <v>73</v>
      </c>
      <c r="H1850" t="s">
        <v>24</v>
      </c>
      <c r="I1850">
        <v>8</v>
      </c>
      <c r="J1850">
        <v>205555</v>
      </c>
      <c r="K1850">
        <v>2</v>
      </c>
      <c r="L1850">
        <v>1611551.2</v>
      </c>
      <c r="M1850" t="s">
        <v>54</v>
      </c>
      <c r="N1850" t="s">
        <v>26</v>
      </c>
      <c r="O1850" t="s">
        <v>44</v>
      </c>
      <c r="P1850" t="s">
        <v>55</v>
      </c>
    </row>
    <row r="1851" spans="1:16" x14ac:dyDescent="0.25">
      <c r="A1851" t="s">
        <v>3003</v>
      </c>
      <c r="B1851" t="s">
        <v>3004</v>
      </c>
      <c r="C1851" t="s">
        <v>37</v>
      </c>
      <c r="D1851" t="s">
        <v>20</v>
      </c>
      <c r="E1851" t="s">
        <v>21</v>
      </c>
      <c r="F1851" t="s">
        <v>22</v>
      </c>
      <c r="G1851" t="s">
        <v>94</v>
      </c>
      <c r="H1851" t="s">
        <v>34</v>
      </c>
      <c r="I1851">
        <v>4</v>
      </c>
      <c r="J1851">
        <v>805023</v>
      </c>
      <c r="K1851">
        <v>12</v>
      </c>
      <c r="L1851">
        <v>2833680.96</v>
      </c>
      <c r="M1851" t="s">
        <v>54</v>
      </c>
      <c r="N1851" t="s">
        <v>69</v>
      </c>
      <c r="O1851" t="s">
        <v>44</v>
      </c>
      <c r="P1851" t="s">
        <v>42</v>
      </c>
    </row>
    <row r="1852" spans="1:16" x14ac:dyDescent="0.25">
      <c r="A1852" t="s">
        <v>3005</v>
      </c>
      <c r="B1852" t="s">
        <v>3006</v>
      </c>
      <c r="C1852" t="s">
        <v>19</v>
      </c>
      <c r="D1852" t="s">
        <v>20</v>
      </c>
      <c r="E1852" t="s">
        <v>21</v>
      </c>
      <c r="F1852" t="s">
        <v>22</v>
      </c>
      <c r="G1852" t="s">
        <v>33</v>
      </c>
      <c r="H1852" t="s">
        <v>58</v>
      </c>
      <c r="I1852">
        <v>3</v>
      </c>
      <c r="J1852">
        <v>451760</v>
      </c>
      <c r="K1852">
        <v>10</v>
      </c>
      <c r="L1852">
        <v>1219752</v>
      </c>
      <c r="M1852" t="s">
        <v>42</v>
      </c>
      <c r="N1852" t="s">
        <v>26</v>
      </c>
      <c r="O1852" t="s">
        <v>44</v>
      </c>
      <c r="P1852" t="s">
        <v>42</v>
      </c>
    </row>
    <row r="1853" spans="1:16" x14ac:dyDescent="0.25">
      <c r="A1853" t="s">
        <v>3007</v>
      </c>
      <c r="B1853" t="s">
        <v>1113</v>
      </c>
      <c r="C1853" t="s">
        <v>37</v>
      </c>
      <c r="D1853" t="s">
        <v>66</v>
      </c>
      <c r="E1853" t="s">
        <v>67</v>
      </c>
      <c r="F1853" t="s">
        <v>68</v>
      </c>
      <c r="G1853" t="s">
        <v>52</v>
      </c>
      <c r="H1853" t="s">
        <v>53</v>
      </c>
      <c r="I1853">
        <v>3</v>
      </c>
      <c r="J1853">
        <v>520017</v>
      </c>
      <c r="K1853">
        <v>2</v>
      </c>
      <c r="L1853">
        <v>1528849.98</v>
      </c>
      <c r="M1853" t="s">
        <v>25</v>
      </c>
      <c r="N1853" t="s">
        <v>69</v>
      </c>
      <c r="O1853" t="s">
        <v>44</v>
      </c>
      <c r="P1853" t="s">
        <v>26</v>
      </c>
    </row>
    <row r="1854" spans="1:16" x14ac:dyDescent="0.25">
      <c r="A1854" t="s">
        <v>3008</v>
      </c>
      <c r="B1854" t="s">
        <v>3009</v>
      </c>
      <c r="C1854" t="s">
        <v>65</v>
      </c>
      <c r="D1854" t="s">
        <v>47</v>
      </c>
      <c r="E1854" t="s">
        <v>48</v>
      </c>
      <c r="F1854" t="s">
        <v>22</v>
      </c>
      <c r="G1854" t="s">
        <v>41</v>
      </c>
      <c r="H1854" t="s">
        <v>86</v>
      </c>
      <c r="I1854">
        <v>3</v>
      </c>
      <c r="J1854">
        <v>741406</v>
      </c>
      <c r="K1854">
        <v>10</v>
      </c>
      <c r="L1854">
        <v>2001796.2</v>
      </c>
      <c r="M1854" t="s">
        <v>54</v>
      </c>
      <c r="N1854" t="s">
        <v>43</v>
      </c>
      <c r="O1854" t="s">
        <v>44</v>
      </c>
      <c r="P1854" t="s">
        <v>55</v>
      </c>
    </row>
    <row r="1855" spans="1:16" x14ac:dyDescent="0.25">
      <c r="A1855" t="s">
        <v>3010</v>
      </c>
      <c r="B1855" t="s">
        <v>1117</v>
      </c>
      <c r="C1855" t="s">
        <v>65</v>
      </c>
      <c r="D1855" t="s">
        <v>106</v>
      </c>
      <c r="E1855" t="s">
        <v>31</v>
      </c>
      <c r="F1855" t="s">
        <v>32</v>
      </c>
      <c r="G1855" t="s">
        <v>33</v>
      </c>
      <c r="H1855" t="s">
        <v>53</v>
      </c>
      <c r="I1855">
        <v>5</v>
      </c>
      <c r="J1855">
        <v>246542</v>
      </c>
      <c r="K1855">
        <v>10</v>
      </c>
      <c r="L1855">
        <v>1109439</v>
      </c>
      <c r="M1855" t="s">
        <v>42</v>
      </c>
      <c r="N1855" t="s">
        <v>43</v>
      </c>
      <c r="O1855" t="s">
        <v>27</v>
      </c>
      <c r="P1855" t="s">
        <v>42</v>
      </c>
    </row>
    <row r="1856" spans="1:16" x14ac:dyDescent="0.25">
      <c r="A1856" t="s">
        <v>3011</v>
      </c>
      <c r="B1856" t="s">
        <v>3012</v>
      </c>
      <c r="C1856" t="s">
        <v>65</v>
      </c>
      <c r="D1856" t="s">
        <v>47</v>
      </c>
      <c r="E1856" t="s">
        <v>48</v>
      </c>
      <c r="F1856" t="s">
        <v>22</v>
      </c>
      <c r="G1856" t="s">
        <v>33</v>
      </c>
      <c r="H1856" t="s">
        <v>34</v>
      </c>
      <c r="I1856">
        <v>4</v>
      </c>
      <c r="J1856">
        <v>225991</v>
      </c>
      <c r="K1856">
        <v>0</v>
      </c>
      <c r="L1856">
        <v>903964</v>
      </c>
      <c r="M1856" t="s">
        <v>54</v>
      </c>
      <c r="N1856" t="s">
        <v>26</v>
      </c>
      <c r="O1856" t="s">
        <v>27</v>
      </c>
      <c r="P1856" t="s">
        <v>55</v>
      </c>
    </row>
    <row r="1857" spans="1:16" x14ac:dyDescent="0.25">
      <c r="A1857" t="s">
        <v>3013</v>
      </c>
      <c r="B1857" t="s">
        <v>1154</v>
      </c>
      <c r="C1857" t="s">
        <v>19</v>
      </c>
      <c r="D1857" t="s">
        <v>30</v>
      </c>
      <c r="E1857" t="s">
        <v>142</v>
      </c>
      <c r="F1857" t="s">
        <v>32</v>
      </c>
      <c r="G1857" t="s">
        <v>41</v>
      </c>
      <c r="H1857" t="s">
        <v>34</v>
      </c>
      <c r="I1857">
        <v>2</v>
      </c>
      <c r="J1857">
        <v>192897</v>
      </c>
      <c r="K1857">
        <v>12</v>
      </c>
      <c r="L1857">
        <v>339498.72</v>
      </c>
      <c r="M1857" t="s">
        <v>25</v>
      </c>
      <c r="N1857" t="s">
        <v>43</v>
      </c>
      <c r="O1857" t="s">
        <v>44</v>
      </c>
      <c r="P1857" t="s">
        <v>55</v>
      </c>
    </row>
    <row r="1858" spans="1:16" x14ac:dyDescent="0.25">
      <c r="A1858" t="s">
        <v>3014</v>
      </c>
      <c r="B1858" t="s">
        <v>3015</v>
      </c>
      <c r="C1858" t="s">
        <v>61</v>
      </c>
      <c r="D1858" t="s">
        <v>66</v>
      </c>
      <c r="E1858" t="s">
        <v>67</v>
      </c>
      <c r="F1858" t="s">
        <v>68</v>
      </c>
      <c r="G1858" t="s">
        <v>33</v>
      </c>
      <c r="H1858" t="s">
        <v>58</v>
      </c>
      <c r="I1858">
        <v>1</v>
      </c>
      <c r="J1858">
        <v>80155</v>
      </c>
      <c r="K1858">
        <v>12</v>
      </c>
      <c r="L1858">
        <v>70536.399999999994</v>
      </c>
      <c r="M1858" t="s">
        <v>54</v>
      </c>
      <c r="N1858" t="s">
        <v>43</v>
      </c>
      <c r="O1858" t="s">
        <v>44</v>
      </c>
      <c r="P1858" t="s">
        <v>42</v>
      </c>
    </row>
    <row r="1859" spans="1:16" x14ac:dyDescent="0.25">
      <c r="A1859" t="s">
        <v>3016</v>
      </c>
      <c r="B1859" t="s">
        <v>844</v>
      </c>
      <c r="C1859" t="s">
        <v>37</v>
      </c>
      <c r="D1859" t="s">
        <v>38</v>
      </c>
      <c r="E1859" t="s">
        <v>39</v>
      </c>
      <c r="F1859" t="s">
        <v>40</v>
      </c>
      <c r="G1859" t="s">
        <v>33</v>
      </c>
      <c r="H1859" t="s">
        <v>53</v>
      </c>
      <c r="I1859">
        <v>2</v>
      </c>
      <c r="J1859">
        <v>527394</v>
      </c>
      <c r="K1859">
        <v>12</v>
      </c>
      <c r="L1859">
        <v>928213.44000000006</v>
      </c>
      <c r="M1859" t="s">
        <v>25</v>
      </c>
      <c r="N1859" t="s">
        <v>69</v>
      </c>
      <c r="O1859" t="s">
        <v>44</v>
      </c>
      <c r="P1859" t="s">
        <v>26</v>
      </c>
    </row>
    <row r="1860" spans="1:16" x14ac:dyDescent="0.25">
      <c r="A1860" t="s">
        <v>3017</v>
      </c>
      <c r="B1860" t="s">
        <v>3018</v>
      </c>
      <c r="C1860" t="s">
        <v>19</v>
      </c>
      <c r="D1860" t="s">
        <v>30</v>
      </c>
      <c r="E1860" t="s">
        <v>31</v>
      </c>
      <c r="F1860" t="s">
        <v>32</v>
      </c>
      <c r="G1860" t="s">
        <v>135</v>
      </c>
      <c r="H1860" t="s">
        <v>34</v>
      </c>
      <c r="I1860">
        <v>7</v>
      </c>
      <c r="J1860">
        <v>121172</v>
      </c>
      <c r="K1860">
        <v>12</v>
      </c>
      <c r="L1860">
        <v>746419.52</v>
      </c>
      <c r="M1860" t="s">
        <v>54</v>
      </c>
      <c r="N1860" t="s">
        <v>26</v>
      </c>
      <c r="O1860" t="s">
        <v>27</v>
      </c>
      <c r="P1860" t="s">
        <v>55</v>
      </c>
    </row>
    <row r="1861" spans="1:16" x14ac:dyDescent="0.25">
      <c r="A1861" t="s">
        <v>3019</v>
      </c>
      <c r="B1861" t="s">
        <v>3020</v>
      </c>
      <c r="C1861" t="s">
        <v>76</v>
      </c>
      <c r="D1861" t="s">
        <v>20</v>
      </c>
      <c r="E1861" t="s">
        <v>189</v>
      </c>
      <c r="F1861" t="s">
        <v>22</v>
      </c>
      <c r="G1861" t="s">
        <v>52</v>
      </c>
      <c r="H1861" t="s">
        <v>58</v>
      </c>
      <c r="I1861">
        <v>8</v>
      </c>
      <c r="J1861">
        <v>418338</v>
      </c>
      <c r="K1861">
        <v>7</v>
      </c>
      <c r="L1861">
        <v>3112434.72</v>
      </c>
      <c r="M1861" t="s">
        <v>42</v>
      </c>
      <c r="N1861" t="s">
        <v>26</v>
      </c>
      <c r="O1861" t="s">
        <v>44</v>
      </c>
      <c r="P1861" t="s">
        <v>26</v>
      </c>
    </row>
    <row r="1862" spans="1:16" x14ac:dyDescent="0.25">
      <c r="A1862" t="s">
        <v>3021</v>
      </c>
      <c r="B1862" t="s">
        <v>335</v>
      </c>
      <c r="C1862" t="s">
        <v>79</v>
      </c>
      <c r="D1862" t="s">
        <v>30</v>
      </c>
      <c r="E1862" t="s">
        <v>31</v>
      </c>
      <c r="F1862" t="s">
        <v>32</v>
      </c>
      <c r="G1862" t="s">
        <v>73</v>
      </c>
      <c r="H1862" t="s">
        <v>86</v>
      </c>
      <c r="I1862">
        <v>8</v>
      </c>
      <c r="J1862">
        <v>60713</v>
      </c>
      <c r="K1862">
        <v>7</v>
      </c>
      <c r="L1862">
        <v>451704.72</v>
      </c>
      <c r="M1862" t="s">
        <v>25</v>
      </c>
      <c r="N1862" t="s">
        <v>26</v>
      </c>
      <c r="O1862" t="s">
        <v>44</v>
      </c>
      <c r="P1862" t="s">
        <v>26</v>
      </c>
    </row>
    <row r="1863" spans="1:16" x14ac:dyDescent="0.25">
      <c r="A1863" t="s">
        <v>3022</v>
      </c>
      <c r="B1863" t="s">
        <v>1997</v>
      </c>
      <c r="C1863" t="s">
        <v>65</v>
      </c>
      <c r="D1863" t="s">
        <v>30</v>
      </c>
      <c r="E1863" t="s">
        <v>31</v>
      </c>
      <c r="F1863" t="s">
        <v>32</v>
      </c>
      <c r="G1863" t="s">
        <v>62</v>
      </c>
      <c r="H1863" t="s">
        <v>24</v>
      </c>
      <c r="I1863">
        <v>8</v>
      </c>
      <c r="J1863">
        <v>240958</v>
      </c>
      <c r="K1863">
        <v>2</v>
      </c>
      <c r="L1863">
        <v>1889110.72</v>
      </c>
      <c r="M1863" t="s">
        <v>42</v>
      </c>
      <c r="N1863" t="s">
        <v>26</v>
      </c>
      <c r="O1863" t="s">
        <v>44</v>
      </c>
      <c r="P1863" t="s">
        <v>26</v>
      </c>
    </row>
    <row r="1864" spans="1:16" x14ac:dyDescent="0.25">
      <c r="A1864" t="s">
        <v>3023</v>
      </c>
      <c r="B1864" t="s">
        <v>3024</v>
      </c>
      <c r="C1864" t="s">
        <v>198</v>
      </c>
      <c r="D1864" t="s">
        <v>20</v>
      </c>
      <c r="E1864" t="s">
        <v>189</v>
      </c>
      <c r="F1864" t="s">
        <v>22</v>
      </c>
      <c r="G1864" t="s">
        <v>62</v>
      </c>
      <c r="H1864" t="s">
        <v>34</v>
      </c>
      <c r="I1864">
        <v>5</v>
      </c>
      <c r="J1864">
        <v>113005</v>
      </c>
      <c r="K1864">
        <v>7</v>
      </c>
      <c r="L1864">
        <v>525473.25</v>
      </c>
      <c r="M1864" t="s">
        <v>54</v>
      </c>
      <c r="N1864" t="s">
        <v>43</v>
      </c>
      <c r="O1864" t="s">
        <v>27</v>
      </c>
      <c r="P1864" t="s">
        <v>55</v>
      </c>
    </row>
    <row r="1865" spans="1:16" x14ac:dyDescent="0.25">
      <c r="A1865" t="s">
        <v>3025</v>
      </c>
      <c r="B1865" t="s">
        <v>2227</v>
      </c>
      <c r="C1865" t="s">
        <v>79</v>
      </c>
      <c r="D1865" t="s">
        <v>30</v>
      </c>
      <c r="E1865" t="s">
        <v>31</v>
      </c>
      <c r="F1865" t="s">
        <v>32</v>
      </c>
      <c r="G1865" t="s">
        <v>135</v>
      </c>
      <c r="H1865" t="s">
        <v>34</v>
      </c>
      <c r="I1865">
        <v>4</v>
      </c>
      <c r="J1865">
        <v>364323</v>
      </c>
      <c r="K1865">
        <v>2</v>
      </c>
      <c r="L1865">
        <v>1428146.16</v>
      </c>
      <c r="M1865" t="s">
        <v>25</v>
      </c>
      <c r="N1865" t="s">
        <v>69</v>
      </c>
      <c r="O1865" t="s">
        <v>27</v>
      </c>
      <c r="P1865" t="s">
        <v>26</v>
      </c>
    </row>
    <row r="1866" spans="1:16" x14ac:dyDescent="0.25">
      <c r="A1866" t="s">
        <v>3026</v>
      </c>
      <c r="B1866" t="s">
        <v>2789</v>
      </c>
      <c r="C1866" t="s">
        <v>76</v>
      </c>
      <c r="D1866" t="s">
        <v>38</v>
      </c>
      <c r="E1866" t="s">
        <v>39</v>
      </c>
      <c r="F1866" t="s">
        <v>40</v>
      </c>
      <c r="G1866" t="s">
        <v>33</v>
      </c>
      <c r="H1866" t="s">
        <v>86</v>
      </c>
      <c r="I1866">
        <v>6</v>
      </c>
      <c r="J1866">
        <v>326372</v>
      </c>
      <c r="K1866">
        <v>12</v>
      </c>
      <c r="L1866">
        <v>1723244.16</v>
      </c>
      <c r="M1866" t="s">
        <v>42</v>
      </c>
      <c r="N1866" t="s">
        <v>26</v>
      </c>
      <c r="O1866" t="s">
        <v>27</v>
      </c>
      <c r="P1866" t="s">
        <v>55</v>
      </c>
    </row>
    <row r="1867" spans="1:16" x14ac:dyDescent="0.25">
      <c r="A1867" t="s">
        <v>3027</v>
      </c>
      <c r="B1867" t="s">
        <v>1779</v>
      </c>
      <c r="C1867" t="s">
        <v>76</v>
      </c>
      <c r="D1867" t="s">
        <v>30</v>
      </c>
      <c r="E1867" t="s">
        <v>31</v>
      </c>
      <c r="F1867" t="s">
        <v>32</v>
      </c>
      <c r="G1867" t="s">
        <v>52</v>
      </c>
      <c r="H1867" t="s">
        <v>58</v>
      </c>
      <c r="I1867">
        <v>3</v>
      </c>
      <c r="J1867">
        <v>98797</v>
      </c>
      <c r="K1867">
        <v>5</v>
      </c>
      <c r="L1867">
        <v>281571.45</v>
      </c>
      <c r="M1867" t="s">
        <v>42</v>
      </c>
      <c r="N1867" t="s">
        <v>43</v>
      </c>
      <c r="O1867" t="s">
        <v>27</v>
      </c>
      <c r="P1867" t="s">
        <v>26</v>
      </c>
    </row>
    <row r="1868" spans="1:16" x14ac:dyDescent="0.25">
      <c r="A1868" t="s">
        <v>3028</v>
      </c>
      <c r="B1868" t="s">
        <v>1767</v>
      </c>
      <c r="C1868" t="s">
        <v>85</v>
      </c>
      <c r="D1868" t="s">
        <v>51</v>
      </c>
      <c r="E1868" t="s">
        <v>48</v>
      </c>
      <c r="F1868" t="s">
        <v>22</v>
      </c>
      <c r="G1868" t="s">
        <v>124</v>
      </c>
      <c r="H1868" t="s">
        <v>86</v>
      </c>
      <c r="I1868">
        <v>3</v>
      </c>
      <c r="J1868">
        <v>59279</v>
      </c>
      <c r="K1868">
        <v>12</v>
      </c>
      <c r="L1868">
        <v>156496.56</v>
      </c>
      <c r="M1868" t="s">
        <v>42</v>
      </c>
      <c r="N1868" t="s">
        <v>26</v>
      </c>
      <c r="O1868" t="s">
        <v>44</v>
      </c>
      <c r="P1868" t="s">
        <v>55</v>
      </c>
    </row>
    <row r="1869" spans="1:16" x14ac:dyDescent="0.25">
      <c r="A1869" t="s">
        <v>3029</v>
      </c>
      <c r="B1869" t="s">
        <v>2600</v>
      </c>
      <c r="C1869" t="s">
        <v>37</v>
      </c>
      <c r="D1869" t="s">
        <v>66</v>
      </c>
      <c r="E1869" t="s">
        <v>201</v>
      </c>
      <c r="F1869" t="s">
        <v>68</v>
      </c>
      <c r="G1869" t="s">
        <v>135</v>
      </c>
      <c r="H1869" t="s">
        <v>24</v>
      </c>
      <c r="I1869">
        <v>3</v>
      </c>
      <c r="J1869">
        <v>597544</v>
      </c>
      <c r="K1869">
        <v>10</v>
      </c>
      <c r="L1869">
        <v>1613368.8</v>
      </c>
      <c r="M1869" t="s">
        <v>42</v>
      </c>
      <c r="N1869" t="s">
        <v>26</v>
      </c>
      <c r="O1869" t="s">
        <v>27</v>
      </c>
      <c r="P1869" t="s">
        <v>26</v>
      </c>
    </row>
    <row r="1870" spans="1:16" x14ac:dyDescent="0.25">
      <c r="A1870" t="s">
        <v>3030</v>
      </c>
      <c r="B1870" t="s">
        <v>2466</v>
      </c>
      <c r="C1870" t="s">
        <v>37</v>
      </c>
      <c r="D1870" t="s">
        <v>20</v>
      </c>
      <c r="E1870" t="s">
        <v>21</v>
      </c>
      <c r="F1870" t="s">
        <v>22</v>
      </c>
      <c r="G1870" t="s">
        <v>94</v>
      </c>
      <c r="H1870" t="s">
        <v>24</v>
      </c>
      <c r="I1870">
        <v>2</v>
      </c>
      <c r="J1870">
        <v>860920</v>
      </c>
      <c r="K1870">
        <v>2</v>
      </c>
      <c r="L1870">
        <v>1687403.2</v>
      </c>
      <c r="M1870" t="s">
        <v>42</v>
      </c>
      <c r="N1870" t="s">
        <v>26</v>
      </c>
      <c r="O1870" t="s">
        <v>27</v>
      </c>
      <c r="P1870" t="s">
        <v>42</v>
      </c>
    </row>
    <row r="1871" spans="1:16" x14ac:dyDescent="0.25">
      <c r="A1871" t="s">
        <v>3031</v>
      </c>
      <c r="B1871" t="s">
        <v>2313</v>
      </c>
      <c r="C1871" t="s">
        <v>65</v>
      </c>
      <c r="D1871" t="s">
        <v>30</v>
      </c>
      <c r="E1871" t="s">
        <v>31</v>
      </c>
      <c r="F1871" t="s">
        <v>32</v>
      </c>
      <c r="G1871" t="s">
        <v>33</v>
      </c>
      <c r="H1871" t="s">
        <v>86</v>
      </c>
      <c r="I1871">
        <v>8</v>
      </c>
      <c r="J1871">
        <v>507414</v>
      </c>
      <c r="K1871">
        <v>2</v>
      </c>
      <c r="L1871">
        <v>3978125.76</v>
      </c>
      <c r="M1871" t="s">
        <v>25</v>
      </c>
      <c r="N1871" t="s">
        <v>43</v>
      </c>
      <c r="O1871" t="s">
        <v>44</v>
      </c>
      <c r="P1871" t="s">
        <v>42</v>
      </c>
    </row>
    <row r="1872" spans="1:16" x14ac:dyDescent="0.25">
      <c r="A1872" t="s">
        <v>3032</v>
      </c>
      <c r="B1872" t="s">
        <v>327</v>
      </c>
      <c r="C1872" t="s">
        <v>19</v>
      </c>
      <c r="D1872" t="s">
        <v>66</v>
      </c>
      <c r="E1872" t="s">
        <v>201</v>
      </c>
      <c r="F1872" t="s">
        <v>68</v>
      </c>
      <c r="G1872" t="s">
        <v>41</v>
      </c>
      <c r="H1872" t="s">
        <v>58</v>
      </c>
      <c r="I1872">
        <v>7</v>
      </c>
      <c r="J1872">
        <v>549685</v>
      </c>
      <c r="K1872">
        <v>10</v>
      </c>
      <c r="L1872">
        <v>3463015.5</v>
      </c>
      <c r="M1872" t="s">
        <v>54</v>
      </c>
      <c r="N1872" t="s">
        <v>43</v>
      </c>
      <c r="O1872" t="s">
        <v>44</v>
      </c>
      <c r="P1872" t="s">
        <v>55</v>
      </c>
    </row>
    <row r="1873" spans="1:16" x14ac:dyDescent="0.25">
      <c r="A1873" t="s">
        <v>3033</v>
      </c>
      <c r="B1873" t="s">
        <v>495</v>
      </c>
      <c r="C1873" t="s">
        <v>37</v>
      </c>
      <c r="D1873" t="s">
        <v>47</v>
      </c>
      <c r="E1873" t="s">
        <v>48</v>
      </c>
      <c r="F1873" t="s">
        <v>22</v>
      </c>
      <c r="G1873" t="s">
        <v>33</v>
      </c>
      <c r="H1873" t="s">
        <v>53</v>
      </c>
      <c r="I1873">
        <v>4</v>
      </c>
      <c r="J1873">
        <v>883325</v>
      </c>
      <c r="K1873">
        <v>12</v>
      </c>
      <c r="L1873">
        <v>3109304</v>
      </c>
      <c r="M1873" t="s">
        <v>54</v>
      </c>
      <c r="N1873" t="s">
        <v>43</v>
      </c>
      <c r="O1873" t="s">
        <v>44</v>
      </c>
      <c r="P1873" t="s">
        <v>42</v>
      </c>
    </row>
    <row r="1874" spans="1:16" x14ac:dyDescent="0.25">
      <c r="A1874" t="s">
        <v>3034</v>
      </c>
      <c r="B1874" t="s">
        <v>759</v>
      </c>
      <c r="C1874" t="s">
        <v>76</v>
      </c>
      <c r="D1874" t="s">
        <v>47</v>
      </c>
      <c r="E1874" t="s">
        <v>48</v>
      </c>
      <c r="F1874" t="s">
        <v>22</v>
      </c>
      <c r="G1874" t="s">
        <v>52</v>
      </c>
      <c r="H1874" t="s">
        <v>86</v>
      </c>
      <c r="I1874">
        <v>4</v>
      </c>
      <c r="J1874">
        <v>621968</v>
      </c>
      <c r="K1874">
        <v>12</v>
      </c>
      <c r="L1874">
        <v>2189327.3599999999</v>
      </c>
      <c r="M1874" t="s">
        <v>42</v>
      </c>
      <c r="N1874" t="s">
        <v>43</v>
      </c>
      <c r="O1874" t="s">
        <v>44</v>
      </c>
      <c r="P1874" t="s">
        <v>26</v>
      </c>
    </row>
    <row r="1875" spans="1:16" x14ac:dyDescent="0.25">
      <c r="A1875" t="s">
        <v>3035</v>
      </c>
      <c r="B1875" t="s">
        <v>1846</v>
      </c>
      <c r="C1875" t="s">
        <v>37</v>
      </c>
      <c r="D1875" t="s">
        <v>30</v>
      </c>
      <c r="E1875" t="s">
        <v>31</v>
      </c>
      <c r="F1875" t="s">
        <v>32</v>
      </c>
      <c r="G1875" t="s">
        <v>62</v>
      </c>
      <c r="H1875" t="s">
        <v>58</v>
      </c>
      <c r="I1875">
        <v>1</v>
      </c>
      <c r="J1875">
        <v>860860</v>
      </c>
      <c r="K1875">
        <v>0</v>
      </c>
      <c r="L1875">
        <v>860860</v>
      </c>
      <c r="M1875" t="s">
        <v>54</v>
      </c>
      <c r="N1875" t="s">
        <v>69</v>
      </c>
      <c r="O1875" t="s">
        <v>27</v>
      </c>
      <c r="P1875" t="s">
        <v>42</v>
      </c>
    </row>
    <row r="1876" spans="1:16" x14ac:dyDescent="0.25">
      <c r="A1876" t="s">
        <v>3036</v>
      </c>
      <c r="B1876" t="s">
        <v>2704</v>
      </c>
      <c r="C1876" t="s">
        <v>65</v>
      </c>
      <c r="D1876" t="s">
        <v>38</v>
      </c>
      <c r="E1876" t="s">
        <v>39</v>
      </c>
      <c r="F1876" t="s">
        <v>40</v>
      </c>
      <c r="G1876" t="s">
        <v>52</v>
      </c>
      <c r="H1876" t="s">
        <v>58</v>
      </c>
      <c r="I1876">
        <v>2</v>
      </c>
      <c r="J1876">
        <v>892070</v>
      </c>
      <c r="K1876">
        <v>7</v>
      </c>
      <c r="L1876">
        <v>1659250.2</v>
      </c>
      <c r="M1876" t="s">
        <v>42</v>
      </c>
      <c r="N1876" t="s">
        <v>43</v>
      </c>
      <c r="O1876" t="s">
        <v>44</v>
      </c>
      <c r="P1876" t="s">
        <v>55</v>
      </c>
    </row>
    <row r="1877" spans="1:16" x14ac:dyDescent="0.25">
      <c r="A1877" t="s">
        <v>3037</v>
      </c>
      <c r="B1877" t="s">
        <v>207</v>
      </c>
      <c r="C1877" t="s">
        <v>37</v>
      </c>
      <c r="D1877" t="s">
        <v>20</v>
      </c>
      <c r="E1877" t="s">
        <v>21</v>
      </c>
      <c r="F1877" t="s">
        <v>22</v>
      </c>
      <c r="G1877" t="s">
        <v>52</v>
      </c>
      <c r="H1877" t="s">
        <v>34</v>
      </c>
      <c r="I1877">
        <v>5</v>
      </c>
      <c r="J1877">
        <v>872452</v>
      </c>
      <c r="K1877">
        <v>7</v>
      </c>
      <c r="L1877">
        <v>4056901.8</v>
      </c>
      <c r="M1877" t="s">
        <v>25</v>
      </c>
      <c r="N1877" t="s">
        <v>43</v>
      </c>
      <c r="O1877" t="s">
        <v>27</v>
      </c>
      <c r="P1877" t="s">
        <v>42</v>
      </c>
    </row>
    <row r="1878" spans="1:16" x14ac:dyDescent="0.25">
      <c r="A1878" t="s">
        <v>3038</v>
      </c>
      <c r="B1878" t="s">
        <v>3039</v>
      </c>
      <c r="C1878" t="s">
        <v>76</v>
      </c>
      <c r="D1878" t="s">
        <v>47</v>
      </c>
      <c r="E1878" t="s">
        <v>48</v>
      </c>
      <c r="F1878" t="s">
        <v>22</v>
      </c>
      <c r="G1878" t="s">
        <v>62</v>
      </c>
      <c r="H1878" t="s">
        <v>58</v>
      </c>
      <c r="I1878">
        <v>2</v>
      </c>
      <c r="J1878">
        <v>489239</v>
      </c>
      <c r="K1878">
        <v>7</v>
      </c>
      <c r="L1878">
        <v>909984.53999999992</v>
      </c>
      <c r="M1878" t="s">
        <v>25</v>
      </c>
      <c r="N1878" t="s">
        <v>43</v>
      </c>
      <c r="O1878" t="s">
        <v>44</v>
      </c>
      <c r="P1878" t="s">
        <v>55</v>
      </c>
    </row>
    <row r="1879" spans="1:16" x14ac:dyDescent="0.25">
      <c r="A1879" t="s">
        <v>3040</v>
      </c>
      <c r="B1879" t="s">
        <v>50</v>
      </c>
      <c r="C1879" t="s">
        <v>85</v>
      </c>
      <c r="D1879" t="s">
        <v>38</v>
      </c>
      <c r="E1879" t="s">
        <v>39</v>
      </c>
      <c r="F1879" t="s">
        <v>40</v>
      </c>
      <c r="G1879" t="s">
        <v>33</v>
      </c>
      <c r="H1879" t="s">
        <v>24</v>
      </c>
      <c r="I1879">
        <v>7</v>
      </c>
      <c r="J1879">
        <v>229019</v>
      </c>
      <c r="K1879">
        <v>5</v>
      </c>
      <c r="L1879">
        <v>1522976.35</v>
      </c>
      <c r="M1879" t="s">
        <v>25</v>
      </c>
      <c r="N1879" t="s">
        <v>69</v>
      </c>
      <c r="O1879" t="s">
        <v>27</v>
      </c>
      <c r="P1879" t="s">
        <v>26</v>
      </c>
    </row>
    <row r="1880" spans="1:16" x14ac:dyDescent="0.25">
      <c r="A1880" t="s">
        <v>3041</v>
      </c>
      <c r="B1880" t="s">
        <v>3042</v>
      </c>
      <c r="C1880" t="s">
        <v>65</v>
      </c>
      <c r="D1880" t="s">
        <v>47</v>
      </c>
      <c r="E1880" t="s">
        <v>48</v>
      </c>
      <c r="F1880" t="s">
        <v>22</v>
      </c>
      <c r="G1880" t="s">
        <v>62</v>
      </c>
      <c r="H1880" t="s">
        <v>86</v>
      </c>
      <c r="I1880">
        <v>2</v>
      </c>
      <c r="J1880">
        <v>853919</v>
      </c>
      <c r="K1880">
        <v>0</v>
      </c>
      <c r="L1880">
        <v>1707838</v>
      </c>
      <c r="M1880" t="s">
        <v>42</v>
      </c>
      <c r="N1880" t="s">
        <v>43</v>
      </c>
      <c r="O1880" t="s">
        <v>27</v>
      </c>
      <c r="P1880" t="s">
        <v>55</v>
      </c>
    </row>
    <row r="1881" spans="1:16" x14ac:dyDescent="0.25">
      <c r="A1881" t="s">
        <v>3043</v>
      </c>
      <c r="B1881" t="s">
        <v>1391</v>
      </c>
      <c r="C1881" t="s">
        <v>19</v>
      </c>
      <c r="D1881" t="s">
        <v>20</v>
      </c>
      <c r="E1881" t="s">
        <v>21</v>
      </c>
      <c r="F1881" t="s">
        <v>22</v>
      </c>
      <c r="G1881" t="s">
        <v>41</v>
      </c>
      <c r="H1881" t="s">
        <v>58</v>
      </c>
      <c r="I1881">
        <v>5</v>
      </c>
      <c r="J1881">
        <v>805950</v>
      </c>
      <c r="K1881">
        <v>2</v>
      </c>
      <c r="L1881">
        <v>3949155</v>
      </c>
      <c r="M1881" t="s">
        <v>25</v>
      </c>
      <c r="N1881" t="s">
        <v>43</v>
      </c>
      <c r="O1881" t="s">
        <v>27</v>
      </c>
      <c r="P1881" t="s">
        <v>55</v>
      </c>
    </row>
    <row r="1882" spans="1:16" x14ac:dyDescent="0.25">
      <c r="A1882" t="s">
        <v>3044</v>
      </c>
      <c r="B1882" t="s">
        <v>863</v>
      </c>
      <c r="C1882" t="s">
        <v>85</v>
      </c>
      <c r="D1882" t="s">
        <v>66</v>
      </c>
      <c r="E1882" t="s">
        <v>67</v>
      </c>
      <c r="F1882" t="s">
        <v>68</v>
      </c>
      <c r="G1882" t="s">
        <v>52</v>
      </c>
      <c r="H1882" t="s">
        <v>86</v>
      </c>
      <c r="I1882">
        <v>5</v>
      </c>
      <c r="J1882">
        <v>225654</v>
      </c>
      <c r="K1882">
        <v>2</v>
      </c>
      <c r="L1882">
        <v>1105704.6000000001</v>
      </c>
      <c r="M1882" t="s">
        <v>54</v>
      </c>
      <c r="N1882" t="s">
        <v>69</v>
      </c>
      <c r="O1882" t="s">
        <v>44</v>
      </c>
      <c r="P1882" t="s">
        <v>55</v>
      </c>
    </row>
    <row r="1883" spans="1:16" x14ac:dyDescent="0.25">
      <c r="A1883" t="s">
        <v>3045</v>
      </c>
      <c r="B1883" t="s">
        <v>150</v>
      </c>
      <c r="C1883" t="s">
        <v>65</v>
      </c>
      <c r="D1883" t="s">
        <v>38</v>
      </c>
      <c r="E1883" t="s">
        <v>39</v>
      </c>
      <c r="F1883" t="s">
        <v>40</v>
      </c>
      <c r="G1883" t="s">
        <v>135</v>
      </c>
      <c r="H1883" t="s">
        <v>24</v>
      </c>
      <c r="I1883">
        <v>1</v>
      </c>
      <c r="J1883">
        <v>173142</v>
      </c>
      <c r="K1883">
        <v>12</v>
      </c>
      <c r="L1883">
        <v>152364.96</v>
      </c>
      <c r="M1883" t="s">
        <v>25</v>
      </c>
      <c r="N1883" t="s">
        <v>43</v>
      </c>
      <c r="O1883" t="s">
        <v>27</v>
      </c>
      <c r="P1883" t="s">
        <v>55</v>
      </c>
    </row>
    <row r="1884" spans="1:16" x14ac:dyDescent="0.25">
      <c r="A1884" t="s">
        <v>3046</v>
      </c>
      <c r="B1884" t="s">
        <v>1409</v>
      </c>
      <c r="C1884" t="s">
        <v>76</v>
      </c>
      <c r="D1884" t="s">
        <v>30</v>
      </c>
      <c r="E1884" t="s">
        <v>31</v>
      </c>
      <c r="F1884" t="s">
        <v>32</v>
      </c>
      <c r="G1884" t="s">
        <v>41</v>
      </c>
      <c r="H1884" t="s">
        <v>53</v>
      </c>
      <c r="I1884">
        <v>6</v>
      </c>
      <c r="J1884">
        <v>474879</v>
      </c>
      <c r="K1884">
        <v>7</v>
      </c>
      <c r="L1884">
        <v>2649824.8199999998</v>
      </c>
      <c r="M1884" t="s">
        <v>25</v>
      </c>
      <c r="N1884" t="s">
        <v>69</v>
      </c>
      <c r="O1884" t="s">
        <v>44</v>
      </c>
      <c r="P1884" t="s">
        <v>42</v>
      </c>
    </row>
    <row r="1885" spans="1:16" x14ac:dyDescent="0.25">
      <c r="A1885" t="s">
        <v>3047</v>
      </c>
      <c r="B1885" t="s">
        <v>520</v>
      </c>
      <c r="C1885" t="s">
        <v>37</v>
      </c>
      <c r="D1885" t="s">
        <v>30</v>
      </c>
      <c r="E1885" t="s">
        <v>31</v>
      </c>
      <c r="F1885" t="s">
        <v>32</v>
      </c>
      <c r="G1885" t="s">
        <v>73</v>
      </c>
      <c r="H1885" t="s">
        <v>24</v>
      </c>
      <c r="I1885">
        <v>4</v>
      </c>
      <c r="J1885">
        <v>75072</v>
      </c>
      <c r="K1885">
        <v>0</v>
      </c>
      <c r="L1885">
        <v>300288</v>
      </c>
      <c r="M1885" t="s">
        <v>42</v>
      </c>
      <c r="N1885" t="s">
        <v>26</v>
      </c>
      <c r="O1885" t="s">
        <v>44</v>
      </c>
      <c r="P1885" t="s">
        <v>26</v>
      </c>
    </row>
    <row r="1886" spans="1:16" x14ac:dyDescent="0.25">
      <c r="A1886" t="s">
        <v>3048</v>
      </c>
      <c r="B1886" t="s">
        <v>825</v>
      </c>
      <c r="C1886" t="s">
        <v>61</v>
      </c>
      <c r="D1886" t="s">
        <v>30</v>
      </c>
      <c r="E1886" t="s">
        <v>31</v>
      </c>
      <c r="F1886" t="s">
        <v>32</v>
      </c>
      <c r="G1886" t="s">
        <v>41</v>
      </c>
      <c r="H1886" t="s">
        <v>86</v>
      </c>
      <c r="I1886">
        <v>4</v>
      </c>
      <c r="J1886">
        <v>674673</v>
      </c>
      <c r="K1886">
        <v>2</v>
      </c>
      <c r="L1886">
        <v>2644718.16</v>
      </c>
      <c r="M1886" t="s">
        <v>42</v>
      </c>
      <c r="N1886" t="s">
        <v>69</v>
      </c>
      <c r="O1886" t="s">
        <v>27</v>
      </c>
      <c r="P1886" t="s">
        <v>42</v>
      </c>
    </row>
    <row r="1887" spans="1:16" x14ac:dyDescent="0.25">
      <c r="A1887" t="s">
        <v>3049</v>
      </c>
      <c r="B1887" t="s">
        <v>1866</v>
      </c>
      <c r="C1887" t="s">
        <v>65</v>
      </c>
      <c r="D1887" t="s">
        <v>66</v>
      </c>
      <c r="E1887" t="s">
        <v>67</v>
      </c>
      <c r="F1887" t="s">
        <v>68</v>
      </c>
      <c r="G1887" t="s">
        <v>62</v>
      </c>
      <c r="H1887" t="s">
        <v>34</v>
      </c>
      <c r="I1887">
        <v>6</v>
      </c>
      <c r="J1887">
        <v>68079</v>
      </c>
      <c r="K1887">
        <v>2</v>
      </c>
      <c r="L1887">
        <v>400304.52</v>
      </c>
      <c r="M1887" t="s">
        <v>54</v>
      </c>
      <c r="N1887" t="s">
        <v>69</v>
      </c>
      <c r="O1887" t="s">
        <v>27</v>
      </c>
      <c r="P1887" t="s">
        <v>55</v>
      </c>
    </row>
    <row r="1888" spans="1:16" x14ac:dyDescent="0.25">
      <c r="A1888" t="s">
        <v>3050</v>
      </c>
      <c r="B1888" t="s">
        <v>2903</v>
      </c>
      <c r="C1888" t="s">
        <v>76</v>
      </c>
      <c r="D1888" t="s">
        <v>30</v>
      </c>
      <c r="E1888" t="s">
        <v>31</v>
      </c>
      <c r="F1888" t="s">
        <v>32</v>
      </c>
      <c r="G1888" t="s">
        <v>52</v>
      </c>
      <c r="H1888" t="s">
        <v>86</v>
      </c>
      <c r="I1888">
        <v>8</v>
      </c>
      <c r="J1888">
        <v>740254</v>
      </c>
      <c r="K1888">
        <v>7</v>
      </c>
      <c r="L1888">
        <v>5507489.7599999998</v>
      </c>
      <c r="M1888" t="s">
        <v>25</v>
      </c>
      <c r="N1888" t="s">
        <v>43</v>
      </c>
      <c r="O1888" t="s">
        <v>44</v>
      </c>
      <c r="P1888" t="s">
        <v>55</v>
      </c>
    </row>
    <row r="1889" spans="1:16" x14ac:dyDescent="0.25">
      <c r="A1889" t="s">
        <v>3051</v>
      </c>
      <c r="B1889" t="s">
        <v>2552</v>
      </c>
      <c r="C1889" t="s">
        <v>61</v>
      </c>
      <c r="D1889" t="s">
        <v>30</v>
      </c>
      <c r="E1889" t="s">
        <v>31</v>
      </c>
      <c r="F1889" t="s">
        <v>32</v>
      </c>
      <c r="G1889" t="s">
        <v>73</v>
      </c>
      <c r="H1889" t="s">
        <v>86</v>
      </c>
      <c r="I1889">
        <v>3</v>
      </c>
      <c r="J1889">
        <v>54844</v>
      </c>
      <c r="K1889">
        <v>12</v>
      </c>
      <c r="L1889">
        <v>144788.16</v>
      </c>
      <c r="M1889" t="s">
        <v>54</v>
      </c>
      <c r="N1889" t="s">
        <v>43</v>
      </c>
      <c r="O1889" t="s">
        <v>27</v>
      </c>
      <c r="P1889" t="s">
        <v>55</v>
      </c>
    </row>
    <row r="1890" spans="1:16" x14ac:dyDescent="0.25">
      <c r="A1890" t="s">
        <v>3052</v>
      </c>
      <c r="B1890" t="s">
        <v>1804</v>
      </c>
      <c r="C1890" t="s">
        <v>85</v>
      </c>
      <c r="D1890" t="s">
        <v>154</v>
      </c>
      <c r="E1890" t="s">
        <v>67</v>
      </c>
      <c r="F1890" t="s">
        <v>68</v>
      </c>
      <c r="G1890" t="s">
        <v>73</v>
      </c>
      <c r="H1890" t="s">
        <v>86</v>
      </c>
      <c r="I1890">
        <v>4</v>
      </c>
      <c r="J1890">
        <v>643961</v>
      </c>
      <c r="K1890">
        <v>5</v>
      </c>
      <c r="L1890">
        <v>2447051.7999999998</v>
      </c>
      <c r="M1890" t="s">
        <v>25</v>
      </c>
      <c r="N1890" t="s">
        <v>43</v>
      </c>
      <c r="O1890" t="s">
        <v>27</v>
      </c>
      <c r="P1890" t="s">
        <v>55</v>
      </c>
    </row>
    <row r="1891" spans="1:16" x14ac:dyDescent="0.25">
      <c r="A1891" t="s">
        <v>3053</v>
      </c>
      <c r="B1891" t="s">
        <v>3054</v>
      </c>
      <c r="C1891" t="s">
        <v>37</v>
      </c>
      <c r="D1891" t="s">
        <v>30</v>
      </c>
      <c r="E1891" t="s">
        <v>31</v>
      </c>
      <c r="F1891" t="s">
        <v>32</v>
      </c>
      <c r="G1891" t="s">
        <v>52</v>
      </c>
      <c r="H1891" t="s">
        <v>34</v>
      </c>
      <c r="I1891">
        <v>3</v>
      </c>
      <c r="J1891">
        <v>338441</v>
      </c>
      <c r="K1891">
        <v>12</v>
      </c>
      <c r="L1891">
        <v>893484.24</v>
      </c>
      <c r="M1891" t="s">
        <v>54</v>
      </c>
      <c r="N1891" t="s">
        <v>26</v>
      </c>
      <c r="O1891" t="s">
        <v>27</v>
      </c>
      <c r="P1891" t="s">
        <v>42</v>
      </c>
    </row>
    <row r="1892" spans="1:16" x14ac:dyDescent="0.25">
      <c r="A1892" t="s">
        <v>3055</v>
      </c>
      <c r="B1892" t="s">
        <v>197</v>
      </c>
      <c r="C1892" t="s">
        <v>85</v>
      </c>
      <c r="D1892" t="s">
        <v>20</v>
      </c>
      <c r="E1892" t="s">
        <v>21</v>
      </c>
      <c r="F1892" t="s">
        <v>22</v>
      </c>
      <c r="G1892" t="s">
        <v>62</v>
      </c>
      <c r="H1892" t="s">
        <v>53</v>
      </c>
      <c r="I1892">
        <v>6</v>
      </c>
      <c r="J1892">
        <v>622014</v>
      </c>
      <c r="K1892">
        <v>7</v>
      </c>
      <c r="L1892">
        <v>3470838.12</v>
      </c>
      <c r="M1892" t="s">
        <v>54</v>
      </c>
      <c r="N1892" t="s">
        <v>69</v>
      </c>
      <c r="O1892" t="s">
        <v>27</v>
      </c>
      <c r="P1892" t="s">
        <v>55</v>
      </c>
    </row>
    <row r="1893" spans="1:16" x14ac:dyDescent="0.25">
      <c r="A1893" t="s">
        <v>3056</v>
      </c>
      <c r="B1893" t="s">
        <v>3057</v>
      </c>
      <c r="C1893" t="s">
        <v>37</v>
      </c>
      <c r="D1893" t="s">
        <v>30</v>
      </c>
      <c r="E1893" t="s">
        <v>31</v>
      </c>
      <c r="F1893" t="s">
        <v>32</v>
      </c>
      <c r="G1893" t="s">
        <v>33</v>
      </c>
      <c r="H1893" t="s">
        <v>86</v>
      </c>
      <c r="J1893">
        <v>791319</v>
      </c>
      <c r="K1893">
        <v>12</v>
      </c>
      <c r="M1893" t="s">
        <v>42</v>
      </c>
      <c r="N1893" t="s">
        <v>43</v>
      </c>
      <c r="O1893" t="s">
        <v>27</v>
      </c>
      <c r="P1893" t="s">
        <v>42</v>
      </c>
    </row>
    <row r="1894" spans="1:16" x14ac:dyDescent="0.25">
      <c r="A1894" t="s">
        <v>3058</v>
      </c>
      <c r="B1894" t="s">
        <v>1630</v>
      </c>
      <c r="C1894" t="s">
        <v>19</v>
      </c>
      <c r="D1894" t="s">
        <v>154</v>
      </c>
      <c r="E1894" t="s">
        <v>67</v>
      </c>
      <c r="F1894" t="s">
        <v>68</v>
      </c>
      <c r="G1894" t="s">
        <v>41</v>
      </c>
      <c r="H1894" t="s">
        <v>53</v>
      </c>
      <c r="I1894">
        <v>1</v>
      </c>
      <c r="J1894">
        <v>166061</v>
      </c>
      <c r="K1894">
        <v>12</v>
      </c>
      <c r="L1894">
        <v>146133.68</v>
      </c>
      <c r="M1894" t="s">
        <v>42</v>
      </c>
      <c r="N1894" t="s">
        <v>26</v>
      </c>
      <c r="O1894" t="s">
        <v>44</v>
      </c>
      <c r="P1894" t="s">
        <v>42</v>
      </c>
    </row>
    <row r="1895" spans="1:16" x14ac:dyDescent="0.25">
      <c r="A1895" t="s">
        <v>3059</v>
      </c>
      <c r="B1895" t="s">
        <v>3060</v>
      </c>
      <c r="C1895" t="s">
        <v>37</v>
      </c>
      <c r="D1895" t="s">
        <v>47</v>
      </c>
      <c r="E1895" t="s">
        <v>48</v>
      </c>
      <c r="F1895" t="s">
        <v>22</v>
      </c>
      <c r="G1895" t="s">
        <v>33</v>
      </c>
      <c r="H1895" t="s">
        <v>86</v>
      </c>
      <c r="I1895">
        <v>8</v>
      </c>
      <c r="J1895">
        <v>317407</v>
      </c>
      <c r="K1895">
        <v>10</v>
      </c>
      <c r="L1895">
        <v>2285330.4</v>
      </c>
      <c r="M1895" t="s">
        <v>54</v>
      </c>
      <c r="N1895" t="s">
        <v>69</v>
      </c>
      <c r="O1895" t="s">
        <v>44</v>
      </c>
      <c r="P1895" t="s">
        <v>42</v>
      </c>
    </row>
    <row r="1896" spans="1:16" x14ac:dyDescent="0.25">
      <c r="A1896" t="s">
        <v>3061</v>
      </c>
      <c r="B1896" t="s">
        <v>1422</v>
      </c>
      <c r="C1896" t="s">
        <v>65</v>
      </c>
      <c r="D1896" t="s">
        <v>47</v>
      </c>
      <c r="E1896" t="s">
        <v>48</v>
      </c>
      <c r="F1896" t="s">
        <v>22</v>
      </c>
      <c r="G1896" t="s">
        <v>135</v>
      </c>
      <c r="H1896" t="s">
        <v>34</v>
      </c>
      <c r="I1896">
        <v>3</v>
      </c>
      <c r="J1896">
        <v>68584</v>
      </c>
      <c r="M1896" t="s">
        <v>25</v>
      </c>
      <c r="N1896" t="s">
        <v>43</v>
      </c>
      <c r="O1896" t="s">
        <v>44</v>
      </c>
      <c r="P1896" t="s">
        <v>55</v>
      </c>
    </row>
    <row r="1897" spans="1:16" x14ac:dyDescent="0.25">
      <c r="A1897" t="s">
        <v>3062</v>
      </c>
      <c r="B1897" t="s">
        <v>943</v>
      </c>
      <c r="C1897" t="s">
        <v>85</v>
      </c>
      <c r="D1897" t="s">
        <v>119</v>
      </c>
      <c r="E1897" t="s">
        <v>21</v>
      </c>
      <c r="F1897" t="s">
        <v>22</v>
      </c>
      <c r="G1897" t="s">
        <v>94</v>
      </c>
      <c r="H1897" t="s">
        <v>86</v>
      </c>
      <c r="I1897">
        <v>7</v>
      </c>
      <c r="J1897">
        <v>277918</v>
      </c>
      <c r="K1897">
        <v>2</v>
      </c>
      <c r="L1897">
        <v>1906517.48</v>
      </c>
      <c r="M1897" t="s">
        <v>54</v>
      </c>
      <c r="N1897" t="s">
        <v>43</v>
      </c>
      <c r="O1897" t="s">
        <v>27</v>
      </c>
      <c r="P1897" t="s">
        <v>55</v>
      </c>
    </row>
    <row r="1898" spans="1:16" x14ac:dyDescent="0.25">
      <c r="A1898" t="s">
        <v>3063</v>
      </c>
      <c r="B1898" t="s">
        <v>508</v>
      </c>
      <c r="C1898" t="s">
        <v>76</v>
      </c>
      <c r="D1898" t="s">
        <v>51</v>
      </c>
      <c r="E1898" t="s">
        <v>48</v>
      </c>
      <c r="F1898" t="s">
        <v>22</v>
      </c>
      <c r="G1898" t="s">
        <v>62</v>
      </c>
      <c r="H1898" t="s">
        <v>53</v>
      </c>
      <c r="I1898">
        <v>4</v>
      </c>
      <c r="J1898">
        <v>626157</v>
      </c>
      <c r="K1898">
        <v>7</v>
      </c>
      <c r="L1898">
        <v>2329304.04</v>
      </c>
      <c r="M1898" t="s">
        <v>25</v>
      </c>
      <c r="N1898" t="s">
        <v>26</v>
      </c>
      <c r="O1898" t="s">
        <v>27</v>
      </c>
      <c r="P1898" t="s">
        <v>26</v>
      </c>
    </row>
    <row r="1899" spans="1:16" x14ac:dyDescent="0.25">
      <c r="A1899" t="s">
        <v>3064</v>
      </c>
      <c r="B1899" t="s">
        <v>3065</v>
      </c>
      <c r="C1899" t="s">
        <v>76</v>
      </c>
      <c r="D1899" t="s">
        <v>47</v>
      </c>
      <c r="E1899" t="s">
        <v>48</v>
      </c>
      <c r="F1899" t="s">
        <v>22</v>
      </c>
      <c r="G1899" t="s">
        <v>62</v>
      </c>
      <c r="H1899" t="s">
        <v>24</v>
      </c>
      <c r="I1899">
        <v>1</v>
      </c>
      <c r="J1899">
        <v>177584</v>
      </c>
      <c r="K1899">
        <v>5</v>
      </c>
      <c r="L1899">
        <v>168704.8</v>
      </c>
      <c r="M1899" t="s">
        <v>54</v>
      </c>
      <c r="N1899" t="s">
        <v>26</v>
      </c>
      <c r="O1899" t="s">
        <v>27</v>
      </c>
      <c r="P1899" t="s">
        <v>42</v>
      </c>
    </row>
    <row r="1900" spans="1:16" x14ac:dyDescent="0.25">
      <c r="A1900" t="s">
        <v>3066</v>
      </c>
      <c r="B1900" t="s">
        <v>2002</v>
      </c>
      <c r="C1900" t="s">
        <v>91</v>
      </c>
      <c r="D1900" t="s">
        <v>38</v>
      </c>
      <c r="E1900" t="s">
        <v>39</v>
      </c>
      <c r="F1900" t="s">
        <v>40</v>
      </c>
      <c r="G1900" t="s">
        <v>52</v>
      </c>
      <c r="H1900" t="s">
        <v>53</v>
      </c>
      <c r="I1900">
        <v>4</v>
      </c>
      <c r="J1900">
        <v>646412</v>
      </c>
      <c r="K1900">
        <v>2</v>
      </c>
      <c r="L1900">
        <v>2533935.04</v>
      </c>
      <c r="M1900" t="s">
        <v>42</v>
      </c>
      <c r="N1900" t="s">
        <v>26</v>
      </c>
      <c r="O1900" t="s">
        <v>27</v>
      </c>
      <c r="P1900" t="s">
        <v>55</v>
      </c>
    </row>
    <row r="1901" spans="1:16" x14ac:dyDescent="0.25">
      <c r="A1901" t="s">
        <v>3067</v>
      </c>
      <c r="B1901" t="s">
        <v>3068</v>
      </c>
      <c r="C1901" t="s">
        <v>65</v>
      </c>
      <c r="D1901" t="s">
        <v>20</v>
      </c>
      <c r="E1901" t="s">
        <v>21</v>
      </c>
      <c r="F1901" t="s">
        <v>22</v>
      </c>
      <c r="G1901" t="s">
        <v>33</v>
      </c>
      <c r="H1901" t="s">
        <v>34</v>
      </c>
      <c r="I1901">
        <v>5</v>
      </c>
      <c r="J1901">
        <v>450010</v>
      </c>
      <c r="K1901">
        <v>12</v>
      </c>
      <c r="L1901">
        <v>1980044</v>
      </c>
      <c r="M1901" t="s">
        <v>42</v>
      </c>
      <c r="N1901" t="s">
        <v>26</v>
      </c>
      <c r="O1901" t="s">
        <v>27</v>
      </c>
      <c r="P1901" t="s">
        <v>55</v>
      </c>
    </row>
    <row r="1902" spans="1:16" x14ac:dyDescent="0.25">
      <c r="A1902" t="s">
        <v>3069</v>
      </c>
      <c r="B1902" t="s">
        <v>2478</v>
      </c>
      <c r="C1902" t="s">
        <v>99</v>
      </c>
      <c r="D1902" t="s">
        <v>30</v>
      </c>
      <c r="E1902" t="s">
        <v>31</v>
      </c>
      <c r="F1902" t="s">
        <v>32</v>
      </c>
      <c r="G1902" t="s">
        <v>73</v>
      </c>
      <c r="H1902" t="s">
        <v>86</v>
      </c>
      <c r="I1902">
        <v>7</v>
      </c>
      <c r="J1902">
        <v>82588</v>
      </c>
      <c r="K1902">
        <v>12</v>
      </c>
      <c r="L1902">
        <v>508742.08</v>
      </c>
      <c r="M1902" t="s">
        <v>54</v>
      </c>
      <c r="N1902" t="s">
        <v>69</v>
      </c>
      <c r="O1902" t="s">
        <v>27</v>
      </c>
      <c r="P1902" t="s">
        <v>55</v>
      </c>
    </row>
    <row r="1903" spans="1:16" x14ac:dyDescent="0.25">
      <c r="A1903" t="s">
        <v>3070</v>
      </c>
      <c r="B1903" t="s">
        <v>2464</v>
      </c>
      <c r="C1903" t="s">
        <v>76</v>
      </c>
      <c r="D1903" t="s">
        <v>20</v>
      </c>
      <c r="E1903" t="s">
        <v>21</v>
      </c>
      <c r="F1903" t="s">
        <v>22</v>
      </c>
      <c r="G1903" t="s">
        <v>33</v>
      </c>
      <c r="H1903" t="s">
        <v>86</v>
      </c>
      <c r="I1903">
        <v>6</v>
      </c>
      <c r="J1903">
        <v>214173</v>
      </c>
      <c r="K1903">
        <v>7</v>
      </c>
      <c r="L1903">
        <v>1195085.3400000001</v>
      </c>
      <c r="M1903" t="s">
        <v>25</v>
      </c>
      <c r="N1903" t="s">
        <v>69</v>
      </c>
      <c r="O1903" t="s">
        <v>27</v>
      </c>
      <c r="P1903" t="s">
        <v>26</v>
      </c>
    </row>
    <row r="1904" spans="1:16" x14ac:dyDescent="0.25">
      <c r="A1904" t="s">
        <v>3071</v>
      </c>
      <c r="B1904" t="s">
        <v>3072</v>
      </c>
      <c r="C1904" t="s">
        <v>85</v>
      </c>
      <c r="D1904" t="s">
        <v>129</v>
      </c>
      <c r="E1904" t="s">
        <v>39</v>
      </c>
      <c r="F1904" t="s">
        <v>40</v>
      </c>
      <c r="G1904" t="s">
        <v>62</v>
      </c>
      <c r="H1904" t="s">
        <v>53</v>
      </c>
      <c r="I1904">
        <v>5</v>
      </c>
      <c r="J1904">
        <v>181755</v>
      </c>
      <c r="K1904">
        <v>2</v>
      </c>
      <c r="L1904">
        <v>890599.5</v>
      </c>
      <c r="M1904" t="s">
        <v>42</v>
      </c>
      <c r="N1904" t="s">
        <v>43</v>
      </c>
      <c r="O1904" t="s">
        <v>44</v>
      </c>
      <c r="P1904" t="s">
        <v>42</v>
      </c>
    </row>
    <row r="1905" spans="1:16" x14ac:dyDescent="0.25">
      <c r="A1905" t="s">
        <v>3073</v>
      </c>
      <c r="B1905" t="s">
        <v>3074</v>
      </c>
      <c r="C1905" t="s">
        <v>37</v>
      </c>
      <c r="D1905" t="s">
        <v>66</v>
      </c>
      <c r="E1905" t="s">
        <v>67</v>
      </c>
      <c r="F1905" t="s">
        <v>68</v>
      </c>
      <c r="G1905" t="s">
        <v>73</v>
      </c>
      <c r="H1905" t="s">
        <v>53</v>
      </c>
      <c r="I1905">
        <v>6</v>
      </c>
      <c r="J1905">
        <v>734848</v>
      </c>
      <c r="K1905">
        <v>0</v>
      </c>
      <c r="L1905">
        <v>4409088</v>
      </c>
      <c r="M1905" t="s">
        <v>54</v>
      </c>
      <c r="N1905" t="s">
        <v>69</v>
      </c>
      <c r="O1905" t="s">
        <v>27</v>
      </c>
      <c r="P1905" t="s">
        <v>26</v>
      </c>
    </row>
    <row r="1906" spans="1:16" x14ac:dyDescent="0.25">
      <c r="A1906" t="s">
        <v>3075</v>
      </c>
      <c r="B1906" t="s">
        <v>3076</v>
      </c>
      <c r="C1906" t="s">
        <v>79</v>
      </c>
      <c r="D1906" t="s">
        <v>47</v>
      </c>
      <c r="E1906" t="s">
        <v>48</v>
      </c>
      <c r="F1906" t="s">
        <v>22</v>
      </c>
      <c r="G1906" t="s">
        <v>52</v>
      </c>
      <c r="H1906" t="s">
        <v>34</v>
      </c>
      <c r="I1906">
        <v>6</v>
      </c>
      <c r="J1906">
        <v>818065</v>
      </c>
      <c r="K1906">
        <v>2</v>
      </c>
      <c r="L1906">
        <v>4810222.2</v>
      </c>
      <c r="M1906" t="s">
        <v>42</v>
      </c>
      <c r="N1906" t="s">
        <v>69</v>
      </c>
      <c r="O1906" t="s">
        <v>44</v>
      </c>
      <c r="P1906" t="s">
        <v>55</v>
      </c>
    </row>
    <row r="1907" spans="1:16" x14ac:dyDescent="0.25">
      <c r="A1907" t="s">
        <v>3077</v>
      </c>
      <c r="B1907" t="s">
        <v>2987</v>
      </c>
      <c r="C1907" t="s">
        <v>19</v>
      </c>
      <c r="D1907" t="s">
        <v>47</v>
      </c>
      <c r="E1907" t="s">
        <v>48</v>
      </c>
      <c r="F1907" t="s">
        <v>22</v>
      </c>
      <c r="G1907" t="s">
        <v>33</v>
      </c>
      <c r="H1907" t="s">
        <v>34</v>
      </c>
      <c r="I1907">
        <v>8</v>
      </c>
      <c r="J1907">
        <v>881880</v>
      </c>
      <c r="K1907">
        <v>0</v>
      </c>
      <c r="L1907">
        <v>7055040</v>
      </c>
      <c r="M1907" t="s">
        <v>42</v>
      </c>
      <c r="N1907" t="s">
        <v>26</v>
      </c>
      <c r="O1907" t="s">
        <v>27</v>
      </c>
      <c r="P1907" t="s">
        <v>42</v>
      </c>
    </row>
    <row r="1908" spans="1:16" x14ac:dyDescent="0.25">
      <c r="A1908" t="s">
        <v>3078</v>
      </c>
      <c r="B1908" t="s">
        <v>1085</v>
      </c>
      <c r="C1908" t="s">
        <v>65</v>
      </c>
      <c r="D1908" t="s">
        <v>30</v>
      </c>
      <c r="E1908" t="s">
        <v>31</v>
      </c>
      <c r="F1908" t="s">
        <v>32</v>
      </c>
      <c r="G1908" t="s">
        <v>135</v>
      </c>
      <c r="H1908" t="s">
        <v>34</v>
      </c>
      <c r="I1908">
        <v>4</v>
      </c>
      <c r="J1908">
        <v>720072</v>
      </c>
      <c r="K1908">
        <v>12</v>
      </c>
      <c r="L1908">
        <v>2534653.44</v>
      </c>
      <c r="M1908" t="s">
        <v>25</v>
      </c>
      <c r="N1908" t="s">
        <v>69</v>
      </c>
      <c r="O1908" t="s">
        <v>44</v>
      </c>
      <c r="P1908" t="s">
        <v>26</v>
      </c>
    </row>
    <row r="1909" spans="1:16" x14ac:dyDescent="0.25">
      <c r="A1909" t="s">
        <v>3079</v>
      </c>
      <c r="B1909" t="s">
        <v>1919</v>
      </c>
      <c r="C1909" t="s">
        <v>76</v>
      </c>
      <c r="D1909" t="s">
        <v>20</v>
      </c>
      <c r="E1909" t="s">
        <v>21</v>
      </c>
      <c r="F1909" t="s">
        <v>22</v>
      </c>
      <c r="G1909" t="s">
        <v>124</v>
      </c>
      <c r="H1909" t="s">
        <v>34</v>
      </c>
      <c r="I1909">
        <v>4</v>
      </c>
      <c r="J1909">
        <v>725999</v>
      </c>
      <c r="M1909" t="s">
        <v>25</v>
      </c>
      <c r="N1909" t="s">
        <v>43</v>
      </c>
      <c r="O1909" t="s">
        <v>27</v>
      </c>
      <c r="P1909" t="s">
        <v>26</v>
      </c>
    </row>
    <row r="1910" spans="1:16" x14ac:dyDescent="0.25">
      <c r="A1910" t="s">
        <v>3080</v>
      </c>
      <c r="B1910" t="s">
        <v>3081</v>
      </c>
      <c r="C1910" t="s">
        <v>37</v>
      </c>
      <c r="D1910" t="s">
        <v>38</v>
      </c>
      <c r="E1910" t="s">
        <v>39</v>
      </c>
      <c r="F1910" t="s">
        <v>40</v>
      </c>
      <c r="G1910" t="s">
        <v>62</v>
      </c>
      <c r="H1910" t="s">
        <v>53</v>
      </c>
      <c r="I1910">
        <v>2</v>
      </c>
      <c r="J1910">
        <v>178635</v>
      </c>
      <c r="K1910">
        <v>7</v>
      </c>
      <c r="L1910">
        <v>332261.09999999998</v>
      </c>
      <c r="M1910" t="s">
        <v>54</v>
      </c>
      <c r="N1910" t="s">
        <v>26</v>
      </c>
      <c r="O1910" t="s">
        <v>27</v>
      </c>
      <c r="P1910" t="s">
        <v>42</v>
      </c>
    </row>
    <row r="1911" spans="1:16" x14ac:dyDescent="0.25">
      <c r="A1911" t="s">
        <v>3082</v>
      </c>
      <c r="B1911" t="s">
        <v>3083</v>
      </c>
      <c r="C1911" t="s">
        <v>19</v>
      </c>
      <c r="D1911" t="s">
        <v>66</v>
      </c>
      <c r="E1911" t="s">
        <v>67</v>
      </c>
      <c r="F1911" t="s">
        <v>68</v>
      </c>
      <c r="G1911" t="s">
        <v>62</v>
      </c>
      <c r="H1911" t="s">
        <v>24</v>
      </c>
      <c r="I1911">
        <v>4</v>
      </c>
      <c r="J1911">
        <v>816818</v>
      </c>
      <c r="K1911">
        <v>0</v>
      </c>
      <c r="L1911">
        <v>3267272</v>
      </c>
      <c r="M1911" t="s">
        <v>42</v>
      </c>
      <c r="N1911" t="s">
        <v>69</v>
      </c>
      <c r="O1911" t="s">
        <v>27</v>
      </c>
      <c r="P1911" t="s">
        <v>26</v>
      </c>
    </row>
    <row r="1912" spans="1:16" x14ac:dyDescent="0.25">
      <c r="A1912" t="s">
        <v>3084</v>
      </c>
      <c r="B1912" t="s">
        <v>345</v>
      </c>
      <c r="C1912" t="s">
        <v>76</v>
      </c>
      <c r="D1912" t="s">
        <v>38</v>
      </c>
      <c r="E1912" t="s">
        <v>39</v>
      </c>
      <c r="F1912" t="s">
        <v>40</v>
      </c>
      <c r="G1912" t="s">
        <v>33</v>
      </c>
      <c r="H1912" t="s">
        <v>34</v>
      </c>
      <c r="I1912">
        <v>5</v>
      </c>
      <c r="J1912">
        <v>89886</v>
      </c>
      <c r="K1912">
        <v>12</v>
      </c>
      <c r="L1912">
        <v>395498.4</v>
      </c>
      <c r="M1912" t="s">
        <v>25</v>
      </c>
      <c r="N1912" t="s">
        <v>26</v>
      </c>
      <c r="O1912" t="s">
        <v>27</v>
      </c>
      <c r="P1912" t="s">
        <v>42</v>
      </c>
    </row>
    <row r="1913" spans="1:16" x14ac:dyDescent="0.25">
      <c r="A1913" t="s">
        <v>3085</v>
      </c>
      <c r="B1913" t="s">
        <v>3086</v>
      </c>
      <c r="C1913" t="s">
        <v>37</v>
      </c>
      <c r="D1913" t="s">
        <v>47</v>
      </c>
      <c r="E1913" t="s">
        <v>48</v>
      </c>
      <c r="F1913" t="s">
        <v>22</v>
      </c>
      <c r="G1913" t="s">
        <v>73</v>
      </c>
      <c r="H1913" t="s">
        <v>58</v>
      </c>
      <c r="I1913">
        <v>1</v>
      </c>
      <c r="J1913">
        <v>606791</v>
      </c>
      <c r="K1913">
        <v>5</v>
      </c>
      <c r="L1913">
        <v>576451.44999999995</v>
      </c>
      <c r="M1913" t="s">
        <v>25</v>
      </c>
      <c r="N1913" t="s">
        <v>43</v>
      </c>
      <c r="O1913" t="s">
        <v>27</v>
      </c>
      <c r="P1913" t="s">
        <v>55</v>
      </c>
    </row>
    <row r="1914" spans="1:16" x14ac:dyDescent="0.25">
      <c r="A1914" t="s">
        <v>3087</v>
      </c>
      <c r="B1914" t="s">
        <v>3088</v>
      </c>
      <c r="C1914" t="s">
        <v>65</v>
      </c>
      <c r="D1914" t="s">
        <v>51</v>
      </c>
      <c r="E1914" t="s">
        <v>48</v>
      </c>
      <c r="F1914" t="s">
        <v>22</v>
      </c>
      <c r="G1914" t="s">
        <v>62</v>
      </c>
      <c r="H1914" t="s">
        <v>34</v>
      </c>
      <c r="I1914">
        <v>2</v>
      </c>
      <c r="J1914">
        <v>146715</v>
      </c>
      <c r="K1914">
        <v>2</v>
      </c>
      <c r="L1914">
        <v>287561.40000000002</v>
      </c>
      <c r="M1914" t="s">
        <v>25</v>
      </c>
      <c r="N1914" t="s">
        <v>26</v>
      </c>
      <c r="O1914" t="s">
        <v>44</v>
      </c>
      <c r="P1914" t="s">
        <v>55</v>
      </c>
    </row>
    <row r="1915" spans="1:16" x14ac:dyDescent="0.25">
      <c r="A1915" t="s">
        <v>3089</v>
      </c>
      <c r="B1915" t="s">
        <v>2736</v>
      </c>
      <c r="C1915" t="s">
        <v>61</v>
      </c>
      <c r="D1915" t="s">
        <v>66</v>
      </c>
      <c r="E1915" t="s">
        <v>67</v>
      </c>
      <c r="F1915" t="s">
        <v>68</v>
      </c>
      <c r="G1915" t="s">
        <v>52</v>
      </c>
      <c r="H1915" t="s">
        <v>58</v>
      </c>
      <c r="I1915">
        <v>8</v>
      </c>
      <c r="J1915">
        <v>722310</v>
      </c>
      <c r="K1915">
        <v>0</v>
      </c>
      <c r="L1915">
        <v>5778480</v>
      </c>
      <c r="M1915" t="s">
        <v>25</v>
      </c>
      <c r="N1915" t="s">
        <v>69</v>
      </c>
      <c r="O1915" t="s">
        <v>27</v>
      </c>
      <c r="P1915" t="s">
        <v>26</v>
      </c>
    </row>
    <row r="1916" spans="1:16" x14ac:dyDescent="0.25">
      <c r="A1916" t="s">
        <v>3090</v>
      </c>
      <c r="B1916" t="s">
        <v>646</v>
      </c>
      <c r="C1916" t="s">
        <v>65</v>
      </c>
      <c r="D1916" t="s">
        <v>47</v>
      </c>
      <c r="E1916" t="s">
        <v>48</v>
      </c>
      <c r="F1916" t="s">
        <v>22</v>
      </c>
      <c r="G1916" t="s">
        <v>124</v>
      </c>
      <c r="H1916" t="s">
        <v>24</v>
      </c>
      <c r="I1916">
        <v>3</v>
      </c>
      <c r="J1916">
        <v>679619</v>
      </c>
      <c r="K1916">
        <v>5</v>
      </c>
      <c r="L1916">
        <v>1936914.15</v>
      </c>
      <c r="M1916" t="s">
        <v>42</v>
      </c>
      <c r="N1916" t="s">
        <v>43</v>
      </c>
      <c r="O1916" t="s">
        <v>27</v>
      </c>
      <c r="P1916" t="s">
        <v>42</v>
      </c>
    </row>
    <row r="1917" spans="1:16" x14ac:dyDescent="0.25">
      <c r="A1917" t="s">
        <v>3091</v>
      </c>
      <c r="B1917" t="s">
        <v>3092</v>
      </c>
      <c r="C1917" t="s">
        <v>99</v>
      </c>
      <c r="D1917" t="s">
        <v>47</v>
      </c>
      <c r="E1917" t="s">
        <v>48</v>
      </c>
      <c r="F1917" t="s">
        <v>22</v>
      </c>
      <c r="G1917" t="s">
        <v>52</v>
      </c>
      <c r="H1917" t="s">
        <v>86</v>
      </c>
      <c r="I1917">
        <v>4</v>
      </c>
      <c r="J1917">
        <v>363342</v>
      </c>
      <c r="K1917">
        <v>5</v>
      </c>
      <c r="L1917">
        <v>1380699.6</v>
      </c>
      <c r="M1917" t="s">
        <v>54</v>
      </c>
      <c r="N1917" t="s">
        <v>69</v>
      </c>
      <c r="O1917" t="s">
        <v>44</v>
      </c>
      <c r="P1917" t="s">
        <v>55</v>
      </c>
    </row>
    <row r="1918" spans="1:16" x14ac:dyDescent="0.25">
      <c r="A1918" t="s">
        <v>3093</v>
      </c>
      <c r="B1918" t="s">
        <v>3094</v>
      </c>
      <c r="C1918" t="s">
        <v>91</v>
      </c>
      <c r="D1918" t="s">
        <v>20</v>
      </c>
      <c r="E1918" t="s">
        <v>189</v>
      </c>
      <c r="F1918" t="s">
        <v>22</v>
      </c>
      <c r="G1918" t="s">
        <v>124</v>
      </c>
      <c r="H1918" t="s">
        <v>53</v>
      </c>
      <c r="I1918">
        <v>2</v>
      </c>
      <c r="J1918">
        <v>327437</v>
      </c>
      <c r="K1918">
        <v>7</v>
      </c>
      <c r="L1918">
        <v>609032.81999999995</v>
      </c>
      <c r="M1918" t="s">
        <v>42</v>
      </c>
      <c r="N1918" t="s">
        <v>69</v>
      </c>
      <c r="O1918" t="s">
        <v>27</v>
      </c>
      <c r="P1918" t="s">
        <v>42</v>
      </c>
    </row>
    <row r="1919" spans="1:16" x14ac:dyDescent="0.25">
      <c r="A1919" t="s">
        <v>3095</v>
      </c>
      <c r="B1919" t="s">
        <v>1041</v>
      </c>
      <c r="C1919" t="s">
        <v>37</v>
      </c>
      <c r="D1919" t="s">
        <v>20</v>
      </c>
      <c r="E1919" t="s">
        <v>21</v>
      </c>
      <c r="F1919" t="s">
        <v>22</v>
      </c>
      <c r="G1919" t="s">
        <v>41</v>
      </c>
      <c r="H1919" t="s">
        <v>53</v>
      </c>
      <c r="I1919">
        <v>1</v>
      </c>
      <c r="J1919">
        <v>480541</v>
      </c>
      <c r="K1919">
        <v>0</v>
      </c>
      <c r="L1919">
        <v>480541</v>
      </c>
      <c r="M1919" t="s">
        <v>25</v>
      </c>
      <c r="N1919" t="s">
        <v>69</v>
      </c>
      <c r="O1919" t="s">
        <v>44</v>
      </c>
      <c r="P1919" t="s">
        <v>26</v>
      </c>
    </row>
    <row r="1920" spans="1:16" x14ac:dyDescent="0.25">
      <c r="A1920" t="s">
        <v>3096</v>
      </c>
      <c r="B1920" t="s">
        <v>1194</v>
      </c>
      <c r="C1920" t="s">
        <v>85</v>
      </c>
      <c r="D1920" t="s">
        <v>51</v>
      </c>
      <c r="E1920" t="s">
        <v>48</v>
      </c>
      <c r="F1920" t="s">
        <v>22</v>
      </c>
      <c r="G1920" t="s">
        <v>52</v>
      </c>
      <c r="H1920" t="s">
        <v>53</v>
      </c>
      <c r="I1920">
        <v>8</v>
      </c>
      <c r="J1920">
        <v>401474</v>
      </c>
      <c r="K1920">
        <v>12</v>
      </c>
      <c r="L1920">
        <v>2826376.96</v>
      </c>
      <c r="M1920" t="s">
        <v>25</v>
      </c>
      <c r="N1920" t="s">
        <v>43</v>
      </c>
      <c r="O1920" t="s">
        <v>27</v>
      </c>
      <c r="P1920" t="s">
        <v>26</v>
      </c>
    </row>
    <row r="1921" spans="1:16" x14ac:dyDescent="0.25">
      <c r="A1921" t="s">
        <v>3097</v>
      </c>
      <c r="B1921" t="s">
        <v>3098</v>
      </c>
      <c r="C1921" t="s">
        <v>19</v>
      </c>
      <c r="D1921" t="s">
        <v>30</v>
      </c>
      <c r="E1921" t="s">
        <v>31</v>
      </c>
      <c r="F1921" t="s">
        <v>32</v>
      </c>
      <c r="G1921" t="s">
        <v>62</v>
      </c>
      <c r="H1921" t="s">
        <v>53</v>
      </c>
      <c r="I1921">
        <v>2</v>
      </c>
      <c r="J1921">
        <v>509504</v>
      </c>
      <c r="K1921">
        <v>7</v>
      </c>
      <c r="L1921">
        <v>960022.44</v>
      </c>
      <c r="M1921" t="s">
        <v>25</v>
      </c>
      <c r="N1921" t="s">
        <v>69</v>
      </c>
      <c r="O1921" t="s">
        <v>44</v>
      </c>
      <c r="P1921" t="s">
        <v>26</v>
      </c>
    </row>
    <row r="1922" spans="1:16" x14ac:dyDescent="0.25">
      <c r="A1922" t="s">
        <v>3099</v>
      </c>
      <c r="B1922" t="s">
        <v>1296</v>
      </c>
      <c r="C1922" t="s">
        <v>19</v>
      </c>
      <c r="D1922" t="s">
        <v>66</v>
      </c>
      <c r="E1922" t="s">
        <v>67</v>
      </c>
      <c r="F1922" t="s">
        <v>68</v>
      </c>
      <c r="G1922" t="s">
        <v>62</v>
      </c>
      <c r="H1922" t="s">
        <v>24</v>
      </c>
      <c r="I1922">
        <v>8</v>
      </c>
      <c r="J1922">
        <v>442361</v>
      </c>
      <c r="K1922">
        <v>12</v>
      </c>
      <c r="L1922">
        <v>3114221.44</v>
      </c>
      <c r="M1922" t="s">
        <v>42</v>
      </c>
      <c r="N1922" t="s">
        <v>43</v>
      </c>
      <c r="O1922" t="s">
        <v>27</v>
      </c>
      <c r="P1922" t="s">
        <v>42</v>
      </c>
    </row>
    <row r="1923" spans="1:16" x14ac:dyDescent="0.25">
      <c r="A1923" t="s">
        <v>3100</v>
      </c>
      <c r="B1923" t="s">
        <v>2267</v>
      </c>
      <c r="C1923" t="s">
        <v>76</v>
      </c>
      <c r="D1923" t="s">
        <v>47</v>
      </c>
      <c r="E1923" t="s">
        <v>48</v>
      </c>
      <c r="F1923" t="s">
        <v>22</v>
      </c>
      <c r="G1923" t="s">
        <v>62</v>
      </c>
      <c r="H1923" t="s">
        <v>86</v>
      </c>
      <c r="I1923">
        <v>1</v>
      </c>
      <c r="J1923">
        <v>399237</v>
      </c>
      <c r="K1923">
        <v>0</v>
      </c>
      <c r="L1923">
        <v>399237</v>
      </c>
      <c r="M1923" t="s">
        <v>25</v>
      </c>
      <c r="N1923" t="s">
        <v>43</v>
      </c>
      <c r="O1923" t="s">
        <v>44</v>
      </c>
      <c r="P1923" t="s">
        <v>26</v>
      </c>
    </row>
    <row r="1924" spans="1:16" x14ac:dyDescent="0.25">
      <c r="A1924" t="s">
        <v>3101</v>
      </c>
      <c r="B1924" t="s">
        <v>3102</v>
      </c>
      <c r="C1924" t="s">
        <v>37</v>
      </c>
      <c r="D1924" t="s">
        <v>47</v>
      </c>
      <c r="E1924" t="s">
        <v>48</v>
      </c>
      <c r="F1924" t="s">
        <v>22</v>
      </c>
      <c r="G1924" t="s">
        <v>41</v>
      </c>
      <c r="H1924" t="s">
        <v>34</v>
      </c>
      <c r="I1924">
        <v>8</v>
      </c>
      <c r="J1924">
        <v>655022</v>
      </c>
      <c r="K1924">
        <v>12</v>
      </c>
      <c r="L1924">
        <v>4611354.88</v>
      </c>
      <c r="M1924" t="s">
        <v>42</v>
      </c>
      <c r="N1924" t="s">
        <v>69</v>
      </c>
      <c r="O1924" t="s">
        <v>27</v>
      </c>
      <c r="P1924" t="s">
        <v>55</v>
      </c>
    </row>
    <row r="1925" spans="1:16" x14ac:dyDescent="0.25">
      <c r="A1925" t="s">
        <v>3103</v>
      </c>
      <c r="B1925" t="s">
        <v>2282</v>
      </c>
      <c r="C1925" t="s">
        <v>85</v>
      </c>
      <c r="D1925" t="s">
        <v>66</v>
      </c>
      <c r="E1925" t="s">
        <v>201</v>
      </c>
      <c r="F1925" t="s">
        <v>68</v>
      </c>
      <c r="G1925" t="s">
        <v>73</v>
      </c>
      <c r="H1925" t="s">
        <v>34</v>
      </c>
      <c r="I1925">
        <v>7</v>
      </c>
      <c r="J1925">
        <v>464263</v>
      </c>
      <c r="K1925">
        <v>10</v>
      </c>
      <c r="L1925">
        <v>2924856.9</v>
      </c>
      <c r="M1925" t="s">
        <v>25</v>
      </c>
      <c r="N1925" t="s">
        <v>26</v>
      </c>
      <c r="O1925" t="s">
        <v>27</v>
      </c>
      <c r="P1925" t="s">
        <v>26</v>
      </c>
    </row>
    <row r="1926" spans="1:16" x14ac:dyDescent="0.25">
      <c r="A1926" t="s">
        <v>3104</v>
      </c>
      <c r="B1926" t="s">
        <v>2852</v>
      </c>
      <c r="C1926" t="s">
        <v>85</v>
      </c>
      <c r="D1926" t="s">
        <v>47</v>
      </c>
      <c r="E1926" t="s">
        <v>48</v>
      </c>
      <c r="F1926" t="s">
        <v>22</v>
      </c>
      <c r="G1926" t="s">
        <v>73</v>
      </c>
      <c r="H1926" t="s">
        <v>86</v>
      </c>
      <c r="I1926">
        <v>4</v>
      </c>
      <c r="J1926">
        <v>169420</v>
      </c>
      <c r="K1926">
        <v>7</v>
      </c>
      <c r="L1926">
        <v>630242.39999999991</v>
      </c>
      <c r="M1926" t="s">
        <v>42</v>
      </c>
      <c r="N1926" t="s">
        <v>43</v>
      </c>
      <c r="O1926" t="s">
        <v>44</v>
      </c>
      <c r="P1926" t="s">
        <v>55</v>
      </c>
    </row>
    <row r="1927" spans="1:16" x14ac:dyDescent="0.25">
      <c r="A1927" t="s">
        <v>3105</v>
      </c>
      <c r="B1927" t="s">
        <v>182</v>
      </c>
      <c r="C1927" t="s">
        <v>37</v>
      </c>
      <c r="D1927" t="s">
        <v>154</v>
      </c>
      <c r="E1927" t="s">
        <v>201</v>
      </c>
      <c r="F1927" t="s">
        <v>68</v>
      </c>
      <c r="G1927" t="s">
        <v>52</v>
      </c>
      <c r="H1927" t="s">
        <v>34</v>
      </c>
      <c r="I1927">
        <v>3</v>
      </c>
      <c r="J1927">
        <v>806055</v>
      </c>
      <c r="K1927">
        <v>0</v>
      </c>
      <c r="L1927">
        <v>2418165</v>
      </c>
      <c r="M1927" t="s">
        <v>42</v>
      </c>
      <c r="N1927" t="s">
        <v>69</v>
      </c>
      <c r="O1927" t="s">
        <v>27</v>
      </c>
      <c r="P1927" t="s">
        <v>42</v>
      </c>
    </row>
    <row r="1928" spans="1:16" x14ac:dyDescent="0.25">
      <c r="A1928" t="s">
        <v>3106</v>
      </c>
      <c r="B1928" t="s">
        <v>2095</v>
      </c>
      <c r="C1928" t="s">
        <v>37</v>
      </c>
      <c r="D1928" t="s">
        <v>154</v>
      </c>
      <c r="E1928" t="s">
        <v>67</v>
      </c>
      <c r="F1928" t="s">
        <v>68</v>
      </c>
      <c r="G1928" t="s">
        <v>33</v>
      </c>
      <c r="H1928" t="s">
        <v>34</v>
      </c>
      <c r="I1928">
        <v>5</v>
      </c>
      <c r="J1928">
        <v>668258</v>
      </c>
      <c r="K1928">
        <v>5</v>
      </c>
      <c r="L1928">
        <v>3174225.5</v>
      </c>
      <c r="M1928" t="s">
        <v>25</v>
      </c>
      <c r="N1928" t="s">
        <v>69</v>
      </c>
      <c r="O1928" t="s">
        <v>27</v>
      </c>
      <c r="P1928" t="s">
        <v>55</v>
      </c>
    </row>
    <row r="1929" spans="1:16" x14ac:dyDescent="0.25">
      <c r="A1929" t="s">
        <v>3107</v>
      </c>
      <c r="B1929" t="s">
        <v>3108</v>
      </c>
      <c r="C1929" t="s">
        <v>19</v>
      </c>
      <c r="D1929" t="s">
        <v>38</v>
      </c>
      <c r="E1929" t="s">
        <v>39</v>
      </c>
      <c r="F1929" t="s">
        <v>40</v>
      </c>
      <c r="G1929" t="s">
        <v>124</v>
      </c>
      <c r="H1929" t="s">
        <v>58</v>
      </c>
      <c r="I1929">
        <v>1</v>
      </c>
      <c r="J1929">
        <v>68181</v>
      </c>
      <c r="K1929">
        <v>7</v>
      </c>
      <c r="L1929">
        <v>63408.329999999987</v>
      </c>
      <c r="M1929" t="s">
        <v>25</v>
      </c>
      <c r="N1929" t="s">
        <v>69</v>
      </c>
      <c r="O1929" t="s">
        <v>44</v>
      </c>
      <c r="P1929" t="s">
        <v>55</v>
      </c>
    </row>
    <row r="1930" spans="1:16" x14ac:dyDescent="0.25">
      <c r="A1930" t="s">
        <v>3109</v>
      </c>
      <c r="B1930" t="s">
        <v>1208</v>
      </c>
      <c r="C1930" t="s">
        <v>198</v>
      </c>
      <c r="D1930" t="s">
        <v>20</v>
      </c>
      <c r="E1930" t="s">
        <v>21</v>
      </c>
      <c r="F1930" t="s">
        <v>22</v>
      </c>
      <c r="G1930" t="s">
        <v>33</v>
      </c>
      <c r="H1930" t="s">
        <v>58</v>
      </c>
      <c r="I1930">
        <v>8</v>
      </c>
      <c r="J1930">
        <v>446468</v>
      </c>
      <c r="K1930">
        <v>10</v>
      </c>
      <c r="L1930">
        <v>3214569.6</v>
      </c>
      <c r="M1930" t="s">
        <v>54</v>
      </c>
      <c r="N1930" t="s">
        <v>26</v>
      </c>
      <c r="O1930" t="s">
        <v>44</v>
      </c>
      <c r="P1930" t="s">
        <v>26</v>
      </c>
    </row>
    <row r="1931" spans="1:16" x14ac:dyDescent="0.25">
      <c r="A1931" t="s">
        <v>3110</v>
      </c>
      <c r="B1931" t="s">
        <v>3111</v>
      </c>
      <c r="C1931" t="s">
        <v>85</v>
      </c>
      <c r="D1931" t="s">
        <v>66</v>
      </c>
      <c r="E1931" t="s">
        <v>67</v>
      </c>
      <c r="F1931" t="s">
        <v>68</v>
      </c>
      <c r="G1931" t="s">
        <v>62</v>
      </c>
      <c r="H1931" t="s">
        <v>58</v>
      </c>
      <c r="I1931">
        <v>8</v>
      </c>
      <c r="J1931">
        <v>870547</v>
      </c>
      <c r="K1931">
        <v>2</v>
      </c>
      <c r="L1931">
        <v>6825088.4800000004</v>
      </c>
      <c r="M1931" t="s">
        <v>54</v>
      </c>
      <c r="N1931" t="s">
        <v>69</v>
      </c>
      <c r="O1931" t="s">
        <v>27</v>
      </c>
      <c r="P1931" t="s">
        <v>55</v>
      </c>
    </row>
    <row r="1932" spans="1:16" x14ac:dyDescent="0.25">
      <c r="A1932" t="s">
        <v>3112</v>
      </c>
      <c r="B1932" t="s">
        <v>118</v>
      </c>
      <c r="C1932" t="s">
        <v>65</v>
      </c>
      <c r="D1932" t="s">
        <v>20</v>
      </c>
      <c r="E1932" t="s">
        <v>189</v>
      </c>
      <c r="F1932" t="s">
        <v>22</v>
      </c>
      <c r="G1932" t="s">
        <v>89</v>
      </c>
      <c r="H1932" t="s">
        <v>86</v>
      </c>
      <c r="I1932">
        <v>5</v>
      </c>
      <c r="J1932">
        <v>290356</v>
      </c>
      <c r="K1932">
        <v>10</v>
      </c>
      <c r="L1932">
        <v>1306602</v>
      </c>
      <c r="M1932" t="s">
        <v>25</v>
      </c>
      <c r="N1932" t="s">
        <v>26</v>
      </c>
      <c r="O1932" t="s">
        <v>44</v>
      </c>
      <c r="P1932" t="s">
        <v>42</v>
      </c>
    </row>
    <row r="1933" spans="1:16" x14ac:dyDescent="0.25">
      <c r="A1933" t="s">
        <v>3113</v>
      </c>
      <c r="B1933" t="s">
        <v>3114</v>
      </c>
      <c r="C1933" t="s">
        <v>198</v>
      </c>
      <c r="D1933" t="s">
        <v>66</v>
      </c>
      <c r="E1933" t="s">
        <v>67</v>
      </c>
      <c r="F1933" t="s">
        <v>68</v>
      </c>
      <c r="G1933" t="s">
        <v>62</v>
      </c>
      <c r="H1933" t="s">
        <v>24</v>
      </c>
      <c r="I1933">
        <v>7</v>
      </c>
      <c r="J1933">
        <v>404697</v>
      </c>
      <c r="K1933">
        <v>0</v>
      </c>
      <c r="L1933">
        <v>2832879</v>
      </c>
      <c r="M1933" t="s">
        <v>54</v>
      </c>
      <c r="N1933" t="s">
        <v>69</v>
      </c>
      <c r="O1933" t="s">
        <v>27</v>
      </c>
      <c r="P1933" t="s">
        <v>26</v>
      </c>
    </row>
    <row r="1934" spans="1:16" x14ac:dyDescent="0.25">
      <c r="A1934" t="s">
        <v>355</v>
      </c>
      <c r="B1934" t="s">
        <v>875</v>
      </c>
      <c r="C1934" t="s">
        <v>85</v>
      </c>
      <c r="D1934" t="s">
        <v>30</v>
      </c>
      <c r="E1934" t="s">
        <v>31</v>
      </c>
      <c r="F1934" t="s">
        <v>32</v>
      </c>
      <c r="G1934" t="s">
        <v>52</v>
      </c>
      <c r="H1934" t="s">
        <v>53</v>
      </c>
      <c r="I1934">
        <v>6</v>
      </c>
      <c r="J1934">
        <v>633872</v>
      </c>
      <c r="K1934">
        <v>12</v>
      </c>
      <c r="L1934">
        <v>3346844.16</v>
      </c>
      <c r="M1934" t="s">
        <v>54</v>
      </c>
      <c r="N1934" t="s">
        <v>43</v>
      </c>
      <c r="O1934" t="s">
        <v>44</v>
      </c>
      <c r="P1934" t="s">
        <v>42</v>
      </c>
    </row>
    <row r="1935" spans="1:16" x14ac:dyDescent="0.25">
      <c r="A1935" t="s">
        <v>3115</v>
      </c>
      <c r="B1935" t="s">
        <v>3116</v>
      </c>
      <c r="C1935" t="s">
        <v>19</v>
      </c>
      <c r="D1935" t="s">
        <v>66</v>
      </c>
      <c r="E1935" t="s">
        <v>67</v>
      </c>
      <c r="F1935" t="s">
        <v>68</v>
      </c>
      <c r="G1935" t="s">
        <v>124</v>
      </c>
      <c r="H1935" t="s">
        <v>53</v>
      </c>
      <c r="I1935">
        <v>3</v>
      </c>
      <c r="J1935">
        <v>556074</v>
      </c>
      <c r="K1935">
        <v>10</v>
      </c>
      <c r="L1935">
        <v>1501399.8</v>
      </c>
      <c r="M1935" t="s">
        <v>54</v>
      </c>
      <c r="N1935" t="s">
        <v>43</v>
      </c>
      <c r="O1935" t="s">
        <v>44</v>
      </c>
      <c r="P1935" t="s">
        <v>26</v>
      </c>
    </row>
    <row r="1936" spans="1:16" x14ac:dyDescent="0.25">
      <c r="A1936" t="s">
        <v>3117</v>
      </c>
      <c r="B1936" t="s">
        <v>223</v>
      </c>
      <c r="C1936" t="s">
        <v>76</v>
      </c>
      <c r="D1936" t="s">
        <v>20</v>
      </c>
      <c r="E1936" t="s">
        <v>21</v>
      </c>
      <c r="F1936" t="s">
        <v>22</v>
      </c>
      <c r="G1936" t="s">
        <v>33</v>
      </c>
      <c r="H1936" t="s">
        <v>86</v>
      </c>
      <c r="I1936">
        <v>5</v>
      </c>
      <c r="J1936">
        <v>424993</v>
      </c>
      <c r="K1936">
        <v>0</v>
      </c>
      <c r="L1936">
        <v>2124965</v>
      </c>
      <c r="M1936" t="s">
        <v>25</v>
      </c>
      <c r="N1936" t="s">
        <v>69</v>
      </c>
      <c r="O1936" t="s">
        <v>27</v>
      </c>
      <c r="P1936" t="s">
        <v>42</v>
      </c>
    </row>
    <row r="1937" spans="1:16" x14ac:dyDescent="0.25">
      <c r="A1937" t="s">
        <v>3118</v>
      </c>
      <c r="B1937" t="s">
        <v>1131</v>
      </c>
      <c r="C1937" t="s">
        <v>65</v>
      </c>
      <c r="D1937" t="s">
        <v>47</v>
      </c>
      <c r="E1937" t="s">
        <v>48</v>
      </c>
      <c r="F1937" t="s">
        <v>22</v>
      </c>
      <c r="G1937" t="s">
        <v>73</v>
      </c>
      <c r="H1937" t="s">
        <v>86</v>
      </c>
      <c r="I1937">
        <v>1</v>
      </c>
      <c r="J1937">
        <v>224113</v>
      </c>
      <c r="K1937">
        <v>5</v>
      </c>
      <c r="L1937">
        <v>212907.35</v>
      </c>
      <c r="M1937" t="s">
        <v>42</v>
      </c>
      <c r="N1937" t="s">
        <v>26</v>
      </c>
      <c r="O1937" t="s">
        <v>27</v>
      </c>
      <c r="P1937" t="s">
        <v>55</v>
      </c>
    </row>
    <row r="1938" spans="1:16" x14ac:dyDescent="0.25">
      <c r="A1938" t="s">
        <v>3119</v>
      </c>
      <c r="B1938" t="s">
        <v>3120</v>
      </c>
      <c r="C1938" t="s">
        <v>65</v>
      </c>
      <c r="D1938" t="s">
        <v>20</v>
      </c>
      <c r="E1938" t="s">
        <v>21</v>
      </c>
      <c r="F1938" t="s">
        <v>22</v>
      </c>
      <c r="G1938" t="s">
        <v>33</v>
      </c>
      <c r="H1938" t="s">
        <v>86</v>
      </c>
      <c r="I1938">
        <v>6</v>
      </c>
      <c r="J1938">
        <v>695922</v>
      </c>
      <c r="K1938">
        <v>7</v>
      </c>
      <c r="L1938">
        <v>3883244.76</v>
      </c>
      <c r="M1938" t="s">
        <v>42</v>
      </c>
      <c r="N1938" t="s">
        <v>69</v>
      </c>
      <c r="O1938" t="s">
        <v>27</v>
      </c>
      <c r="P1938" t="s">
        <v>55</v>
      </c>
    </row>
    <row r="1939" spans="1:16" x14ac:dyDescent="0.25">
      <c r="A1939" t="s">
        <v>3121</v>
      </c>
      <c r="B1939" t="s">
        <v>575</v>
      </c>
      <c r="C1939" t="s">
        <v>76</v>
      </c>
      <c r="D1939" t="s">
        <v>38</v>
      </c>
      <c r="E1939" t="s">
        <v>39</v>
      </c>
      <c r="F1939" t="s">
        <v>40</v>
      </c>
      <c r="G1939" t="s">
        <v>73</v>
      </c>
      <c r="H1939" t="s">
        <v>53</v>
      </c>
      <c r="I1939">
        <v>3</v>
      </c>
      <c r="J1939">
        <v>794955</v>
      </c>
      <c r="K1939">
        <v>0</v>
      </c>
      <c r="L1939">
        <v>2384865</v>
      </c>
      <c r="M1939" t="s">
        <v>54</v>
      </c>
      <c r="N1939" t="s">
        <v>69</v>
      </c>
      <c r="O1939" t="s">
        <v>44</v>
      </c>
      <c r="P1939" t="s">
        <v>26</v>
      </c>
    </row>
    <row r="1940" spans="1:16" x14ac:dyDescent="0.25">
      <c r="A1940" t="s">
        <v>3122</v>
      </c>
      <c r="B1940" t="s">
        <v>904</v>
      </c>
      <c r="C1940" t="s">
        <v>19</v>
      </c>
      <c r="D1940" t="s">
        <v>30</v>
      </c>
      <c r="E1940" t="s">
        <v>31</v>
      </c>
      <c r="F1940" t="s">
        <v>32</v>
      </c>
      <c r="G1940" t="s">
        <v>89</v>
      </c>
      <c r="H1940" t="s">
        <v>24</v>
      </c>
      <c r="I1940">
        <v>2</v>
      </c>
      <c r="J1940">
        <v>383761</v>
      </c>
      <c r="K1940">
        <v>2</v>
      </c>
      <c r="L1940">
        <v>752171.55999999994</v>
      </c>
      <c r="M1940" t="s">
        <v>42</v>
      </c>
      <c r="N1940" t="s">
        <v>43</v>
      </c>
      <c r="O1940" t="s">
        <v>27</v>
      </c>
      <c r="P1940" t="s">
        <v>42</v>
      </c>
    </row>
    <row r="1941" spans="1:16" x14ac:dyDescent="0.25">
      <c r="A1941" t="s">
        <v>3123</v>
      </c>
      <c r="B1941" t="s">
        <v>3057</v>
      </c>
      <c r="C1941" t="s">
        <v>37</v>
      </c>
      <c r="D1941" t="s">
        <v>47</v>
      </c>
      <c r="E1941" t="s">
        <v>48</v>
      </c>
      <c r="F1941" t="s">
        <v>22</v>
      </c>
      <c r="G1941" t="s">
        <v>41</v>
      </c>
      <c r="H1941" t="s">
        <v>34</v>
      </c>
      <c r="I1941">
        <v>3</v>
      </c>
      <c r="J1941">
        <v>602723</v>
      </c>
      <c r="K1941">
        <v>7</v>
      </c>
      <c r="L1941">
        <v>1681597.17</v>
      </c>
      <c r="M1941" t="s">
        <v>42</v>
      </c>
      <c r="N1941" t="s">
        <v>26</v>
      </c>
      <c r="O1941" t="s">
        <v>44</v>
      </c>
      <c r="P1941" t="s">
        <v>26</v>
      </c>
    </row>
    <row r="1942" spans="1:16" x14ac:dyDescent="0.25">
      <c r="A1942" t="s">
        <v>3124</v>
      </c>
      <c r="B1942" t="s">
        <v>1775</v>
      </c>
      <c r="C1942" t="s">
        <v>85</v>
      </c>
      <c r="D1942" t="s">
        <v>66</v>
      </c>
      <c r="E1942" t="s">
        <v>67</v>
      </c>
      <c r="F1942" t="s">
        <v>68</v>
      </c>
      <c r="G1942" t="s">
        <v>73</v>
      </c>
      <c r="H1942" t="s">
        <v>53</v>
      </c>
      <c r="I1942">
        <v>2</v>
      </c>
      <c r="J1942">
        <v>620512</v>
      </c>
      <c r="K1942">
        <v>5</v>
      </c>
      <c r="L1942">
        <v>1178972.8</v>
      </c>
      <c r="M1942" t="s">
        <v>42</v>
      </c>
      <c r="N1942" t="s">
        <v>69</v>
      </c>
      <c r="O1942" t="s">
        <v>27</v>
      </c>
      <c r="P1942" t="s">
        <v>42</v>
      </c>
    </row>
    <row r="1943" spans="1:16" x14ac:dyDescent="0.25">
      <c r="A1943" t="s">
        <v>3125</v>
      </c>
      <c r="B1943" t="s">
        <v>3126</v>
      </c>
      <c r="C1943" t="s">
        <v>37</v>
      </c>
      <c r="D1943" t="s">
        <v>119</v>
      </c>
      <c r="E1943" t="s">
        <v>21</v>
      </c>
      <c r="F1943" t="s">
        <v>22</v>
      </c>
      <c r="G1943" t="s">
        <v>52</v>
      </c>
      <c r="H1943" t="s">
        <v>53</v>
      </c>
      <c r="I1943">
        <v>2</v>
      </c>
      <c r="J1943">
        <v>853978</v>
      </c>
      <c r="K1943">
        <v>5</v>
      </c>
      <c r="L1943">
        <v>1622558.2</v>
      </c>
      <c r="M1943" t="s">
        <v>54</v>
      </c>
      <c r="N1943" t="s">
        <v>69</v>
      </c>
      <c r="O1943" t="s">
        <v>44</v>
      </c>
      <c r="P1943" t="s">
        <v>55</v>
      </c>
    </row>
    <row r="1944" spans="1:16" x14ac:dyDescent="0.25">
      <c r="A1944" t="s">
        <v>3127</v>
      </c>
      <c r="B1944" t="s">
        <v>1515</v>
      </c>
      <c r="C1944" t="s">
        <v>37</v>
      </c>
      <c r="D1944" t="s">
        <v>38</v>
      </c>
      <c r="E1944" t="s">
        <v>39</v>
      </c>
      <c r="F1944" t="s">
        <v>40</v>
      </c>
      <c r="G1944" t="s">
        <v>73</v>
      </c>
      <c r="H1944" t="s">
        <v>86</v>
      </c>
      <c r="I1944">
        <v>3</v>
      </c>
      <c r="J1944">
        <v>534856</v>
      </c>
      <c r="K1944">
        <v>5</v>
      </c>
      <c r="L1944">
        <v>1524339.6</v>
      </c>
      <c r="M1944" t="s">
        <v>54</v>
      </c>
      <c r="N1944" t="s">
        <v>69</v>
      </c>
      <c r="O1944" t="s">
        <v>27</v>
      </c>
      <c r="P1944" t="s">
        <v>55</v>
      </c>
    </row>
    <row r="1945" spans="1:16" x14ac:dyDescent="0.25">
      <c r="A1945" t="s">
        <v>3128</v>
      </c>
      <c r="B1945" t="s">
        <v>134</v>
      </c>
      <c r="C1945" t="s">
        <v>85</v>
      </c>
      <c r="D1945" t="s">
        <v>30</v>
      </c>
      <c r="E1945" t="s">
        <v>31</v>
      </c>
      <c r="F1945" t="s">
        <v>32</v>
      </c>
      <c r="G1945" t="s">
        <v>73</v>
      </c>
      <c r="H1945" t="s">
        <v>24</v>
      </c>
      <c r="I1945">
        <v>4</v>
      </c>
      <c r="J1945">
        <v>192030</v>
      </c>
      <c r="K1945">
        <v>5</v>
      </c>
      <c r="L1945">
        <v>729714</v>
      </c>
      <c r="M1945" t="s">
        <v>54</v>
      </c>
      <c r="N1945" t="s">
        <v>69</v>
      </c>
      <c r="O1945" t="s">
        <v>44</v>
      </c>
      <c r="P1945" t="s">
        <v>26</v>
      </c>
    </row>
    <row r="1946" spans="1:16" x14ac:dyDescent="0.25">
      <c r="A1946" t="s">
        <v>3129</v>
      </c>
      <c r="B1946" t="s">
        <v>512</v>
      </c>
      <c r="C1946" t="s">
        <v>65</v>
      </c>
      <c r="D1946" t="s">
        <v>66</v>
      </c>
      <c r="E1946" t="s">
        <v>67</v>
      </c>
      <c r="F1946" t="s">
        <v>68</v>
      </c>
      <c r="G1946" t="s">
        <v>73</v>
      </c>
      <c r="H1946" t="s">
        <v>34</v>
      </c>
      <c r="I1946">
        <v>2</v>
      </c>
      <c r="J1946">
        <v>241112</v>
      </c>
      <c r="K1946">
        <v>7</v>
      </c>
      <c r="L1946">
        <v>448468.31999999989</v>
      </c>
      <c r="M1946" t="s">
        <v>25</v>
      </c>
      <c r="N1946" t="s">
        <v>26</v>
      </c>
      <c r="O1946" t="s">
        <v>44</v>
      </c>
      <c r="P1946" t="s">
        <v>55</v>
      </c>
    </row>
    <row r="1947" spans="1:16" x14ac:dyDescent="0.25">
      <c r="A1947" t="s">
        <v>3130</v>
      </c>
      <c r="B1947" t="s">
        <v>1999</v>
      </c>
      <c r="C1947" t="s">
        <v>37</v>
      </c>
      <c r="D1947" t="s">
        <v>20</v>
      </c>
      <c r="E1947" t="s">
        <v>21</v>
      </c>
      <c r="F1947" t="s">
        <v>22</v>
      </c>
      <c r="G1947" t="s">
        <v>73</v>
      </c>
      <c r="H1947" t="s">
        <v>24</v>
      </c>
      <c r="I1947">
        <v>5</v>
      </c>
      <c r="J1947">
        <v>309258</v>
      </c>
      <c r="K1947">
        <v>7</v>
      </c>
      <c r="L1947">
        <v>1438049.7</v>
      </c>
      <c r="M1947" t="s">
        <v>54</v>
      </c>
      <c r="N1947" t="s">
        <v>69</v>
      </c>
      <c r="O1947" t="s">
        <v>27</v>
      </c>
      <c r="P1947" t="s">
        <v>55</v>
      </c>
    </row>
    <row r="1948" spans="1:16" x14ac:dyDescent="0.25">
      <c r="A1948" t="s">
        <v>3131</v>
      </c>
      <c r="B1948" t="s">
        <v>3132</v>
      </c>
      <c r="C1948" t="s">
        <v>65</v>
      </c>
      <c r="D1948" t="s">
        <v>30</v>
      </c>
      <c r="E1948" t="s">
        <v>31</v>
      </c>
      <c r="F1948" t="s">
        <v>32</v>
      </c>
      <c r="G1948" t="s">
        <v>33</v>
      </c>
      <c r="H1948" t="s">
        <v>58</v>
      </c>
      <c r="I1948">
        <v>2</v>
      </c>
      <c r="J1948">
        <v>794285</v>
      </c>
      <c r="K1948">
        <v>12</v>
      </c>
      <c r="L1948">
        <v>1397941.6</v>
      </c>
      <c r="M1948" t="s">
        <v>25</v>
      </c>
      <c r="N1948" t="s">
        <v>69</v>
      </c>
      <c r="O1948" t="s">
        <v>44</v>
      </c>
      <c r="P1948" t="s">
        <v>26</v>
      </c>
    </row>
    <row r="1949" spans="1:16" x14ac:dyDescent="0.25">
      <c r="A1949" t="s">
        <v>3133</v>
      </c>
      <c r="B1949" t="s">
        <v>3134</v>
      </c>
      <c r="C1949" t="s">
        <v>19</v>
      </c>
      <c r="D1949" t="s">
        <v>47</v>
      </c>
      <c r="E1949" t="s">
        <v>48</v>
      </c>
      <c r="F1949" t="s">
        <v>22</v>
      </c>
      <c r="G1949" t="s">
        <v>89</v>
      </c>
      <c r="H1949" t="s">
        <v>58</v>
      </c>
      <c r="I1949">
        <v>6</v>
      </c>
      <c r="J1949">
        <v>780359</v>
      </c>
      <c r="K1949">
        <v>0</v>
      </c>
      <c r="L1949">
        <v>4682154</v>
      </c>
      <c r="M1949" t="s">
        <v>25</v>
      </c>
      <c r="N1949" t="s">
        <v>26</v>
      </c>
      <c r="O1949" t="s">
        <v>27</v>
      </c>
      <c r="P1949" t="s">
        <v>42</v>
      </c>
    </row>
    <row r="1950" spans="1:16" x14ac:dyDescent="0.25">
      <c r="A1950" t="s">
        <v>3135</v>
      </c>
      <c r="B1950" t="s">
        <v>3136</v>
      </c>
      <c r="C1950" t="s">
        <v>19</v>
      </c>
      <c r="D1950" t="s">
        <v>66</v>
      </c>
      <c r="E1950" t="s">
        <v>67</v>
      </c>
      <c r="F1950" t="s">
        <v>68</v>
      </c>
      <c r="G1950" t="s">
        <v>73</v>
      </c>
      <c r="H1950" t="s">
        <v>58</v>
      </c>
      <c r="I1950">
        <v>5</v>
      </c>
      <c r="J1950">
        <v>335975</v>
      </c>
      <c r="K1950">
        <v>12</v>
      </c>
      <c r="L1950">
        <v>1478290</v>
      </c>
      <c r="M1950" t="s">
        <v>42</v>
      </c>
      <c r="N1950" t="s">
        <v>43</v>
      </c>
      <c r="O1950" t="s">
        <v>44</v>
      </c>
      <c r="P1950" t="s">
        <v>26</v>
      </c>
    </row>
    <row r="1951" spans="1:16" x14ac:dyDescent="0.25">
      <c r="A1951" t="s">
        <v>3137</v>
      </c>
      <c r="B1951" t="s">
        <v>664</v>
      </c>
      <c r="C1951" t="s">
        <v>76</v>
      </c>
      <c r="D1951" t="s">
        <v>38</v>
      </c>
      <c r="E1951" t="s">
        <v>39</v>
      </c>
      <c r="F1951" t="s">
        <v>40</v>
      </c>
      <c r="G1951" t="s">
        <v>52</v>
      </c>
      <c r="H1951" t="s">
        <v>58</v>
      </c>
      <c r="I1951">
        <v>3</v>
      </c>
      <c r="J1951">
        <v>388287</v>
      </c>
      <c r="K1951">
        <v>2</v>
      </c>
      <c r="L1951">
        <v>1141563.78</v>
      </c>
      <c r="M1951" t="s">
        <v>42</v>
      </c>
      <c r="N1951" t="s">
        <v>26</v>
      </c>
      <c r="O1951" t="s">
        <v>44</v>
      </c>
      <c r="P1951" t="s">
        <v>55</v>
      </c>
    </row>
    <row r="1952" spans="1:16" x14ac:dyDescent="0.25">
      <c r="A1952" t="s">
        <v>3138</v>
      </c>
      <c r="B1952" t="s">
        <v>258</v>
      </c>
      <c r="C1952" t="s">
        <v>19</v>
      </c>
      <c r="D1952" t="s">
        <v>47</v>
      </c>
      <c r="E1952" t="s">
        <v>48</v>
      </c>
      <c r="F1952" t="s">
        <v>22</v>
      </c>
      <c r="G1952" t="s">
        <v>73</v>
      </c>
      <c r="H1952" t="s">
        <v>24</v>
      </c>
      <c r="I1952">
        <v>6</v>
      </c>
      <c r="J1952">
        <v>96901</v>
      </c>
      <c r="K1952">
        <v>7</v>
      </c>
      <c r="L1952">
        <v>540707.57999999996</v>
      </c>
      <c r="M1952" t="s">
        <v>42</v>
      </c>
      <c r="N1952" t="s">
        <v>69</v>
      </c>
      <c r="O1952" t="s">
        <v>44</v>
      </c>
      <c r="P1952" t="s">
        <v>26</v>
      </c>
    </row>
    <row r="1953" spans="1:16" x14ac:dyDescent="0.25">
      <c r="A1953" t="s">
        <v>3139</v>
      </c>
      <c r="B1953" t="s">
        <v>2356</v>
      </c>
      <c r="C1953" t="s">
        <v>85</v>
      </c>
      <c r="D1953" t="s">
        <v>47</v>
      </c>
      <c r="E1953" t="s">
        <v>48</v>
      </c>
      <c r="F1953" t="s">
        <v>22</v>
      </c>
      <c r="G1953" t="s">
        <v>73</v>
      </c>
      <c r="H1953" t="s">
        <v>24</v>
      </c>
      <c r="I1953">
        <v>7</v>
      </c>
      <c r="J1953">
        <v>71176</v>
      </c>
      <c r="K1953">
        <v>5</v>
      </c>
      <c r="L1953">
        <v>473320.4</v>
      </c>
      <c r="M1953" t="s">
        <v>42</v>
      </c>
      <c r="N1953" t="s">
        <v>69</v>
      </c>
      <c r="O1953" t="s">
        <v>27</v>
      </c>
      <c r="P1953" t="s">
        <v>55</v>
      </c>
    </row>
    <row r="1954" spans="1:16" x14ac:dyDescent="0.25">
      <c r="A1954" t="s">
        <v>3140</v>
      </c>
      <c r="B1954" t="s">
        <v>3141</v>
      </c>
      <c r="C1954" t="s">
        <v>85</v>
      </c>
      <c r="D1954" t="s">
        <v>20</v>
      </c>
      <c r="E1954" t="s">
        <v>21</v>
      </c>
      <c r="F1954" t="s">
        <v>22</v>
      </c>
      <c r="G1954" t="s">
        <v>33</v>
      </c>
      <c r="H1954" t="s">
        <v>58</v>
      </c>
      <c r="I1954">
        <v>5</v>
      </c>
      <c r="J1954">
        <v>233786</v>
      </c>
      <c r="K1954">
        <v>2</v>
      </c>
      <c r="L1954">
        <v>1145551.3999999999</v>
      </c>
      <c r="M1954" t="s">
        <v>25</v>
      </c>
      <c r="N1954" t="s">
        <v>69</v>
      </c>
      <c r="O1954" t="s">
        <v>44</v>
      </c>
      <c r="P1954" t="s">
        <v>26</v>
      </c>
    </row>
    <row r="1955" spans="1:16" x14ac:dyDescent="0.25">
      <c r="A1955" t="s">
        <v>3142</v>
      </c>
      <c r="B1955" t="s">
        <v>660</v>
      </c>
      <c r="C1955" t="s">
        <v>19</v>
      </c>
      <c r="D1955" t="s">
        <v>38</v>
      </c>
      <c r="E1955" t="s">
        <v>39</v>
      </c>
      <c r="F1955" t="s">
        <v>40</v>
      </c>
      <c r="G1955" t="s">
        <v>73</v>
      </c>
      <c r="H1955" t="s">
        <v>58</v>
      </c>
      <c r="I1955">
        <v>6</v>
      </c>
      <c r="J1955">
        <v>287009</v>
      </c>
      <c r="K1955">
        <v>0</v>
      </c>
      <c r="L1955">
        <v>1722054</v>
      </c>
      <c r="M1955" t="s">
        <v>25</v>
      </c>
      <c r="N1955" t="s">
        <v>69</v>
      </c>
      <c r="O1955" t="s">
        <v>27</v>
      </c>
      <c r="P1955" t="s">
        <v>55</v>
      </c>
    </row>
    <row r="1956" spans="1:16" x14ac:dyDescent="0.25">
      <c r="A1956" t="s">
        <v>3143</v>
      </c>
      <c r="B1956" t="s">
        <v>362</v>
      </c>
      <c r="C1956" t="s">
        <v>76</v>
      </c>
      <c r="D1956" t="s">
        <v>66</v>
      </c>
      <c r="E1956" t="s">
        <v>67</v>
      </c>
      <c r="F1956" t="s">
        <v>68</v>
      </c>
      <c r="G1956" t="s">
        <v>41</v>
      </c>
      <c r="H1956" t="s">
        <v>53</v>
      </c>
      <c r="I1956">
        <v>4</v>
      </c>
      <c r="J1956">
        <v>790274</v>
      </c>
      <c r="K1956">
        <v>12</v>
      </c>
      <c r="L1956">
        <v>2794109.48</v>
      </c>
      <c r="M1956" t="s">
        <v>25</v>
      </c>
      <c r="N1956" t="s">
        <v>69</v>
      </c>
      <c r="O1956" t="s">
        <v>27</v>
      </c>
      <c r="P1956" t="s">
        <v>26</v>
      </c>
    </row>
    <row r="1957" spans="1:16" x14ac:dyDescent="0.25">
      <c r="A1957" t="s">
        <v>3144</v>
      </c>
      <c r="B1957" t="s">
        <v>3145</v>
      </c>
      <c r="C1957" t="s">
        <v>37</v>
      </c>
      <c r="D1957" t="s">
        <v>66</v>
      </c>
      <c r="E1957" t="s">
        <v>67</v>
      </c>
      <c r="F1957" t="s">
        <v>68</v>
      </c>
      <c r="G1957" t="s">
        <v>135</v>
      </c>
      <c r="H1957" t="s">
        <v>34</v>
      </c>
      <c r="I1957">
        <v>3</v>
      </c>
      <c r="J1957">
        <v>544398</v>
      </c>
      <c r="K1957">
        <v>2</v>
      </c>
      <c r="L1957">
        <v>1600530.12</v>
      </c>
      <c r="M1957" t="s">
        <v>42</v>
      </c>
      <c r="N1957" t="s">
        <v>43</v>
      </c>
      <c r="O1957" t="s">
        <v>44</v>
      </c>
      <c r="P1957" t="s">
        <v>26</v>
      </c>
    </row>
    <row r="1958" spans="1:16" x14ac:dyDescent="0.25">
      <c r="A1958" t="s">
        <v>3146</v>
      </c>
      <c r="B1958" t="s">
        <v>1438</v>
      </c>
      <c r="C1958" t="s">
        <v>65</v>
      </c>
      <c r="D1958" t="s">
        <v>20</v>
      </c>
      <c r="E1958" t="s">
        <v>21</v>
      </c>
      <c r="F1958" t="s">
        <v>22</v>
      </c>
      <c r="G1958" t="s">
        <v>33</v>
      </c>
      <c r="H1958" t="s">
        <v>86</v>
      </c>
      <c r="I1958">
        <v>5</v>
      </c>
      <c r="J1958">
        <v>573383</v>
      </c>
      <c r="K1958">
        <v>2</v>
      </c>
      <c r="L1958">
        <v>2809576.7</v>
      </c>
      <c r="M1958" t="s">
        <v>42</v>
      </c>
      <c r="N1958" t="s">
        <v>43</v>
      </c>
      <c r="O1958" t="s">
        <v>27</v>
      </c>
      <c r="P1958" t="s">
        <v>42</v>
      </c>
    </row>
    <row r="1959" spans="1:16" x14ac:dyDescent="0.25">
      <c r="A1959" t="s">
        <v>3147</v>
      </c>
      <c r="B1959" t="s">
        <v>2290</v>
      </c>
      <c r="C1959" t="s">
        <v>85</v>
      </c>
      <c r="D1959" t="s">
        <v>20</v>
      </c>
      <c r="E1959" t="s">
        <v>21</v>
      </c>
      <c r="F1959" t="s">
        <v>22</v>
      </c>
      <c r="G1959" t="s">
        <v>33</v>
      </c>
      <c r="H1959" t="s">
        <v>34</v>
      </c>
      <c r="I1959">
        <v>7</v>
      </c>
      <c r="J1959">
        <v>417638</v>
      </c>
      <c r="K1959">
        <v>12</v>
      </c>
      <c r="L1959">
        <v>2572650.08</v>
      </c>
      <c r="M1959" t="s">
        <v>54</v>
      </c>
      <c r="N1959" t="s">
        <v>69</v>
      </c>
      <c r="O1959" t="s">
        <v>27</v>
      </c>
      <c r="P1959" t="s">
        <v>42</v>
      </c>
    </row>
    <row r="1960" spans="1:16" x14ac:dyDescent="0.25">
      <c r="A1960" t="s">
        <v>3148</v>
      </c>
      <c r="B1960" t="s">
        <v>3149</v>
      </c>
      <c r="C1960" t="s">
        <v>76</v>
      </c>
      <c r="D1960" t="s">
        <v>30</v>
      </c>
      <c r="E1960" t="s">
        <v>31</v>
      </c>
      <c r="F1960" t="s">
        <v>32</v>
      </c>
      <c r="G1960" t="s">
        <v>41</v>
      </c>
      <c r="H1960" t="s">
        <v>24</v>
      </c>
      <c r="I1960">
        <v>3</v>
      </c>
      <c r="J1960">
        <v>734170</v>
      </c>
      <c r="K1960">
        <v>2</v>
      </c>
      <c r="L1960">
        <v>2158459.7999999998</v>
      </c>
      <c r="M1960" t="s">
        <v>54</v>
      </c>
      <c r="N1960" t="s">
        <v>69</v>
      </c>
      <c r="O1960" t="s">
        <v>44</v>
      </c>
      <c r="P1960" t="s">
        <v>55</v>
      </c>
    </row>
    <row r="1961" spans="1:16" x14ac:dyDescent="0.25">
      <c r="A1961" t="s">
        <v>3150</v>
      </c>
      <c r="B1961" t="s">
        <v>3151</v>
      </c>
      <c r="C1961" t="s">
        <v>19</v>
      </c>
      <c r="D1961" t="s">
        <v>154</v>
      </c>
      <c r="E1961" t="s">
        <v>67</v>
      </c>
      <c r="F1961" t="s">
        <v>68</v>
      </c>
      <c r="G1961" t="s">
        <v>52</v>
      </c>
      <c r="H1961" t="s">
        <v>24</v>
      </c>
      <c r="I1961">
        <v>2</v>
      </c>
      <c r="J1961">
        <v>79759</v>
      </c>
      <c r="K1961">
        <v>2</v>
      </c>
      <c r="L1961">
        <v>156327.64000000001</v>
      </c>
      <c r="M1961" t="s">
        <v>42</v>
      </c>
      <c r="N1961" t="s">
        <v>43</v>
      </c>
      <c r="O1961" t="s">
        <v>44</v>
      </c>
      <c r="P1961" t="s">
        <v>55</v>
      </c>
    </row>
    <row r="1962" spans="1:16" x14ac:dyDescent="0.25">
      <c r="A1962" t="s">
        <v>3152</v>
      </c>
      <c r="B1962" t="s">
        <v>3153</v>
      </c>
      <c r="C1962" t="s">
        <v>198</v>
      </c>
      <c r="D1962" t="s">
        <v>119</v>
      </c>
      <c r="E1962" t="s">
        <v>21</v>
      </c>
      <c r="F1962" t="s">
        <v>22</v>
      </c>
      <c r="G1962" t="s">
        <v>62</v>
      </c>
      <c r="H1962" t="s">
        <v>34</v>
      </c>
      <c r="I1962">
        <v>8</v>
      </c>
      <c r="J1962">
        <v>864991</v>
      </c>
      <c r="K1962">
        <v>2</v>
      </c>
      <c r="L1962">
        <v>6781529.4399999985</v>
      </c>
      <c r="M1962" t="s">
        <v>54</v>
      </c>
      <c r="N1962" t="s">
        <v>26</v>
      </c>
      <c r="O1962" t="s">
        <v>27</v>
      </c>
      <c r="P1962" t="s">
        <v>26</v>
      </c>
    </row>
    <row r="1963" spans="1:16" x14ac:dyDescent="0.25">
      <c r="A1963" t="s">
        <v>3154</v>
      </c>
      <c r="B1963" t="s">
        <v>3155</v>
      </c>
      <c r="C1963" t="s">
        <v>37</v>
      </c>
      <c r="D1963" t="s">
        <v>47</v>
      </c>
      <c r="E1963" t="s">
        <v>72</v>
      </c>
      <c r="F1963" t="s">
        <v>22</v>
      </c>
      <c r="G1963" t="s">
        <v>135</v>
      </c>
      <c r="H1963" t="s">
        <v>58</v>
      </c>
      <c r="I1963">
        <v>5</v>
      </c>
      <c r="J1963">
        <v>817404</v>
      </c>
      <c r="K1963">
        <v>2</v>
      </c>
      <c r="L1963">
        <v>4005279.6</v>
      </c>
      <c r="M1963" t="s">
        <v>54</v>
      </c>
      <c r="N1963" t="s">
        <v>43</v>
      </c>
      <c r="O1963" t="s">
        <v>44</v>
      </c>
      <c r="P1963" t="s">
        <v>26</v>
      </c>
    </row>
    <row r="1964" spans="1:16" x14ac:dyDescent="0.25">
      <c r="A1964" t="s">
        <v>3156</v>
      </c>
      <c r="B1964" t="s">
        <v>205</v>
      </c>
      <c r="C1964" t="s">
        <v>19</v>
      </c>
      <c r="D1964" t="s">
        <v>154</v>
      </c>
      <c r="E1964" t="s">
        <v>67</v>
      </c>
      <c r="F1964" t="s">
        <v>68</v>
      </c>
      <c r="G1964" t="s">
        <v>33</v>
      </c>
      <c r="H1964" t="s">
        <v>58</v>
      </c>
      <c r="I1964">
        <v>7</v>
      </c>
      <c r="J1964">
        <v>528353</v>
      </c>
      <c r="K1964">
        <v>12</v>
      </c>
      <c r="L1964">
        <v>3254654.48</v>
      </c>
      <c r="M1964" t="s">
        <v>25</v>
      </c>
      <c r="N1964" t="s">
        <v>43</v>
      </c>
      <c r="O1964" t="s">
        <v>27</v>
      </c>
      <c r="P1964" t="s">
        <v>42</v>
      </c>
    </row>
    <row r="1965" spans="1:16" x14ac:dyDescent="0.25">
      <c r="A1965" t="s">
        <v>3157</v>
      </c>
      <c r="B1965" t="s">
        <v>877</v>
      </c>
      <c r="C1965" t="s">
        <v>85</v>
      </c>
      <c r="D1965" t="s">
        <v>47</v>
      </c>
      <c r="E1965" t="s">
        <v>48</v>
      </c>
      <c r="F1965" t="s">
        <v>22</v>
      </c>
      <c r="G1965" t="s">
        <v>73</v>
      </c>
      <c r="H1965" t="s">
        <v>24</v>
      </c>
      <c r="I1965">
        <v>2</v>
      </c>
      <c r="J1965">
        <v>738737</v>
      </c>
      <c r="K1965">
        <v>5</v>
      </c>
      <c r="L1965">
        <v>1403600.3</v>
      </c>
      <c r="M1965" t="s">
        <v>25</v>
      </c>
      <c r="N1965" t="s">
        <v>43</v>
      </c>
      <c r="O1965" t="s">
        <v>44</v>
      </c>
      <c r="P1965" t="s">
        <v>42</v>
      </c>
    </row>
    <row r="1966" spans="1:16" x14ac:dyDescent="0.25">
      <c r="A1966" t="s">
        <v>3158</v>
      </c>
      <c r="B1966" t="s">
        <v>3159</v>
      </c>
      <c r="C1966" t="s">
        <v>85</v>
      </c>
      <c r="D1966" t="s">
        <v>119</v>
      </c>
      <c r="E1966" t="s">
        <v>21</v>
      </c>
      <c r="F1966" t="s">
        <v>22</v>
      </c>
      <c r="G1966" t="s">
        <v>41</v>
      </c>
      <c r="H1966" t="s">
        <v>53</v>
      </c>
      <c r="I1966">
        <v>7</v>
      </c>
      <c r="J1966">
        <v>173818</v>
      </c>
      <c r="K1966">
        <v>5</v>
      </c>
      <c r="L1966">
        <v>1155889.7</v>
      </c>
      <c r="M1966" t="s">
        <v>54</v>
      </c>
      <c r="N1966" t="s">
        <v>69</v>
      </c>
      <c r="O1966" t="s">
        <v>27</v>
      </c>
      <c r="P1966" t="s">
        <v>42</v>
      </c>
    </row>
    <row r="1967" spans="1:16" x14ac:dyDescent="0.25">
      <c r="A1967" t="s">
        <v>3160</v>
      </c>
      <c r="B1967" t="s">
        <v>116</v>
      </c>
      <c r="C1967" t="s">
        <v>61</v>
      </c>
      <c r="D1967" t="s">
        <v>20</v>
      </c>
      <c r="E1967" t="s">
        <v>21</v>
      </c>
      <c r="F1967" t="s">
        <v>22</v>
      </c>
      <c r="G1967" t="s">
        <v>33</v>
      </c>
      <c r="H1967" t="s">
        <v>58</v>
      </c>
      <c r="I1967">
        <v>2</v>
      </c>
      <c r="J1967">
        <v>805406</v>
      </c>
      <c r="K1967">
        <v>5</v>
      </c>
      <c r="L1967">
        <v>1530271.4</v>
      </c>
      <c r="M1967" t="s">
        <v>54</v>
      </c>
      <c r="N1967" t="s">
        <v>26</v>
      </c>
      <c r="O1967" t="s">
        <v>27</v>
      </c>
      <c r="P1967" t="s">
        <v>26</v>
      </c>
    </row>
    <row r="1968" spans="1:16" x14ac:dyDescent="0.25">
      <c r="A1968" t="s">
        <v>3161</v>
      </c>
      <c r="B1968" t="s">
        <v>3162</v>
      </c>
      <c r="C1968" t="s">
        <v>19</v>
      </c>
      <c r="D1968" t="s">
        <v>30</v>
      </c>
      <c r="E1968" t="s">
        <v>31</v>
      </c>
      <c r="F1968" t="s">
        <v>32</v>
      </c>
      <c r="G1968" t="s">
        <v>124</v>
      </c>
      <c r="H1968" t="s">
        <v>53</v>
      </c>
      <c r="I1968">
        <v>1</v>
      </c>
      <c r="J1968">
        <v>119228</v>
      </c>
      <c r="K1968">
        <v>2</v>
      </c>
      <c r="L1968">
        <v>116843.44</v>
      </c>
      <c r="M1968" t="s">
        <v>25</v>
      </c>
      <c r="N1968" t="s">
        <v>43</v>
      </c>
      <c r="O1968" t="s">
        <v>44</v>
      </c>
      <c r="P1968" t="s">
        <v>55</v>
      </c>
    </row>
    <row r="1969" spans="1:16" x14ac:dyDescent="0.25">
      <c r="A1969" t="s">
        <v>3163</v>
      </c>
      <c r="B1969" t="s">
        <v>1974</v>
      </c>
      <c r="C1969" t="s">
        <v>65</v>
      </c>
      <c r="D1969" t="s">
        <v>30</v>
      </c>
      <c r="E1969" t="s">
        <v>31</v>
      </c>
      <c r="F1969" t="s">
        <v>32</v>
      </c>
      <c r="G1969" t="s">
        <v>33</v>
      </c>
      <c r="H1969" t="s">
        <v>24</v>
      </c>
      <c r="I1969">
        <v>3</v>
      </c>
      <c r="J1969">
        <v>191964</v>
      </c>
      <c r="K1969">
        <v>0</v>
      </c>
      <c r="L1969">
        <v>575892</v>
      </c>
      <c r="M1969" t="s">
        <v>54</v>
      </c>
      <c r="N1969" t="s">
        <v>26</v>
      </c>
      <c r="O1969" t="s">
        <v>44</v>
      </c>
      <c r="P1969" t="s">
        <v>55</v>
      </c>
    </row>
    <row r="1970" spans="1:16" x14ac:dyDescent="0.25">
      <c r="A1970" t="s">
        <v>3164</v>
      </c>
      <c r="B1970" t="s">
        <v>384</v>
      </c>
      <c r="C1970" t="s">
        <v>85</v>
      </c>
      <c r="D1970" t="s">
        <v>154</v>
      </c>
      <c r="E1970" t="s">
        <v>67</v>
      </c>
      <c r="F1970" t="s">
        <v>68</v>
      </c>
      <c r="G1970" t="s">
        <v>23</v>
      </c>
      <c r="H1970" t="s">
        <v>24</v>
      </c>
      <c r="I1970">
        <v>4</v>
      </c>
      <c r="J1970">
        <v>615203</v>
      </c>
      <c r="K1970">
        <v>7</v>
      </c>
      <c r="L1970">
        <v>2288555.16</v>
      </c>
      <c r="M1970" t="s">
        <v>42</v>
      </c>
      <c r="N1970" t="s">
        <v>26</v>
      </c>
      <c r="O1970" t="s">
        <v>44</v>
      </c>
      <c r="P1970" t="s">
        <v>55</v>
      </c>
    </row>
    <row r="1971" spans="1:16" x14ac:dyDescent="0.25">
      <c r="A1971" t="s">
        <v>3165</v>
      </c>
      <c r="B1971" t="s">
        <v>3166</v>
      </c>
      <c r="C1971" t="s">
        <v>19</v>
      </c>
      <c r="D1971" t="s">
        <v>106</v>
      </c>
      <c r="E1971" t="s">
        <v>31</v>
      </c>
      <c r="F1971" t="s">
        <v>32</v>
      </c>
      <c r="G1971" t="s">
        <v>52</v>
      </c>
      <c r="H1971" t="s">
        <v>34</v>
      </c>
      <c r="I1971">
        <v>4</v>
      </c>
      <c r="J1971">
        <v>608221</v>
      </c>
      <c r="K1971">
        <v>7</v>
      </c>
      <c r="L1971">
        <v>2262582.12</v>
      </c>
      <c r="M1971" t="s">
        <v>54</v>
      </c>
      <c r="N1971" t="s">
        <v>43</v>
      </c>
      <c r="O1971" t="s">
        <v>27</v>
      </c>
      <c r="P1971" t="s">
        <v>42</v>
      </c>
    </row>
    <row r="1972" spans="1:16" x14ac:dyDescent="0.25">
      <c r="A1972" t="s">
        <v>3167</v>
      </c>
      <c r="B1972" t="s">
        <v>2511</v>
      </c>
      <c r="C1972" t="s">
        <v>85</v>
      </c>
      <c r="D1972" t="s">
        <v>66</v>
      </c>
      <c r="E1972" t="s">
        <v>67</v>
      </c>
      <c r="F1972" t="s">
        <v>68</v>
      </c>
      <c r="G1972" t="s">
        <v>23</v>
      </c>
      <c r="H1972" t="s">
        <v>86</v>
      </c>
      <c r="I1972">
        <v>1</v>
      </c>
      <c r="J1972">
        <v>379866</v>
      </c>
      <c r="K1972">
        <v>5</v>
      </c>
      <c r="L1972">
        <v>360872.7</v>
      </c>
      <c r="M1972" t="s">
        <v>25</v>
      </c>
      <c r="N1972" t="s">
        <v>69</v>
      </c>
      <c r="O1972" t="s">
        <v>27</v>
      </c>
      <c r="P1972" t="s">
        <v>42</v>
      </c>
    </row>
    <row r="1973" spans="1:16" x14ac:dyDescent="0.25">
      <c r="A1973" t="s">
        <v>3168</v>
      </c>
      <c r="B1973" t="s">
        <v>636</v>
      </c>
      <c r="C1973" t="s">
        <v>19</v>
      </c>
      <c r="D1973" t="s">
        <v>20</v>
      </c>
      <c r="E1973" t="s">
        <v>21</v>
      </c>
      <c r="F1973" t="s">
        <v>22</v>
      </c>
      <c r="G1973" t="s">
        <v>73</v>
      </c>
      <c r="H1973" t="s">
        <v>24</v>
      </c>
      <c r="I1973">
        <v>8</v>
      </c>
      <c r="J1973">
        <v>184940</v>
      </c>
      <c r="K1973">
        <v>10</v>
      </c>
      <c r="L1973">
        <v>1331568</v>
      </c>
      <c r="M1973" t="s">
        <v>42</v>
      </c>
      <c r="N1973" t="s">
        <v>69</v>
      </c>
      <c r="O1973" t="s">
        <v>27</v>
      </c>
      <c r="P1973" t="s">
        <v>42</v>
      </c>
    </row>
    <row r="1974" spans="1:16" x14ac:dyDescent="0.25">
      <c r="A1974" t="s">
        <v>3169</v>
      </c>
      <c r="B1974" t="s">
        <v>1819</v>
      </c>
      <c r="C1974" t="s">
        <v>19</v>
      </c>
      <c r="D1974" t="s">
        <v>38</v>
      </c>
      <c r="E1974" t="s">
        <v>39</v>
      </c>
      <c r="F1974" t="s">
        <v>40</v>
      </c>
      <c r="G1974" t="s">
        <v>124</v>
      </c>
      <c r="H1974" t="s">
        <v>86</v>
      </c>
      <c r="I1974">
        <v>7</v>
      </c>
      <c r="J1974">
        <v>154309</v>
      </c>
      <c r="K1974">
        <v>2</v>
      </c>
      <c r="L1974">
        <v>1058559.74</v>
      </c>
      <c r="M1974" t="s">
        <v>54</v>
      </c>
      <c r="N1974" t="s">
        <v>43</v>
      </c>
      <c r="O1974" t="s">
        <v>27</v>
      </c>
      <c r="P1974" t="s">
        <v>26</v>
      </c>
    </row>
    <row r="1975" spans="1:16" x14ac:dyDescent="0.25">
      <c r="A1975" t="s">
        <v>3170</v>
      </c>
      <c r="B1975" t="s">
        <v>1695</v>
      </c>
      <c r="C1975" t="s">
        <v>19</v>
      </c>
      <c r="D1975" t="s">
        <v>51</v>
      </c>
      <c r="E1975" t="s">
        <v>48</v>
      </c>
      <c r="F1975" t="s">
        <v>22</v>
      </c>
      <c r="G1975" t="s">
        <v>52</v>
      </c>
      <c r="H1975" t="s">
        <v>34</v>
      </c>
      <c r="I1975">
        <v>6</v>
      </c>
      <c r="J1975">
        <v>570967</v>
      </c>
      <c r="M1975" t="s">
        <v>25</v>
      </c>
      <c r="N1975" t="s">
        <v>43</v>
      </c>
      <c r="O1975" t="s">
        <v>27</v>
      </c>
      <c r="P1975" t="s">
        <v>26</v>
      </c>
    </row>
    <row r="1976" spans="1:16" x14ac:dyDescent="0.25">
      <c r="A1976" t="s">
        <v>3171</v>
      </c>
      <c r="B1976" t="s">
        <v>1440</v>
      </c>
      <c r="C1976" t="s">
        <v>65</v>
      </c>
      <c r="D1976" t="s">
        <v>129</v>
      </c>
      <c r="E1976" t="s">
        <v>39</v>
      </c>
      <c r="F1976" t="s">
        <v>40</v>
      </c>
      <c r="G1976" t="s">
        <v>41</v>
      </c>
      <c r="H1976" t="s">
        <v>24</v>
      </c>
      <c r="I1976">
        <v>7</v>
      </c>
      <c r="J1976">
        <v>783599</v>
      </c>
      <c r="K1976">
        <v>5</v>
      </c>
      <c r="L1976">
        <v>5210933.3499999996</v>
      </c>
      <c r="M1976" t="s">
        <v>25</v>
      </c>
      <c r="N1976" t="s">
        <v>69</v>
      </c>
      <c r="O1976" t="s">
        <v>27</v>
      </c>
      <c r="P1976" t="s">
        <v>26</v>
      </c>
    </row>
    <row r="1977" spans="1:16" x14ac:dyDescent="0.25">
      <c r="A1977" t="s">
        <v>3172</v>
      </c>
      <c r="B1977" t="s">
        <v>2656</v>
      </c>
      <c r="C1977" t="s">
        <v>61</v>
      </c>
      <c r="D1977" t="s">
        <v>66</v>
      </c>
      <c r="E1977" t="s">
        <v>67</v>
      </c>
      <c r="F1977" t="s">
        <v>68</v>
      </c>
      <c r="G1977" t="s">
        <v>62</v>
      </c>
      <c r="H1977" t="s">
        <v>86</v>
      </c>
      <c r="I1977">
        <v>4</v>
      </c>
      <c r="J1977">
        <v>704971</v>
      </c>
      <c r="K1977">
        <v>12</v>
      </c>
      <c r="L1977">
        <v>2481497.92</v>
      </c>
      <c r="M1977" t="s">
        <v>54</v>
      </c>
      <c r="N1977" t="s">
        <v>69</v>
      </c>
      <c r="O1977" t="s">
        <v>27</v>
      </c>
      <c r="P1977" t="s">
        <v>26</v>
      </c>
    </row>
    <row r="1978" spans="1:16" x14ac:dyDescent="0.25">
      <c r="A1978" t="s">
        <v>3173</v>
      </c>
      <c r="B1978" t="s">
        <v>1269</v>
      </c>
      <c r="C1978" t="s">
        <v>37</v>
      </c>
      <c r="D1978" t="s">
        <v>66</v>
      </c>
      <c r="E1978" t="s">
        <v>67</v>
      </c>
      <c r="F1978" t="s">
        <v>68</v>
      </c>
      <c r="G1978" t="s">
        <v>41</v>
      </c>
      <c r="H1978" t="s">
        <v>24</v>
      </c>
      <c r="I1978">
        <v>5</v>
      </c>
      <c r="J1978">
        <v>570357</v>
      </c>
      <c r="K1978">
        <v>0</v>
      </c>
      <c r="L1978">
        <v>2851785</v>
      </c>
      <c r="M1978" t="s">
        <v>54</v>
      </c>
      <c r="N1978" t="s">
        <v>43</v>
      </c>
      <c r="O1978" t="s">
        <v>44</v>
      </c>
      <c r="P1978" t="s">
        <v>26</v>
      </c>
    </row>
    <row r="1979" spans="1:16" x14ac:dyDescent="0.25">
      <c r="A1979" t="s">
        <v>3174</v>
      </c>
      <c r="B1979" t="s">
        <v>3175</v>
      </c>
      <c r="C1979" t="s">
        <v>65</v>
      </c>
      <c r="D1979" t="s">
        <v>66</v>
      </c>
      <c r="E1979" t="s">
        <v>67</v>
      </c>
      <c r="F1979" t="s">
        <v>68</v>
      </c>
      <c r="G1979" t="s">
        <v>41</v>
      </c>
      <c r="H1979" t="s">
        <v>24</v>
      </c>
      <c r="I1979">
        <v>6</v>
      </c>
      <c r="J1979">
        <v>661956</v>
      </c>
      <c r="K1979">
        <v>2</v>
      </c>
      <c r="L1979">
        <v>3892301.28</v>
      </c>
      <c r="M1979" t="s">
        <v>42</v>
      </c>
      <c r="N1979" t="s">
        <v>43</v>
      </c>
      <c r="O1979" t="s">
        <v>44</v>
      </c>
      <c r="P1979" t="s">
        <v>42</v>
      </c>
    </row>
    <row r="1980" spans="1:16" x14ac:dyDescent="0.25">
      <c r="A1980" t="s">
        <v>3176</v>
      </c>
      <c r="B1980" t="s">
        <v>2108</v>
      </c>
      <c r="C1980" t="s">
        <v>99</v>
      </c>
      <c r="D1980" t="s">
        <v>119</v>
      </c>
      <c r="E1980" t="s">
        <v>21</v>
      </c>
      <c r="F1980" t="s">
        <v>22</v>
      </c>
      <c r="G1980" t="s">
        <v>52</v>
      </c>
      <c r="H1980" t="s">
        <v>24</v>
      </c>
      <c r="I1980">
        <v>4</v>
      </c>
      <c r="J1980">
        <v>714285</v>
      </c>
      <c r="K1980">
        <v>7</v>
      </c>
      <c r="L1980">
        <v>2657140.2000000002</v>
      </c>
      <c r="M1980" t="s">
        <v>54</v>
      </c>
      <c r="N1980" t="s">
        <v>69</v>
      </c>
      <c r="O1980" t="s">
        <v>44</v>
      </c>
      <c r="P1980" t="s">
        <v>42</v>
      </c>
    </row>
    <row r="1981" spans="1:16" x14ac:dyDescent="0.25">
      <c r="A1981" t="s">
        <v>3177</v>
      </c>
      <c r="B1981" t="s">
        <v>3178</v>
      </c>
      <c r="C1981" t="s">
        <v>65</v>
      </c>
      <c r="D1981" t="s">
        <v>20</v>
      </c>
      <c r="E1981" t="s">
        <v>21</v>
      </c>
      <c r="F1981" t="s">
        <v>22</v>
      </c>
      <c r="G1981" t="s">
        <v>135</v>
      </c>
      <c r="H1981" t="s">
        <v>53</v>
      </c>
      <c r="I1981">
        <v>7</v>
      </c>
      <c r="J1981">
        <v>833526</v>
      </c>
      <c r="K1981">
        <v>0</v>
      </c>
      <c r="L1981">
        <v>5834682</v>
      </c>
      <c r="M1981" t="s">
        <v>42</v>
      </c>
      <c r="N1981" t="s">
        <v>26</v>
      </c>
      <c r="O1981" t="s">
        <v>44</v>
      </c>
      <c r="P1981" t="s">
        <v>55</v>
      </c>
    </row>
    <row r="1982" spans="1:16" x14ac:dyDescent="0.25">
      <c r="A1982" t="s">
        <v>3179</v>
      </c>
      <c r="B1982" t="s">
        <v>491</v>
      </c>
      <c r="C1982" t="s">
        <v>37</v>
      </c>
      <c r="D1982" t="s">
        <v>47</v>
      </c>
      <c r="E1982" t="s">
        <v>48</v>
      </c>
      <c r="F1982" t="s">
        <v>22</v>
      </c>
      <c r="G1982" t="s">
        <v>124</v>
      </c>
      <c r="H1982" t="s">
        <v>53</v>
      </c>
      <c r="I1982">
        <v>4</v>
      </c>
      <c r="J1982">
        <v>261729</v>
      </c>
      <c r="K1982">
        <v>12</v>
      </c>
      <c r="L1982">
        <v>921286.08</v>
      </c>
      <c r="M1982" t="s">
        <v>42</v>
      </c>
      <c r="N1982" t="s">
        <v>26</v>
      </c>
      <c r="O1982" t="s">
        <v>27</v>
      </c>
      <c r="P1982" t="s">
        <v>26</v>
      </c>
    </row>
    <row r="1983" spans="1:16" x14ac:dyDescent="0.25">
      <c r="A1983" t="s">
        <v>3180</v>
      </c>
      <c r="B1983" t="s">
        <v>979</v>
      </c>
      <c r="C1983" t="s">
        <v>19</v>
      </c>
      <c r="D1983" t="s">
        <v>38</v>
      </c>
      <c r="E1983" t="s">
        <v>39</v>
      </c>
      <c r="F1983" t="s">
        <v>40</v>
      </c>
      <c r="G1983" t="s">
        <v>33</v>
      </c>
      <c r="H1983" t="s">
        <v>24</v>
      </c>
      <c r="I1983">
        <v>1</v>
      </c>
      <c r="J1983">
        <v>223452</v>
      </c>
      <c r="K1983">
        <v>5</v>
      </c>
      <c r="L1983">
        <v>212279.4</v>
      </c>
      <c r="M1983" t="s">
        <v>42</v>
      </c>
      <c r="N1983" t="s">
        <v>26</v>
      </c>
      <c r="O1983" t="s">
        <v>44</v>
      </c>
      <c r="P1983" t="s">
        <v>55</v>
      </c>
    </row>
    <row r="1984" spans="1:16" x14ac:dyDescent="0.25">
      <c r="A1984" t="s">
        <v>3181</v>
      </c>
      <c r="B1984" t="s">
        <v>3182</v>
      </c>
      <c r="C1984" t="s">
        <v>79</v>
      </c>
      <c r="D1984" t="s">
        <v>30</v>
      </c>
      <c r="E1984" t="s">
        <v>31</v>
      </c>
      <c r="F1984" t="s">
        <v>32</v>
      </c>
      <c r="G1984" t="s">
        <v>41</v>
      </c>
      <c r="H1984" t="s">
        <v>24</v>
      </c>
      <c r="I1984">
        <v>2</v>
      </c>
      <c r="J1984">
        <v>773425</v>
      </c>
      <c r="K1984">
        <v>12</v>
      </c>
      <c r="L1984">
        <v>1361228</v>
      </c>
      <c r="M1984" t="s">
        <v>54</v>
      </c>
      <c r="N1984" t="s">
        <v>43</v>
      </c>
      <c r="O1984" t="s">
        <v>44</v>
      </c>
      <c r="P1984" t="s">
        <v>26</v>
      </c>
    </row>
    <row r="1985" spans="1:16" x14ac:dyDescent="0.25">
      <c r="A1985" t="s">
        <v>3183</v>
      </c>
      <c r="B1985" t="s">
        <v>470</v>
      </c>
      <c r="C1985" t="s">
        <v>19</v>
      </c>
      <c r="D1985" t="s">
        <v>20</v>
      </c>
      <c r="E1985" t="s">
        <v>21</v>
      </c>
      <c r="F1985" t="s">
        <v>22</v>
      </c>
      <c r="G1985" t="s">
        <v>52</v>
      </c>
      <c r="H1985" t="s">
        <v>24</v>
      </c>
      <c r="I1985">
        <v>7</v>
      </c>
      <c r="J1985">
        <v>861338</v>
      </c>
      <c r="K1985">
        <v>0</v>
      </c>
      <c r="L1985">
        <v>6029366</v>
      </c>
      <c r="M1985" t="s">
        <v>54</v>
      </c>
      <c r="N1985" t="s">
        <v>69</v>
      </c>
      <c r="O1985" t="s">
        <v>44</v>
      </c>
      <c r="P1985" t="s">
        <v>42</v>
      </c>
    </row>
    <row r="1986" spans="1:16" x14ac:dyDescent="0.25">
      <c r="A1986" t="s">
        <v>3184</v>
      </c>
      <c r="B1986" t="s">
        <v>3185</v>
      </c>
      <c r="C1986" t="s">
        <v>65</v>
      </c>
      <c r="D1986" t="s">
        <v>47</v>
      </c>
      <c r="E1986" t="s">
        <v>48</v>
      </c>
      <c r="F1986" t="s">
        <v>22</v>
      </c>
      <c r="G1986" t="s">
        <v>33</v>
      </c>
      <c r="H1986" t="s">
        <v>24</v>
      </c>
      <c r="I1986">
        <v>4</v>
      </c>
      <c r="J1986">
        <v>315542</v>
      </c>
      <c r="K1986">
        <v>5</v>
      </c>
      <c r="L1986">
        <v>1199059.6000000001</v>
      </c>
      <c r="M1986" t="s">
        <v>54</v>
      </c>
      <c r="N1986" t="s">
        <v>26</v>
      </c>
      <c r="O1986" t="s">
        <v>27</v>
      </c>
      <c r="P1986" t="s">
        <v>26</v>
      </c>
    </row>
    <row r="1987" spans="1:16" x14ac:dyDescent="0.25">
      <c r="A1987" t="s">
        <v>3186</v>
      </c>
      <c r="B1987" t="s">
        <v>1900</v>
      </c>
      <c r="C1987" t="s">
        <v>85</v>
      </c>
      <c r="D1987" t="s">
        <v>154</v>
      </c>
      <c r="E1987" t="s">
        <v>67</v>
      </c>
      <c r="F1987" t="s">
        <v>68</v>
      </c>
      <c r="G1987" t="s">
        <v>73</v>
      </c>
      <c r="H1987" t="s">
        <v>86</v>
      </c>
      <c r="I1987">
        <v>7</v>
      </c>
      <c r="J1987">
        <v>232229</v>
      </c>
      <c r="K1987">
        <v>12</v>
      </c>
      <c r="L1987">
        <v>1430530.64</v>
      </c>
      <c r="M1987" t="s">
        <v>54</v>
      </c>
      <c r="N1987" t="s">
        <v>43</v>
      </c>
      <c r="O1987" t="s">
        <v>44</v>
      </c>
      <c r="P1987" t="s">
        <v>55</v>
      </c>
    </row>
    <row r="1988" spans="1:16" x14ac:dyDescent="0.25">
      <c r="A1988" t="s">
        <v>3187</v>
      </c>
      <c r="B1988" t="s">
        <v>2450</v>
      </c>
      <c r="C1988" t="s">
        <v>19</v>
      </c>
      <c r="D1988" t="s">
        <v>119</v>
      </c>
      <c r="E1988" t="s">
        <v>189</v>
      </c>
      <c r="F1988" t="s">
        <v>22</v>
      </c>
      <c r="G1988" t="s">
        <v>33</v>
      </c>
      <c r="H1988" t="s">
        <v>24</v>
      </c>
      <c r="I1988">
        <v>6</v>
      </c>
      <c r="J1988">
        <v>394448</v>
      </c>
      <c r="K1988">
        <v>7</v>
      </c>
      <c r="L1988">
        <v>2201019.84</v>
      </c>
      <c r="M1988" t="s">
        <v>42</v>
      </c>
      <c r="N1988" t="s">
        <v>69</v>
      </c>
      <c r="O1988" t="s">
        <v>27</v>
      </c>
      <c r="P1988" t="s">
        <v>55</v>
      </c>
    </row>
    <row r="1989" spans="1:16" x14ac:dyDescent="0.25">
      <c r="A1989" t="s">
        <v>3188</v>
      </c>
      <c r="B1989" t="s">
        <v>1320</v>
      </c>
      <c r="C1989" t="s">
        <v>85</v>
      </c>
      <c r="D1989" t="s">
        <v>47</v>
      </c>
      <c r="E1989" t="s">
        <v>48</v>
      </c>
      <c r="F1989" t="s">
        <v>22</v>
      </c>
      <c r="G1989" t="s">
        <v>73</v>
      </c>
      <c r="H1989" t="s">
        <v>24</v>
      </c>
      <c r="I1989">
        <v>4</v>
      </c>
      <c r="J1989">
        <v>616271</v>
      </c>
      <c r="K1989">
        <v>2</v>
      </c>
      <c r="L1989">
        <v>2415782.3199999998</v>
      </c>
      <c r="M1989" t="s">
        <v>42</v>
      </c>
      <c r="N1989" t="s">
        <v>26</v>
      </c>
      <c r="O1989" t="s">
        <v>44</v>
      </c>
      <c r="P1989" t="s">
        <v>55</v>
      </c>
    </row>
    <row r="1990" spans="1:16" x14ac:dyDescent="0.25">
      <c r="A1990" t="s">
        <v>3189</v>
      </c>
      <c r="B1990" t="s">
        <v>1106</v>
      </c>
      <c r="C1990" t="s">
        <v>65</v>
      </c>
      <c r="D1990" t="s">
        <v>129</v>
      </c>
      <c r="E1990" t="s">
        <v>130</v>
      </c>
      <c r="F1990" t="s">
        <v>40</v>
      </c>
      <c r="G1990" t="s">
        <v>62</v>
      </c>
      <c r="H1990" t="s">
        <v>58</v>
      </c>
      <c r="I1990">
        <v>3</v>
      </c>
      <c r="J1990">
        <v>753774</v>
      </c>
      <c r="K1990">
        <v>0</v>
      </c>
      <c r="L1990">
        <v>2261322</v>
      </c>
      <c r="M1990" t="s">
        <v>42</v>
      </c>
      <c r="N1990" t="s">
        <v>26</v>
      </c>
      <c r="O1990" t="s">
        <v>44</v>
      </c>
      <c r="P1990" t="s">
        <v>42</v>
      </c>
    </row>
    <row r="1991" spans="1:16" x14ac:dyDescent="0.25">
      <c r="A1991" t="s">
        <v>3190</v>
      </c>
      <c r="B1991" t="s">
        <v>3191</v>
      </c>
      <c r="C1991" t="s">
        <v>79</v>
      </c>
      <c r="D1991" t="s">
        <v>66</v>
      </c>
      <c r="E1991" t="s">
        <v>201</v>
      </c>
      <c r="F1991" t="s">
        <v>68</v>
      </c>
      <c r="G1991" t="s">
        <v>41</v>
      </c>
      <c r="H1991" t="s">
        <v>24</v>
      </c>
      <c r="I1991">
        <v>6</v>
      </c>
      <c r="J1991">
        <v>885062</v>
      </c>
      <c r="K1991">
        <v>0</v>
      </c>
      <c r="L1991">
        <v>5310372</v>
      </c>
      <c r="M1991" t="s">
        <v>54</v>
      </c>
      <c r="N1991" t="s">
        <v>69</v>
      </c>
      <c r="O1991" t="s">
        <v>44</v>
      </c>
      <c r="P1991" t="s">
        <v>55</v>
      </c>
    </row>
    <row r="1992" spans="1:16" x14ac:dyDescent="0.25">
      <c r="A1992" t="s">
        <v>3192</v>
      </c>
      <c r="B1992" t="s">
        <v>1194</v>
      </c>
      <c r="C1992" t="s">
        <v>19</v>
      </c>
      <c r="D1992" t="s">
        <v>30</v>
      </c>
      <c r="E1992" t="s">
        <v>31</v>
      </c>
      <c r="F1992" t="s">
        <v>32</v>
      </c>
      <c r="G1992" t="s">
        <v>52</v>
      </c>
      <c r="H1992" t="s">
        <v>24</v>
      </c>
      <c r="I1992">
        <v>2</v>
      </c>
      <c r="J1992">
        <v>177113</v>
      </c>
      <c r="K1992">
        <v>5</v>
      </c>
      <c r="L1992">
        <v>336514.7</v>
      </c>
      <c r="M1992" t="s">
        <v>54</v>
      </c>
      <c r="N1992" t="s">
        <v>69</v>
      </c>
      <c r="O1992" t="s">
        <v>44</v>
      </c>
      <c r="P1992" t="s">
        <v>55</v>
      </c>
    </row>
    <row r="1993" spans="1:16" x14ac:dyDescent="0.25">
      <c r="A1993" t="s">
        <v>3193</v>
      </c>
      <c r="B1993" t="s">
        <v>1542</v>
      </c>
      <c r="C1993" t="s">
        <v>65</v>
      </c>
      <c r="D1993" t="s">
        <v>51</v>
      </c>
      <c r="E1993" t="s">
        <v>48</v>
      </c>
      <c r="F1993" t="s">
        <v>22</v>
      </c>
      <c r="G1993" t="s">
        <v>124</v>
      </c>
      <c r="H1993" t="s">
        <v>53</v>
      </c>
      <c r="I1993">
        <v>3</v>
      </c>
      <c r="J1993">
        <v>315267</v>
      </c>
      <c r="K1993">
        <v>0</v>
      </c>
      <c r="L1993">
        <v>945801</v>
      </c>
      <c r="M1993" t="s">
        <v>25</v>
      </c>
      <c r="N1993" t="s">
        <v>43</v>
      </c>
      <c r="O1993" t="s">
        <v>44</v>
      </c>
      <c r="P1993" t="s">
        <v>42</v>
      </c>
    </row>
    <row r="1994" spans="1:16" x14ac:dyDescent="0.25">
      <c r="A1994" t="s">
        <v>3194</v>
      </c>
      <c r="B1994" t="s">
        <v>3195</v>
      </c>
      <c r="C1994" t="s">
        <v>76</v>
      </c>
      <c r="D1994" t="s">
        <v>38</v>
      </c>
      <c r="E1994" t="s">
        <v>39</v>
      </c>
      <c r="F1994" t="s">
        <v>40</v>
      </c>
      <c r="G1994" t="s">
        <v>62</v>
      </c>
      <c r="H1994" t="s">
        <v>24</v>
      </c>
      <c r="I1994">
        <v>4</v>
      </c>
      <c r="J1994">
        <v>493537</v>
      </c>
      <c r="K1994">
        <v>0</v>
      </c>
      <c r="L1994">
        <v>1974148</v>
      </c>
      <c r="M1994" t="s">
        <v>54</v>
      </c>
      <c r="N1994" t="s">
        <v>26</v>
      </c>
      <c r="O1994" t="s">
        <v>27</v>
      </c>
      <c r="P1994" t="s">
        <v>42</v>
      </c>
    </row>
    <row r="1995" spans="1:16" x14ac:dyDescent="0.25">
      <c r="A1995" t="s">
        <v>3196</v>
      </c>
      <c r="B1995" t="s">
        <v>404</v>
      </c>
      <c r="C1995" t="s">
        <v>65</v>
      </c>
      <c r="D1995" t="s">
        <v>20</v>
      </c>
      <c r="E1995" t="s">
        <v>21</v>
      </c>
      <c r="F1995" t="s">
        <v>22</v>
      </c>
      <c r="G1995" t="s">
        <v>41</v>
      </c>
      <c r="H1995" t="s">
        <v>53</v>
      </c>
      <c r="I1995">
        <v>2</v>
      </c>
      <c r="J1995">
        <v>886070</v>
      </c>
      <c r="K1995">
        <v>10</v>
      </c>
      <c r="L1995">
        <v>1594926</v>
      </c>
      <c r="M1995" t="s">
        <v>54</v>
      </c>
      <c r="N1995" t="s">
        <v>69</v>
      </c>
      <c r="O1995" t="s">
        <v>27</v>
      </c>
      <c r="P1995" t="s">
        <v>42</v>
      </c>
    </row>
    <row r="1996" spans="1:16" x14ac:dyDescent="0.25">
      <c r="A1996" t="s">
        <v>3197</v>
      </c>
      <c r="B1996" t="s">
        <v>1551</v>
      </c>
      <c r="C1996" t="s">
        <v>91</v>
      </c>
      <c r="D1996" t="s">
        <v>51</v>
      </c>
      <c r="E1996" t="s">
        <v>48</v>
      </c>
      <c r="F1996" t="s">
        <v>22</v>
      </c>
      <c r="G1996" t="s">
        <v>52</v>
      </c>
      <c r="H1996" t="s">
        <v>34</v>
      </c>
      <c r="I1996">
        <v>2</v>
      </c>
      <c r="J1996">
        <v>145228</v>
      </c>
      <c r="K1996">
        <v>0</v>
      </c>
      <c r="L1996">
        <v>290456</v>
      </c>
      <c r="M1996" t="s">
        <v>42</v>
      </c>
      <c r="N1996" t="s">
        <v>69</v>
      </c>
      <c r="O1996" t="s">
        <v>27</v>
      </c>
      <c r="P1996" t="s">
        <v>26</v>
      </c>
    </row>
    <row r="1997" spans="1:16" x14ac:dyDescent="0.25">
      <c r="A1997" t="s">
        <v>3198</v>
      </c>
      <c r="B1997" t="s">
        <v>755</v>
      </c>
      <c r="C1997" t="s">
        <v>198</v>
      </c>
      <c r="D1997" t="s">
        <v>66</v>
      </c>
      <c r="E1997" t="s">
        <v>67</v>
      </c>
      <c r="F1997" t="s">
        <v>68</v>
      </c>
      <c r="G1997" t="s">
        <v>73</v>
      </c>
      <c r="H1997" t="s">
        <v>24</v>
      </c>
      <c r="I1997">
        <v>3</v>
      </c>
      <c r="J1997">
        <v>450437</v>
      </c>
      <c r="K1997">
        <v>10</v>
      </c>
      <c r="L1997">
        <v>1216179.8999999999</v>
      </c>
      <c r="M1997" t="s">
        <v>42</v>
      </c>
      <c r="N1997" t="s">
        <v>69</v>
      </c>
      <c r="O1997" t="s">
        <v>44</v>
      </c>
      <c r="P1997" t="s">
        <v>42</v>
      </c>
    </row>
    <row r="1998" spans="1:16" x14ac:dyDescent="0.25">
      <c r="A1998" t="s">
        <v>3199</v>
      </c>
      <c r="B1998" t="s">
        <v>2279</v>
      </c>
      <c r="C1998" t="s">
        <v>19</v>
      </c>
      <c r="D1998" t="s">
        <v>30</v>
      </c>
      <c r="E1998" t="s">
        <v>31</v>
      </c>
      <c r="F1998" t="s">
        <v>32</v>
      </c>
      <c r="G1998" t="s">
        <v>135</v>
      </c>
      <c r="H1998" t="s">
        <v>34</v>
      </c>
      <c r="I1998">
        <v>4</v>
      </c>
      <c r="J1998">
        <v>515515</v>
      </c>
      <c r="K1998">
        <v>5</v>
      </c>
      <c r="L1998">
        <v>1958957</v>
      </c>
      <c r="M1998" t="s">
        <v>54</v>
      </c>
      <c r="N1998" t="s">
        <v>43</v>
      </c>
      <c r="O1998" t="s">
        <v>44</v>
      </c>
      <c r="P1998" t="s">
        <v>42</v>
      </c>
    </row>
    <row r="1999" spans="1:16" x14ac:dyDescent="0.25">
      <c r="A1999" t="s">
        <v>3200</v>
      </c>
      <c r="B1999" t="s">
        <v>935</v>
      </c>
      <c r="C1999" t="s">
        <v>85</v>
      </c>
      <c r="D1999" t="s">
        <v>119</v>
      </c>
      <c r="E1999" t="s">
        <v>21</v>
      </c>
      <c r="F1999" t="s">
        <v>22</v>
      </c>
      <c r="G1999" t="s">
        <v>73</v>
      </c>
      <c r="H1999" t="s">
        <v>86</v>
      </c>
      <c r="I1999">
        <v>2</v>
      </c>
      <c r="J1999">
        <v>521080</v>
      </c>
      <c r="K1999">
        <v>7</v>
      </c>
      <c r="L1999">
        <v>969208.79999999993</v>
      </c>
      <c r="M1999" t="s">
        <v>42</v>
      </c>
      <c r="N1999" t="s">
        <v>26</v>
      </c>
      <c r="O1999" t="s">
        <v>27</v>
      </c>
      <c r="P1999" t="s">
        <v>42</v>
      </c>
    </row>
    <row r="2000" spans="1:16" x14ac:dyDescent="0.25">
      <c r="A2000" t="s">
        <v>3201</v>
      </c>
      <c r="B2000" t="s">
        <v>925</v>
      </c>
      <c r="C2000" t="s">
        <v>65</v>
      </c>
      <c r="D2000" t="s">
        <v>66</v>
      </c>
      <c r="E2000" t="s">
        <v>67</v>
      </c>
      <c r="F2000" t="s">
        <v>68</v>
      </c>
      <c r="G2000" t="s">
        <v>52</v>
      </c>
      <c r="H2000" t="s">
        <v>34</v>
      </c>
      <c r="I2000">
        <v>3</v>
      </c>
      <c r="J2000">
        <v>660327</v>
      </c>
      <c r="K2000">
        <v>5</v>
      </c>
      <c r="L2000">
        <v>1881931.95</v>
      </c>
      <c r="M2000" t="s">
        <v>54</v>
      </c>
      <c r="N2000" t="s">
        <v>69</v>
      </c>
      <c r="O2000" t="s">
        <v>44</v>
      </c>
      <c r="P2000" t="s">
        <v>26</v>
      </c>
    </row>
    <row r="2001" spans="1:16" x14ac:dyDescent="0.25">
      <c r="A2001" t="s">
        <v>3202</v>
      </c>
      <c r="B2001" t="s">
        <v>2249</v>
      </c>
      <c r="C2001" t="s">
        <v>99</v>
      </c>
      <c r="D2001" t="s">
        <v>66</v>
      </c>
      <c r="E2001" t="s">
        <v>67</v>
      </c>
      <c r="F2001" t="s">
        <v>68</v>
      </c>
      <c r="G2001" t="s">
        <v>62</v>
      </c>
      <c r="H2001" t="s">
        <v>58</v>
      </c>
      <c r="I2001">
        <v>7</v>
      </c>
      <c r="J2001">
        <v>223670</v>
      </c>
      <c r="K2001">
        <v>10</v>
      </c>
      <c r="L2001">
        <v>1409121</v>
      </c>
      <c r="M2001" t="s">
        <v>54</v>
      </c>
      <c r="N2001" t="s">
        <v>43</v>
      </c>
      <c r="O2001" t="s">
        <v>44</v>
      </c>
      <c r="P2001"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BC4E2-B4C1-4DC6-ADA4-39109A7E4C44}">
  <sheetPr codeName="Sheet3"/>
  <dimension ref="B1:F22"/>
  <sheetViews>
    <sheetView workbookViewId="0">
      <selection activeCell="B17" sqref="B17"/>
    </sheetView>
  </sheetViews>
  <sheetFormatPr defaultRowHeight="15" x14ac:dyDescent="0.25"/>
  <cols>
    <col min="2" max="2" width="21" bestFit="1" customWidth="1"/>
    <col min="3" max="3" width="23" bestFit="1" customWidth="1"/>
    <col min="4" max="4" width="5.85546875" customWidth="1"/>
    <col min="5" max="5" width="16.28515625" customWidth="1"/>
    <col min="6" max="6" width="18.28515625" customWidth="1"/>
    <col min="7" max="7" width="13.7109375" bestFit="1" customWidth="1"/>
    <col min="8" max="8" width="15.7109375" bestFit="1" customWidth="1"/>
    <col min="9" max="9" width="15.140625" customWidth="1"/>
    <col min="11" max="11" width="12.28515625" bestFit="1" customWidth="1"/>
    <col min="12" max="12" width="15.140625" bestFit="1" customWidth="1"/>
  </cols>
  <sheetData>
    <row r="1" spans="2:6" ht="15.75" thickBot="1" x14ac:dyDescent="0.3"/>
    <row r="2" spans="2:6" ht="16.5" thickBot="1" x14ac:dyDescent="0.3">
      <c r="B2" s="88" t="s">
        <v>3230</v>
      </c>
      <c r="C2" s="89"/>
    </row>
    <row r="3" spans="2:6" ht="16.5" thickBot="1" x14ac:dyDescent="0.3">
      <c r="B3" s="43" t="s">
        <v>3274</v>
      </c>
      <c r="C3" s="48" t="s">
        <v>3275</v>
      </c>
      <c r="E3" s="90" t="s">
        <v>3234</v>
      </c>
      <c r="F3" s="91"/>
    </row>
    <row r="4" spans="2:6" x14ac:dyDescent="0.25">
      <c r="B4" s="44">
        <v>0</v>
      </c>
      <c r="C4" s="44">
        <v>0</v>
      </c>
      <c r="E4" s="51" t="s">
        <v>3235</v>
      </c>
      <c r="F4" s="52" t="s">
        <v>7</v>
      </c>
    </row>
    <row r="5" spans="2:6" x14ac:dyDescent="0.25">
      <c r="B5" s="45">
        <v>1</v>
      </c>
      <c r="C5" s="45">
        <v>3</v>
      </c>
      <c r="E5" s="53" t="s">
        <v>24</v>
      </c>
      <c r="F5" s="54" t="s">
        <v>3288</v>
      </c>
    </row>
    <row r="6" spans="2:6" x14ac:dyDescent="0.25">
      <c r="B6" s="44">
        <v>2</v>
      </c>
      <c r="C6" s="45">
        <v>5</v>
      </c>
      <c r="E6" s="53" t="s">
        <v>3203</v>
      </c>
      <c r="F6" s="54" t="s">
        <v>3236</v>
      </c>
    </row>
    <row r="7" spans="2:6" x14ac:dyDescent="0.25">
      <c r="B7" s="45">
        <v>3</v>
      </c>
      <c r="C7" s="45">
        <v>6</v>
      </c>
      <c r="E7" s="53" t="s">
        <v>53</v>
      </c>
      <c r="F7" s="54" t="s">
        <v>3288</v>
      </c>
    </row>
    <row r="8" spans="2:6" x14ac:dyDescent="0.25">
      <c r="B8" s="44">
        <v>4</v>
      </c>
      <c r="C8" s="45">
        <v>6</v>
      </c>
      <c r="E8" s="53" t="s">
        <v>58</v>
      </c>
      <c r="F8" s="54" t="s">
        <v>3289</v>
      </c>
    </row>
    <row r="9" spans="2:6" x14ac:dyDescent="0.25">
      <c r="B9" s="45">
        <v>5</v>
      </c>
      <c r="C9" s="45">
        <v>7</v>
      </c>
      <c r="E9" s="55" t="s">
        <v>3204</v>
      </c>
      <c r="F9" s="56" t="s">
        <v>3236</v>
      </c>
    </row>
    <row r="10" spans="2:6" x14ac:dyDescent="0.25">
      <c r="B10" s="44">
        <v>6</v>
      </c>
      <c r="C10" s="45">
        <v>8</v>
      </c>
    </row>
    <row r="11" spans="2:6" x14ac:dyDescent="0.25">
      <c r="B11" s="45">
        <v>7</v>
      </c>
      <c r="C11" s="45">
        <v>9</v>
      </c>
    </row>
    <row r="12" spans="2:6" x14ac:dyDescent="0.25">
      <c r="B12" s="46">
        <v>8</v>
      </c>
      <c r="C12" s="47">
        <v>9</v>
      </c>
    </row>
    <row r="15" spans="2:6" ht="15.75" thickBot="1" x14ac:dyDescent="0.3"/>
    <row r="16" spans="2:6" ht="15.75" thickBot="1" x14ac:dyDescent="0.3">
      <c r="B16" s="40" t="s">
        <v>3253</v>
      </c>
      <c r="E16" s="92" t="s">
        <v>3273</v>
      </c>
      <c r="F16" s="93"/>
    </row>
    <row r="17" spans="2:6" ht="15.75" thickBot="1" x14ac:dyDescent="0.3">
      <c r="B17" s="41">
        <v>6.482566953006569</v>
      </c>
      <c r="E17" s="49" t="s">
        <v>3276</v>
      </c>
      <c r="F17" s="50" t="s">
        <v>5</v>
      </c>
    </row>
    <row r="18" spans="2:6" x14ac:dyDescent="0.25">
      <c r="E18" s="57" t="s">
        <v>21</v>
      </c>
      <c r="F18" s="58" t="s">
        <v>22</v>
      </c>
    </row>
    <row r="19" spans="2:6" x14ac:dyDescent="0.25">
      <c r="E19" s="59" t="s">
        <v>31</v>
      </c>
      <c r="F19" s="60" t="s">
        <v>32</v>
      </c>
    </row>
    <row r="20" spans="2:6" x14ac:dyDescent="0.25">
      <c r="E20" s="59" t="s">
        <v>39</v>
      </c>
      <c r="F20" s="60" t="s">
        <v>40</v>
      </c>
    </row>
    <row r="21" spans="2:6" x14ac:dyDescent="0.25">
      <c r="E21" s="59" t="s">
        <v>48</v>
      </c>
      <c r="F21" s="60" t="s">
        <v>22</v>
      </c>
    </row>
    <row r="22" spans="2:6" x14ac:dyDescent="0.25">
      <c r="E22" s="61" t="s">
        <v>67</v>
      </c>
      <c r="F22" s="62" t="s">
        <v>68</v>
      </c>
    </row>
  </sheetData>
  <mergeCells count="3">
    <mergeCell ref="B2:C2"/>
    <mergeCell ref="E3:F3"/>
    <mergeCell ref="E16:F16"/>
  </mergeCells>
  <phoneticPr fontId="1" type="noConversion"/>
  <pageMargins left="0.7" right="0.7" top="0.75" bottom="0.75" header="0.3" footer="0.3"/>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B50-B66D-4943-9B41-ED44CD056DCD}">
  <sheetPr codeName="Sheet2"/>
  <dimension ref="A1:U1985"/>
  <sheetViews>
    <sheetView topLeftCell="A1956" zoomScale="90" zoomScaleNormal="90" workbookViewId="0">
      <selection activeCell="G1983" sqref="G1983"/>
    </sheetView>
  </sheetViews>
  <sheetFormatPr defaultRowHeight="15" x14ac:dyDescent="0.25"/>
  <cols>
    <col min="1" max="1" width="12.28515625" style="4" bestFit="1" customWidth="1"/>
    <col min="2" max="2" width="13.42578125" style="5" bestFit="1" customWidth="1"/>
    <col min="3" max="3" width="17" bestFit="1" customWidth="1"/>
    <col min="4" max="4" width="16.140625" bestFit="1" customWidth="1"/>
    <col min="5" max="5" width="14.7109375" customWidth="1"/>
    <col min="6" max="6" width="29" bestFit="1" customWidth="1"/>
    <col min="7" max="7" width="9.85546875" bestFit="1" customWidth="1"/>
    <col min="8" max="8" width="9.7109375" bestFit="1" customWidth="1"/>
    <col min="9" max="9" width="15.85546875" bestFit="1" customWidth="1"/>
    <col min="10" max="10" width="15.85546875" customWidth="1"/>
    <col min="11" max="11" width="13.7109375" style="3" customWidth="1"/>
    <col min="12" max="12" width="12.140625" bestFit="1" customWidth="1"/>
    <col min="13" max="13" width="12.140625" customWidth="1"/>
    <col min="14" max="14" width="16" bestFit="1" customWidth="1"/>
    <col min="15" max="15" width="19.85546875" bestFit="1" customWidth="1"/>
    <col min="16" max="16" width="19.28515625" bestFit="1" customWidth="1"/>
    <col min="17" max="17" width="19.28515625" style="4" customWidth="1"/>
    <col min="18" max="18" width="17.42578125" bestFit="1" customWidth="1"/>
    <col min="19" max="19" width="16.7109375" bestFit="1" customWidth="1"/>
    <col min="20" max="20" width="12.7109375" bestFit="1" customWidth="1"/>
    <col min="21" max="21" width="14.7109375" bestFit="1" customWidth="1"/>
  </cols>
  <sheetData>
    <row r="1" spans="1:21" x14ac:dyDescent="0.25">
      <c r="A1" s="4" t="s">
        <v>0</v>
      </c>
      <c r="B1" s="5" t="s">
        <v>1</v>
      </c>
      <c r="C1" t="s">
        <v>6</v>
      </c>
      <c r="D1" t="s">
        <v>2</v>
      </c>
      <c r="E1" t="s">
        <v>3</v>
      </c>
      <c r="F1" t="s">
        <v>3233</v>
      </c>
      <c r="G1" t="s">
        <v>4</v>
      </c>
      <c r="H1" t="s">
        <v>5</v>
      </c>
      <c r="I1" t="s">
        <v>8</v>
      </c>
      <c r="J1" t="s">
        <v>3237</v>
      </c>
      <c r="K1" s="3" t="s">
        <v>9</v>
      </c>
      <c r="L1" t="s">
        <v>10</v>
      </c>
      <c r="M1" t="s">
        <v>11</v>
      </c>
      <c r="N1" t="s">
        <v>3231</v>
      </c>
      <c r="O1" t="s">
        <v>3261</v>
      </c>
      <c r="P1" t="s">
        <v>3232</v>
      </c>
      <c r="Q1" s="4" t="s">
        <v>3262</v>
      </c>
      <c r="R1" t="s">
        <v>13</v>
      </c>
      <c r="S1" t="s">
        <v>14</v>
      </c>
      <c r="T1" t="s">
        <v>15</v>
      </c>
      <c r="U1" t="s">
        <v>16</v>
      </c>
    </row>
    <row r="2" spans="1:21" x14ac:dyDescent="0.25">
      <c r="A2" s="4" t="s">
        <v>17</v>
      </c>
      <c r="B2" s="5">
        <v>45405</v>
      </c>
      <c r="C2" t="s">
        <v>52</v>
      </c>
      <c r="D2" t="s">
        <v>3268</v>
      </c>
      <c r="E2" t="s">
        <v>119</v>
      </c>
      <c r="F2" t="s">
        <v>3227</v>
      </c>
      <c r="G2" t="s">
        <v>21</v>
      </c>
      <c r="H2" t="str">
        <f>VLOOKUP(Table1[[#This Row],[City]],Table6[#All],2,FALSE)</f>
        <v>North</v>
      </c>
      <c r="I2" t="s">
        <v>24</v>
      </c>
      <c r="J2" t="str">
        <f>_xlfn.XLOOKUP(Table1[[#This Row],[Tractor Model]],Table7[Product Model],Table7[Product Category],"Not Available",0)</f>
        <v>Farmtrac</v>
      </c>
      <c r="K2" s="4">
        <v>1</v>
      </c>
      <c r="L2" s="72">
        <v>810386</v>
      </c>
      <c r="M2" s="4">
        <f>INDEX('Master Sheet'!$C$4:$C$12,MATCH(Table1[[#This Row],[Quantity]],'Master Sheet'!$B$4:$B$12,0))</f>
        <v>3</v>
      </c>
      <c r="N2" s="71">
        <f>Table1[[#This Row],[Quantity]]*Table1[[#This Row],[Unit Price]]</f>
        <v>810386</v>
      </c>
      <c r="O2" s="73">
        <v>8.1038600000000002E-2</v>
      </c>
      <c r="P2" s="70">
        <f>Table1[[#This Row],[Gross Amount]]*(1-(Table1[[#This Row],[Discount %]]/100))</f>
        <v>786074.41999999993</v>
      </c>
      <c r="Q2" s="74">
        <f>(Table1[[#This Row],[Gross Amount]]*(1-(Table1[[#This Row],[Discount %]]/100)))/10000000</f>
        <v>7.8607441999999986E-2</v>
      </c>
      <c r="R2" t="s">
        <v>25</v>
      </c>
      <c r="S2" t="str" cm="1">
        <f t="array" ref="S2">IFERROR(_xlfn.IFS(Table1[[#This Row],[Payment Status]]="Partial","In Transit",Table1[[#This Row],[Payment Status]]="Paid","Delivered",Table1[[#This Row],[Payment Status]]="Pending","Pending"),"Invalid Input")</f>
        <v>In Transit</v>
      </c>
      <c r="T2" t="s">
        <v>27</v>
      </c>
      <c r="U2" t="str" cm="1">
        <f t="array" ref="U2">IFERROR(_xlfn.IFS(Table1[[#This Row],[Payment Status]]="Partial","In Transit",Table1[[#This Row],[Payment Status]]="Paid","Completed",Table1[[#This Row],[Payment Status]]="Pending","Pending"),"Invalid Input")</f>
        <v>In Transit</v>
      </c>
    </row>
    <row r="3" spans="1:21" x14ac:dyDescent="0.25">
      <c r="A3" s="4" t="s">
        <v>28</v>
      </c>
      <c r="B3" s="5">
        <v>45326</v>
      </c>
      <c r="C3" t="s">
        <v>33</v>
      </c>
      <c r="D3" t="s">
        <v>3268</v>
      </c>
      <c r="E3" t="s">
        <v>30</v>
      </c>
      <c r="F3" t="s">
        <v>3208</v>
      </c>
      <c r="G3" t="s">
        <v>31</v>
      </c>
      <c r="H3" t="str">
        <f>VLOOKUP(Table1[[#This Row],[City]],Table6[#All],2,FALSE)</f>
        <v>South</v>
      </c>
      <c r="I3" t="s">
        <v>3203</v>
      </c>
      <c r="J3" t="str">
        <f>_xlfn.XLOOKUP(Table1[[#This Row],[Tractor Model]],Table7[Product Model],Table7[Product Category],"Not Available",0)</f>
        <v>Kubota</v>
      </c>
      <c r="K3" s="4">
        <v>6</v>
      </c>
      <c r="L3" s="72">
        <v>421642</v>
      </c>
      <c r="M3" s="4">
        <f>INDEX('Master Sheet'!$C$4:$C$12,MATCH(Table1[[#This Row],[Quantity]],'Master Sheet'!$B$4:$B$12,0))</f>
        <v>8</v>
      </c>
      <c r="N3" s="71">
        <f>Table1[[#This Row],[Quantity]]*Table1[[#This Row],[Unit Price]]</f>
        <v>2529852</v>
      </c>
      <c r="O3" s="73">
        <v>0.25298520000000002</v>
      </c>
      <c r="P3" s="70">
        <f>Table1[[#This Row],[Gross Amount]]*(1-(Table1[[#This Row],[Discount %]]/100))</f>
        <v>2327463.8400000003</v>
      </c>
      <c r="Q3" s="74">
        <f>(Table1[[#This Row],[Gross Amount]]*(1-(Table1[[#This Row],[Discount %]]/100)))/10000000</f>
        <v>0.23274638400000003</v>
      </c>
      <c r="R3" t="s">
        <v>25</v>
      </c>
      <c r="S3" t="str" cm="1">
        <f t="array" ref="S3">IFERROR(_xlfn.IFS(Table1[[#This Row],[Payment Status]]="Partial","In Transit",Table1[[#This Row],[Payment Status]]="Paid","Delivered",Table1[[#This Row],[Payment Status]]="Pending","Pending"),"Invalid Input")</f>
        <v>In Transit</v>
      </c>
      <c r="T3" t="s">
        <v>27</v>
      </c>
      <c r="U3" t="str" cm="1">
        <f t="array" ref="U3">IFERROR(_xlfn.IFS(Table1[[#This Row],[Payment Status]]="Partial","In Transit",Table1[[#This Row],[Payment Status]]="Paid","Completed",Table1[[#This Row],[Payment Status]]="Pending","Pending"),"Invalid Input")</f>
        <v>In Transit</v>
      </c>
    </row>
    <row r="4" spans="1:21" x14ac:dyDescent="0.25">
      <c r="A4" s="4" t="s">
        <v>35</v>
      </c>
      <c r="B4" s="5">
        <v>45657</v>
      </c>
      <c r="C4" t="s">
        <v>41</v>
      </c>
      <c r="D4" t="s">
        <v>37</v>
      </c>
      <c r="E4" t="s">
        <v>38</v>
      </c>
      <c r="F4" t="s">
        <v>3214</v>
      </c>
      <c r="G4" t="s">
        <v>39</v>
      </c>
      <c r="H4" t="str">
        <f>VLOOKUP(Table1[[#This Row],[City]],Table6[#All],2,FALSE)</f>
        <v>West</v>
      </c>
      <c r="I4" t="s">
        <v>3203</v>
      </c>
      <c r="J4" t="str">
        <f>_xlfn.XLOOKUP(Table1[[#This Row],[Tractor Model]],Table7[Product Model],Table7[Product Category],"Not Available",0)</f>
        <v>Kubota</v>
      </c>
      <c r="K4" s="4">
        <v>7</v>
      </c>
      <c r="L4" s="72">
        <v>58962</v>
      </c>
      <c r="M4" s="4">
        <f>INDEX('Master Sheet'!$C$4:$C$12,MATCH(Table1[[#This Row],[Quantity]],'Master Sheet'!$B$4:$B$12,0))</f>
        <v>9</v>
      </c>
      <c r="N4" s="71">
        <f>Table1[[#This Row],[Quantity]]*Table1[[#This Row],[Unit Price]]</f>
        <v>412734</v>
      </c>
      <c r="O4" s="73">
        <v>4.1273400000000002E-2</v>
      </c>
      <c r="P4" s="70">
        <f>Table1[[#This Row],[Gross Amount]]*(1-(Table1[[#This Row],[Discount %]]/100))</f>
        <v>375587.94</v>
      </c>
      <c r="Q4" s="74">
        <f>(Table1[[#This Row],[Gross Amount]]*(1-(Table1[[#This Row],[Discount %]]/100)))/10000000</f>
        <v>3.7558794E-2</v>
      </c>
      <c r="R4" t="s">
        <v>42</v>
      </c>
      <c r="S4" t="str" cm="1">
        <f t="array" ref="S4">IFERROR(_xlfn.IFS(Table1[[#This Row],[Payment Status]]="Partial","In Transit",Table1[[#This Row],[Payment Status]]="Paid","Delivered",Table1[[#This Row],[Payment Status]]="Pending","Pending"),"Invalid Input")</f>
        <v>Pending</v>
      </c>
      <c r="T4" t="s">
        <v>27</v>
      </c>
      <c r="U4" t="str" cm="1">
        <f t="array" ref="U4">IFERROR(_xlfn.IFS(Table1[[#This Row],[Payment Status]]="Partial","In Transit",Table1[[#This Row],[Payment Status]]="Paid","Completed",Table1[[#This Row],[Payment Status]]="Pending","Pending"),"Invalid Input")</f>
        <v>Pending</v>
      </c>
    </row>
    <row r="5" spans="1:21" x14ac:dyDescent="0.25">
      <c r="A5" s="4" t="s">
        <v>45</v>
      </c>
      <c r="B5" s="5">
        <v>45550</v>
      </c>
      <c r="C5" t="s">
        <v>33</v>
      </c>
      <c r="D5" t="s">
        <v>37</v>
      </c>
      <c r="E5" t="s">
        <v>47</v>
      </c>
      <c r="F5" t="s">
        <v>3215</v>
      </c>
      <c r="G5" t="s">
        <v>48</v>
      </c>
      <c r="H5" t="str">
        <f>VLOOKUP(Table1[[#This Row],[City]],Table6[#All],2,FALSE)</f>
        <v>North</v>
      </c>
      <c r="I5" t="s">
        <v>3203</v>
      </c>
      <c r="J5" t="str">
        <f>_xlfn.XLOOKUP(Table1[[#This Row],[Tractor Model]],Table7[Product Model],Table7[Product Category],"Not Available",0)</f>
        <v>Kubota</v>
      </c>
      <c r="K5" s="4">
        <v>7</v>
      </c>
      <c r="L5" s="72">
        <v>640018</v>
      </c>
      <c r="M5" s="4">
        <f>INDEX('Master Sheet'!$C$4:$C$12,MATCH(Table1[[#This Row],[Quantity]],'Master Sheet'!$B$4:$B$12,0))</f>
        <v>9</v>
      </c>
      <c r="N5" s="71">
        <f>Table1[[#This Row],[Quantity]]*Table1[[#This Row],[Unit Price]]</f>
        <v>4480126</v>
      </c>
      <c r="O5" s="73">
        <v>0.44801259999999998</v>
      </c>
      <c r="P5" s="70">
        <f>Table1[[#This Row],[Gross Amount]]*(1-(Table1[[#This Row],[Discount %]]/100))</f>
        <v>4076914.66</v>
      </c>
      <c r="Q5" s="74">
        <f>(Table1[[#This Row],[Gross Amount]]*(1-(Table1[[#This Row],[Discount %]]/100)))/10000000</f>
        <v>0.407691466</v>
      </c>
      <c r="R5" t="s">
        <v>25</v>
      </c>
      <c r="S5" t="str" cm="1">
        <f t="array" ref="S5">IFERROR(_xlfn.IFS(Table1[[#This Row],[Payment Status]]="Partial","In Transit",Table1[[#This Row],[Payment Status]]="Paid","Delivered",Table1[[#This Row],[Payment Status]]="Pending","Pending"),"Invalid Input")</f>
        <v>In Transit</v>
      </c>
      <c r="T5" t="s">
        <v>27</v>
      </c>
      <c r="U5" t="str" cm="1">
        <f t="array" ref="U5">IFERROR(_xlfn.IFS(Table1[[#This Row],[Payment Status]]="Partial","In Transit",Table1[[#This Row],[Payment Status]]="Paid","Completed",Table1[[#This Row],[Payment Status]]="Pending","Pending"),"Invalid Input")</f>
        <v>In Transit</v>
      </c>
    </row>
    <row r="6" spans="1:21" x14ac:dyDescent="0.25">
      <c r="A6" s="4" t="s">
        <v>49</v>
      </c>
      <c r="B6" s="5">
        <v>45805</v>
      </c>
      <c r="C6" t="s">
        <v>52</v>
      </c>
      <c r="D6" t="s">
        <v>3268</v>
      </c>
      <c r="E6" t="s">
        <v>47</v>
      </c>
      <c r="F6" t="s">
        <v>3216</v>
      </c>
      <c r="G6" t="s">
        <v>48</v>
      </c>
      <c r="H6" t="str">
        <f>VLOOKUP(Table1[[#This Row],[City]],Table6[#All],2,FALSE)</f>
        <v>North</v>
      </c>
      <c r="I6" t="s">
        <v>53</v>
      </c>
      <c r="J6" t="str">
        <f>_xlfn.XLOOKUP(Table1[[#This Row],[Tractor Model]],Table7[Product Model],Table7[Product Category],"Not Available",0)</f>
        <v>Farmtrac</v>
      </c>
      <c r="K6" s="4">
        <v>2</v>
      </c>
      <c r="L6" s="72">
        <v>736528</v>
      </c>
      <c r="M6" s="4">
        <f>INDEX('Master Sheet'!$C$4:$C$12,MATCH(Table1[[#This Row],[Quantity]],'Master Sheet'!$B$4:$B$12,0))</f>
        <v>5</v>
      </c>
      <c r="N6" s="71">
        <f>Table1[[#This Row],[Quantity]]*Table1[[#This Row],[Unit Price]]</f>
        <v>1473056</v>
      </c>
      <c r="O6" s="73">
        <v>0.14730560000000001</v>
      </c>
      <c r="P6" s="70">
        <f>Table1[[#This Row],[Gross Amount]]*(1-(Table1[[#This Row],[Discount %]]/100))</f>
        <v>1399403.2</v>
      </c>
      <c r="Q6" s="74">
        <f>(Table1[[#This Row],[Gross Amount]]*(1-(Table1[[#This Row],[Discount %]]/100)))/10000000</f>
        <v>0.13994032000000001</v>
      </c>
      <c r="R6" t="s">
        <v>54</v>
      </c>
      <c r="S6" t="str" cm="1">
        <f t="array" ref="S6">IFERROR(_xlfn.IFS(Table1[[#This Row],[Payment Status]]="Partial","In Transit",Table1[[#This Row],[Payment Status]]="Paid","Delivered",Table1[[#This Row],[Payment Status]]="Pending","Pending"),"Invalid Input")</f>
        <v>Delivered</v>
      </c>
      <c r="T6" t="s">
        <v>44</v>
      </c>
      <c r="U6" t="str" cm="1">
        <f t="array" ref="U6">IFERROR(_xlfn.IFS(Table1[[#This Row],[Payment Status]]="Partial","In Transit",Table1[[#This Row],[Payment Status]]="Paid","Completed",Table1[[#This Row],[Payment Status]]="Pending","Pending"),"Invalid Input")</f>
        <v>Completed</v>
      </c>
    </row>
    <row r="7" spans="1:21" x14ac:dyDescent="0.25">
      <c r="A7" s="4" t="s">
        <v>56</v>
      </c>
      <c r="B7" s="5">
        <v>45743</v>
      </c>
      <c r="C7" t="s">
        <v>41</v>
      </c>
      <c r="D7" t="s">
        <v>37</v>
      </c>
      <c r="E7" t="s">
        <v>119</v>
      </c>
      <c r="F7" t="s">
        <v>3224</v>
      </c>
      <c r="G7" t="s">
        <v>21</v>
      </c>
      <c r="H7" t="str">
        <f>VLOOKUP(Table1[[#This Row],[City]],Table6[#All],2,FALSE)</f>
        <v>North</v>
      </c>
      <c r="I7" t="s">
        <v>58</v>
      </c>
      <c r="J7" t="str">
        <f>_xlfn.XLOOKUP(Table1[[#This Row],[Tractor Model]],Table7[Product Model],Table7[Product Category],"Not Available",0)</f>
        <v>Powertrac</v>
      </c>
      <c r="K7" s="4">
        <v>3</v>
      </c>
      <c r="L7" s="72">
        <v>446618</v>
      </c>
      <c r="M7" s="4">
        <f>INDEX('Master Sheet'!$C$4:$C$12,MATCH(Table1[[#This Row],[Quantity]],'Master Sheet'!$B$4:$B$12,0))</f>
        <v>6</v>
      </c>
      <c r="N7" s="71">
        <f>Table1[[#This Row],[Quantity]]*Table1[[#This Row],[Unit Price]]</f>
        <v>1339854</v>
      </c>
      <c r="O7" s="73">
        <v>0.1339854</v>
      </c>
      <c r="P7" s="70">
        <f>Table1[[#This Row],[Gross Amount]]*(1-(Table1[[#This Row],[Discount %]]/100))</f>
        <v>1259462.76</v>
      </c>
      <c r="Q7" s="74">
        <f>(Table1[[#This Row],[Gross Amount]]*(1-(Table1[[#This Row],[Discount %]]/100)))/10000000</f>
        <v>0.125946276</v>
      </c>
      <c r="R7" t="s">
        <v>42</v>
      </c>
      <c r="S7" t="str" cm="1">
        <f t="array" ref="S7">IFERROR(_xlfn.IFS(Table1[[#This Row],[Payment Status]]="Partial","In Transit",Table1[[#This Row],[Payment Status]]="Paid","Delivered",Table1[[#This Row],[Payment Status]]="Pending","Pending"),"Invalid Input")</f>
        <v>Pending</v>
      </c>
      <c r="T7" t="s">
        <v>44</v>
      </c>
      <c r="U7" t="str" cm="1">
        <f t="array" ref="U7">IFERROR(_xlfn.IFS(Table1[[#This Row],[Payment Status]]="Partial","In Transit",Table1[[#This Row],[Payment Status]]="Paid","Completed",Table1[[#This Row],[Payment Status]]="Pending","Pending"),"Invalid Input")</f>
        <v>Pending</v>
      </c>
    </row>
    <row r="8" spans="1:21" x14ac:dyDescent="0.25">
      <c r="A8" s="4" t="s">
        <v>59</v>
      </c>
      <c r="B8" s="5">
        <v>45574</v>
      </c>
      <c r="C8" t="s">
        <v>62</v>
      </c>
      <c r="D8" t="s">
        <v>37</v>
      </c>
      <c r="E8" t="s">
        <v>38</v>
      </c>
      <c r="F8" t="s">
        <v>3214</v>
      </c>
      <c r="G8" t="s">
        <v>39</v>
      </c>
      <c r="H8" t="str">
        <f>VLOOKUP(Table1[[#This Row],[City]],Table6[#All],2,FALSE)</f>
        <v>West</v>
      </c>
      <c r="I8" t="s">
        <v>58</v>
      </c>
      <c r="J8" t="str">
        <f>_xlfn.XLOOKUP(Table1[[#This Row],[Tractor Model]],Table7[Product Model],Table7[Product Category],"Not Available",0)</f>
        <v>Powertrac</v>
      </c>
      <c r="K8" s="4">
        <v>4</v>
      </c>
      <c r="L8" s="72">
        <v>636846</v>
      </c>
      <c r="M8" s="4">
        <f>INDEX('Master Sheet'!$C$4:$C$12,MATCH(Table1[[#This Row],[Quantity]],'Master Sheet'!$B$4:$B$12,0))</f>
        <v>6</v>
      </c>
      <c r="N8" s="71">
        <f>Table1[[#This Row],[Quantity]]*Table1[[#This Row],[Unit Price]]</f>
        <v>2547384</v>
      </c>
      <c r="O8" s="73">
        <v>0.25473839999999998</v>
      </c>
      <c r="P8" s="70">
        <f>Table1[[#This Row],[Gross Amount]]*(1-(Table1[[#This Row],[Discount %]]/100))</f>
        <v>2394540.96</v>
      </c>
      <c r="Q8" s="74">
        <f>(Table1[[#This Row],[Gross Amount]]*(1-(Table1[[#This Row],[Discount %]]/100)))/10000000</f>
        <v>0.23945409600000001</v>
      </c>
      <c r="R8" t="s">
        <v>25</v>
      </c>
      <c r="S8" t="str" cm="1">
        <f t="array" ref="S8">IFERROR(_xlfn.IFS(Table1[[#This Row],[Payment Status]]="Partial","In Transit",Table1[[#This Row],[Payment Status]]="Paid","Delivered",Table1[[#This Row],[Payment Status]]="Pending","Pending"),"Invalid Input")</f>
        <v>In Transit</v>
      </c>
      <c r="T8" t="s">
        <v>27</v>
      </c>
      <c r="U8" t="str" cm="1">
        <f t="array" ref="U8">IFERROR(_xlfn.IFS(Table1[[#This Row],[Payment Status]]="Partial","In Transit",Table1[[#This Row],[Payment Status]]="Paid","Completed",Table1[[#This Row],[Payment Status]]="Pending","Pending"),"Invalid Input")</f>
        <v>In Transit</v>
      </c>
    </row>
    <row r="9" spans="1:21" x14ac:dyDescent="0.25">
      <c r="A9" s="4" t="s">
        <v>63</v>
      </c>
      <c r="B9" s="5">
        <v>45613</v>
      </c>
      <c r="C9" t="s">
        <v>52</v>
      </c>
      <c r="D9" t="s">
        <v>3269</v>
      </c>
      <c r="E9" t="s">
        <v>66</v>
      </c>
      <c r="F9" t="s">
        <v>3213</v>
      </c>
      <c r="G9" t="s">
        <v>67</v>
      </c>
      <c r="H9" t="str">
        <f>VLOOKUP(Table1[[#This Row],[City]],Table6[#All],2,FALSE)</f>
        <v>East</v>
      </c>
      <c r="I9" t="s">
        <v>53</v>
      </c>
      <c r="J9" t="str">
        <f>_xlfn.XLOOKUP(Table1[[#This Row],[Tractor Model]],Table7[Product Model],Table7[Product Category],"Not Available",0)</f>
        <v>Farmtrac</v>
      </c>
      <c r="K9" s="4">
        <v>4</v>
      </c>
      <c r="L9" s="72">
        <v>87171</v>
      </c>
      <c r="M9" s="4">
        <f>INDEX('Master Sheet'!$C$4:$C$12,MATCH(Table1[[#This Row],[Quantity]],'Master Sheet'!$B$4:$B$12,0))</f>
        <v>6</v>
      </c>
      <c r="N9" s="71">
        <f>Table1[[#This Row],[Quantity]]*Table1[[#This Row],[Unit Price]]</f>
        <v>348684</v>
      </c>
      <c r="O9" s="73">
        <v>3.4868400000000001E-2</v>
      </c>
      <c r="P9" s="70">
        <f>Table1[[#This Row],[Gross Amount]]*(1-(Table1[[#This Row],[Discount %]]/100))</f>
        <v>327762.95999999996</v>
      </c>
      <c r="Q9" s="74">
        <f>(Table1[[#This Row],[Gross Amount]]*(1-(Table1[[#This Row],[Discount %]]/100)))/10000000</f>
        <v>3.2776295999999996E-2</v>
      </c>
      <c r="R9" t="s">
        <v>42</v>
      </c>
      <c r="S9" t="str" cm="1">
        <f t="array" ref="S9">IFERROR(_xlfn.IFS(Table1[[#This Row],[Payment Status]]="Partial","In Transit",Table1[[#This Row],[Payment Status]]="Paid","Delivered",Table1[[#This Row],[Payment Status]]="Pending","Pending"),"Invalid Input")</f>
        <v>Pending</v>
      </c>
      <c r="T9" t="s">
        <v>44</v>
      </c>
      <c r="U9" t="str" cm="1">
        <f t="array" ref="U9">IFERROR(_xlfn.IFS(Table1[[#This Row],[Payment Status]]="Partial","In Transit",Table1[[#This Row],[Payment Status]]="Paid","Completed",Table1[[#This Row],[Payment Status]]="Pending","Pending"),"Invalid Input")</f>
        <v>Pending</v>
      </c>
    </row>
    <row r="10" spans="1:21" x14ac:dyDescent="0.25">
      <c r="A10" s="4" t="s">
        <v>70</v>
      </c>
      <c r="B10" s="5">
        <v>45605</v>
      </c>
      <c r="C10" t="s">
        <v>73</v>
      </c>
      <c r="D10" t="s">
        <v>3269</v>
      </c>
      <c r="E10" t="s">
        <v>47</v>
      </c>
      <c r="F10" t="s">
        <v>3209</v>
      </c>
      <c r="G10" t="s">
        <v>48</v>
      </c>
      <c r="H10" t="str">
        <f>VLOOKUP(Table1[[#This Row],[City]],Table6[#All],2,FALSE)</f>
        <v>North</v>
      </c>
      <c r="I10" t="s">
        <v>3203</v>
      </c>
      <c r="J10" t="str">
        <f>_xlfn.XLOOKUP(Table1[[#This Row],[Tractor Model]],Table7[Product Model],Table7[Product Category],"Not Available",0)</f>
        <v>Kubota</v>
      </c>
      <c r="K10" s="4">
        <v>6</v>
      </c>
      <c r="L10" s="72">
        <v>435799</v>
      </c>
      <c r="M10" s="4">
        <f>INDEX('Master Sheet'!$C$4:$C$12,MATCH(Table1[[#This Row],[Quantity]],'Master Sheet'!$B$4:$B$12,0))</f>
        <v>8</v>
      </c>
      <c r="N10" s="71">
        <f>Table1[[#This Row],[Quantity]]*Table1[[#This Row],[Unit Price]]</f>
        <v>2614794</v>
      </c>
      <c r="O10" s="73">
        <v>0.26147939999999997</v>
      </c>
      <c r="P10" s="70">
        <f>Table1[[#This Row],[Gross Amount]]*(1-(Table1[[#This Row],[Discount %]]/100))</f>
        <v>2405610.48</v>
      </c>
      <c r="Q10" s="74">
        <f>(Table1[[#This Row],[Gross Amount]]*(1-(Table1[[#This Row],[Discount %]]/100)))/10000000</f>
        <v>0.240561048</v>
      </c>
      <c r="R10" t="s">
        <v>54</v>
      </c>
      <c r="S10" t="str" cm="1">
        <f t="array" ref="S10">IFERROR(_xlfn.IFS(Table1[[#This Row],[Payment Status]]="Partial","In Transit",Table1[[#This Row],[Payment Status]]="Paid","Delivered",Table1[[#This Row],[Payment Status]]="Pending","Pending"),"Invalid Input")</f>
        <v>Delivered</v>
      </c>
      <c r="T10" t="s">
        <v>44</v>
      </c>
      <c r="U10" t="str" cm="1">
        <f t="array" ref="U10">IFERROR(_xlfn.IFS(Table1[[#This Row],[Payment Status]]="Partial","In Transit",Table1[[#This Row],[Payment Status]]="Paid","Completed",Table1[[#This Row],[Payment Status]]="Pending","Pending"),"Invalid Input")</f>
        <v>Completed</v>
      </c>
    </row>
    <row r="11" spans="1:21" x14ac:dyDescent="0.25">
      <c r="A11" s="4" t="s">
        <v>74</v>
      </c>
      <c r="B11" s="5">
        <v>45619</v>
      </c>
      <c r="C11" t="s">
        <v>33</v>
      </c>
      <c r="D11" t="s">
        <v>3271</v>
      </c>
      <c r="E11" t="s">
        <v>30</v>
      </c>
      <c r="F11" t="s">
        <v>3217</v>
      </c>
      <c r="G11" t="s">
        <v>31</v>
      </c>
      <c r="H11" t="str">
        <f>VLOOKUP(Table1[[#This Row],[City]],Table6[#All],2,FALSE)</f>
        <v>South</v>
      </c>
      <c r="I11" t="s">
        <v>53</v>
      </c>
      <c r="J11" t="str">
        <f>_xlfn.XLOOKUP(Table1[[#This Row],[Tractor Model]],Table7[Product Model],Table7[Product Category],"Not Available",0)</f>
        <v>Farmtrac</v>
      </c>
      <c r="K11" s="4">
        <v>3</v>
      </c>
      <c r="L11" s="72">
        <v>91771</v>
      </c>
      <c r="M11" s="4">
        <f>INDEX('Master Sheet'!$C$4:$C$12,MATCH(Table1[[#This Row],[Quantity]],'Master Sheet'!$B$4:$B$12,0))</f>
        <v>6</v>
      </c>
      <c r="N11" s="71">
        <f>Table1[[#This Row],[Quantity]]*Table1[[#This Row],[Unit Price]]</f>
        <v>275313</v>
      </c>
      <c r="O11" s="73">
        <v>2.7531300000000002E-2</v>
      </c>
      <c r="P11" s="70">
        <f>Table1[[#This Row],[Gross Amount]]*(1-(Table1[[#This Row],[Discount %]]/100))</f>
        <v>258794.21999999997</v>
      </c>
      <c r="Q11" s="74">
        <f>(Table1[[#This Row],[Gross Amount]]*(1-(Table1[[#This Row],[Discount %]]/100)))/10000000</f>
        <v>2.5879421999999996E-2</v>
      </c>
      <c r="R11" t="s">
        <v>54</v>
      </c>
      <c r="S11" t="str" cm="1">
        <f t="array" ref="S11">IFERROR(_xlfn.IFS(Table1[[#This Row],[Payment Status]]="Partial","In Transit",Table1[[#This Row],[Payment Status]]="Paid","Delivered",Table1[[#This Row],[Payment Status]]="Pending","Pending"),"Invalid Input")</f>
        <v>Delivered</v>
      </c>
      <c r="T11" t="s">
        <v>27</v>
      </c>
      <c r="U11" t="str" cm="1">
        <f t="array" ref="U11">IFERROR(_xlfn.IFS(Table1[[#This Row],[Payment Status]]="Partial","In Transit",Table1[[#This Row],[Payment Status]]="Paid","Completed",Table1[[#This Row],[Payment Status]]="Pending","Pending"),"Invalid Input")</f>
        <v>Completed</v>
      </c>
    </row>
    <row r="12" spans="1:21" x14ac:dyDescent="0.25">
      <c r="A12" s="4" t="s">
        <v>77</v>
      </c>
      <c r="B12" s="5">
        <v>45329</v>
      </c>
      <c r="C12" t="s">
        <v>52</v>
      </c>
      <c r="D12" t="s">
        <v>3271</v>
      </c>
      <c r="E12" t="s">
        <v>119</v>
      </c>
      <c r="F12" t="s">
        <v>3228</v>
      </c>
      <c r="G12" t="s">
        <v>21</v>
      </c>
      <c r="H12" t="str">
        <f>VLOOKUP(Table1[[#This Row],[City]],Table6[#All],2,FALSE)</f>
        <v>North</v>
      </c>
      <c r="I12" t="s">
        <v>58</v>
      </c>
      <c r="J12" t="str">
        <f>_xlfn.XLOOKUP(Table1[[#This Row],[Tractor Model]],Table7[Product Model],Table7[Product Category],"Not Available",0)</f>
        <v>Powertrac</v>
      </c>
      <c r="K12" s="4">
        <v>1</v>
      </c>
      <c r="L12" s="72">
        <v>366788</v>
      </c>
      <c r="M12" s="4">
        <f>INDEX('Master Sheet'!$C$4:$C$12,MATCH(Table1[[#This Row],[Quantity]],'Master Sheet'!$B$4:$B$12,0))</f>
        <v>3</v>
      </c>
      <c r="N12" s="71">
        <f>Table1[[#This Row],[Quantity]]*Table1[[#This Row],[Unit Price]]</f>
        <v>366788</v>
      </c>
      <c r="O12" s="73">
        <v>3.6678799999999998E-2</v>
      </c>
      <c r="P12" s="70">
        <f>Table1[[#This Row],[Gross Amount]]*(1-(Table1[[#This Row],[Discount %]]/100))</f>
        <v>355784.36</v>
      </c>
      <c r="Q12" s="74">
        <f>(Table1[[#This Row],[Gross Amount]]*(1-(Table1[[#This Row],[Discount %]]/100)))/10000000</f>
        <v>3.5578435999999998E-2</v>
      </c>
      <c r="R12" t="s">
        <v>25</v>
      </c>
      <c r="S12" t="str" cm="1">
        <f t="array" ref="S12">IFERROR(_xlfn.IFS(Table1[[#This Row],[Payment Status]]="Partial","In Transit",Table1[[#This Row],[Payment Status]]="Paid","Delivered",Table1[[#This Row],[Payment Status]]="Pending","Pending"),"Invalid Input")</f>
        <v>In Transit</v>
      </c>
      <c r="T12" t="s">
        <v>44</v>
      </c>
      <c r="U12" t="str" cm="1">
        <f t="array" ref="U12">IFERROR(_xlfn.IFS(Table1[[#This Row],[Payment Status]]="Partial","In Transit",Table1[[#This Row],[Payment Status]]="Paid","Completed",Table1[[#This Row],[Payment Status]]="Pending","Pending"),"Invalid Input")</f>
        <v>In Transit</v>
      </c>
    </row>
    <row r="13" spans="1:21" x14ac:dyDescent="0.25">
      <c r="A13" s="4" t="s">
        <v>80</v>
      </c>
      <c r="B13" s="5">
        <v>45673</v>
      </c>
      <c r="C13" t="s">
        <v>73</v>
      </c>
      <c r="D13" t="s">
        <v>3269</v>
      </c>
      <c r="E13" t="s">
        <v>66</v>
      </c>
      <c r="F13" t="s">
        <v>3213</v>
      </c>
      <c r="G13" t="s">
        <v>67</v>
      </c>
      <c r="H13" t="str">
        <f>VLOOKUP(Table1[[#This Row],[City]],Table6[#All],2,FALSE)</f>
        <v>East</v>
      </c>
      <c r="I13" t="s">
        <v>58</v>
      </c>
      <c r="J13" t="str">
        <f>_xlfn.XLOOKUP(Table1[[#This Row],[Tractor Model]],Table7[Product Model],Table7[Product Category],"Not Available",0)</f>
        <v>Powertrac</v>
      </c>
      <c r="K13" s="4">
        <v>8</v>
      </c>
      <c r="L13" s="72">
        <v>745852</v>
      </c>
      <c r="M13" s="4">
        <f>INDEX('Master Sheet'!$C$4:$C$12,MATCH(Table1[[#This Row],[Quantity]],'Master Sheet'!$B$4:$B$12,0))</f>
        <v>9</v>
      </c>
      <c r="N13" s="71">
        <f>Table1[[#This Row],[Quantity]]*Table1[[#This Row],[Unit Price]]</f>
        <v>5966816</v>
      </c>
      <c r="O13" s="73">
        <v>0.59668160000000003</v>
      </c>
      <c r="P13" s="70">
        <f>Table1[[#This Row],[Gross Amount]]*(1-(Table1[[#This Row],[Discount %]]/100))</f>
        <v>5429802.5600000005</v>
      </c>
      <c r="Q13" s="74">
        <f>(Table1[[#This Row],[Gross Amount]]*(1-(Table1[[#This Row],[Discount %]]/100)))/10000000</f>
        <v>0.54298025600000011</v>
      </c>
      <c r="R13" t="s">
        <v>54</v>
      </c>
      <c r="S13" t="str" cm="1">
        <f t="array" ref="S13">IFERROR(_xlfn.IFS(Table1[[#This Row],[Payment Status]]="Partial","In Transit",Table1[[#This Row],[Payment Status]]="Paid","Delivered",Table1[[#This Row],[Payment Status]]="Pending","Pending"),"Invalid Input")</f>
        <v>Delivered</v>
      </c>
      <c r="T13" t="s">
        <v>27</v>
      </c>
      <c r="U13" t="str" cm="1">
        <f t="array" ref="U13">IFERROR(_xlfn.IFS(Table1[[#This Row],[Payment Status]]="Partial","In Transit",Table1[[#This Row],[Payment Status]]="Paid","Completed",Table1[[#This Row],[Payment Status]]="Pending","Pending"),"Invalid Input")</f>
        <v>Completed</v>
      </c>
    </row>
    <row r="14" spans="1:21" x14ac:dyDescent="0.25">
      <c r="A14" s="4" t="s">
        <v>82</v>
      </c>
      <c r="B14" s="5">
        <v>45574</v>
      </c>
      <c r="C14" t="s">
        <v>41</v>
      </c>
      <c r="D14" t="s">
        <v>3268</v>
      </c>
      <c r="E14" t="s">
        <v>47</v>
      </c>
      <c r="F14" t="s">
        <v>3216</v>
      </c>
      <c r="G14" t="s">
        <v>48</v>
      </c>
      <c r="H14" t="str">
        <f>VLOOKUP(Table1[[#This Row],[City]],Table6[#All],2,FALSE)</f>
        <v>North</v>
      </c>
      <c r="I14" t="s">
        <v>53</v>
      </c>
      <c r="J14" t="str">
        <f>_xlfn.XLOOKUP(Table1[[#This Row],[Tractor Model]],Table7[Product Model],Table7[Product Category],"Not Available",0)</f>
        <v>Farmtrac</v>
      </c>
      <c r="K14" s="4">
        <v>6</v>
      </c>
      <c r="L14" s="72">
        <v>291408</v>
      </c>
      <c r="M14" s="4">
        <f>INDEX('Master Sheet'!$C$4:$C$12,MATCH(Table1[[#This Row],[Quantity]],'Master Sheet'!$B$4:$B$12,0))</f>
        <v>8</v>
      </c>
      <c r="N14" s="71">
        <f>Table1[[#This Row],[Quantity]]*Table1[[#This Row],[Unit Price]]</f>
        <v>1748448</v>
      </c>
      <c r="O14" s="73">
        <v>0.17484479999999999</v>
      </c>
      <c r="P14" s="70">
        <f>Table1[[#This Row],[Gross Amount]]*(1-(Table1[[#This Row],[Discount %]]/100))</f>
        <v>1608572.1600000001</v>
      </c>
      <c r="Q14" s="74">
        <f>(Table1[[#This Row],[Gross Amount]]*(1-(Table1[[#This Row],[Discount %]]/100)))/10000000</f>
        <v>0.16085721600000003</v>
      </c>
      <c r="R14" t="s">
        <v>25</v>
      </c>
      <c r="S14" t="str" cm="1">
        <f t="array" ref="S14">IFERROR(_xlfn.IFS(Table1[[#This Row],[Payment Status]]="Partial","In Transit",Table1[[#This Row],[Payment Status]]="Paid","Delivered",Table1[[#This Row],[Payment Status]]="Pending","Pending"),"Invalid Input")</f>
        <v>In Transit</v>
      </c>
      <c r="T14" t="s">
        <v>44</v>
      </c>
      <c r="U14" t="str" cm="1">
        <f t="array" ref="U14">IFERROR(_xlfn.IFS(Table1[[#This Row],[Payment Status]]="Partial","In Transit",Table1[[#This Row],[Payment Status]]="Paid","Completed",Table1[[#This Row],[Payment Status]]="Pending","Pending"),"Invalid Input")</f>
        <v>In Transit</v>
      </c>
    </row>
    <row r="15" spans="1:21" x14ac:dyDescent="0.25">
      <c r="A15" s="4" t="s">
        <v>83</v>
      </c>
      <c r="B15" s="5">
        <v>45554</v>
      </c>
      <c r="C15" t="s">
        <v>33</v>
      </c>
      <c r="D15" t="s">
        <v>3270</v>
      </c>
      <c r="E15" t="s">
        <v>47</v>
      </c>
      <c r="F15" t="s">
        <v>3205</v>
      </c>
      <c r="G15" t="s">
        <v>48</v>
      </c>
      <c r="H15" t="str">
        <f>VLOOKUP(Table1[[#This Row],[City]],Table6[#All],2,FALSE)</f>
        <v>North</v>
      </c>
      <c r="I15" t="s">
        <v>3204</v>
      </c>
      <c r="J15" t="str">
        <f>_xlfn.XLOOKUP(Table1[[#This Row],[Tractor Model]],Table7[Product Model],Table7[Product Category],"Not Available",0)</f>
        <v>Kubota</v>
      </c>
      <c r="K15" s="4">
        <v>8</v>
      </c>
      <c r="L15" s="72">
        <v>426894</v>
      </c>
      <c r="M15" s="4">
        <f>INDEX('Master Sheet'!$C$4:$C$12,MATCH(Table1[[#This Row],[Quantity]],'Master Sheet'!$B$4:$B$12,0))</f>
        <v>9</v>
      </c>
      <c r="N15" s="71">
        <f>Table1[[#This Row],[Quantity]]*Table1[[#This Row],[Unit Price]]</f>
        <v>3415152</v>
      </c>
      <c r="O15" s="73">
        <v>0.34151520000000002</v>
      </c>
      <c r="P15" s="70">
        <f>Table1[[#This Row],[Gross Amount]]*(1-(Table1[[#This Row],[Discount %]]/100))</f>
        <v>3107788.3200000003</v>
      </c>
      <c r="Q15" s="74">
        <f>(Table1[[#This Row],[Gross Amount]]*(1-(Table1[[#This Row],[Discount %]]/100)))/10000000</f>
        <v>0.310778832</v>
      </c>
      <c r="R15" t="s">
        <v>54</v>
      </c>
      <c r="S15" t="str" cm="1">
        <f t="array" ref="S15">IFERROR(_xlfn.IFS(Table1[[#This Row],[Payment Status]]="Partial","In Transit",Table1[[#This Row],[Payment Status]]="Paid","Delivered",Table1[[#This Row],[Payment Status]]="Pending","Pending"),"Invalid Input")</f>
        <v>Delivered</v>
      </c>
      <c r="T15" t="s">
        <v>27</v>
      </c>
      <c r="U15" t="str" cm="1">
        <f t="array" ref="U15">IFERROR(_xlfn.IFS(Table1[[#This Row],[Payment Status]]="Partial","In Transit",Table1[[#This Row],[Payment Status]]="Paid","Completed",Table1[[#This Row],[Payment Status]]="Pending","Pending"),"Invalid Input")</f>
        <v>Completed</v>
      </c>
    </row>
    <row r="16" spans="1:21" x14ac:dyDescent="0.25">
      <c r="A16" s="4" t="s">
        <v>87</v>
      </c>
      <c r="B16" s="5">
        <v>45524</v>
      </c>
      <c r="C16" t="s">
        <v>33</v>
      </c>
      <c r="D16" t="s">
        <v>3270</v>
      </c>
      <c r="E16" t="s">
        <v>47</v>
      </c>
      <c r="F16" t="s">
        <v>3205</v>
      </c>
      <c r="G16" t="s">
        <v>48</v>
      </c>
      <c r="H16" t="str">
        <f>VLOOKUP(Table1[[#This Row],[City]],Table6[#All],2,FALSE)</f>
        <v>North</v>
      </c>
      <c r="I16" t="s">
        <v>58</v>
      </c>
      <c r="J16" t="str">
        <f>_xlfn.XLOOKUP(Table1[[#This Row],[Tractor Model]],Table7[Product Model],Table7[Product Category],"Not Available",0)</f>
        <v>Powertrac</v>
      </c>
      <c r="K16" s="4">
        <v>2</v>
      </c>
      <c r="L16" s="72">
        <v>514828</v>
      </c>
      <c r="M16" s="4">
        <f>INDEX('Master Sheet'!$C$4:$C$12,MATCH(Table1[[#This Row],[Quantity]],'Master Sheet'!$B$4:$B$12,0))</f>
        <v>5</v>
      </c>
      <c r="N16" s="71">
        <f>Table1[[#This Row],[Quantity]]*Table1[[#This Row],[Unit Price]]</f>
        <v>1029656</v>
      </c>
      <c r="O16" s="73">
        <v>0.1029656</v>
      </c>
      <c r="P16" s="70">
        <f>Table1[[#This Row],[Gross Amount]]*(1-(Table1[[#This Row],[Discount %]]/100))</f>
        <v>978173.2</v>
      </c>
      <c r="Q16" s="74">
        <f>(Table1[[#This Row],[Gross Amount]]*(1-(Table1[[#This Row],[Discount %]]/100)))/10000000</f>
        <v>9.7817319999999999E-2</v>
      </c>
      <c r="R16" t="s">
        <v>42</v>
      </c>
      <c r="S16" t="str" cm="1">
        <f t="array" ref="S16">IFERROR(_xlfn.IFS(Table1[[#This Row],[Payment Status]]="Partial","In Transit",Table1[[#This Row],[Payment Status]]="Paid","Delivered",Table1[[#This Row],[Payment Status]]="Pending","Pending"),"Invalid Input")</f>
        <v>Pending</v>
      </c>
      <c r="T16" t="s">
        <v>27</v>
      </c>
      <c r="U16" t="str" cm="1">
        <f t="array" ref="U16">IFERROR(_xlfn.IFS(Table1[[#This Row],[Payment Status]]="Partial","In Transit",Table1[[#This Row],[Payment Status]]="Paid","Completed",Table1[[#This Row],[Payment Status]]="Pending","Pending"),"Invalid Input")</f>
        <v>Pending</v>
      </c>
    </row>
    <row r="17" spans="1:21" x14ac:dyDescent="0.25">
      <c r="A17" s="4" t="s">
        <v>90</v>
      </c>
      <c r="B17" s="5">
        <v>45524</v>
      </c>
      <c r="C17" t="s">
        <v>73</v>
      </c>
      <c r="D17" t="s">
        <v>3270</v>
      </c>
      <c r="E17" t="s">
        <v>38</v>
      </c>
      <c r="F17" t="s">
        <v>3218</v>
      </c>
      <c r="G17" t="s">
        <v>39</v>
      </c>
      <c r="H17" t="str">
        <f>VLOOKUP(Table1[[#This Row],[City]],Table6[#All],2,FALSE)</f>
        <v>West</v>
      </c>
      <c r="I17" t="s">
        <v>24</v>
      </c>
      <c r="J17" t="str">
        <f>_xlfn.XLOOKUP(Table1[[#This Row],[Tractor Model]],Table7[Product Model],Table7[Product Category],"Not Available",0)</f>
        <v>Farmtrac</v>
      </c>
      <c r="K17" s="4">
        <v>8</v>
      </c>
      <c r="L17" s="72">
        <v>248914</v>
      </c>
      <c r="M17" s="4">
        <f>INDEX('Master Sheet'!$C$4:$C$12,MATCH(Table1[[#This Row],[Quantity]],'Master Sheet'!$B$4:$B$12,0))</f>
        <v>9</v>
      </c>
      <c r="N17" s="71">
        <f>Table1[[#This Row],[Quantity]]*Table1[[#This Row],[Unit Price]]</f>
        <v>1991312</v>
      </c>
      <c r="O17" s="73">
        <v>0.19913120000000001</v>
      </c>
      <c r="P17" s="70">
        <f>Table1[[#This Row],[Gross Amount]]*(1-(Table1[[#This Row],[Discount %]]/100))</f>
        <v>1812093.9200000002</v>
      </c>
      <c r="Q17" s="74">
        <f>(Table1[[#This Row],[Gross Amount]]*(1-(Table1[[#This Row],[Discount %]]/100)))/10000000</f>
        <v>0.18120939200000002</v>
      </c>
      <c r="R17" t="s">
        <v>25</v>
      </c>
      <c r="S17" t="str" cm="1">
        <f t="array" ref="S17">IFERROR(_xlfn.IFS(Table1[[#This Row],[Payment Status]]="Partial","In Transit",Table1[[#This Row],[Payment Status]]="Paid","Delivered",Table1[[#This Row],[Payment Status]]="Pending","Pending"),"Invalid Input")</f>
        <v>In Transit</v>
      </c>
      <c r="T17" t="s">
        <v>27</v>
      </c>
      <c r="U17" t="str" cm="1">
        <f t="array" ref="U17">IFERROR(_xlfn.IFS(Table1[[#This Row],[Payment Status]]="Partial","In Transit",Table1[[#This Row],[Payment Status]]="Paid","Completed",Table1[[#This Row],[Payment Status]]="Pending","Pending"),"Invalid Input")</f>
        <v>In Transit</v>
      </c>
    </row>
    <row r="18" spans="1:21" x14ac:dyDescent="0.25">
      <c r="A18" s="4" t="s">
        <v>92</v>
      </c>
      <c r="B18" s="5">
        <v>45482</v>
      </c>
      <c r="C18" t="s">
        <v>62</v>
      </c>
      <c r="D18" t="s">
        <v>3270</v>
      </c>
      <c r="E18" t="s">
        <v>119</v>
      </c>
      <c r="F18" t="s">
        <v>3212</v>
      </c>
      <c r="G18" t="s">
        <v>21</v>
      </c>
      <c r="H18" t="str">
        <f>VLOOKUP(Table1[[#This Row],[City]],Table6[#All],2,FALSE)</f>
        <v>North</v>
      </c>
      <c r="I18" t="s">
        <v>3204</v>
      </c>
      <c r="J18" t="str">
        <f>_xlfn.XLOOKUP(Table1[[#This Row],[Tractor Model]],Table7[Product Model],Table7[Product Category],"Not Available",0)</f>
        <v>Kubota</v>
      </c>
      <c r="K18" s="4">
        <v>3</v>
      </c>
      <c r="L18" s="72">
        <v>457291</v>
      </c>
      <c r="M18" s="4">
        <f>INDEX('Master Sheet'!$C$4:$C$12,MATCH(Table1[[#This Row],[Quantity]],'Master Sheet'!$B$4:$B$12,0))</f>
        <v>6</v>
      </c>
      <c r="N18" s="71">
        <f>Table1[[#This Row],[Quantity]]*Table1[[#This Row],[Unit Price]]</f>
        <v>1371873</v>
      </c>
      <c r="O18" s="73">
        <v>0.13718730000000001</v>
      </c>
      <c r="P18" s="70">
        <f>Table1[[#This Row],[Gross Amount]]*(1-(Table1[[#This Row],[Discount %]]/100))</f>
        <v>1289560.6199999999</v>
      </c>
      <c r="Q18" s="74">
        <f>(Table1[[#This Row],[Gross Amount]]*(1-(Table1[[#This Row],[Discount %]]/100)))/10000000</f>
        <v>0.12895606199999998</v>
      </c>
      <c r="R18" t="s">
        <v>42</v>
      </c>
      <c r="S18" t="str" cm="1">
        <f t="array" ref="S18">IFERROR(_xlfn.IFS(Table1[[#This Row],[Payment Status]]="Partial","In Transit",Table1[[#This Row],[Payment Status]]="Paid","Delivered",Table1[[#This Row],[Payment Status]]="Pending","Pending"),"Invalid Input")</f>
        <v>Pending</v>
      </c>
      <c r="T18" t="s">
        <v>44</v>
      </c>
      <c r="U18" t="str" cm="1">
        <f t="array" ref="U18">IFERROR(_xlfn.IFS(Table1[[#This Row],[Payment Status]]="Partial","In Transit",Table1[[#This Row],[Payment Status]]="Paid","Completed",Table1[[#This Row],[Payment Status]]="Pending","Pending"),"Invalid Input")</f>
        <v>Pending</v>
      </c>
    </row>
    <row r="19" spans="1:21" x14ac:dyDescent="0.25">
      <c r="A19" s="4" t="s">
        <v>95</v>
      </c>
      <c r="B19" s="5">
        <v>45330</v>
      </c>
      <c r="C19" t="s">
        <v>62</v>
      </c>
      <c r="D19" t="s">
        <v>3271</v>
      </c>
      <c r="E19" t="s">
        <v>66</v>
      </c>
      <c r="F19" t="s">
        <v>3207</v>
      </c>
      <c r="G19" t="s">
        <v>67</v>
      </c>
      <c r="H19" t="str">
        <f>VLOOKUP(Table1[[#This Row],[City]],Table6[#All],2,FALSE)</f>
        <v>East</v>
      </c>
      <c r="I19" t="s">
        <v>3203</v>
      </c>
      <c r="J19" t="str">
        <f>_xlfn.XLOOKUP(Table1[[#This Row],[Tractor Model]],Table7[Product Model],Table7[Product Category],"Not Available",0)</f>
        <v>Kubota</v>
      </c>
      <c r="K19" s="4">
        <v>5</v>
      </c>
      <c r="L19" s="72">
        <v>199563</v>
      </c>
      <c r="M19" s="4">
        <f>INDEX('Master Sheet'!$C$4:$C$12,MATCH(Table1[[#This Row],[Quantity]],'Master Sheet'!$B$4:$B$12,0))</f>
        <v>7</v>
      </c>
      <c r="N19" s="71">
        <f>Table1[[#This Row],[Quantity]]*Table1[[#This Row],[Unit Price]]</f>
        <v>997815</v>
      </c>
      <c r="O19" s="73">
        <v>9.9781499999999995E-2</v>
      </c>
      <c r="P19" s="70">
        <f>Table1[[#This Row],[Gross Amount]]*(1-(Table1[[#This Row],[Discount %]]/100))</f>
        <v>927967.95</v>
      </c>
      <c r="Q19" s="74">
        <f>(Table1[[#This Row],[Gross Amount]]*(1-(Table1[[#This Row],[Discount %]]/100)))/10000000</f>
        <v>9.2796795000000001E-2</v>
      </c>
      <c r="R19" t="s">
        <v>54</v>
      </c>
      <c r="S19" t="str" cm="1">
        <f t="array" ref="S19">IFERROR(_xlfn.IFS(Table1[[#This Row],[Payment Status]]="Partial","In Transit",Table1[[#This Row],[Payment Status]]="Paid","Delivered",Table1[[#This Row],[Payment Status]]="Pending","Pending"),"Invalid Input")</f>
        <v>Delivered</v>
      </c>
      <c r="T19" t="s">
        <v>44</v>
      </c>
      <c r="U19" t="str" cm="1">
        <f t="array" ref="U19">IFERROR(_xlfn.IFS(Table1[[#This Row],[Payment Status]]="Partial","In Transit",Table1[[#This Row],[Payment Status]]="Paid","Completed",Table1[[#This Row],[Payment Status]]="Pending","Pending"),"Invalid Input")</f>
        <v>Completed</v>
      </c>
    </row>
    <row r="20" spans="1:21" x14ac:dyDescent="0.25">
      <c r="A20" s="4" t="s">
        <v>97</v>
      </c>
      <c r="B20" s="5">
        <v>45518</v>
      </c>
      <c r="C20" t="s">
        <v>52</v>
      </c>
      <c r="D20" t="s">
        <v>3269</v>
      </c>
      <c r="E20" t="s">
        <v>119</v>
      </c>
      <c r="F20" t="s">
        <v>3229</v>
      </c>
      <c r="G20" t="s">
        <v>21</v>
      </c>
      <c r="H20" t="str">
        <f>VLOOKUP(Table1[[#This Row],[City]],Table6[#All],2,FALSE)</f>
        <v>North</v>
      </c>
      <c r="I20" t="s">
        <v>53</v>
      </c>
      <c r="J20" t="str">
        <f>_xlfn.XLOOKUP(Table1[[#This Row],[Tractor Model]],Table7[Product Model],Table7[Product Category],"Not Available",0)</f>
        <v>Farmtrac</v>
      </c>
      <c r="K20" s="4">
        <v>8</v>
      </c>
      <c r="L20" s="72">
        <v>891147</v>
      </c>
      <c r="M20" s="4">
        <f>INDEX('Master Sheet'!$C$4:$C$12,MATCH(Table1[[#This Row],[Quantity]],'Master Sheet'!$B$4:$B$12,0))</f>
        <v>9</v>
      </c>
      <c r="N20" s="71">
        <f>Table1[[#This Row],[Quantity]]*Table1[[#This Row],[Unit Price]]</f>
        <v>7129176</v>
      </c>
      <c r="O20" s="73">
        <v>0.71291760000000004</v>
      </c>
      <c r="P20" s="70">
        <f>Table1[[#This Row],[Gross Amount]]*(1-(Table1[[#This Row],[Discount %]]/100))</f>
        <v>6487550.1600000001</v>
      </c>
      <c r="Q20" s="74">
        <f>(Table1[[#This Row],[Gross Amount]]*(1-(Table1[[#This Row],[Discount %]]/100)))/10000000</f>
        <v>0.64875501599999996</v>
      </c>
      <c r="R20" t="s">
        <v>54</v>
      </c>
      <c r="S20" t="str" cm="1">
        <f t="array" ref="S20">IFERROR(_xlfn.IFS(Table1[[#This Row],[Payment Status]]="Partial","In Transit",Table1[[#This Row],[Payment Status]]="Paid","Delivered",Table1[[#This Row],[Payment Status]]="Pending","Pending"),"Invalid Input")</f>
        <v>Delivered</v>
      </c>
      <c r="T20" t="s">
        <v>44</v>
      </c>
      <c r="U20" t="str" cm="1">
        <f t="array" ref="U20">IFERROR(_xlfn.IFS(Table1[[#This Row],[Payment Status]]="Partial","In Transit",Table1[[#This Row],[Payment Status]]="Paid","Completed",Table1[[#This Row],[Payment Status]]="Pending","Pending"),"Invalid Input")</f>
        <v>Completed</v>
      </c>
    </row>
    <row r="21" spans="1:21" x14ac:dyDescent="0.25">
      <c r="A21" s="4" t="s">
        <v>100</v>
      </c>
      <c r="B21" s="5">
        <v>45641</v>
      </c>
      <c r="C21" t="s">
        <v>41</v>
      </c>
      <c r="D21" t="s">
        <v>3268</v>
      </c>
      <c r="E21" t="s">
        <v>38</v>
      </c>
      <c r="F21" t="s">
        <v>3219</v>
      </c>
      <c r="G21" t="s">
        <v>39</v>
      </c>
      <c r="H21" t="str">
        <f>VLOOKUP(Table1[[#This Row],[City]],Table6[#All],2,FALSE)</f>
        <v>West</v>
      </c>
      <c r="I21" t="s">
        <v>58</v>
      </c>
      <c r="J21" t="str">
        <f>_xlfn.XLOOKUP(Table1[[#This Row],[Tractor Model]],Table7[Product Model],Table7[Product Category],"Not Available",0)</f>
        <v>Powertrac</v>
      </c>
      <c r="K21" s="4">
        <v>6</v>
      </c>
      <c r="L21" s="72">
        <v>55607</v>
      </c>
      <c r="M21" s="4">
        <f>INDEX('Master Sheet'!$C$4:$C$12,MATCH(Table1[[#This Row],[Quantity]],'Master Sheet'!$B$4:$B$12,0))</f>
        <v>8</v>
      </c>
      <c r="N21" s="71">
        <f>Table1[[#This Row],[Quantity]]*Table1[[#This Row],[Unit Price]]</f>
        <v>333642</v>
      </c>
      <c r="O21" s="73">
        <v>3.3364199999999997E-2</v>
      </c>
      <c r="P21" s="70">
        <f>Table1[[#This Row],[Gross Amount]]*(1-(Table1[[#This Row],[Discount %]]/100))</f>
        <v>306950.64</v>
      </c>
      <c r="Q21" s="74">
        <f>(Table1[[#This Row],[Gross Amount]]*(1-(Table1[[#This Row],[Discount %]]/100)))/10000000</f>
        <v>3.0695064000000001E-2</v>
      </c>
      <c r="R21" t="s">
        <v>54</v>
      </c>
      <c r="S21" t="str" cm="1">
        <f t="array" ref="S21">IFERROR(_xlfn.IFS(Table1[[#This Row],[Payment Status]]="Partial","In Transit",Table1[[#This Row],[Payment Status]]="Paid","Delivered",Table1[[#This Row],[Payment Status]]="Pending","Pending"),"Invalid Input")</f>
        <v>Delivered</v>
      </c>
      <c r="T21" t="s">
        <v>27</v>
      </c>
      <c r="U21" t="str" cm="1">
        <f t="array" ref="U21">IFERROR(_xlfn.IFS(Table1[[#This Row],[Payment Status]]="Partial","In Transit",Table1[[#This Row],[Payment Status]]="Paid","Completed",Table1[[#This Row],[Payment Status]]="Pending","Pending"),"Invalid Input")</f>
        <v>Completed</v>
      </c>
    </row>
    <row r="22" spans="1:21" x14ac:dyDescent="0.25">
      <c r="A22" s="4" t="s">
        <v>102</v>
      </c>
      <c r="B22" s="5">
        <v>45465</v>
      </c>
      <c r="C22" t="s">
        <v>33</v>
      </c>
      <c r="D22" t="s">
        <v>3268</v>
      </c>
      <c r="E22" t="s">
        <v>119</v>
      </c>
      <c r="F22" t="s">
        <v>3227</v>
      </c>
      <c r="G22" t="s">
        <v>21</v>
      </c>
      <c r="H22" t="str">
        <f>VLOOKUP(Table1[[#This Row],[City]],Table6[#All],2,FALSE)</f>
        <v>North</v>
      </c>
      <c r="I22" t="s">
        <v>58</v>
      </c>
      <c r="J22" t="str">
        <f>_xlfn.XLOOKUP(Table1[[#This Row],[Tractor Model]],Table7[Product Model],Table7[Product Category],"Not Available",0)</f>
        <v>Powertrac</v>
      </c>
      <c r="K22" s="4">
        <v>6</v>
      </c>
      <c r="L22" s="72">
        <v>95205</v>
      </c>
      <c r="M22" s="4">
        <f>INDEX('Master Sheet'!$C$4:$C$12,MATCH(Table1[[#This Row],[Quantity]],'Master Sheet'!$B$4:$B$12,0))</f>
        <v>8</v>
      </c>
      <c r="N22" s="71">
        <f>Table1[[#This Row],[Quantity]]*Table1[[#This Row],[Unit Price]]</f>
        <v>571230</v>
      </c>
      <c r="O22" s="73">
        <v>5.7123E-2</v>
      </c>
      <c r="P22" s="70">
        <f>Table1[[#This Row],[Gross Amount]]*(1-(Table1[[#This Row],[Discount %]]/100))</f>
        <v>525531.6</v>
      </c>
      <c r="Q22" s="74">
        <f>(Table1[[#This Row],[Gross Amount]]*(1-(Table1[[#This Row],[Discount %]]/100)))/10000000</f>
        <v>5.2553159999999995E-2</v>
      </c>
      <c r="R22" t="s">
        <v>54</v>
      </c>
      <c r="S22" t="str" cm="1">
        <f t="array" ref="S22">IFERROR(_xlfn.IFS(Table1[[#This Row],[Payment Status]]="Partial","In Transit",Table1[[#This Row],[Payment Status]]="Paid","Delivered",Table1[[#This Row],[Payment Status]]="Pending","Pending"),"Invalid Input")</f>
        <v>Delivered</v>
      </c>
      <c r="T22" t="s">
        <v>27</v>
      </c>
      <c r="U22" t="str" cm="1">
        <f t="array" ref="U22">IFERROR(_xlfn.IFS(Table1[[#This Row],[Payment Status]]="Partial","In Transit",Table1[[#This Row],[Payment Status]]="Paid","Completed",Table1[[#This Row],[Payment Status]]="Pending","Pending"),"Invalid Input")</f>
        <v>Completed</v>
      </c>
    </row>
    <row r="23" spans="1:21" x14ac:dyDescent="0.25">
      <c r="A23" s="4" t="s">
        <v>104</v>
      </c>
      <c r="B23" s="5">
        <v>45723</v>
      </c>
      <c r="C23" t="s">
        <v>52</v>
      </c>
      <c r="D23" t="s">
        <v>3271</v>
      </c>
      <c r="E23" t="s">
        <v>30</v>
      </c>
      <c r="F23" t="s">
        <v>3217</v>
      </c>
      <c r="G23" t="s">
        <v>31</v>
      </c>
      <c r="H23" t="str">
        <f>VLOOKUP(Table1[[#This Row],[City]],Table6[#All],2,FALSE)</f>
        <v>South</v>
      </c>
      <c r="I23" t="s">
        <v>58</v>
      </c>
      <c r="J23" t="str">
        <f>_xlfn.XLOOKUP(Table1[[#This Row],[Tractor Model]],Table7[Product Model],Table7[Product Category],"Not Available",0)</f>
        <v>Powertrac</v>
      </c>
      <c r="K23" s="4">
        <v>2</v>
      </c>
      <c r="L23" s="72">
        <v>517234</v>
      </c>
      <c r="M23" s="4">
        <f>INDEX('Master Sheet'!$C$4:$C$12,MATCH(Table1[[#This Row],[Quantity]],'Master Sheet'!$B$4:$B$12,0))</f>
        <v>5</v>
      </c>
      <c r="N23" s="71">
        <f>Table1[[#This Row],[Quantity]]*Table1[[#This Row],[Unit Price]]</f>
        <v>1034468</v>
      </c>
      <c r="O23" s="73">
        <v>0.10344680000000001</v>
      </c>
      <c r="P23" s="70">
        <f>Table1[[#This Row],[Gross Amount]]*(1-(Table1[[#This Row],[Discount %]]/100))</f>
        <v>982744.6</v>
      </c>
      <c r="Q23" s="74">
        <f>(Table1[[#This Row],[Gross Amount]]*(1-(Table1[[#This Row],[Discount %]]/100)))/10000000</f>
        <v>9.8274459999999994E-2</v>
      </c>
      <c r="R23" t="s">
        <v>54</v>
      </c>
      <c r="S23" t="str" cm="1">
        <f t="array" ref="S23">IFERROR(_xlfn.IFS(Table1[[#This Row],[Payment Status]]="Partial","In Transit",Table1[[#This Row],[Payment Status]]="Paid","Delivered",Table1[[#This Row],[Payment Status]]="Pending","Pending"),"Invalid Input")</f>
        <v>Delivered</v>
      </c>
      <c r="T23" t="s">
        <v>44</v>
      </c>
      <c r="U23" t="str" cm="1">
        <f t="array" ref="U23">IFERROR(_xlfn.IFS(Table1[[#This Row],[Payment Status]]="Partial","In Transit",Table1[[#This Row],[Payment Status]]="Paid","Completed",Table1[[#This Row],[Payment Status]]="Pending","Pending"),"Invalid Input")</f>
        <v>Completed</v>
      </c>
    </row>
    <row r="24" spans="1:21" x14ac:dyDescent="0.25">
      <c r="A24" s="4" t="s">
        <v>107</v>
      </c>
      <c r="B24" s="5">
        <v>45328</v>
      </c>
      <c r="C24" t="s">
        <v>41</v>
      </c>
      <c r="D24" t="s">
        <v>3270</v>
      </c>
      <c r="E24" t="s">
        <v>66</v>
      </c>
      <c r="F24" t="s">
        <v>3220</v>
      </c>
      <c r="G24" t="s">
        <v>67</v>
      </c>
      <c r="H24" t="str">
        <f>VLOOKUP(Table1[[#This Row],[City]],Table6[#All],2,FALSE)</f>
        <v>East</v>
      </c>
      <c r="I24" t="s">
        <v>58</v>
      </c>
      <c r="J24" t="str">
        <f>_xlfn.XLOOKUP(Table1[[#This Row],[Tractor Model]],Table7[Product Model],Table7[Product Category],"Not Available",0)</f>
        <v>Powertrac</v>
      </c>
      <c r="K24" s="4">
        <v>2</v>
      </c>
      <c r="L24" s="72">
        <v>608383</v>
      </c>
      <c r="M24" s="4">
        <f>INDEX('Master Sheet'!$C$4:$C$12,MATCH(Table1[[#This Row],[Quantity]],'Master Sheet'!$B$4:$B$12,0))</f>
        <v>5</v>
      </c>
      <c r="N24" s="71">
        <f>Table1[[#This Row],[Quantity]]*Table1[[#This Row],[Unit Price]]</f>
        <v>1216766</v>
      </c>
      <c r="O24" s="73">
        <v>0.1216766</v>
      </c>
      <c r="P24" s="70">
        <f>Table1[[#This Row],[Gross Amount]]*(1-(Table1[[#This Row],[Discount %]]/100))</f>
        <v>1155927.7</v>
      </c>
      <c r="Q24" s="74">
        <f>(Table1[[#This Row],[Gross Amount]]*(1-(Table1[[#This Row],[Discount %]]/100)))/10000000</f>
        <v>0.11559277</v>
      </c>
      <c r="R24" t="s">
        <v>25</v>
      </c>
      <c r="S24" t="str" cm="1">
        <f t="array" ref="S24">IFERROR(_xlfn.IFS(Table1[[#This Row],[Payment Status]]="Partial","In Transit",Table1[[#This Row],[Payment Status]]="Paid","Delivered",Table1[[#This Row],[Payment Status]]="Pending","Pending"),"Invalid Input")</f>
        <v>In Transit</v>
      </c>
      <c r="T24" t="s">
        <v>27</v>
      </c>
      <c r="U24" t="str" cm="1">
        <f t="array" ref="U24">IFERROR(_xlfn.IFS(Table1[[#This Row],[Payment Status]]="Partial","In Transit",Table1[[#This Row],[Payment Status]]="Paid","Completed",Table1[[#This Row],[Payment Status]]="Pending","Pending"),"Invalid Input")</f>
        <v>In Transit</v>
      </c>
    </row>
    <row r="25" spans="1:21" x14ac:dyDescent="0.25">
      <c r="A25" s="4" t="s">
        <v>109</v>
      </c>
      <c r="B25" s="5">
        <v>45658</v>
      </c>
      <c r="C25" t="s">
        <v>62</v>
      </c>
      <c r="D25" t="s">
        <v>3270</v>
      </c>
      <c r="E25" t="s">
        <v>38</v>
      </c>
      <c r="F25" t="s">
        <v>3218</v>
      </c>
      <c r="G25" t="s">
        <v>39</v>
      </c>
      <c r="H25" t="str">
        <f>VLOOKUP(Table1[[#This Row],[City]],Table6[#All],2,FALSE)</f>
        <v>West</v>
      </c>
      <c r="I25" t="s">
        <v>3203</v>
      </c>
      <c r="J25" t="str">
        <f>_xlfn.XLOOKUP(Table1[[#This Row],[Tractor Model]],Table7[Product Model],Table7[Product Category],"Not Available",0)</f>
        <v>Kubota</v>
      </c>
      <c r="K25" s="4">
        <v>7</v>
      </c>
      <c r="L25" s="72">
        <v>446520</v>
      </c>
      <c r="M25" s="4">
        <f>INDEX('Master Sheet'!$C$4:$C$12,MATCH(Table1[[#This Row],[Quantity]],'Master Sheet'!$B$4:$B$12,0))</f>
        <v>9</v>
      </c>
      <c r="N25" s="71">
        <f>Table1[[#This Row],[Quantity]]*Table1[[#This Row],[Unit Price]]</f>
        <v>3125640</v>
      </c>
      <c r="O25" s="73">
        <v>0.31256400000000001</v>
      </c>
      <c r="P25" s="70">
        <f>Table1[[#This Row],[Gross Amount]]*(1-(Table1[[#This Row],[Discount %]]/100))</f>
        <v>2844332.4</v>
      </c>
      <c r="Q25" s="74">
        <f>(Table1[[#This Row],[Gross Amount]]*(1-(Table1[[#This Row],[Discount %]]/100)))/10000000</f>
        <v>0.28443323999999998</v>
      </c>
      <c r="R25" t="s">
        <v>25</v>
      </c>
      <c r="S25" t="str" cm="1">
        <f t="array" ref="S25">IFERROR(_xlfn.IFS(Table1[[#This Row],[Payment Status]]="Partial","In Transit",Table1[[#This Row],[Payment Status]]="Paid","Delivered",Table1[[#This Row],[Payment Status]]="Pending","Pending"),"Invalid Input")</f>
        <v>In Transit</v>
      </c>
      <c r="T25" t="s">
        <v>27</v>
      </c>
      <c r="U25" t="str" cm="1">
        <f t="array" ref="U25">IFERROR(_xlfn.IFS(Table1[[#This Row],[Payment Status]]="Partial","In Transit",Table1[[#This Row],[Payment Status]]="Paid","Completed",Table1[[#This Row],[Payment Status]]="Pending","Pending"),"Invalid Input")</f>
        <v>In Transit</v>
      </c>
    </row>
    <row r="26" spans="1:21" x14ac:dyDescent="0.25">
      <c r="A26" s="4" t="s">
        <v>111</v>
      </c>
      <c r="B26" s="5">
        <v>45644</v>
      </c>
      <c r="C26" t="s">
        <v>33</v>
      </c>
      <c r="D26" t="s">
        <v>3271</v>
      </c>
      <c r="E26" t="s">
        <v>47</v>
      </c>
      <c r="F26" t="s">
        <v>3221</v>
      </c>
      <c r="G26" t="s">
        <v>48</v>
      </c>
      <c r="H26" t="str">
        <f>VLOOKUP(Table1[[#This Row],[City]],Table6[#All],2,FALSE)</f>
        <v>North</v>
      </c>
      <c r="I26" t="s">
        <v>3203</v>
      </c>
      <c r="J26" t="str">
        <f>_xlfn.XLOOKUP(Table1[[#This Row],[Tractor Model]],Table7[Product Model],Table7[Product Category],"Not Available",0)</f>
        <v>Kubota</v>
      </c>
      <c r="K26" s="4">
        <v>6</v>
      </c>
      <c r="L26" s="72">
        <v>230452</v>
      </c>
      <c r="M26" s="4">
        <f>INDEX('Master Sheet'!$C$4:$C$12,MATCH(Table1[[#This Row],[Quantity]],'Master Sheet'!$B$4:$B$12,0))</f>
        <v>8</v>
      </c>
      <c r="N26" s="71">
        <f>Table1[[#This Row],[Quantity]]*Table1[[#This Row],[Unit Price]]</f>
        <v>1382712</v>
      </c>
      <c r="O26" s="73">
        <v>0.13827120000000001</v>
      </c>
      <c r="P26" s="70">
        <f>Table1[[#This Row],[Gross Amount]]*(1-(Table1[[#This Row],[Discount %]]/100))</f>
        <v>1272095.04</v>
      </c>
      <c r="Q26" s="74">
        <f>(Table1[[#This Row],[Gross Amount]]*(1-(Table1[[#This Row],[Discount %]]/100)))/10000000</f>
        <v>0.127209504</v>
      </c>
      <c r="R26" t="s">
        <v>42</v>
      </c>
      <c r="S26" t="str" cm="1">
        <f t="array" ref="S26">IFERROR(_xlfn.IFS(Table1[[#This Row],[Payment Status]]="Partial","In Transit",Table1[[#This Row],[Payment Status]]="Paid","Delivered",Table1[[#This Row],[Payment Status]]="Pending","Pending"),"Invalid Input")</f>
        <v>Pending</v>
      </c>
      <c r="T26" t="s">
        <v>44</v>
      </c>
      <c r="U26" t="str" cm="1">
        <f t="array" ref="U26">IFERROR(_xlfn.IFS(Table1[[#This Row],[Payment Status]]="Partial","In Transit",Table1[[#This Row],[Payment Status]]="Paid","Completed",Table1[[#This Row],[Payment Status]]="Pending","Pending"),"Invalid Input")</f>
        <v>Pending</v>
      </c>
    </row>
    <row r="27" spans="1:21" x14ac:dyDescent="0.25">
      <c r="A27" s="4" t="s">
        <v>113</v>
      </c>
      <c r="B27" s="5">
        <v>45639</v>
      </c>
      <c r="C27" t="s">
        <v>73</v>
      </c>
      <c r="D27" t="s">
        <v>37</v>
      </c>
      <c r="E27" t="s">
        <v>30</v>
      </c>
      <c r="F27" t="s">
        <v>3222</v>
      </c>
      <c r="G27" t="s">
        <v>31</v>
      </c>
      <c r="H27" t="str">
        <f>VLOOKUP(Table1[[#This Row],[City]],Table6[#All],2,FALSE)</f>
        <v>South</v>
      </c>
      <c r="I27" t="s">
        <v>3204</v>
      </c>
      <c r="J27" t="str">
        <f>_xlfn.XLOOKUP(Table1[[#This Row],[Tractor Model]],Table7[Product Model],Table7[Product Category],"Not Available",0)</f>
        <v>Kubota</v>
      </c>
      <c r="K27" s="4">
        <v>7</v>
      </c>
      <c r="L27" s="72">
        <v>838859</v>
      </c>
      <c r="M27" s="4">
        <f>INDEX('Master Sheet'!$C$4:$C$12,MATCH(Table1[[#This Row],[Quantity]],'Master Sheet'!$B$4:$B$12,0))</f>
        <v>9</v>
      </c>
      <c r="N27" s="71">
        <f>Table1[[#This Row],[Quantity]]*Table1[[#This Row],[Unit Price]]</f>
        <v>5872013</v>
      </c>
      <c r="O27" s="73">
        <v>0.58720130000000004</v>
      </c>
      <c r="P27" s="70">
        <f>Table1[[#This Row],[Gross Amount]]*(1-(Table1[[#This Row],[Discount %]]/100))</f>
        <v>5343531.83</v>
      </c>
      <c r="Q27" s="74">
        <f>(Table1[[#This Row],[Gross Amount]]*(1-(Table1[[#This Row],[Discount %]]/100)))/10000000</f>
        <v>0.53435318300000001</v>
      </c>
      <c r="R27" t="s">
        <v>25</v>
      </c>
      <c r="S27" t="str" cm="1">
        <f t="array" ref="S27">IFERROR(_xlfn.IFS(Table1[[#This Row],[Payment Status]]="Partial","In Transit",Table1[[#This Row],[Payment Status]]="Paid","Delivered",Table1[[#This Row],[Payment Status]]="Pending","Pending"),"Invalid Input")</f>
        <v>In Transit</v>
      </c>
      <c r="T27" t="s">
        <v>27</v>
      </c>
      <c r="U27" t="str" cm="1">
        <f t="array" ref="U27">IFERROR(_xlfn.IFS(Table1[[#This Row],[Payment Status]]="Partial","In Transit",Table1[[#This Row],[Payment Status]]="Paid","Completed",Table1[[#This Row],[Payment Status]]="Pending","Pending"),"Invalid Input")</f>
        <v>In Transit</v>
      </c>
    </row>
    <row r="28" spans="1:21" x14ac:dyDescent="0.25">
      <c r="A28" s="4" t="s">
        <v>115</v>
      </c>
      <c r="B28" s="5">
        <v>45320</v>
      </c>
      <c r="C28" t="s">
        <v>73</v>
      </c>
      <c r="D28" t="s">
        <v>3270</v>
      </c>
      <c r="E28" t="s">
        <v>30</v>
      </c>
      <c r="F28" t="s">
        <v>3223</v>
      </c>
      <c r="G28" t="s">
        <v>31</v>
      </c>
      <c r="H28" t="str">
        <f>VLOOKUP(Table1[[#This Row],[City]],Table6[#All],2,FALSE)</f>
        <v>South</v>
      </c>
      <c r="I28" t="s">
        <v>3204</v>
      </c>
      <c r="J28" t="str">
        <f>_xlfn.XLOOKUP(Table1[[#This Row],[Tractor Model]],Table7[Product Model],Table7[Product Category],"Not Available",0)</f>
        <v>Kubota</v>
      </c>
      <c r="K28" s="4">
        <v>8</v>
      </c>
      <c r="L28" s="72">
        <v>361121</v>
      </c>
      <c r="M28" s="4">
        <f>INDEX('Master Sheet'!$C$4:$C$12,MATCH(Table1[[#This Row],[Quantity]],'Master Sheet'!$B$4:$B$12,0))</f>
        <v>9</v>
      </c>
      <c r="N28" s="71">
        <f>Table1[[#This Row],[Quantity]]*Table1[[#This Row],[Unit Price]]</f>
        <v>2888968</v>
      </c>
      <c r="O28" s="73">
        <v>0.28889680000000001</v>
      </c>
      <c r="P28" s="70">
        <f>Table1[[#This Row],[Gross Amount]]*(1-(Table1[[#This Row],[Discount %]]/100))</f>
        <v>2628960.88</v>
      </c>
      <c r="Q28" s="74">
        <f>(Table1[[#This Row],[Gross Amount]]*(1-(Table1[[#This Row],[Discount %]]/100)))/10000000</f>
        <v>0.26289608799999997</v>
      </c>
      <c r="R28" t="s">
        <v>54</v>
      </c>
      <c r="S28" t="str" cm="1">
        <f t="array" ref="S28">IFERROR(_xlfn.IFS(Table1[[#This Row],[Payment Status]]="Partial","In Transit",Table1[[#This Row],[Payment Status]]="Paid","Delivered",Table1[[#This Row],[Payment Status]]="Pending","Pending"),"Invalid Input")</f>
        <v>Delivered</v>
      </c>
      <c r="T28" t="s">
        <v>27</v>
      </c>
      <c r="U28" t="str" cm="1">
        <f t="array" ref="U28">IFERROR(_xlfn.IFS(Table1[[#This Row],[Payment Status]]="Partial","In Transit",Table1[[#This Row],[Payment Status]]="Paid","Completed",Table1[[#This Row],[Payment Status]]="Pending","Pending"),"Invalid Input")</f>
        <v>Completed</v>
      </c>
    </row>
    <row r="29" spans="1:21" x14ac:dyDescent="0.25">
      <c r="A29" s="4" t="s">
        <v>117</v>
      </c>
      <c r="B29" s="5">
        <v>45303</v>
      </c>
      <c r="C29" t="s">
        <v>33</v>
      </c>
      <c r="D29" t="s">
        <v>37</v>
      </c>
      <c r="E29" t="s">
        <v>119</v>
      </c>
      <c r="F29" t="s">
        <v>3224</v>
      </c>
      <c r="G29" t="s">
        <v>21</v>
      </c>
      <c r="H29" t="str">
        <f>VLOOKUP(Table1[[#This Row],[City]],Table6[#All],2,FALSE)</f>
        <v>North</v>
      </c>
      <c r="I29" t="s">
        <v>3204</v>
      </c>
      <c r="J29" t="str">
        <f>_xlfn.XLOOKUP(Table1[[#This Row],[Tractor Model]],Table7[Product Model],Table7[Product Category],"Not Available",0)</f>
        <v>Kubota</v>
      </c>
      <c r="K29" s="4">
        <v>2</v>
      </c>
      <c r="L29" s="72">
        <v>568794</v>
      </c>
      <c r="M29" s="4">
        <f>INDEX('Master Sheet'!$C$4:$C$12,MATCH(Table1[[#This Row],[Quantity]],'Master Sheet'!$B$4:$B$12,0))</f>
        <v>5</v>
      </c>
      <c r="N29" s="71">
        <f>Table1[[#This Row],[Quantity]]*Table1[[#This Row],[Unit Price]]</f>
        <v>1137588</v>
      </c>
      <c r="O29" s="73">
        <v>0.11375879999999999</v>
      </c>
      <c r="P29" s="70">
        <f>Table1[[#This Row],[Gross Amount]]*(1-(Table1[[#This Row],[Discount %]]/100))</f>
        <v>1080708.5999999999</v>
      </c>
      <c r="Q29" s="74">
        <f>(Table1[[#This Row],[Gross Amount]]*(1-(Table1[[#This Row],[Discount %]]/100)))/10000000</f>
        <v>0.10807085999999999</v>
      </c>
      <c r="R29" t="s">
        <v>42</v>
      </c>
      <c r="S29" t="str" cm="1">
        <f t="array" ref="S29">IFERROR(_xlfn.IFS(Table1[[#This Row],[Payment Status]]="Partial","In Transit",Table1[[#This Row],[Payment Status]]="Paid","Delivered",Table1[[#This Row],[Payment Status]]="Pending","Pending"),"Invalid Input")</f>
        <v>Pending</v>
      </c>
      <c r="T29" t="s">
        <v>27</v>
      </c>
      <c r="U29" t="str" cm="1">
        <f t="array" ref="U29">IFERROR(_xlfn.IFS(Table1[[#This Row],[Payment Status]]="Partial","In Transit",Table1[[#This Row],[Payment Status]]="Paid","Completed",Table1[[#This Row],[Payment Status]]="Pending","Pending"),"Invalid Input")</f>
        <v>Pending</v>
      </c>
    </row>
    <row r="30" spans="1:21" x14ac:dyDescent="0.25">
      <c r="A30" s="4" t="s">
        <v>120</v>
      </c>
      <c r="B30" s="5">
        <v>45767</v>
      </c>
      <c r="C30" t="s">
        <v>41</v>
      </c>
      <c r="D30" t="s">
        <v>37</v>
      </c>
      <c r="E30" t="s">
        <v>38</v>
      </c>
      <c r="F30" t="s">
        <v>3214</v>
      </c>
      <c r="G30" t="s">
        <v>39</v>
      </c>
      <c r="H30" t="str">
        <f>VLOOKUP(Table1[[#This Row],[City]],Table6[#All],2,FALSE)</f>
        <v>West</v>
      </c>
      <c r="I30" t="s">
        <v>58</v>
      </c>
      <c r="J30" t="str">
        <f>_xlfn.XLOOKUP(Table1[[#This Row],[Tractor Model]],Table7[Product Model],Table7[Product Category],"Not Available",0)</f>
        <v>Powertrac</v>
      </c>
      <c r="K30" s="4">
        <v>7</v>
      </c>
      <c r="L30" s="72">
        <v>778873</v>
      </c>
      <c r="M30" s="4">
        <f>INDEX('Master Sheet'!$C$4:$C$12,MATCH(Table1[[#This Row],[Quantity]],'Master Sheet'!$B$4:$B$12,0))</f>
        <v>9</v>
      </c>
      <c r="N30" s="71">
        <f>Table1[[#This Row],[Quantity]]*Table1[[#This Row],[Unit Price]]</f>
        <v>5452111</v>
      </c>
      <c r="O30" s="73">
        <v>0.54521109999999995</v>
      </c>
      <c r="P30" s="70">
        <f>Table1[[#This Row],[Gross Amount]]*(1-(Table1[[#This Row],[Discount %]]/100))</f>
        <v>4961421.01</v>
      </c>
      <c r="Q30" s="74">
        <f>(Table1[[#This Row],[Gross Amount]]*(1-(Table1[[#This Row],[Discount %]]/100)))/10000000</f>
        <v>0.496142101</v>
      </c>
      <c r="R30" t="s">
        <v>54</v>
      </c>
      <c r="S30" t="str" cm="1">
        <f t="array" ref="S30">IFERROR(_xlfn.IFS(Table1[[#This Row],[Payment Status]]="Partial","In Transit",Table1[[#This Row],[Payment Status]]="Paid","Delivered",Table1[[#This Row],[Payment Status]]="Pending","Pending"),"Invalid Input")</f>
        <v>Delivered</v>
      </c>
      <c r="T30" t="s">
        <v>27</v>
      </c>
      <c r="U30" t="str" cm="1">
        <f t="array" ref="U30">IFERROR(_xlfn.IFS(Table1[[#This Row],[Payment Status]]="Partial","In Transit",Table1[[#This Row],[Payment Status]]="Paid","Completed",Table1[[#This Row],[Payment Status]]="Pending","Pending"),"Invalid Input")</f>
        <v>Completed</v>
      </c>
    </row>
    <row r="31" spans="1:21" x14ac:dyDescent="0.25">
      <c r="A31" s="4" t="s">
        <v>122</v>
      </c>
      <c r="B31" s="5">
        <v>45466</v>
      </c>
      <c r="C31" t="s">
        <v>41</v>
      </c>
      <c r="D31" t="s">
        <v>3271</v>
      </c>
      <c r="E31" t="s">
        <v>66</v>
      </c>
      <c r="F31" t="s">
        <v>3207</v>
      </c>
      <c r="G31" t="s">
        <v>67</v>
      </c>
      <c r="H31" t="str">
        <f>VLOOKUP(Table1[[#This Row],[City]],Table6[#All],2,FALSE)</f>
        <v>East</v>
      </c>
      <c r="I31" t="s">
        <v>58</v>
      </c>
      <c r="J31" t="str">
        <f>_xlfn.XLOOKUP(Table1[[#This Row],[Tractor Model]],Table7[Product Model],Table7[Product Category],"Not Available",0)</f>
        <v>Powertrac</v>
      </c>
      <c r="K31" s="4">
        <v>7</v>
      </c>
      <c r="L31" s="72">
        <v>827482</v>
      </c>
      <c r="M31" s="4">
        <f>INDEX('Master Sheet'!$C$4:$C$12,MATCH(Table1[[#This Row],[Quantity]],'Master Sheet'!$B$4:$B$12,0))</f>
        <v>9</v>
      </c>
      <c r="N31" s="71">
        <f>Table1[[#This Row],[Quantity]]*Table1[[#This Row],[Unit Price]]</f>
        <v>5792374</v>
      </c>
      <c r="O31" s="73">
        <v>0.57923740000000001</v>
      </c>
      <c r="P31" s="70">
        <f>Table1[[#This Row],[Gross Amount]]*(1-(Table1[[#This Row],[Discount %]]/100))</f>
        <v>5271060.34</v>
      </c>
      <c r="Q31" s="74">
        <f>(Table1[[#This Row],[Gross Amount]]*(1-(Table1[[#This Row],[Discount %]]/100)))/10000000</f>
        <v>0.527106034</v>
      </c>
      <c r="R31" t="s">
        <v>42</v>
      </c>
      <c r="S31" t="str" cm="1">
        <f t="array" ref="S31">IFERROR(_xlfn.IFS(Table1[[#This Row],[Payment Status]]="Partial","In Transit",Table1[[#This Row],[Payment Status]]="Paid","Delivered",Table1[[#This Row],[Payment Status]]="Pending","Pending"),"Invalid Input")</f>
        <v>Pending</v>
      </c>
      <c r="T31" t="s">
        <v>44</v>
      </c>
      <c r="U31" t="str" cm="1">
        <f t="array" ref="U31">IFERROR(_xlfn.IFS(Table1[[#This Row],[Payment Status]]="Partial","In Transit",Table1[[#This Row],[Payment Status]]="Paid","Completed",Table1[[#This Row],[Payment Status]]="Pending","Pending"),"Invalid Input")</f>
        <v>Pending</v>
      </c>
    </row>
    <row r="32" spans="1:21" x14ac:dyDescent="0.25">
      <c r="A32" s="4" t="s">
        <v>125</v>
      </c>
      <c r="B32" s="5">
        <v>45671</v>
      </c>
      <c r="C32" t="s">
        <v>41</v>
      </c>
      <c r="D32" t="s">
        <v>37</v>
      </c>
      <c r="E32" t="s">
        <v>30</v>
      </c>
      <c r="F32" t="s">
        <v>3222</v>
      </c>
      <c r="G32" t="s">
        <v>31</v>
      </c>
      <c r="H32" t="str">
        <f>VLOOKUP(Table1[[#This Row],[City]],Table6[#All],2,FALSE)</f>
        <v>South</v>
      </c>
      <c r="I32" t="s">
        <v>3204</v>
      </c>
      <c r="J32" t="str">
        <f>_xlfn.XLOOKUP(Table1[[#This Row],[Tractor Model]],Table7[Product Model],Table7[Product Category],"Not Available",0)</f>
        <v>Kubota</v>
      </c>
      <c r="K32" s="4">
        <v>3</v>
      </c>
      <c r="L32" s="72">
        <v>335373</v>
      </c>
      <c r="M32" s="4">
        <f>INDEX('Master Sheet'!$C$4:$C$12,MATCH(Table1[[#This Row],[Quantity]],'Master Sheet'!$B$4:$B$12,0))</f>
        <v>6</v>
      </c>
      <c r="N32" s="71">
        <f>Table1[[#This Row],[Quantity]]*Table1[[#This Row],[Unit Price]]</f>
        <v>1006119</v>
      </c>
      <c r="O32" s="73">
        <v>0.1006119</v>
      </c>
      <c r="P32" s="70">
        <f>Table1[[#This Row],[Gross Amount]]*(1-(Table1[[#This Row],[Discount %]]/100))</f>
        <v>945751.86</v>
      </c>
      <c r="Q32" s="74">
        <f>(Table1[[#This Row],[Gross Amount]]*(1-(Table1[[#This Row],[Discount %]]/100)))/10000000</f>
        <v>9.4575186000000006E-2</v>
      </c>
      <c r="R32" t="s">
        <v>54</v>
      </c>
      <c r="S32" t="str" cm="1">
        <f t="array" ref="S32">IFERROR(_xlfn.IFS(Table1[[#This Row],[Payment Status]]="Partial","In Transit",Table1[[#This Row],[Payment Status]]="Paid","Delivered",Table1[[#This Row],[Payment Status]]="Pending","Pending"),"Invalid Input")</f>
        <v>Delivered</v>
      </c>
      <c r="T32" t="s">
        <v>27</v>
      </c>
      <c r="U32" t="str" cm="1">
        <f t="array" ref="U32">IFERROR(_xlfn.IFS(Table1[[#This Row],[Payment Status]]="Partial","In Transit",Table1[[#This Row],[Payment Status]]="Paid","Completed",Table1[[#This Row],[Payment Status]]="Pending","Pending"),"Invalid Input")</f>
        <v>Completed</v>
      </c>
    </row>
    <row r="33" spans="1:21" x14ac:dyDescent="0.25">
      <c r="A33" s="4" t="s">
        <v>127</v>
      </c>
      <c r="B33" s="5">
        <v>45433</v>
      </c>
      <c r="C33" t="s">
        <v>41</v>
      </c>
      <c r="D33" t="s">
        <v>37</v>
      </c>
      <c r="E33" t="s">
        <v>38</v>
      </c>
      <c r="F33" t="s">
        <v>3214</v>
      </c>
      <c r="G33" t="s">
        <v>39</v>
      </c>
      <c r="H33" t="str">
        <f>VLOOKUP(Table1[[#This Row],[City]],Table6[#All],2,FALSE)</f>
        <v>West</v>
      </c>
      <c r="I33" t="s">
        <v>53</v>
      </c>
      <c r="J33" t="str">
        <f>_xlfn.XLOOKUP(Table1[[#This Row],[Tractor Model]],Table7[Product Model],Table7[Product Category],"Not Available",0)</f>
        <v>Farmtrac</v>
      </c>
      <c r="K33" s="4">
        <v>4</v>
      </c>
      <c r="L33" s="72">
        <v>820940</v>
      </c>
      <c r="M33" s="4">
        <f>INDEX('Master Sheet'!$C$4:$C$12,MATCH(Table1[[#This Row],[Quantity]],'Master Sheet'!$B$4:$B$12,0))</f>
        <v>6</v>
      </c>
      <c r="N33" s="71">
        <f>Table1[[#This Row],[Quantity]]*Table1[[#This Row],[Unit Price]]</f>
        <v>3283760</v>
      </c>
      <c r="O33" s="73">
        <v>0.328376</v>
      </c>
      <c r="P33" s="70">
        <f>Table1[[#This Row],[Gross Amount]]*(1-(Table1[[#This Row],[Discount %]]/100))</f>
        <v>3086734.4</v>
      </c>
      <c r="Q33" s="74">
        <f>(Table1[[#This Row],[Gross Amount]]*(1-(Table1[[#This Row],[Discount %]]/100)))/10000000</f>
        <v>0.30867343999999997</v>
      </c>
      <c r="R33" t="s">
        <v>42</v>
      </c>
      <c r="S33" t="str" cm="1">
        <f t="array" ref="S33">IFERROR(_xlfn.IFS(Table1[[#This Row],[Payment Status]]="Partial","In Transit",Table1[[#This Row],[Payment Status]]="Paid","Delivered",Table1[[#This Row],[Payment Status]]="Pending","Pending"),"Invalid Input")</f>
        <v>Pending</v>
      </c>
      <c r="T33" t="s">
        <v>27</v>
      </c>
      <c r="U33" t="str" cm="1">
        <f t="array" ref="U33">IFERROR(_xlfn.IFS(Table1[[#This Row],[Payment Status]]="Partial","In Transit",Table1[[#This Row],[Payment Status]]="Paid","Completed",Table1[[#This Row],[Payment Status]]="Pending","Pending"),"Invalid Input")</f>
        <v>Pending</v>
      </c>
    </row>
    <row r="34" spans="1:21" x14ac:dyDescent="0.25">
      <c r="A34" s="4" t="s">
        <v>131</v>
      </c>
      <c r="B34" s="5">
        <v>45393</v>
      </c>
      <c r="C34" t="s">
        <v>33</v>
      </c>
      <c r="D34" t="s">
        <v>37</v>
      </c>
      <c r="E34" t="s">
        <v>47</v>
      </c>
      <c r="F34" t="s">
        <v>3215</v>
      </c>
      <c r="G34" t="s">
        <v>48</v>
      </c>
      <c r="H34" t="str">
        <f>VLOOKUP(Table1[[#This Row],[City]],Table6[#All],2,FALSE)</f>
        <v>North</v>
      </c>
      <c r="I34" t="s">
        <v>24</v>
      </c>
      <c r="J34" t="str">
        <f>_xlfn.XLOOKUP(Table1[[#This Row],[Tractor Model]],Table7[Product Model],Table7[Product Category],"Not Available",0)</f>
        <v>Farmtrac</v>
      </c>
      <c r="K34" s="4">
        <v>4</v>
      </c>
      <c r="L34" s="72">
        <v>607112</v>
      </c>
      <c r="M34" s="4">
        <f>INDEX('Master Sheet'!$C$4:$C$12,MATCH(Table1[[#This Row],[Quantity]],'Master Sheet'!$B$4:$B$12,0))</f>
        <v>6</v>
      </c>
      <c r="N34" s="71">
        <f>Table1[[#This Row],[Quantity]]*Table1[[#This Row],[Unit Price]]</f>
        <v>2428448</v>
      </c>
      <c r="O34" s="73">
        <v>0.2428448</v>
      </c>
      <c r="P34" s="70">
        <f>Table1[[#This Row],[Gross Amount]]*(1-(Table1[[#This Row],[Discount %]]/100))</f>
        <v>2282741.1199999996</v>
      </c>
      <c r="Q34" s="74">
        <f>(Table1[[#This Row],[Gross Amount]]*(1-(Table1[[#This Row],[Discount %]]/100)))/10000000</f>
        <v>0.22827411199999997</v>
      </c>
      <c r="R34" t="s">
        <v>42</v>
      </c>
      <c r="S34" t="str" cm="1">
        <f t="array" ref="S34">IFERROR(_xlfn.IFS(Table1[[#This Row],[Payment Status]]="Partial","In Transit",Table1[[#This Row],[Payment Status]]="Paid","Delivered",Table1[[#This Row],[Payment Status]]="Pending","Pending"),"Invalid Input")</f>
        <v>Pending</v>
      </c>
      <c r="T34" t="s">
        <v>44</v>
      </c>
      <c r="U34" t="str" cm="1">
        <f t="array" ref="U34">IFERROR(_xlfn.IFS(Table1[[#This Row],[Payment Status]]="Partial","In Transit",Table1[[#This Row],[Payment Status]]="Paid","Completed",Table1[[#This Row],[Payment Status]]="Pending","Pending"),"Invalid Input")</f>
        <v>Pending</v>
      </c>
    </row>
    <row r="35" spans="1:21" x14ac:dyDescent="0.25">
      <c r="A35" s="4" t="s">
        <v>133</v>
      </c>
      <c r="B35" s="5">
        <v>45901</v>
      </c>
      <c r="C35" t="s">
        <v>73</v>
      </c>
      <c r="D35" t="s">
        <v>3270</v>
      </c>
      <c r="E35" t="s">
        <v>66</v>
      </c>
      <c r="F35" t="s">
        <v>3220</v>
      </c>
      <c r="G35" t="s">
        <v>67</v>
      </c>
      <c r="H35" t="str">
        <f>VLOOKUP(Table1[[#This Row],[City]],Table6[#All],2,FALSE)</f>
        <v>East</v>
      </c>
      <c r="I35" t="s">
        <v>24</v>
      </c>
      <c r="J35" t="str">
        <f>_xlfn.XLOOKUP(Table1[[#This Row],[Tractor Model]],Table7[Product Model],Table7[Product Category],"Not Available",0)</f>
        <v>Farmtrac</v>
      </c>
      <c r="K35" s="4">
        <v>3</v>
      </c>
      <c r="L35" s="72">
        <v>248682</v>
      </c>
      <c r="M35" s="4">
        <f>INDEX('Master Sheet'!$C$4:$C$12,MATCH(Table1[[#This Row],[Quantity]],'Master Sheet'!$B$4:$B$12,0))</f>
        <v>6</v>
      </c>
      <c r="N35" s="71">
        <f>Table1[[#This Row],[Quantity]]*Table1[[#This Row],[Unit Price]]</f>
        <v>746046</v>
      </c>
      <c r="O35" s="73">
        <v>7.4604599999999993E-2</v>
      </c>
      <c r="P35" s="70">
        <f>Table1[[#This Row],[Gross Amount]]*(1-(Table1[[#This Row],[Discount %]]/100))</f>
        <v>701283.24</v>
      </c>
      <c r="Q35" s="74">
        <f>(Table1[[#This Row],[Gross Amount]]*(1-(Table1[[#This Row],[Discount %]]/100)))/10000000</f>
        <v>7.0128324000000006E-2</v>
      </c>
      <c r="R35" t="s">
        <v>25</v>
      </c>
      <c r="S35" t="str" cm="1">
        <f t="array" ref="S35">IFERROR(_xlfn.IFS(Table1[[#This Row],[Payment Status]]="Partial","In Transit",Table1[[#This Row],[Payment Status]]="Paid","Delivered",Table1[[#This Row],[Payment Status]]="Pending","Pending"),"Invalid Input")</f>
        <v>In Transit</v>
      </c>
      <c r="T35" t="s">
        <v>44</v>
      </c>
      <c r="U35" t="str" cm="1">
        <f t="array" ref="U35">IFERROR(_xlfn.IFS(Table1[[#This Row],[Payment Status]]="Partial","In Transit",Table1[[#This Row],[Payment Status]]="Paid","Completed",Table1[[#This Row],[Payment Status]]="Pending","Pending"),"Invalid Input")</f>
        <v>In Transit</v>
      </c>
    </row>
    <row r="36" spans="1:21" x14ac:dyDescent="0.25">
      <c r="A36" s="4" t="s">
        <v>136</v>
      </c>
      <c r="B36" s="5">
        <v>45651</v>
      </c>
      <c r="C36" t="s">
        <v>41</v>
      </c>
      <c r="D36" t="s">
        <v>3269</v>
      </c>
      <c r="E36" t="s">
        <v>66</v>
      </c>
      <c r="F36" t="s">
        <v>3213</v>
      </c>
      <c r="G36" t="s">
        <v>67</v>
      </c>
      <c r="H36" t="str">
        <f>VLOOKUP(Table1[[#This Row],[City]],Table6[#All],2,FALSE)</f>
        <v>East</v>
      </c>
      <c r="I36" t="s">
        <v>24</v>
      </c>
      <c r="J36" t="str">
        <f>_xlfn.XLOOKUP(Table1[[#This Row],[Tractor Model]],Table7[Product Model],Table7[Product Category],"Not Available",0)</f>
        <v>Farmtrac</v>
      </c>
      <c r="K36" s="4">
        <v>7</v>
      </c>
      <c r="L36" s="72">
        <v>109760</v>
      </c>
      <c r="M36" s="4">
        <f>INDEX('Master Sheet'!$C$4:$C$12,MATCH(Table1[[#This Row],[Quantity]],'Master Sheet'!$B$4:$B$12,0))</f>
        <v>9</v>
      </c>
      <c r="N36" s="71">
        <f>Table1[[#This Row],[Quantity]]*Table1[[#This Row],[Unit Price]]</f>
        <v>768320</v>
      </c>
      <c r="O36" s="73">
        <v>7.6831999999999998E-2</v>
      </c>
      <c r="P36" s="70">
        <f>Table1[[#This Row],[Gross Amount]]*(1-(Table1[[#This Row],[Discount %]]/100))</f>
        <v>699171.20000000007</v>
      </c>
      <c r="Q36" s="74">
        <f>(Table1[[#This Row],[Gross Amount]]*(1-(Table1[[#This Row],[Discount %]]/100)))/10000000</f>
        <v>6.9917120000000013E-2</v>
      </c>
      <c r="R36" t="s">
        <v>25</v>
      </c>
      <c r="S36" t="str" cm="1">
        <f t="array" ref="S36">IFERROR(_xlfn.IFS(Table1[[#This Row],[Payment Status]]="Partial","In Transit",Table1[[#This Row],[Payment Status]]="Paid","Delivered",Table1[[#This Row],[Payment Status]]="Pending","Pending"),"Invalid Input")</f>
        <v>In Transit</v>
      </c>
      <c r="T36" t="s">
        <v>27</v>
      </c>
      <c r="U36" t="str" cm="1">
        <f t="array" ref="U36">IFERROR(_xlfn.IFS(Table1[[#This Row],[Payment Status]]="Partial","In Transit",Table1[[#This Row],[Payment Status]]="Paid","Completed",Table1[[#This Row],[Payment Status]]="Pending","Pending"),"Invalid Input")</f>
        <v>In Transit</v>
      </c>
    </row>
    <row r="37" spans="1:21" x14ac:dyDescent="0.25">
      <c r="A37" s="4" t="s">
        <v>138</v>
      </c>
      <c r="B37" s="5">
        <v>45631</v>
      </c>
      <c r="C37" t="s">
        <v>73</v>
      </c>
      <c r="D37" t="s">
        <v>3271</v>
      </c>
      <c r="E37" t="s">
        <v>66</v>
      </c>
      <c r="F37" t="s">
        <v>3207</v>
      </c>
      <c r="G37" t="s">
        <v>67</v>
      </c>
      <c r="H37" t="str">
        <f>VLOOKUP(Table1[[#This Row],[City]],Table6[#All],2,FALSE)</f>
        <v>East</v>
      </c>
      <c r="I37" t="s">
        <v>24</v>
      </c>
      <c r="J37" t="str">
        <f>_xlfn.XLOOKUP(Table1[[#This Row],[Tractor Model]],Table7[Product Model],Table7[Product Category],"Not Available",0)</f>
        <v>Farmtrac</v>
      </c>
      <c r="K37" s="4">
        <v>6</v>
      </c>
      <c r="L37" s="72">
        <v>407592</v>
      </c>
      <c r="M37" s="4">
        <f>INDEX('Master Sheet'!$C$4:$C$12,MATCH(Table1[[#This Row],[Quantity]],'Master Sheet'!$B$4:$B$12,0))</f>
        <v>8</v>
      </c>
      <c r="N37" s="71">
        <f>Table1[[#This Row],[Quantity]]*Table1[[#This Row],[Unit Price]]</f>
        <v>2445552</v>
      </c>
      <c r="O37" s="73">
        <v>0.2445552</v>
      </c>
      <c r="P37" s="70">
        <f>Table1[[#This Row],[Gross Amount]]*(1-(Table1[[#This Row],[Discount %]]/100))</f>
        <v>2249907.8400000003</v>
      </c>
      <c r="Q37" s="74">
        <f>(Table1[[#This Row],[Gross Amount]]*(1-(Table1[[#This Row],[Discount %]]/100)))/10000000</f>
        <v>0.22499078400000003</v>
      </c>
      <c r="R37" t="s">
        <v>54</v>
      </c>
      <c r="S37" t="str" cm="1">
        <f t="array" ref="S37">IFERROR(_xlfn.IFS(Table1[[#This Row],[Payment Status]]="Partial","In Transit",Table1[[#This Row],[Payment Status]]="Paid","Delivered",Table1[[#This Row],[Payment Status]]="Pending","Pending"),"Invalid Input")</f>
        <v>Delivered</v>
      </c>
      <c r="T37" t="s">
        <v>27</v>
      </c>
      <c r="U37" t="str" cm="1">
        <f t="array" ref="U37">IFERROR(_xlfn.IFS(Table1[[#This Row],[Payment Status]]="Partial","In Transit",Table1[[#This Row],[Payment Status]]="Paid","Completed",Table1[[#This Row],[Payment Status]]="Pending","Pending"),"Invalid Input")</f>
        <v>Completed</v>
      </c>
    </row>
    <row r="38" spans="1:21" x14ac:dyDescent="0.25">
      <c r="A38" s="4" t="s">
        <v>140</v>
      </c>
      <c r="B38" s="5">
        <v>45543</v>
      </c>
      <c r="C38" t="s">
        <v>62</v>
      </c>
      <c r="D38" t="s">
        <v>3268</v>
      </c>
      <c r="E38" t="s">
        <v>30</v>
      </c>
      <c r="F38" t="s">
        <v>3208</v>
      </c>
      <c r="G38" t="s">
        <v>31</v>
      </c>
      <c r="H38" t="str">
        <f>VLOOKUP(Table1[[#This Row],[City]],Table6[#All],2,FALSE)</f>
        <v>South</v>
      </c>
      <c r="I38" t="s">
        <v>3204</v>
      </c>
      <c r="J38" t="str">
        <f>_xlfn.XLOOKUP(Table1[[#This Row],[Tractor Model]],Table7[Product Model],Table7[Product Category],"Not Available",0)</f>
        <v>Kubota</v>
      </c>
      <c r="K38" s="4">
        <v>6</v>
      </c>
      <c r="L38" s="72">
        <v>534447</v>
      </c>
      <c r="M38" s="4">
        <f>INDEX('Master Sheet'!$C$4:$C$12,MATCH(Table1[[#This Row],[Quantity]],'Master Sheet'!$B$4:$B$12,0))</f>
        <v>8</v>
      </c>
      <c r="N38" s="71">
        <f>Table1[[#This Row],[Quantity]]*Table1[[#This Row],[Unit Price]]</f>
        <v>3206682</v>
      </c>
      <c r="O38" s="73">
        <v>0.32066820000000001</v>
      </c>
      <c r="P38" s="70">
        <f>Table1[[#This Row],[Gross Amount]]*(1-(Table1[[#This Row],[Discount %]]/100))</f>
        <v>2950147.44</v>
      </c>
      <c r="Q38" s="74">
        <f>(Table1[[#This Row],[Gross Amount]]*(1-(Table1[[#This Row],[Discount %]]/100)))/10000000</f>
        <v>0.295014744</v>
      </c>
      <c r="R38" t="s">
        <v>42</v>
      </c>
      <c r="S38" t="str" cm="1">
        <f t="array" ref="S38">IFERROR(_xlfn.IFS(Table1[[#This Row],[Payment Status]]="Partial","In Transit",Table1[[#This Row],[Payment Status]]="Paid","Delivered",Table1[[#This Row],[Payment Status]]="Pending","Pending"),"Invalid Input")</f>
        <v>Pending</v>
      </c>
      <c r="T38" t="s">
        <v>44</v>
      </c>
      <c r="U38" t="str" cm="1">
        <f t="array" ref="U38">IFERROR(_xlfn.IFS(Table1[[#This Row],[Payment Status]]="Partial","In Transit",Table1[[#This Row],[Payment Status]]="Paid","Completed",Table1[[#This Row],[Payment Status]]="Pending","Pending"),"Invalid Input")</f>
        <v>Pending</v>
      </c>
    </row>
    <row r="39" spans="1:21" x14ac:dyDescent="0.25">
      <c r="A39" s="4" t="s">
        <v>143</v>
      </c>
      <c r="B39" s="5">
        <v>45783</v>
      </c>
      <c r="C39" t="s">
        <v>73</v>
      </c>
      <c r="D39" t="s">
        <v>3268</v>
      </c>
      <c r="E39" t="s">
        <v>38</v>
      </c>
      <c r="F39" t="s">
        <v>3219</v>
      </c>
      <c r="G39" t="s">
        <v>39</v>
      </c>
      <c r="H39" t="str">
        <f>VLOOKUP(Table1[[#This Row],[City]],Table6[#All],2,FALSE)</f>
        <v>West</v>
      </c>
      <c r="I39" t="s">
        <v>53</v>
      </c>
      <c r="J39" t="str">
        <f>_xlfn.XLOOKUP(Table1[[#This Row],[Tractor Model]],Table7[Product Model],Table7[Product Category],"Not Available",0)</f>
        <v>Farmtrac</v>
      </c>
      <c r="K39" s="4">
        <v>7</v>
      </c>
      <c r="L39" s="72">
        <v>522733</v>
      </c>
      <c r="M39" s="4">
        <f>INDEX('Master Sheet'!$C$4:$C$12,MATCH(Table1[[#This Row],[Quantity]],'Master Sheet'!$B$4:$B$12,0))</f>
        <v>9</v>
      </c>
      <c r="N39" s="71">
        <f>Table1[[#This Row],[Quantity]]*Table1[[#This Row],[Unit Price]]</f>
        <v>3659131</v>
      </c>
      <c r="O39" s="73">
        <v>0.36591309999999999</v>
      </c>
      <c r="P39" s="70">
        <f>Table1[[#This Row],[Gross Amount]]*(1-(Table1[[#This Row],[Discount %]]/100))</f>
        <v>3329809.21</v>
      </c>
      <c r="Q39" s="74">
        <f>(Table1[[#This Row],[Gross Amount]]*(1-(Table1[[#This Row],[Discount %]]/100)))/10000000</f>
        <v>0.33298092099999999</v>
      </c>
      <c r="R39" t="s">
        <v>25</v>
      </c>
      <c r="S39" t="str" cm="1">
        <f t="array" ref="S39">IFERROR(_xlfn.IFS(Table1[[#This Row],[Payment Status]]="Partial","In Transit",Table1[[#This Row],[Payment Status]]="Paid","Delivered",Table1[[#This Row],[Payment Status]]="Pending","Pending"),"Invalid Input")</f>
        <v>In Transit</v>
      </c>
      <c r="T39" t="s">
        <v>44</v>
      </c>
      <c r="U39" t="str" cm="1">
        <f t="array" ref="U39">IFERROR(_xlfn.IFS(Table1[[#This Row],[Payment Status]]="Partial","In Transit",Table1[[#This Row],[Payment Status]]="Paid","Completed",Table1[[#This Row],[Payment Status]]="Pending","Pending"),"Invalid Input")</f>
        <v>In Transit</v>
      </c>
    </row>
    <row r="40" spans="1:21" x14ac:dyDescent="0.25">
      <c r="A40" s="4" t="s">
        <v>145</v>
      </c>
      <c r="B40" s="5">
        <v>45376</v>
      </c>
      <c r="C40" t="s">
        <v>73</v>
      </c>
      <c r="D40" t="s">
        <v>3270</v>
      </c>
      <c r="E40" t="s">
        <v>47</v>
      </c>
      <c r="F40" t="s">
        <v>3205</v>
      </c>
      <c r="G40" t="s">
        <v>48</v>
      </c>
      <c r="H40" t="str">
        <f>VLOOKUP(Table1[[#This Row],[City]],Table6[#All],2,FALSE)</f>
        <v>North</v>
      </c>
      <c r="I40" t="s">
        <v>3203</v>
      </c>
      <c r="J40" t="str">
        <f>_xlfn.XLOOKUP(Table1[[#This Row],[Tractor Model]],Table7[Product Model],Table7[Product Category],"Not Available",0)</f>
        <v>Kubota</v>
      </c>
      <c r="K40" s="4">
        <v>6</v>
      </c>
      <c r="L40" s="72">
        <v>526486</v>
      </c>
      <c r="M40" s="4">
        <f>INDEX('Master Sheet'!$C$4:$C$12,MATCH(Table1[[#This Row],[Quantity]],'Master Sheet'!$B$4:$B$12,0))</f>
        <v>8</v>
      </c>
      <c r="N40" s="71">
        <f>Table1[[#This Row],[Quantity]]*Table1[[#This Row],[Unit Price]]</f>
        <v>3158916</v>
      </c>
      <c r="O40" s="73">
        <v>0.31589159999999999</v>
      </c>
      <c r="P40" s="70">
        <f>Table1[[#This Row],[Gross Amount]]*(1-(Table1[[#This Row],[Discount %]]/100))</f>
        <v>2906202.72</v>
      </c>
      <c r="Q40" s="74">
        <f>(Table1[[#This Row],[Gross Amount]]*(1-(Table1[[#This Row],[Discount %]]/100)))/10000000</f>
        <v>0.29062027200000001</v>
      </c>
      <c r="R40" t="s">
        <v>25</v>
      </c>
      <c r="S40" t="str" cm="1">
        <f t="array" ref="S40">IFERROR(_xlfn.IFS(Table1[[#This Row],[Payment Status]]="Partial","In Transit",Table1[[#This Row],[Payment Status]]="Paid","Delivered",Table1[[#This Row],[Payment Status]]="Pending","Pending"),"Invalid Input")</f>
        <v>In Transit</v>
      </c>
      <c r="T40" t="s">
        <v>27</v>
      </c>
      <c r="U40" t="str" cm="1">
        <f t="array" ref="U40">IFERROR(_xlfn.IFS(Table1[[#This Row],[Payment Status]]="Partial","In Transit",Table1[[#This Row],[Payment Status]]="Paid","Completed",Table1[[#This Row],[Payment Status]]="Pending","Pending"),"Invalid Input")</f>
        <v>In Transit</v>
      </c>
    </row>
    <row r="41" spans="1:21" x14ac:dyDescent="0.25">
      <c r="A41" s="4" t="s">
        <v>147</v>
      </c>
      <c r="B41" s="5">
        <v>45567</v>
      </c>
      <c r="C41" t="s">
        <v>33</v>
      </c>
      <c r="D41" t="s">
        <v>37</v>
      </c>
      <c r="E41" t="s">
        <v>119</v>
      </c>
      <c r="F41" t="s">
        <v>3224</v>
      </c>
      <c r="G41" t="s">
        <v>21</v>
      </c>
      <c r="H41" t="str">
        <f>VLOOKUP(Table1[[#This Row],[City]],Table6[#All],2,FALSE)</f>
        <v>North</v>
      </c>
      <c r="I41" t="s">
        <v>24</v>
      </c>
      <c r="J41" t="str">
        <f>_xlfn.XLOOKUP(Table1[[#This Row],[Tractor Model]],Table7[Product Model],Table7[Product Category],"Not Available",0)</f>
        <v>Farmtrac</v>
      </c>
      <c r="K41" s="4">
        <v>8</v>
      </c>
      <c r="L41" s="72">
        <v>359112</v>
      </c>
      <c r="M41" s="4">
        <f>INDEX('Master Sheet'!$C$4:$C$12,MATCH(Table1[[#This Row],[Quantity]],'Master Sheet'!$B$4:$B$12,0))</f>
        <v>9</v>
      </c>
      <c r="N41" s="71">
        <f>Table1[[#This Row],[Quantity]]*Table1[[#This Row],[Unit Price]]</f>
        <v>2872896</v>
      </c>
      <c r="O41" s="73">
        <v>0.28728959999999998</v>
      </c>
      <c r="P41" s="70">
        <f>Table1[[#This Row],[Gross Amount]]*(1-(Table1[[#This Row],[Discount %]]/100))</f>
        <v>2614335.36</v>
      </c>
      <c r="Q41" s="74">
        <f>(Table1[[#This Row],[Gross Amount]]*(1-(Table1[[#This Row],[Discount %]]/100)))/10000000</f>
        <v>0.26143353599999997</v>
      </c>
      <c r="R41" t="s">
        <v>42</v>
      </c>
      <c r="S41" t="str" cm="1">
        <f t="array" ref="S41">IFERROR(_xlfn.IFS(Table1[[#This Row],[Payment Status]]="Partial","In Transit",Table1[[#This Row],[Payment Status]]="Paid","Delivered",Table1[[#This Row],[Payment Status]]="Pending","Pending"),"Invalid Input")</f>
        <v>Pending</v>
      </c>
      <c r="T41" t="s">
        <v>27</v>
      </c>
      <c r="U41" t="str" cm="1">
        <f t="array" ref="U41">IFERROR(_xlfn.IFS(Table1[[#This Row],[Payment Status]]="Partial","In Transit",Table1[[#This Row],[Payment Status]]="Paid","Completed",Table1[[#This Row],[Payment Status]]="Pending","Pending"),"Invalid Input")</f>
        <v>Pending</v>
      </c>
    </row>
    <row r="42" spans="1:21" x14ac:dyDescent="0.25">
      <c r="A42" s="4" t="s">
        <v>149</v>
      </c>
      <c r="B42" s="5">
        <v>45759</v>
      </c>
      <c r="C42" t="s">
        <v>73</v>
      </c>
      <c r="D42" t="s">
        <v>3270</v>
      </c>
      <c r="E42" t="s">
        <v>119</v>
      </c>
      <c r="F42" t="s">
        <v>3212</v>
      </c>
      <c r="G42" t="s">
        <v>21</v>
      </c>
      <c r="H42" t="str">
        <f>VLOOKUP(Table1[[#This Row],[City]],Table6[#All],2,FALSE)</f>
        <v>North</v>
      </c>
      <c r="I42" t="s">
        <v>3203</v>
      </c>
      <c r="J42" t="str">
        <f>_xlfn.XLOOKUP(Table1[[#This Row],[Tractor Model]],Table7[Product Model],Table7[Product Category],"Not Available",0)</f>
        <v>Kubota</v>
      </c>
      <c r="K42" s="4">
        <v>1</v>
      </c>
      <c r="L42" s="72">
        <v>189012</v>
      </c>
      <c r="M42" s="4">
        <f>INDEX('Master Sheet'!$C$4:$C$12,MATCH(Table1[[#This Row],[Quantity]],'Master Sheet'!$B$4:$B$12,0))</f>
        <v>3</v>
      </c>
      <c r="N42" s="71">
        <f>Table1[[#This Row],[Quantity]]*Table1[[#This Row],[Unit Price]]</f>
        <v>189012</v>
      </c>
      <c r="O42" s="73">
        <v>1.89012E-2</v>
      </c>
      <c r="P42" s="70">
        <f>Table1[[#This Row],[Gross Amount]]*(1-(Table1[[#This Row],[Discount %]]/100))</f>
        <v>183341.63999999998</v>
      </c>
      <c r="Q42" s="74">
        <f>(Table1[[#This Row],[Gross Amount]]*(1-(Table1[[#This Row],[Discount %]]/100)))/10000000</f>
        <v>1.8334164E-2</v>
      </c>
      <c r="R42" t="s">
        <v>42</v>
      </c>
      <c r="S42" t="str" cm="1">
        <f t="array" ref="S42">IFERROR(_xlfn.IFS(Table1[[#This Row],[Payment Status]]="Partial","In Transit",Table1[[#This Row],[Payment Status]]="Paid","Delivered",Table1[[#This Row],[Payment Status]]="Pending","Pending"),"Invalid Input")</f>
        <v>Pending</v>
      </c>
      <c r="T42" t="s">
        <v>27</v>
      </c>
      <c r="U42" t="str" cm="1">
        <f t="array" ref="U42">IFERROR(_xlfn.IFS(Table1[[#This Row],[Payment Status]]="Partial","In Transit",Table1[[#This Row],[Payment Status]]="Paid","Completed",Table1[[#This Row],[Payment Status]]="Pending","Pending"),"Invalid Input")</f>
        <v>Pending</v>
      </c>
    </row>
    <row r="43" spans="1:21" x14ac:dyDescent="0.25">
      <c r="A43" s="4" t="s">
        <v>152</v>
      </c>
      <c r="B43" s="5">
        <v>45713</v>
      </c>
      <c r="C43" t="s">
        <v>62</v>
      </c>
      <c r="D43" t="s">
        <v>3270</v>
      </c>
      <c r="E43" t="s">
        <v>66</v>
      </c>
      <c r="F43" t="s">
        <v>3220</v>
      </c>
      <c r="G43" t="s">
        <v>67</v>
      </c>
      <c r="H43" t="str">
        <f>VLOOKUP(Table1[[#This Row],[City]],Table6[#All],2,FALSE)</f>
        <v>East</v>
      </c>
      <c r="I43" t="s">
        <v>53</v>
      </c>
      <c r="J43" t="str">
        <f>_xlfn.XLOOKUP(Table1[[#This Row],[Tractor Model]],Table7[Product Model],Table7[Product Category],"Not Available",0)</f>
        <v>Farmtrac</v>
      </c>
      <c r="K43" s="4">
        <v>4</v>
      </c>
      <c r="L43" s="72">
        <v>540148</v>
      </c>
      <c r="M43" s="4">
        <f>INDEX('Master Sheet'!$C$4:$C$12,MATCH(Table1[[#This Row],[Quantity]],'Master Sheet'!$B$4:$B$12,0))</f>
        <v>6</v>
      </c>
      <c r="N43" s="71">
        <f>Table1[[#This Row],[Quantity]]*Table1[[#This Row],[Unit Price]]</f>
        <v>2160592</v>
      </c>
      <c r="O43" s="73">
        <v>0.21605920000000001</v>
      </c>
      <c r="P43" s="70">
        <f>Table1[[#This Row],[Gross Amount]]*(1-(Table1[[#This Row],[Discount %]]/100))</f>
        <v>2030956.48</v>
      </c>
      <c r="Q43" s="74">
        <f>(Table1[[#This Row],[Gross Amount]]*(1-(Table1[[#This Row],[Discount %]]/100)))/10000000</f>
        <v>0.20309564799999999</v>
      </c>
      <c r="R43" t="s">
        <v>54</v>
      </c>
      <c r="S43" t="str" cm="1">
        <f t="array" ref="S43">IFERROR(_xlfn.IFS(Table1[[#This Row],[Payment Status]]="Partial","In Transit",Table1[[#This Row],[Payment Status]]="Paid","Delivered",Table1[[#This Row],[Payment Status]]="Pending","Pending"),"Invalid Input")</f>
        <v>Delivered</v>
      </c>
      <c r="T43" t="s">
        <v>27</v>
      </c>
      <c r="U43" t="str" cm="1">
        <f t="array" ref="U43">IFERROR(_xlfn.IFS(Table1[[#This Row],[Payment Status]]="Partial","In Transit",Table1[[#This Row],[Payment Status]]="Paid","Completed",Table1[[#This Row],[Payment Status]]="Pending","Pending"),"Invalid Input")</f>
        <v>Completed</v>
      </c>
    </row>
    <row r="44" spans="1:21" x14ac:dyDescent="0.25">
      <c r="A44" s="4" t="s">
        <v>155</v>
      </c>
      <c r="B44" s="5">
        <v>45682</v>
      </c>
      <c r="C44" t="s">
        <v>41</v>
      </c>
      <c r="D44" t="s">
        <v>3269</v>
      </c>
      <c r="E44" t="s">
        <v>30</v>
      </c>
      <c r="F44" t="s">
        <v>3225</v>
      </c>
      <c r="G44" t="s">
        <v>31</v>
      </c>
      <c r="H44" t="str">
        <f>VLOOKUP(Table1[[#This Row],[City]],Table6[#All],2,FALSE)</f>
        <v>South</v>
      </c>
      <c r="I44" t="s">
        <v>53</v>
      </c>
      <c r="J44" t="str">
        <f>_xlfn.XLOOKUP(Table1[[#This Row],[Tractor Model]],Table7[Product Model],Table7[Product Category],"Not Available",0)</f>
        <v>Farmtrac</v>
      </c>
      <c r="K44" s="4">
        <v>3</v>
      </c>
      <c r="L44" s="72">
        <v>531168</v>
      </c>
      <c r="M44" s="4">
        <f>INDEX('Master Sheet'!$C$4:$C$12,MATCH(Table1[[#This Row],[Quantity]],'Master Sheet'!$B$4:$B$12,0))</f>
        <v>6</v>
      </c>
      <c r="N44" s="71">
        <f>Table1[[#This Row],[Quantity]]*Table1[[#This Row],[Unit Price]]</f>
        <v>1593504</v>
      </c>
      <c r="O44" s="73">
        <v>0.1593504</v>
      </c>
      <c r="P44" s="70">
        <f>Table1[[#This Row],[Gross Amount]]*(1-(Table1[[#This Row],[Discount %]]/100))</f>
        <v>1497893.76</v>
      </c>
      <c r="Q44" s="74">
        <f>(Table1[[#This Row],[Gross Amount]]*(1-(Table1[[#This Row],[Discount %]]/100)))/10000000</f>
        <v>0.149789376</v>
      </c>
      <c r="R44" t="s">
        <v>54</v>
      </c>
      <c r="S44" t="str" cm="1">
        <f t="array" ref="S44">IFERROR(_xlfn.IFS(Table1[[#This Row],[Payment Status]]="Partial","In Transit",Table1[[#This Row],[Payment Status]]="Paid","Delivered",Table1[[#This Row],[Payment Status]]="Pending","Pending"),"Invalid Input")</f>
        <v>Delivered</v>
      </c>
      <c r="T44" t="s">
        <v>44</v>
      </c>
      <c r="U44" t="str" cm="1">
        <f t="array" ref="U44">IFERROR(_xlfn.IFS(Table1[[#This Row],[Payment Status]]="Partial","In Transit",Table1[[#This Row],[Payment Status]]="Paid","Completed",Table1[[#This Row],[Payment Status]]="Pending","Pending"),"Invalid Input")</f>
        <v>Completed</v>
      </c>
    </row>
    <row r="45" spans="1:21" x14ac:dyDescent="0.25">
      <c r="A45" s="4" t="s">
        <v>157</v>
      </c>
      <c r="B45" s="5">
        <v>45402</v>
      </c>
      <c r="C45" t="s">
        <v>33</v>
      </c>
      <c r="D45" t="s">
        <v>3271</v>
      </c>
      <c r="E45" t="s">
        <v>66</v>
      </c>
      <c r="F45" t="s">
        <v>3207</v>
      </c>
      <c r="G45" t="s">
        <v>67</v>
      </c>
      <c r="H45" t="str">
        <f>VLOOKUP(Table1[[#This Row],[City]],Table6[#All],2,FALSE)</f>
        <v>East</v>
      </c>
      <c r="I45" t="s">
        <v>58</v>
      </c>
      <c r="J45" t="str">
        <f>_xlfn.XLOOKUP(Table1[[#This Row],[Tractor Model]],Table7[Product Model],Table7[Product Category],"Not Available",0)</f>
        <v>Powertrac</v>
      </c>
      <c r="K45" s="4">
        <v>5</v>
      </c>
      <c r="L45" s="72">
        <v>736976</v>
      </c>
      <c r="M45" s="4">
        <f>INDEX('Master Sheet'!$C$4:$C$12,MATCH(Table1[[#This Row],[Quantity]],'Master Sheet'!$B$4:$B$12,0))</f>
        <v>7</v>
      </c>
      <c r="N45" s="71">
        <f>Table1[[#This Row],[Quantity]]*Table1[[#This Row],[Unit Price]]</f>
        <v>3684880</v>
      </c>
      <c r="O45" s="73">
        <v>0.36848799999999998</v>
      </c>
      <c r="P45" s="70">
        <f>Table1[[#This Row],[Gross Amount]]*(1-(Table1[[#This Row],[Discount %]]/100))</f>
        <v>3426938.4</v>
      </c>
      <c r="Q45" s="74">
        <f>(Table1[[#This Row],[Gross Amount]]*(1-(Table1[[#This Row],[Discount %]]/100)))/10000000</f>
        <v>0.34269383999999997</v>
      </c>
      <c r="R45" t="s">
        <v>42</v>
      </c>
      <c r="S45" t="str" cm="1">
        <f t="array" ref="S45">IFERROR(_xlfn.IFS(Table1[[#This Row],[Payment Status]]="Partial","In Transit",Table1[[#This Row],[Payment Status]]="Paid","Delivered",Table1[[#This Row],[Payment Status]]="Pending","Pending"),"Invalid Input")</f>
        <v>Pending</v>
      </c>
      <c r="T45" t="s">
        <v>27</v>
      </c>
      <c r="U45" t="str" cm="1">
        <f t="array" ref="U45">IFERROR(_xlfn.IFS(Table1[[#This Row],[Payment Status]]="Partial","In Transit",Table1[[#This Row],[Payment Status]]="Paid","Completed",Table1[[#This Row],[Payment Status]]="Pending","Pending"),"Invalid Input")</f>
        <v>Pending</v>
      </c>
    </row>
    <row r="46" spans="1:21" x14ac:dyDescent="0.25">
      <c r="A46" s="4" t="s">
        <v>159</v>
      </c>
      <c r="B46" s="5">
        <v>45478</v>
      </c>
      <c r="C46" t="s">
        <v>33</v>
      </c>
      <c r="D46" t="s">
        <v>3268</v>
      </c>
      <c r="E46" t="s">
        <v>66</v>
      </c>
      <c r="F46" t="s">
        <v>3211</v>
      </c>
      <c r="G46" t="s">
        <v>67</v>
      </c>
      <c r="H46" t="str">
        <f>VLOOKUP(Table1[[#This Row],[City]],Table6[#All],2,FALSE)</f>
        <v>East</v>
      </c>
      <c r="I46" t="s">
        <v>3204</v>
      </c>
      <c r="J46" t="str">
        <f>_xlfn.XLOOKUP(Table1[[#This Row],[Tractor Model]],Table7[Product Model],Table7[Product Category],"Not Available",0)</f>
        <v>Kubota</v>
      </c>
      <c r="K46" s="4">
        <v>6</v>
      </c>
      <c r="L46" s="72">
        <v>295428</v>
      </c>
      <c r="M46" s="4">
        <f>INDEX('Master Sheet'!$C$4:$C$12,MATCH(Table1[[#This Row],[Quantity]],'Master Sheet'!$B$4:$B$12,0))</f>
        <v>8</v>
      </c>
      <c r="N46" s="71">
        <f>Table1[[#This Row],[Quantity]]*Table1[[#This Row],[Unit Price]]</f>
        <v>1772568</v>
      </c>
      <c r="O46" s="73">
        <v>0.17725679999999999</v>
      </c>
      <c r="P46" s="70">
        <f>Table1[[#This Row],[Gross Amount]]*(1-(Table1[[#This Row],[Discount %]]/100))</f>
        <v>1630762.56</v>
      </c>
      <c r="Q46" s="74">
        <f>(Table1[[#This Row],[Gross Amount]]*(1-(Table1[[#This Row],[Discount %]]/100)))/10000000</f>
        <v>0.163076256</v>
      </c>
      <c r="R46" t="s">
        <v>54</v>
      </c>
      <c r="S46" t="str" cm="1">
        <f t="array" ref="S46">IFERROR(_xlfn.IFS(Table1[[#This Row],[Payment Status]]="Partial","In Transit",Table1[[#This Row],[Payment Status]]="Paid","Delivered",Table1[[#This Row],[Payment Status]]="Pending","Pending"),"Invalid Input")</f>
        <v>Delivered</v>
      </c>
      <c r="T46" t="s">
        <v>44</v>
      </c>
      <c r="U46" t="str" cm="1">
        <f t="array" ref="U46">IFERROR(_xlfn.IFS(Table1[[#This Row],[Payment Status]]="Partial","In Transit",Table1[[#This Row],[Payment Status]]="Paid","Completed",Table1[[#This Row],[Payment Status]]="Pending","Pending"),"Invalid Input")</f>
        <v>Completed</v>
      </c>
    </row>
    <row r="47" spans="1:21" x14ac:dyDescent="0.25">
      <c r="A47" s="4" t="s">
        <v>161</v>
      </c>
      <c r="B47" s="5">
        <v>45742</v>
      </c>
      <c r="C47" t="s">
        <v>52</v>
      </c>
      <c r="D47" t="s">
        <v>3269</v>
      </c>
      <c r="E47" t="s">
        <v>66</v>
      </c>
      <c r="F47" t="s">
        <v>3213</v>
      </c>
      <c r="G47" t="s">
        <v>67</v>
      </c>
      <c r="H47" t="str">
        <f>VLOOKUP(Table1[[#This Row],[City]],Table6[#All],2,FALSE)</f>
        <v>East</v>
      </c>
      <c r="I47" t="s">
        <v>3203</v>
      </c>
      <c r="J47" t="str">
        <f>_xlfn.XLOOKUP(Table1[[#This Row],[Tractor Model]],Table7[Product Model],Table7[Product Category],"Not Available",0)</f>
        <v>Kubota</v>
      </c>
      <c r="K47" s="4">
        <v>2</v>
      </c>
      <c r="L47" s="72">
        <v>452165</v>
      </c>
      <c r="M47" s="4">
        <f>INDEX('Master Sheet'!$C$4:$C$12,MATCH(Table1[[#This Row],[Quantity]],'Master Sheet'!$B$4:$B$12,0))</f>
        <v>5</v>
      </c>
      <c r="N47" s="71">
        <f>Table1[[#This Row],[Quantity]]*Table1[[#This Row],[Unit Price]]</f>
        <v>904330</v>
      </c>
      <c r="O47" s="73">
        <v>9.0432999999999999E-2</v>
      </c>
      <c r="P47" s="70">
        <f>Table1[[#This Row],[Gross Amount]]*(1-(Table1[[#This Row],[Discount %]]/100))</f>
        <v>859113.5</v>
      </c>
      <c r="Q47" s="74">
        <f>(Table1[[#This Row],[Gross Amount]]*(1-(Table1[[#This Row],[Discount %]]/100)))/10000000</f>
        <v>8.5911349999999997E-2</v>
      </c>
      <c r="R47" t="s">
        <v>25</v>
      </c>
      <c r="S47" t="str" cm="1">
        <f t="array" ref="S47">IFERROR(_xlfn.IFS(Table1[[#This Row],[Payment Status]]="Partial","In Transit",Table1[[#This Row],[Payment Status]]="Paid","Delivered",Table1[[#This Row],[Payment Status]]="Pending","Pending"),"Invalid Input")</f>
        <v>In Transit</v>
      </c>
      <c r="T47" t="s">
        <v>44</v>
      </c>
      <c r="U47" t="str" cm="1">
        <f t="array" ref="U47">IFERROR(_xlfn.IFS(Table1[[#This Row],[Payment Status]]="Partial","In Transit",Table1[[#This Row],[Payment Status]]="Paid","Completed",Table1[[#This Row],[Payment Status]]="Pending","Pending"),"Invalid Input")</f>
        <v>In Transit</v>
      </c>
    </row>
    <row r="48" spans="1:21" x14ac:dyDescent="0.25">
      <c r="A48" s="4" t="s">
        <v>163</v>
      </c>
      <c r="B48" s="5">
        <v>45653</v>
      </c>
      <c r="C48" t="s">
        <v>62</v>
      </c>
      <c r="D48" t="s">
        <v>3268</v>
      </c>
      <c r="E48" t="s">
        <v>66</v>
      </c>
      <c r="F48" t="s">
        <v>3211</v>
      </c>
      <c r="G48" t="s">
        <v>67</v>
      </c>
      <c r="H48" t="str">
        <f>VLOOKUP(Table1[[#This Row],[City]],Table6[#All],2,FALSE)</f>
        <v>East</v>
      </c>
      <c r="I48" t="s">
        <v>3204</v>
      </c>
      <c r="J48" t="str">
        <f>_xlfn.XLOOKUP(Table1[[#This Row],[Tractor Model]],Table7[Product Model],Table7[Product Category],"Not Available",0)</f>
        <v>Kubota</v>
      </c>
      <c r="K48" s="4">
        <v>8</v>
      </c>
      <c r="L48" s="72">
        <v>363901</v>
      </c>
      <c r="M48" s="4">
        <f>INDEX('Master Sheet'!$C$4:$C$12,MATCH(Table1[[#This Row],[Quantity]],'Master Sheet'!$B$4:$B$12,0))</f>
        <v>9</v>
      </c>
      <c r="N48" s="71">
        <f>Table1[[#This Row],[Quantity]]*Table1[[#This Row],[Unit Price]]</f>
        <v>2911208</v>
      </c>
      <c r="O48" s="73">
        <v>0.29112080000000001</v>
      </c>
      <c r="P48" s="70">
        <f>Table1[[#This Row],[Gross Amount]]*(1-(Table1[[#This Row],[Discount %]]/100))</f>
        <v>2649199.2800000003</v>
      </c>
      <c r="Q48" s="74">
        <f>(Table1[[#This Row],[Gross Amount]]*(1-(Table1[[#This Row],[Discount %]]/100)))/10000000</f>
        <v>0.26491992800000003</v>
      </c>
      <c r="R48" t="s">
        <v>54</v>
      </c>
      <c r="S48" t="str" cm="1">
        <f t="array" ref="S48">IFERROR(_xlfn.IFS(Table1[[#This Row],[Payment Status]]="Partial","In Transit",Table1[[#This Row],[Payment Status]]="Paid","Delivered",Table1[[#This Row],[Payment Status]]="Pending","Pending"),"Invalid Input")</f>
        <v>Delivered</v>
      </c>
      <c r="T48" t="s">
        <v>27</v>
      </c>
      <c r="U48" t="str" cm="1">
        <f t="array" ref="U48">IFERROR(_xlfn.IFS(Table1[[#This Row],[Payment Status]]="Partial","In Transit",Table1[[#This Row],[Payment Status]]="Paid","Completed",Table1[[#This Row],[Payment Status]]="Pending","Pending"),"Invalid Input")</f>
        <v>Completed</v>
      </c>
    </row>
    <row r="49" spans="1:21" x14ac:dyDescent="0.25">
      <c r="A49" s="4" t="s">
        <v>165</v>
      </c>
      <c r="B49" s="5">
        <v>45581</v>
      </c>
      <c r="C49" t="s">
        <v>41</v>
      </c>
      <c r="D49" t="s">
        <v>37</v>
      </c>
      <c r="E49" t="s">
        <v>30</v>
      </c>
      <c r="F49" t="s">
        <v>3222</v>
      </c>
      <c r="G49" t="s">
        <v>31</v>
      </c>
      <c r="H49" t="str">
        <f>VLOOKUP(Table1[[#This Row],[City]],Table6[#All],2,FALSE)</f>
        <v>South</v>
      </c>
      <c r="I49" t="s">
        <v>3204</v>
      </c>
      <c r="J49" t="str">
        <f>_xlfn.XLOOKUP(Table1[[#This Row],[Tractor Model]],Table7[Product Model],Table7[Product Category],"Not Available",0)</f>
        <v>Kubota</v>
      </c>
      <c r="K49" s="4">
        <v>7</v>
      </c>
      <c r="L49" s="72">
        <v>359057</v>
      </c>
      <c r="M49" s="4">
        <f>INDEX('Master Sheet'!$C$4:$C$12,MATCH(Table1[[#This Row],[Quantity]],'Master Sheet'!$B$4:$B$12,0))</f>
        <v>9</v>
      </c>
      <c r="N49" s="71">
        <f>Table1[[#This Row],[Quantity]]*Table1[[#This Row],[Unit Price]]</f>
        <v>2513399</v>
      </c>
      <c r="O49" s="73">
        <v>0.2513399</v>
      </c>
      <c r="P49" s="70">
        <f>Table1[[#This Row],[Gross Amount]]*(1-(Table1[[#This Row],[Discount %]]/100))</f>
        <v>2287193.09</v>
      </c>
      <c r="Q49" s="74">
        <f>(Table1[[#This Row],[Gross Amount]]*(1-(Table1[[#This Row],[Discount %]]/100)))/10000000</f>
        <v>0.22871930899999998</v>
      </c>
      <c r="R49" t="s">
        <v>25</v>
      </c>
      <c r="S49" t="str" cm="1">
        <f t="array" ref="S49">IFERROR(_xlfn.IFS(Table1[[#This Row],[Payment Status]]="Partial","In Transit",Table1[[#This Row],[Payment Status]]="Paid","Delivered",Table1[[#This Row],[Payment Status]]="Pending","Pending"),"Invalid Input")</f>
        <v>In Transit</v>
      </c>
      <c r="T49" t="s">
        <v>27</v>
      </c>
      <c r="U49" t="str" cm="1">
        <f t="array" ref="U49">IFERROR(_xlfn.IFS(Table1[[#This Row],[Payment Status]]="Partial","In Transit",Table1[[#This Row],[Payment Status]]="Paid","Completed",Table1[[#This Row],[Payment Status]]="Pending","Pending"),"Invalid Input")</f>
        <v>In Transit</v>
      </c>
    </row>
    <row r="50" spans="1:21" x14ac:dyDescent="0.25">
      <c r="A50" s="4" t="s">
        <v>167</v>
      </c>
      <c r="B50" s="5">
        <v>45663</v>
      </c>
      <c r="C50" t="s">
        <v>62</v>
      </c>
      <c r="D50" t="s">
        <v>3271</v>
      </c>
      <c r="E50" t="s">
        <v>38</v>
      </c>
      <c r="F50" t="s">
        <v>3210</v>
      </c>
      <c r="G50" t="s">
        <v>39</v>
      </c>
      <c r="H50" t="str">
        <f>VLOOKUP(Table1[[#This Row],[City]],Table6[#All],2,FALSE)</f>
        <v>West</v>
      </c>
      <c r="I50" t="s">
        <v>24</v>
      </c>
      <c r="J50" t="str">
        <f>_xlfn.XLOOKUP(Table1[[#This Row],[Tractor Model]],Table7[Product Model],Table7[Product Category],"Not Available",0)</f>
        <v>Farmtrac</v>
      </c>
      <c r="K50" s="4">
        <v>6</v>
      </c>
      <c r="L50" s="72">
        <v>641314</v>
      </c>
      <c r="M50" s="4">
        <f>INDEX('Master Sheet'!$C$4:$C$12,MATCH(Table1[[#This Row],[Quantity]],'Master Sheet'!$B$4:$B$12,0))</f>
        <v>8</v>
      </c>
      <c r="N50" s="71">
        <f>Table1[[#This Row],[Quantity]]*Table1[[#This Row],[Unit Price]]</f>
        <v>3847884</v>
      </c>
      <c r="O50" s="73">
        <v>0.38478839999999997</v>
      </c>
      <c r="P50" s="70">
        <f>Table1[[#This Row],[Gross Amount]]*(1-(Table1[[#This Row],[Discount %]]/100))</f>
        <v>3540053.2800000003</v>
      </c>
      <c r="Q50" s="74">
        <f>(Table1[[#This Row],[Gross Amount]]*(1-(Table1[[#This Row],[Discount %]]/100)))/10000000</f>
        <v>0.35400532800000001</v>
      </c>
      <c r="R50" t="s">
        <v>42</v>
      </c>
      <c r="S50" t="str" cm="1">
        <f t="array" ref="S50">IFERROR(_xlfn.IFS(Table1[[#This Row],[Payment Status]]="Partial","In Transit",Table1[[#This Row],[Payment Status]]="Paid","Delivered",Table1[[#This Row],[Payment Status]]="Pending","Pending"),"Invalid Input")</f>
        <v>Pending</v>
      </c>
      <c r="T50" t="s">
        <v>44</v>
      </c>
      <c r="U50" t="str" cm="1">
        <f t="array" ref="U50">IFERROR(_xlfn.IFS(Table1[[#This Row],[Payment Status]]="Partial","In Transit",Table1[[#This Row],[Payment Status]]="Paid","Completed",Table1[[#This Row],[Payment Status]]="Pending","Pending"),"Invalid Input")</f>
        <v>Pending</v>
      </c>
    </row>
    <row r="51" spans="1:21" x14ac:dyDescent="0.25">
      <c r="A51" s="4" t="s">
        <v>169</v>
      </c>
      <c r="B51" s="5">
        <v>45778</v>
      </c>
      <c r="C51" t="s">
        <v>52</v>
      </c>
      <c r="D51" t="s">
        <v>3270</v>
      </c>
      <c r="E51" t="s">
        <v>38</v>
      </c>
      <c r="F51" t="s">
        <v>3218</v>
      </c>
      <c r="G51" t="s">
        <v>39</v>
      </c>
      <c r="H51" t="str">
        <f>VLOOKUP(Table1[[#This Row],[City]],Table6[#All],2,FALSE)</f>
        <v>West</v>
      </c>
      <c r="I51" t="s">
        <v>3203</v>
      </c>
      <c r="J51" t="str">
        <f>_xlfn.XLOOKUP(Table1[[#This Row],[Tractor Model]],Table7[Product Model],Table7[Product Category],"Not Available",0)</f>
        <v>Kubota</v>
      </c>
      <c r="K51" s="4">
        <v>2</v>
      </c>
      <c r="L51" s="72">
        <v>688255</v>
      </c>
      <c r="M51" s="4">
        <f>INDEX('Master Sheet'!$C$4:$C$12,MATCH(Table1[[#This Row],[Quantity]],'Master Sheet'!$B$4:$B$12,0))</f>
        <v>5</v>
      </c>
      <c r="N51" s="71">
        <f>Table1[[#This Row],[Quantity]]*Table1[[#This Row],[Unit Price]]</f>
        <v>1376510</v>
      </c>
      <c r="O51" s="73">
        <v>0.137651</v>
      </c>
      <c r="P51" s="70">
        <f>Table1[[#This Row],[Gross Amount]]*(1-(Table1[[#This Row],[Discount %]]/100))</f>
        <v>1307684.5</v>
      </c>
      <c r="Q51" s="74">
        <f>(Table1[[#This Row],[Gross Amount]]*(1-(Table1[[#This Row],[Discount %]]/100)))/10000000</f>
        <v>0.13076845000000001</v>
      </c>
      <c r="R51" t="s">
        <v>25</v>
      </c>
      <c r="S51" t="str" cm="1">
        <f t="array" ref="S51">IFERROR(_xlfn.IFS(Table1[[#This Row],[Payment Status]]="Partial","In Transit",Table1[[#This Row],[Payment Status]]="Paid","Delivered",Table1[[#This Row],[Payment Status]]="Pending","Pending"),"Invalid Input")</f>
        <v>In Transit</v>
      </c>
      <c r="T51" t="s">
        <v>44</v>
      </c>
      <c r="U51" t="str" cm="1">
        <f t="array" ref="U51">IFERROR(_xlfn.IFS(Table1[[#This Row],[Payment Status]]="Partial","In Transit",Table1[[#This Row],[Payment Status]]="Paid","Completed",Table1[[#This Row],[Payment Status]]="Pending","Pending"),"Invalid Input")</f>
        <v>In Transit</v>
      </c>
    </row>
    <row r="52" spans="1:21" x14ac:dyDescent="0.25">
      <c r="A52" s="4" t="s">
        <v>171</v>
      </c>
      <c r="B52" s="5">
        <v>45377</v>
      </c>
      <c r="C52" t="s">
        <v>52</v>
      </c>
      <c r="D52" t="s">
        <v>3269</v>
      </c>
      <c r="E52" t="s">
        <v>66</v>
      </c>
      <c r="F52" t="s">
        <v>3213</v>
      </c>
      <c r="G52" t="s">
        <v>67</v>
      </c>
      <c r="H52" t="str">
        <f>VLOOKUP(Table1[[#This Row],[City]],Table6[#All],2,FALSE)</f>
        <v>East</v>
      </c>
      <c r="I52" t="s">
        <v>58</v>
      </c>
      <c r="J52" t="str">
        <f>_xlfn.XLOOKUP(Table1[[#This Row],[Tractor Model]],Table7[Product Model],Table7[Product Category],"Not Available",0)</f>
        <v>Powertrac</v>
      </c>
      <c r="K52" s="4">
        <v>8</v>
      </c>
      <c r="L52" s="72">
        <v>642412</v>
      </c>
      <c r="M52" s="4">
        <f>INDEX('Master Sheet'!$C$4:$C$12,MATCH(Table1[[#This Row],[Quantity]],'Master Sheet'!$B$4:$B$12,0))</f>
        <v>9</v>
      </c>
      <c r="N52" s="71">
        <f>Table1[[#This Row],[Quantity]]*Table1[[#This Row],[Unit Price]]</f>
        <v>5139296</v>
      </c>
      <c r="O52" s="73">
        <v>0.51392959999999999</v>
      </c>
      <c r="P52" s="70">
        <f>Table1[[#This Row],[Gross Amount]]*(1-(Table1[[#This Row],[Discount %]]/100))</f>
        <v>4676759.3600000003</v>
      </c>
      <c r="Q52" s="74">
        <f>(Table1[[#This Row],[Gross Amount]]*(1-(Table1[[#This Row],[Discount %]]/100)))/10000000</f>
        <v>0.46767593600000001</v>
      </c>
      <c r="R52" t="s">
        <v>25</v>
      </c>
      <c r="S52" t="str" cm="1">
        <f t="array" ref="S52">IFERROR(_xlfn.IFS(Table1[[#This Row],[Payment Status]]="Partial","In Transit",Table1[[#This Row],[Payment Status]]="Paid","Delivered",Table1[[#This Row],[Payment Status]]="Pending","Pending"),"Invalid Input")</f>
        <v>In Transit</v>
      </c>
      <c r="T52" t="s">
        <v>27</v>
      </c>
      <c r="U52" t="str" cm="1">
        <f t="array" ref="U52">IFERROR(_xlfn.IFS(Table1[[#This Row],[Payment Status]]="Partial","In Transit",Table1[[#This Row],[Payment Status]]="Paid","Completed",Table1[[#This Row],[Payment Status]]="Pending","Pending"),"Invalid Input")</f>
        <v>In Transit</v>
      </c>
    </row>
    <row r="53" spans="1:21" x14ac:dyDescent="0.25">
      <c r="A53" s="4" t="s">
        <v>173</v>
      </c>
      <c r="B53" s="5">
        <v>45459</v>
      </c>
      <c r="C53" t="s">
        <v>73</v>
      </c>
      <c r="D53" t="s">
        <v>37</v>
      </c>
      <c r="E53" t="s">
        <v>38</v>
      </c>
      <c r="F53" t="s">
        <v>3214</v>
      </c>
      <c r="G53" t="s">
        <v>39</v>
      </c>
      <c r="H53" t="str">
        <f>VLOOKUP(Table1[[#This Row],[City]],Table6[#All],2,FALSE)</f>
        <v>West</v>
      </c>
      <c r="I53" t="s">
        <v>53</v>
      </c>
      <c r="J53" t="str">
        <f>_xlfn.XLOOKUP(Table1[[#This Row],[Tractor Model]],Table7[Product Model],Table7[Product Category],"Not Available",0)</f>
        <v>Farmtrac</v>
      </c>
      <c r="K53" s="4">
        <v>6</v>
      </c>
      <c r="L53" s="72">
        <v>231629</v>
      </c>
      <c r="M53" s="4">
        <f>INDEX('Master Sheet'!$C$4:$C$12,MATCH(Table1[[#This Row],[Quantity]],'Master Sheet'!$B$4:$B$12,0))</f>
        <v>8</v>
      </c>
      <c r="N53" s="71">
        <f>Table1[[#This Row],[Quantity]]*Table1[[#This Row],[Unit Price]]</f>
        <v>1389774</v>
      </c>
      <c r="O53" s="73">
        <v>0.1389774</v>
      </c>
      <c r="P53" s="70">
        <f>Table1[[#This Row],[Gross Amount]]*(1-(Table1[[#This Row],[Discount %]]/100))</f>
        <v>1278592.08</v>
      </c>
      <c r="Q53" s="74">
        <f>(Table1[[#This Row],[Gross Amount]]*(1-(Table1[[#This Row],[Discount %]]/100)))/10000000</f>
        <v>0.127859208</v>
      </c>
      <c r="R53" t="s">
        <v>54</v>
      </c>
      <c r="S53" t="str" cm="1">
        <f t="array" ref="S53">IFERROR(_xlfn.IFS(Table1[[#This Row],[Payment Status]]="Partial","In Transit",Table1[[#This Row],[Payment Status]]="Paid","Delivered",Table1[[#This Row],[Payment Status]]="Pending","Pending"),"Invalid Input")</f>
        <v>Delivered</v>
      </c>
      <c r="T53" t="s">
        <v>44</v>
      </c>
      <c r="U53" t="str" cm="1">
        <f t="array" ref="U53">IFERROR(_xlfn.IFS(Table1[[#This Row],[Payment Status]]="Partial","In Transit",Table1[[#This Row],[Payment Status]]="Paid","Completed",Table1[[#This Row],[Payment Status]]="Pending","Pending"),"Invalid Input")</f>
        <v>Completed</v>
      </c>
    </row>
    <row r="54" spans="1:21" x14ac:dyDescent="0.25">
      <c r="A54" s="4" t="s">
        <v>175</v>
      </c>
      <c r="B54" s="5">
        <v>45678</v>
      </c>
      <c r="C54" t="s">
        <v>33</v>
      </c>
      <c r="D54" t="s">
        <v>3270</v>
      </c>
      <c r="E54" t="s">
        <v>119</v>
      </c>
      <c r="F54" t="s">
        <v>3212</v>
      </c>
      <c r="G54" t="s">
        <v>21</v>
      </c>
      <c r="H54" t="str">
        <f>VLOOKUP(Table1[[#This Row],[City]],Table6[#All],2,FALSE)</f>
        <v>North</v>
      </c>
      <c r="I54" t="s">
        <v>58</v>
      </c>
      <c r="J54" t="str">
        <f>_xlfn.XLOOKUP(Table1[[#This Row],[Tractor Model]],Table7[Product Model],Table7[Product Category],"Not Available",0)</f>
        <v>Powertrac</v>
      </c>
      <c r="K54" s="4">
        <v>1</v>
      </c>
      <c r="L54" s="72">
        <v>523141</v>
      </c>
      <c r="M54" s="4">
        <f>INDEX('Master Sheet'!$C$4:$C$12,MATCH(Table1[[#This Row],[Quantity]],'Master Sheet'!$B$4:$B$12,0))</f>
        <v>3</v>
      </c>
      <c r="N54" s="71">
        <f>Table1[[#This Row],[Quantity]]*Table1[[#This Row],[Unit Price]]</f>
        <v>523141</v>
      </c>
      <c r="O54" s="73">
        <v>5.2314100000000002E-2</v>
      </c>
      <c r="P54" s="70">
        <f>Table1[[#This Row],[Gross Amount]]*(1-(Table1[[#This Row],[Discount %]]/100))</f>
        <v>507446.76999999996</v>
      </c>
      <c r="Q54" s="74">
        <f>(Table1[[#This Row],[Gross Amount]]*(1-(Table1[[#This Row],[Discount %]]/100)))/10000000</f>
        <v>5.0744676999999995E-2</v>
      </c>
      <c r="R54" t="s">
        <v>25</v>
      </c>
      <c r="S54" t="str" cm="1">
        <f t="array" ref="S54">IFERROR(_xlfn.IFS(Table1[[#This Row],[Payment Status]]="Partial","In Transit",Table1[[#This Row],[Payment Status]]="Paid","Delivered",Table1[[#This Row],[Payment Status]]="Pending","Pending"),"Invalid Input")</f>
        <v>In Transit</v>
      </c>
      <c r="T54" t="s">
        <v>27</v>
      </c>
      <c r="U54" t="str" cm="1">
        <f t="array" ref="U54">IFERROR(_xlfn.IFS(Table1[[#This Row],[Payment Status]]="Partial","In Transit",Table1[[#This Row],[Payment Status]]="Paid","Completed",Table1[[#This Row],[Payment Status]]="Pending","Pending"),"Invalid Input")</f>
        <v>In Transit</v>
      </c>
    </row>
    <row r="55" spans="1:21" x14ac:dyDescent="0.25">
      <c r="A55" s="4" t="s">
        <v>177</v>
      </c>
      <c r="B55" s="5">
        <v>45417</v>
      </c>
      <c r="C55" t="s">
        <v>33</v>
      </c>
      <c r="D55" t="s">
        <v>37</v>
      </c>
      <c r="E55" t="s">
        <v>47</v>
      </c>
      <c r="F55" t="s">
        <v>3215</v>
      </c>
      <c r="G55" t="s">
        <v>48</v>
      </c>
      <c r="H55" t="str">
        <f>VLOOKUP(Table1[[#This Row],[City]],Table6[#All],2,FALSE)</f>
        <v>North</v>
      </c>
      <c r="I55" t="s">
        <v>3204</v>
      </c>
      <c r="J55" t="str">
        <f>_xlfn.XLOOKUP(Table1[[#This Row],[Tractor Model]],Table7[Product Model],Table7[Product Category],"Not Available",0)</f>
        <v>Kubota</v>
      </c>
      <c r="K55" s="4">
        <v>5</v>
      </c>
      <c r="L55" s="72">
        <v>893025</v>
      </c>
      <c r="M55" s="4">
        <f>INDEX('Master Sheet'!$C$4:$C$12,MATCH(Table1[[#This Row],[Quantity]],'Master Sheet'!$B$4:$B$12,0))</f>
        <v>7</v>
      </c>
      <c r="N55" s="71">
        <f>Table1[[#This Row],[Quantity]]*Table1[[#This Row],[Unit Price]]</f>
        <v>4465125</v>
      </c>
      <c r="O55" s="73">
        <v>0.44651249999999998</v>
      </c>
      <c r="P55" s="70">
        <f>Table1[[#This Row],[Gross Amount]]*(1-(Table1[[#This Row],[Discount %]]/100))</f>
        <v>4152566.2499999995</v>
      </c>
      <c r="Q55" s="74">
        <f>(Table1[[#This Row],[Gross Amount]]*(1-(Table1[[#This Row],[Discount %]]/100)))/10000000</f>
        <v>0.41525662499999993</v>
      </c>
      <c r="R55" t="s">
        <v>42</v>
      </c>
      <c r="S55" t="str" cm="1">
        <f t="array" ref="S55">IFERROR(_xlfn.IFS(Table1[[#This Row],[Payment Status]]="Partial","In Transit",Table1[[#This Row],[Payment Status]]="Paid","Delivered",Table1[[#This Row],[Payment Status]]="Pending","Pending"),"Invalid Input")</f>
        <v>Pending</v>
      </c>
      <c r="T55" t="s">
        <v>44</v>
      </c>
      <c r="U55" t="str" cm="1">
        <f t="array" ref="U55">IFERROR(_xlfn.IFS(Table1[[#This Row],[Payment Status]]="Partial","In Transit",Table1[[#This Row],[Payment Status]]="Paid","Completed",Table1[[#This Row],[Payment Status]]="Pending","Pending"),"Invalid Input")</f>
        <v>Pending</v>
      </c>
    </row>
    <row r="56" spans="1:21" x14ac:dyDescent="0.25">
      <c r="A56" s="4" t="s">
        <v>179</v>
      </c>
      <c r="B56" s="5">
        <v>45475</v>
      </c>
      <c r="C56" t="s">
        <v>62</v>
      </c>
      <c r="D56" t="s">
        <v>3270</v>
      </c>
      <c r="E56" t="s">
        <v>66</v>
      </c>
      <c r="F56" t="s">
        <v>3220</v>
      </c>
      <c r="G56" t="s">
        <v>67</v>
      </c>
      <c r="H56" t="str">
        <f>VLOOKUP(Table1[[#This Row],[City]],Table6[#All],2,FALSE)</f>
        <v>East</v>
      </c>
      <c r="I56" t="s">
        <v>24</v>
      </c>
      <c r="J56" t="str">
        <f>_xlfn.XLOOKUP(Table1[[#This Row],[Tractor Model]],Table7[Product Model],Table7[Product Category],"Not Available",0)</f>
        <v>Farmtrac</v>
      </c>
      <c r="K56" s="4">
        <v>1</v>
      </c>
      <c r="L56" s="72">
        <v>651934</v>
      </c>
      <c r="M56" s="4">
        <f>INDEX('Master Sheet'!$C$4:$C$12,MATCH(Table1[[#This Row],[Quantity]],'Master Sheet'!$B$4:$B$12,0))</f>
        <v>3</v>
      </c>
      <c r="N56" s="71">
        <f>Table1[[#This Row],[Quantity]]*Table1[[#This Row],[Unit Price]]</f>
        <v>651934</v>
      </c>
      <c r="O56" s="73">
        <v>6.5193399999999999E-2</v>
      </c>
      <c r="P56" s="70">
        <f>Table1[[#This Row],[Gross Amount]]*(1-(Table1[[#This Row],[Discount %]]/100))</f>
        <v>632375.98</v>
      </c>
      <c r="Q56" s="74">
        <f>(Table1[[#This Row],[Gross Amount]]*(1-(Table1[[#This Row],[Discount %]]/100)))/10000000</f>
        <v>6.3237597999999992E-2</v>
      </c>
      <c r="R56" t="s">
        <v>42</v>
      </c>
      <c r="S56" t="str" cm="1">
        <f t="array" ref="S56">IFERROR(_xlfn.IFS(Table1[[#This Row],[Payment Status]]="Partial","In Transit",Table1[[#This Row],[Payment Status]]="Paid","Delivered",Table1[[#This Row],[Payment Status]]="Pending","Pending"),"Invalid Input")</f>
        <v>Pending</v>
      </c>
      <c r="T56" t="s">
        <v>27</v>
      </c>
      <c r="U56" t="str" cm="1">
        <f t="array" ref="U56">IFERROR(_xlfn.IFS(Table1[[#This Row],[Payment Status]]="Partial","In Transit",Table1[[#This Row],[Payment Status]]="Paid","Completed",Table1[[#This Row],[Payment Status]]="Pending","Pending"),"Invalid Input")</f>
        <v>Pending</v>
      </c>
    </row>
    <row r="57" spans="1:21" x14ac:dyDescent="0.25">
      <c r="A57" s="4" t="s">
        <v>181</v>
      </c>
      <c r="B57" s="5">
        <v>45514</v>
      </c>
      <c r="C57" t="s">
        <v>33</v>
      </c>
      <c r="D57" t="s">
        <v>3271</v>
      </c>
      <c r="E57" t="s">
        <v>30</v>
      </c>
      <c r="F57" t="s">
        <v>3217</v>
      </c>
      <c r="G57" t="s">
        <v>31</v>
      </c>
      <c r="H57" t="str">
        <f>VLOOKUP(Table1[[#This Row],[City]],Table6[#All],2,FALSE)</f>
        <v>South</v>
      </c>
      <c r="I57" t="s">
        <v>3204</v>
      </c>
      <c r="J57" t="str">
        <f>_xlfn.XLOOKUP(Table1[[#This Row],[Tractor Model]],Table7[Product Model],Table7[Product Category],"Not Available",0)</f>
        <v>Kubota</v>
      </c>
      <c r="K57" s="4">
        <v>8</v>
      </c>
      <c r="L57" s="72">
        <v>293630</v>
      </c>
      <c r="M57" s="4">
        <f>INDEX('Master Sheet'!$C$4:$C$12,MATCH(Table1[[#This Row],[Quantity]],'Master Sheet'!$B$4:$B$12,0))</f>
        <v>9</v>
      </c>
      <c r="N57" s="71">
        <f>Table1[[#This Row],[Quantity]]*Table1[[#This Row],[Unit Price]]</f>
        <v>2349040</v>
      </c>
      <c r="O57" s="73">
        <v>0.234904</v>
      </c>
      <c r="P57" s="70">
        <f>Table1[[#This Row],[Gross Amount]]*(1-(Table1[[#This Row],[Discount %]]/100))</f>
        <v>2137626.4</v>
      </c>
      <c r="Q57" s="74">
        <f>(Table1[[#This Row],[Gross Amount]]*(1-(Table1[[#This Row],[Discount %]]/100)))/10000000</f>
        <v>0.21376264</v>
      </c>
      <c r="R57" t="s">
        <v>42</v>
      </c>
      <c r="S57" t="str" cm="1">
        <f t="array" ref="S57">IFERROR(_xlfn.IFS(Table1[[#This Row],[Payment Status]]="Partial","In Transit",Table1[[#This Row],[Payment Status]]="Paid","Delivered",Table1[[#This Row],[Payment Status]]="Pending","Pending"),"Invalid Input")</f>
        <v>Pending</v>
      </c>
      <c r="T57" t="s">
        <v>27</v>
      </c>
      <c r="U57" t="str" cm="1">
        <f t="array" ref="U57">IFERROR(_xlfn.IFS(Table1[[#This Row],[Payment Status]]="Partial","In Transit",Table1[[#This Row],[Payment Status]]="Paid","Completed",Table1[[#This Row],[Payment Status]]="Pending","Pending"),"Invalid Input")</f>
        <v>Pending</v>
      </c>
    </row>
    <row r="58" spans="1:21" x14ac:dyDescent="0.25">
      <c r="A58" s="4" t="s">
        <v>183</v>
      </c>
      <c r="B58" s="5">
        <v>45757</v>
      </c>
      <c r="C58" t="s">
        <v>52</v>
      </c>
      <c r="D58" t="s">
        <v>37</v>
      </c>
      <c r="E58" t="s">
        <v>30</v>
      </c>
      <c r="F58" t="s">
        <v>3222</v>
      </c>
      <c r="G58" t="s">
        <v>31</v>
      </c>
      <c r="H58" t="str">
        <f>VLOOKUP(Table1[[#This Row],[City]],Table6[#All],2,FALSE)</f>
        <v>South</v>
      </c>
      <c r="I58" t="s">
        <v>53</v>
      </c>
      <c r="J58" t="str">
        <f>_xlfn.XLOOKUP(Table1[[#This Row],[Tractor Model]],Table7[Product Model],Table7[Product Category],"Not Available",0)</f>
        <v>Farmtrac</v>
      </c>
      <c r="K58" s="4">
        <v>1</v>
      </c>
      <c r="L58" s="72">
        <v>288354</v>
      </c>
      <c r="M58" s="4">
        <f>INDEX('Master Sheet'!$C$4:$C$12,MATCH(Table1[[#This Row],[Quantity]],'Master Sheet'!$B$4:$B$12,0))</f>
        <v>3</v>
      </c>
      <c r="N58" s="71">
        <f>Table1[[#This Row],[Quantity]]*Table1[[#This Row],[Unit Price]]</f>
        <v>288354</v>
      </c>
      <c r="O58" s="73">
        <v>2.8835400000000001E-2</v>
      </c>
      <c r="P58" s="70">
        <f>Table1[[#This Row],[Gross Amount]]*(1-(Table1[[#This Row],[Discount %]]/100))</f>
        <v>279703.38</v>
      </c>
      <c r="Q58" s="74">
        <f>(Table1[[#This Row],[Gross Amount]]*(1-(Table1[[#This Row],[Discount %]]/100)))/10000000</f>
        <v>2.7970338000000001E-2</v>
      </c>
      <c r="R58" t="s">
        <v>54</v>
      </c>
      <c r="S58" t="str" cm="1">
        <f t="array" ref="S58">IFERROR(_xlfn.IFS(Table1[[#This Row],[Payment Status]]="Partial","In Transit",Table1[[#This Row],[Payment Status]]="Paid","Delivered",Table1[[#This Row],[Payment Status]]="Pending","Pending"),"Invalid Input")</f>
        <v>Delivered</v>
      </c>
      <c r="T58" t="s">
        <v>27</v>
      </c>
      <c r="U58" t="str" cm="1">
        <f t="array" ref="U58">IFERROR(_xlfn.IFS(Table1[[#This Row],[Payment Status]]="Partial","In Transit",Table1[[#This Row],[Payment Status]]="Paid","Completed",Table1[[#This Row],[Payment Status]]="Pending","Pending"),"Invalid Input")</f>
        <v>Completed</v>
      </c>
    </row>
    <row r="59" spans="1:21" x14ac:dyDescent="0.25">
      <c r="A59" s="4" t="s">
        <v>185</v>
      </c>
      <c r="B59" s="5">
        <v>45802</v>
      </c>
      <c r="C59" t="s">
        <v>62</v>
      </c>
      <c r="D59" t="s">
        <v>3270</v>
      </c>
      <c r="E59" t="s">
        <v>66</v>
      </c>
      <c r="F59" t="s">
        <v>3220</v>
      </c>
      <c r="G59" t="s">
        <v>67</v>
      </c>
      <c r="H59" t="str">
        <f>VLOOKUP(Table1[[#This Row],[City]],Table6[#All],2,FALSE)</f>
        <v>East</v>
      </c>
      <c r="I59" t="s">
        <v>58</v>
      </c>
      <c r="J59" t="str">
        <f>_xlfn.XLOOKUP(Table1[[#This Row],[Tractor Model]],Table7[Product Model],Table7[Product Category],"Not Available",0)</f>
        <v>Powertrac</v>
      </c>
      <c r="K59" s="4">
        <v>7</v>
      </c>
      <c r="L59" s="72">
        <v>407194</v>
      </c>
      <c r="M59" s="4">
        <f>INDEX('Master Sheet'!$C$4:$C$12,MATCH(Table1[[#This Row],[Quantity]],'Master Sheet'!$B$4:$B$12,0))</f>
        <v>9</v>
      </c>
      <c r="N59" s="71">
        <f>Table1[[#This Row],[Quantity]]*Table1[[#This Row],[Unit Price]]</f>
        <v>2850358</v>
      </c>
      <c r="O59" s="73">
        <v>0.28503580000000001</v>
      </c>
      <c r="P59" s="70">
        <f>Table1[[#This Row],[Gross Amount]]*(1-(Table1[[#This Row],[Discount %]]/100))</f>
        <v>2593825.7800000003</v>
      </c>
      <c r="Q59" s="74">
        <f>(Table1[[#This Row],[Gross Amount]]*(1-(Table1[[#This Row],[Discount %]]/100)))/10000000</f>
        <v>0.25938257800000003</v>
      </c>
      <c r="R59" t="s">
        <v>42</v>
      </c>
      <c r="S59" t="str" cm="1">
        <f t="array" ref="S59">IFERROR(_xlfn.IFS(Table1[[#This Row],[Payment Status]]="Partial","In Transit",Table1[[#This Row],[Payment Status]]="Paid","Delivered",Table1[[#This Row],[Payment Status]]="Pending","Pending"),"Invalid Input")</f>
        <v>Pending</v>
      </c>
      <c r="T59" t="s">
        <v>27</v>
      </c>
      <c r="U59" t="str" cm="1">
        <f t="array" ref="U59">IFERROR(_xlfn.IFS(Table1[[#This Row],[Payment Status]]="Partial","In Transit",Table1[[#This Row],[Payment Status]]="Paid","Completed",Table1[[#This Row],[Payment Status]]="Pending","Pending"),"Invalid Input")</f>
        <v>Pending</v>
      </c>
    </row>
    <row r="60" spans="1:21" x14ac:dyDescent="0.25">
      <c r="A60" s="4" t="s">
        <v>187</v>
      </c>
      <c r="B60" s="5">
        <v>45525</v>
      </c>
      <c r="C60" t="s">
        <v>33</v>
      </c>
      <c r="D60" t="s">
        <v>3268</v>
      </c>
      <c r="E60" t="s">
        <v>119</v>
      </c>
      <c r="F60" t="s">
        <v>3227</v>
      </c>
      <c r="G60" t="s">
        <v>21</v>
      </c>
      <c r="H60" t="str">
        <f>VLOOKUP(Table1[[#This Row],[City]],Table6[#All],2,FALSE)</f>
        <v>North</v>
      </c>
      <c r="I60" t="s">
        <v>58</v>
      </c>
      <c r="J60" t="str">
        <f>_xlfn.XLOOKUP(Table1[[#This Row],[Tractor Model]],Table7[Product Model],Table7[Product Category],"Not Available",0)</f>
        <v>Powertrac</v>
      </c>
      <c r="K60" s="4">
        <v>5</v>
      </c>
      <c r="L60" s="72">
        <v>501803</v>
      </c>
      <c r="M60" s="4">
        <f>INDEX('Master Sheet'!$C$4:$C$12,MATCH(Table1[[#This Row],[Quantity]],'Master Sheet'!$B$4:$B$12,0))</f>
        <v>7</v>
      </c>
      <c r="N60" s="71">
        <f>Table1[[#This Row],[Quantity]]*Table1[[#This Row],[Unit Price]]</f>
        <v>2509015</v>
      </c>
      <c r="O60" s="73">
        <v>0.2509015</v>
      </c>
      <c r="P60" s="70">
        <f>Table1[[#This Row],[Gross Amount]]*(1-(Table1[[#This Row],[Discount %]]/100))</f>
        <v>2333383.9499999997</v>
      </c>
      <c r="Q60" s="74">
        <f>(Table1[[#This Row],[Gross Amount]]*(1-(Table1[[#This Row],[Discount %]]/100)))/10000000</f>
        <v>0.23333839499999998</v>
      </c>
      <c r="R60" t="s">
        <v>54</v>
      </c>
      <c r="S60" t="str" cm="1">
        <f t="array" ref="S60">IFERROR(_xlfn.IFS(Table1[[#This Row],[Payment Status]]="Partial","In Transit",Table1[[#This Row],[Payment Status]]="Paid","Delivered",Table1[[#This Row],[Payment Status]]="Pending","Pending"),"Invalid Input")</f>
        <v>Delivered</v>
      </c>
      <c r="T60" t="s">
        <v>27</v>
      </c>
      <c r="U60" t="str" cm="1">
        <f t="array" ref="U60">IFERROR(_xlfn.IFS(Table1[[#This Row],[Payment Status]]="Partial","In Transit",Table1[[#This Row],[Payment Status]]="Paid","Completed",Table1[[#This Row],[Payment Status]]="Pending","Pending"),"Invalid Input")</f>
        <v>Completed</v>
      </c>
    </row>
    <row r="61" spans="1:21" x14ac:dyDescent="0.25">
      <c r="A61" s="4" t="s">
        <v>190</v>
      </c>
      <c r="B61" s="5">
        <v>45641</v>
      </c>
      <c r="C61" t="s">
        <v>73</v>
      </c>
      <c r="D61" t="s">
        <v>3270</v>
      </c>
      <c r="E61" t="s">
        <v>47</v>
      </c>
      <c r="F61" t="s">
        <v>3205</v>
      </c>
      <c r="G61" t="s">
        <v>48</v>
      </c>
      <c r="H61" t="str">
        <f>VLOOKUP(Table1[[#This Row],[City]],Table6[#All],2,FALSE)</f>
        <v>North</v>
      </c>
      <c r="I61" t="s">
        <v>24</v>
      </c>
      <c r="J61" t="str">
        <f>_xlfn.XLOOKUP(Table1[[#This Row],[Tractor Model]],Table7[Product Model],Table7[Product Category],"Not Available",0)</f>
        <v>Farmtrac</v>
      </c>
      <c r="K61" s="4">
        <v>0</v>
      </c>
      <c r="L61" s="72">
        <v>652887</v>
      </c>
      <c r="M61" s="4">
        <f>INDEX('Master Sheet'!$C$4:$C$12,MATCH(Table1[[#This Row],[Quantity]],'Master Sheet'!$B$4:$B$12,0))</f>
        <v>0</v>
      </c>
      <c r="N61" s="71">
        <f>Table1[[#This Row],[Quantity]]*Table1[[#This Row],[Unit Price]]</f>
        <v>0</v>
      </c>
      <c r="O61" s="73">
        <v>0</v>
      </c>
      <c r="P61" s="70">
        <f>Table1[[#This Row],[Gross Amount]]*(1-(Table1[[#This Row],[Discount %]]/100))</f>
        <v>0</v>
      </c>
      <c r="Q61" s="74">
        <f>(Table1[[#This Row],[Gross Amount]]*(1-(Table1[[#This Row],[Discount %]]/100)))/10000000</f>
        <v>0</v>
      </c>
      <c r="R61" t="s">
        <v>25</v>
      </c>
      <c r="S61" t="str" cm="1">
        <f t="array" ref="S61">IFERROR(_xlfn.IFS(Table1[[#This Row],[Payment Status]]="Partial","In Transit",Table1[[#This Row],[Payment Status]]="Paid","Delivered",Table1[[#This Row],[Payment Status]]="Pending","Pending"),"Invalid Input")</f>
        <v>In Transit</v>
      </c>
      <c r="T61" t="s">
        <v>44</v>
      </c>
      <c r="U61" t="str" cm="1">
        <f t="array" ref="U61">IFERROR(_xlfn.IFS(Table1[[#This Row],[Payment Status]]="Partial","In Transit",Table1[[#This Row],[Payment Status]]="Paid","Completed",Table1[[#This Row],[Payment Status]]="Pending","Pending"),"Invalid Input")</f>
        <v>In Transit</v>
      </c>
    </row>
    <row r="62" spans="1:21" x14ac:dyDescent="0.25">
      <c r="A62" s="4" t="s">
        <v>192</v>
      </c>
      <c r="B62" s="5">
        <v>45494</v>
      </c>
      <c r="C62" t="s">
        <v>62</v>
      </c>
      <c r="D62" t="s">
        <v>3268</v>
      </c>
      <c r="E62" t="s">
        <v>38</v>
      </c>
      <c r="F62" t="s">
        <v>3219</v>
      </c>
      <c r="G62" t="s">
        <v>39</v>
      </c>
      <c r="H62" t="str">
        <f>VLOOKUP(Table1[[#This Row],[City]],Table6[#All],2,FALSE)</f>
        <v>West</v>
      </c>
      <c r="I62" t="s">
        <v>3204</v>
      </c>
      <c r="J62" t="str">
        <f>_xlfn.XLOOKUP(Table1[[#This Row],[Tractor Model]],Table7[Product Model],Table7[Product Category],"Not Available",0)</f>
        <v>Kubota</v>
      </c>
      <c r="K62" s="4">
        <v>0</v>
      </c>
      <c r="L62" s="72">
        <v>526133</v>
      </c>
      <c r="M62" s="4">
        <f>INDEX('Master Sheet'!$C$4:$C$12,MATCH(Table1[[#This Row],[Quantity]],'Master Sheet'!$B$4:$B$12,0))</f>
        <v>0</v>
      </c>
      <c r="N62" s="71">
        <f>Table1[[#This Row],[Quantity]]*Table1[[#This Row],[Unit Price]]</f>
        <v>0</v>
      </c>
      <c r="O62" s="73">
        <v>0</v>
      </c>
      <c r="P62" s="70">
        <f>Table1[[#This Row],[Gross Amount]]*(1-(Table1[[#This Row],[Discount %]]/100))</f>
        <v>0</v>
      </c>
      <c r="Q62" s="74">
        <f>(Table1[[#This Row],[Gross Amount]]*(1-(Table1[[#This Row],[Discount %]]/100)))/10000000</f>
        <v>0</v>
      </c>
      <c r="R62" t="s">
        <v>42</v>
      </c>
      <c r="S62" t="str" cm="1">
        <f t="array" ref="S62">IFERROR(_xlfn.IFS(Table1[[#This Row],[Payment Status]]="Partial","In Transit",Table1[[#This Row],[Payment Status]]="Paid","Delivered",Table1[[#This Row],[Payment Status]]="Pending","Pending"),"Invalid Input")</f>
        <v>Pending</v>
      </c>
      <c r="T62" t="s">
        <v>27</v>
      </c>
      <c r="U62" t="str" cm="1">
        <f t="array" ref="U62">IFERROR(_xlfn.IFS(Table1[[#This Row],[Payment Status]]="Partial","In Transit",Table1[[#This Row],[Payment Status]]="Paid","Completed",Table1[[#This Row],[Payment Status]]="Pending","Pending"),"Invalid Input")</f>
        <v>Pending</v>
      </c>
    </row>
    <row r="63" spans="1:21" x14ac:dyDescent="0.25">
      <c r="A63" s="4" t="s">
        <v>194</v>
      </c>
      <c r="B63" s="5">
        <v>45661</v>
      </c>
      <c r="C63" t="s">
        <v>62</v>
      </c>
      <c r="D63" t="s">
        <v>37</v>
      </c>
      <c r="E63" t="s">
        <v>47</v>
      </c>
      <c r="F63" t="s">
        <v>3215</v>
      </c>
      <c r="G63" t="s">
        <v>48</v>
      </c>
      <c r="H63" t="str">
        <f>VLOOKUP(Table1[[#This Row],[City]],Table6[#All],2,FALSE)</f>
        <v>North</v>
      </c>
      <c r="I63" t="s">
        <v>58</v>
      </c>
      <c r="J63" t="str">
        <f>_xlfn.XLOOKUP(Table1[[#This Row],[Tractor Model]],Table7[Product Model],Table7[Product Category],"Not Available",0)</f>
        <v>Powertrac</v>
      </c>
      <c r="K63" s="4">
        <v>5</v>
      </c>
      <c r="L63" s="72">
        <v>711154</v>
      </c>
      <c r="M63" s="4">
        <f>INDEX('Master Sheet'!$C$4:$C$12,MATCH(Table1[[#This Row],[Quantity]],'Master Sheet'!$B$4:$B$12,0))</f>
        <v>7</v>
      </c>
      <c r="N63" s="71">
        <f>Table1[[#This Row],[Quantity]]*Table1[[#This Row],[Unit Price]]</f>
        <v>3555770</v>
      </c>
      <c r="O63" s="73">
        <v>0.35557699999999998</v>
      </c>
      <c r="P63" s="70">
        <f>Table1[[#This Row],[Gross Amount]]*(1-(Table1[[#This Row],[Discount %]]/100))</f>
        <v>3306866.0999999996</v>
      </c>
      <c r="Q63" s="74">
        <f>(Table1[[#This Row],[Gross Amount]]*(1-(Table1[[#This Row],[Discount %]]/100)))/10000000</f>
        <v>0.33068660999999994</v>
      </c>
      <c r="R63" t="s">
        <v>54</v>
      </c>
      <c r="S63" t="str" cm="1">
        <f t="array" ref="S63">IFERROR(_xlfn.IFS(Table1[[#This Row],[Payment Status]]="Partial","In Transit",Table1[[#This Row],[Payment Status]]="Paid","Delivered",Table1[[#This Row],[Payment Status]]="Pending","Pending"),"Invalid Input")</f>
        <v>Delivered</v>
      </c>
      <c r="T63" t="s">
        <v>44</v>
      </c>
      <c r="U63" t="str" cm="1">
        <f t="array" ref="U63">IFERROR(_xlfn.IFS(Table1[[#This Row],[Payment Status]]="Partial","In Transit",Table1[[#This Row],[Payment Status]]="Paid","Completed",Table1[[#This Row],[Payment Status]]="Pending","Pending"),"Invalid Input")</f>
        <v>Completed</v>
      </c>
    </row>
    <row r="64" spans="1:21" x14ac:dyDescent="0.25">
      <c r="A64" s="4" t="s">
        <v>196</v>
      </c>
      <c r="B64" s="5">
        <v>45602</v>
      </c>
      <c r="C64" t="s">
        <v>33</v>
      </c>
      <c r="D64" t="s">
        <v>3268</v>
      </c>
      <c r="E64" t="s">
        <v>47</v>
      </c>
      <c r="F64" t="s">
        <v>3216</v>
      </c>
      <c r="G64" t="s">
        <v>48</v>
      </c>
      <c r="H64" t="str">
        <f>VLOOKUP(Table1[[#This Row],[City]],Table6[#All],2,FALSE)</f>
        <v>North</v>
      </c>
      <c r="I64" t="s">
        <v>53</v>
      </c>
      <c r="J64" t="str">
        <f>_xlfn.XLOOKUP(Table1[[#This Row],[Tractor Model]],Table7[Product Model],Table7[Product Category],"Not Available",0)</f>
        <v>Farmtrac</v>
      </c>
      <c r="K64" s="4">
        <v>4</v>
      </c>
      <c r="L64" s="72">
        <v>105885</v>
      </c>
      <c r="M64" s="4">
        <f>INDEX('Master Sheet'!$C$4:$C$12,MATCH(Table1[[#This Row],[Quantity]],'Master Sheet'!$B$4:$B$12,0))</f>
        <v>6</v>
      </c>
      <c r="N64" s="71">
        <f>Table1[[#This Row],[Quantity]]*Table1[[#This Row],[Unit Price]]</f>
        <v>423540</v>
      </c>
      <c r="O64" s="73">
        <v>4.2354000000000003E-2</v>
      </c>
      <c r="P64" s="70">
        <f>Table1[[#This Row],[Gross Amount]]*(1-(Table1[[#This Row],[Discount %]]/100))</f>
        <v>398127.6</v>
      </c>
      <c r="Q64" s="74">
        <f>(Table1[[#This Row],[Gross Amount]]*(1-(Table1[[#This Row],[Discount %]]/100)))/10000000</f>
        <v>3.9812759999999996E-2</v>
      </c>
      <c r="R64" t="s">
        <v>42</v>
      </c>
      <c r="S64" t="str" cm="1">
        <f t="array" ref="S64">IFERROR(_xlfn.IFS(Table1[[#This Row],[Payment Status]]="Partial","In Transit",Table1[[#This Row],[Payment Status]]="Paid","Delivered",Table1[[#This Row],[Payment Status]]="Pending","Pending"),"Invalid Input")</f>
        <v>Pending</v>
      </c>
      <c r="T64" t="s">
        <v>27</v>
      </c>
      <c r="U64" t="str" cm="1">
        <f t="array" ref="U64">IFERROR(_xlfn.IFS(Table1[[#This Row],[Payment Status]]="Partial","In Transit",Table1[[#This Row],[Payment Status]]="Paid","Completed",Table1[[#This Row],[Payment Status]]="Pending","Pending"),"Invalid Input")</f>
        <v>Pending</v>
      </c>
    </row>
    <row r="65" spans="1:21" x14ac:dyDescent="0.25">
      <c r="A65" s="4" t="s">
        <v>199</v>
      </c>
      <c r="B65" s="5">
        <v>45582</v>
      </c>
      <c r="C65" t="s">
        <v>62</v>
      </c>
      <c r="D65" t="s">
        <v>3270</v>
      </c>
      <c r="E65" t="s">
        <v>66</v>
      </c>
      <c r="F65" t="s">
        <v>3220</v>
      </c>
      <c r="G65" t="s">
        <v>67</v>
      </c>
      <c r="H65" t="str">
        <f>VLOOKUP(Table1[[#This Row],[City]],Table6[#All],2,FALSE)</f>
        <v>East</v>
      </c>
      <c r="I65" t="s">
        <v>24</v>
      </c>
      <c r="J65" t="str">
        <f>_xlfn.XLOOKUP(Table1[[#This Row],[Tractor Model]],Table7[Product Model],Table7[Product Category],"Not Available",0)</f>
        <v>Farmtrac</v>
      </c>
      <c r="K65" s="4">
        <v>1</v>
      </c>
      <c r="L65" s="72">
        <v>618459</v>
      </c>
      <c r="M65" s="4">
        <f>INDEX('Master Sheet'!$C$4:$C$12,MATCH(Table1[[#This Row],[Quantity]],'Master Sheet'!$B$4:$B$12,0))</f>
        <v>3</v>
      </c>
      <c r="N65" s="71">
        <f>Table1[[#This Row],[Quantity]]*Table1[[#This Row],[Unit Price]]</f>
        <v>618459</v>
      </c>
      <c r="O65" s="73">
        <v>6.1845900000000002E-2</v>
      </c>
      <c r="P65" s="70">
        <f>Table1[[#This Row],[Gross Amount]]*(1-(Table1[[#This Row],[Discount %]]/100))</f>
        <v>599905.23</v>
      </c>
      <c r="Q65" s="74">
        <f>(Table1[[#This Row],[Gross Amount]]*(1-(Table1[[#This Row],[Discount %]]/100)))/10000000</f>
        <v>5.9990522999999997E-2</v>
      </c>
      <c r="R65" t="s">
        <v>42</v>
      </c>
      <c r="S65" t="str" cm="1">
        <f t="array" ref="S65">IFERROR(_xlfn.IFS(Table1[[#This Row],[Payment Status]]="Partial","In Transit",Table1[[#This Row],[Payment Status]]="Paid","Delivered",Table1[[#This Row],[Payment Status]]="Pending","Pending"),"Invalid Input")</f>
        <v>Pending</v>
      </c>
      <c r="T65" t="s">
        <v>44</v>
      </c>
      <c r="U65" t="str" cm="1">
        <f t="array" ref="U65">IFERROR(_xlfn.IFS(Table1[[#This Row],[Payment Status]]="Partial","In Transit",Table1[[#This Row],[Payment Status]]="Paid","Completed",Table1[[#This Row],[Payment Status]]="Pending","Pending"),"Invalid Input")</f>
        <v>Pending</v>
      </c>
    </row>
    <row r="66" spans="1:21" x14ac:dyDescent="0.25">
      <c r="A66" s="4" t="s">
        <v>202</v>
      </c>
      <c r="B66" s="5">
        <v>45583</v>
      </c>
      <c r="C66" t="s">
        <v>33</v>
      </c>
      <c r="D66" t="s">
        <v>3270</v>
      </c>
      <c r="E66" t="s">
        <v>66</v>
      </c>
      <c r="F66" t="s">
        <v>3220</v>
      </c>
      <c r="G66" t="s">
        <v>67</v>
      </c>
      <c r="H66" t="str">
        <f>VLOOKUP(Table1[[#This Row],[City]],Table6[#All],2,FALSE)</f>
        <v>East</v>
      </c>
      <c r="I66" t="s">
        <v>53</v>
      </c>
      <c r="J66" t="str">
        <f>_xlfn.XLOOKUP(Table1[[#This Row],[Tractor Model]],Table7[Product Model],Table7[Product Category],"Not Available",0)</f>
        <v>Farmtrac</v>
      </c>
      <c r="K66" s="4">
        <v>6</v>
      </c>
      <c r="L66" s="72">
        <v>74760</v>
      </c>
      <c r="M66" s="4">
        <f>INDEX('Master Sheet'!$C$4:$C$12,MATCH(Table1[[#This Row],[Quantity]],'Master Sheet'!$B$4:$B$12,0))</f>
        <v>8</v>
      </c>
      <c r="N66" s="71">
        <f>Table1[[#This Row],[Quantity]]*Table1[[#This Row],[Unit Price]]</f>
        <v>448560</v>
      </c>
      <c r="O66" s="73">
        <v>4.4856E-2</v>
      </c>
      <c r="P66" s="70">
        <f>Table1[[#This Row],[Gross Amount]]*(1-(Table1[[#This Row],[Discount %]]/100))</f>
        <v>412675.2</v>
      </c>
      <c r="Q66" s="74">
        <f>(Table1[[#This Row],[Gross Amount]]*(1-(Table1[[#This Row],[Discount %]]/100)))/10000000</f>
        <v>4.1267520000000002E-2</v>
      </c>
      <c r="R66" t="s">
        <v>42</v>
      </c>
      <c r="S66" t="str" cm="1">
        <f t="array" ref="S66">IFERROR(_xlfn.IFS(Table1[[#This Row],[Payment Status]]="Partial","In Transit",Table1[[#This Row],[Payment Status]]="Paid","Delivered",Table1[[#This Row],[Payment Status]]="Pending","Pending"),"Invalid Input")</f>
        <v>Pending</v>
      </c>
      <c r="T66" t="s">
        <v>27</v>
      </c>
      <c r="U66" t="str" cm="1">
        <f t="array" ref="U66">IFERROR(_xlfn.IFS(Table1[[#This Row],[Payment Status]]="Partial","In Transit",Table1[[#This Row],[Payment Status]]="Paid","Completed",Table1[[#This Row],[Payment Status]]="Pending","Pending"),"Invalid Input")</f>
        <v>Pending</v>
      </c>
    </row>
    <row r="67" spans="1:21" x14ac:dyDescent="0.25">
      <c r="A67" s="4" t="s">
        <v>204</v>
      </c>
      <c r="B67" s="5">
        <v>45696</v>
      </c>
      <c r="C67" t="s">
        <v>52</v>
      </c>
      <c r="D67" t="s">
        <v>3271</v>
      </c>
      <c r="E67" t="s">
        <v>30</v>
      </c>
      <c r="F67" t="s">
        <v>3217</v>
      </c>
      <c r="G67" t="s">
        <v>31</v>
      </c>
      <c r="H67" t="str">
        <f>VLOOKUP(Table1[[#This Row],[City]],Table6[#All],2,FALSE)</f>
        <v>South</v>
      </c>
      <c r="I67" t="s">
        <v>53</v>
      </c>
      <c r="J67" t="str">
        <f>_xlfn.XLOOKUP(Table1[[#This Row],[Tractor Model]],Table7[Product Model],Table7[Product Category],"Not Available",0)</f>
        <v>Farmtrac</v>
      </c>
      <c r="K67" s="4">
        <v>5</v>
      </c>
      <c r="L67" s="72">
        <v>50674</v>
      </c>
      <c r="M67" s="4">
        <f>INDEX('Master Sheet'!$C$4:$C$12,MATCH(Table1[[#This Row],[Quantity]],'Master Sheet'!$B$4:$B$12,0))</f>
        <v>7</v>
      </c>
      <c r="N67" s="71">
        <f>Table1[[#This Row],[Quantity]]*Table1[[#This Row],[Unit Price]]</f>
        <v>253370</v>
      </c>
      <c r="O67" s="73">
        <v>2.5336999999999998E-2</v>
      </c>
      <c r="P67" s="70">
        <f>Table1[[#This Row],[Gross Amount]]*(1-(Table1[[#This Row],[Discount %]]/100))</f>
        <v>235634.09999999998</v>
      </c>
      <c r="Q67" s="74">
        <f>(Table1[[#This Row],[Gross Amount]]*(1-(Table1[[#This Row],[Discount %]]/100)))/10000000</f>
        <v>2.3563409999999996E-2</v>
      </c>
      <c r="R67" t="s">
        <v>25</v>
      </c>
      <c r="S67" t="str" cm="1">
        <f t="array" ref="S67">IFERROR(_xlfn.IFS(Table1[[#This Row],[Payment Status]]="Partial","In Transit",Table1[[#This Row],[Payment Status]]="Paid","Delivered",Table1[[#This Row],[Payment Status]]="Pending","Pending"),"Invalid Input")</f>
        <v>In Transit</v>
      </c>
      <c r="T67" t="s">
        <v>27</v>
      </c>
      <c r="U67" t="str" cm="1">
        <f t="array" ref="U67">IFERROR(_xlfn.IFS(Table1[[#This Row],[Payment Status]]="Partial","In Transit",Table1[[#This Row],[Payment Status]]="Paid","Completed",Table1[[#This Row],[Payment Status]]="Pending","Pending"),"Invalid Input")</f>
        <v>In Transit</v>
      </c>
    </row>
    <row r="68" spans="1:21" x14ac:dyDescent="0.25">
      <c r="A68" s="4" t="s">
        <v>206</v>
      </c>
      <c r="B68" s="5">
        <v>45829</v>
      </c>
      <c r="C68" t="s">
        <v>52</v>
      </c>
      <c r="D68" t="s">
        <v>3268</v>
      </c>
      <c r="E68" t="s">
        <v>38</v>
      </c>
      <c r="F68" t="s">
        <v>3219</v>
      </c>
      <c r="G68" t="s">
        <v>39</v>
      </c>
      <c r="H68" t="str">
        <f>VLOOKUP(Table1[[#This Row],[City]],Table6[#All],2,FALSE)</f>
        <v>West</v>
      </c>
      <c r="I68" t="s">
        <v>3203</v>
      </c>
      <c r="J68" t="str">
        <f>_xlfn.XLOOKUP(Table1[[#This Row],[Tractor Model]],Table7[Product Model],Table7[Product Category],"Not Available",0)</f>
        <v>Kubota</v>
      </c>
      <c r="K68" s="4">
        <v>2</v>
      </c>
      <c r="L68" s="72">
        <v>832128</v>
      </c>
      <c r="M68" s="4">
        <f>INDEX('Master Sheet'!$C$4:$C$12,MATCH(Table1[[#This Row],[Quantity]],'Master Sheet'!$B$4:$B$12,0))</f>
        <v>5</v>
      </c>
      <c r="N68" s="71">
        <f>Table1[[#This Row],[Quantity]]*Table1[[#This Row],[Unit Price]]</f>
        <v>1664256</v>
      </c>
      <c r="O68" s="73">
        <v>0.16642560000000001</v>
      </c>
      <c r="P68" s="70">
        <f>Table1[[#This Row],[Gross Amount]]*(1-(Table1[[#This Row],[Discount %]]/100))</f>
        <v>1581043.2</v>
      </c>
      <c r="Q68" s="74">
        <f>(Table1[[#This Row],[Gross Amount]]*(1-(Table1[[#This Row],[Discount %]]/100)))/10000000</f>
        <v>0.15810431999999999</v>
      </c>
      <c r="R68" t="s">
        <v>42</v>
      </c>
      <c r="S68" t="str" cm="1">
        <f t="array" ref="S68">IFERROR(_xlfn.IFS(Table1[[#This Row],[Payment Status]]="Partial","In Transit",Table1[[#This Row],[Payment Status]]="Paid","Delivered",Table1[[#This Row],[Payment Status]]="Pending","Pending"),"Invalid Input")</f>
        <v>Pending</v>
      </c>
      <c r="T68" t="s">
        <v>27</v>
      </c>
      <c r="U68" t="str" cm="1">
        <f t="array" ref="U68">IFERROR(_xlfn.IFS(Table1[[#This Row],[Payment Status]]="Partial","In Transit",Table1[[#This Row],[Payment Status]]="Paid","Completed",Table1[[#This Row],[Payment Status]]="Pending","Pending"),"Invalid Input")</f>
        <v>Pending</v>
      </c>
    </row>
    <row r="69" spans="1:21" x14ac:dyDescent="0.25">
      <c r="A69" s="4" t="s">
        <v>208</v>
      </c>
      <c r="B69" s="5">
        <v>45334</v>
      </c>
      <c r="C69" t="s">
        <v>73</v>
      </c>
      <c r="D69" t="s">
        <v>3269</v>
      </c>
      <c r="E69" t="s">
        <v>38</v>
      </c>
      <c r="F69" t="s">
        <v>3206</v>
      </c>
      <c r="G69" t="s">
        <v>39</v>
      </c>
      <c r="H69" t="str">
        <f>VLOOKUP(Table1[[#This Row],[City]],Table6[#All],2,FALSE)</f>
        <v>West</v>
      </c>
      <c r="I69" t="s">
        <v>3203</v>
      </c>
      <c r="J69" t="str">
        <f>_xlfn.XLOOKUP(Table1[[#This Row],[Tractor Model]],Table7[Product Model],Table7[Product Category],"Not Available",0)</f>
        <v>Kubota</v>
      </c>
      <c r="K69" s="4">
        <v>4</v>
      </c>
      <c r="L69" s="72">
        <v>866057</v>
      </c>
      <c r="M69" s="4">
        <f>INDEX('Master Sheet'!$C$4:$C$12,MATCH(Table1[[#This Row],[Quantity]],'Master Sheet'!$B$4:$B$12,0))</f>
        <v>6</v>
      </c>
      <c r="N69" s="71">
        <f>Table1[[#This Row],[Quantity]]*Table1[[#This Row],[Unit Price]]</f>
        <v>3464228</v>
      </c>
      <c r="O69" s="73">
        <v>0.34642279999999998</v>
      </c>
      <c r="P69" s="70">
        <f>Table1[[#This Row],[Gross Amount]]*(1-(Table1[[#This Row],[Discount %]]/100))</f>
        <v>3256374.32</v>
      </c>
      <c r="Q69" s="74">
        <f>(Table1[[#This Row],[Gross Amount]]*(1-(Table1[[#This Row],[Discount %]]/100)))/10000000</f>
        <v>0.325637432</v>
      </c>
      <c r="R69" t="s">
        <v>54</v>
      </c>
      <c r="S69" t="str" cm="1">
        <f t="array" ref="S69">IFERROR(_xlfn.IFS(Table1[[#This Row],[Payment Status]]="Partial","In Transit",Table1[[#This Row],[Payment Status]]="Paid","Delivered",Table1[[#This Row],[Payment Status]]="Pending","Pending"),"Invalid Input")</f>
        <v>Delivered</v>
      </c>
      <c r="T69" t="s">
        <v>27</v>
      </c>
      <c r="U69" t="str" cm="1">
        <f t="array" ref="U69">IFERROR(_xlfn.IFS(Table1[[#This Row],[Payment Status]]="Partial","In Transit",Table1[[#This Row],[Payment Status]]="Paid","Completed",Table1[[#This Row],[Payment Status]]="Pending","Pending"),"Invalid Input")</f>
        <v>Completed</v>
      </c>
    </row>
    <row r="70" spans="1:21" x14ac:dyDescent="0.25">
      <c r="A70" s="4" t="s">
        <v>210</v>
      </c>
      <c r="B70" s="5">
        <v>45338</v>
      </c>
      <c r="C70" t="s">
        <v>52</v>
      </c>
      <c r="D70" t="s">
        <v>3269</v>
      </c>
      <c r="E70" t="s">
        <v>38</v>
      </c>
      <c r="F70" t="s">
        <v>3206</v>
      </c>
      <c r="G70" t="s">
        <v>39</v>
      </c>
      <c r="H70" t="str">
        <f>VLOOKUP(Table1[[#This Row],[City]],Table6[#All],2,FALSE)</f>
        <v>West</v>
      </c>
      <c r="I70" t="s">
        <v>53</v>
      </c>
      <c r="J70" t="str">
        <f>_xlfn.XLOOKUP(Table1[[#This Row],[Tractor Model]],Table7[Product Model],Table7[Product Category],"Not Available",0)</f>
        <v>Farmtrac</v>
      </c>
      <c r="K70" s="4">
        <v>3</v>
      </c>
      <c r="L70" s="72">
        <v>653046</v>
      </c>
      <c r="M70" s="4">
        <f>INDEX('Master Sheet'!$C$4:$C$12,MATCH(Table1[[#This Row],[Quantity]],'Master Sheet'!$B$4:$B$12,0))</f>
        <v>6</v>
      </c>
      <c r="N70" s="71">
        <f>Table1[[#This Row],[Quantity]]*Table1[[#This Row],[Unit Price]]</f>
        <v>1959138</v>
      </c>
      <c r="O70" s="73">
        <v>0.1959138</v>
      </c>
      <c r="P70" s="70">
        <f>Table1[[#This Row],[Gross Amount]]*(1-(Table1[[#This Row],[Discount %]]/100))</f>
        <v>1841589.72</v>
      </c>
      <c r="Q70" s="74">
        <f>(Table1[[#This Row],[Gross Amount]]*(1-(Table1[[#This Row],[Discount %]]/100)))/10000000</f>
        <v>0.184158972</v>
      </c>
      <c r="R70" t="s">
        <v>42</v>
      </c>
      <c r="S70" t="str" cm="1">
        <f t="array" ref="S70">IFERROR(_xlfn.IFS(Table1[[#This Row],[Payment Status]]="Partial","In Transit",Table1[[#This Row],[Payment Status]]="Paid","Delivered",Table1[[#This Row],[Payment Status]]="Pending","Pending"),"Invalid Input")</f>
        <v>Pending</v>
      </c>
      <c r="T70" t="s">
        <v>27</v>
      </c>
      <c r="U70" t="str" cm="1">
        <f t="array" ref="U70">IFERROR(_xlfn.IFS(Table1[[#This Row],[Payment Status]]="Partial","In Transit",Table1[[#This Row],[Payment Status]]="Paid","Completed",Table1[[#This Row],[Payment Status]]="Pending","Pending"),"Invalid Input")</f>
        <v>Pending</v>
      </c>
    </row>
    <row r="71" spans="1:21" x14ac:dyDescent="0.25">
      <c r="A71" s="4" t="s">
        <v>212</v>
      </c>
      <c r="B71" s="5">
        <v>45822</v>
      </c>
      <c r="C71" t="s">
        <v>73</v>
      </c>
      <c r="D71" t="s">
        <v>3268</v>
      </c>
      <c r="E71" t="s">
        <v>38</v>
      </c>
      <c r="F71" t="s">
        <v>3219</v>
      </c>
      <c r="G71" t="s">
        <v>39</v>
      </c>
      <c r="H71" t="str">
        <f>VLOOKUP(Table1[[#This Row],[City]],Table6[#All],2,FALSE)</f>
        <v>West</v>
      </c>
      <c r="I71" t="s">
        <v>53</v>
      </c>
      <c r="J71" t="str">
        <f>_xlfn.XLOOKUP(Table1[[#This Row],[Tractor Model]],Table7[Product Model],Table7[Product Category],"Not Available",0)</f>
        <v>Farmtrac</v>
      </c>
      <c r="K71" s="4">
        <v>7</v>
      </c>
      <c r="L71" s="72">
        <v>516456</v>
      </c>
      <c r="M71" s="4">
        <f>INDEX('Master Sheet'!$C$4:$C$12,MATCH(Table1[[#This Row],[Quantity]],'Master Sheet'!$B$4:$B$12,0))</f>
        <v>9</v>
      </c>
      <c r="N71" s="71">
        <f>Table1[[#This Row],[Quantity]]*Table1[[#This Row],[Unit Price]]</f>
        <v>3615192</v>
      </c>
      <c r="O71" s="73">
        <v>0.36151919999999999</v>
      </c>
      <c r="P71" s="70">
        <f>Table1[[#This Row],[Gross Amount]]*(1-(Table1[[#This Row],[Discount %]]/100))</f>
        <v>3289824.72</v>
      </c>
      <c r="Q71" s="74">
        <f>(Table1[[#This Row],[Gross Amount]]*(1-(Table1[[#This Row],[Discount %]]/100)))/10000000</f>
        <v>0.32898247200000003</v>
      </c>
      <c r="R71" t="s">
        <v>54</v>
      </c>
      <c r="S71" t="str" cm="1">
        <f t="array" ref="S71">IFERROR(_xlfn.IFS(Table1[[#This Row],[Payment Status]]="Partial","In Transit",Table1[[#This Row],[Payment Status]]="Paid","Delivered",Table1[[#This Row],[Payment Status]]="Pending","Pending"),"Invalid Input")</f>
        <v>Delivered</v>
      </c>
      <c r="T71" t="s">
        <v>44</v>
      </c>
      <c r="U71" t="str" cm="1">
        <f t="array" ref="U71">IFERROR(_xlfn.IFS(Table1[[#This Row],[Payment Status]]="Partial","In Transit",Table1[[#This Row],[Payment Status]]="Paid","Completed",Table1[[#This Row],[Payment Status]]="Pending","Pending"),"Invalid Input")</f>
        <v>Completed</v>
      </c>
    </row>
    <row r="72" spans="1:21" x14ac:dyDescent="0.25">
      <c r="A72" s="4" t="s">
        <v>214</v>
      </c>
      <c r="B72" s="5">
        <v>45617</v>
      </c>
      <c r="C72" t="s">
        <v>41</v>
      </c>
      <c r="D72" t="s">
        <v>3270</v>
      </c>
      <c r="E72" t="s">
        <v>66</v>
      </c>
      <c r="F72" t="s">
        <v>3220</v>
      </c>
      <c r="G72" t="s">
        <v>67</v>
      </c>
      <c r="H72" t="str">
        <f>VLOOKUP(Table1[[#This Row],[City]],Table6[#All],2,FALSE)</f>
        <v>East</v>
      </c>
      <c r="I72" t="s">
        <v>58</v>
      </c>
      <c r="J72" t="str">
        <f>_xlfn.XLOOKUP(Table1[[#This Row],[Tractor Model]],Table7[Product Model],Table7[Product Category],"Not Available",0)</f>
        <v>Powertrac</v>
      </c>
      <c r="K72" s="4">
        <v>4</v>
      </c>
      <c r="L72" s="72">
        <v>745689</v>
      </c>
      <c r="M72" s="4">
        <f>INDEX('Master Sheet'!$C$4:$C$12,MATCH(Table1[[#This Row],[Quantity]],'Master Sheet'!$B$4:$B$12,0))</f>
        <v>6</v>
      </c>
      <c r="N72" s="71">
        <f>Table1[[#This Row],[Quantity]]*Table1[[#This Row],[Unit Price]]</f>
        <v>2982756</v>
      </c>
      <c r="O72" s="73">
        <v>0.29827559999999997</v>
      </c>
      <c r="P72" s="70">
        <f>Table1[[#This Row],[Gross Amount]]*(1-(Table1[[#This Row],[Discount %]]/100))</f>
        <v>2803790.6399999997</v>
      </c>
      <c r="Q72" s="74">
        <f>(Table1[[#This Row],[Gross Amount]]*(1-(Table1[[#This Row],[Discount %]]/100)))/10000000</f>
        <v>0.28037906399999996</v>
      </c>
      <c r="R72" t="s">
        <v>25</v>
      </c>
      <c r="S72" t="str" cm="1">
        <f t="array" ref="S72">IFERROR(_xlfn.IFS(Table1[[#This Row],[Payment Status]]="Partial","In Transit",Table1[[#This Row],[Payment Status]]="Paid","Delivered",Table1[[#This Row],[Payment Status]]="Pending","Pending"),"Invalid Input")</f>
        <v>In Transit</v>
      </c>
      <c r="T72" t="s">
        <v>27</v>
      </c>
      <c r="U72" t="str" cm="1">
        <f t="array" ref="U72">IFERROR(_xlfn.IFS(Table1[[#This Row],[Payment Status]]="Partial","In Transit",Table1[[#This Row],[Payment Status]]="Paid","Completed",Table1[[#This Row],[Payment Status]]="Pending","Pending"),"Invalid Input")</f>
        <v>In Transit</v>
      </c>
    </row>
    <row r="73" spans="1:21" x14ac:dyDescent="0.25">
      <c r="A73" s="4" t="s">
        <v>216</v>
      </c>
      <c r="B73" s="5">
        <v>45318</v>
      </c>
      <c r="C73" t="s">
        <v>73</v>
      </c>
      <c r="D73" t="s">
        <v>3269</v>
      </c>
      <c r="E73" t="s">
        <v>47</v>
      </c>
      <c r="F73" t="s">
        <v>3209</v>
      </c>
      <c r="G73" t="s">
        <v>48</v>
      </c>
      <c r="H73" t="str">
        <f>VLOOKUP(Table1[[#This Row],[City]],Table6[#All],2,FALSE)</f>
        <v>North</v>
      </c>
      <c r="I73" t="s">
        <v>58</v>
      </c>
      <c r="J73" t="str">
        <f>_xlfn.XLOOKUP(Table1[[#This Row],[Tractor Model]],Table7[Product Model],Table7[Product Category],"Not Available",0)</f>
        <v>Powertrac</v>
      </c>
      <c r="K73" s="4">
        <v>5</v>
      </c>
      <c r="L73" s="72">
        <v>127757</v>
      </c>
      <c r="M73" s="4">
        <f>INDEX('Master Sheet'!$C$4:$C$12,MATCH(Table1[[#This Row],[Quantity]],'Master Sheet'!$B$4:$B$12,0))</f>
        <v>7</v>
      </c>
      <c r="N73" s="71">
        <f>Table1[[#This Row],[Quantity]]*Table1[[#This Row],[Unit Price]]</f>
        <v>638785</v>
      </c>
      <c r="O73" s="73">
        <v>6.3878500000000005E-2</v>
      </c>
      <c r="P73" s="70">
        <f>Table1[[#This Row],[Gross Amount]]*(1-(Table1[[#This Row],[Discount %]]/100))</f>
        <v>594070.04999999993</v>
      </c>
      <c r="Q73" s="74">
        <f>(Table1[[#This Row],[Gross Amount]]*(1-(Table1[[#This Row],[Discount %]]/100)))/10000000</f>
        <v>5.9407004999999992E-2</v>
      </c>
      <c r="R73" t="s">
        <v>42</v>
      </c>
      <c r="S73" t="str" cm="1">
        <f t="array" ref="S73">IFERROR(_xlfn.IFS(Table1[[#This Row],[Payment Status]]="Partial","In Transit",Table1[[#This Row],[Payment Status]]="Paid","Delivered",Table1[[#This Row],[Payment Status]]="Pending","Pending"),"Invalid Input")</f>
        <v>Pending</v>
      </c>
      <c r="T73" t="s">
        <v>27</v>
      </c>
      <c r="U73" t="str" cm="1">
        <f t="array" ref="U73">IFERROR(_xlfn.IFS(Table1[[#This Row],[Payment Status]]="Partial","In Transit",Table1[[#This Row],[Payment Status]]="Paid","Completed",Table1[[#This Row],[Payment Status]]="Pending","Pending"),"Invalid Input")</f>
        <v>Pending</v>
      </c>
    </row>
    <row r="74" spans="1:21" x14ac:dyDescent="0.25">
      <c r="A74" s="4" t="s">
        <v>218</v>
      </c>
      <c r="B74" s="5">
        <v>45615</v>
      </c>
      <c r="C74" t="s">
        <v>73</v>
      </c>
      <c r="D74" t="s">
        <v>3271</v>
      </c>
      <c r="E74" t="s">
        <v>66</v>
      </c>
      <c r="F74" t="s">
        <v>3207</v>
      </c>
      <c r="G74" t="s">
        <v>67</v>
      </c>
      <c r="H74" t="str">
        <f>VLOOKUP(Table1[[#This Row],[City]],Table6[#All],2,FALSE)</f>
        <v>East</v>
      </c>
      <c r="I74" t="s">
        <v>24</v>
      </c>
      <c r="J74" t="str">
        <f>_xlfn.XLOOKUP(Table1[[#This Row],[Tractor Model]],Table7[Product Model],Table7[Product Category],"Not Available",0)</f>
        <v>Farmtrac</v>
      </c>
      <c r="K74" s="4">
        <v>8</v>
      </c>
      <c r="L74" s="72">
        <v>260553</v>
      </c>
      <c r="M74" s="4">
        <f>INDEX('Master Sheet'!$C$4:$C$12,MATCH(Table1[[#This Row],[Quantity]],'Master Sheet'!$B$4:$B$12,0))</f>
        <v>9</v>
      </c>
      <c r="N74" s="71">
        <f>Table1[[#This Row],[Quantity]]*Table1[[#This Row],[Unit Price]]</f>
        <v>2084424</v>
      </c>
      <c r="O74" s="73">
        <v>0.2084424</v>
      </c>
      <c r="P74" s="70">
        <f>Table1[[#This Row],[Gross Amount]]*(1-(Table1[[#This Row],[Discount %]]/100))</f>
        <v>1896825.84</v>
      </c>
      <c r="Q74" s="74">
        <f>(Table1[[#This Row],[Gross Amount]]*(1-(Table1[[#This Row],[Discount %]]/100)))/10000000</f>
        <v>0.18968258400000002</v>
      </c>
      <c r="R74" t="s">
        <v>42</v>
      </c>
      <c r="S74" t="str" cm="1">
        <f t="array" ref="S74">IFERROR(_xlfn.IFS(Table1[[#This Row],[Payment Status]]="Partial","In Transit",Table1[[#This Row],[Payment Status]]="Paid","Delivered",Table1[[#This Row],[Payment Status]]="Pending","Pending"),"Invalid Input")</f>
        <v>Pending</v>
      </c>
      <c r="T74" t="s">
        <v>44</v>
      </c>
      <c r="U74" t="str" cm="1">
        <f t="array" ref="U74">IFERROR(_xlfn.IFS(Table1[[#This Row],[Payment Status]]="Partial","In Transit",Table1[[#This Row],[Payment Status]]="Paid","Completed",Table1[[#This Row],[Payment Status]]="Pending","Pending"),"Invalid Input")</f>
        <v>Pending</v>
      </c>
    </row>
    <row r="75" spans="1:21" x14ac:dyDescent="0.25">
      <c r="A75" s="4" t="s">
        <v>220</v>
      </c>
      <c r="B75" s="5">
        <v>45772</v>
      </c>
      <c r="C75" t="s">
        <v>41</v>
      </c>
      <c r="D75" t="s">
        <v>3270</v>
      </c>
      <c r="E75" t="s">
        <v>119</v>
      </c>
      <c r="F75" t="s">
        <v>3212</v>
      </c>
      <c r="G75" t="s">
        <v>21</v>
      </c>
      <c r="H75" t="str">
        <f>VLOOKUP(Table1[[#This Row],[City]],Table6[#All],2,FALSE)</f>
        <v>North</v>
      </c>
      <c r="I75" t="s">
        <v>3203</v>
      </c>
      <c r="J75" t="str">
        <f>_xlfn.XLOOKUP(Table1[[#This Row],[Tractor Model]],Table7[Product Model],Table7[Product Category],"Not Available",0)</f>
        <v>Kubota</v>
      </c>
      <c r="K75" s="4">
        <v>2</v>
      </c>
      <c r="L75" s="72">
        <v>420146</v>
      </c>
      <c r="M75" s="4">
        <f>INDEX('Master Sheet'!$C$4:$C$12,MATCH(Table1[[#This Row],[Quantity]],'Master Sheet'!$B$4:$B$12,0))</f>
        <v>5</v>
      </c>
      <c r="N75" s="71">
        <f>Table1[[#This Row],[Quantity]]*Table1[[#This Row],[Unit Price]]</f>
        <v>840292</v>
      </c>
      <c r="O75" s="73">
        <v>8.4029199999999998E-2</v>
      </c>
      <c r="P75" s="70">
        <f>Table1[[#This Row],[Gross Amount]]*(1-(Table1[[#This Row],[Discount %]]/100))</f>
        <v>798277.39999999991</v>
      </c>
      <c r="Q75" s="74">
        <f>(Table1[[#This Row],[Gross Amount]]*(1-(Table1[[#This Row],[Discount %]]/100)))/10000000</f>
        <v>7.9827739999999994E-2</v>
      </c>
      <c r="R75" t="s">
        <v>54</v>
      </c>
      <c r="S75" t="str" cm="1">
        <f t="array" ref="S75">IFERROR(_xlfn.IFS(Table1[[#This Row],[Payment Status]]="Partial","In Transit",Table1[[#This Row],[Payment Status]]="Paid","Delivered",Table1[[#This Row],[Payment Status]]="Pending","Pending"),"Invalid Input")</f>
        <v>Delivered</v>
      </c>
      <c r="T75" t="s">
        <v>27</v>
      </c>
      <c r="U75" t="str" cm="1">
        <f t="array" ref="U75">IFERROR(_xlfn.IFS(Table1[[#This Row],[Payment Status]]="Partial","In Transit",Table1[[#This Row],[Payment Status]]="Paid","Completed",Table1[[#This Row],[Payment Status]]="Pending","Pending"),"Invalid Input")</f>
        <v>Completed</v>
      </c>
    </row>
    <row r="76" spans="1:21" x14ac:dyDescent="0.25">
      <c r="A76" s="4" t="s">
        <v>222</v>
      </c>
      <c r="B76" s="5">
        <v>45403</v>
      </c>
      <c r="C76" t="s">
        <v>73</v>
      </c>
      <c r="D76" t="s">
        <v>3270</v>
      </c>
      <c r="E76" t="s">
        <v>119</v>
      </c>
      <c r="F76" t="s">
        <v>3212</v>
      </c>
      <c r="G76" t="s">
        <v>21</v>
      </c>
      <c r="H76" t="str">
        <f>VLOOKUP(Table1[[#This Row],[City]],Table6[#All],2,FALSE)</f>
        <v>North</v>
      </c>
      <c r="I76" t="s">
        <v>24</v>
      </c>
      <c r="J76" t="str">
        <f>_xlfn.XLOOKUP(Table1[[#This Row],[Tractor Model]],Table7[Product Model],Table7[Product Category],"Not Available",0)</f>
        <v>Farmtrac</v>
      </c>
      <c r="K76" s="4">
        <v>8</v>
      </c>
      <c r="L76" s="72">
        <v>267590</v>
      </c>
      <c r="M76" s="4">
        <f>INDEX('Master Sheet'!$C$4:$C$12,MATCH(Table1[[#This Row],[Quantity]],'Master Sheet'!$B$4:$B$12,0))</f>
        <v>9</v>
      </c>
      <c r="N76" s="71">
        <f>Table1[[#This Row],[Quantity]]*Table1[[#This Row],[Unit Price]]</f>
        <v>2140720</v>
      </c>
      <c r="O76" s="73">
        <v>0.21407200000000001</v>
      </c>
      <c r="P76" s="70">
        <f>Table1[[#This Row],[Gross Amount]]*(1-(Table1[[#This Row],[Discount %]]/100))</f>
        <v>1948055.2</v>
      </c>
      <c r="Q76" s="74">
        <f>(Table1[[#This Row],[Gross Amount]]*(1-(Table1[[#This Row],[Discount %]]/100)))/10000000</f>
        <v>0.19480551999999998</v>
      </c>
      <c r="R76" t="s">
        <v>54</v>
      </c>
      <c r="S76" t="str" cm="1">
        <f t="array" ref="S76">IFERROR(_xlfn.IFS(Table1[[#This Row],[Payment Status]]="Partial","In Transit",Table1[[#This Row],[Payment Status]]="Paid","Delivered",Table1[[#This Row],[Payment Status]]="Pending","Pending"),"Invalid Input")</f>
        <v>Delivered</v>
      </c>
      <c r="T76" t="s">
        <v>27</v>
      </c>
      <c r="U76" t="str" cm="1">
        <f t="array" ref="U76">IFERROR(_xlfn.IFS(Table1[[#This Row],[Payment Status]]="Partial","In Transit",Table1[[#This Row],[Payment Status]]="Paid","Completed",Table1[[#This Row],[Payment Status]]="Pending","Pending"),"Invalid Input")</f>
        <v>Completed</v>
      </c>
    </row>
    <row r="77" spans="1:21" x14ac:dyDescent="0.25">
      <c r="A77" s="4" t="s">
        <v>224</v>
      </c>
      <c r="B77" s="5">
        <v>45558</v>
      </c>
      <c r="C77" t="s">
        <v>73</v>
      </c>
      <c r="D77" t="s">
        <v>3271</v>
      </c>
      <c r="E77" t="s">
        <v>66</v>
      </c>
      <c r="F77" t="s">
        <v>3207</v>
      </c>
      <c r="G77" t="s">
        <v>67</v>
      </c>
      <c r="H77" t="str">
        <f>VLOOKUP(Table1[[#This Row],[City]],Table6[#All],2,FALSE)</f>
        <v>East</v>
      </c>
      <c r="I77" t="s">
        <v>3203</v>
      </c>
      <c r="J77" t="str">
        <f>_xlfn.XLOOKUP(Table1[[#This Row],[Tractor Model]],Table7[Product Model],Table7[Product Category],"Not Available",0)</f>
        <v>Kubota</v>
      </c>
      <c r="K77" s="4">
        <v>8</v>
      </c>
      <c r="L77" s="72">
        <v>100872</v>
      </c>
      <c r="M77" s="4">
        <f>INDEX('Master Sheet'!$C$4:$C$12,MATCH(Table1[[#This Row],[Quantity]],'Master Sheet'!$B$4:$B$12,0))</f>
        <v>9</v>
      </c>
      <c r="N77" s="71">
        <f>Table1[[#This Row],[Quantity]]*Table1[[#This Row],[Unit Price]]</f>
        <v>806976</v>
      </c>
      <c r="O77" s="73">
        <v>8.0697599999999994E-2</v>
      </c>
      <c r="P77" s="70">
        <f>Table1[[#This Row],[Gross Amount]]*(1-(Table1[[#This Row],[Discount %]]/100))</f>
        <v>734348.16</v>
      </c>
      <c r="Q77" s="74">
        <f>(Table1[[#This Row],[Gross Amount]]*(1-(Table1[[#This Row],[Discount %]]/100)))/10000000</f>
        <v>7.3434816E-2</v>
      </c>
      <c r="R77" t="s">
        <v>25</v>
      </c>
      <c r="S77" t="str" cm="1">
        <f t="array" ref="S77">IFERROR(_xlfn.IFS(Table1[[#This Row],[Payment Status]]="Partial","In Transit",Table1[[#This Row],[Payment Status]]="Paid","Delivered",Table1[[#This Row],[Payment Status]]="Pending","Pending"),"Invalid Input")</f>
        <v>In Transit</v>
      </c>
      <c r="T77" t="s">
        <v>27</v>
      </c>
      <c r="U77" t="str" cm="1">
        <f t="array" ref="U77">IFERROR(_xlfn.IFS(Table1[[#This Row],[Payment Status]]="Partial","In Transit",Table1[[#This Row],[Payment Status]]="Paid","Completed",Table1[[#This Row],[Payment Status]]="Pending","Pending"),"Invalid Input")</f>
        <v>In Transit</v>
      </c>
    </row>
    <row r="78" spans="1:21" x14ac:dyDescent="0.25">
      <c r="A78" s="4" t="s">
        <v>226</v>
      </c>
      <c r="B78" s="5">
        <v>45752</v>
      </c>
      <c r="C78" t="s">
        <v>73</v>
      </c>
      <c r="D78" t="s">
        <v>37</v>
      </c>
      <c r="E78" t="s">
        <v>47</v>
      </c>
      <c r="F78" t="s">
        <v>3215</v>
      </c>
      <c r="G78" t="s">
        <v>48</v>
      </c>
      <c r="H78" t="str">
        <f>VLOOKUP(Table1[[#This Row],[City]],Table6[#All],2,FALSE)</f>
        <v>North</v>
      </c>
      <c r="I78" t="s">
        <v>53</v>
      </c>
      <c r="J78" t="str">
        <f>_xlfn.XLOOKUP(Table1[[#This Row],[Tractor Model]],Table7[Product Model],Table7[Product Category],"Not Available",0)</f>
        <v>Farmtrac</v>
      </c>
      <c r="K78" s="4">
        <v>6</v>
      </c>
      <c r="L78" s="72">
        <v>103288</v>
      </c>
      <c r="M78" s="4">
        <f>INDEX('Master Sheet'!$C$4:$C$12,MATCH(Table1[[#This Row],[Quantity]],'Master Sheet'!$B$4:$B$12,0))</f>
        <v>8</v>
      </c>
      <c r="N78" s="71">
        <f>Table1[[#This Row],[Quantity]]*Table1[[#This Row],[Unit Price]]</f>
        <v>619728</v>
      </c>
      <c r="O78" s="73">
        <v>6.1972800000000001E-2</v>
      </c>
      <c r="P78" s="70">
        <f>Table1[[#This Row],[Gross Amount]]*(1-(Table1[[#This Row],[Discount %]]/100))</f>
        <v>570149.76</v>
      </c>
      <c r="Q78" s="74">
        <f>(Table1[[#This Row],[Gross Amount]]*(1-(Table1[[#This Row],[Discount %]]/100)))/10000000</f>
        <v>5.7014976000000002E-2</v>
      </c>
      <c r="R78" t="s">
        <v>25</v>
      </c>
      <c r="S78" t="str" cm="1">
        <f t="array" ref="S78">IFERROR(_xlfn.IFS(Table1[[#This Row],[Payment Status]]="Partial","In Transit",Table1[[#This Row],[Payment Status]]="Paid","Delivered",Table1[[#This Row],[Payment Status]]="Pending","Pending"),"Invalid Input")</f>
        <v>In Transit</v>
      </c>
      <c r="T78" t="s">
        <v>27</v>
      </c>
      <c r="U78" t="str" cm="1">
        <f t="array" ref="U78">IFERROR(_xlfn.IFS(Table1[[#This Row],[Payment Status]]="Partial","In Transit",Table1[[#This Row],[Payment Status]]="Paid","Completed",Table1[[#This Row],[Payment Status]]="Pending","Pending"),"Invalid Input")</f>
        <v>In Transit</v>
      </c>
    </row>
    <row r="79" spans="1:21" x14ac:dyDescent="0.25">
      <c r="A79" s="4" t="s">
        <v>228</v>
      </c>
      <c r="B79" s="5">
        <v>45588</v>
      </c>
      <c r="C79" t="s">
        <v>52</v>
      </c>
      <c r="D79" t="s">
        <v>3271</v>
      </c>
      <c r="E79" t="s">
        <v>47</v>
      </c>
      <c r="F79" t="s">
        <v>3221</v>
      </c>
      <c r="G79" t="s">
        <v>48</v>
      </c>
      <c r="H79" t="str">
        <f>VLOOKUP(Table1[[#This Row],[City]],Table6[#All],2,FALSE)</f>
        <v>North</v>
      </c>
      <c r="I79" t="s">
        <v>24</v>
      </c>
      <c r="J79" t="str">
        <f>_xlfn.XLOOKUP(Table1[[#This Row],[Tractor Model]],Table7[Product Model],Table7[Product Category],"Not Available",0)</f>
        <v>Farmtrac</v>
      </c>
      <c r="K79" s="4">
        <v>5</v>
      </c>
      <c r="L79" s="72">
        <v>804507</v>
      </c>
      <c r="M79" s="4">
        <f>INDEX('Master Sheet'!$C$4:$C$12,MATCH(Table1[[#This Row],[Quantity]],'Master Sheet'!$B$4:$B$12,0))</f>
        <v>7</v>
      </c>
      <c r="N79" s="71">
        <f>Table1[[#This Row],[Quantity]]*Table1[[#This Row],[Unit Price]]</f>
        <v>4022535</v>
      </c>
      <c r="O79" s="73">
        <v>0.40225349999999999</v>
      </c>
      <c r="P79" s="70">
        <f>Table1[[#This Row],[Gross Amount]]*(1-(Table1[[#This Row],[Discount %]]/100))</f>
        <v>3740957.55</v>
      </c>
      <c r="Q79" s="74">
        <f>(Table1[[#This Row],[Gross Amount]]*(1-(Table1[[#This Row],[Discount %]]/100)))/10000000</f>
        <v>0.37409575499999997</v>
      </c>
      <c r="R79" t="s">
        <v>25</v>
      </c>
      <c r="S79" t="str" cm="1">
        <f t="array" ref="S79">IFERROR(_xlfn.IFS(Table1[[#This Row],[Payment Status]]="Partial","In Transit",Table1[[#This Row],[Payment Status]]="Paid","Delivered",Table1[[#This Row],[Payment Status]]="Pending","Pending"),"Invalid Input")</f>
        <v>In Transit</v>
      </c>
      <c r="T79" t="s">
        <v>27</v>
      </c>
      <c r="U79" t="str" cm="1">
        <f t="array" ref="U79">IFERROR(_xlfn.IFS(Table1[[#This Row],[Payment Status]]="Partial","In Transit",Table1[[#This Row],[Payment Status]]="Paid","Completed",Table1[[#This Row],[Payment Status]]="Pending","Pending"),"Invalid Input")</f>
        <v>In Transit</v>
      </c>
    </row>
    <row r="80" spans="1:21" x14ac:dyDescent="0.25">
      <c r="A80" s="4" t="s">
        <v>230</v>
      </c>
      <c r="B80" s="5">
        <v>45405</v>
      </c>
      <c r="C80" t="s">
        <v>73</v>
      </c>
      <c r="D80" t="s">
        <v>3268</v>
      </c>
      <c r="E80" t="s">
        <v>119</v>
      </c>
      <c r="F80" t="s">
        <v>3227</v>
      </c>
      <c r="G80" t="s">
        <v>21</v>
      </c>
      <c r="H80" t="str">
        <f>VLOOKUP(Table1[[#This Row],[City]],Table6[#All],2,FALSE)</f>
        <v>North</v>
      </c>
      <c r="I80" t="s">
        <v>3203</v>
      </c>
      <c r="J80" t="str">
        <f>_xlfn.XLOOKUP(Table1[[#This Row],[Tractor Model]],Table7[Product Model],Table7[Product Category],"Not Available",0)</f>
        <v>Kubota</v>
      </c>
      <c r="K80" s="4">
        <v>0</v>
      </c>
      <c r="L80" s="72">
        <v>171346</v>
      </c>
      <c r="M80" s="4">
        <f>INDEX('Master Sheet'!$C$4:$C$12,MATCH(Table1[[#This Row],[Quantity]],'Master Sheet'!$B$4:$B$12,0))</f>
        <v>0</v>
      </c>
      <c r="N80" s="71">
        <f>Table1[[#This Row],[Quantity]]*Table1[[#This Row],[Unit Price]]</f>
        <v>0</v>
      </c>
      <c r="O80" s="73">
        <v>0</v>
      </c>
      <c r="P80" s="70">
        <f>Table1[[#This Row],[Gross Amount]]*(1-(Table1[[#This Row],[Discount %]]/100))</f>
        <v>0</v>
      </c>
      <c r="Q80" s="74">
        <f>(Table1[[#This Row],[Gross Amount]]*(1-(Table1[[#This Row],[Discount %]]/100)))/10000000</f>
        <v>0</v>
      </c>
      <c r="R80" t="s">
        <v>42</v>
      </c>
      <c r="S80" t="str" cm="1">
        <f t="array" ref="S80">IFERROR(_xlfn.IFS(Table1[[#This Row],[Payment Status]]="Partial","In Transit",Table1[[#This Row],[Payment Status]]="Paid","Delivered",Table1[[#This Row],[Payment Status]]="Pending","Pending"),"Invalid Input")</f>
        <v>Pending</v>
      </c>
      <c r="T80" t="s">
        <v>27</v>
      </c>
      <c r="U80" t="str" cm="1">
        <f t="array" ref="U80">IFERROR(_xlfn.IFS(Table1[[#This Row],[Payment Status]]="Partial","In Transit",Table1[[#This Row],[Payment Status]]="Paid","Completed",Table1[[#This Row],[Payment Status]]="Pending","Pending"),"Invalid Input")</f>
        <v>Pending</v>
      </c>
    </row>
    <row r="81" spans="1:21" x14ac:dyDescent="0.25">
      <c r="A81" s="4" t="s">
        <v>231</v>
      </c>
      <c r="B81" s="5">
        <v>45366</v>
      </c>
      <c r="C81" t="s">
        <v>33</v>
      </c>
      <c r="D81" t="s">
        <v>3270</v>
      </c>
      <c r="E81" t="s">
        <v>38</v>
      </c>
      <c r="F81" t="s">
        <v>3218</v>
      </c>
      <c r="G81" t="s">
        <v>39</v>
      </c>
      <c r="H81" t="str">
        <f>VLOOKUP(Table1[[#This Row],[City]],Table6[#All],2,FALSE)</f>
        <v>West</v>
      </c>
      <c r="I81" t="s">
        <v>3204</v>
      </c>
      <c r="J81" t="str">
        <f>_xlfn.XLOOKUP(Table1[[#This Row],[Tractor Model]],Table7[Product Model],Table7[Product Category],"Not Available",0)</f>
        <v>Kubota</v>
      </c>
      <c r="K81" s="4">
        <v>2</v>
      </c>
      <c r="L81" s="72">
        <v>854924</v>
      </c>
      <c r="M81" s="4">
        <f>INDEX('Master Sheet'!$C$4:$C$12,MATCH(Table1[[#This Row],[Quantity]],'Master Sheet'!$B$4:$B$12,0))</f>
        <v>5</v>
      </c>
      <c r="N81" s="71">
        <f>Table1[[#This Row],[Quantity]]*Table1[[#This Row],[Unit Price]]</f>
        <v>1709848</v>
      </c>
      <c r="O81" s="73">
        <v>0.17098479999999999</v>
      </c>
      <c r="P81" s="70">
        <f>Table1[[#This Row],[Gross Amount]]*(1-(Table1[[#This Row],[Discount %]]/100))</f>
        <v>1624355.5999999999</v>
      </c>
      <c r="Q81" s="74">
        <f>(Table1[[#This Row],[Gross Amount]]*(1-(Table1[[#This Row],[Discount %]]/100)))/10000000</f>
        <v>0.16243555999999998</v>
      </c>
      <c r="R81" t="s">
        <v>25</v>
      </c>
      <c r="S81" t="str" cm="1">
        <f t="array" ref="S81">IFERROR(_xlfn.IFS(Table1[[#This Row],[Payment Status]]="Partial","In Transit",Table1[[#This Row],[Payment Status]]="Paid","Delivered",Table1[[#This Row],[Payment Status]]="Pending","Pending"),"Invalid Input")</f>
        <v>In Transit</v>
      </c>
      <c r="T81" t="s">
        <v>27</v>
      </c>
      <c r="U81" t="str" cm="1">
        <f t="array" ref="U81">IFERROR(_xlfn.IFS(Table1[[#This Row],[Payment Status]]="Partial","In Transit",Table1[[#This Row],[Payment Status]]="Paid","Completed",Table1[[#This Row],[Payment Status]]="Pending","Pending"),"Invalid Input")</f>
        <v>In Transit</v>
      </c>
    </row>
    <row r="82" spans="1:21" x14ac:dyDescent="0.25">
      <c r="A82" s="4" t="s">
        <v>233</v>
      </c>
      <c r="B82" s="5">
        <v>45336</v>
      </c>
      <c r="C82" t="s">
        <v>52</v>
      </c>
      <c r="D82" t="s">
        <v>3271</v>
      </c>
      <c r="E82" t="s">
        <v>30</v>
      </c>
      <c r="F82" t="s">
        <v>3217</v>
      </c>
      <c r="G82" t="s">
        <v>31</v>
      </c>
      <c r="H82" t="str">
        <f>VLOOKUP(Table1[[#This Row],[City]],Table6[#All],2,FALSE)</f>
        <v>South</v>
      </c>
      <c r="I82" t="s">
        <v>24</v>
      </c>
      <c r="J82" t="str">
        <f>_xlfn.XLOOKUP(Table1[[#This Row],[Tractor Model]],Table7[Product Model],Table7[Product Category],"Not Available",0)</f>
        <v>Farmtrac</v>
      </c>
      <c r="K82" s="4">
        <v>5</v>
      </c>
      <c r="L82" s="72">
        <v>258706</v>
      </c>
      <c r="M82" s="4">
        <f>INDEX('Master Sheet'!$C$4:$C$12,MATCH(Table1[[#This Row],[Quantity]],'Master Sheet'!$B$4:$B$12,0))</f>
        <v>7</v>
      </c>
      <c r="N82" s="71">
        <f>Table1[[#This Row],[Quantity]]*Table1[[#This Row],[Unit Price]]</f>
        <v>1293530</v>
      </c>
      <c r="O82" s="73">
        <v>0.129353</v>
      </c>
      <c r="P82" s="70">
        <f>Table1[[#This Row],[Gross Amount]]*(1-(Table1[[#This Row],[Discount %]]/100))</f>
        <v>1202982.8999999999</v>
      </c>
      <c r="Q82" s="74">
        <f>(Table1[[#This Row],[Gross Amount]]*(1-(Table1[[#This Row],[Discount %]]/100)))/10000000</f>
        <v>0.12029828999999999</v>
      </c>
      <c r="R82" t="s">
        <v>54</v>
      </c>
      <c r="S82" t="str" cm="1">
        <f t="array" ref="S82">IFERROR(_xlfn.IFS(Table1[[#This Row],[Payment Status]]="Partial","In Transit",Table1[[#This Row],[Payment Status]]="Paid","Delivered",Table1[[#This Row],[Payment Status]]="Pending","Pending"),"Invalid Input")</f>
        <v>Delivered</v>
      </c>
      <c r="T82" t="s">
        <v>27</v>
      </c>
      <c r="U82" t="str" cm="1">
        <f t="array" ref="U82">IFERROR(_xlfn.IFS(Table1[[#This Row],[Payment Status]]="Partial","In Transit",Table1[[#This Row],[Payment Status]]="Paid","Completed",Table1[[#This Row],[Payment Status]]="Pending","Pending"),"Invalid Input")</f>
        <v>Completed</v>
      </c>
    </row>
    <row r="83" spans="1:21" x14ac:dyDescent="0.25">
      <c r="A83" s="4" t="s">
        <v>235</v>
      </c>
      <c r="B83" s="5">
        <v>45305</v>
      </c>
      <c r="C83" t="s">
        <v>62</v>
      </c>
      <c r="D83" t="s">
        <v>37</v>
      </c>
      <c r="E83" t="s">
        <v>47</v>
      </c>
      <c r="F83" t="s">
        <v>3215</v>
      </c>
      <c r="G83" t="s">
        <v>48</v>
      </c>
      <c r="H83" t="str">
        <f>VLOOKUP(Table1[[#This Row],[City]],Table6[#All],2,FALSE)</f>
        <v>North</v>
      </c>
      <c r="I83" t="s">
        <v>58</v>
      </c>
      <c r="J83" t="str">
        <f>_xlfn.XLOOKUP(Table1[[#This Row],[Tractor Model]],Table7[Product Model],Table7[Product Category],"Not Available",0)</f>
        <v>Powertrac</v>
      </c>
      <c r="K83" s="4">
        <v>3</v>
      </c>
      <c r="L83" s="72">
        <v>512291</v>
      </c>
      <c r="M83" s="4">
        <f>INDEX('Master Sheet'!$C$4:$C$12,MATCH(Table1[[#This Row],[Quantity]],'Master Sheet'!$B$4:$B$12,0))</f>
        <v>6</v>
      </c>
      <c r="N83" s="71">
        <f>Table1[[#This Row],[Quantity]]*Table1[[#This Row],[Unit Price]]</f>
        <v>1536873</v>
      </c>
      <c r="O83" s="73">
        <v>0.1536873</v>
      </c>
      <c r="P83" s="70">
        <f>Table1[[#This Row],[Gross Amount]]*(1-(Table1[[#This Row],[Discount %]]/100))</f>
        <v>1444660.6199999999</v>
      </c>
      <c r="Q83" s="74">
        <f>(Table1[[#This Row],[Gross Amount]]*(1-(Table1[[#This Row],[Discount %]]/100)))/10000000</f>
        <v>0.14446606199999998</v>
      </c>
      <c r="R83" t="s">
        <v>54</v>
      </c>
      <c r="S83" t="str" cm="1">
        <f t="array" ref="S83">IFERROR(_xlfn.IFS(Table1[[#This Row],[Payment Status]]="Partial","In Transit",Table1[[#This Row],[Payment Status]]="Paid","Delivered",Table1[[#This Row],[Payment Status]]="Pending","Pending"),"Invalid Input")</f>
        <v>Delivered</v>
      </c>
      <c r="T83" t="s">
        <v>27</v>
      </c>
      <c r="U83" t="str" cm="1">
        <f t="array" ref="U83">IFERROR(_xlfn.IFS(Table1[[#This Row],[Payment Status]]="Partial","In Transit",Table1[[#This Row],[Payment Status]]="Paid","Completed",Table1[[#This Row],[Payment Status]]="Pending","Pending"),"Invalid Input")</f>
        <v>Completed</v>
      </c>
    </row>
    <row r="84" spans="1:21" x14ac:dyDescent="0.25">
      <c r="A84" s="4" t="s">
        <v>237</v>
      </c>
      <c r="B84" s="5">
        <v>45610</v>
      </c>
      <c r="C84" t="s">
        <v>52</v>
      </c>
      <c r="D84" t="s">
        <v>3269</v>
      </c>
      <c r="E84" t="s">
        <v>66</v>
      </c>
      <c r="F84" t="s">
        <v>3213</v>
      </c>
      <c r="G84" t="s">
        <v>67</v>
      </c>
      <c r="H84" t="str">
        <f>VLOOKUP(Table1[[#This Row],[City]],Table6[#All],2,FALSE)</f>
        <v>East</v>
      </c>
      <c r="I84" t="s">
        <v>53</v>
      </c>
      <c r="J84" t="str">
        <f>_xlfn.XLOOKUP(Table1[[#This Row],[Tractor Model]],Table7[Product Model],Table7[Product Category],"Not Available",0)</f>
        <v>Farmtrac</v>
      </c>
      <c r="K84" s="4">
        <v>8</v>
      </c>
      <c r="L84" s="72">
        <v>173310</v>
      </c>
      <c r="M84" s="4">
        <f>INDEX('Master Sheet'!$C$4:$C$12,MATCH(Table1[[#This Row],[Quantity]],'Master Sheet'!$B$4:$B$12,0))</f>
        <v>9</v>
      </c>
      <c r="N84" s="71">
        <f>Table1[[#This Row],[Quantity]]*Table1[[#This Row],[Unit Price]]</f>
        <v>1386480</v>
      </c>
      <c r="O84" s="73">
        <v>0.13864799999999999</v>
      </c>
      <c r="P84" s="70">
        <f>Table1[[#This Row],[Gross Amount]]*(1-(Table1[[#This Row],[Discount %]]/100))</f>
        <v>1261696.8</v>
      </c>
      <c r="Q84" s="74">
        <f>(Table1[[#This Row],[Gross Amount]]*(1-(Table1[[#This Row],[Discount %]]/100)))/10000000</f>
        <v>0.12616968000000001</v>
      </c>
      <c r="R84" t="s">
        <v>54</v>
      </c>
      <c r="S84" t="str" cm="1">
        <f t="array" ref="S84">IFERROR(_xlfn.IFS(Table1[[#This Row],[Payment Status]]="Partial","In Transit",Table1[[#This Row],[Payment Status]]="Paid","Delivered",Table1[[#This Row],[Payment Status]]="Pending","Pending"),"Invalid Input")</f>
        <v>Delivered</v>
      </c>
      <c r="T84" t="s">
        <v>27</v>
      </c>
      <c r="U84" t="str" cm="1">
        <f t="array" ref="U84">IFERROR(_xlfn.IFS(Table1[[#This Row],[Payment Status]]="Partial","In Transit",Table1[[#This Row],[Payment Status]]="Paid","Completed",Table1[[#This Row],[Payment Status]]="Pending","Pending"),"Invalid Input")</f>
        <v>Completed</v>
      </c>
    </row>
    <row r="85" spans="1:21" x14ac:dyDescent="0.25">
      <c r="A85" s="4" t="s">
        <v>239</v>
      </c>
      <c r="B85" s="5">
        <v>45384</v>
      </c>
      <c r="C85" t="s">
        <v>52</v>
      </c>
      <c r="D85" t="s">
        <v>37</v>
      </c>
      <c r="E85" t="s">
        <v>66</v>
      </c>
      <c r="F85" t="s">
        <v>3226</v>
      </c>
      <c r="G85" t="s">
        <v>67</v>
      </c>
      <c r="H85" t="str">
        <f>VLOOKUP(Table1[[#This Row],[City]],Table6[#All],2,FALSE)</f>
        <v>East</v>
      </c>
      <c r="I85" t="s">
        <v>3203</v>
      </c>
      <c r="J85" t="str">
        <f>_xlfn.XLOOKUP(Table1[[#This Row],[Tractor Model]],Table7[Product Model],Table7[Product Category],"Not Available",0)</f>
        <v>Kubota</v>
      </c>
      <c r="K85" s="4">
        <v>6</v>
      </c>
      <c r="L85" s="72">
        <v>237351</v>
      </c>
      <c r="M85" s="4">
        <f>INDEX('Master Sheet'!$C$4:$C$12,MATCH(Table1[[#This Row],[Quantity]],'Master Sheet'!$B$4:$B$12,0))</f>
        <v>8</v>
      </c>
      <c r="N85" s="71">
        <f>Table1[[#This Row],[Quantity]]*Table1[[#This Row],[Unit Price]]</f>
        <v>1424106</v>
      </c>
      <c r="O85" s="73">
        <v>0.1424106</v>
      </c>
      <c r="P85" s="70">
        <f>Table1[[#This Row],[Gross Amount]]*(1-(Table1[[#This Row],[Discount %]]/100))</f>
        <v>1310177.52</v>
      </c>
      <c r="Q85" s="74">
        <f>(Table1[[#This Row],[Gross Amount]]*(1-(Table1[[#This Row],[Discount %]]/100)))/10000000</f>
        <v>0.13101775200000002</v>
      </c>
      <c r="R85" t="s">
        <v>25</v>
      </c>
      <c r="S85" t="str" cm="1">
        <f t="array" ref="S85">IFERROR(_xlfn.IFS(Table1[[#This Row],[Payment Status]]="Partial","In Transit",Table1[[#This Row],[Payment Status]]="Paid","Delivered",Table1[[#This Row],[Payment Status]]="Pending","Pending"),"Invalid Input")</f>
        <v>In Transit</v>
      </c>
      <c r="T85" t="s">
        <v>44</v>
      </c>
      <c r="U85" t="str" cm="1">
        <f t="array" ref="U85">IFERROR(_xlfn.IFS(Table1[[#This Row],[Payment Status]]="Partial","In Transit",Table1[[#This Row],[Payment Status]]="Paid","Completed",Table1[[#This Row],[Payment Status]]="Pending","Pending"),"Invalid Input")</f>
        <v>In Transit</v>
      </c>
    </row>
    <row r="86" spans="1:21" x14ac:dyDescent="0.25">
      <c r="A86" s="4" t="s">
        <v>241</v>
      </c>
      <c r="B86" s="5">
        <v>45744</v>
      </c>
      <c r="C86" t="s">
        <v>33</v>
      </c>
      <c r="D86" t="s">
        <v>3268</v>
      </c>
      <c r="E86" t="s">
        <v>119</v>
      </c>
      <c r="F86" t="s">
        <v>3227</v>
      </c>
      <c r="G86" t="s">
        <v>21</v>
      </c>
      <c r="H86" t="str">
        <f>VLOOKUP(Table1[[#This Row],[City]],Table6[#All],2,FALSE)</f>
        <v>North</v>
      </c>
      <c r="I86" t="s">
        <v>53</v>
      </c>
      <c r="J86" t="str">
        <f>_xlfn.XLOOKUP(Table1[[#This Row],[Tractor Model]],Table7[Product Model],Table7[Product Category],"Not Available",0)</f>
        <v>Farmtrac</v>
      </c>
      <c r="K86" s="4">
        <v>7</v>
      </c>
      <c r="L86" s="72">
        <v>210905</v>
      </c>
      <c r="M86" s="4">
        <f>INDEX('Master Sheet'!$C$4:$C$12,MATCH(Table1[[#This Row],[Quantity]],'Master Sheet'!$B$4:$B$12,0))</f>
        <v>9</v>
      </c>
      <c r="N86" s="71">
        <f>Table1[[#This Row],[Quantity]]*Table1[[#This Row],[Unit Price]]</f>
        <v>1476335</v>
      </c>
      <c r="O86" s="73">
        <v>0.1476335</v>
      </c>
      <c r="P86" s="70">
        <f>Table1[[#This Row],[Gross Amount]]*(1-(Table1[[#This Row],[Discount %]]/100))</f>
        <v>1343464.85</v>
      </c>
      <c r="Q86" s="74">
        <f>(Table1[[#This Row],[Gross Amount]]*(1-(Table1[[#This Row],[Discount %]]/100)))/10000000</f>
        <v>0.13434648500000002</v>
      </c>
      <c r="R86" t="s">
        <v>54</v>
      </c>
      <c r="S86" t="str" cm="1">
        <f t="array" ref="S86">IFERROR(_xlfn.IFS(Table1[[#This Row],[Payment Status]]="Partial","In Transit",Table1[[#This Row],[Payment Status]]="Paid","Delivered",Table1[[#This Row],[Payment Status]]="Pending","Pending"),"Invalid Input")</f>
        <v>Delivered</v>
      </c>
      <c r="T86" t="s">
        <v>27</v>
      </c>
      <c r="U86" t="str" cm="1">
        <f t="array" ref="U86">IFERROR(_xlfn.IFS(Table1[[#This Row],[Payment Status]]="Partial","In Transit",Table1[[#This Row],[Payment Status]]="Paid","Completed",Table1[[#This Row],[Payment Status]]="Pending","Pending"),"Invalid Input")</f>
        <v>Completed</v>
      </c>
    </row>
    <row r="87" spans="1:21" x14ac:dyDescent="0.25">
      <c r="A87" s="4" t="s">
        <v>243</v>
      </c>
      <c r="B87" s="5">
        <v>45726</v>
      </c>
      <c r="C87" t="s">
        <v>41</v>
      </c>
      <c r="D87" t="s">
        <v>3269</v>
      </c>
      <c r="E87" t="s">
        <v>47</v>
      </c>
      <c r="F87" t="s">
        <v>3209</v>
      </c>
      <c r="G87" t="s">
        <v>48</v>
      </c>
      <c r="H87" t="str">
        <f>VLOOKUP(Table1[[#This Row],[City]],Table6[#All],2,FALSE)</f>
        <v>North</v>
      </c>
      <c r="I87" t="s">
        <v>53</v>
      </c>
      <c r="J87" t="str">
        <f>_xlfn.XLOOKUP(Table1[[#This Row],[Tractor Model]],Table7[Product Model],Table7[Product Category],"Not Available",0)</f>
        <v>Farmtrac</v>
      </c>
      <c r="K87" s="4">
        <v>8</v>
      </c>
      <c r="L87" s="72">
        <v>384905</v>
      </c>
      <c r="M87" s="4">
        <f>INDEX('Master Sheet'!$C$4:$C$12,MATCH(Table1[[#This Row],[Quantity]],'Master Sheet'!$B$4:$B$12,0))</f>
        <v>9</v>
      </c>
      <c r="N87" s="71">
        <f>Table1[[#This Row],[Quantity]]*Table1[[#This Row],[Unit Price]]</f>
        <v>3079240</v>
      </c>
      <c r="O87" s="73">
        <v>0.30792399999999998</v>
      </c>
      <c r="P87" s="70">
        <f>Table1[[#This Row],[Gross Amount]]*(1-(Table1[[#This Row],[Discount %]]/100))</f>
        <v>2802108.4</v>
      </c>
      <c r="Q87" s="74">
        <f>(Table1[[#This Row],[Gross Amount]]*(1-(Table1[[#This Row],[Discount %]]/100)))/10000000</f>
        <v>0.28021084000000002</v>
      </c>
      <c r="R87" t="s">
        <v>54</v>
      </c>
      <c r="S87" t="str" cm="1">
        <f t="array" ref="S87">IFERROR(_xlfn.IFS(Table1[[#This Row],[Payment Status]]="Partial","In Transit",Table1[[#This Row],[Payment Status]]="Paid","Delivered",Table1[[#This Row],[Payment Status]]="Pending","Pending"),"Invalid Input")</f>
        <v>Delivered</v>
      </c>
      <c r="T87" t="s">
        <v>44</v>
      </c>
      <c r="U87" t="str" cm="1">
        <f t="array" ref="U87">IFERROR(_xlfn.IFS(Table1[[#This Row],[Payment Status]]="Partial","In Transit",Table1[[#This Row],[Payment Status]]="Paid","Completed",Table1[[#This Row],[Payment Status]]="Pending","Pending"),"Invalid Input")</f>
        <v>Completed</v>
      </c>
    </row>
    <row r="88" spans="1:21" x14ac:dyDescent="0.25">
      <c r="A88" s="4" t="s">
        <v>245</v>
      </c>
      <c r="B88" s="5">
        <v>45441</v>
      </c>
      <c r="C88" t="s">
        <v>33</v>
      </c>
      <c r="D88" t="s">
        <v>37</v>
      </c>
      <c r="E88" t="s">
        <v>30</v>
      </c>
      <c r="F88" t="s">
        <v>3222</v>
      </c>
      <c r="G88" t="s">
        <v>31</v>
      </c>
      <c r="H88" t="str">
        <f>VLOOKUP(Table1[[#This Row],[City]],Table6[#All],2,FALSE)</f>
        <v>South</v>
      </c>
      <c r="I88" t="s">
        <v>3204</v>
      </c>
      <c r="J88" t="str">
        <f>_xlfn.XLOOKUP(Table1[[#This Row],[Tractor Model]],Table7[Product Model],Table7[Product Category],"Not Available",0)</f>
        <v>Kubota</v>
      </c>
      <c r="K88" s="4">
        <v>5</v>
      </c>
      <c r="L88" s="72">
        <v>632224</v>
      </c>
      <c r="M88" s="4">
        <f>INDEX('Master Sheet'!$C$4:$C$12,MATCH(Table1[[#This Row],[Quantity]],'Master Sheet'!$B$4:$B$12,0))</f>
        <v>7</v>
      </c>
      <c r="N88" s="71">
        <f>Table1[[#This Row],[Quantity]]*Table1[[#This Row],[Unit Price]]</f>
        <v>3161120</v>
      </c>
      <c r="O88" s="73">
        <v>0.316112</v>
      </c>
      <c r="P88" s="70">
        <f>Table1[[#This Row],[Gross Amount]]*(1-(Table1[[#This Row],[Discount %]]/100))</f>
        <v>2939841.5999999996</v>
      </c>
      <c r="Q88" s="74">
        <f>(Table1[[#This Row],[Gross Amount]]*(1-(Table1[[#This Row],[Discount %]]/100)))/10000000</f>
        <v>0.29398415999999994</v>
      </c>
      <c r="R88" t="s">
        <v>25</v>
      </c>
      <c r="S88" t="str" cm="1">
        <f t="array" ref="S88">IFERROR(_xlfn.IFS(Table1[[#This Row],[Payment Status]]="Partial","In Transit",Table1[[#This Row],[Payment Status]]="Paid","Delivered",Table1[[#This Row],[Payment Status]]="Pending","Pending"),"Invalid Input")</f>
        <v>In Transit</v>
      </c>
      <c r="T88" t="s">
        <v>27</v>
      </c>
      <c r="U88" t="str" cm="1">
        <f t="array" ref="U88">IFERROR(_xlfn.IFS(Table1[[#This Row],[Payment Status]]="Partial","In Transit",Table1[[#This Row],[Payment Status]]="Paid","Completed",Table1[[#This Row],[Payment Status]]="Pending","Pending"),"Invalid Input")</f>
        <v>In Transit</v>
      </c>
    </row>
    <row r="89" spans="1:21" x14ac:dyDescent="0.25">
      <c r="A89" s="4" t="s">
        <v>247</v>
      </c>
      <c r="B89" s="5">
        <v>45378</v>
      </c>
      <c r="C89" t="s">
        <v>73</v>
      </c>
      <c r="D89" t="s">
        <v>37</v>
      </c>
      <c r="E89" t="s">
        <v>66</v>
      </c>
      <c r="F89" t="s">
        <v>3226</v>
      </c>
      <c r="G89" t="s">
        <v>67</v>
      </c>
      <c r="H89" t="str">
        <f>VLOOKUP(Table1[[#This Row],[City]],Table6[#All],2,FALSE)</f>
        <v>East</v>
      </c>
      <c r="I89" t="s">
        <v>3204</v>
      </c>
      <c r="J89" t="str">
        <f>_xlfn.XLOOKUP(Table1[[#This Row],[Tractor Model]],Table7[Product Model],Table7[Product Category],"Not Available",0)</f>
        <v>Kubota</v>
      </c>
      <c r="K89" s="4">
        <v>7</v>
      </c>
      <c r="L89" s="72">
        <v>557033</v>
      </c>
      <c r="M89" s="4">
        <f>INDEX('Master Sheet'!$C$4:$C$12,MATCH(Table1[[#This Row],[Quantity]],'Master Sheet'!$B$4:$B$12,0))</f>
        <v>9</v>
      </c>
      <c r="N89" s="71">
        <f>Table1[[#This Row],[Quantity]]*Table1[[#This Row],[Unit Price]]</f>
        <v>3899231</v>
      </c>
      <c r="O89" s="73">
        <v>0.38992310000000002</v>
      </c>
      <c r="P89" s="70">
        <f>Table1[[#This Row],[Gross Amount]]*(1-(Table1[[#This Row],[Discount %]]/100))</f>
        <v>3548300.21</v>
      </c>
      <c r="Q89" s="74">
        <f>(Table1[[#This Row],[Gross Amount]]*(1-(Table1[[#This Row],[Discount %]]/100)))/10000000</f>
        <v>0.354830021</v>
      </c>
      <c r="R89" t="s">
        <v>25</v>
      </c>
      <c r="S89" t="str" cm="1">
        <f t="array" ref="S89">IFERROR(_xlfn.IFS(Table1[[#This Row],[Payment Status]]="Partial","In Transit",Table1[[#This Row],[Payment Status]]="Paid","Delivered",Table1[[#This Row],[Payment Status]]="Pending","Pending"),"Invalid Input")</f>
        <v>In Transit</v>
      </c>
      <c r="T89" t="s">
        <v>44</v>
      </c>
      <c r="U89" t="str" cm="1">
        <f t="array" ref="U89">IFERROR(_xlfn.IFS(Table1[[#This Row],[Payment Status]]="Partial","In Transit",Table1[[#This Row],[Payment Status]]="Paid","Completed",Table1[[#This Row],[Payment Status]]="Pending","Pending"),"Invalid Input")</f>
        <v>In Transit</v>
      </c>
    </row>
    <row r="90" spans="1:21" x14ac:dyDescent="0.25">
      <c r="A90" s="4" t="s">
        <v>249</v>
      </c>
      <c r="B90" s="5">
        <v>45567</v>
      </c>
      <c r="C90" t="s">
        <v>73</v>
      </c>
      <c r="D90" t="s">
        <v>3270</v>
      </c>
      <c r="E90" t="s">
        <v>38</v>
      </c>
      <c r="F90" t="s">
        <v>3218</v>
      </c>
      <c r="G90" t="s">
        <v>39</v>
      </c>
      <c r="H90" t="str">
        <f>VLOOKUP(Table1[[#This Row],[City]],Table6[#All],2,FALSE)</f>
        <v>West</v>
      </c>
      <c r="I90" t="s">
        <v>3203</v>
      </c>
      <c r="J90" t="str">
        <f>_xlfn.XLOOKUP(Table1[[#This Row],[Tractor Model]],Table7[Product Model],Table7[Product Category],"Not Available",0)</f>
        <v>Kubota</v>
      </c>
      <c r="K90" s="4">
        <v>3</v>
      </c>
      <c r="L90" s="72">
        <v>733204</v>
      </c>
      <c r="M90" s="4">
        <f>INDEX('Master Sheet'!$C$4:$C$12,MATCH(Table1[[#This Row],[Quantity]],'Master Sheet'!$B$4:$B$12,0))</f>
        <v>6</v>
      </c>
      <c r="N90" s="71">
        <f>Table1[[#This Row],[Quantity]]*Table1[[#This Row],[Unit Price]]</f>
        <v>2199612</v>
      </c>
      <c r="O90" s="73">
        <v>0.2199612</v>
      </c>
      <c r="P90" s="70">
        <f>Table1[[#This Row],[Gross Amount]]*(1-(Table1[[#This Row],[Discount %]]/100))</f>
        <v>2067635.2799999998</v>
      </c>
      <c r="Q90" s="74">
        <f>(Table1[[#This Row],[Gross Amount]]*(1-(Table1[[#This Row],[Discount %]]/100)))/10000000</f>
        <v>0.20676352799999997</v>
      </c>
      <c r="R90" t="s">
        <v>25</v>
      </c>
      <c r="S90" t="str" cm="1">
        <f t="array" ref="S90">IFERROR(_xlfn.IFS(Table1[[#This Row],[Payment Status]]="Partial","In Transit",Table1[[#This Row],[Payment Status]]="Paid","Delivered",Table1[[#This Row],[Payment Status]]="Pending","Pending"),"Invalid Input")</f>
        <v>In Transit</v>
      </c>
      <c r="T90" t="s">
        <v>44</v>
      </c>
      <c r="U90" t="str" cm="1">
        <f t="array" ref="U90">IFERROR(_xlfn.IFS(Table1[[#This Row],[Payment Status]]="Partial","In Transit",Table1[[#This Row],[Payment Status]]="Paid","Completed",Table1[[#This Row],[Payment Status]]="Pending","Pending"),"Invalid Input")</f>
        <v>In Transit</v>
      </c>
    </row>
    <row r="91" spans="1:21" x14ac:dyDescent="0.25">
      <c r="A91" s="4" t="s">
        <v>251</v>
      </c>
      <c r="B91" s="5">
        <v>45389</v>
      </c>
      <c r="C91" t="s">
        <v>52</v>
      </c>
      <c r="D91" t="s">
        <v>3270</v>
      </c>
      <c r="E91" t="s">
        <v>38</v>
      </c>
      <c r="F91" t="s">
        <v>3218</v>
      </c>
      <c r="G91" t="s">
        <v>39</v>
      </c>
      <c r="H91" t="str">
        <f>VLOOKUP(Table1[[#This Row],[City]],Table6[#All],2,FALSE)</f>
        <v>West</v>
      </c>
      <c r="I91" t="s">
        <v>53</v>
      </c>
      <c r="J91" t="str">
        <f>_xlfn.XLOOKUP(Table1[[#This Row],[Tractor Model]],Table7[Product Model],Table7[Product Category],"Not Available",0)</f>
        <v>Farmtrac</v>
      </c>
      <c r="K91" s="4">
        <v>4</v>
      </c>
      <c r="L91" s="72">
        <v>345454</v>
      </c>
      <c r="M91" s="4">
        <f>INDEX('Master Sheet'!$C$4:$C$12,MATCH(Table1[[#This Row],[Quantity]],'Master Sheet'!$B$4:$B$12,0))</f>
        <v>6</v>
      </c>
      <c r="N91" s="71">
        <f>Table1[[#This Row],[Quantity]]*Table1[[#This Row],[Unit Price]]</f>
        <v>1381816</v>
      </c>
      <c r="O91" s="73">
        <v>0.13818159999999999</v>
      </c>
      <c r="P91" s="70">
        <f>Table1[[#This Row],[Gross Amount]]*(1-(Table1[[#This Row],[Discount %]]/100))</f>
        <v>1298907.04</v>
      </c>
      <c r="Q91" s="74">
        <f>(Table1[[#This Row],[Gross Amount]]*(1-(Table1[[#This Row],[Discount %]]/100)))/10000000</f>
        <v>0.129890704</v>
      </c>
      <c r="R91" t="s">
        <v>42</v>
      </c>
      <c r="S91" t="str" cm="1">
        <f t="array" ref="S91">IFERROR(_xlfn.IFS(Table1[[#This Row],[Payment Status]]="Partial","In Transit",Table1[[#This Row],[Payment Status]]="Paid","Delivered",Table1[[#This Row],[Payment Status]]="Pending","Pending"),"Invalid Input")</f>
        <v>Pending</v>
      </c>
      <c r="T91" t="s">
        <v>44</v>
      </c>
      <c r="U91" t="str" cm="1">
        <f t="array" ref="U91">IFERROR(_xlfn.IFS(Table1[[#This Row],[Payment Status]]="Partial","In Transit",Table1[[#This Row],[Payment Status]]="Paid","Completed",Table1[[#This Row],[Payment Status]]="Pending","Pending"),"Invalid Input")</f>
        <v>Pending</v>
      </c>
    </row>
    <row r="92" spans="1:21" x14ac:dyDescent="0.25">
      <c r="A92" s="4" t="s">
        <v>253</v>
      </c>
      <c r="B92" s="5">
        <v>45333</v>
      </c>
      <c r="C92" t="s">
        <v>33</v>
      </c>
      <c r="D92" t="s">
        <v>37</v>
      </c>
      <c r="E92" t="s">
        <v>38</v>
      </c>
      <c r="F92" t="s">
        <v>3214</v>
      </c>
      <c r="G92" t="s">
        <v>39</v>
      </c>
      <c r="H92" t="str">
        <f>VLOOKUP(Table1[[#This Row],[City]],Table6[#All],2,FALSE)</f>
        <v>West</v>
      </c>
      <c r="I92" t="s">
        <v>3204</v>
      </c>
      <c r="J92" t="str">
        <f>_xlfn.XLOOKUP(Table1[[#This Row],[Tractor Model]],Table7[Product Model],Table7[Product Category],"Not Available",0)</f>
        <v>Kubota</v>
      </c>
      <c r="K92" s="4">
        <v>5</v>
      </c>
      <c r="L92" s="72">
        <v>583573</v>
      </c>
      <c r="M92" s="4">
        <f>INDEX('Master Sheet'!$C$4:$C$12,MATCH(Table1[[#This Row],[Quantity]],'Master Sheet'!$B$4:$B$12,0))</f>
        <v>7</v>
      </c>
      <c r="N92" s="71">
        <f>Table1[[#This Row],[Quantity]]*Table1[[#This Row],[Unit Price]]</f>
        <v>2917865</v>
      </c>
      <c r="O92" s="73">
        <v>0.2917865</v>
      </c>
      <c r="P92" s="70">
        <f>Table1[[#This Row],[Gross Amount]]*(1-(Table1[[#This Row],[Discount %]]/100))</f>
        <v>2713614.4499999997</v>
      </c>
      <c r="Q92" s="74">
        <f>(Table1[[#This Row],[Gross Amount]]*(1-(Table1[[#This Row],[Discount %]]/100)))/10000000</f>
        <v>0.27136144499999998</v>
      </c>
      <c r="R92" t="s">
        <v>25</v>
      </c>
      <c r="S92" t="str" cm="1">
        <f t="array" ref="S92">IFERROR(_xlfn.IFS(Table1[[#This Row],[Payment Status]]="Partial","In Transit",Table1[[#This Row],[Payment Status]]="Paid","Delivered",Table1[[#This Row],[Payment Status]]="Pending","Pending"),"Invalid Input")</f>
        <v>In Transit</v>
      </c>
      <c r="T92" t="s">
        <v>27</v>
      </c>
      <c r="U92" t="str" cm="1">
        <f t="array" ref="U92">IFERROR(_xlfn.IFS(Table1[[#This Row],[Payment Status]]="Partial","In Transit",Table1[[#This Row],[Payment Status]]="Paid","Completed",Table1[[#This Row],[Payment Status]]="Pending","Pending"),"Invalid Input")</f>
        <v>In Transit</v>
      </c>
    </row>
    <row r="93" spans="1:21" x14ac:dyDescent="0.25">
      <c r="A93" s="4" t="s">
        <v>255</v>
      </c>
      <c r="B93" s="5">
        <v>45411</v>
      </c>
      <c r="C93" t="s">
        <v>33</v>
      </c>
      <c r="D93" t="s">
        <v>3269</v>
      </c>
      <c r="E93" t="s">
        <v>119</v>
      </c>
      <c r="F93" t="s">
        <v>3229</v>
      </c>
      <c r="G93" t="s">
        <v>21</v>
      </c>
      <c r="H93" t="str">
        <f>VLOOKUP(Table1[[#This Row],[City]],Table6[#All],2,FALSE)</f>
        <v>North</v>
      </c>
      <c r="I93" t="s">
        <v>53</v>
      </c>
      <c r="J93" t="str">
        <f>_xlfn.XLOOKUP(Table1[[#This Row],[Tractor Model]],Table7[Product Model],Table7[Product Category],"Not Available",0)</f>
        <v>Farmtrac</v>
      </c>
      <c r="K93" s="4">
        <v>8</v>
      </c>
      <c r="L93" s="72">
        <v>228203</v>
      </c>
      <c r="M93" s="4">
        <f>INDEX('Master Sheet'!$C$4:$C$12,MATCH(Table1[[#This Row],[Quantity]],'Master Sheet'!$B$4:$B$12,0))</f>
        <v>9</v>
      </c>
      <c r="N93" s="71">
        <f>Table1[[#This Row],[Quantity]]*Table1[[#This Row],[Unit Price]]</f>
        <v>1825624</v>
      </c>
      <c r="O93" s="73">
        <v>0.18256240000000001</v>
      </c>
      <c r="P93" s="70">
        <f>Table1[[#This Row],[Gross Amount]]*(1-(Table1[[#This Row],[Discount %]]/100))</f>
        <v>1661317.84</v>
      </c>
      <c r="Q93" s="74">
        <f>(Table1[[#This Row],[Gross Amount]]*(1-(Table1[[#This Row],[Discount %]]/100)))/10000000</f>
        <v>0.166131784</v>
      </c>
      <c r="R93" t="s">
        <v>42</v>
      </c>
      <c r="S93" t="str" cm="1">
        <f t="array" ref="S93">IFERROR(_xlfn.IFS(Table1[[#This Row],[Payment Status]]="Partial","In Transit",Table1[[#This Row],[Payment Status]]="Paid","Delivered",Table1[[#This Row],[Payment Status]]="Pending","Pending"),"Invalid Input")</f>
        <v>Pending</v>
      </c>
      <c r="T93" t="s">
        <v>44</v>
      </c>
      <c r="U93" t="str" cm="1">
        <f t="array" ref="U93">IFERROR(_xlfn.IFS(Table1[[#This Row],[Payment Status]]="Partial","In Transit",Table1[[#This Row],[Payment Status]]="Paid","Completed",Table1[[#This Row],[Payment Status]]="Pending","Pending"),"Invalid Input")</f>
        <v>Pending</v>
      </c>
    </row>
    <row r="94" spans="1:21" x14ac:dyDescent="0.25">
      <c r="A94" s="4" t="s">
        <v>257</v>
      </c>
      <c r="B94" s="5">
        <v>45601</v>
      </c>
      <c r="C94" t="s">
        <v>62</v>
      </c>
      <c r="D94" t="s">
        <v>37</v>
      </c>
      <c r="E94" t="s">
        <v>119</v>
      </c>
      <c r="F94" t="s">
        <v>3224</v>
      </c>
      <c r="G94" t="s">
        <v>21</v>
      </c>
      <c r="H94" t="str">
        <f>VLOOKUP(Table1[[#This Row],[City]],Table6[#All],2,FALSE)</f>
        <v>North</v>
      </c>
      <c r="I94" t="s">
        <v>24</v>
      </c>
      <c r="J94" t="str">
        <f>_xlfn.XLOOKUP(Table1[[#This Row],[Tractor Model]],Table7[Product Model],Table7[Product Category],"Not Available",0)</f>
        <v>Farmtrac</v>
      </c>
      <c r="K94" s="4">
        <v>6</v>
      </c>
      <c r="L94" s="72">
        <v>640024</v>
      </c>
      <c r="M94" s="4">
        <f>INDEX('Master Sheet'!$C$4:$C$12,MATCH(Table1[[#This Row],[Quantity]],'Master Sheet'!$B$4:$B$12,0))</f>
        <v>8</v>
      </c>
      <c r="N94" s="71">
        <f>Table1[[#This Row],[Quantity]]*Table1[[#This Row],[Unit Price]]</f>
        <v>3840144</v>
      </c>
      <c r="O94" s="73">
        <v>0.38401439999999998</v>
      </c>
      <c r="P94" s="70">
        <f>Table1[[#This Row],[Gross Amount]]*(1-(Table1[[#This Row],[Discount %]]/100))</f>
        <v>3532932.48</v>
      </c>
      <c r="Q94" s="74">
        <f>(Table1[[#This Row],[Gross Amount]]*(1-(Table1[[#This Row],[Discount %]]/100)))/10000000</f>
        <v>0.353293248</v>
      </c>
      <c r="R94" t="s">
        <v>42</v>
      </c>
      <c r="S94" t="str" cm="1">
        <f t="array" ref="S94">IFERROR(_xlfn.IFS(Table1[[#This Row],[Payment Status]]="Partial","In Transit",Table1[[#This Row],[Payment Status]]="Paid","Delivered",Table1[[#This Row],[Payment Status]]="Pending","Pending"),"Invalid Input")</f>
        <v>Pending</v>
      </c>
      <c r="T94" t="s">
        <v>44</v>
      </c>
      <c r="U94" t="str" cm="1">
        <f t="array" ref="U94">IFERROR(_xlfn.IFS(Table1[[#This Row],[Payment Status]]="Partial","In Transit",Table1[[#This Row],[Payment Status]]="Paid","Completed",Table1[[#This Row],[Payment Status]]="Pending","Pending"),"Invalid Input")</f>
        <v>Pending</v>
      </c>
    </row>
    <row r="95" spans="1:21" x14ac:dyDescent="0.25">
      <c r="A95" s="4" t="s">
        <v>259</v>
      </c>
      <c r="B95" s="5">
        <v>45610</v>
      </c>
      <c r="C95" t="s">
        <v>33</v>
      </c>
      <c r="D95" t="s">
        <v>3269</v>
      </c>
      <c r="E95" t="s">
        <v>30</v>
      </c>
      <c r="F95" t="s">
        <v>3225</v>
      </c>
      <c r="G95" t="s">
        <v>31</v>
      </c>
      <c r="H95" t="str">
        <f>VLOOKUP(Table1[[#This Row],[City]],Table6[#All],2,FALSE)</f>
        <v>South</v>
      </c>
      <c r="I95" t="s">
        <v>3203</v>
      </c>
      <c r="J95" t="str">
        <f>_xlfn.XLOOKUP(Table1[[#This Row],[Tractor Model]],Table7[Product Model],Table7[Product Category],"Not Available",0)</f>
        <v>Kubota</v>
      </c>
      <c r="K95" s="4">
        <v>8</v>
      </c>
      <c r="L95" s="72">
        <v>690561</v>
      </c>
      <c r="M95" s="4">
        <f>INDEX('Master Sheet'!$C$4:$C$12,MATCH(Table1[[#This Row],[Quantity]],'Master Sheet'!$B$4:$B$12,0))</f>
        <v>9</v>
      </c>
      <c r="N95" s="71">
        <f>Table1[[#This Row],[Quantity]]*Table1[[#This Row],[Unit Price]]</f>
        <v>5524488</v>
      </c>
      <c r="O95" s="73">
        <v>0.55244879999999996</v>
      </c>
      <c r="P95" s="70">
        <f>Table1[[#This Row],[Gross Amount]]*(1-(Table1[[#This Row],[Discount %]]/100))</f>
        <v>5027284.08</v>
      </c>
      <c r="Q95" s="74">
        <f>(Table1[[#This Row],[Gross Amount]]*(1-(Table1[[#This Row],[Discount %]]/100)))/10000000</f>
        <v>0.50272840799999996</v>
      </c>
      <c r="R95" t="s">
        <v>25</v>
      </c>
      <c r="S95" t="str" cm="1">
        <f t="array" ref="S95">IFERROR(_xlfn.IFS(Table1[[#This Row],[Payment Status]]="Partial","In Transit",Table1[[#This Row],[Payment Status]]="Paid","Delivered",Table1[[#This Row],[Payment Status]]="Pending","Pending"),"Invalid Input")</f>
        <v>In Transit</v>
      </c>
      <c r="T95" t="s">
        <v>27</v>
      </c>
      <c r="U95" t="str" cm="1">
        <f t="array" ref="U95">IFERROR(_xlfn.IFS(Table1[[#This Row],[Payment Status]]="Partial","In Transit",Table1[[#This Row],[Payment Status]]="Paid","Completed",Table1[[#This Row],[Payment Status]]="Pending","Pending"),"Invalid Input")</f>
        <v>In Transit</v>
      </c>
    </row>
    <row r="96" spans="1:21" x14ac:dyDescent="0.25">
      <c r="A96" s="4" t="s">
        <v>261</v>
      </c>
      <c r="B96" s="5">
        <v>45758</v>
      </c>
      <c r="C96" t="s">
        <v>62</v>
      </c>
      <c r="D96" t="s">
        <v>3271</v>
      </c>
      <c r="E96" t="s">
        <v>30</v>
      </c>
      <c r="F96" t="s">
        <v>3217</v>
      </c>
      <c r="G96" t="s">
        <v>31</v>
      </c>
      <c r="H96" t="str">
        <f>VLOOKUP(Table1[[#This Row],[City]],Table6[#All],2,FALSE)</f>
        <v>South</v>
      </c>
      <c r="I96" t="s">
        <v>58</v>
      </c>
      <c r="J96" t="str">
        <f>_xlfn.XLOOKUP(Table1[[#This Row],[Tractor Model]],Table7[Product Model],Table7[Product Category],"Not Available",0)</f>
        <v>Powertrac</v>
      </c>
      <c r="K96" s="4">
        <v>2</v>
      </c>
      <c r="L96" s="72">
        <v>689097</v>
      </c>
      <c r="M96" s="4">
        <f>INDEX('Master Sheet'!$C$4:$C$12,MATCH(Table1[[#This Row],[Quantity]],'Master Sheet'!$B$4:$B$12,0))</f>
        <v>5</v>
      </c>
      <c r="N96" s="71">
        <f>Table1[[#This Row],[Quantity]]*Table1[[#This Row],[Unit Price]]</f>
        <v>1378194</v>
      </c>
      <c r="O96" s="73">
        <v>0.13781940000000001</v>
      </c>
      <c r="P96" s="70">
        <f>Table1[[#This Row],[Gross Amount]]*(1-(Table1[[#This Row],[Discount %]]/100))</f>
        <v>1309284.3</v>
      </c>
      <c r="Q96" s="74">
        <f>(Table1[[#This Row],[Gross Amount]]*(1-(Table1[[#This Row],[Discount %]]/100)))/10000000</f>
        <v>0.13092843000000001</v>
      </c>
      <c r="R96" t="s">
        <v>42</v>
      </c>
      <c r="S96" t="str" cm="1">
        <f t="array" ref="S96">IFERROR(_xlfn.IFS(Table1[[#This Row],[Payment Status]]="Partial","In Transit",Table1[[#This Row],[Payment Status]]="Paid","Delivered",Table1[[#This Row],[Payment Status]]="Pending","Pending"),"Invalid Input")</f>
        <v>Pending</v>
      </c>
      <c r="T96" t="s">
        <v>27</v>
      </c>
      <c r="U96" t="str" cm="1">
        <f t="array" ref="U96">IFERROR(_xlfn.IFS(Table1[[#This Row],[Payment Status]]="Partial","In Transit",Table1[[#This Row],[Payment Status]]="Paid","Completed",Table1[[#This Row],[Payment Status]]="Pending","Pending"),"Invalid Input")</f>
        <v>Pending</v>
      </c>
    </row>
    <row r="97" spans="1:21" x14ac:dyDescent="0.25">
      <c r="A97" s="4" t="s">
        <v>263</v>
      </c>
      <c r="B97" s="5">
        <v>45490</v>
      </c>
      <c r="C97" t="s">
        <v>73</v>
      </c>
      <c r="D97" t="s">
        <v>37</v>
      </c>
      <c r="E97" t="s">
        <v>38</v>
      </c>
      <c r="F97" t="s">
        <v>3214</v>
      </c>
      <c r="G97" t="s">
        <v>39</v>
      </c>
      <c r="H97" t="str">
        <f>VLOOKUP(Table1[[#This Row],[City]],Table6[#All],2,FALSE)</f>
        <v>West</v>
      </c>
      <c r="I97" t="s">
        <v>3203</v>
      </c>
      <c r="J97" t="str">
        <f>_xlfn.XLOOKUP(Table1[[#This Row],[Tractor Model]],Table7[Product Model],Table7[Product Category],"Not Available",0)</f>
        <v>Kubota</v>
      </c>
      <c r="K97" s="4">
        <v>1</v>
      </c>
      <c r="L97" s="72">
        <v>260229</v>
      </c>
      <c r="M97" s="4">
        <f>INDEX('Master Sheet'!$C$4:$C$12,MATCH(Table1[[#This Row],[Quantity]],'Master Sheet'!$B$4:$B$12,0))</f>
        <v>3</v>
      </c>
      <c r="N97" s="71">
        <f>Table1[[#This Row],[Quantity]]*Table1[[#This Row],[Unit Price]]</f>
        <v>260229</v>
      </c>
      <c r="O97" s="73">
        <v>2.6022900000000002E-2</v>
      </c>
      <c r="P97" s="70">
        <f>Table1[[#This Row],[Gross Amount]]*(1-(Table1[[#This Row],[Discount %]]/100))</f>
        <v>252422.13</v>
      </c>
      <c r="Q97" s="74">
        <f>(Table1[[#This Row],[Gross Amount]]*(1-(Table1[[#This Row],[Discount %]]/100)))/10000000</f>
        <v>2.5242212999999999E-2</v>
      </c>
      <c r="R97" t="s">
        <v>42</v>
      </c>
      <c r="S97" t="str" cm="1">
        <f t="array" ref="S97">IFERROR(_xlfn.IFS(Table1[[#This Row],[Payment Status]]="Partial","In Transit",Table1[[#This Row],[Payment Status]]="Paid","Delivered",Table1[[#This Row],[Payment Status]]="Pending","Pending"),"Invalid Input")</f>
        <v>Pending</v>
      </c>
      <c r="T97" t="s">
        <v>27</v>
      </c>
      <c r="U97" t="str" cm="1">
        <f t="array" ref="U97">IFERROR(_xlfn.IFS(Table1[[#This Row],[Payment Status]]="Partial","In Transit",Table1[[#This Row],[Payment Status]]="Paid","Completed",Table1[[#This Row],[Payment Status]]="Pending","Pending"),"Invalid Input")</f>
        <v>Pending</v>
      </c>
    </row>
    <row r="98" spans="1:21" x14ac:dyDescent="0.25">
      <c r="A98" s="4" t="s">
        <v>265</v>
      </c>
      <c r="B98" s="5">
        <v>45762</v>
      </c>
      <c r="C98" t="s">
        <v>41</v>
      </c>
      <c r="D98" t="s">
        <v>3270</v>
      </c>
      <c r="E98" t="s">
        <v>47</v>
      </c>
      <c r="F98" t="s">
        <v>3205</v>
      </c>
      <c r="G98" t="s">
        <v>48</v>
      </c>
      <c r="H98" t="str">
        <f>VLOOKUP(Table1[[#This Row],[City]],Table6[#All],2,FALSE)</f>
        <v>North</v>
      </c>
      <c r="I98" t="s">
        <v>53</v>
      </c>
      <c r="J98" t="str">
        <f>_xlfn.XLOOKUP(Table1[[#This Row],[Tractor Model]],Table7[Product Model],Table7[Product Category],"Not Available",0)</f>
        <v>Farmtrac</v>
      </c>
      <c r="K98" s="4">
        <v>4</v>
      </c>
      <c r="L98" s="72">
        <v>740417</v>
      </c>
      <c r="M98" s="4">
        <f>INDEX('Master Sheet'!$C$4:$C$12,MATCH(Table1[[#This Row],[Quantity]],'Master Sheet'!$B$4:$B$12,0))</f>
        <v>6</v>
      </c>
      <c r="N98" s="71">
        <f>Table1[[#This Row],[Quantity]]*Table1[[#This Row],[Unit Price]]</f>
        <v>2961668</v>
      </c>
      <c r="O98" s="73">
        <v>0.29616680000000001</v>
      </c>
      <c r="P98" s="70">
        <f>Table1[[#This Row],[Gross Amount]]*(1-(Table1[[#This Row],[Discount %]]/100))</f>
        <v>2783967.92</v>
      </c>
      <c r="Q98" s="74">
        <f>(Table1[[#This Row],[Gross Amount]]*(1-(Table1[[#This Row],[Discount %]]/100)))/10000000</f>
        <v>0.278396792</v>
      </c>
      <c r="R98" t="s">
        <v>42</v>
      </c>
      <c r="S98" t="str" cm="1">
        <f t="array" ref="S98">IFERROR(_xlfn.IFS(Table1[[#This Row],[Payment Status]]="Partial","In Transit",Table1[[#This Row],[Payment Status]]="Paid","Delivered",Table1[[#This Row],[Payment Status]]="Pending","Pending"),"Invalid Input")</f>
        <v>Pending</v>
      </c>
      <c r="T98" t="s">
        <v>44</v>
      </c>
      <c r="U98" t="str" cm="1">
        <f t="array" ref="U98">IFERROR(_xlfn.IFS(Table1[[#This Row],[Payment Status]]="Partial","In Transit",Table1[[#This Row],[Payment Status]]="Paid","Completed",Table1[[#This Row],[Payment Status]]="Pending","Pending"),"Invalid Input")</f>
        <v>Pending</v>
      </c>
    </row>
    <row r="99" spans="1:21" x14ac:dyDescent="0.25">
      <c r="A99" s="4" t="s">
        <v>267</v>
      </c>
      <c r="B99" s="5">
        <v>45716</v>
      </c>
      <c r="C99" t="s">
        <v>52</v>
      </c>
      <c r="D99" t="s">
        <v>3270</v>
      </c>
      <c r="E99" t="s">
        <v>47</v>
      </c>
      <c r="F99" t="s">
        <v>3205</v>
      </c>
      <c r="G99" t="s">
        <v>48</v>
      </c>
      <c r="H99" t="str">
        <f>VLOOKUP(Table1[[#This Row],[City]],Table6[#All],2,FALSE)</f>
        <v>North</v>
      </c>
      <c r="I99" t="s">
        <v>58</v>
      </c>
      <c r="J99" t="str">
        <f>_xlfn.XLOOKUP(Table1[[#This Row],[Tractor Model]],Table7[Product Model],Table7[Product Category],"Not Available",0)</f>
        <v>Powertrac</v>
      </c>
      <c r="K99" s="4">
        <v>3</v>
      </c>
      <c r="L99" s="72">
        <v>534614</v>
      </c>
      <c r="M99" s="4">
        <f>INDEX('Master Sheet'!$C$4:$C$12,MATCH(Table1[[#This Row],[Quantity]],'Master Sheet'!$B$4:$B$12,0))</f>
        <v>6</v>
      </c>
      <c r="N99" s="71">
        <f>Table1[[#This Row],[Quantity]]*Table1[[#This Row],[Unit Price]]</f>
        <v>1603842</v>
      </c>
      <c r="O99" s="73">
        <v>0.1603842</v>
      </c>
      <c r="P99" s="70">
        <f>Table1[[#This Row],[Gross Amount]]*(1-(Table1[[#This Row],[Discount %]]/100))</f>
        <v>1507611.48</v>
      </c>
      <c r="Q99" s="74">
        <f>(Table1[[#This Row],[Gross Amount]]*(1-(Table1[[#This Row],[Discount %]]/100)))/10000000</f>
        <v>0.15076114800000001</v>
      </c>
      <c r="R99" t="s">
        <v>42</v>
      </c>
      <c r="S99" t="str" cm="1">
        <f t="array" ref="S99">IFERROR(_xlfn.IFS(Table1[[#This Row],[Payment Status]]="Partial","In Transit",Table1[[#This Row],[Payment Status]]="Paid","Delivered",Table1[[#This Row],[Payment Status]]="Pending","Pending"),"Invalid Input")</f>
        <v>Pending</v>
      </c>
      <c r="T99" t="s">
        <v>27</v>
      </c>
      <c r="U99" t="str" cm="1">
        <f t="array" ref="U99">IFERROR(_xlfn.IFS(Table1[[#This Row],[Payment Status]]="Partial","In Transit",Table1[[#This Row],[Payment Status]]="Paid","Completed",Table1[[#This Row],[Payment Status]]="Pending","Pending"),"Invalid Input")</f>
        <v>Pending</v>
      </c>
    </row>
    <row r="100" spans="1:21" x14ac:dyDescent="0.25">
      <c r="A100" s="4" t="s">
        <v>269</v>
      </c>
      <c r="B100" s="5">
        <v>45804</v>
      </c>
      <c r="C100" t="s">
        <v>33</v>
      </c>
      <c r="D100" t="s">
        <v>3271</v>
      </c>
      <c r="E100" t="s">
        <v>38</v>
      </c>
      <c r="F100" t="s">
        <v>3210</v>
      </c>
      <c r="G100" t="s">
        <v>39</v>
      </c>
      <c r="H100" t="str">
        <f>VLOOKUP(Table1[[#This Row],[City]],Table6[#All],2,FALSE)</f>
        <v>West</v>
      </c>
      <c r="I100" t="s">
        <v>24</v>
      </c>
      <c r="J100" t="str">
        <f>_xlfn.XLOOKUP(Table1[[#This Row],[Tractor Model]],Table7[Product Model],Table7[Product Category],"Not Available",0)</f>
        <v>Farmtrac</v>
      </c>
      <c r="K100" s="4">
        <v>1</v>
      </c>
      <c r="L100" s="72">
        <v>318448</v>
      </c>
      <c r="M100" s="4">
        <f>INDEX('Master Sheet'!$C$4:$C$12,MATCH(Table1[[#This Row],[Quantity]],'Master Sheet'!$B$4:$B$12,0))</f>
        <v>3</v>
      </c>
      <c r="N100" s="71">
        <f>Table1[[#This Row],[Quantity]]*Table1[[#This Row],[Unit Price]]</f>
        <v>318448</v>
      </c>
      <c r="O100" s="73">
        <v>3.1844799999999999E-2</v>
      </c>
      <c r="P100" s="70">
        <f>Table1[[#This Row],[Gross Amount]]*(1-(Table1[[#This Row],[Discount %]]/100))</f>
        <v>308894.56</v>
      </c>
      <c r="Q100" s="74">
        <f>(Table1[[#This Row],[Gross Amount]]*(1-(Table1[[#This Row],[Discount %]]/100)))/10000000</f>
        <v>3.0889455999999999E-2</v>
      </c>
      <c r="R100" t="s">
        <v>25</v>
      </c>
      <c r="S100" t="str" cm="1">
        <f t="array" ref="S100">IFERROR(_xlfn.IFS(Table1[[#This Row],[Payment Status]]="Partial","In Transit",Table1[[#This Row],[Payment Status]]="Paid","Delivered",Table1[[#This Row],[Payment Status]]="Pending","Pending"),"Invalid Input")</f>
        <v>In Transit</v>
      </c>
      <c r="T100" t="s">
        <v>27</v>
      </c>
      <c r="U100" t="str" cm="1">
        <f t="array" ref="U100">IFERROR(_xlfn.IFS(Table1[[#This Row],[Payment Status]]="Partial","In Transit",Table1[[#This Row],[Payment Status]]="Paid","Completed",Table1[[#This Row],[Payment Status]]="Pending","Pending"),"Invalid Input")</f>
        <v>In Transit</v>
      </c>
    </row>
    <row r="101" spans="1:21" x14ac:dyDescent="0.25">
      <c r="A101" s="4" t="s">
        <v>271</v>
      </c>
      <c r="B101" s="5">
        <v>45677</v>
      </c>
      <c r="C101" t="s">
        <v>52</v>
      </c>
      <c r="D101" t="s">
        <v>3268</v>
      </c>
      <c r="E101" t="s">
        <v>66</v>
      </c>
      <c r="F101" t="s">
        <v>3211</v>
      </c>
      <c r="G101" t="s">
        <v>67</v>
      </c>
      <c r="H101" t="str">
        <f>VLOOKUP(Table1[[#This Row],[City]],Table6[#All],2,FALSE)</f>
        <v>East</v>
      </c>
      <c r="I101" t="s">
        <v>3204</v>
      </c>
      <c r="J101" t="str">
        <f>_xlfn.XLOOKUP(Table1[[#This Row],[Tractor Model]],Table7[Product Model],Table7[Product Category],"Not Available",0)</f>
        <v>Kubota</v>
      </c>
      <c r="K101" s="4">
        <v>8</v>
      </c>
      <c r="L101" s="72">
        <v>293552</v>
      </c>
      <c r="M101" s="4">
        <f>INDEX('Master Sheet'!$C$4:$C$12,MATCH(Table1[[#This Row],[Quantity]],'Master Sheet'!$B$4:$B$12,0))</f>
        <v>9</v>
      </c>
      <c r="N101" s="71">
        <f>Table1[[#This Row],[Quantity]]*Table1[[#This Row],[Unit Price]]</f>
        <v>2348416</v>
      </c>
      <c r="O101" s="73">
        <v>0.23484160000000001</v>
      </c>
      <c r="P101" s="70">
        <f>Table1[[#This Row],[Gross Amount]]*(1-(Table1[[#This Row],[Discount %]]/100))</f>
        <v>2137058.56</v>
      </c>
      <c r="Q101" s="74">
        <f>(Table1[[#This Row],[Gross Amount]]*(1-(Table1[[#This Row],[Discount %]]/100)))/10000000</f>
        <v>0.213705856</v>
      </c>
      <c r="R101" t="s">
        <v>25</v>
      </c>
      <c r="S101" t="str" cm="1">
        <f t="array" ref="S101">IFERROR(_xlfn.IFS(Table1[[#This Row],[Payment Status]]="Partial","In Transit",Table1[[#This Row],[Payment Status]]="Paid","Delivered",Table1[[#This Row],[Payment Status]]="Pending","Pending"),"Invalid Input")</f>
        <v>In Transit</v>
      </c>
      <c r="T101" t="s">
        <v>27</v>
      </c>
      <c r="U101" t="str" cm="1">
        <f t="array" ref="U101">IFERROR(_xlfn.IFS(Table1[[#This Row],[Payment Status]]="Partial","In Transit",Table1[[#This Row],[Payment Status]]="Paid","Completed",Table1[[#This Row],[Payment Status]]="Pending","Pending"),"Invalid Input")</f>
        <v>In Transit</v>
      </c>
    </row>
    <row r="102" spans="1:21" x14ac:dyDescent="0.25">
      <c r="A102" s="4" t="s">
        <v>273</v>
      </c>
      <c r="B102" s="5">
        <v>45432</v>
      </c>
      <c r="C102" t="s">
        <v>62</v>
      </c>
      <c r="D102" t="s">
        <v>3268</v>
      </c>
      <c r="E102" t="s">
        <v>47</v>
      </c>
      <c r="F102" t="s">
        <v>3216</v>
      </c>
      <c r="G102" t="s">
        <v>48</v>
      </c>
      <c r="H102" t="str">
        <f>VLOOKUP(Table1[[#This Row],[City]],Table6[#All],2,FALSE)</f>
        <v>North</v>
      </c>
      <c r="I102" t="s">
        <v>24</v>
      </c>
      <c r="J102" t="str">
        <f>_xlfn.XLOOKUP(Table1[[#This Row],[Tractor Model]],Table7[Product Model],Table7[Product Category],"Not Available",0)</f>
        <v>Farmtrac</v>
      </c>
      <c r="K102" s="4">
        <v>5</v>
      </c>
      <c r="L102" s="72">
        <v>836285</v>
      </c>
      <c r="M102" s="4">
        <f>INDEX('Master Sheet'!$C$4:$C$12,MATCH(Table1[[#This Row],[Quantity]],'Master Sheet'!$B$4:$B$12,0))</f>
        <v>7</v>
      </c>
      <c r="N102" s="71">
        <f>Table1[[#This Row],[Quantity]]*Table1[[#This Row],[Unit Price]]</f>
        <v>4181425</v>
      </c>
      <c r="O102" s="73">
        <v>0.41814249999999997</v>
      </c>
      <c r="P102" s="70">
        <f>Table1[[#This Row],[Gross Amount]]*(1-(Table1[[#This Row],[Discount %]]/100))</f>
        <v>3888725.2499999995</v>
      </c>
      <c r="Q102" s="74">
        <f>(Table1[[#This Row],[Gross Amount]]*(1-(Table1[[#This Row],[Discount %]]/100)))/10000000</f>
        <v>0.38887252499999997</v>
      </c>
      <c r="R102" t="s">
        <v>54</v>
      </c>
      <c r="S102" t="str" cm="1">
        <f t="array" ref="S102">IFERROR(_xlfn.IFS(Table1[[#This Row],[Payment Status]]="Partial","In Transit",Table1[[#This Row],[Payment Status]]="Paid","Delivered",Table1[[#This Row],[Payment Status]]="Pending","Pending"),"Invalid Input")</f>
        <v>Delivered</v>
      </c>
      <c r="T102" t="s">
        <v>27</v>
      </c>
      <c r="U102" t="str" cm="1">
        <f t="array" ref="U102">IFERROR(_xlfn.IFS(Table1[[#This Row],[Payment Status]]="Partial","In Transit",Table1[[#This Row],[Payment Status]]="Paid","Completed",Table1[[#This Row],[Payment Status]]="Pending","Pending"),"Invalid Input")</f>
        <v>Completed</v>
      </c>
    </row>
    <row r="103" spans="1:21" x14ac:dyDescent="0.25">
      <c r="A103" s="4" t="s">
        <v>275</v>
      </c>
      <c r="B103" s="5">
        <v>45822</v>
      </c>
      <c r="C103" t="s">
        <v>73</v>
      </c>
      <c r="D103" t="s">
        <v>3271</v>
      </c>
      <c r="E103" t="s">
        <v>30</v>
      </c>
      <c r="F103" t="s">
        <v>3217</v>
      </c>
      <c r="G103" t="s">
        <v>31</v>
      </c>
      <c r="H103" t="str">
        <f>VLOOKUP(Table1[[#This Row],[City]],Table6[#All],2,FALSE)</f>
        <v>South</v>
      </c>
      <c r="I103" t="s">
        <v>58</v>
      </c>
      <c r="J103" t="str">
        <f>_xlfn.XLOOKUP(Table1[[#This Row],[Tractor Model]],Table7[Product Model],Table7[Product Category],"Not Available",0)</f>
        <v>Powertrac</v>
      </c>
      <c r="K103" s="4">
        <v>2</v>
      </c>
      <c r="L103" s="72">
        <v>418035</v>
      </c>
      <c r="M103" s="4">
        <f>INDEX('Master Sheet'!$C$4:$C$12,MATCH(Table1[[#This Row],[Quantity]],'Master Sheet'!$B$4:$B$12,0))</f>
        <v>5</v>
      </c>
      <c r="N103" s="71">
        <f>Table1[[#This Row],[Quantity]]*Table1[[#This Row],[Unit Price]]</f>
        <v>836070</v>
      </c>
      <c r="O103" s="73">
        <v>8.3607000000000001E-2</v>
      </c>
      <c r="P103" s="70">
        <f>Table1[[#This Row],[Gross Amount]]*(1-(Table1[[#This Row],[Discount %]]/100))</f>
        <v>794266.5</v>
      </c>
      <c r="Q103" s="74">
        <f>(Table1[[#This Row],[Gross Amount]]*(1-(Table1[[#This Row],[Discount %]]/100)))/10000000</f>
        <v>7.9426650000000001E-2</v>
      </c>
      <c r="R103" t="s">
        <v>42</v>
      </c>
      <c r="S103" t="str" cm="1">
        <f t="array" ref="S103">IFERROR(_xlfn.IFS(Table1[[#This Row],[Payment Status]]="Partial","In Transit",Table1[[#This Row],[Payment Status]]="Paid","Delivered",Table1[[#This Row],[Payment Status]]="Pending","Pending"),"Invalid Input")</f>
        <v>Pending</v>
      </c>
      <c r="T103" t="s">
        <v>27</v>
      </c>
      <c r="U103" t="str" cm="1">
        <f t="array" ref="U103">IFERROR(_xlfn.IFS(Table1[[#This Row],[Payment Status]]="Partial","In Transit",Table1[[#This Row],[Payment Status]]="Paid","Completed",Table1[[#This Row],[Payment Status]]="Pending","Pending"),"Invalid Input")</f>
        <v>Pending</v>
      </c>
    </row>
    <row r="104" spans="1:21" x14ac:dyDescent="0.25">
      <c r="A104" s="4" t="s">
        <v>277</v>
      </c>
      <c r="B104" s="5">
        <v>45481</v>
      </c>
      <c r="C104" t="s">
        <v>41</v>
      </c>
      <c r="D104" t="s">
        <v>3268</v>
      </c>
      <c r="E104" t="s">
        <v>119</v>
      </c>
      <c r="F104" t="s">
        <v>3227</v>
      </c>
      <c r="G104" t="s">
        <v>21</v>
      </c>
      <c r="H104" t="str">
        <f>VLOOKUP(Table1[[#This Row],[City]],Table6[#All],2,FALSE)</f>
        <v>North</v>
      </c>
      <c r="I104" t="s">
        <v>24</v>
      </c>
      <c r="J104" t="str">
        <f>_xlfn.XLOOKUP(Table1[[#This Row],[Tractor Model]],Table7[Product Model],Table7[Product Category],"Not Available",0)</f>
        <v>Farmtrac</v>
      </c>
      <c r="K104" s="4">
        <v>3</v>
      </c>
      <c r="L104" s="72">
        <v>366258</v>
      </c>
      <c r="M104" s="4">
        <f>INDEX('Master Sheet'!$C$4:$C$12,MATCH(Table1[[#This Row],[Quantity]],'Master Sheet'!$B$4:$B$12,0))</f>
        <v>6</v>
      </c>
      <c r="N104" s="71">
        <f>Table1[[#This Row],[Quantity]]*Table1[[#This Row],[Unit Price]]</f>
        <v>1098774</v>
      </c>
      <c r="O104" s="73">
        <v>0.1098774</v>
      </c>
      <c r="P104" s="70">
        <f>Table1[[#This Row],[Gross Amount]]*(1-(Table1[[#This Row],[Discount %]]/100))</f>
        <v>1032847.5599999999</v>
      </c>
      <c r="Q104" s="74">
        <f>(Table1[[#This Row],[Gross Amount]]*(1-(Table1[[#This Row],[Discount %]]/100)))/10000000</f>
        <v>0.10328475599999999</v>
      </c>
      <c r="R104" t="s">
        <v>42</v>
      </c>
      <c r="S104" t="str" cm="1">
        <f t="array" ref="S104">IFERROR(_xlfn.IFS(Table1[[#This Row],[Payment Status]]="Partial","In Transit",Table1[[#This Row],[Payment Status]]="Paid","Delivered",Table1[[#This Row],[Payment Status]]="Pending","Pending"),"Invalid Input")</f>
        <v>Pending</v>
      </c>
      <c r="T104" t="s">
        <v>27</v>
      </c>
      <c r="U104" t="str" cm="1">
        <f t="array" ref="U104">IFERROR(_xlfn.IFS(Table1[[#This Row],[Payment Status]]="Partial","In Transit",Table1[[#This Row],[Payment Status]]="Paid","Completed",Table1[[#This Row],[Payment Status]]="Pending","Pending"),"Invalid Input")</f>
        <v>Pending</v>
      </c>
    </row>
    <row r="105" spans="1:21" x14ac:dyDescent="0.25">
      <c r="A105" s="4" t="s">
        <v>279</v>
      </c>
      <c r="B105" s="5">
        <v>45629</v>
      </c>
      <c r="C105" t="s">
        <v>33</v>
      </c>
      <c r="D105" t="s">
        <v>3271</v>
      </c>
      <c r="E105" t="s">
        <v>119</v>
      </c>
      <c r="F105" t="s">
        <v>3228</v>
      </c>
      <c r="G105" t="s">
        <v>21</v>
      </c>
      <c r="H105" t="str">
        <f>VLOOKUP(Table1[[#This Row],[City]],Table6[#All],2,FALSE)</f>
        <v>North</v>
      </c>
      <c r="I105" t="s">
        <v>3204</v>
      </c>
      <c r="J105" t="str">
        <f>_xlfn.XLOOKUP(Table1[[#This Row],[Tractor Model]],Table7[Product Model],Table7[Product Category],"Not Available",0)</f>
        <v>Kubota</v>
      </c>
      <c r="K105" s="4">
        <v>7</v>
      </c>
      <c r="L105" s="72">
        <v>246449</v>
      </c>
      <c r="M105" s="4">
        <f>INDEX('Master Sheet'!$C$4:$C$12,MATCH(Table1[[#This Row],[Quantity]],'Master Sheet'!$B$4:$B$12,0))</f>
        <v>9</v>
      </c>
      <c r="N105" s="71">
        <f>Table1[[#This Row],[Quantity]]*Table1[[#This Row],[Unit Price]]</f>
        <v>1725143</v>
      </c>
      <c r="O105" s="73">
        <v>0.17251430000000001</v>
      </c>
      <c r="P105" s="70">
        <f>Table1[[#This Row],[Gross Amount]]*(1-(Table1[[#This Row],[Discount %]]/100))</f>
        <v>1569880.1300000001</v>
      </c>
      <c r="Q105" s="74">
        <f>(Table1[[#This Row],[Gross Amount]]*(1-(Table1[[#This Row],[Discount %]]/100)))/10000000</f>
        <v>0.15698801300000001</v>
      </c>
      <c r="R105" t="s">
        <v>25</v>
      </c>
      <c r="S105" t="str" cm="1">
        <f t="array" ref="S105">IFERROR(_xlfn.IFS(Table1[[#This Row],[Payment Status]]="Partial","In Transit",Table1[[#This Row],[Payment Status]]="Paid","Delivered",Table1[[#This Row],[Payment Status]]="Pending","Pending"),"Invalid Input")</f>
        <v>In Transit</v>
      </c>
      <c r="T105" t="s">
        <v>44</v>
      </c>
      <c r="U105" t="str" cm="1">
        <f t="array" ref="U105">IFERROR(_xlfn.IFS(Table1[[#This Row],[Payment Status]]="Partial","In Transit",Table1[[#This Row],[Payment Status]]="Paid","Completed",Table1[[#This Row],[Payment Status]]="Pending","Pending"),"Invalid Input")</f>
        <v>In Transit</v>
      </c>
    </row>
    <row r="106" spans="1:21" x14ac:dyDescent="0.25">
      <c r="A106" s="4" t="s">
        <v>281</v>
      </c>
      <c r="B106" s="5">
        <v>45315</v>
      </c>
      <c r="C106" t="s">
        <v>62</v>
      </c>
      <c r="D106" t="s">
        <v>3271</v>
      </c>
      <c r="E106" t="s">
        <v>66</v>
      </c>
      <c r="F106" t="s">
        <v>3207</v>
      </c>
      <c r="G106" t="s">
        <v>67</v>
      </c>
      <c r="H106" t="str">
        <f>VLOOKUP(Table1[[#This Row],[City]],Table6[#All],2,FALSE)</f>
        <v>East</v>
      </c>
      <c r="I106" t="s">
        <v>24</v>
      </c>
      <c r="J106" t="str">
        <f>_xlfn.XLOOKUP(Table1[[#This Row],[Tractor Model]],Table7[Product Model],Table7[Product Category],"Not Available",0)</f>
        <v>Farmtrac</v>
      </c>
      <c r="K106" s="4">
        <v>5</v>
      </c>
      <c r="L106" s="72">
        <v>617288</v>
      </c>
      <c r="M106" s="4">
        <f>INDEX('Master Sheet'!$C$4:$C$12,MATCH(Table1[[#This Row],[Quantity]],'Master Sheet'!$B$4:$B$12,0))</f>
        <v>7</v>
      </c>
      <c r="N106" s="71">
        <f>Table1[[#This Row],[Quantity]]*Table1[[#This Row],[Unit Price]]</f>
        <v>3086440</v>
      </c>
      <c r="O106" s="73">
        <v>0.30864399999999997</v>
      </c>
      <c r="P106" s="70">
        <f>Table1[[#This Row],[Gross Amount]]*(1-(Table1[[#This Row],[Discount %]]/100))</f>
        <v>2870389.1999999997</v>
      </c>
      <c r="Q106" s="74">
        <f>(Table1[[#This Row],[Gross Amount]]*(1-(Table1[[#This Row],[Discount %]]/100)))/10000000</f>
        <v>0.28703891999999998</v>
      </c>
      <c r="R106" t="s">
        <v>25</v>
      </c>
      <c r="S106" t="str" cm="1">
        <f t="array" ref="S106">IFERROR(_xlfn.IFS(Table1[[#This Row],[Payment Status]]="Partial","In Transit",Table1[[#This Row],[Payment Status]]="Paid","Delivered",Table1[[#This Row],[Payment Status]]="Pending","Pending"),"Invalid Input")</f>
        <v>In Transit</v>
      </c>
      <c r="T106" t="s">
        <v>27</v>
      </c>
      <c r="U106" t="str" cm="1">
        <f t="array" ref="U106">IFERROR(_xlfn.IFS(Table1[[#This Row],[Payment Status]]="Partial","In Transit",Table1[[#This Row],[Payment Status]]="Paid","Completed",Table1[[#This Row],[Payment Status]]="Pending","Pending"),"Invalid Input")</f>
        <v>In Transit</v>
      </c>
    </row>
    <row r="107" spans="1:21" x14ac:dyDescent="0.25">
      <c r="A107" s="4" t="s">
        <v>283</v>
      </c>
      <c r="B107" s="5">
        <v>45799</v>
      </c>
      <c r="C107" t="s">
        <v>62</v>
      </c>
      <c r="D107" t="s">
        <v>37</v>
      </c>
      <c r="E107" t="s">
        <v>119</v>
      </c>
      <c r="F107" t="s">
        <v>3224</v>
      </c>
      <c r="G107" t="s">
        <v>21</v>
      </c>
      <c r="H107" t="str">
        <f>VLOOKUP(Table1[[#This Row],[City]],Table6[#All],2,FALSE)</f>
        <v>North</v>
      </c>
      <c r="I107" t="s">
        <v>53</v>
      </c>
      <c r="J107" t="str">
        <f>_xlfn.XLOOKUP(Table1[[#This Row],[Tractor Model]],Table7[Product Model],Table7[Product Category],"Not Available",0)</f>
        <v>Farmtrac</v>
      </c>
      <c r="K107" s="4">
        <v>6</v>
      </c>
      <c r="L107" s="72">
        <v>290458</v>
      </c>
      <c r="M107" s="4">
        <f>INDEX('Master Sheet'!$C$4:$C$12,MATCH(Table1[[#This Row],[Quantity]],'Master Sheet'!$B$4:$B$12,0))</f>
        <v>8</v>
      </c>
      <c r="N107" s="71">
        <f>Table1[[#This Row],[Quantity]]*Table1[[#This Row],[Unit Price]]</f>
        <v>1742748</v>
      </c>
      <c r="O107" s="73">
        <v>0.17427480000000001</v>
      </c>
      <c r="P107" s="70">
        <f>Table1[[#This Row],[Gross Amount]]*(1-(Table1[[#This Row],[Discount %]]/100))</f>
        <v>1603328.1600000001</v>
      </c>
      <c r="Q107" s="74">
        <f>(Table1[[#This Row],[Gross Amount]]*(1-(Table1[[#This Row],[Discount %]]/100)))/10000000</f>
        <v>0.16033281600000002</v>
      </c>
      <c r="R107" t="s">
        <v>54</v>
      </c>
      <c r="S107" t="str" cm="1">
        <f t="array" ref="S107">IFERROR(_xlfn.IFS(Table1[[#This Row],[Payment Status]]="Partial","In Transit",Table1[[#This Row],[Payment Status]]="Paid","Delivered",Table1[[#This Row],[Payment Status]]="Pending","Pending"),"Invalid Input")</f>
        <v>Delivered</v>
      </c>
      <c r="T107" t="s">
        <v>27</v>
      </c>
      <c r="U107" t="str" cm="1">
        <f t="array" ref="U107">IFERROR(_xlfn.IFS(Table1[[#This Row],[Payment Status]]="Partial","In Transit",Table1[[#This Row],[Payment Status]]="Paid","Completed",Table1[[#This Row],[Payment Status]]="Pending","Pending"),"Invalid Input")</f>
        <v>Completed</v>
      </c>
    </row>
    <row r="108" spans="1:21" x14ac:dyDescent="0.25">
      <c r="A108" s="4" t="s">
        <v>285</v>
      </c>
      <c r="B108" s="5">
        <v>45715</v>
      </c>
      <c r="C108" t="s">
        <v>33</v>
      </c>
      <c r="D108" t="s">
        <v>3270</v>
      </c>
      <c r="E108" t="s">
        <v>38</v>
      </c>
      <c r="F108" t="s">
        <v>3218</v>
      </c>
      <c r="G108" t="s">
        <v>39</v>
      </c>
      <c r="H108" t="str">
        <f>VLOOKUP(Table1[[#This Row],[City]],Table6[#All],2,FALSE)</f>
        <v>West</v>
      </c>
      <c r="I108" t="s">
        <v>3204</v>
      </c>
      <c r="J108" t="str">
        <f>_xlfn.XLOOKUP(Table1[[#This Row],[Tractor Model]],Table7[Product Model],Table7[Product Category],"Not Available",0)</f>
        <v>Kubota</v>
      </c>
      <c r="K108" s="4">
        <v>6</v>
      </c>
      <c r="L108" s="72">
        <v>751757</v>
      </c>
      <c r="M108" s="4">
        <f>INDEX('Master Sheet'!$C$4:$C$12,MATCH(Table1[[#This Row],[Quantity]],'Master Sheet'!$B$4:$B$12,0))</f>
        <v>8</v>
      </c>
      <c r="N108" s="71">
        <f>Table1[[#This Row],[Quantity]]*Table1[[#This Row],[Unit Price]]</f>
        <v>4510542</v>
      </c>
      <c r="O108" s="73">
        <v>0.45105420000000002</v>
      </c>
      <c r="P108" s="70">
        <f>Table1[[#This Row],[Gross Amount]]*(1-(Table1[[#This Row],[Discount %]]/100))</f>
        <v>4149698.64</v>
      </c>
      <c r="Q108" s="74">
        <f>(Table1[[#This Row],[Gross Amount]]*(1-(Table1[[#This Row],[Discount %]]/100)))/10000000</f>
        <v>0.41496986400000002</v>
      </c>
      <c r="R108" t="s">
        <v>25</v>
      </c>
      <c r="S108" t="str" cm="1">
        <f t="array" ref="S108">IFERROR(_xlfn.IFS(Table1[[#This Row],[Payment Status]]="Partial","In Transit",Table1[[#This Row],[Payment Status]]="Paid","Delivered",Table1[[#This Row],[Payment Status]]="Pending","Pending"),"Invalid Input")</f>
        <v>In Transit</v>
      </c>
      <c r="T108" t="s">
        <v>27</v>
      </c>
      <c r="U108" t="str" cm="1">
        <f t="array" ref="U108">IFERROR(_xlfn.IFS(Table1[[#This Row],[Payment Status]]="Partial","In Transit",Table1[[#This Row],[Payment Status]]="Paid","Completed",Table1[[#This Row],[Payment Status]]="Pending","Pending"),"Invalid Input")</f>
        <v>In Transit</v>
      </c>
    </row>
    <row r="109" spans="1:21" x14ac:dyDescent="0.25">
      <c r="A109" s="4" t="s">
        <v>287</v>
      </c>
      <c r="B109" s="5">
        <v>45347</v>
      </c>
      <c r="C109" t="s">
        <v>73</v>
      </c>
      <c r="D109" t="s">
        <v>3271</v>
      </c>
      <c r="E109" t="s">
        <v>30</v>
      </c>
      <c r="F109" t="s">
        <v>3217</v>
      </c>
      <c r="G109" t="s">
        <v>31</v>
      </c>
      <c r="H109" t="str">
        <f>VLOOKUP(Table1[[#This Row],[City]],Table6[#All],2,FALSE)</f>
        <v>South</v>
      </c>
      <c r="I109" t="s">
        <v>53</v>
      </c>
      <c r="J109" t="str">
        <f>_xlfn.XLOOKUP(Table1[[#This Row],[Tractor Model]],Table7[Product Model],Table7[Product Category],"Not Available",0)</f>
        <v>Farmtrac</v>
      </c>
      <c r="K109" s="4">
        <v>5</v>
      </c>
      <c r="L109" s="72">
        <v>650612</v>
      </c>
      <c r="M109" s="4">
        <f>INDEX('Master Sheet'!$C$4:$C$12,MATCH(Table1[[#This Row],[Quantity]],'Master Sheet'!$B$4:$B$12,0))</f>
        <v>7</v>
      </c>
      <c r="N109" s="71">
        <f>Table1[[#This Row],[Quantity]]*Table1[[#This Row],[Unit Price]]</f>
        <v>3253060</v>
      </c>
      <c r="O109" s="73">
        <v>0.32530599999999998</v>
      </c>
      <c r="P109" s="70">
        <f>Table1[[#This Row],[Gross Amount]]*(1-(Table1[[#This Row],[Discount %]]/100))</f>
        <v>3025345.8</v>
      </c>
      <c r="Q109" s="74">
        <f>(Table1[[#This Row],[Gross Amount]]*(1-(Table1[[#This Row],[Discount %]]/100)))/10000000</f>
        <v>0.30253458</v>
      </c>
      <c r="R109" t="s">
        <v>54</v>
      </c>
      <c r="S109" t="str" cm="1">
        <f t="array" ref="S109">IFERROR(_xlfn.IFS(Table1[[#This Row],[Payment Status]]="Partial","In Transit",Table1[[#This Row],[Payment Status]]="Paid","Delivered",Table1[[#This Row],[Payment Status]]="Pending","Pending"),"Invalid Input")</f>
        <v>Delivered</v>
      </c>
      <c r="T109" t="s">
        <v>44</v>
      </c>
      <c r="U109" t="str" cm="1">
        <f t="array" ref="U109">IFERROR(_xlfn.IFS(Table1[[#This Row],[Payment Status]]="Partial","In Transit",Table1[[#This Row],[Payment Status]]="Paid","Completed",Table1[[#This Row],[Payment Status]]="Pending","Pending"),"Invalid Input")</f>
        <v>Completed</v>
      </c>
    </row>
    <row r="110" spans="1:21" x14ac:dyDescent="0.25">
      <c r="A110" s="4" t="s">
        <v>289</v>
      </c>
      <c r="B110" s="5">
        <v>45724</v>
      </c>
      <c r="C110" t="s">
        <v>62</v>
      </c>
      <c r="D110" t="s">
        <v>37</v>
      </c>
      <c r="E110" t="s">
        <v>38</v>
      </c>
      <c r="F110" t="s">
        <v>3214</v>
      </c>
      <c r="G110" t="s">
        <v>39</v>
      </c>
      <c r="H110" t="str">
        <f>VLOOKUP(Table1[[#This Row],[City]],Table6[#All],2,FALSE)</f>
        <v>West</v>
      </c>
      <c r="I110" t="s">
        <v>58</v>
      </c>
      <c r="J110" t="str">
        <f>_xlfn.XLOOKUP(Table1[[#This Row],[Tractor Model]],Table7[Product Model],Table7[Product Category],"Not Available",0)</f>
        <v>Powertrac</v>
      </c>
      <c r="K110" s="4">
        <v>1</v>
      </c>
      <c r="L110" s="72">
        <v>291438</v>
      </c>
      <c r="M110" s="4">
        <f>INDEX('Master Sheet'!$C$4:$C$12,MATCH(Table1[[#This Row],[Quantity]],'Master Sheet'!$B$4:$B$12,0))</f>
        <v>3</v>
      </c>
      <c r="N110" s="71">
        <f>Table1[[#This Row],[Quantity]]*Table1[[#This Row],[Unit Price]]</f>
        <v>291438</v>
      </c>
      <c r="O110" s="73">
        <v>2.9143800000000001E-2</v>
      </c>
      <c r="P110" s="70">
        <f>Table1[[#This Row],[Gross Amount]]*(1-(Table1[[#This Row],[Discount %]]/100))</f>
        <v>282694.86</v>
      </c>
      <c r="Q110" s="74">
        <f>(Table1[[#This Row],[Gross Amount]]*(1-(Table1[[#This Row],[Discount %]]/100)))/10000000</f>
        <v>2.8269486E-2</v>
      </c>
      <c r="R110" t="s">
        <v>42</v>
      </c>
      <c r="S110" t="str" cm="1">
        <f t="array" ref="S110">IFERROR(_xlfn.IFS(Table1[[#This Row],[Payment Status]]="Partial","In Transit",Table1[[#This Row],[Payment Status]]="Paid","Delivered",Table1[[#This Row],[Payment Status]]="Pending","Pending"),"Invalid Input")</f>
        <v>Pending</v>
      </c>
      <c r="T110" t="s">
        <v>27</v>
      </c>
      <c r="U110" t="str" cm="1">
        <f t="array" ref="U110">IFERROR(_xlfn.IFS(Table1[[#This Row],[Payment Status]]="Partial","In Transit",Table1[[#This Row],[Payment Status]]="Paid","Completed",Table1[[#This Row],[Payment Status]]="Pending","Pending"),"Invalid Input")</f>
        <v>Pending</v>
      </c>
    </row>
    <row r="111" spans="1:21" x14ac:dyDescent="0.25">
      <c r="A111" s="4" t="s">
        <v>291</v>
      </c>
      <c r="B111" s="5">
        <v>45743</v>
      </c>
      <c r="C111" t="s">
        <v>73</v>
      </c>
      <c r="D111" t="s">
        <v>3269</v>
      </c>
      <c r="E111" t="s">
        <v>66</v>
      </c>
      <c r="F111" t="s">
        <v>3213</v>
      </c>
      <c r="G111" t="s">
        <v>67</v>
      </c>
      <c r="H111" t="str">
        <f>VLOOKUP(Table1[[#This Row],[City]],Table6[#All],2,FALSE)</f>
        <v>East</v>
      </c>
      <c r="I111" t="s">
        <v>58</v>
      </c>
      <c r="J111" t="str">
        <f>_xlfn.XLOOKUP(Table1[[#This Row],[Tractor Model]],Table7[Product Model],Table7[Product Category],"Not Available",0)</f>
        <v>Powertrac</v>
      </c>
      <c r="K111" s="4">
        <v>6</v>
      </c>
      <c r="L111" s="72">
        <v>604370</v>
      </c>
      <c r="M111" s="4">
        <f>INDEX('Master Sheet'!$C$4:$C$12,MATCH(Table1[[#This Row],[Quantity]],'Master Sheet'!$B$4:$B$12,0))</f>
        <v>8</v>
      </c>
      <c r="N111" s="71">
        <f>Table1[[#This Row],[Quantity]]*Table1[[#This Row],[Unit Price]]</f>
        <v>3626220</v>
      </c>
      <c r="O111" s="73">
        <v>0.362622</v>
      </c>
      <c r="P111" s="70">
        <f>Table1[[#This Row],[Gross Amount]]*(1-(Table1[[#This Row],[Discount %]]/100))</f>
        <v>3336122.4000000004</v>
      </c>
      <c r="Q111" s="74">
        <f>(Table1[[#This Row],[Gross Amount]]*(1-(Table1[[#This Row],[Discount %]]/100)))/10000000</f>
        <v>0.33361224000000006</v>
      </c>
      <c r="R111" t="s">
        <v>54</v>
      </c>
      <c r="S111" t="str" cm="1">
        <f t="array" ref="S111">IFERROR(_xlfn.IFS(Table1[[#This Row],[Payment Status]]="Partial","In Transit",Table1[[#This Row],[Payment Status]]="Paid","Delivered",Table1[[#This Row],[Payment Status]]="Pending","Pending"),"Invalid Input")</f>
        <v>Delivered</v>
      </c>
      <c r="T111" t="s">
        <v>44</v>
      </c>
      <c r="U111" t="str" cm="1">
        <f t="array" ref="U111">IFERROR(_xlfn.IFS(Table1[[#This Row],[Payment Status]]="Partial","In Transit",Table1[[#This Row],[Payment Status]]="Paid","Completed",Table1[[#This Row],[Payment Status]]="Pending","Pending"),"Invalid Input")</f>
        <v>Completed</v>
      </c>
    </row>
    <row r="112" spans="1:21" x14ac:dyDescent="0.25">
      <c r="A112" s="4" t="s">
        <v>292</v>
      </c>
      <c r="B112" s="5">
        <v>45761</v>
      </c>
      <c r="C112" t="s">
        <v>33</v>
      </c>
      <c r="D112" t="s">
        <v>3270</v>
      </c>
      <c r="E112" t="s">
        <v>30</v>
      </c>
      <c r="F112" t="s">
        <v>3223</v>
      </c>
      <c r="G112" t="s">
        <v>31</v>
      </c>
      <c r="H112" t="str">
        <f>VLOOKUP(Table1[[#This Row],[City]],Table6[#All],2,FALSE)</f>
        <v>South</v>
      </c>
      <c r="I112" t="s">
        <v>3204</v>
      </c>
      <c r="J112" t="str">
        <f>_xlfn.XLOOKUP(Table1[[#This Row],[Tractor Model]],Table7[Product Model],Table7[Product Category],"Not Available",0)</f>
        <v>Kubota</v>
      </c>
      <c r="K112" s="4">
        <v>7</v>
      </c>
      <c r="L112" s="72">
        <v>888419</v>
      </c>
      <c r="M112" s="4">
        <f>INDEX('Master Sheet'!$C$4:$C$12,MATCH(Table1[[#This Row],[Quantity]],'Master Sheet'!$B$4:$B$12,0))</f>
        <v>9</v>
      </c>
      <c r="N112" s="71">
        <f>Table1[[#This Row],[Quantity]]*Table1[[#This Row],[Unit Price]]</f>
        <v>6218933</v>
      </c>
      <c r="O112" s="73">
        <v>0.62189329999999998</v>
      </c>
      <c r="P112" s="70">
        <f>Table1[[#This Row],[Gross Amount]]*(1-(Table1[[#This Row],[Discount %]]/100))</f>
        <v>5659229.0300000003</v>
      </c>
      <c r="Q112" s="74">
        <f>(Table1[[#This Row],[Gross Amount]]*(1-(Table1[[#This Row],[Discount %]]/100)))/10000000</f>
        <v>0.56592290300000003</v>
      </c>
      <c r="R112" t="s">
        <v>42</v>
      </c>
      <c r="S112" t="str" cm="1">
        <f t="array" ref="S112">IFERROR(_xlfn.IFS(Table1[[#This Row],[Payment Status]]="Partial","In Transit",Table1[[#This Row],[Payment Status]]="Paid","Delivered",Table1[[#This Row],[Payment Status]]="Pending","Pending"),"Invalid Input")</f>
        <v>Pending</v>
      </c>
      <c r="T112" t="s">
        <v>27</v>
      </c>
      <c r="U112" t="str" cm="1">
        <f t="array" ref="U112">IFERROR(_xlfn.IFS(Table1[[#This Row],[Payment Status]]="Partial","In Transit",Table1[[#This Row],[Payment Status]]="Paid","Completed",Table1[[#This Row],[Payment Status]]="Pending","Pending"),"Invalid Input")</f>
        <v>Pending</v>
      </c>
    </row>
    <row r="113" spans="1:21" x14ac:dyDescent="0.25">
      <c r="A113" s="4" t="s">
        <v>294</v>
      </c>
      <c r="B113" s="5">
        <v>45709</v>
      </c>
      <c r="C113" t="s">
        <v>41</v>
      </c>
      <c r="D113" t="s">
        <v>37</v>
      </c>
      <c r="E113" t="s">
        <v>47</v>
      </c>
      <c r="F113" t="s">
        <v>3215</v>
      </c>
      <c r="G113" t="s">
        <v>48</v>
      </c>
      <c r="H113" t="str">
        <f>VLOOKUP(Table1[[#This Row],[City]],Table6[#All],2,FALSE)</f>
        <v>North</v>
      </c>
      <c r="I113" t="s">
        <v>3203</v>
      </c>
      <c r="J113" t="str">
        <f>_xlfn.XLOOKUP(Table1[[#This Row],[Tractor Model]],Table7[Product Model],Table7[Product Category],"Not Available",0)</f>
        <v>Kubota</v>
      </c>
      <c r="K113" s="4">
        <v>2</v>
      </c>
      <c r="L113" s="72">
        <v>821983</v>
      </c>
      <c r="M113" s="4">
        <f>INDEX('Master Sheet'!$C$4:$C$12,MATCH(Table1[[#This Row],[Quantity]],'Master Sheet'!$B$4:$B$12,0))</f>
        <v>5</v>
      </c>
      <c r="N113" s="71">
        <f>Table1[[#This Row],[Quantity]]*Table1[[#This Row],[Unit Price]]</f>
        <v>1643966</v>
      </c>
      <c r="O113" s="73">
        <v>0.1643966</v>
      </c>
      <c r="P113" s="70">
        <f>Table1[[#This Row],[Gross Amount]]*(1-(Table1[[#This Row],[Discount %]]/100))</f>
        <v>1561767.7</v>
      </c>
      <c r="Q113" s="74">
        <f>(Table1[[#This Row],[Gross Amount]]*(1-(Table1[[#This Row],[Discount %]]/100)))/10000000</f>
        <v>0.15617676999999999</v>
      </c>
      <c r="R113" t="s">
        <v>42</v>
      </c>
      <c r="S113" t="str" cm="1">
        <f t="array" ref="S113">IFERROR(_xlfn.IFS(Table1[[#This Row],[Payment Status]]="Partial","In Transit",Table1[[#This Row],[Payment Status]]="Paid","Delivered",Table1[[#This Row],[Payment Status]]="Pending","Pending"),"Invalid Input")</f>
        <v>Pending</v>
      </c>
      <c r="T113" t="s">
        <v>27</v>
      </c>
      <c r="U113" t="str" cm="1">
        <f t="array" ref="U113">IFERROR(_xlfn.IFS(Table1[[#This Row],[Payment Status]]="Partial","In Transit",Table1[[#This Row],[Payment Status]]="Paid","Completed",Table1[[#This Row],[Payment Status]]="Pending","Pending"),"Invalid Input")</f>
        <v>Pending</v>
      </c>
    </row>
    <row r="114" spans="1:21" x14ac:dyDescent="0.25">
      <c r="A114" s="4" t="s">
        <v>296</v>
      </c>
      <c r="B114" s="5">
        <v>45645</v>
      </c>
      <c r="C114" t="s">
        <v>52</v>
      </c>
      <c r="D114" t="s">
        <v>3268</v>
      </c>
      <c r="E114" t="s">
        <v>47</v>
      </c>
      <c r="F114" t="s">
        <v>3216</v>
      </c>
      <c r="G114" t="s">
        <v>48</v>
      </c>
      <c r="H114" t="str">
        <f>VLOOKUP(Table1[[#This Row],[City]],Table6[#All],2,FALSE)</f>
        <v>North</v>
      </c>
      <c r="I114" t="s">
        <v>24</v>
      </c>
      <c r="J114" t="str">
        <f>_xlfn.XLOOKUP(Table1[[#This Row],[Tractor Model]],Table7[Product Model],Table7[Product Category],"Not Available",0)</f>
        <v>Farmtrac</v>
      </c>
      <c r="K114" s="4">
        <v>3</v>
      </c>
      <c r="L114" s="72">
        <v>798025</v>
      </c>
      <c r="M114" s="4">
        <f>INDEX('Master Sheet'!$C$4:$C$12,MATCH(Table1[[#This Row],[Quantity]],'Master Sheet'!$B$4:$B$12,0))</f>
        <v>6</v>
      </c>
      <c r="N114" s="71">
        <f>Table1[[#This Row],[Quantity]]*Table1[[#This Row],[Unit Price]]</f>
        <v>2394075</v>
      </c>
      <c r="O114" s="73">
        <v>0.2394075</v>
      </c>
      <c r="P114" s="70">
        <f>Table1[[#This Row],[Gross Amount]]*(1-(Table1[[#This Row],[Discount %]]/100))</f>
        <v>2250430.5</v>
      </c>
      <c r="Q114" s="74">
        <f>(Table1[[#This Row],[Gross Amount]]*(1-(Table1[[#This Row],[Discount %]]/100)))/10000000</f>
        <v>0.22504304999999999</v>
      </c>
      <c r="R114" t="s">
        <v>42</v>
      </c>
      <c r="S114" t="str" cm="1">
        <f t="array" ref="S114">IFERROR(_xlfn.IFS(Table1[[#This Row],[Payment Status]]="Partial","In Transit",Table1[[#This Row],[Payment Status]]="Paid","Delivered",Table1[[#This Row],[Payment Status]]="Pending","Pending"),"Invalid Input")</f>
        <v>Pending</v>
      </c>
      <c r="T114" t="s">
        <v>44</v>
      </c>
      <c r="U114" t="str" cm="1">
        <f t="array" ref="U114">IFERROR(_xlfn.IFS(Table1[[#This Row],[Payment Status]]="Partial","In Transit",Table1[[#This Row],[Payment Status]]="Paid","Completed",Table1[[#This Row],[Payment Status]]="Pending","Pending"),"Invalid Input")</f>
        <v>Pending</v>
      </c>
    </row>
    <row r="115" spans="1:21" x14ac:dyDescent="0.25">
      <c r="A115" s="4" t="s">
        <v>298</v>
      </c>
      <c r="B115" s="5">
        <v>45720</v>
      </c>
      <c r="C115" t="s">
        <v>33</v>
      </c>
      <c r="D115" t="s">
        <v>3271</v>
      </c>
      <c r="E115" t="s">
        <v>38</v>
      </c>
      <c r="F115" t="s">
        <v>3210</v>
      </c>
      <c r="G115" t="s">
        <v>39</v>
      </c>
      <c r="H115" t="str">
        <f>VLOOKUP(Table1[[#This Row],[City]],Table6[#All],2,FALSE)</f>
        <v>West</v>
      </c>
      <c r="I115" t="s">
        <v>53</v>
      </c>
      <c r="J115" t="str">
        <f>_xlfn.XLOOKUP(Table1[[#This Row],[Tractor Model]],Table7[Product Model],Table7[Product Category],"Not Available",0)</f>
        <v>Farmtrac</v>
      </c>
      <c r="K115" s="4">
        <v>3</v>
      </c>
      <c r="L115" s="72">
        <v>275399</v>
      </c>
      <c r="M115" s="4">
        <f>INDEX('Master Sheet'!$C$4:$C$12,MATCH(Table1[[#This Row],[Quantity]],'Master Sheet'!$B$4:$B$12,0))</f>
        <v>6</v>
      </c>
      <c r="N115" s="71">
        <f>Table1[[#This Row],[Quantity]]*Table1[[#This Row],[Unit Price]]</f>
        <v>826197</v>
      </c>
      <c r="O115" s="73">
        <v>8.2619700000000004E-2</v>
      </c>
      <c r="P115" s="70">
        <f>Table1[[#This Row],[Gross Amount]]*(1-(Table1[[#This Row],[Discount %]]/100))</f>
        <v>776625.17999999993</v>
      </c>
      <c r="Q115" s="74">
        <f>(Table1[[#This Row],[Gross Amount]]*(1-(Table1[[#This Row],[Discount %]]/100)))/10000000</f>
        <v>7.7662518E-2</v>
      </c>
      <c r="R115" t="s">
        <v>25</v>
      </c>
      <c r="S115" t="str" cm="1">
        <f t="array" ref="S115">IFERROR(_xlfn.IFS(Table1[[#This Row],[Payment Status]]="Partial","In Transit",Table1[[#This Row],[Payment Status]]="Paid","Delivered",Table1[[#This Row],[Payment Status]]="Pending","Pending"),"Invalid Input")</f>
        <v>In Transit</v>
      </c>
      <c r="T115" t="s">
        <v>44</v>
      </c>
      <c r="U115" t="str" cm="1">
        <f t="array" ref="U115">IFERROR(_xlfn.IFS(Table1[[#This Row],[Payment Status]]="Partial","In Transit",Table1[[#This Row],[Payment Status]]="Paid","Completed",Table1[[#This Row],[Payment Status]]="Pending","Pending"),"Invalid Input")</f>
        <v>In Transit</v>
      </c>
    </row>
    <row r="116" spans="1:21" x14ac:dyDescent="0.25">
      <c r="A116" s="4" t="s">
        <v>300</v>
      </c>
      <c r="B116" s="5">
        <v>45792</v>
      </c>
      <c r="C116" t="s">
        <v>73</v>
      </c>
      <c r="D116" t="s">
        <v>37</v>
      </c>
      <c r="E116" t="s">
        <v>47</v>
      </c>
      <c r="F116" t="s">
        <v>3215</v>
      </c>
      <c r="G116" t="s">
        <v>48</v>
      </c>
      <c r="H116" t="str">
        <f>VLOOKUP(Table1[[#This Row],[City]],Table6[#All],2,FALSE)</f>
        <v>North</v>
      </c>
      <c r="I116" t="s">
        <v>53</v>
      </c>
      <c r="J116" t="str">
        <f>_xlfn.XLOOKUP(Table1[[#This Row],[Tractor Model]],Table7[Product Model],Table7[Product Category],"Not Available",0)</f>
        <v>Farmtrac</v>
      </c>
      <c r="K116" s="4">
        <v>5</v>
      </c>
      <c r="L116" s="72">
        <v>341478</v>
      </c>
      <c r="M116" s="4">
        <f>INDEX('Master Sheet'!$C$4:$C$12,MATCH(Table1[[#This Row],[Quantity]],'Master Sheet'!$B$4:$B$12,0))</f>
        <v>7</v>
      </c>
      <c r="N116" s="71">
        <f>Table1[[#This Row],[Quantity]]*Table1[[#This Row],[Unit Price]]</f>
        <v>1707390</v>
      </c>
      <c r="O116" s="73">
        <v>0.170739</v>
      </c>
      <c r="P116" s="70">
        <f>Table1[[#This Row],[Gross Amount]]*(1-(Table1[[#This Row],[Discount %]]/100))</f>
        <v>1587872.7</v>
      </c>
      <c r="Q116" s="74">
        <f>(Table1[[#This Row],[Gross Amount]]*(1-(Table1[[#This Row],[Discount %]]/100)))/10000000</f>
        <v>0.15878727000000001</v>
      </c>
      <c r="R116" t="s">
        <v>54</v>
      </c>
      <c r="S116" t="str" cm="1">
        <f t="array" ref="S116">IFERROR(_xlfn.IFS(Table1[[#This Row],[Payment Status]]="Partial","In Transit",Table1[[#This Row],[Payment Status]]="Paid","Delivered",Table1[[#This Row],[Payment Status]]="Pending","Pending"),"Invalid Input")</f>
        <v>Delivered</v>
      </c>
      <c r="T116" t="s">
        <v>27</v>
      </c>
      <c r="U116" t="str" cm="1">
        <f t="array" ref="U116">IFERROR(_xlfn.IFS(Table1[[#This Row],[Payment Status]]="Partial","In Transit",Table1[[#This Row],[Payment Status]]="Paid","Completed",Table1[[#This Row],[Payment Status]]="Pending","Pending"),"Invalid Input")</f>
        <v>Completed</v>
      </c>
    </row>
    <row r="117" spans="1:21" x14ac:dyDescent="0.25">
      <c r="A117" s="4" t="s">
        <v>302</v>
      </c>
      <c r="B117" s="5">
        <v>45806</v>
      </c>
      <c r="C117" t="s">
        <v>41</v>
      </c>
      <c r="D117" t="s">
        <v>3271</v>
      </c>
      <c r="E117" t="s">
        <v>119</v>
      </c>
      <c r="F117" t="s">
        <v>3228</v>
      </c>
      <c r="G117" t="s">
        <v>21</v>
      </c>
      <c r="H117" t="str">
        <f>VLOOKUP(Table1[[#This Row],[City]],Table6[#All],2,FALSE)</f>
        <v>North</v>
      </c>
      <c r="I117" t="s">
        <v>3203</v>
      </c>
      <c r="J117" t="str">
        <f>_xlfn.XLOOKUP(Table1[[#This Row],[Tractor Model]],Table7[Product Model],Table7[Product Category],"Not Available",0)</f>
        <v>Kubota</v>
      </c>
      <c r="K117" s="4">
        <v>5</v>
      </c>
      <c r="L117" s="72">
        <v>465071</v>
      </c>
      <c r="M117" s="4">
        <f>INDEX('Master Sheet'!$C$4:$C$12,MATCH(Table1[[#This Row],[Quantity]],'Master Sheet'!$B$4:$B$12,0))</f>
        <v>7</v>
      </c>
      <c r="N117" s="71">
        <f>Table1[[#This Row],[Quantity]]*Table1[[#This Row],[Unit Price]]</f>
        <v>2325355</v>
      </c>
      <c r="O117" s="73">
        <v>0.23253550000000001</v>
      </c>
      <c r="P117" s="70">
        <f>Table1[[#This Row],[Gross Amount]]*(1-(Table1[[#This Row],[Discount %]]/100))</f>
        <v>2162580.15</v>
      </c>
      <c r="Q117" s="74">
        <f>(Table1[[#This Row],[Gross Amount]]*(1-(Table1[[#This Row],[Discount %]]/100)))/10000000</f>
        <v>0.216258015</v>
      </c>
      <c r="R117" t="s">
        <v>25</v>
      </c>
      <c r="S117" t="str" cm="1">
        <f t="array" ref="S117">IFERROR(_xlfn.IFS(Table1[[#This Row],[Payment Status]]="Partial","In Transit",Table1[[#This Row],[Payment Status]]="Paid","Delivered",Table1[[#This Row],[Payment Status]]="Pending","Pending"),"Invalid Input")</f>
        <v>In Transit</v>
      </c>
      <c r="T117" t="s">
        <v>27</v>
      </c>
      <c r="U117" t="str" cm="1">
        <f t="array" ref="U117">IFERROR(_xlfn.IFS(Table1[[#This Row],[Payment Status]]="Partial","In Transit",Table1[[#This Row],[Payment Status]]="Paid","Completed",Table1[[#This Row],[Payment Status]]="Pending","Pending"),"Invalid Input")</f>
        <v>In Transit</v>
      </c>
    </row>
    <row r="118" spans="1:21" x14ac:dyDescent="0.25">
      <c r="A118" s="4" t="s">
        <v>304</v>
      </c>
      <c r="B118" s="5">
        <v>45777</v>
      </c>
      <c r="C118" t="s">
        <v>62</v>
      </c>
      <c r="D118" t="s">
        <v>37</v>
      </c>
      <c r="E118" t="s">
        <v>119</v>
      </c>
      <c r="F118" t="s">
        <v>3224</v>
      </c>
      <c r="G118" t="s">
        <v>21</v>
      </c>
      <c r="H118" t="str">
        <f>VLOOKUP(Table1[[#This Row],[City]],Table6[#All],2,FALSE)</f>
        <v>North</v>
      </c>
      <c r="I118" t="s">
        <v>58</v>
      </c>
      <c r="J118" t="str">
        <f>_xlfn.XLOOKUP(Table1[[#This Row],[Tractor Model]],Table7[Product Model],Table7[Product Category],"Not Available",0)</f>
        <v>Powertrac</v>
      </c>
      <c r="K118" s="4">
        <v>7</v>
      </c>
      <c r="L118" s="72">
        <v>627405</v>
      </c>
      <c r="M118" s="4">
        <f>INDEX('Master Sheet'!$C$4:$C$12,MATCH(Table1[[#This Row],[Quantity]],'Master Sheet'!$B$4:$B$12,0))</f>
        <v>9</v>
      </c>
      <c r="N118" s="71">
        <f>Table1[[#This Row],[Quantity]]*Table1[[#This Row],[Unit Price]]</f>
        <v>4391835</v>
      </c>
      <c r="O118" s="73">
        <v>0.4391835</v>
      </c>
      <c r="P118" s="70">
        <f>Table1[[#This Row],[Gross Amount]]*(1-(Table1[[#This Row],[Discount %]]/100))</f>
        <v>3996569.85</v>
      </c>
      <c r="Q118" s="74">
        <f>(Table1[[#This Row],[Gross Amount]]*(1-(Table1[[#This Row],[Discount %]]/100)))/10000000</f>
        <v>0.39965698500000002</v>
      </c>
      <c r="R118" t="s">
        <v>54</v>
      </c>
      <c r="S118" t="str" cm="1">
        <f t="array" ref="S118">IFERROR(_xlfn.IFS(Table1[[#This Row],[Payment Status]]="Partial","In Transit",Table1[[#This Row],[Payment Status]]="Paid","Delivered",Table1[[#This Row],[Payment Status]]="Pending","Pending"),"Invalid Input")</f>
        <v>Delivered</v>
      </c>
      <c r="T118" t="s">
        <v>27</v>
      </c>
      <c r="U118" t="str" cm="1">
        <f t="array" ref="U118">IFERROR(_xlfn.IFS(Table1[[#This Row],[Payment Status]]="Partial","In Transit",Table1[[#This Row],[Payment Status]]="Paid","Completed",Table1[[#This Row],[Payment Status]]="Pending","Pending"),"Invalid Input")</f>
        <v>Completed</v>
      </c>
    </row>
    <row r="119" spans="1:21" x14ac:dyDescent="0.25">
      <c r="A119" s="4" t="s">
        <v>306</v>
      </c>
      <c r="B119" s="5">
        <v>45591</v>
      </c>
      <c r="C119" t="s">
        <v>52</v>
      </c>
      <c r="D119" t="s">
        <v>3271</v>
      </c>
      <c r="E119" t="s">
        <v>66</v>
      </c>
      <c r="F119" t="s">
        <v>3207</v>
      </c>
      <c r="G119" t="s">
        <v>67</v>
      </c>
      <c r="H119" t="str">
        <f>VLOOKUP(Table1[[#This Row],[City]],Table6[#All],2,FALSE)</f>
        <v>East</v>
      </c>
      <c r="I119" t="s">
        <v>3203</v>
      </c>
      <c r="J119" t="str">
        <f>_xlfn.XLOOKUP(Table1[[#This Row],[Tractor Model]],Table7[Product Model],Table7[Product Category],"Not Available",0)</f>
        <v>Kubota</v>
      </c>
      <c r="K119" s="4">
        <v>1</v>
      </c>
      <c r="L119" s="72">
        <v>130049</v>
      </c>
      <c r="M119" s="4">
        <f>INDEX('Master Sheet'!$C$4:$C$12,MATCH(Table1[[#This Row],[Quantity]],'Master Sheet'!$B$4:$B$12,0))</f>
        <v>3</v>
      </c>
      <c r="N119" s="71">
        <f>Table1[[#This Row],[Quantity]]*Table1[[#This Row],[Unit Price]]</f>
        <v>130049</v>
      </c>
      <c r="O119" s="73">
        <v>1.30049E-2</v>
      </c>
      <c r="P119" s="70">
        <f>Table1[[#This Row],[Gross Amount]]*(1-(Table1[[#This Row],[Discount %]]/100))</f>
        <v>126147.53</v>
      </c>
      <c r="Q119" s="74">
        <f>(Table1[[#This Row],[Gross Amount]]*(1-(Table1[[#This Row],[Discount %]]/100)))/10000000</f>
        <v>1.2614752999999999E-2</v>
      </c>
      <c r="R119" t="s">
        <v>54</v>
      </c>
      <c r="S119" t="str" cm="1">
        <f t="array" ref="S119">IFERROR(_xlfn.IFS(Table1[[#This Row],[Payment Status]]="Partial","In Transit",Table1[[#This Row],[Payment Status]]="Paid","Delivered",Table1[[#This Row],[Payment Status]]="Pending","Pending"),"Invalid Input")</f>
        <v>Delivered</v>
      </c>
      <c r="T119" t="s">
        <v>44</v>
      </c>
      <c r="U119" t="str" cm="1">
        <f t="array" ref="U119">IFERROR(_xlfn.IFS(Table1[[#This Row],[Payment Status]]="Partial","In Transit",Table1[[#This Row],[Payment Status]]="Paid","Completed",Table1[[#This Row],[Payment Status]]="Pending","Pending"),"Invalid Input")</f>
        <v>Completed</v>
      </c>
    </row>
    <row r="120" spans="1:21" x14ac:dyDescent="0.25">
      <c r="A120" s="4" t="s">
        <v>308</v>
      </c>
      <c r="B120" s="5">
        <v>45442</v>
      </c>
      <c r="C120" t="s">
        <v>52</v>
      </c>
      <c r="D120" t="s">
        <v>37</v>
      </c>
      <c r="E120" t="s">
        <v>66</v>
      </c>
      <c r="F120" t="s">
        <v>3226</v>
      </c>
      <c r="G120" t="s">
        <v>67</v>
      </c>
      <c r="H120" t="str">
        <f>VLOOKUP(Table1[[#This Row],[City]],Table6[#All],2,FALSE)</f>
        <v>East</v>
      </c>
      <c r="I120" t="s">
        <v>58</v>
      </c>
      <c r="J120" t="str">
        <f>_xlfn.XLOOKUP(Table1[[#This Row],[Tractor Model]],Table7[Product Model],Table7[Product Category],"Not Available",0)</f>
        <v>Powertrac</v>
      </c>
      <c r="K120" s="4">
        <v>1</v>
      </c>
      <c r="L120" s="72">
        <v>875064</v>
      </c>
      <c r="M120" s="4">
        <f>INDEX('Master Sheet'!$C$4:$C$12,MATCH(Table1[[#This Row],[Quantity]],'Master Sheet'!$B$4:$B$12,0))</f>
        <v>3</v>
      </c>
      <c r="N120" s="71">
        <f>Table1[[#This Row],[Quantity]]*Table1[[#This Row],[Unit Price]]</f>
        <v>875064</v>
      </c>
      <c r="O120" s="73">
        <v>8.7506399999999998E-2</v>
      </c>
      <c r="P120" s="70">
        <f>Table1[[#This Row],[Gross Amount]]*(1-(Table1[[#This Row],[Discount %]]/100))</f>
        <v>848812.08</v>
      </c>
      <c r="Q120" s="74">
        <f>(Table1[[#This Row],[Gross Amount]]*(1-(Table1[[#This Row],[Discount %]]/100)))/10000000</f>
        <v>8.4881208E-2</v>
      </c>
      <c r="R120" t="s">
        <v>25</v>
      </c>
      <c r="S120" t="str" cm="1">
        <f t="array" ref="S120">IFERROR(_xlfn.IFS(Table1[[#This Row],[Payment Status]]="Partial","In Transit",Table1[[#This Row],[Payment Status]]="Paid","Delivered",Table1[[#This Row],[Payment Status]]="Pending","Pending"),"Invalid Input")</f>
        <v>In Transit</v>
      </c>
      <c r="T120" t="s">
        <v>27</v>
      </c>
      <c r="U120" t="str" cm="1">
        <f t="array" ref="U120">IFERROR(_xlfn.IFS(Table1[[#This Row],[Payment Status]]="Partial","In Transit",Table1[[#This Row],[Payment Status]]="Paid","Completed",Table1[[#This Row],[Payment Status]]="Pending","Pending"),"Invalid Input")</f>
        <v>In Transit</v>
      </c>
    </row>
    <row r="121" spans="1:21" x14ac:dyDescent="0.25">
      <c r="A121" s="4" t="s">
        <v>310</v>
      </c>
      <c r="B121" s="5">
        <v>45782</v>
      </c>
      <c r="C121" t="s">
        <v>33</v>
      </c>
      <c r="D121" t="s">
        <v>3268</v>
      </c>
      <c r="E121" t="s">
        <v>30</v>
      </c>
      <c r="F121" t="s">
        <v>3208</v>
      </c>
      <c r="G121" t="s">
        <v>31</v>
      </c>
      <c r="H121" t="str">
        <f>VLOOKUP(Table1[[#This Row],[City]],Table6[#All],2,FALSE)</f>
        <v>South</v>
      </c>
      <c r="I121" t="s">
        <v>24</v>
      </c>
      <c r="J121" t="str">
        <f>_xlfn.XLOOKUP(Table1[[#This Row],[Tractor Model]],Table7[Product Model],Table7[Product Category],"Not Available",0)</f>
        <v>Farmtrac</v>
      </c>
      <c r="K121" s="4">
        <v>8</v>
      </c>
      <c r="L121" s="72">
        <v>493144</v>
      </c>
      <c r="M121" s="4">
        <f>INDEX('Master Sheet'!$C$4:$C$12,MATCH(Table1[[#This Row],[Quantity]],'Master Sheet'!$B$4:$B$12,0))</f>
        <v>9</v>
      </c>
      <c r="N121" s="71">
        <f>Table1[[#This Row],[Quantity]]*Table1[[#This Row],[Unit Price]]</f>
        <v>3945152</v>
      </c>
      <c r="O121" s="73">
        <v>0.39451520000000001</v>
      </c>
      <c r="P121" s="70">
        <f>Table1[[#This Row],[Gross Amount]]*(1-(Table1[[#This Row],[Discount %]]/100))</f>
        <v>3590088.3200000003</v>
      </c>
      <c r="Q121" s="74">
        <f>(Table1[[#This Row],[Gross Amount]]*(1-(Table1[[#This Row],[Discount %]]/100)))/10000000</f>
        <v>0.35900883200000006</v>
      </c>
      <c r="R121" t="s">
        <v>54</v>
      </c>
      <c r="S121" t="str" cm="1">
        <f t="array" ref="S121">IFERROR(_xlfn.IFS(Table1[[#This Row],[Payment Status]]="Partial","In Transit",Table1[[#This Row],[Payment Status]]="Paid","Delivered",Table1[[#This Row],[Payment Status]]="Pending","Pending"),"Invalid Input")</f>
        <v>Delivered</v>
      </c>
      <c r="T121" t="s">
        <v>44</v>
      </c>
      <c r="U121" t="str" cm="1">
        <f t="array" ref="U121">IFERROR(_xlfn.IFS(Table1[[#This Row],[Payment Status]]="Partial","In Transit",Table1[[#This Row],[Payment Status]]="Paid","Completed",Table1[[#This Row],[Payment Status]]="Pending","Pending"),"Invalid Input")</f>
        <v>Completed</v>
      </c>
    </row>
    <row r="122" spans="1:21" x14ac:dyDescent="0.25">
      <c r="A122" s="4" t="s">
        <v>312</v>
      </c>
      <c r="B122" s="5">
        <v>45336</v>
      </c>
      <c r="C122" t="s">
        <v>41</v>
      </c>
      <c r="D122" t="s">
        <v>37</v>
      </c>
      <c r="E122" t="s">
        <v>47</v>
      </c>
      <c r="F122" t="s">
        <v>3215</v>
      </c>
      <c r="G122" t="s">
        <v>48</v>
      </c>
      <c r="H122" t="str">
        <f>VLOOKUP(Table1[[#This Row],[City]],Table6[#All],2,FALSE)</f>
        <v>North</v>
      </c>
      <c r="I122" t="s">
        <v>3204</v>
      </c>
      <c r="J122" t="str">
        <f>_xlfn.XLOOKUP(Table1[[#This Row],[Tractor Model]],Table7[Product Model],Table7[Product Category],"Not Available",0)</f>
        <v>Kubota</v>
      </c>
      <c r="K122" s="4">
        <v>6</v>
      </c>
      <c r="L122" s="72">
        <v>693771</v>
      </c>
      <c r="M122" s="4">
        <f>INDEX('Master Sheet'!$C$4:$C$12,MATCH(Table1[[#This Row],[Quantity]],'Master Sheet'!$B$4:$B$12,0))</f>
        <v>8</v>
      </c>
      <c r="N122" s="71">
        <f>Table1[[#This Row],[Quantity]]*Table1[[#This Row],[Unit Price]]</f>
        <v>4162626</v>
      </c>
      <c r="O122" s="73">
        <v>0.41626259999999998</v>
      </c>
      <c r="P122" s="70">
        <f>Table1[[#This Row],[Gross Amount]]*(1-(Table1[[#This Row],[Discount %]]/100))</f>
        <v>3829615.9200000004</v>
      </c>
      <c r="Q122" s="74">
        <f>(Table1[[#This Row],[Gross Amount]]*(1-(Table1[[#This Row],[Discount %]]/100)))/10000000</f>
        <v>0.38296159200000002</v>
      </c>
      <c r="R122" t="s">
        <v>54</v>
      </c>
      <c r="S122" t="str" cm="1">
        <f t="array" ref="S122">IFERROR(_xlfn.IFS(Table1[[#This Row],[Payment Status]]="Partial","In Transit",Table1[[#This Row],[Payment Status]]="Paid","Delivered",Table1[[#This Row],[Payment Status]]="Pending","Pending"),"Invalid Input")</f>
        <v>Delivered</v>
      </c>
      <c r="T122" t="s">
        <v>44</v>
      </c>
      <c r="U122" t="str" cm="1">
        <f t="array" ref="U122">IFERROR(_xlfn.IFS(Table1[[#This Row],[Payment Status]]="Partial","In Transit",Table1[[#This Row],[Payment Status]]="Paid","Completed",Table1[[#This Row],[Payment Status]]="Pending","Pending"),"Invalid Input")</f>
        <v>Completed</v>
      </c>
    </row>
    <row r="123" spans="1:21" x14ac:dyDescent="0.25">
      <c r="A123" s="4" t="s">
        <v>314</v>
      </c>
      <c r="B123" s="5">
        <v>45606</v>
      </c>
      <c r="C123" t="s">
        <v>41</v>
      </c>
      <c r="D123" t="s">
        <v>3270</v>
      </c>
      <c r="E123" t="s">
        <v>30</v>
      </c>
      <c r="F123" t="s">
        <v>3223</v>
      </c>
      <c r="G123" t="s">
        <v>31</v>
      </c>
      <c r="H123" t="str">
        <f>VLOOKUP(Table1[[#This Row],[City]],Table6[#All],2,FALSE)</f>
        <v>South</v>
      </c>
      <c r="I123" t="s">
        <v>24</v>
      </c>
      <c r="J123" t="str">
        <f>_xlfn.XLOOKUP(Table1[[#This Row],[Tractor Model]],Table7[Product Model],Table7[Product Category],"Not Available",0)</f>
        <v>Farmtrac</v>
      </c>
      <c r="K123" s="4">
        <v>1</v>
      </c>
      <c r="L123" s="72">
        <v>535232</v>
      </c>
      <c r="M123" s="4">
        <f>INDEX('Master Sheet'!$C$4:$C$12,MATCH(Table1[[#This Row],[Quantity]],'Master Sheet'!$B$4:$B$12,0))</f>
        <v>3</v>
      </c>
      <c r="N123" s="71">
        <f>Table1[[#This Row],[Quantity]]*Table1[[#This Row],[Unit Price]]</f>
        <v>535232</v>
      </c>
      <c r="O123" s="73">
        <v>5.35232E-2</v>
      </c>
      <c r="P123" s="70">
        <f>Table1[[#This Row],[Gross Amount]]*(1-(Table1[[#This Row],[Discount %]]/100))</f>
        <v>519175.04</v>
      </c>
      <c r="Q123" s="74">
        <f>(Table1[[#This Row],[Gross Amount]]*(1-(Table1[[#This Row],[Discount %]]/100)))/10000000</f>
        <v>5.1917503999999996E-2</v>
      </c>
      <c r="R123" t="s">
        <v>42</v>
      </c>
      <c r="S123" t="str" cm="1">
        <f t="array" ref="S123">IFERROR(_xlfn.IFS(Table1[[#This Row],[Payment Status]]="Partial","In Transit",Table1[[#This Row],[Payment Status]]="Paid","Delivered",Table1[[#This Row],[Payment Status]]="Pending","Pending"),"Invalid Input")</f>
        <v>Pending</v>
      </c>
      <c r="T123" t="s">
        <v>44</v>
      </c>
      <c r="U123" t="str" cm="1">
        <f t="array" ref="U123">IFERROR(_xlfn.IFS(Table1[[#This Row],[Payment Status]]="Partial","In Transit",Table1[[#This Row],[Payment Status]]="Paid","Completed",Table1[[#This Row],[Payment Status]]="Pending","Pending"),"Invalid Input")</f>
        <v>Pending</v>
      </c>
    </row>
    <row r="124" spans="1:21" x14ac:dyDescent="0.25">
      <c r="A124" s="4" t="s">
        <v>316</v>
      </c>
      <c r="B124" s="5">
        <v>45519</v>
      </c>
      <c r="C124" t="s">
        <v>73</v>
      </c>
      <c r="D124" t="s">
        <v>3271</v>
      </c>
      <c r="E124" t="s">
        <v>47</v>
      </c>
      <c r="F124" t="s">
        <v>3221</v>
      </c>
      <c r="G124" t="s">
        <v>48</v>
      </c>
      <c r="H124" t="str">
        <f>VLOOKUP(Table1[[#This Row],[City]],Table6[#All],2,FALSE)</f>
        <v>North</v>
      </c>
      <c r="I124" t="s">
        <v>53</v>
      </c>
      <c r="J124" t="str">
        <f>_xlfn.XLOOKUP(Table1[[#This Row],[Tractor Model]],Table7[Product Model],Table7[Product Category],"Not Available",0)</f>
        <v>Farmtrac</v>
      </c>
      <c r="K124" s="4">
        <v>5</v>
      </c>
      <c r="L124" s="72">
        <v>740850</v>
      </c>
      <c r="M124" s="4">
        <f>INDEX('Master Sheet'!$C$4:$C$12,MATCH(Table1[[#This Row],[Quantity]],'Master Sheet'!$B$4:$B$12,0))</f>
        <v>7</v>
      </c>
      <c r="N124" s="71">
        <f>Table1[[#This Row],[Quantity]]*Table1[[#This Row],[Unit Price]]</f>
        <v>3704250</v>
      </c>
      <c r="O124" s="73">
        <v>0.370425</v>
      </c>
      <c r="P124" s="70">
        <f>Table1[[#This Row],[Gross Amount]]*(1-(Table1[[#This Row],[Discount %]]/100))</f>
        <v>3444952.5</v>
      </c>
      <c r="Q124" s="74">
        <f>(Table1[[#This Row],[Gross Amount]]*(1-(Table1[[#This Row],[Discount %]]/100)))/10000000</f>
        <v>0.34449524999999998</v>
      </c>
      <c r="R124" t="s">
        <v>42</v>
      </c>
      <c r="S124" t="str" cm="1">
        <f t="array" ref="S124">IFERROR(_xlfn.IFS(Table1[[#This Row],[Payment Status]]="Partial","In Transit",Table1[[#This Row],[Payment Status]]="Paid","Delivered",Table1[[#This Row],[Payment Status]]="Pending","Pending"),"Invalid Input")</f>
        <v>Pending</v>
      </c>
      <c r="T124" t="s">
        <v>27</v>
      </c>
      <c r="U124" t="str" cm="1">
        <f t="array" ref="U124">IFERROR(_xlfn.IFS(Table1[[#This Row],[Payment Status]]="Partial","In Transit",Table1[[#This Row],[Payment Status]]="Paid","Completed",Table1[[#This Row],[Payment Status]]="Pending","Pending"),"Invalid Input")</f>
        <v>Pending</v>
      </c>
    </row>
    <row r="125" spans="1:21" x14ac:dyDescent="0.25">
      <c r="A125" s="4" t="s">
        <v>318</v>
      </c>
      <c r="B125" s="5">
        <v>45710</v>
      </c>
      <c r="C125" t="s">
        <v>73</v>
      </c>
      <c r="D125" t="s">
        <v>37</v>
      </c>
      <c r="E125" t="s">
        <v>47</v>
      </c>
      <c r="F125" t="s">
        <v>3215</v>
      </c>
      <c r="G125" t="s">
        <v>48</v>
      </c>
      <c r="H125" t="str">
        <f>VLOOKUP(Table1[[#This Row],[City]],Table6[#All],2,FALSE)</f>
        <v>North</v>
      </c>
      <c r="I125" t="s">
        <v>24</v>
      </c>
      <c r="J125" t="str">
        <f>_xlfn.XLOOKUP(Table1[[#This Row],[Tractor Model]],Table7[Product Model],Table7[Product Category],"Not Available",0)</f>
        <v>Farmtrac</v>
      </c>
      <c r="K125" s="4">
        <v>4</v>
      </c>
      <c r="L125" s="72">
        <v>620378</v>
      </c>
      <c r="M125" s="4">
        <f>INDEX('Master Sheet'!$C$4:$C$12,MATCH(Table1[[#This Row],[Quantity]],'Master Sheet'!$B$4:$B$12,0))</f>
        <v>6</v>
      </c>
      <c r="N125" s="71">
        <f>Table1[[#This Row],[Quantity]]*Table1[[#This Row],[Unit Price]]</f>
        <v>2481512</v>
      </c>
      <c r="O125" s="73">
        <v>0.24815119999999999</v>
      </c>
      <c r="P125" s="70">
        <f>Table1[[#This Row],[Gross Amount]]*(1-(Table1[[#This Row],[Discount %]]/100))</f>
        <v>2332621.2799999998</v>
      </c>
      <c r="Q125" s="74">
        <f>(Table1[[#This Row],[Gross Amount]]*(1-(Table1[[#This Row],[Discount %]]/100)))/10000000</f>
        <v>0.23326212799999999</v>
      </c>
      <c r="R125" t="s">
        <v>25</v>
      </c>
      <c r="S125" t="str" cm="1">
        <f t="array" ref="S125">IFERROR(_xlfn.IFS(Table1[[#This Row],[Payment Status]]="Partial","In Transit",Table1[[#This Row],[Payment Status]]="Paid","Delivered",Table1[[#This Row],[Payment Status]]="Pending","Pending"),"Invalid Input")</f>
        <v>In Transit</v>
      </c>
      <c r="T125" t="s">
        <v>27</v>
      </c>
      <c r="U125" t="str" cm="1">
        <f t="array" ref="U125">IFERROR(_xlfn.IFS(Table1[[#This Row],[Payment Status]]="Partial","In Transit",Table1[[#This Row],[Payment Status]]="Paid","Completed",Table1[[#This Row],[Payment Status]]="Pending","Pending"),"Invalid Input")</f>
        <v>In Transit</v>
      </c>
    </row>
    <row r="126" spans="1:21" x14ac:dyDescent="0.25">
      <c r="A126" s="4" t="s">
        <v>320</v>
      </c>
      <c r="B126" s="5">
        <v>45763</v>
      </c>
      <c r="C126" t="s">
        <v>73</v>
      </c>
      <c r="D126" t="s">
        <v>37</v>
      </c>
      <c r="E126" t="s">
        <v>38</v>
      </c>
      <c r="F126" t="s">
        <v>3214</v>
      </c>
      <c r="G126" t="s">
        <v>39</v>
      </c>
      <c r="H126" t="str">
        <f>VLOOKUP(Table1[[#This Row],[City]],Table6[#All],2,FALSE)</f>
        <v>West</v>
      </c>
      <c r="I126" t="s">
        <v>24</v>
      </c>
      <c r="J126" t="str">
        <f>_xlfn.XLOOKUP(Table1[[#This Row],[Tractor Model]],Table7[Product Model],Table7[Product Category],"Not Available",0)</f>
        <v>Farmtrac</v>
      </c>
      <c r="K126" s="4">
        <v>2</v>
      </c>
      <c r="L126" s="72">
        <v>448402</v>
      </c>
      <c r="M126" s="4">
        <f>INDEX('Master Sheet'!$C$4:$C$12,MATCH(Table1[[#This Row],[Quantity]],'Master Sheet'!$B$4:$B$12,0))</f>
        <v>5</v>
      </c>
      <c r="N126" s="71">
        <f>Table1[[#This Row],[Quantity]]*Table1[[#This Row],[Unit Price]]</f>
        <v>896804</v>
      </c>
      <c r="O126" s="73">
        <v>8.9680399999999993E-2</v>
      </c>
      <c r="P126" s="70">
        <f>Table1[[#This Row],[Gross Amount]]*(1-(Table1[[#This Row],[Discount %]]/100))</f>
        <v>851963.79999999993</v>
      </c>
      <c r="Q126" s="74">
        <f>(Table1[[#This Row],[Gross Amount]]*(1-(Table1[[#This Row],[Discount %]]/100)))/10000000</f>
        <v>8.5196379999999988E-2</v>
      </c>
      <c r="R126" t="s">
        <v>54</v>
      </c>
      <c r="S126" t="str" cm="1">
        <f t="array" ref="S126">IFERROR(_xlfn.IFS(Table1[[#This Row],[Payment Status]]="Partial","In Transit",Table1[[#This Row],[Payment Status]]="Paid","Delivered",Table1[[#This Row],[Payment Status]]="Pending","Pending"),"Invalid Input")</f>
        <v>Delivered</v>
      </c>
      <c r="T126" t="s">
        <v>27</v>
      </c>
      <c r="U126" t="str" cm="1">
        <f t="array" ref="U126">IFERROR(_xlfn.IFS(Table1[[#This Row],[Payment Status]]="Partial","In Transit",Table1[[#This Row],[Payment Status]]="Paid","Completed",Table1[[#This Row],[Payment Status]]="Pending","Pending"),"Invalid Input")</f>
        <v>Completed</v>
      </c>
    </row>
    <row r="127" spans="1:21" x14ac:dyDescent="0.25">
      <c r="A127" s="4" t="s">
        <v>322</v>
      </c>
      <c r="B127" s="5">
        <v>45563</v>
      </c>
      <c r="C127" t="s">
        <v>73</v>
      </c>
      <c r="D127" t="s">
        <v>3270</v>
      </c>
      <c r="E127" t="s">
        <v>119</v>
      </c>
      <c r="F127" t="s">
        <v>3212</v>
      </c>
      <c r="G127" t="s">
        <v>21</v>
      </c>
      <c r="H127" t="str">
        <f>VLOOKUP(Table1[[#This Row],[City]],Table6[#All],2,FALSE)</f>
        <v>North</v>
      </c>
      <c r="I127" t="s">
        <v>53</v>
      </c>
      <c r="J127" t="str">
        <f>_xlfn.XLOOKUP(Table1[[#This Row],[Tractor Model]],Table7[Product Model],Table7[Product Category],"Not Available",0)</f>
        <v>Farmtrac</v>
      </c>
      <c r="K127" s="4">
        <v>7</v>
      </c>
      <c r="L127" s="72">
        <v>204374</v>
      </c>
      <c r="M127" s="4">
        <f>INDEX('Master Sheet'!$C$4:$C$12,MATCH(Table1[[#This Row],[Quantity]],'Master Sheet'!$B$4:$B$12,0))</f>
        <v>9</v>
      </c>
      <c r="N127" s="71">
        <f>Table1[[#This Row],[Quantity]]*Table1[[#This Row],[Unit Price]]</f>
        <v>1430618</v>
      </c>
      <c r="O127" s="73">
        <v>0.14306179999999999</v>
      </c>
      <c r="P127" s="70">
        <f>Table1[[#This Row],[Gross Amount]]*(1-(Table1[[#This Row],[Discount %]]/100))</f>
        <v>1301862.3800000001</v>
      </c>
      <c r="Q127" s="74">
        <f>(Table1[[#This Row],[Gross Amount]]*(1-(Table1[[#This Row],[Discount %]]/100)))/10000000</f>
        <v>0.13018623800000001</v>
      </c>
      <c r="R127" t="s">
        <v>54</v>
      </c>
      <c r="S127" t="str" cm="1">
        <f t="array" ref="S127">IFERROR(_xlfn.IFS(Table1[[#This Row],[Payment Status]]="Partial","In Transit",Table1[[#This Row],[Payment Status]]="Paid","Delivered",Table1[[#This Row],[Payment Status]]="Pending","Pending"),"Invalid Input")</f>
        <v>Delivered</v>
      </c>
      <c r="T127" t="s">
        <v>44</v>
      </c>
      <c r="U127" t="str" cm="1">
        <f t="array" ref="U127">IFERROR(_xlfn.IFS(Table1[[#This Row],[Payment Status]]="Partial","In Transit",Table1[[#This Row],[Payment Status]]="Paid","Completed",Table1[[#This Row],[Payment Status]]="Pending","Pending"),"Invalid Input")</f>
        <v>Completed</v>
      </c>
    </row>
    <row r="128" spans="1:21" x14ac:dyDescent="0.25">
      <c r="A128" s="4" t="s">
        <v>324</v>
      </c>
      <c r="B128" s="5">
        <v>45573</v>
      </c>
      <c r="C128" t="s">
        <v>73</v>
      </c>
      <c r="D128" t="s">
        <v>3269</v>
      </c>
      <c r="E128" t="s">
        <v>66</v>
      </c>
      <c r="F128" t="s">
        <v>3213</v>
      </c>
      <c r="G128" t="s">
        <v>67</v>
      </c>
      <c r="H128" t="str">
        <f>VLOOKUP(Table1[[#This Row],[City]],Table6[#All],2,FALSE)</f>
        <v>East</v>
      </c>
      <c r="I128" t="s">
        <v>53</v>
      </c>
      <c r="J128" t="str">
        <f>_xlfn.XLOOKUP(Table1[[#This Row],[Tractor Model]],Table7[Product Model],Table7[Product Category],"Not Available",0)</f>
        <v>Farmtrac</v>
      </c>
      <c r="K128" s="4">
        <v>5</v>
      </c>
      <c r="L128" s="72">
        <v>288705</v>
      </c>
      <c r="M128" s="4">
        <f>INDEX('Master Sheet'!$C$4:$C$12,MATCH(Table1[[#This Row],[Quantity]],'Master Sheet'!$B$4:$B$12,0))</f>
        <v>7</v>
      </c>
      <c r="N128" s="71">
        <f>Table1[[#This Row],[Quantity]]*Table1[[#This Row],[Unit Price]]</f>
        <v>1443525</v>
      </c>
      <c r="O128" s="73">
        <v>0.14435249999999999</v>
      </c>
      <c r="P128" s="70">
        <f>Table1[[#This Row],[Gross Amount]]*(1-(Table1[[#This Row],[Discount %]]/100))</f>
        <v>1342478.25</v>
      </c>
      <c r="Q128" s="74">
        <f>(Table1[[#This Row],[Gross Amount]]*(1-(Table1[[#This Row],[Discount %]]/100)))/10000000</f>
        <v>0.13424782499999999</v>
      </c>
      <c r="R128" t="s">
        <v>42</v>
      </c>
      <c r="S128" t="str" cm="1">
        <f t="array" ref="S128">IFERROR(_xlfn.IFS(Table1[[#This Row],[Payment Status]]="Partial","In Transit",Table1[[#This Row],[Payment Status]]="Paid","Delivered",Table1[[#This Row],[Payment Status]]="Pending","Pending"),"Invalid Input")</f>
        <v>Pending</v>
      </c>
      <c r="T128" t="s">
        <v>27</v>
      </c>
      <c r="U128" t="str" cm="1">
        <f t="array" ref="U128">IFERROR(_xlfn.IFS(Table1[[#This Row],[Payment Status]]="Partial","In Transit",Table1[[#This Row],[Payment Status]]="Paid","Completed",Table1[[#This Row],[Payment Status]]="Pending","Pending"),"Invalid Input")</f>
        <v>Pending</v>
      </c>
    </row>
    <row r="129" spans="1:21" x14ac:dyDescent="0.25">
      <c r="A129" s="4" t="s">
        <v>326</v>
      </c>
      <c r="B129" s="5">
        <v>45596</v>
      </c>
      <c r="C129" t="s">
        <v>73</v>
      </c>
      <c r="D129" t="s">
        <v>37</v>
      </c>
      <c r="E129" t="s">
        <v>66</v>
      </c>
      <c r="F129" t="s">
        <v>3226</v>
      </c>
      <c r="G129" t="s">
        <v>67</v>
      </c>
      <c r="H129" t="str">
        <f>VLOOKUP(Table1[[#This Row],[City]],Table6[#All],2,FALSE)</f>
        <v>East</v>
      </c>
      <c r="I129" t="s">
        <v>53</v>
      </c>
      <c r="J129" t="str">
        <f>_xlfn.XLOOKUP(Table1[[#This Row],[Tractor Model]],Table7[Product Model],Table7[Product Category],"Not Available",0)</f>
        <v>Farmtrac</v>
      </c>
      <c r="K129" s="4">
        <v>3</v>
      </c>
      <c r="L129" s="72">
        <v>880839</v>
      </c>
      <c r="M129" s="4">
        <f>INDEX('Master Sheet'!$C$4:$C$12,MATCH(Table1[[#This Row],[Quantity]],'Master Sheet'!$B$4:$B$12,0))</f>
        <v>6</v>
      </c>
      <c r="N129" s="71">
        <f>Table1[[#This Row],[Quantity]]*Table1[[#This Row],[Unit Price]]</f>
        <v>2642517</v>
      </c>
      <c r="O129" s="73">
        <v>0.26425169999999998</v>
      </c>
      <c r="P129" s="70">
        <f>Table1[[#This Row],[Gross Amount]]*(1-(Table1[[#This Row],[Discount %]]/100))</f>
        <v>2483965.98</v>
      </c>
      <c r="Q129" s="74">
        <f>(Table1[[#This Row],[Gross Amount]]*(1-(Table1[[#This Row],[Discount %]]/100)))/10000000</f>
        <v>0.248396598</v>
      </c>
      <c r="R129" t="s">
        <v>54</v>
      </c>
      <c r="S129" t="str" cm="1">
        <f t="array" ref="S129">IFERROR(_xlfn.IFS(Table1[[#This Row],[Payment Status]]="Partial","In Transit",Table1[[#This Row],[Payment Status]]="Paid","Delivered",Table1[[#This Row],[Payment Status]]="Pending","Pending"),"Invalid Input")</f>
        <v>Delivered</v>
      </c>
      <c r="T129" t="s">
        <v>44</v>
      </c>
      <c r="U129" t="str" cm="1">
        <f t="array" ref="U129">IFERROR(_xlfn.IFS(Table1[[#This Row],[Payment Status]]="Partial","In Transit",Table1[[#This Row],[Payment Status]]="Paid","Completed",Table1[[#This Row],[Payment Status]]="Pending","Pending"),"Invalid Input")</f>
        <v>Completed</v>
      </c>
    </row>
    <row r="130" spans="1:21" x14ac:dyDescent="0.25">
      <c r="A130" s="4" t="s">
        <v>328</v>
      </c>
      <c r="B130" s="5">
        <v>45523</v>
      </c>
      <c r="C130" t="s">
        <v>33</v>
      </c>
      <c r="D130" t="s">
        <v>3270</v>
      </c>
      <c r="E130" t="s">
        <v>119</v>
      </c>
      <c r="F130" t="s">
        <v>3212</v>
      </c>
      <c r="G130" t="s">
        <v>21</v>
      </c>
      <c r="H130" t="str">
        <f>VLOOKUP(Table1[[#This Row],[City]],Table6[#All],2,FALSE)</f>
        <v>North</v>
      </c>
      <c r="I130" t="s">
        <v>58</v>
      </c>
      <c r="J130" t="str">
        <f>_xlfn.XLOOKUP(Table1[[#This Row],[Tractor Model]],Table7[Product Model],Table7[Product Category],"Not Available",0)</f>
        <v>Powertrac</v>
      </c>
      <c r="K130" s="4">
        <v>2</v>
      </c>
      <c r="L130" s="72">
        <v>115561</v>
      </c>
      <c r="M130" s="4">
        <f>INDEX('Master Sheet'!$C$4:$C$12,MATCH(Table1[[#This Row],[Quantity]],'Master Sheet'!$B$4:$B$12,0))</f>
        <v>5</v>
      </c>
      <c r="N130" s="71">
        <f>Table1[[#This Row],[Quantity]]*Table1[[#This Row],[Unit Price]]</f>
        <v>231122</v>
      </c>
      <c r="O130" s="73">
        <v>2.3112199999999999E-2</v>
      </c>
      <c r="P130" s="70">
        <f>Table1[[#This Row],[Gross Amount]]*(1-(Table1[[#This Row],[Discount %]]/100))</f>
        <v>219565.9</v>
      </c>
      <c r="Q130" s="74">
        <f>(Table1[[#This Row],[Gross Amount]]*(1-(Table1[[#This Row],[Discount %]]/100)))/10000000</f>
        <v>2.1956589999999998E-2</v>
      </c>
      <c r="R130" t="s">
        <v>42</v>
      </c>
      <c r="S130" t="str" cm="1">
        <f t="array" ref="S130">IFERROR(_xlfn.IFS(Table1[[#This Row],[Payment Status]]="Partial","In Transit",Table1[[#This Row],[Payment Status]]="Paid","Delivered",Table1[[#This Row],[Payment Status]]="Pending","Pending"),"Invalid Input")</f>
        <v>Pending</v>
      </c>
      <c r="T130" t="s">
        <v>27</v>
      </c>
      <c r="U130" t="str" cm="1">
        <f t="array" ref="U130">IFERROR(_xlfn.IFS(Table1[[#This Row],[Payment Status]]="Partial","In Transit",Table1[[#This Row],[Payment Status]]="Paid","Completed",Table1[[#This Row],[Payment Status]]="Pending","Pending"),"Invalid Input")</f>
        <v>Pending</v>
      </c>
    </row>
    <row r="131" spans="1:21" x14ac:dyDescent="0.25">
      <c r="A131" s="4" t="s">
        <v>330</v>
      </c>
      <c r="B131" s="5">
        <v>45566</v>
      </c>
      <c r="C131" t="s">
        <v>62</v>
      </c>
      <c r="D131" t="s">
        <v>3270</v>
      </c>
      <c r="E131" t="s">
        <v>47</v>
      </c>
      <c r="F131" t="s">
        <v>3205</v>
      </c>
      <c r="G131" t="s">
        <v>48</v>
      </c>
      <c r="H131" t="str">
        <f>VLOOKUP(Table1[[#This Row],[City]],Table6[#All],2,FALSE)</f>
        <v>North</v>
      </c>
      <c r="I131" t="s">
        <v>3204</v>
      </c>
      <c r="J131" t="str">
        <f>_xlfn.XLOOKUP(Table1[[#This Row],[Tractor Model]],Table7[Product Model],Table7[Product Category],"Not Available",0)</f>
        <v>Kubota</v>
      </c>
      <c r="K131" s="4">
        <v>8</v>
      </c>
      <c r="L131" s="72">
        <v>359954</v>
      </c>
      <c r="M131" s="4">
        <f>INDEX('Master Sheet'!$C$4:$C$12,MATCH(Table1[[#This Row],[Quantity]],'Master Sheet'!$B$4:$B$12,0))</f>
        <v>9</v>
      </c>
      <c r="N131" s="71">
        <f>Table1[[#This Row],[Quantity]]*Table1[[#This Row],[Unit Price]]</f>
        <v>2879632</v>
      </c>
      <c r="O131" s="73">
        <v>0.28796319999999997</v>
      </c>
      <c r="P131" s="70">
        <f>Table1[[#This Row],[Gross Amount]]*(1-(Table1[[#This Row],[Discount %]]/100))</f>
        <v>2620465.12</v>
      </c>
      <c r="Q131" s="74">
        <f>(Table1[[#This Row],[Gross Amount]]*(1-(Table1[[#This Row],[Discount %]]/100)))/10000000</f>
        <v>0.26204651200000001</v>
      </c>
      <c r="R131" t="s">
        <v>54</v>
      </c>
      <c r="S131" t="str" cm="1">
        <f t="array" ref="S131">IFERROR(_xlfn.IFS(Table1[[#This Row],[Payment Status]]="Partial","In Transit",Table1[[#This Row],[Payment Status]]="Paid","Delivered",Table1[[#This Row],[Payment Status]]="Pending","Pending"),"Invalid Input")</f>
        <v>Delivered</v>
      </c>
      <c r="T131" t="s">
        <v>27</v>
      </c>
      <c r="U131" t="str" cm="1">
        <f t="array" ref="U131">IFERROR(_xlfn.IFS(Table1[[#This Row],[Payment Status]]="Partial","In Transit",Table1[[#This Row],[Payment Status]]="Paid","Completed",Table1[[#This Row],[Payment Status]]="Pending","Pending"),"Invalid Input")</f>
        <v>Completed</v>
      </c>
    </row>
    <row r="132" spans="1:21" x14ac:dyDescent="0.25">
      <c r="A132" s="4" t="s">
        <v>332</v>
      </c>
      <c r="B132" s="5">
        <v>45630</v>
      </c>
      <c r="C132" t="s">
        <v>52</v>
      </c>
      <c r="D132" t="s">
        <v>37</v>
      </c>
      <c r="E132" t="s">
        <v>47</v>
      </c>
      <c r="F132" t="s">
        <v>3215</v>
      </c>
      <c r="G132" t="s">
        <v>48</v>
      </c>
      <c r="H132" t="str">
        <f>VLOOKUP(Table1[[#This Row],[City]],Table6[#All],2,FALSE)</f>
        <v>North</v>
      </c>
      <c r="I132" t="s">
        <v>3204</v>
      </c>
      <c r="J132" t="str">
        <f>_xlfn.XLOOKUP(Table1[[#This Row],[Tractor Model]],Table7[Product Model],Table7[Product Category],"Not Available",0)</f>
        <v>Kubota</v>
      </c>
      <c r="K132" s="4">
        <v>0</v>
      </c>
      <c r="L132" s="72">
        <v>669206</v>
      </c>
      <c r="M132" s="4">
        <f>INDEX('Master Sheet'!$C$4:$C$12,MATCH(Table1[[#This Row],[Quantity]],'Master Sheet'!$B$4:$B$12,0))</f>
        <v>0</v>
      </c>
      <c r="N132" s="71">
        <f>Table1[[#This Row],[Quantity]]*Table1[[#This Row],[Unit Price]]</f>
        <v>0</v>
      </c>
      <c r="O132" s="73">
        <v>0</v>
      </c>
      <c r="P132" s="70">
        <f>Table1[[#This Row],[Gross Amount]]*(1-(Table1[[#This Row],[Discount %]]/100))</f>
        <v>0</v>
      </c>
      <c r="Q132" s="74">
        <f>(Table1[[#This Row],[Gross Amount]]*(1-(Table1[[#This Row],[Discount %]]/100)))/10000000</f>
        <v>0</v>
      </c>
      <c r="R132" t="s">
        <v>25</v>
      </c>
      <c r="S132" t="str" cm="1">
        <f t="array" ref="S132">IFERROR(_xlfn.IFS(Table1[[#This Row],[Payment Status]]="Partial","In Transit",Table1[[#This Row],[Payment Status]]="Paid","Delivered",Table1[[#This Row],[Payment Status]]="Pending","Pending"),"Invalid Input")</f>
        <v>In Transit</v>
      </c>
      <c r="T132" t="s">
        <v>27</v>
      </c>
      <c r="U132" t="str" cm="1">
        <f t="array" ref="U132">IFERROR(_xlfn.IFS(Table1[[#This Row],[Payment Status]]="Partial","In Transit",Table1[[#This Row],[Payment Status]]="Paid","Completed",Table1[[#This Row],[Payment Status]]="Pending","Pending"),"Invalid Input")</f>
        <v>In Transit</v>
      </c>
    </row>
    <row r="133" spans="1:21" x14ac:dyDescent="0.25">
      <c r="A133" s="4" t="s">
        <v>334</v>
      </c>
      <c r="B133" s="5">
        <v>45801</v>
      </c>
      <c r="C133" t="s">
        <v>62</v>
      </c>
      <c r="D133" t="s">
        <v>3271</v>
      </c>
      <c r="E133" t="s">
        <v>30</v>
      </c>
      <c r="F133" t="s">
        <v>3217</v>
      </c>
      <c r="G133" t="s">
        <v>31</v>
      </c>
      <c r="H133" t="str">
        <f>VLOOKUP(Table1[[#This Row],[City]],Table6[#All],2,FALSE)</f>
        <v>South</v>
      </c>
      <c r="I133" t="s">
        <v>3203</v>
      </c>
      <c r="J133" t="str">
        <f>_xlfn.XLOOKUP(Table1[[#This Row],[Tractor Model]],Table7[Product Model],Table7[Product Category],"Not Available",0)</f>
        <v>Kubota</v>
      </c>
      <c r="K133" s="4">
        <v>4</v>
      </c>
      <c r="L133" s="72">
        <v>281476</v>
      </c>
      <c r="M133" s="4">
        <f>INDEX('Master Sheet'!$C$4:$C$12,MATCH(Table1[[#This Row],[Quantity]],'Master Sheet'!$B$4:$B$12,0))</f>
        <v>6</v>
      </c>
      <c r="N133" s="71">
        <f>Table1[[#This Row],[Quantity]]*Table1[[#This Row],[Unit Price]]</f>
        <v>1125904</v>
      </c>
      <c r="O133" s="73">
        <v>0.11259039999999999</v>
      </c>
      <c r="P133" s="70">
        <f>Table1[[#This Row],[Gross Amount]]*(1-(Table1[[#This Row],[Discount %]]/100))</f>
        <v>1058349.76</v>
      </c>
      <c r="Q133" s="74">
        <f>(Table1[[#This Row],[Gross Amount]]*(1-(Table1[[#This Row],[Discount %]]/100)))/10000000</f>
        <v>0.105834976</v>
      </c>
      <c r="R133" t="s">
        <v>54</v>
      </c>
      <c r="S133" t="str" cm="1">
        <f t="array" ref="S133">IFERROR(_xlfn.IFS(Table1[[#This Row],[Payment Status]]="Partial","In Transit",Table1[[#This Row],[Payment Status]]="Paid","Delivered",Table1[[#This Row],[Payment Status]]="Pending","Pending"),"Invalid Input")</f>
        <v>Delivered</v>
      </c>
      <c r="T133" t="s">
        <v>27</v>
      </c>
      <c r="U133" t="str" cm="1">
        <f t="array" ref="U133">IFERROR(_xlfn.IFS(Table1[[#This Row],[Payment Status]]="Partial","In Transit",Table1[[#This Row],[Payment Status]]="Paid","Completed",Table1[[#This Row],[Payment Status]]="Pending","Pending"),"Invalid Input")</f>
        <v>Completed</v>
      </c>
    </row>
    <row r="134" spans="1:21" x14ac:dyDescent="0.25">
      <c r="A134" s="4" t="s">
        <v>336</v>
      </c>
      <c r="B134" s="5">
        <v>45811</v>
      </c>
      <c r="C134" t="s">
        <v>33</v>
      </c>
      <c r="D134" t="s">
        <v>3270</v>
      </c>
      <c r="E134" t="s">
        <v>119</v>
      </c>
      <c r="F134" t="s">
        <v>3212</v>
      </c>
      <c r="G134" t="s">
        <v>21</v>
      </c>
      <c r="H134" t="str">
        <f>VLOOKUP(Table1[[#This Row],[City]],Table6[#All],2,FALSE)</f>
        <v>North</v>
      </c>
      <c r="I134" t="s">
        <v>3203</v>
      </c>
      <c r="J134" t="str">
        <f>_xlfn.XLOOKUP(Table1[[#This Row],[Tractor Model]],Table7[Product Model],Table7[Product Category],"Not Available",0)</f>
        <v>Kubota</v>
      </c>
      <c r="K134" s="4">
        <v>0</v>
      </c>
      <c r="L134" s="72">
        <v>213484</v>
      </c>
      <c r="M134" s="4">
        <f>INDEX('Master Sheet'!$C$4:$C$12,MATCH(Table1[[#This Row],[Quantity]],'Master Sheet'!$B$4:$B$12,0))</f>
        <v>0</v>
      </c>
      <c r="N134" s="71">
        <f>Table1[[#This Row],[Quantity]]*Table1[[#This Row],[Unit Price]]</f>
        <v>0</v>
      </c>
      <c r="O134" s="73">
        <v>0</v>
      </c>
      <c r="P134" s="70">
        <f>Table1[[#This Row],[Gross Amount]]*(1-(Table1[[#This Row],[Discount %]]/100))</f>
        <v>0</v>
      </c>
      <c r="Q134" s="74">
        <f>(Table1[[#This Row],[Gross Amount]]*(1-(Table1[[#This Row],[Discount %]]/100)))/10000000</f>
        <v>0</v>
      </c>
      <c r="R134" t="s">
        <v>54</v>
      </c>
      <c r="S134" t="str" cm="1">
        <f t="array" ref="S134">IFERROR(_xlfn.IFS(Table1[[#This Row],[Payment Status]]="Partial","In Transit",Table1[[#This Row],[Payment Status]]="Paid","Delivered",Table1[[#This Row],[Payment Status]]="Pending","Pending"),"Invalid Input")</f>
        <v>Delivered</v>
      </c>
      <c r="T134" t="s">
        <v>27</v>
      </c>
      <c r="U134" t="str" cm="1">
        <f t="array" ref="U134">IFERROR(_xlfn.IFS(Table1[[#This Row],[Payment Status]]="Partial","In Transit",Table1[[#This Row],[Payment Status]]="Paid","Completed",Table1[[#This Row],[Payment Status]]="Pending","Pending"),"Invalid Input")</f>
        <v>Completed</v>
      </c>
    </row>
    <row r="135" spans="1:21" x14ac:dyDescent="0.25">
      <c r="A135" s="4" t="s">
        <v>338</v>
      </c>
      <c r="B135" s="5">
        <v>45735</v>
      </c>
      <c r="C135" t="s">
        <v>73</v>
      </c>
      <c r="D135" t="s">
        <v>37</v>
      </c>
      <c r="E135" t="s">
        <v>47</v>
      </c>
      <c r="F135" t="s">
        <v>3215</v>
      </c>
      <c r="G135" t="s">
        <v>48</v>
      </c>
      <c r="H135" t="str">
        <f>VLOOKUP(Table1[[#This Row],[City]],Table6[#All],2,FALSE)</f>
        <v>North</v>
      </c>
      <c r="I135" t="s">
        <v>3204</v>
      </c>
      <c r="J135" t="str">
        <f>_xlfn.XLOOKUP(Table1[[#This Row],[Tractor Model]],Table7[Product Model],Table7[Product Category],"Not Available",0)</f>
        <v>Kubota</v>
      </c>
      <c r="K135" s="4">
        <v>8</v>
      </c>
      <c r="L135" s="72">
        <v>352004</v>
      </c>
      <c r="M135" s="4">
        <f>INDEX('Master Sheet'!$C$4:$C$12,MATCH(Table1[[#This Row],[Quantity]],'Master Sheet'!$B$4:$B$12,0))</f>
        <v>9</v>
      </c>
      <c r="N135" s="71">
        <f>Table1[[#This Row],[Quantity]]*Table1[[#This Row],[Unit Price]]</f>
        <v>2816032</v>
      </c>
      <c r="O135" s="73">
        <v>0.2816032</v>
      </c>
      <c r="P135" s="70">
        <f>Table1[[#This Row],[Gross Amount]]*(1-(Table1[[#This Row],[Discount %]]/100))</f>
        <v>2562589.12</v>
      </c>
      <c r="Q135" s="74">
        <f>(Table1[[#This Row],[Gross Amount]]*(1-(Table1[[#This Row],[Discount %]]/100)))/10000000</f>
        <v>0.25625891200000001</v>
      </c>
      <c r="R135" t="s">
        <v>54</v>
      </c>
      <c r="S135" t="str" cm="1">
        <f t="array" ref="S135">IFERROR(_xlfn.IFS(Table1[[#This Row],[Payment Status]]="Partial","In Transit",Table1[[#This Row],[Payment Status]]="Paid","Delivered",Table1[[#This Row],[Payment Status]]="Pending","Pending"),"Invalid Input")</f>
        <v>Delivered</v>
      </c>
      <c r="T135" t="s">
        <v>27</v>
      </c>
      <c r="U135" t="str" cm="1">
        <f t="array" ref="U135">IFERROR(_xlfn.IFS(Table1[[#This Row],[Payment Status]]="Partial","In Transit",Table1[[#This Row],[Payment Status]]="Paid","Completed",Table1[[#This Row],[Payment Status]]="Pending","Pending"),"Invalid Input")</f>
        <v>Completed</v>
      </c>
    </row>
    <row r="136" spans="1:21" x14ac:dyDescent="0.25">
      <c r="A136" s="4" t="s">
        <v>340</v>
      </c>
      <c r="B136" s="5">
        <v>45513</v>
      </c>
      <c r="C136" t="s">
        <v>73</v>
      </c>
      <c r="D136" t="s">
        <v>3268</v>
      </c>
      <c r="E136" t="s">
        <v>30</v>
      </c>
      <c r="F136" t="s">
        <v>3208</v>
      </c>
      <c r="G136" t="s">
        <v>31</v>
      </c>
      <c r="H136" t="str">
        <f>VLOOKUP(Table1[[#This Row],[City]],Table6[#All],2,FALSE)</f>
        <v>South</v>
      </c>
      <c r="I136" t="s">
        <v>3204</v>
      </c>
      <c r="J136" t="str">
        <f>_xlfn.XLOOKUP(Table1[[#This Row],[Tractor Model]],Table7[Product Model],Table7[Product Category],"Not Available",0)</f>
        <v>Kubota</v>
      </c>
      <c r="K136" s="4">
        <v>6</v>
      </c>
      <c r="L136" s="72">
        <v>148730</v>
      </c>
      <c r="M136" s="4">
        <f>INDEX('Master Sheet'!$C$4:$C$12,MATCH(Table1[[#This Row],[Quantity]],'Master Sheet'!$B$4:$B$12,0))</f>
        <v>8</v>
      </c>
      <c r="N136" s="71">
        <f>Table1[[#This Row],[Quantity]]*Table1[[#This Row],[Unit Price]]</f>
        <v>892380</v>
      </c>
      <c r="O136" s="73">
        <v>8.9237999999999998E-2</v>
      </c>
      <c r="P136" s="70">
        <f>Table1[[#This Row],[Gross Amount]]*(1-(Table1[[#This Row],[Discount %]]/100))</f>
        <v>820989.60000000009</v>
      </c>
      <c r="Q136" s="74">
        <f>(Table1[[#This Row],[Gross Amount]]*(1-(Table1[[#This Row],[Discount %]]/100)))/10000000</f>
        <v>8.2098960000000012E-2</v>
      </c>
      <c r="R136" t="s">
        <v>42</v>
      </c>
      <c r="S136" t="str" cm="1">
        <f t="array" ref="S136">IFERROR(_xlfn.IFS(Table1[[#This Row],[Payment Status]]="Partial","In Transit",Table1[[#This Row],[Payment Status]]="Paid","Delivered",Table1[[#This Row],[Payment Status]]="Pending","Pending"),"Invalid Input")</f>
        <v>Pending</v>
      </c>
      <c r="T136" t="s">
        <v>44</v>
      </c>
      <c r="U136" t="str" cm="1">
        <f t="array" ref="U136">IFERROR(_xlfn.IFS(Table1[[#This Row],[Payment Status]]="Partial","In Transit",Table1[[#This Row],[Payment Status]]="Paid","Completed",Table1[[#This Row],[Payment Status]]="Pending","Pending"),"Invalid Input")</f>
        <v>Pending</v>
      </c>
    </row>
    <row r="137" spans="1:21" x14ac:dyDescent="0.25">
      <c r="A137" s="4" t="s">
        <v>342</v>
      </c>
      <c r="B137" s="5">
        <v>45801</v>
      </c>
      <c r="C137" t="s">
        <v>62</v>
      </c>
      <c r="D137" t="s">
        <v>3269</v>
      </c>
      <c r="E137" t="s">
        <v>38</v>
      </c>
      <c r="F137" t="s">
        <v>3206</v>
      </c>
      <c r="G137" t="s">
        <v>39</v>
      </c>
      <c r="H137" t="str">
        <f>VLOOKUP(Table1[[#This Row],[City]],Table6[#All],2,FALSE)</f>
        <v>West</v>
      </c>
      <c r="I137" t="s">
        <v>3203</v>
      </c>
      <c r="J137" t="str">
        <f>_xlfn.XLOOKUP(Table1[[#This Row],[Tractor Model]],Table7[Product Model],Table7[Product Category],"Not Available",0)</f>
        <v>Kubota</v>
      </c>
      <c r="K137" s="4">
        <v>6</v>
      </c>
      <c r="L137" s="72">
        <v>843696</v>
      </c>
      <c r="M137" s="4">
        <f>INDEX('Master Sheet'!$C$4:$C$12,MATCH(Table1[[#This Row],[Quantity]],'Master Sheet'!$B$4:$B$12,0))</f>
        <v>8</v>
      </c>
      <c r="N137" s="71">
        <f>Table1[[#This Row],[Quantity]]*Table1[[#This Row],[Unit Price]]</f>
        <v>5062176</v>
      </c>
      <c r="O137" s="73">
        <v>0.50621760000000005</v>
      </c>
      <c r="P137" s="70">
        <f>Table1[[#This Row],[Gross Amount]]*(1-(Table1[[#This Row],[Discount %]]/100))</f>
        <v>4657201.92</v>
      </c>
      <c r="Q137" s="74">
        <f>(Table1[[#This Row],[Gross Amount]]*(1-(Table1[[#This Row],[Discount %]]/100)))/10000000</f>
        <v>0.46572019199999998</v>
      </c>
      <c r="R137" t="s">
        <v>54</v>
      </c>
      <c r="S137" t="str" cm="1">
        <f t="array" ref="S137">IFERROR(_xlfn.IFS(Table1[[#This Row],[Payment Status]]="Partial","In Transit",Table1[[#This Row],[Payment Status]]="Paid","Delivered",Table1[[#This Row],[Payment Status]]="Pending","Pending"),"Invalid Input")</f>
        <v>Delivered</v>
      </c>
      <c r="T137" t="s">
        <v>44</v>
      </c>
      <c r="U137" t="str" cm="1">
        <f t="array" ref="U137">IFERROR(_xlfn.IFS(Table1[[#This Row],[Payment Status]]="Partial","In Transit",Table1[[#This Row],[Payment Status]]="Paid","Completed",Table1[[#This Row],[Payment Status]]="Pending","Pending"),"Invalid Input")</f>
        <v>Completed</v>
      </c>
    </row>
    <row r="138" spans="1:21" x14ac:dyDescent="0.25">
      <c r="A138" s="4" t="s">
        <v>344</v>
      </c>
      <c r="B138" s="5">
        <v>45722</v>
      </c>
      <c r="C138" t="s">
        <v>62</v>
      </c>
      <c r="D138" t="s">
        <v>3271</v>
      </c>
      <c r="E138" t="s">
        <v>119</v>
      </c>
      <c r="F138" t="s">
        <v>3228</v>
      </c>
      <c r="G138" t="s">
        <v>21</v>
      </c>
      <c r="H138" t="str">
        <f>VLOOKUP(Table1[[#This Row],[City]],Table6[#All],2,FALSE)</f>
        <v>North</v>
      </c>
      <c r="I138" t="s">
        <v>53</v>
      </c>
      <c r="J138" t="str">
        <f>_xlfn.XLOOKUP(Table1[[#This Row],[Tractor Model]],Table7[Product Model],Table7[Product Category],"Not Available",0)</f>
        <v>Farmtrac</v>
      </c>
      <c r="K138" s="4">
        <v>1</v>
      </c>
      <c r="L138" s="72">
        <v>200488</v>
      </c>
      <c r="M138" s="4">
        <f>INDEX('Master Sheet'!$C$4:$C$12,MATCH(Table1[[#This Row],[Quantity]],'Master Sheet'!$B$4:$B$12,0))</f>
        <v>3</v>
      </c>
      <c r="N138" s="71">
        <f>Table1[[#This Row],[Quantity]]*Table1[[#This Row],[Unit Price]]</f>
        <v>200488</v>
      </c>
      <c r="O138" s="73">
        <v>2.0048799999999999E-2</v>
      </c>
      <c r="P138" s="70">
        <f>Table1[[#This Row],[Gross Amount]]*(1-(Table1[[#This Row],[Discount %]]/100))</f>
        <v>194473.36</v>
      </c>
      <c r="Q138" s="74">
        <f>(Table1[[#This Row],[Gross Amount]]*(1-(Table1[[#This Row],[Discount %]]/100)))/10000000</f>
        <v>1.9447335999999999E-2</v>
      </c>
      <c r="R138" t="s">
        <v>54</v>
      </c>
      <c r="S138" t="str" cm="1">
        <f t="array" ref="S138">IFERROR(_xlfn.IFS(Table1[[#This Row],[Payment Status]]="Partial","In Transit",Table1[[#This Row],[Payment Status]]="Paid","Delivered",Table1[[#This Row],[Payment Status]]="Pending","Pending"),"Invalid Input")</f>
        <v>Delivered</v>
      </c>
      <c r="T138" t="s">
        <v>27</v>
      </c>
      <c r="U138" t="str" cm="1">
        <f t="array" ref="U138">IFERROR(_xlfn.IFS(Table1[[#This Row],[Payment Status]]="Partial","In Transit",Table1[[#This Row],[Payment Status]]="Paid","Completed",Table1[[#This Row],[Payment Status]]="Pending","Pending"),"Invalid Input")</f>
        <v>Completed</v>
      </c>
    </row>
    <row r="139" spans="1:21" x14ac:dyDescent="0.25">
      <c r="A139" s="4" t="s">
        <v>346</v>
      </c>
      <c r="B139" s="5">
        <v>45476</v>
      </c>
      <c r="C139" t="s">
        <v>73</v>
      </c>
      <c r="D139" t="s">
        <v>3269</v>
      </c>
      <c r="E139" t="s">
        <v>119</v>
      </c>
      <c r="F139" t="s">
        <v>3229</v>
      </c>
      <c r="G139" t="s">
        <v>21</v>
      </c>
      <c r="H139" t="str">
        <f>VLOOKUP(Table1[[#This Row],[City]],Table6[#All],2,FALSE)</f>
        <v>North</v>
      </c>
      <c r="I139" t="s">
        <v>58</v>
      </c>
      <c r="J139" t="str">
        <f>_xlfn.XLOOKUP(Table1[[#This Row],[Tractor Model]],Table7[Product Model],Table7[Product Category],"Not Available",0)</f>
        <v>Powertrac</v>
      </c>
      <c r="K139" s="4">
        <v>3</v>
      </c>
      <c r="L139" s="72">
        <v>618174</v>
      </c>
      <c r="M139" s="4">
        <f>INDEX('Master Sheet'!$C$4:$C$12,MATCH(Table1[[#This Row],[Quantity]],'Master Sheet'!$B$4:$B$12,0))</f>
        <v>6</v>
      </c>
      <c r="N139" s="71">
        <f>Table1[[#This Row],[Quantity]]*Table1[[#This Row],[Unit Price]]</f>
        <v>1854522</v>
      </c>
      <c r="O139" s="73">
        <v>0.18545220000000001</v>
      </c>
      <c r="P139" s="70">
        <f>Table1[[#This Row],[Gross Amount]]*(1-(Table1[[#This Row],[Discount %]]/100))</f>
        <v>1743250.68</v>
      </c>
      <c r="Q139" s="74">
        <f>(Table1[[#This Row],[Gross Amount]]*(1-(Table1[[#This Row],[Discount %]]/100)))/10000000</f>
        <v>0.174325068</v>
      </c>
      <c r="R139" t="s">
        <v>42</v>
      </c>
      <c r="S139" t="str" cm="1">
        <f t="array" ref="S139">IFERROR(_xlfn.IFS(Table1[[#This Row],[Payment Status]]="Partial","In Transit",Table1[[#This Row],[Payment Status]]="Paid","Delivered",Table1[[#This Row],[Payment Status]]="Pending","Pending"),"Invalid Input")</f>
        <v>Pending</v>
      </c>
      <c r="T139" t="s">
        <v>27</v>
      </c>
      <c r="U139" t="str" cm="1">
        <f t="array" ref="U139">IFERROR(_xlfn.IFS(Table1[[#This Row],[Payment Status]]="Partial","In Transit",Table1[[#This Row],[Payment Status]]="Paid","Completed",Table1[[#This Row],[Payment Status]]="Pending","Pending"),"Invalid Input")</f>
        <v>Pending</v>
      </c>
    </row>
    <row r="140" spans="1:21" x14ac:dyDescent="0.25">
      <c r="A140" s="4" t="s">
        <v>348</v>
      </c>
      <c r="B140" s="5">
        <v>45302</v>
      </c>
      <c r="C140" t="s">
        <v>73</v>
      </c>
      <c r="D140" t="s">
        <v>3271</v>
      </c>
      <c r="E140" t="s">
        <v>30</v>
      </c>
      <c r="F140" t="s">
        <v>3217</v>
      </c>
      <c r="G140" t="s">
        <v>31</v>
      </c>
      <c r="H140" t="str">
        <f>VLOOKUP(Table1[[#This Row],[City]],Table6[#All],2,FALSE)</f>
        <v>South</v>
      </c>
      <c r="I140" t="s">
        <v>24</v>
      </c>
      <c r="J140" t="str">
        <f>_xlfn.XLOOKUP(Table1[[#This Row],[Tractor Model]],Table7[Product Model],Table7[Product Category],"Not Available",0)</f>
        <v>Farmtrac</v>
      </c>
      <c r="K140" s="4">
        <v>6</v>
      </c>
      <c r="L140" s="72">
        <v>253106</v>
      </c>
      <c r="M140" s="4">
        <f>INDEX('Master Sheet'!$C$4:$C$12,MATCH(Table1[[#This Row],[Quantity]],'Master Sheet'!$B$4:$B$12,0))</f>
        <v>8</v>
      </c>
      <c r="N140" s="71">
        <f>Table1[[#This Row],[Quantity]]*Table1[[#This Row],[Unit Price]]</f>
        <v>1518636</v>
      </c>
      <c r="O140" s="73">
        <v>0.15186359999999999</v>
      </c>
      <c r="P140" s="70">
        <f>Table1[[#This Row],[Gross Amount]]*(1-(Table1[[#This Row],[Discount %]]/100))</f>
        <v>1397145.12</v>
      </c>
      <c r="Q140" s="74">
        <f>(Table1[[#This Row],[Gross Amount]]*(1-(Table1[[#This Row],[Discount %]]/100)))/10000000</f>
        <v>0.13971451200000001</v>
      </c>
      <c r="R140" t="s">
        <v>42</v>
      </c>
      <c r="S140" t="str" cm="1">
        <f t="array" ref="S140">IFERROR(_xlfn.IFS(Table1[[#This Row],[Payment Status]]="Partial","In Transit",Table1[[#This Row],[Payment Status]]="Paid","Delivered",Table1[[#This Row],[Payment Status]]="Pending","Pending"),"Invalid Input")</f>
        <v>Pending</v>
      </c>
      <c r="T140" t="s">
        <v>27</v>
      </c>
      <c r="U140" t="str" cm="1">
        <f t="array" ref="U140">IFERROR(_xlfn.IFS(Table1[[#This Row],[Payment Status]]="Partial","In Transit",Table1[[#This Row],[Payment Status]]="Paid","Completed",Table1[[#This Row],[Payment Status]]="Pending","Pending"),"Invalid Input")</f>
        <v>Pending</v>
      </c>
    </row>
    <row r="141" spans="1:21" x14ac:dyDescent="0.25">
      <c r="A141" s="4" t="s">
        <v>350</v>
      </c>
      <c r="B141" s="5">
        <v>45538</v>
      </c>
      <c r="C141" t="s">
        <v>62</v>
      </c>
      <c r="D141" t="s">
        <v>3270</v>
      </c>
      <c r="E141" t="s">
        <v>47</v>
      </c>
      <c r="F141" t="s">
        <v>3205</v>
      </c>
      <c r="G141" t="s">
        <v>48</v>
      </c>
      <c r="H141" t="str">
        <f>VLOOKUP(Table1[[#This Row],[City]],Table6[#All],2,FALSE)</f>
        <v>North</v>
      </c>
      <c r="I141" t="s">
        <v>53</v>
      </c>
      <c r="J141" t="str">
        <f>_xlfn.XLOOKUP(Table1[[#This Row],[Tractor Model]],Table7[Product Model],Table7[Product Category],"Not Available",0)</f>
        <v>Farmtrac</v>
      </c>
      <c r="K141" s="4">
        <v>4</v>
      </c>
      <c r="L141" s="72">
        <v>579418</v>
      </c>
      <c r="M141" s="4">
        <f>INDEX('Master Sheet'!$C$4:$C$12,MATCH(Table1[[#This Row],[Quantity]],'Master Sheet'!$B$4:$B$12,0))</f>
        <v>6</v>
      </c>
      <c r="N141" s="71">
        <f>Table1[[#This Row],[Quantity]]*Table1[[#This Row],[Unit Price]]</f>
        <v>2317672</v>
      </c>
      <c r="O141" s="73">
        <v>0.23176720000000001</v>
      </c>
      <c r="P141" s="70">
        <f>Table1[[#This Row],[Gross Amount]]*(1-(Table1[[#This Row],[Discount %]]/100))</f>
        <v>2178611.6799999997</v>
      </c>
      <c r="Q141" s="74">
        <f>(Table1[[#This Row],[Gross Amount]]*(1-(Table1[[#This Row],[Discount %]]/100)))/10000000</f>
        <v>0.21786116799999997</v>
      </c>
      <c r="R141" t="s">
        <v>54</v>
      </c>
      <c r="S141" t="str" cm="1">
        <f t="array" ref="S141">IFERROR(_xlfn.IFS(Table1[[#This Row],[Payment Status]]="Partial","In Transit",Table1[[#This Row],[Payment Status]]="Paid","Delivered",Table1[[#This Row],[Payment Status]]="Pending","Pending"),"Invalid Input")</f>
        <v>Delivered</v>
      </c>
      <c r="T141" t="s">
        <v>44</v>
      </c>
      <c r="U141" t="str" cm="1">
        <f t="array" ref="U141">IFERROR(_xlfn.IFS(Table1[[#This Row],[Payment Status]]="Partial","In Transit",Table1[[#This Row],[Payment Status]]="Paid","Completed",Table1[[#This Row],[Payment Status]]="Pending","Pending"),"Invalid Input")</f>
        <v>Completed</v>
      </c>
    </row>
    <row r="142" spans="1:21" x14ac:dyDescent="0.25">
      <c r="A142" s="4" t="s">
        <v>352</v>
      </c>
      <c r="B142" s="5">
        <v>45574</v>
      </c>
      <c r="C142" t="s">
        <v>41</v>
      </c>
      <c r="D142" t="s">
        <v>3268</v>
      </c>
      <c r="E142" t="s">
        <v>30</v>
      </c>
      <c r="F142" t="s">
        <v>3208</v>
      </c>
      <c r="G142" t="s">
        <v>31</v>
      </c>
      <c r="H142" t="str">
        <f>VLOOKUP(Table1[[#This Row],[City]],Table6[#All],2,FALSE)</f>
        <v>South</v>
      </c>
      <c r="I142" t="s">
        <v>24</v>
      </c>
      <c r="J142" t="str">
        <f>_xlfn.XLOOKUP(Table1[[#This Row],[Tractor Model]],Table7[Product Model],Table7[Product Category],"Not Available",0)</f>
        <v>Farmtrac</v>
      </c>
      <c r="K142" s="4">
        <v>2</v>
      </c>
      <c r="L142" s="72">
        <v>629796</v>
      </c>
      <c r="M142" s="4">
        <f>INDEX('Master Sheet'!$C$4:$C$12,MATCH(Table1[[#This Row],[Quantity]],'Master Sheet'!$B$4:$B$12,0))</f>
        <v>5</v>
      </c>
      <c r="N142" s="71">
        <f>Table1[[#This Row],[Quantity]]*Table1[[#This Row],[Unit Price]]</f>
        <v>1259592</v>
      </c>
      <c r="O142" s="73">
        <v>0.12595919999999999</v>
      </c>
      <c r="P142" s="70">
        <f>Table1[[#This Row],[Gross Amount]]*(1-(Table1[[#This Row],[Discount %]]/100))</f>
        <v>1196612.3999999999</v>
      </c>
      <c r="Q142" s="74">
        <f>(Table1[[#This Row],[Gross Amount]]*(1-(Table1[[#This Row],[Discount %]]/100)))/10000000</f>
        <v>0.11966123999999999</v>
      </c>
      <c r="R142" t="s">
        <v>25</v>
      </c>
      <c r="S142" t="str" cm="1">
        <f t="array" ref="S142">IFERROR(_xlfn.IFS(Table1[[#This Row],[Payment Status]]="Partial","In Transit",Table1[[#This Row],[Payment Status]]="Paid","Delivered",Table1[[#This Row],[Payment Status]]="Pending","Pending"),"Invalid Input")</f>
        <v>In Transit</v>
      </c>
      <c r="T142" t="s">
        <v>27</v>
      </c>
      <c r="U142" t="str" cm="1">
        <f t="array" ref="U142">IFERROR(_xlfn.IFS(Table1[[#This Row],[Payment Status]]="Partial","In Transit",Table1[[#This Row],[Payment Status]]="Paid","Completed",Table1[[#This Row],[Payment Status]]="Pending","Pending"),"Invalid Input")</f>
        <v>In Transit</v>
      </c>
    </row>
    <row r="143" spans="1:21" x14ac:dyDescent="0.25">
      <c r="A143" s="4" t="s">
        <v>353</v>
      </c>
      <c r="B143" s="5">
        <v>45323</v>
      </c>
      <c r="C143" t="s">
        <v>52</v>
      </c>
      <c r="D143" t="s">
        <v>3270</v>
      </c>
      <c r="E143" t="s">
        <v>66</v>
      </c>
      <c r="F143" t="s">
        <v>3220</v>
      </c>
      <c r="G143" t="s">
        <v>67</v>
      </c>
      <c r="H143" t="str">
        <f>VLOOKUP(Table1[[#This Row],[City]],Table6[#All],2,FALSE)</f>
        <v>East</v>
      </c>
      <c r="I143" t="s">
        <v>58</v>
      </c>
      <c r="J143" t="str">
        <f>_xlfn.XLOOKUP(Table1[[#This Row],[Tractor Model]],Table7[Product Model],Table7[Product Category],"Not Available",0)</f>
        <v>Powertrac</v>
      </c>
      <c r="K143" s="4">
        <v>7</v>
      </c>
      <c r="L143" s="72">
        <v>715073</v>
      </c>
      <c r="M143" s="4">
        <f>INDEX('Master Sheet'!$C$4:$C$12,MATCH(Table1[[#This Row],[Quantity]],'Master Sheet'!$B$4:$B$12,0))</f>
        <v>9</v>
      </c>
      <c r="N143" s="71">
        <f>Table1[[#This Row],[Quantity]]*Table1[[#This Row],[Unit Price]]</f>
        <v>5005511</v>
      </c>
      <c r="O143" s="73">
        <v>0.50055110000000003</v>
      </c>
      <c r="P143" s="70">
        <f>Table1[[#This Row],[Gross Amount]]*(1-(Table1[[#This Row],[Discount %]]/100))</f>
        <v>4555015.01</v>
      </c>
      <c r="Q143" s="74">
        <f>(Table1[[#This Row],[Gross Amount]]*(1-(Table1[[#This Row],[Discount %]]/100)))/10000000</f>
        <v>0.45550150099999998</v>
      </c>
      <c r="R143" t="s">
        <v>42</v>
      </c>
      <c r="S143" t="str" cm="1">
        <f t="array" ref="S143">IFERROR(_xlfn.IFS(Table1[[#This Row],[Payment Status]]="Partial","In Transit",Table1[[#This Row],[Payment Status]]="Paid","Delivered",Table1[[#This Row],[Payment Status]]="Pending","Pending"),"Invalid Input")</f>
        <v>Pending</v>
      </c>
      <c r="T143" t="s">
        <v>44</v>
      </c>
      <c r="U143" t="str" cm="1">
        <f t="array" ref="U143">IFERROR(_xlfn.IFS(Table1[[#This Row],[Payment Status]]="Partial","In Transit",Table1[[#This Row],[Payment Status]]="Paid","Completed",Table1[[#This Row],[Payment Status]]="Pending","Pending"),"Invalid Input")</f>
        <v>Pending</v>
      </c>
    </row>
    <row r="144" spans="1:21" x14ac:dyDescent="0.25">
      <c r="A144" s="4" t="s">
        <v>355</v>
      </c>
      <c r="B144" s="5">
        <v>45472</v>
      </c>
      <c r="C144" t="s">
        <v>41</v>
      </c>
      <c r="D144" t="s">
        <v>3270</v>
      </c>
      <c r="E144" t="s">
        <v>66</v>
      </c>
      <c r="F144" t="s">
        <v>3220</v>
      </c>
      <c r="G144" t="s">
        <v>67</v>
      </c>
      <c r="H144" t="str">
        <f>VLOOKUP(Table1[[#This Row],[City]],Table6[#All],2,FALSE)</f>
        <v>East</v>
      </c>
      <c r="I144" t="s">
        <v>24</v>
      </c>
      <c r="J144" t="str">
        <f>_xlfn.XLOOKUP(Table1[[#This Row],[Tractor Model]],Table7[Product Model],Table7[Product Category],"Not Available",0)</f>
        <v>Farmtrac</v>
      </c>
      <c r="K144" s="4">
        <v>1</v>
      </c>
      <c r="L144" s="72">
        <v>152656</v>
      </c>
      <c r="M144" s="4">
        <f>INDEX('Master Sheet'!$C$4:$C$12,MATCH(Table1[[#This Row],[Quantity]],'Master Sheet'!$B$4:$B$12,0))</f>
        <v>3</v>
      </c>
      <c r="N144" s="71">
        <f>Table1[[#This Row],[Quantity]]*Table1[[#This Row],[Unit Price]]</f>
        <v>152656</v>
      </c>
      <c r="O144" s="73">
        <v>1.5265600000000001E-2</v>
      </c>
      <c r="P144" s="70">
        <f>Table1[[#This Row],[Gross Amount]]*(1-(Table1[[#This Row],[Discount %]]/100))</f>
        <v>148076.32</v>
      </c>
      <c r="Q144" s="74">
        <f>(Table1[[#This Row],[Gross Amount]]*(1-(Table1[[#This Row],[Discount %]]/100)))/10000000</f>
        <v>1.4807632000000001E-2</v>
      </c>
      <c r="R144" t="s">
        <v>42</v>
      </c>
      <c r="S144" t="str" cm="1">
        <f t="array" ref="S144">IFERROR(_xlfn.IFS(Table1[[#This Row],[Payment Status]]="Partial","In Transit",Table1[[#This Row],[Payment Status]]="Paid","Delivered",Table1[[#This Row],[Payment Status]]="Pending","Pending"),"Invalid Input")</f>
        <v>Pending</v>
      </c>
      <c r="T144" t="s">
        <v>27</v>
      </c>
      <c r="U144" t="str" cm="1">
        <f t="array" ref="U144">IFERROR(_xlfn.IFS(Table1[[#This Row],[Payment Status]]="Partial","In Transit",Table1[[#This Row],[Payment Status]]="Paid","Completed",Table1[[#This Row],[Payment Status]]="Pending","Pending"),"Invalid Input")</f>
        <v>Pending</v>
      </c>
    </row>
    <row r="145" spans="1:21" x14ac:dyDescent="0.25">
      <c r="A145" s="4" t="s">
        <v>357</v>
      </c>
      <c r="B145" s="5">
        <v>45446</v>
      </c>
      <c r="C145" t="s">
        <v>73</v>
      </c>
      <c r="D145" t="s">
        <v>3269</v>
      </c>
      <c r="E145" t="s">
        <v>47</v>
      </c>
      <c r="F145" t="s">
        <v>3209</v>
      </c>
      <c r="G145" t="s">
        <v>48</v>
      </c>
      <c r="H145" t="str">
        <f>VLOOKUP(Table1[[#This Row],[City]],Table6[#All],2,FALSE)</f>
        <v>North</v>
      </c>
      <c r="I145" t="s">
        <v>3204</v>
      </c>
      <c r="J145" t="str">
        <f>_xlfn.XLOOKUP(Table1[[#This Row],[Tractor Model]],Table7[Product Model],Table7[Product Category],"Not Available",0)</f>
        <v>Kubota</v>
      </c>
      <c r="K145" s="4">
        <v>7</v>
      </c>
      <c r="L145" s="72">
        <v>695570</v>
      </c>
      <c r="M145" s="4">
        <f>INDEX('Master Sheet'!$C$4:$C$12,MATCH(Table1[[#This Row],[Quantity]],'Master Sheet'!$B$4:$B$12,0))</f>
        <v>9</v>
      </c>
      <c r="N145" s="71">
        <f>Table1[[#This Row],[Quantity]]*Table1[[#This Row],[Unit Price]]</f>
        <v>4868990</v>
      </c>
      <c r="O145" s="73">
        <v>0.48689900000000003</v>
      </c>
      <c r="P145" s="70">
        <f>Table1[[#This Row],[Gross Amount]]*(1-(Table1[[#This Row],[Discount %]]/100))</f>
        <v>4430780.9000000004</v>
      </c>
      <c r="Q145" s="74">
        <f>(Table1[[#This Row],[Gross Amount]]*(1-(Table1[[#This Row],[Discount %]]/100)))/10000000</f>
        <v>0.44307809000000004</v>
      </c>
      <c r="R145" t="s">
        <v>25</v>
      </c>
      <c r="S145" t="str" cm="1">
        <f t="array" ref="S145">IFERROR(_xlfn.IFS(Table1[[#This Row],[Payment Status]]="Partial","In Transit",Table1[[#This Row],[Payment Status]]="Paid","Delivered",Table1[[#This Row],[Payment Status]]="Pending","Pending"),"Invalid Input")</f>
        <v>In Transit</v>
      </c>
      <c r="T145" t="s">
        <v>27</v>
      </c>
      <c r="U145" t="str" cm="1">
        <f t="array" ref="U145">IFERROR(_xlfn.IFS(Table1[[#This Row],[Payment Status]]="Partial","In Transit",Table1[[#This Row],[Payment Status]]="Paid","Completed",Table1[[#This Row],[Payment Status]]="Pending","Pending"),"Invalid Input")</f>
        <v>In Transit</v>
      </c>
    </row>
    <row r="146" spans="1:21" x14ac:dyDescent="0.25">
      <c r="A146" s="4" t="s">
        <v>359</v>
      </c>
      <c r="B146" s="5">
        <v>45635</v>
      </c>
      <c r="C146" t="s">
        <v>52</v>
      </c>
      <c r="D146" t="s">
        <v>3269</v>
      </c>
      <c r="E146" t="s">
        <v>47</v>
      </c>
      <c r="F146" t="s">
        <v>3209</v>
      </c>
      <c r="G146" t="s">
        <v>48</v>
      </c>
      <c r="H146" t="str">
        <f>VLOOKUP(Table1[[#This Row],[City]],Table6[#All],2,FALSE)</f>
        <v>North</v>
      </c>
      <c r="I146" t="s">
        <v>24</v>
      </c>
      <c r="J146" t="str">
        <f>_xlfn.XLOOKUP(Table1[[#This Row],[Tractor Model]],Table7[Product Model],Table7[Product Category],"Not Available",0)</f>
        <v>Farmtrac</v>
      </c>
      <c r="K146" s="4">
        <v>3</v>
      </c>
      <c r="L146" s="72">
        <v>193437</v>
      </c>
      <c r="M146" s="4">
        <f>INDEX('Master Sheet'!$C$4:$C$12,MATCH(Table1[[#This Row],[Quantity]],'Master Sheet'!$B$4:$B$12,0))</f>
        <v>6</v>
      </c>
      <c r="N146" s="71">
        <f>Table1[[#This Row],[Quantity]]*Table1[[#This Row],[Unit Price]]</f>
        <v>580311</v>
      </c>
      <c r="O146" s="73">
        <v>5.8031100000000002E-2</v>
      </c>
      <c r="P146" s="70">
        <f>Table1[[#This Row],[Gross Amount]]*(1-(Table1[[#This Row],[Discount %]]/100))</f>
        <v>545492.34</v>
      </c>
      <c r="Q146" s="74">
        <f>(Table1[[#This Row],[Gross Amount]]*(1-(Table1[[#This Row],[Discount %]]/100)))/10000000</f>
        <v>5.4549233999999995E-2</v>
      </c>
      <c r="R146" t="s">
        <v>42</v>
      </c>
      <c r="S146" t="str" cm="1">
        <f t="array" ref="S146">IFERROR(_xlfn.IFS(Table1[[#This Row],[Payment Status]]="Partial","In Transit",Table1[[#This Row],[Payment Status]]="Paid","Delivered",Table1[[#This Row],[Payment Status]]="Pending","Pending"),"Invalid Input")</f>
        <v>Pending</v>
      </c>
      <c r="T146" t="s">
        <v>27</v>
      </c>
      <c r="U146" t="str" cm="1">
        <f t="array" ref="U146">IFERROR(_xlfn.IFS(Table1[[#This Row],[Payment Status]]="Partial","In Transit",Table1[[#This Row],[Payment Status]]="Paid","Completed",Table1[[#This Row],[Payment Status]]="Pending","Pending"),"Invalid Input")</f>
        <v>Pending</v>
      </c>
    </row>
    <row r="147" spans="1:21" x14ac:dyDescent="0.25">
      <c r="A147" s="4" t="s">
        <v>361</v>
      </c>
      <c r="B147" s="5">
        <v>45647</v>
      </c>
      <c r="C147" t="s">
        <v>52</v>
      </c>
      <c r="D147" t="s">
        <v>3270</v>
      </c>
      <c r="E147" t="s">
        <v>66</v>
      </c>
      <c r="F147" t="s">
        <v>3220</v>
      </c>
      <c r="G147" t="s">
        <v>67</v>
      </c>
      <c r="H147" t="str">
        <f>VLOOKUP(Table1[[#This Row],[City]],Table6[#All],2,FALSE)</f>
        <v>East</v>
      </c>
      <c r="I147" t="s">
        <v>58</v>
      </c>
      <c r="J147" t="str">
        <f>_xlfn.XLOOKUP(Table1[[#This Row],[Tractor Model]],Table7[Product Model],Table7[Product Category],"Not Available",0)</f>
        <v>Powertrac</v>
      </c>
      <c r="K147" s="4">
        <v>4</v>
      </c>
      <c r="L147" s="72">
        <v>217139</v>
      </c>
      <c r="M147" s="4">
        <f>INDEX('Master Sheet'!$C$4:$C$12,MATCH(Table1[[#This Row],[Quantity]],'Master Sheet'!$B$4:$B$12,0))</f>
        <v>6</v>
      </c>
      <c r="N147" s="71">
        <f>Table1[[#This Row],[Quantity]]*Table1[[#This Row],[Unit Price]]</f>
        <v>868556</v>
      </c>
      <c r="O147" s="73">
        <v>8.6855600000000005E-2</v>
      </c>
      <c r="P147" s="70">
        <f>Table1[[#This Row],[Gross Amount]]*(1-(Table1[[#This Row],[Discount %]]/100))</f>
        <v>816442.6399999999</v>
      </c>
      <c r="Q147" s="74">
        <f>(Table1[[#This Row],[Gross Amount]]*(1-(Table1[[#This Row],[Discount %]]/100)))/10000000</f>
        <v>8.1644263999999994E-2</v>
      </c>
      <c r="R147" t="s">
        <v>42</v>
      </c>
      <c r="S147" t="str" cm="1">
        <f t="array" ref="S147">IFERROR(_xlfn.IFS(Table1[[#This Row],[Payment Status]]="Partial","In Transit",Table1[[#This Row],[Payment Status]]="Paid","Delivered",Table1[[#This Row],[Payment Status]]="Pending","Pending"),"Invalid Input")</f>
        <v>Pending</v>
      </c>
      <c r="T147" t="s">
        <v>44</v>
      </c>
      <c r="U147" t="str" cm="1">
        <f t="array" ref="U147">IFERROR(_xlfn.IFS(Table1[[#This Row],[Payment Status]]="Partial","In Transit",Table1[[#This Row],[Payment Status]]="Paid","Completed",Table1[[#This Row],[Payment Status]]="Pending","Pending"),"Invalid Input")</f>
        <v>Pending</v>
      </c>
    </row>
    <row r="148" spans="1:21" x14ac:dyDescent="0.25">
      <c r="A148" s="4" t="s">
        <v>363</v>
      </c>
      <c r="B148" s="5">
        <v>45752</v>
      </c>
      <c r="C148" t="s">
        <v>52</v>
      </c>
      <c r="D148" t="s">
        <v>3270</v>
      </c>
      <c r="E148" t="s">
        <v>47</v>
      </c>
      <c r="F148" t="s">
        <v>3205</v>
      </c>
      <c r="G148" t="s">
        <v>48</v>
      </c>
      <c r="H148" t="str">
        <f>VLOOKUP(Table1[[#This Row],[City]],Table6[#All],2,FALSE)</f>
        <v>North</v>
      </c>
      <c r="I148" t="s">
        <v>58</v>
      </c>
      <c r="J148" t="str">
        <f>_xlfn.XLOOKUP(Table1[[#This Row],[Tractor Model]],Table7[Product Model],Table7[Product Category],"Not Available",0)</f>
        <v>Powertrac</v>
      </c>
      <c r="K148" s="4">
        <v>3</v>
      </c>
      <c r="L148" s="72">
        <v>649830</v>
      </c>
      <c r="M148" s="4">
        <f>INDEX('Master Sheet'!$C$4:$C$12,MATCH(Table1[[#This Row],[Quantity]],'Master Sheet'!$B$4:$B$12,0))</f>
        <v>6</v>
      </c>
      <c r="N148" s="71">
        <f>Table1[[#This Row],[Quantity]]*Table1[[#This Row],[Unit Price]]</f>
        <v>1949490</v>
      </c>
      <c r="O148" s="73">
        <v>0.19494900000000001</v>
      </c>
      <c r="P148" s="70">
        <f>Table1[[#This Row],[Gross Amount]]*(1-(Table1[[#This Row],[Discount %]]/100))</f>
        <v>1832520.5999999999</v>
      </c>
      <c r="Q148" s="74">
        <f>(Table1[[#This Row],[Gross Amount]]*(1-(Table1[[#This Row],[Discount %]]/100)))/10000000</f>
        <v>0.18325205999999999</v>
      </c>
      <c r="R148" t="s">
        <v>54</v>
      </c>
      <c r="S148" t="str" cm="1">
        <f t="array" ref="S148">IFERROR(_xlfn.IFS(Table1[[#This Row],[Payment Status]]="Partial","In Transit",Table1[[#This Row],[Payment Status]]="Paid","Delivered",Table1[[#This Row],[Payment Status]]="Pending","Pending"),"Invalid Input")</f>
        <v>Delivered</v>
      </c>
      <c r="T148" t="s">
        <v>27</v>
      </c>
      <c r="U148" t="str" cm="1">
        <f t="array" ref="U148">IFERROR(_xlfn.IFS(Table1[[#This Row],[Payment Status]]="Partial","In Transit",Table1[[#This Row],[Payment Status]]="Paid","Completed",Table1[[#This Row],[Payment Status]]="Pending","Pending"),"Invalid Input")</f>
        <v>Completed</v>
      </c>
    </row>
    <row r="149" spans="1:21" x14ac:dyDescent="0.25">
      <c r="A149" s="4" t="s">
        <v>365</v>
      </c>
      <c r="B149" s="5">
        <v>45554</v>
      </c>
      <c r="C149" t="s">
        <v>62</v>
      </c>
      <c r="D149" t="s">
        <v>3269</v>
      </c>
      <c r="E149" t="s">
        <v>38</v>
      </c>
      <c r="F149" t="s">
        <v>3206</v>
      </c>
      <c r="G149" t="s">
        <v>39</v>
      </c>
      <c r="H149" t="str">
        <f>VLOOKUP(Table1[[#This Row],[City]],Table6[#All],2,FALSE)</f>
        <v>West</v>
      </c>
      <c r="I149" t="s">
        <v>53</v>
      </c>
      <c r="J149" t="str">
        <f>_xlfn.XLOOKUP(Table1[[#This Row],[Tractor Model]],Table7[Product Model],Table7[Product Category],"Not Available",0)</f>
        <v>Farmtrac</v>
      </c>
      <c r="K149" s="4">
        <v>6</v>
      </c>
      <c r="L149" s="72">
        <v>521408</v>
      </c>
      <c r="M149" s="4">
        <f>INDEX('Master Sheet'!$C$4:$C$12,MATCH(Table1[[#This Row],[Quantity]],'Master Sheet'!$B$4:$B$12,0))</f>
        <v>8</v>
      </c>
      <c r="N149" s="71">
        <f>Table1[[#This Row],[Quantity]]*Table1[[#This Row],[Unit Price]]</f>
        <v>3128448</v>
      </c>
      <c r="O149" s="73">
        <v>0.31284479999999998</v>
      </c>
      <c r="P149" s="70">
        <f>Table1[[#This Row],[Gross Amount]]*(1-(Table1[[#This Row],[Discount %]]/100))</f>
        <v>2878172.16</v>
      </c>
      <c r="Q149" s="74">
        <f>(Table1[[#This Row],[Gross Amount]]*(1-(Table1[[#This Row],[Discount %]]/100)))/10000000</f>
        <v>0.28781721600000004</v>
      </c>
      <c r="R149" t="s">
        <v>25</v>
      </c>
      <c r="S149" t="str" cm="1">
        <f t="array" ref="S149">IFERROR(_xlfn.IFS(Table1[[#This Row],[Payment Status]]="Partial","In Transit",Table1[[#This Row],[Payment Status]]="Paid","Delivered",Table1[[#This Row],[Payment Status]]="Pending","Pending"),"Invalid Input")</f>
        <v>In Transit</v>
      </c>
      <c r="T149" t="s">
        <v>27</v>
      </c>
      <c r="U149" t="str" cm="1">
        <f t="array" ref="U149">IFERROR(_xlfn.IFS(Table1[[#This Row],[Payment Status]]="Partial","In Transit",Table1[[#This Row],[Payment Status]]="Paid","Completed",Table1[[#This Row],[Payment Status]]="Pending","Pending"),"Invalid Input")</f>
        <v>In Transit</v>
      </c>
    </row>
    <row r="150" spans="1:21" x14ac:dyDescent="0.25">
      <c r="A150" s="4" t="s">
        <v>367</v>
      </c>
      <c r="B150" s="5">
        <v>45821</v>
      </c>
      <c r="C150" t="s">
        <v>73</v>
      </c>
      <c r="D150" t="s">
        <v>37</v>
      </c>
      <c r="E150" t="s">
        <v>66</v>
      </c>
      <c r="F150" t="s">
        <v>3226</v>
      </c>
      <c r="G150" t="s">
        <v>67</v>
      </c>
      <c r="H150" t="str">
        <f>VLOOKUP(Table1[[#This Row],[City]],Table6[#All],2,FALSE)</f>
        <v>East</v>
      </c>
      <c r="I150" t="s">
        <v>58</v>
      </c>
      <c r="J150" t="str">
        <f>_xlfn.XLOOKUP(Table1[[#This Row],[Tractor Model]],Table7[Product Model],Table7[Product Category],"Not Available",0)</f>
        <v>Powertrac</v>
      </c>
      <c r="K150" s="4">
        <v>4</v>
      </c>
      <c r="L150" s="72">
        <v>898539</v>
      </c>
      <c r="M150" s="4">
        <f>INDEX('Master Sheet'!$C$4:$C$12,MATCH(Table1[[#This Row],[Quantity]],'Master Sheet'!$B$4:$B$12,0))</f>
        <v>6</v>
      </c>
      <c r="N150" s="71">
        <f>Table1[[#This Row],[Quantity]]*Table1[[#This Row],[Unit Price]]</f>
        <v>3594156</v>
      </c>
      <c r="O150" s="73">
        <v>0.3594156</v>
      </c>
      <c r="P150" s="70">
        <f>Table1[[#This Row],[Gross Amount]]*(1-(Table1[[#This Row],[Discount %]]/100))</f>
        <v>3378506.6399999997</v>
      </c>
      <c r="Q150" s="74">
        <f>(Table1[[#This Row],[Gross Amount]]*(1-(Table1[[#This Row],[Discount %]]/100)))/10000000</f>
        <v>0.33785066399999997</v>
      </c>
      <c r="R150" t="s">
        <v>42</v>
      </c>
      <c r="S150" t="str" cm="1">
        <f t="array" ref="S150">IFERROR(_xlfn.IFS(Table1[[#This Row],[Payment Status]]="Partial","In Transit",Table1[[#This Row],[Payment Status]]="Paid","Delivered",Table1[[#This Row],[Payment Status]]="Pending","Pending"),"Invalid Input")</f>
        <v>Pending</v>
      </c>
      <c r="T150" t="s">
        <v>44</v>
      </c>
      <c r="U150" t="str" cm="1">
        <f t="array" ref="U150">IFERROR(_xlfn.IFS(Table1[[#This Row],[Payment Status]]="Partial","In Transit",Table1[[#This Row],[Payment Status]]="Paid","Completed",Table1[[#This Row],[Payment Status]]="Pending","Pending"),"Invalid Input")</f>
        <v>Pending</v>
      </c>
    </row>
    <row r="151" spans="1:21" x14ac:dyDescent="0.25">
      <c r="A151" s="4" t="s">
        <v>369</v>
      </c>
      <c r="B151" s="5">
        <v>45618</v>
      </c>
      <c r="C151" t="s">
        <v>41</v>
      </c>
      <c r="D151" t="s">
        <v>3269</v>
      </c>
      <c r="E151" t="s">
        <v>30</v>
      </c>
      <c r="F151" t="s">
        <v>3225</v>
      </c>
      <c r="G151" t="s">
        <v>31</v>
      </c>
      <c r="H151" t="str">
        <f>VLOOKUP(Table1[[#This Row],[City]],Table6[#All],2,FALSE)</f>
        <v>South</v>
      </c>
      <c r="I151" t="s">
        <v>3204</v>
      </c>
      <c r="J151" t="str">
        <f>_xlfn.XLOOKUP(Table1[[#This Row],[Tractor Model]],Table7[Product Model],Table7[Product Category],"Not Available",0)</f>
        <v>Kubota</v>
      </c>
      <c r="K151" s="4">
        <v>1</v>
      </c>
      <c r="L151" s="72">
        <v>383637</v>
      </c>
      <c r="M151" s="4">
        <f>INDEX('Master Sheet'!$C$4:$C$12,MATCH(Table1[[#This Row],[Quantity]],'Master Sheet'!$B$4:$B$12,0))</f>
        <v>3</v>
      </c>
      <c r="N151" s="71">
        <f>Table1[[#This Row],[Quantity]]*Table1[[#This Row],[Unit Price]]</f>
        <v>383637</v>
      </c>
      <c r="O151" s="73">
        <v>3.8363700000000001E-2</v>
      </c>
      <c r="P151" s="70">
        <f>Table1[[#This Row],[Gross Amount]]*(1-(Table1[[#This Row],[Discount %]]/100))</f>
        <v>372127.89</v>
      </c>
      <c r="Q151" s="74">
        <f>(Table1[[#This Row],[Gross Amount]]*(1-(Table1[[#This Row],[Discount %]]/100)))/10000000</f>
        <v>3.7212789000000003E-2</v>
      </c>
      <c r="R151" t="s">
        <v>54</v>
      </c>
      <c r="S151" t="str" cm="1">
        <f t="array" ref="S151">IFERROR(_xlfn.IFS(Table1[[#This Row],[Payment Status]]="Partial","In Transit",Table1[[#This Row],[Payment Status]]="Paid","Delivered",Table1[[#This Row],[Payment Status]]="Pending","Pending"),"Invalid Input")</f>
        <v>Delivered</v>
      </c>
      <c r="T151" t="s">
        <v>44</v>
      </c>
      <c r="U151" t="str" cm="1">
        <f t="array" ref="U151">IFERROR(_xlfn.IFS(Table1[[#This Row],[Payment Status]]="Partial","In Transit",Table1[[#This Row],[Payment Status]]="Paid","Completed",Table1[[#This Row],[Payment Status]]="Pending","Pending"),"Invalid Input")</f>
        <v>Completed</v>
      </c>
    </row>
    <row r="152" spans="1:21" x14ac:dyDescent="0.25">
      <c r="A152" s="4" t="s">
        <v>371</v>
      </c>
      <c r="B152" s="5">
        <v>45457</v>
      </c>
      <c r="C152" t="s">
        <v>62</v>
      </c>
      <c r="D152" t="s">
        <v>3270</v>
      </c>
      <c r="E152" t="s">
        <v>38</v>
      </c>
      <c r="F152" t="s">
        <v>3218</v>
      </c>
      <c r="G152" t="s">
        <v>39</v>
      </c>
      <c r="H152" t="str">
        <f>VLOOKUP(Table1[[#This Row],[City]],Table6[#All],2,FALSE)</f>
        <v>West</v>
      </c>
      <c r="I152" t="s">
        <v>53</v>
      </c>
      <c r="J152" t="str">
        <f>_xlfn.XLOOKUP(Table1[[#This Row],[Tractor Model]],Table7[Product Model],Table7[Product Category],"Not Available",0)</f>
        <v>Farmtrac</v>
      </c>
      <c r="K152" s="4">
        <v>3</v>
      </c>
      <c r="L152" s="72">
        <v>83777</v>
      </c>
      <c r="M152" s="4">
        <f>INDEX('Master Sheet'!$C$4:$C$12,MATCH(Table1[[#This Row],[Quantity]],'Master Sheet'!$B$4:$B$12,0))</f>
        <v>6</v>
      </c>
      <c r="N152" s="71">
        <f>Table1[[#This Row],[Quantity]]*Table1[[#This Row],[Unit Price]]</f>
        <v>251331</v>
      </c>
      <c r="O152" s="73">
        <v>2.5133099999999998E-2</v>
      </c>
      <c r="P152" s="70">
        <f>Table1[[#This Row],[Gross Amount]]*(1-(Table1[[#This Row],[Discount %]]/100))</f>
        <v>236251.13999999998</v>
      </c>
      <c r="Q152" s="74">
        <f>(Table1[[#This Row],[Gross Amount]]*(1-(Table1[[#This Row],[Discount %]]/100)))/10000000</f>
        <v>2.3625113999999999E-2</v>
      </c>
      <c r="R152" t="s">
        <v>42</v>
      </c>
      <c r="S152" t="str" cm="1">
        <f t="array" ref="S152">IFERROR(_xlfn.IFS(Table1[[#This Row],[Payment Status]]="Partial","In Transit",Table1[[#This Row],[Payment Status]]="Paid","Delivered",Table1[[#This Row],[Payment Status]]="Pending","Pending"),"Invalid Input")</f>
        <v>Pending</v>
      </c>
      <c r="T152" t="s">
        <v>27</v>
      </c>
      <c r="U152" t="str" cm="1">
        <f t="array" ref="U152">IFERROR(_xlfn.IFS(Table1[[#This Row],[Payment Status]]="Partial","In Transit",Table1[[#This Row],[Payment Status]]="Paid","Completed",Table1[[#This Row],[Payment Status]]="Pending","Pending"),"Invalid Input")</f>
        <v>Pending</v>
      </c>
    </row>
    <row r="153" spans="1:21" x14ac:dyDescent="0.25">
      <c r="A153" s="4" t="s">
        <v>373</v>
      </c>
      <c r="B153" s="5">
        <v>45488</v>
      </c>
      <c r="C153" t="s">
        <v>41</v>
      </c>
      <c r="D153" t="s">
        <v>3271</v>
      </c>
      <c r="E153" t="s">
        <v>38</v>
      </c>
      <c r="F153" t="s">
        <v>3210</v>
      </c>
      <c r="G153" t="s">
        <v>39</v>
      </c>
      <c r="H153" t="str">
        <f>VLOOKUP(Table1[[#This Row],[City]],Table6[#All],2,FALSE)</f>
        <v>West</v>
      </c>
      <c r="I153" t="s">
        <v>24</v>
      </c>
      <c r="J153" t="str">
        <f>_xlfn.XLOOKUP(Table1[[#This Row],[Tractor Model]],Table7[Product Model],Table7[Product Category],"Not Available",0)</f>
        <v>Farmtrac</v>
      </c>
      <c r="K153" s="4">
        <v>6</v>
      </c>
      <c r="L153" s="72">
        <v>818583</v>
      </c>
      <c r="M153" s="4">
        <f>INDEX('Master Sheet'!$C$4:$C$12,MATCH(Table1[[#This Row],[Quantity]],'Master Sheet'!$B$4:$B$12,0))</f>
        <v>8</v>
      </c>
      <c r="N153" s="71">
        <f>Table1[[#This Row],[Quantity]]*Table1[[#This Row],[Unit Price]]</f>
        <v>4911498</v>
      </c>
      <c r="O153" s="73">
        <v>0.49114980000000003</v>
      </c>
      <c r="P153" s="70">
        <f>Table1[[#This Row],[Gross Amount]]*(1-(Table1[[#This Row],[Discount %]]/100))</f>
        <v>4518578.16</v>
      </c>
      <c r="Q153" s="74">
        <f>(Table1[[#This Row],[Gross Amount]]*(1-(Table1[[#This Row],[Discount %]]/100)))/10000000</f>
        <v>0.45185781600000002</v>
      </c>
      <c r="R153" t="s">
        <v>42</v>
      </c>
      <c r="S153" t="str" cm="1">
        <f t="array" ref="S153">IFERROR(_xlfn.IFS(Table1[[#This Row],[Payment Status]]="Partial","In Transit",Table1[[#This Row],[Payment Status]]="Paid","Delivered",Table1[[#This Row],[Payment Status]]="Pending","Pending"),"Invalid Input")</f>
        <v>Pending</v>
      </c>
      <c r="T153" t="s">
        <v>44</v>
      </c>
      <c r="U153" t="str" cm="1">
        <f t="array" ref="U153">IFERROR(_xlfn.IFS(Table1[[#This Row],[Payment Status]]="Partial","In Transit",Table1[[#This Row],[Payment Status]]="Paid","Completed",Table1[[#This Row],[Payment Status]]="Pending","Pending"),"Invalid Input")</f>
        <v>Pending</v>
      </c>
    </row>
    <row r="154" spans="1:21" x14ac:dyDescent="0.25">
      <c r="A154" s="4" t="s">
        <v>375</v>
      </c>
      <c r="B154" s="5">
        <v>45592</v>
      </c>
      <c r="C154" t="s">
        <v>62</v>
      </c>
      <c r="D154" t="s">
        <v>3271</v>
      </c>
      <c r="E154" t="s">
        <v>119</v>
      </c>
      <c r="F154" t="s">
        <v>3228</v>
      </c>
      <c r="G154" t="s">
        <v>21</v>
      </c>
      <c r="H154" t="str">
        <f>VLOOKUP(Table1[[#This Row],[City]],Table6[#All],2,FALSE)</f>
        <v>North</v>
      </c>
      <c r="I154" t="s">
        <v>58</v>
      </c>
      <c r="J154" t="str">
        <f>_xlfn.XLOOKUP(Table1[[#This Row],[Tractor Model]],Table7[Product Model],Table7[Product Category],"Not Available",0)</f>
        <v>Powertrac</v>
      </c>
      <c r="K154" s="4">
        <v>8</v>
      </c>
      <c r="L154" s="72">
        <v>98867</v>
      </c>
      <c r="M154" s="4">
        <f>INDEX('Master Sheet'!$C$4:$C$12,MATCH(Table1[[#This Row],[Quantity]],'Master Sheet'!$B$4:$B$12,0))</f>
        <v>9</v>
      </c>
      <c r="N154" s="71">
        <f>Table1[[#This Row],[Quantity]]*Table1[[#This Row],[Unit Price]]</f>
        <v>790936</v>
      </c>
      <c r="O154" s="73">
        <v>7.90936E-2</v>
      </c>
      <c r="P154" s="70">
        <f>Table1[[#This Row],[Gross Amount]]*(1-(Table1[[#This Row],[Discount %]]/100))</f>
        <v>719751.76</v>
      </c>
      <c r="Q154" s="74">
        <f>(Table1[[#This Row],[Gross Amount]]*(1-(Table1[[#This Row],[Discount %]]/100)))/10000000</f>
        <v>7.1975176000000002E-2</v>
      </c>
      <c r="R154" t="s">
        <v>25</v>
      </c>
      <c r="S154" t="str" cm="1">
        <f t="array" ref="S154">IFERROR(_xlfn.IFS(Table1[[#This Row],[Payment Status]]="Partial","In Transit",Table1[[#This Row],[Payment Status]]="Paid","Delivered",Table1[[#This Row],[Payment Status]]="Pending","Pending"),"Invalid Input")</f>
        <v>In Transit</v>
      </c>
      <c r="T154" t="s">
        <v>27</v>
      </c>
      <c r="U154" t="str" cm="1">
        <f t="array" ref="U154">IFERROR(_xlfn.IFS(Table1[[#This Row],[Payment Status]]="Partial","In Transit",Table1[[#This Row],[Payment Status]]="Paid","Completed",Table1[[#This Row],[Payment Status]]="Pending","Pending"),"Invalid Input")</f>
        <v>In Transit</v>
      </c>
    </row>
    <row r="155" spans="1:21" x14ac:dyDescent="0.25">
      <c r="A155" s="4" t="s">
        <v>377</v>
      </c>
      <c r="B155" s="5">
        <v>45754</v>
      </c>
      <c r="C155" t="s">
        <v>41</v>
      </c>
      <c r="D155" t="s">
        <v>3271</v>
      </c>
      <c r="E155" t="s">
        <v>47</v>
      </c>
      <c r="F155" t="s">
        <v>3221</v>
      </c>
      <c r="G155" t="s">
        <v>48</v>
      </c>
      <c r="H155" t="str">
        <f>VLOOKUP(Table1[[#This Row],[City]],Table6[#All],2,FALSE)</f>
        <v>North</v>
      </c>
      <c r="I155" t="s">
        <v>58</v>
      </c>
      <c r="J155" t="str">
        <f>_xlfn.XLOOKUP(Table1[[#This Row],[Tractor Model]],Table7[Product Model],Table7[Product Category],"Not Available",0)</f>
        <v>Powertrac</v>
      </c>
      <c r="K155" s="4">
        <v>4</v>
      </c>
      <c r="L155" s="72">
        <v>752299</v>
      </c>
      <c r="M155" s="4">
        <f>INDEX('Master Sheet'!$C$4:$C$12,MATCH(Table1[[#This Row],[Quantity]],'Master Sheet'!$B$4:$B$12,0))</f>
        <v>6</v>
      </c>
      <c r="N155" s="71">
        <f>Table1[[#This Row],[Quantity]]*Table1[[#This Row],[Unit Price]]</f>
        <v>3009196</v>
      </c>
      <c r="O155" s="73">
        <v>0.30091960000000001</v>
      </c>
      <c r="P155" s="70">
        <f>Table1[[#This Row],[Gross Amount]]*(1-(Table1[[#This Row],[Discount %]]/100))</f>
        <v>2828644.2399999998</v>
      </c>
      <c r="Q155" s="74">
        <f>(Table1[[#This Row],[Gross Amount]]*(1-(Table1[[#This Row],[Discount %]]/100)))/10000000</f>
        <v>0.282864424</v>
      </c>
      <c r="R155" t="s">
        <v>42</v>
      </c>
      <c r="S155" t="str" cm="1">
        <f t="array" ref="S155">IFERROR(_xlfn.IFS(Table1[[#This Row],[Payment Status]]="Partial","In Transit",Table1[[#This Row],[Payment Status]]="Paid","Delivered",Table1[[#This Row],[Payment Status]]="Pending","Pending"),"Invalid Input")</f>
        <v>Pending</v>
      </c>
      <c r="T155" t="s">
        <v>27</v>
      </c>
      <c r="U155" t="str" cm="1">
        <f t="array" ref="U155">IFERROR(_xlfn.IFS(Table1[[#This Row],[Payment Status]]="Partial","In Transit",Table1[[#This Row],[Payment Status]]="Paid","Completed",Table1[[#This Row],[Payment Status]]="Pending","Pending"),"Invalid Input")</f>
        <v>Pending</v>
      </c>
    </row>
    <row r="156" spans="1:21" x14ac:dyDescent="0.25">
      <c r="A156" s="4" t="s">
        <v>379</v>
      </c>
      <c r="B156" s="5">
        <v>45831</v>
      </c>
      <c r="C156" t="s">
        <v>52</v>
      </c>
      <c r="D156" t="s">
        <v>3269</v>
      </c>
      <c r="E156" t="s">
        <v>66</v>
      </c>
      <c r="F156" t="s">
        <v>3213</v>
      </c>
      <c r="G156" t="s">
        <v>67</v>
      </c>
      <c r="H156" t="str">
        <f>VLOOKUP(Table1[[#This Row],[City]],Table6[#All],2,FALSE)</f>
        <v>East</v>
      </c>
      <c r="I156" t="s">
        <v>53</v>
      </c>
      <c r="J156" t="str">
        <f>_xlfn.XLOOKUP(Table1[[#This Row],[Tractor Model]],Table7[Product Model],Table7[Product Category],"Not Available",0)</f>
        <v>Farmtrac</v>
      </c>
      <c r="K156" s="4">
        <v>2</v>
      </c>
      <c r="L156" s="72">
        <v>177474</v>
      </c>
      <c r="M156" s="4">
        <f>INDEX('Master Sheet'!$C$4:$C$12,MATCH(Table1[[#This Row],[Quantity]],'Master Sheet'!$B$4:$B$12,0))</f>
        <v>5</v>
      </c>
      <c r="N156" s="71">
        <f>Table1[[#This Row],[Quantity]]*Table1[[#This Row],[Unit Price]]</f>
        <v>354948</v>
      </c>
      <c r="O156" s="73">
        <v>3.54948E-2</v>
      </c>
      <c r="P156" s="70">
        <f>Table1[[#This Row],[Gross Amount]]*(1-(Table1[[#This Row],[Discount %]]/100))</f>
        <v>337200.6</v>
      </c>
      <c r="Q156" s="74">
        <f>(Table1[[#This Row],[Gross Amount]]*(1-(Table1[[#This Row],[Discount %]]/100)))/10000000</f>
        <v>3.3720059999999996E-2</v>
      </c>
      <c r="R156" t="s">
        <v>54</v>
      </c>
      <c r="S156" t="str" cm="1">
        <f t="array" ref="S156">IFERROR(_xlfn.IFS(Table1[[#This Row],[Payment Status]]="Partial","In Transit",Table1[[#This Row],[Payment Status]]="Paid","Delivered",Table1[[#This Row],[Payment Status]]="Pending","Pending"),"Invalid Input")</f>
        <v>Delivered</v>
      </c>
      <c r="T156" t="s">
        <v>27</v>
      </c>
      <c r="U156" t="str" cm="1">
        <f t="array" ref="U156">IFERROR(_xlfn.IFS(Table1[[#This Row],[Payment Status]]="Partial","In Transit",Table1[[#This Row],[Payment Status]]="Paid","Completed",Table1[[#This Row],[Payment Status]]="Pending","Pending"),"Invalid Input")</f>
        <v>Completed</v>
      </c>
    </row>
    <row r="157" spans="1:21" x14ac:dyDescent="0.25">
      <c r="A157" s="4" t="s">
        <v>381</v>
      </c>
      <c r="B157" s="5">
        <v>45552</v>
      </c>
      <c r="C157" t="s">
        <v>73</v>
      </c>
      <c r="D157" t="s">
        <v>3271</v>
      </c>
      <c r="E157" t="s">
        <v>47</v>
      </c>
      <c r="F157" t="s">
        <v>3221</v>
      </c>
      <c r="G157" t="s">
        <v>48</v>
      </c>
      <c r="H157" t="str">
        <f>VLOOKUP(Table1[[#This Row],[City]],Table6[#All],2,FALSE)</f>
        <v>North</v>
      </c>
      <c r="I157" t="s">
        <v>24</v>
      </c>
      <c r="J157" t="str">
        <f>_xlfn.XLOOKUP(Table1[[#This Row],[Tractor Model]],Table7[Product Model],Table7[Product Category],"Not Available",0)</f>
        <v>Farmtrac</v>
      </c>
      <c r="K157" s="4">
        <v>2</v>
      </c>
      <c r="L157" s="72">
        <v>175255</v>
      </c>
      <c r="M157" s="4">
        <f>INDEX('Master Sheet'!$C$4:$C$12,MATCH(Table1[[#This Row],[Quantity]],'Master Sheet'!$B$4:$B$12,0))</f>
        <v>5</v>
      </c>
      <c r="N157" s="71">
        <f>Table1[[#This Row],[Quantity]]*Table1[[#This Row],[Unit Price]]</f>
        <v>350510</v>
      </c>
      <c r="O157" s="73">
        <v>3.5050999999999999E-2</v>
      </c>
      <c r="P157" s="70">
        <f>Table1[[#This Row],[Gross Amount]]*(1-(Table1[[#This Row],[Discount %]]/100))</f>
        <v>332984.5</v>
      </c>
      <c r="Q157" s="74">
        <f>(Table1[[#This Row],[Gross Amount]]*(1-(Table1[[#This Row],[Discount %]]/100)))/10000000</f>
        <v>3.329845E-2</v>
      </c>
      <c r="R157" t="s">
        <v>25</v>
      </c>
      <c r="S157" t="str" cm="1">
        <f t="array" ref="S157">IFERROR(_xlfn.IFS(Table1[[#This Row],[Payment Status]]="Partial","In Transit",Table1[[#This Row],[Payment Status]]="Paid","Delivered",Table1[[#This Row],[Payment Status]]="Pending","Pending"),"Invalid Input")</f>
        <v>In Transit</v>
      </c>
      <c r="T157" t="s">
        <v>27</v>
      </c>
      <c r="U157" t="str" cm="1">
        <f t="array" ref="U157">IFERROR(_xlfn.IFS(Table1[[#This Row],[Payment Status]]="Partial","In Transit",Table1[[#This Row],[Payment Status]]="Paid","Completed",Table1[[#This Row],[Payment Status]]="Pending","Pending"),"Invalid Input")</f>
        <v>In Transit</v>
      </c>
    </row>
    <row r="158" spans="1:21" x14ac:dyDescent="0.25">
      <c r="A158" s="4" t="s">
        <v>383</v>
      </c>
      <c r="B158" s="5">
        <v>45494</v>
      </c>
      <c r="C158" t="s">
        <v>73</v>
      </c>
      <c r="D158" t="s">
        <v>37</v>
      </c>
      <c r="E158" t="s">
        <v>47</v>
      </c>
      <c r="F158" t="s">
        <v>3215</v>
      </c>
      <c r="G158" t="s">
        <v>48</v>
      </c>
      <c r="H158" t="str">
        <f>VLOOKUP(Table1[[#This Row],[City]],Table6[#All],2,FALSE)</f>
        <v>North</v>
      </c>
      <c r="I158" t="s">
        <v>53</v>
      </c>
      <c r="J158" t="str">
        <f>_xlfn.XLOOKUP(Table1[[#This Row],[Tractor Model]],Table7[Product Model],Table7[Product Category],"Not Available",0)</f>
        <v>Farmtrac</v>
      </c>
      <c r="K158" s="4">
        <v>6</v>
      </c>
      <c r="L158" s="72">
        <v>621324</v>
      </c>
      <c r="M158" s="4">
        <f>INDEX('Master Sheet'!$C$4:$C$12,MATCH(Table1[[#This Row],[Quantity]],'Master Sheet'!$B$4:$B$12,0))</f>
        <v>8</v>
      </c>
      <c r="N158" s="71">
        <f>Table1[[#This Row],[Quantity]]*Table1[[#This Row],[Unit Price]]</f>
        <v>3727944</v>
      </c>
      <c r="O158" s="73">
        <v>0.37279440000000003</v>
      </c>
      <c r="P158" s="70">
        <f>Table1[[#This Row],[Gross Amount]]*(1-(Table1[[#This Row],[Discount %]]/100))</f>
        <v>3429708.48</v>
      </c>
      <c r="Q158" s="74">
        <f>(Table1[[#This Row],[Gross Amount]]*(1-(Table1[[#This Row],[Discount %]]/100)))/10000000</f>
        <v>0.34297084799999999</v>
      </c>
      <c r="R158" t="s">
        <v>54</v>
      </c>
      <c r="S158" t="str" cm="1">
        <f t="array" ref="S158">IFERROR(_xlfn.IFS(Table1[[#This Row],[Payment Status]]="Partial","In Transit",Table1[[#This Row],[Payment Status]]="Paid","Delivered",Table1[[#This Row],[Payment Status]]="Pending","Pending"),"Invalid Input")</f>
        <v>Delivered</v>
      </c>
      <c r="T158" t="s">
        <v>27</v>
      </c>
      <c r="U158" t="str" cm="1">
        <f t="array" ref="U158">IFERROR(_xlfn.IFS(Table1[[#This Row],[Payment Status]]="Partial","In Transit",Table1[[#This Row],[Payment Status]]="Paid","Completed",Table1[[#This Row],[Payment Status]]="Pending","Pending"),"Invalid Input")</f>
        <v>Completed</v>
      </c>
    </row>
    <row r="159" spans="1:21" x14ac:dyDescent="0.25">
      <c r="A159" s="4" t="s">
        <v>385</v>
      </c>
      <c r="B159" s="5">
        <v>45762</v>
      </c>
      <c r="C159" t="s">
        <v>41</v>
      </c>
      <c r="D159" t="s">
        <v>3269</v>
      </c>
      <c r="E159" t="s">
        <v>30</v>
      </c>
      <c r="F159" t="s">
        <v>3225</v>
      </c>
      <c r="G159" t="s">
        <v>31</v>
      </c>
      <c r="H159" t="str">
        <f>VLOOKUP(Table1[[#This Row],[City]],Table6[#All],2,FALSE)</f>
        <v>South</v>
      </c>
      <c r="I159" t="s">
        <v>58</v>
      </c>
      <c r="J159" t="str">
        <f>_xlfn.XLOOKUP(Table1[[#This Row],[Tractor Model]],Table7[Product Model],Table7[Product Category],"Not Available",0)</f>
        <v>Powertrac</v>
      </c>
      <c r="K159" s="4">
        <v>5</v>
      </c>
      <c r="L159" s="72">
        <v>401357</v>
      </c>
      <c r="M159" s="4">
        <f>INDEX('Master Sheet'!$C$4:$C$12,MATCH(Table1[[#This Row],[Quantity]],'Master Sheet'!$B$4:$B$12,0))</f>
        <v>7</v>
      </c>
      <c r="N159" s="71">
        <f>Table1[[#This Row],[Quantity]]*Table1[[#This Row],[Unit Price]]</f>
        <v>2006785</v>
      </c>
      <c r="O159" s="73">
        <v>0.20067850000000001</v>
      </c>
      <c r="P159" s="70">
        <f>Table1[[#This Row],[Gross Amount]]*(1-(Table1[[#This Row],[Discount %]]/100))</f>
        <v>1866310.0499999998</v>
      </c>
      <c r="Q159" s="74">
        <f>(Table1[[#This Row],[Gross Amount]]*(1-(Table1[[#This Row],[Discount %]]/100)))/10000000</f>
        <v>0.18663100499999999</v>
      </c>
      <c r="R159" t="s">
        <v>25</v>
      </c>
      <c r="S159" t="str" cm="1">
        <f t="array" ref="S159">IFERROR(_xlfn.IFS(Table1[[#This Row],[Payment Status]]="Partial","In Transit",Table1[[#This Row],[Payment Status]]="Paid","Delivered",Table1[[#This Row],[Payment Status]]="Pending","Pending"),"Invalid Input")</f>
        <v>In Transit</v>
      </c>
      <c r="T159" t="s">
        <v>27</v>
      </c>
      <c r="U159" t="str" cm="1">
        <f t="array" ref="U159">IFERROR(_xlfn.IFS(Table1[[#This Row],[Payment Status]]="Partial","In Transit",Table1[[#This Row],[Payment Status]]="Paid","Completed",Table1[[#This Row],[Payment Status]]="Pending","Pending"),"Invalid Input")</f>
        <v>In Transit</v>
      </c>
    </row>
    <row r="160" spans="1:21" x14ac:dyDescent="0.25">
      <c r="A160" s="4" t="s">
        <v>386</v>
      </c>
      <c r="B160" s="5">
        <v>45681</v>
      </c>
      <c r="C160" t="s">
        <v>62</v>
      </c>
      <c r="D160" t="s">
        <v>3270</v>
      </c>
      <c r="E160" t="s">
        <v>30</v>
      </c>
      <c r="F160" t="s">
        <v>3223</v>
      </c>
      <c r="G160" t="s">
        <v>31</v>
      </c>
      <c r="H160" t="str">
        <f>VLOOKUP(Table1[[#This Row],[City]],Table6[#All],2,FALSE)</f>
        <v>South</v>
      </c>
      <c r="I160" t="s">
        <v>58</v>
      </c>
      <c r="J160" t="str">
        <f>_xlfn.XLOOKUP(Table1[[#This Row],[Tractor Model]],Table7[Product Model],Table7[Product Category],"Not Available",0)</f>
        <v>Powertrac</v>
      </c>
      <c r="K160" s="4">
        <v>4</v>
      </c>
      <c r="L160" s="72">
        <v>177542</v>
      </c>
      <c r="M160" s="4">
        <f>INDEX('Master Sheet'!$C$4:$C$12,MATCH(Table1[[#This Row],[Quantity]],'Master Sheet'!$B$4:$B$12,0))</f>
        <v>6</v>
      </c>
      <c r="N160" s="71">
        <f>Table1[[#This Row],[Quantity]]*Table1[[#This Row],[Unit Price]]</f>
        <v>710168</v>
      </c>
      <c r="O160" s="73">
        <v>7.1016800000000005E-2</v>
      </c>
      <c r="P160" s="70">
        <f>Table1[[#This Row],[Gross Amount]]*(1-(Table1[[#This Row],[Discount %]]/100))</f>
        <v>667557.91999999993</v>
      </c>
      <c r="Q160" s="74">
        <f>(Table1[[#This Row],[Gross Amount]]*(1-(Table1[[#This Row],[Discount %]]/100)))/10000000</f>
        <v>6.6755791999999994E-2</v>
      </c>
      <c r="R160" t="s">
        <v>25</v>
      </c>
      <c r="S160" t="str" cm="1">
        <f t="array" ref="S160">IFERROR(_xlfn.IFS(Table1[[#This Row],[Payment Status]]="Partial","In Transit",Table1[[#This Row],[Payment Status]]="Paid","Delivered",Table1[[#This Row],[Payment Status]]="Pending","Pending"),"Invalid Input")</f>
        <v>In Transit</v>
      </c>
      <c r="T160" t="s">
        <v>44</v>
      </c>
      <c r="U160" t="str" cm="1">
        <f t="array" ref="U160">IFERROR(_xlfn.IFS(Table1[[#This Row],[Payment Status]]="Partial","In Transit",Table1[[#This Row],[Payment Status]]="Paid","Completed",Table1[[#This Row],[Payment Status]]="Pending","Pending"),"Invalid Input")</f>
        <v>In Transit</v>
      </c>
    </row>
    <row r="161" spans="1:21" x14ac:dyDescent="0.25">
      <c r="A161" s="4" t="s">
        <v>388</v>
      </c>
      <c r="B161" s="5">
        <v>45422</v>
      </c>
      <c r="C161" t="s">
        <v>33</v>
      </c>
      <c r="D161" t="s">
        <v>3271</v>
      </c>
      <c r="E161" t="s">
        <v>119</v>
      </c>
      <c r="F161" t="s">
        <v>3228</v>
      </c>
      <c r="G161" t="s">
        <v>21</v>
      </c>
      <c r="H161" t="str">
        <f>VLOOKUP(Table1[[#This Row],[City]],Table6[#All],2,FALSE)</f>
        <v>North</v>
      </c>
      <c r="I161" t="s">
        <v>3204</v>
      </c>
      <c r="J161" t="str">
        <f>_xlfn.XLOOKUP(Table1[[#This Row],[Tractor Model]],Table7[Product Model],Table7[Product Category],"Not Available",0)</f>
        <v>Kubota</v>
      </c>
      <c r="K161" s="4">
        <v>6</v>
      </c>
      <c r="L161" s="72">
        <v>682346</v>
      </c>
      <c r="M161" s="4">
        <f>INDEX('Master Sheet'!$C$4:$C$12,MATCH(Table1[[#This Row],[Quantity]],'Master Sheet'!$B$4:$B$12,0))</f>
        <v>8</v>
      </c>
      <c r="N161" s="71">
        <f>Table1[[#This Row],[Quantity]]*Table1[[#This Row],[Unit Price]]</f>
        <v>4094076</v>
      </c>
      <c r="O161" s="73">
        <v>0.40940759999999998</v>
      </c>
      <c r="P161" s="70">
        <f>Table1[[#This Row],[Gross Amount]]*(1-(Table1[[#This Row],[Discount %]]/100))</f>
        <v>3766549.9200000004</v>
      </c>
      <c r="Q161" s="74">
        <f>(Table1[[#This Row],[Gross Amount]]*(1-(Table1[[#This Row],[Discount %]]/100)))/10000000</f>
        <v>0.37665499200000002</v>
      </c>
      <c r="R161" t="s">
        <v>54</v>
      </c>
      <c r="S161" t="str" cm="1">
        <f t="array" ref="S161">IFERROR(_xlfn.IFS(Table1[[#This Row],[Payment Status]]="Partial","In Transit",Table1[[#This Row],[Payment Status]]="Paid","Delivered",Table1[[#This Row],[Payment Status]]="Pending","Pending"),"Invalid Input")</f>
        <v>Delivered</v>
      </c>
      <c r="T161" t="s">
        <v>44</v>
      </c>
      <c r="U161" t="str" cm="1">
        <f t="array" ref="U161">IFERROR(_xlfn.IFS(Table1[[#This Row],[Payment Status]]="Partial","In Transit",Table1[[#This Row],[Payment Status]]="Paid","Completed",Table1[[#This Row],[Payment Status]]="Pending","Pending"),"Invalid Input")</f>
        <v>Completed</v>
      </c>
    </row>
    <row r="162" spans="1:21" x14ac:dyDescent="0.25">
      <c r="A162" s="4" t="s">
        <v>390</v>
      </c>
      <c r="B162" s="5">
        <v>45551</v>
      </c>
      <c r="C162" t="s">
        <v>73</v>
      </c>
      <c r="D162" t="s">
        <v>3269</v>
      </c>
      <c r="E162" t="s">
        <v>38</v>
      </c>
      <c r="F162" t="s">
        <v>3206</v>
      </c>
      <c r="G162" t="s">
        <v>39</v>
      </c>
      <c r="H162" t="str">
        <f>VLOOKUP(Table1[[#This Row],[City]],Table6[#All],2,FALSE)</f>
        <v>West</v>
      </c>
      <c r="I162" t="s">
        <v>24</v>
      </c>
      <c r="J162" t="str">
        <f>_xlfn.XLOOKUP(Table1[[#This Row],[Tractor Model]],Table7[Product Model],Table7[Product Category],"Not Available",0)</f>
        <v>Farmtrac</v>
      </c>
      <c r="K162" s="4">
        <v>2</v>
      </c>
      <c r="L162" s="72">
        <v>685783</v>
      </c>
      <c r="M162" s="4">
        <f>INDEX('Master Sheet'!$C$4:$C$12,MATCH(Table1[[#This Row],[Quantity]],'Master Sheet'!$B$4:$B$12,0))</f>
        <v>5</v>
      </c>
      <c r="N162" s="71">
        <f>Table1[[#This Row],[Quantity]]*Table1[[#This Row],[Unit Price]]</f>
        <v>1371566</v>
      </c>
      <c r="O162" s="73">
        <v>0.13715659999999999</v>
      </c>
      <c r="P162" s="70">
        <f>Table1[[#This Row],[Gross Amount]]*(1-(Table1[[#This Row],[Discount %]]/100))</f>
        <v>1302987.7</v>
      </c>
      <c r="Q162" s="74">
        <f>(Table1[[#This Row],[Gross Amount]]*(1-(Table1[[#This Row],[Discount %]]/100)))/10000000</f>
        <v>0.13029877000000001</v>
      </c>
      <c r="R162" t="s">
        <v>54</v>
      </c>
      <c r="S162" t="str" cm="1">
        <f t="array" ref="S162">IFERROR(_xlfn.IFS(Table1[[#This Row],[Payment Status]]="Partial","In Transit",Table1[[#This Row],[Payment Status]]="Paid","Delivered",Table1[[#This Row],[Payment Status]]="Pending","Pending"),"Invalid Input")</f>
        <v>Delivered</v>
      </c>
      <c r="T162" t="s">
        <v>44</v>
      </c>
      <c r="U162" t="str" cm="1">
        <f t="array" ref="U162">IFERROR(_xlfn.IFS(Table1[[#This Row],[Payment Status]]="Partial","In Transit",Table1[[#This Row],[Payment Status]]="Paid","Completed",Table1[[#This Row],[Payment Status]]="Pending","Pending"),"Invalid Input")</f>
        <v>Completed</v>
      </c>
    </row>
    <row r="163" spans="1:21" x14ac:dyDescent="0.25">
      <c r="A163" s="4" t="s">
        <v>392</v>
      </c>
      <c r="B163" s="5">
        <v>45678</v>
      </c>
      <c r="C163" t="s">
        <v>62</v>
      </c>
      <c r="D163" t="s">
        <v>3268</v>
      </c>
      <c r="E163" t="s">
        <v>38</v>
      </c>
      <c r="F163" t="s">
        <v>3219</v>
      </c>
      <c r="G163" t="s">
        <v>39</v>
      </c>
      <c r="H163" t="str">
        <f>VLOOKUP(Table1[[#This Row],[City]],Table6[#All],2,FALSE)</f>
        <v>West</v>
      </c>
      <c r="I163" t="s">
        <v>24</v>
      </c>
      <c r="J163" t="str">
        <f>_xlfn.XLOOKUP(Table1[[#This Row],[Tractor Model]],Table7[Product Model],Table7[Product Category],"Not Available",0)</f>
        <v>Farmtrac</v>
      </c>
      <c r="K163" s="4">
        <v>4</v>
      </c>
      <c r="L163" s="72">
        <v>267219</v>
      </c>
      <c r="M163" s="4">
        <f>INDEX('Master Sheet'!$C$4:$C$12,MATCH(Table1[[#This Row],[Quantity]],'Master Sheet'!$B$4:$B$12,0))</f>
        <v>6</v>
      </c>
      <c r="N163" s="71">
        <f>Table1[[#This Row],[Quantity]]*Table1[[#This Row],[Unit Price]]</f>
        <v>1068876</v>
      </c>
      <c r="O163" s="73">
        <v>0.1068876</v>
      </c>
      <c r="P163" s="70">
        <f>Table1[[#This Row],[Gross Amount]]*(1-(Table1[[#This Row],[Discount %]]/100))</f>
        <v>1004743.44</v>
      </c>
      <c r="Q163" s="74">
        <f>(Table1[[#This Row],[Gross Amount]]*(1-(Table1[[#This Row],[Discount %]]/100)))/10000000</f>
        <v>0.10047434399999999</v>
      </c>
      <c r="R163" t="s">
        <v>42</v>
      </c>
      <c r="S163" t="str" cm="1">
        <f t="array" ref="S163">IFERROR(_xlfn.IFS(Table1[[#This Row],[Payment Status]]="Partial","In Transit",Table1[[#This Row],[Payment Status]]="Paid","Delivered",Table1[[#This Row],[Payment Status]]="Pending","Pending"),"Invalid Input")</f>
        <v>Pending</v>
      </c>
      <c r="T163" t="s">
        <v>27</v>
      </c>
      <c r="U163" t="str" cm="1">
        <f t="array" ref="U163">IFERROR(_xlfn.IFS(Table1[[#This Row],[Payment Status]]="Partial","In Transit",Table1[[#This Row],[Payment Status]]="Paid","Completed",Table1[[#This Row],[Payment Status]]="Pending","Pending"),"Invalid Input")</f>
        <v>Pending</v>
      </c>
    </row>
    <row r="164" spans="1:21" x14ac:dyDescent="0.25">
      <c r="A164" s="4" t="s">
        <v>394</v>
      </c>
      <c r="B164" s="5">
        <v>45545</v>
      </c>
      <c r="C164" t="s">
        <v>62</v>
      </c>
      <c r="D164" t="s">
        <v>3268</v>
      </c>
      <c r="E164" t="s">
        <v>47</v>
      </c>
      <c r="F164" t="s">
        <v>3216</v>
      </c>
      <c r="G164" t="s">
        <v>48</v>
      </c>
      <c r="H164" t="str">
        <f>VLOOKUP(Table1[[#This Row],[City]],Table6[#All],2,FALSE)</f>
        <v>North</v>
      </c>
      <c r="I164" t="s">
        <v>24</v>
      </c>
      <c r="J164" t="str">
        <f>_xlfn.XLOOKUP(Table1[[#This Row],[Tractor Model]],Table7[Product Model],Table7[Product Category],"Not Available",0)</f>
        <v>Farmtrac</v>
      </c>
      <c r="K164" s="4">
        <v>3</v>
      </c>
      <c r="L164" s="72">
        <v>219751</v>
      </c>
      <c r="M164" s="4">
        <f>INDEX('Master Sheet'!$C$4:$C$12,MATCH(Table1[[#This Row],[Quantity]],'Master Sheet'!$B$4:$B$12,0))</f>
        <v>6</v>
      </c>
      <c r="N164" s="71">
        <f>Table1[[#This Row],[Quantity]]*Table1[[#This Row],[Unit Price]]</f>
        <v>659253</v>
      </c>
      <c r="O164" s="73">
        <v>6.5925300000000006E-2</v>
      </c>
      <c r="P164" s="70">
        <f>Table1[[#This Row],[Gross Amount]]*(1-(Table1[[#This Row],[Discount %]]/100))</f>
        <v>619697.81999999995</v>
      </c>
      <c r="Q164" s="74">
        <f>(Table1[[#This Row],[Gross Amount]]*(1-(Table1[[#This Row],[Discount %]]/100)))/10000000</f>
        <v>6.1969781999999994E-2</v>
      </c>
      <c r="R164" t="s">
        <v>42</v>
      </c>
      <c r="S164" t="str" cm="1">
        <f t="array" ref="S164">IFERROR(_xlfn.IFS(Table1[[#This Row],[Payment Status]]="Partial","In Transit",Table1[[#This Row],[Payment Status]]="Paid","Delivered",Table1[[#This Row],[Payment Status]]="Pending","Pending"),"Invalid Input")</f>
        <v>Pending</v>
      </c>
      <c r="T164" t="s">
        <v>27</v>
      </c>
      <c r="U164" t="str" cm="1">
        <f t="array" ref="U164">IFERROR(_xlfn.IFS(Table1[[#This Row],[Payment Status]]="Partial","In Transit",Table1[[#This Row],[Payment Status]]="Paid","Completed",Table1[[#This Row],[Payment Status]]="Pending","Pending"),"Invalid Input")</f>
        <v>Pending</v>
      </c>
    </row>
    <row r="165" spans="1:21" x14ac:dyDescent="0.25">
      <c r="A165" s="4" t="s">
        <v>396</v>
      </c>
      <c r="B165" s="5">
        <v>45428</v>
      </c>
      <c r="C165" t="s">
        <v>62</v>
      </c>
      <c r="D165" t="s">
        <v>3269</v>
      </c>
      <c r="E165" t="s">
        <v>119</v>
      </c>
      <c r="F165" t="s">
        <v>3229</v>
      </c>
      <c r="G165" t="s">
        <v>21</v>
      </c>
      <c r="H165" t="str">
        <f>VLOOKUP(Table1[[#This Row],[City]],Table6[#All],2,FALSE)</f>
        <v>North</v>
      </c>
      <c r="I165" t="s">
        <v>58</v>
      </c>
      <c r="J165" t="str">
        <f>_xlfn.XLOOKUP(Table1[[#This Row],[Tractor Model]],Table7[Product Model],Table7[Product Category],"Not Available",0)</f>
        <v>Powertrac</v>
      </c>
      <c r="K165" s="4">
        <v>6</v>
      </c>
      <c r="L165" s="72">
        <v>452836</v>
      </c>
      <c r="M165" s="4">
        <f>INDEX('Master Sheet'!$C$4:$C$12,MATCH(Table1[[#This Row],[Quantity]],'Master Sheet'!$B$4:$B$12,0))</f>
        <v>8</v>
      </c>
      <c r="N165" s="71">
        <f>Table1[[#This Row],[Quantity]]*Table1[[#This Row],[Unit Price]]</f>
        <v>2717016</v>
      </c>
      <c r="O165" s="73">
        <v>0.27170159999999999</v>
      </c>
      <c r="P165" s="70">
        <f>Table1[[#This Row],[Gross Amount]]*(1-(Table1[[#This Row],[Discount %]]/100))</f>
        <v>2499654.7200000002</v>
      </c>
      <c r="Q165" s="74">
        <f>(Table1[[#This Row],[Gross Amount]]*(1-(Table1[[#This Row],[Discount %]]/100)))/10000000</f>
        <v>0.24996547200000002</v>
      </c>
      <c r="R165" t="s">
        <v>25</v>
      </c>
      <c r="S165" t="str" cm="1">
        <f t="array" ref="S165">IFERROR(_xlfn.IFS(Table1[[#This Row],[Payment Status]]="Partial","In Transit",Table1[[#This Row],[Payment Status]]="Paid","Delivered",Table1[[#This Row],[Payment Status]]="Pending","Pending"),"Invalid Input")</f>
        <v>In Transit</v>
      </c>
      <c r="T165" t="s">
        <v>44</v>
      </c>
      <c r="U165" t="str" cm="1">
        <f t="array" ref="U165">IFERROR(_xlfn.IFS(Table1[[#This Row],[Payment Status]]="Partial","In Transit",Table1[[#This Row],[Payment Status]]="Paid","Completed",Table1[[#This Row],[Payment Status]]="Pending","Pending"),"Invalid Input")</f>
        <v>In Transit</v>
      </c>
    </row>
    <row r="166" spans="1:21" x14ac:dyDescent="0.25">
      <c r="A166" s="4" t="s">
        <v>398</v>
      </c>
      <c r="B166" s="5">
        <v>45395</v>
      </c>
      <c r="C166" t="s">
        <v>41</v>
      </c>
      <c r="D166" t="s">
        <v>3268</v>
      </c>
      <c r="E166" t="s">
        <v>47</v>
      </c>
      <c r="F166" t="s">
        <v>3216</v>
      </c>
      <c r="G166" t="s">
        <v>48</v>
      </c>
      <c r="H166" t="str">
        <f>VLOOKUP(Table1[[#This Row],[City]],Table6[#All],2,FALSE)</f>
        <v>North</v>
      </c>
      <c r="I166" t="s">
        <v>24</v>
      </c>
      <c r="J166" t="str">
        <f>_xlfn.XLOOKUP(Table1[[#This Row],[Tractor Model]],Table7[Product Model],Table7[Product Category],"Not Available",0)</f>
        <v>Farmtrac</v>
      </c>
      <c r="K166" s="4">
        <v>4</v>
      </c>
      <c r="L166" s="72">
        <v>485480</v>
      </c>
      <c r="M166" s="4">
        <f>INDEX('Master Sheet'!$C$4:$C$12,MATCH(Table1[[#This Row],[Quantity]],'Master Sheet'!$B$4:$B$12,0))</f>
        <v>6</v>
      </c>
      <c r="N166" s="71">
        <f>Table1[[#This Row],[Quantity]]*Table1[[#This Row],[Unit Price]]</f>
        <v>1941920</v>
      </c>
      <c r="O166" s="73">
        <v>0.194192</v>
      </c>
      <c r="P166" s="70">
        <f>Table1[[#This Row],[Gross Amount]]*(1-(Table1[[#This Row],[Discount %]]/100))</f>
        <v>1825404.7999999998</v>
      </c>
      <c r="Q166" s="74">
        <f>(Table1[[#This Row],[Gross Amount]]*(1-(Table1[[#This Row],[Discount %]]/100)))/10000000</f>
        <v>0.18254047999999998</v>
      </c>
      <c r="R166" t="s">
        <v>42</v>
      </c>
      <c r="S166" t="str" cm="1">
        <f t="array" ref="S166">IFERROR(_xlfn.IFS(Table1[[#This Row],[Payment Status]]="Partial","In Transit",Table1[[#This Row],[Payment Status]]="Paid","Delivered",Table1[[#This Row],[Payment Status]]="Pending","Pending"),"Invalid Input")</f>
        <v>Pending</v>
      </c>
      <c r="T166" t="s">
        <v>27</v>
      </c>
      <c r="U166" t="str" cm="1">
        <f t="array" ref="U166">IFERROR(_xlfn.IFS(Table1[[#This Row],[Payment Status]]="Partial","In Transit",Table1[[#This Row],[Payment Status]]="Paid","Completed",Table1[[#This Row],[Payment Status]]="Pending","Pending"),"Invalid Input")</f>
        <v>Pending</v>
      </c>
    </row>
    <row r="167" spans="1:21" x14ac:dyDescent="0.25">
      <c r="A167" s="4" t="s">
        <v>400</v>
      </c>
      <c r="B167" s="5">
        <v>45803</v>
      </c>
      <c r="C167" t="s">
        <v>52</v>
      </c>
      <c r="D167" t="s">
        <v>3269</v>
      </c>
      <c r="E167" t="s">
        <v>66</v>
      </c>
      <c r="F167" t="s">
        <v>3213</v>
      </c>
      <c r="G167" t="s">
        <v>67</v>
      </c>
      <c r="H167" t="str">
        <f>VLOOKUP(Table1[[#This Row],[City]],Table6[#All],2,FALSE)</f>
        <v>East</v>
      </c>
      <c r="I167" t="s">
        <v>58</v>
      </c>
      <c r="J167" t="str">
        <f>_xlfn.XLOOKUP(Table1[[#This Row],[Tractor Model]],Table7[Product Model],Table7[Product Category],"Not Available",0)</f>
        <v>Powertrac</v>
      </c>
      <c r="K167" s="4">
        <v>3</v>
      </c>
      <c r="L167" s="72">
        <v>471957</v>
      </c>
      <c r="M167" s="4">
        <f>INDEX('Master Sheet'!$C$4:$C$12,MATCH(Table1[[#This Row],[Quantity]],'Master Sheet'!$B$4:$B$12,0))</f>
        <v>6</v>
      </c>
      <c r="N167" s="71">
        <f>Table1[[#This Row],[Quantity]]*Table1[[#This Row],[Unit Price]]</f>
        <v>1415871</v>
      </c>
      <c r="O167" s="73">
        <v>0.14158709999999999</v>
      </c>
      <c r="P167" s="70">
        <f>Table1[[#This Row],[Gross Amount]]*(1-(Table1[[#This Row],[Discount %]]/100))</f>
        <v>1330918.74</v>
      </c>
      <c r="Q167" s="74">
        <f>(Table1[[#This Row],[Gross Amount]]*(1-(Table1[[#This Row],[Discount %]]/100)))/10000000</f>
        <v>0.133091874</v>
      </c>
      <c r="R167" t="s">
        <v>54</v>
      </c>
      <c r="S167" t="str" cm="1">
        <f t="array" ref="S167">IFERROR(_xlfn.IFS(Table1[[#This Row],[Payment Status]]="Partial","In Transit",Table1[[#This Row],[Payment Status]]="Paid","Delivered",Table1[[#This Row],[Payment Status]]="Pending","Pending"),"Invalid Input")</f>
        <v>Delivered</v>
      </c>
      <c r="T167" t="s">
        <v>27</v>
      </c>
      <c r="U167" t="str" cm="1">
        <f t="array" ref="U167">IFERROR(_xlfn.IFS(Table1[[#This Row],[Payment Status]]="Partial","In Transit",Table1[[#This Row],[Payment Status]]="Paid","Completed",Table1[[#This Row],[Payment Status]]="Pending","Pending"),"Invalid Input")</f>
        <v>Completed</v>
      </c>
    </row>
    <row r="168" spans="1:21" x14ac:dyDescent="0.25">
      <c r="A168" s="4" t="s">
        <v>402</v>
      </c>
      <c r="B168" s="5">
        <v>45677</v>
      </c>
      <c r="C168" t="s">
        <v>41</v>
      </c>
      <c r="D168" t="s">
        <v>3271</v>
      </c>
      <c r="E168" t="s">
        <v>66</v>
      </c>
      <c r="F168" t="s">
        <v>3207</v>
      </c>
      <c r="G168" t="s">
        <v>67</v>
      </c>
      <c r="H168" t="str">
        <f>VLOOKUP(Table1[[#This Row],[City]],Table6[#All],2,FALSE)</f>
        <v>East</v>
      </c>
      <c r="I168" t="s">
        <v>53</v>
      </c>
      <c r="J168" t="str">
        <f>_xlfn.XLOOKUP(Table1[[#This Row],[Tractor Model]],Table7[Product Model],Table7[Product Category],"Not Available",0)</f>
        <v>Farmtrac</v>
      </c>
      <c r="K168" s="4">
        <v>8</v>
      </c>
      <c r="L168" s="72">
        <v>878285</v>
      </c>
      <c r="M168" s="4">
        <f>INDEX('Master Sheet'!$C$4:$C$12,MATCH(Table1[[#This Row],[Quantity]],'Master Sheet'!$B$4:$B$12,0))</f>
        <v>9</v>
      </c>
      <c r="N168" s="71">
        <f>Table1[[#This Row],[Quantity]]*Table1[[#This Row],[Unit Price]]</f>
        <v>7026280</v>
      </c>
      <c r="O168" s="73">
        <v>0.70262800000000003</v>
      </c>
      <c r="P168" s="70">
        <f>Table1[[#This Row],[Gross Amount]]*(1-(Table1[[#This Row],[Discount %]]/100))</f>
        <v>6393914.7999999998</v>
      </c>
      <c r="Q168" s="74">
        <f>(Table1[[#This Row],[Gross Amount]]*(1-(Table1[[#This Row],[Discount %]]/100)))/10000000</f>
        <v>0.63939148000000001</v>
      </c>
      <c r="R168" t="s">
        <v>42</v>
      </c>
      <c r="S168" t="str" cm="1">
        <f t="array" ref="S168">IFERROR(_xlfn.IFS(Table1[[#This Row],[Payment Status]]="Partial","In Transit",Table1[[#This Row],[Payment Status]]="Paid","Delivered",Table1[[#This Row],[Payment Status]]="Pending","Pending"),"Invalid Input")</f>
        <v>Pending</v>
      </c>
      <c r="T168" t="s">
        <v>27</v>
      </c>
      <c r="U168" t="str" cm="1">
        <f t="array" ref="U168">IFERROR(_xlfn.IFS(Table1[[#This Row],[Payment Status]]="Partial","In Transit",Table1[[#This Row],[Payment Status]]="Paid","Completed",Table1[[#This Row],[Payment Status]]="Pending","Pending"),"Invalid Input")</f>
        <v>Pending</v>
      </c>
    </row>
    <row r="169" spans="1:21" x14ac:dyDescent="0.25">
      <c r="A169" s="4" t="s">
        <v>403</v>
      </c>
      <c r="B169" s="5">
        <v>45644</v>
      </c>
      <c r="C169" t="s">
        <v>41</v>
      </c>
      <c r="D169" t="s">
        <v>3271</v>
      </c>
      <c r="E169" t="s">
        <v>38</v>
      </c>
      <c r="F169" t="s">
        <v>3210</v>
      </c>
      <c r="G169" t="s">
        <v>39</v>
      </c>
      <c r="H169" t="str">
        <f>VLOOKUP(Table1[[#This Row],[City]],Table6[#All],2,FALSE)</f>
        <v>West</v>
      </c>
      <c r="I169" t="s">
        <v>58</v>
      </c>
      <c r="J169" t="str">
        <f>_xlfn.XLOOKUP(Table1[[#This Row],[Tractor Model]],Table7[Product Model],Table7[Product Category],"Not Available",0)</f>
        <v>Powertrac</v>
      </c>
      <c r="K169" s="4">
        <v>4</v>
      </c>
      <c r="L169" s="72">
        <v>657524</v>
      </c>
      <c r="M169" s="4">
        <f>INDEX('Master Sheet'!$C$4:$C$12,MATCH(Table1[[#This Row],[Quantity]],'Master Sheet'!$B$4:$B$12,0))</f>
        <v>6</v>
      </c>
      <c r="N169" s="71">
        <f>Table1[[#This Row],[Quantity]]*Table1[[#This Row],[Unit Price]]</f>
        <v>2630096</v>
      </c>
      <c r="O169" s="73">
        <v>0.26300960000000001</v>
      </c>
      <c r="P169" s="70">
        <f>Table1[[#This Row],[Gross Amount]]*(1-(Table1[[#This Row],[Discount %]]/100))</f>
        <v>2472290.2399999998</v>
      </c>
      <c r="Q169" s="74">
        <f>(Table1[[#This Row],[Gross Amount]]*(1-(Table1[[#This Row],[Discount %]]/100)))/10000000</f>
        <v>0.24722902399999996</v>
      </c>
      <c r="R169" t="s">
        <v>42</v>
      </c>
      <c r="S169" t="str" cm="1">
        <f t="array" ref="S169">IFERROR(_xlfn.IFS(Table1[[#This Row],[Payment Status]]="Partial","In Transit",Table1[[#This Row],[Payment Status]]="Paid","Delivered",Table1[[#This Row],[Payment Status]]="Pending","Pending"),"Invalid Input")</f>
        <v>Pending</v>
      </c>
      <c r="T169" t="s">
        <v>44</v>
      </c>
      <c r="U169" t="str" cm="1">
        <f t="array" ref="U169">IFERROR(_xlfn.IFS(Table1[[#This Row],[Payment Status]]="Partial","In Transit",Table1[[#This Row],[Payment Status]]="Paid","Completed",Table1[[#This Row],[Payment Status]]="Pending","Pending"),"Invalid Input")</f>
        <v>Pending</v>
      </c>
    </row>
    <row r="170" spans="1:21" x14ac:dyDescent="0.25">
      <c r="A170" s="4" t="s">
        <v>405</v>
      </c>
      <c r="B170" s="5">
        <v>45491</v>
      </c>
      <c r="C170" t="s">
        <v>33</v>
      </c>
      <c r="D170" t="s">
        <v>3270</v>
      </c>
      <c r="E170" t="s">
        <v>66</v>
      </c>
      <c r="F170" t="s">
        <v>3220</v>
      </c>
      <c r="G170" t="s">
        <v>67</v>
      </c>
      <c r="H170" t="str">
        <f>VLOOKUP(Table1[[#This Row],[City]],Table6[#All],2,FALSE)</f>
        <v>East</v>
      </c>
      <c r="I170" t="s">
        <v>53</v>
      </c>
      <c r="J170" t="str">
        <f>_xlfn.XLOOKUP(Table1[[#This Row],[Tractor Model]],Table7[Product Model],Table7[Product Category],"Not Available",0)</f>
        <v>Farmtrac</v>
      </c>
      <c r="K170" s="4">
        <v>5</v>
      </c>
      <c r="L170" s="72">
        <v>861732</v>
      </c>
      <c r="M170" s="4">
        <f>INDEX('Master Sheet'!$C$4:$C$12,MATCH(Table1[[#This Row],[Quantity]],'Master Sheet'!$B$4:$B$12,0))</f>
        <v>7</v>
      </c>
      <c r="N170" s="71">
        <f>Table1[[#This Row],[Quantity]]*Table1[[#This Row],[Unit Price]]</f>
        <v>4308660</v>
      </c>
      <c r="O170" s="73">
        <v>0.43086600000000003</v>
      </c>
      <c r="P170" s="70">
        <f>Table1[[#This Row],[Gross Amount]]*(1-(Table1[[#This Row],[Discount %]]/100))</f>
        <v>4007053.8</v>
      </c>
      <c r="Q170" s="74">
        <f>(Table1[[#This Row],[Gross Amount]]*(1-(Table1[[#This Row],[Discount %]]/100)))/10000000</f>
        <v>0.40070538</v>
      </c>
      <c r="R170" t="s">
        <v>25</v>
      </c>
      <c r="S170" t="str" cm="1">
        <f t="array" ref="S170">IFERROR(_xlfn.IFS(Table1[[#This Row],[Payment Status]]="Partial","In Transit",Table1[[#This Row],[Payment Status]]="Paid","Delivered",Table1[[#This Row],[Payment Status]]="Pending","Pending"),"Invalid Input")</f>
        <v>In Transit</v>
      </c>
      <c r="T170" t="s">
        <v>44</v>
      </c>
      <c r="U170" t="str" cm="1">
        <f t="array" ref="U170">IFERROR(_xlfn.IFS(Table1[[#This Row],[Payment Status]]="Partial","In Transit",Table1[[#This Row],[Payment Status]]="Paid","Completed",Table1[[#This Row],[Payment Status]]="Pending","Pending"),"Invalid Input")</f>
        <v>In Transit</v>
      </c>
    </row>
    <row r="171" spans="1:21" x14ac:dyDescent="0.25">
      <c r="A171" s="4" t="s">
        <v>407</v>
      </c>
      <c r="B171" s="5">
        <v>45710</v>
      </c>
      <c r="C171" t="s">
        <v>33</v>
      </c>
      <c r="D171" t="s">
        <v>3270</v>
      </c>
      <c r="E171" t="s">
        <v>30</v>
      </c>
      <c r="F171" t="s">
        <v>3223</v>
      </c>
      <c r="G171" t="s">
        <v>31</v>
      </c>
      <c r="H171" t="str">
        <f>VLOOKUP(Table1[[#This Row],[City]],Table6[#All],2,FALSE)</f>
        <v>South</v>
      </c>
      <c r="I171" t="s">
        <v>24</v>
      </c>
      <c r="J171" t="str">
        <f>_xlfn.XLOOKUP(Table1[[#This Row],[Tractor Model]],Table7[Product Model],Table7[Product Category],"Not Available",0)</f>
        <v>Farmtrac</v>
      </c>
      <c r="K171" s="4">
        <v>7</v>
      </c>
      <c r="L171" s="72">
        <v>431444</v>
      </c>
      <c r="M171" s="4">
        <f>INDEX('Master Sheet'!$C$4:$C$12,MATCH(Table1[[#This Row],[Quantity]],'Master Sheet'!$B$4:$B$12,0))</f>
        <v>9</v>
      </c>
      <c r="N171" s="71">
        <f>Table1[[#This Row],[Quantity]]*Table1[[#This Row],[Unit Price]]</f>
        <v>3020108</v>
      </c>
      <c r="O171" s="73">
        <v>0.30201080000000002</v>
      </c>
      <c r="P171" s="70">
        <f>Table1[[#This Row],[Gross Amount]]*(1-(Table1[[#This Row],[Discount %]]/100))</f>
        <v>2748298.2800000003</v>
      </c>
      <c r="Q171" s="74">
        <f>(Table1[[#This Row],[Gross Amount]]*(1-(Table1[[#This Row],[Discount %]]/100)))/10000000</f>
        <v>0.27482982800000005</v>
      </c>
      <c r="R171" t="s">
        <v>25</v>
      </c>
      <c r="S171" t="str" cm="1">
        <f t="array" ref="S171">IFERROR(_xlfn.IFS(Table1[[#This Row],[Payment Status]]="Partial","In Transit",Table1[[#This Row],[Payment Status]]="Paid","Delivered",Table1[[#This Row],[Payment Status]]="Pending","Pending"),"Invalid Input")</f>
        <v>In Transit</v>
      </c>
      <c r="T171" t="s">
        <v>44</v>
      </c>
      <c r="U171" t="str" cm="1">
        <f t="array" ref="U171">IFERROR(_xlfn.IFS(Table1[[#This Row],[Payment Status]]="Partial","In Transit",Table1[[#This Row],[Payment Status]]="Paid","Completed",Table1[[#This Row],[Payment Status]]="Pending","Pending"),"Invalid Input")</f>
        <v>In Transit</v>
      </c>
    </row>
    <row r="172" spans="1:21" x14ac:dyDescent="0.25">
      <c r="A172" s="4" t="s">
        <v>408</v>
      </c>
      <c r="B172" s="5">
        <v>45667</v>
      </c>
      <c r="C172" t="s">
        <v>33</v>
      </c>
      <c r="D172" t="s">
        <v>3271</v>
      </c>
      <c r="E172" t="s">
        <v>30</v>
      </c>
      <c r="F172" t="s">
        <v>3217</v>
      </c>
      <c r="G172" t="s">
        <v>31</v>
      </c>
      <c r="H172" t="str">
        <f>VLOOKUP(Table1[[#This Row],[City]],Table6[#All],2,FALSE)</f>
        <v>South</v>
      </c>
      <c r="I172" t="s">
        <v>3203</v>
      </c>
      <c r="J172" t="str">
        <f>_xlfn.XLOOKUP(Table1[[#This Row],[Tractor Model]],Table7[Product Model],Table7[Product Category],"Not Available",0)</f>
        <v>Kubota</v>
      </c>
      <c r="K172" s="4">
        <v>1</v>
      </c>
      <c r="L172" s="72">
        <v>781237</v>
      </c>
      <c r="M172" s="4">
        <f>INDEX('Master Sheet'!$C$4:$C$12,MATCH(Table1[[#This Row],[Quantity]],'Master Sheet'!$B$4:$B$12,0))</f>
        <v>3</v>
      </c>
      <c r="N172" s="71">
        <f>Table1[[#This Row],[Quantity]]*Table1[[#This Row],[Unit Price]]</f>
        <v>781237</v>
      </c>
      <c r="O172" s="73">
        <v>7.8123700000000004E-2</v>
      </c>
      <c r="P172" s="70">
        <f>Table1[[#This Row],[Gross Amount]]*(1-(Table1[[#This Row],[Discount %]]/100))</f>
        <v>757799.89</v>
      </c>
      <c r="Q172" s="74">
        <f>(Table1[[#This Row],[Gross Amount]]*(1-(Table1[[#This Row],[Discount %]]/100)))/10000000</f>
        <v>7.5779989000000006E-2</v>
      </c>
      <c r="R172" t="s">
        <v>42</v>
      </c>
      <c r="S172" t="str" cm="1">
        <f t="array" ref="S172">IFERROR(_xlfn.IFS(Table1[[#This Row],[Payment Status]]="Partial","In Transit",Table1[[#This Row],[Payment Status]]="Paid","Delivered",Table1[[#This Row],[Payment Status]]="Pending","Pending"),"Invalid Input")</f>
        <v>Pending</v>
      </c>
      <c r="T172" t="s">
        <v>27</v>
      </c>
      <c r="U172" t="str" cm="1">
        <f t="array" ref="U172">IFERROR(_xlfn.IFS(Table1[[#This Row],[Payment Status]]="Partial","In Transit",Table1[[#This Row],[Payment Status]]="Paid","Completed",Table1[[#This Row],[Payment Status]]="Pending","Pending"),"Invalid Input")</f>
        <v>Pending</v>
      </c>
    </row>
    <row r="173" spans="1:21" x14ac:dyDescent="0.25">
      <c r="A173" s="4" t="s">
        <v>410</v>
      </c>
      <c r="B173" s="5">
        <v>45315</v>
      </c>
      <c r="C173" t="s">
        <v>52</v>
      </c>
      <c r="D173" t="s">
        <v>3268</v>
      </c>
      <c r="E173" t="s">
        <v>30</v>
      </c>
      <c r="F173" t="s">
        <v>3208</v>
      </c>
      <c r="G173" t="s">
        <v>31</v>
      </c>
      <c r="H173" t="str">
        <f>VLOOKUP(Table1[[#This Row],[City]],Table6[#All],2,FALSE)</f>
        <v>South</v>
      </c>
      <c r="I173" t="s">
        <v>53</v>
      </c>
      <c r="J173" t="str">
        <f>_xlfn.XLOOKUP(Table1[[#This Row],[Tractor Model]],Table7[Product Model],Table7[Product Category],"Not Available",0)</f>
        <v>Farmtrac</v>
      </c>
      <c r="K173" s="4">
        <v>1</v>
      </c>
      <c r="L173" s="72">
        <v>477881</v>
      </c>
      <c r="M173" s="4">
        <f>INDEX('Master Sheet'!$C$4:$C$12,MATCH(Table1[[#This Row],[Quantity]],'Master Sheet'!$B$4:$B$12,0))</f>
        <v>3</v>
      </c>
      <c r="N173" s="71">
        <f>Table1[[#This Row],[Quantity]]*Table1[[#This Row],[Unit Price]]</f>
        <v>477881</v>
      </c>
      <c r="O173" s="73">
        <v>4.77881E-2</v>
      </c>
      <c r="P173" s="70">
        <f>Table1[[#This Row],[Gross Amount]]*(1-(Table1[[#This Row],[Discount %]]/100))</f>
        <v>463544.57</v>
      </c>
      <c r="Q173" s="74">
        <f>(Table1[[#This Row],[Gross Amount]]*(1-(Table1[[#This Row],[Discount %]]/100)))/10000000</f>
        <v>4.6354457000000002E-2</v>
      </c>
      <c r="R173" t="s">
        <v>42</v>
      </c>
      <c r="S173" t="str" cm="1">
        <f t="array" ref="S173">IFERROR(_xlfn.IFS(Table1[[#This Row],[Payment Status]]="Partial","In Transit",Table1[[#This Row],[Payment Status]]="Paid","Delivered",Table1[[#This Row],[Payment Status]]="Pending","Pending"),"Invalid Input")</f>
        <v>Pending</v>
      </c>
      <c r="T173" t="s">
        <v>27</v>
      </c>
      <c r="U173" t="str" cm="1">
        <f t="array" ref="U173">IFERROR(_xlfn.IFS(Table1[[#This Row],[Payment Status]]="Partial","In Transit",Table1[[#This Row],[Payment Status]]="Paid","Completed",Table1[[#This Row],[Payment Status]]="Pending","Pending"),"Invalid Input")</f>
        <v>Pending</v>
      </c>
    </row>
    <row r="174" spans="1:21" x14ac:dyDescent="0.25">
      <c r="A174" s="4" t="s">
        <v>412</v>
      </c>
      <c r="B174" s="5">
        <v>45702</v>
      </c>
      <c r="C174" t="s">
        <v>33</v>
      </c>
      <c r="D174" t="s">
        <v>37</v>
      </c>
      <c r="E174" t="s">
        <v>47</v>
      </c>
      <c r="F174" t="s">
        <v>3215</v>
      </c>
      <c r="G174" t="s">
        <v>48</v>
      </c>
      <c r="H174" t="str">
        <f>VLOOKUP(Table1[[#This Row],[City]],Table6[#All],2,FALSE)</f>
        <v>North</v>
      </c>
      <c r="I174" t="s">
        <v>24</v>
      </c>
      <c r="J174" t="str">
        <f>_xlfn.XLOOKUP(Table1[[#This Row],[Tractor Model]],Table7[Product Model],Table7[Product Category],"Not Available",0)</f>
        <v>Farmtrac</v>
      </c>
      <c r="K174" s="4">
        <v>1</v>
      </c>
      <c r="L174" s="72">
        <v>592548</v>
      </c>
      <c r="M174" s="4">
        <f>INDEX('Master Sheet'!$C$4:$C$12,MATCH(Table1[[#This Row],[Quantity]],'Master Sheet'!$B$4:$B$12,0))</f>
        <v>3</v>
      </c>
      <c r="N174" s="71">
        <f>Table1[[#This Row],[Quantity]]*Table1[[#This Row],[Unit Price]]</f>
        <v>592548</v>
      </c>
      <c r="O174" s="73">
        <v>5.9254800000000003E-2</v>
      </c>
      <c r="P174" s="70">
        <f>Table1[[#This Row],[Gross Amount]]*(1-(Table1[[#This Row],[Discount %]]/100))</f>
        <v>574771.55999999994</v>
      </c>
      <c r="Q174" s="74">
        <f>(Table1[[#This Row],[Gross Amount]]*(1-(Table1[[#This Row],[Discount %]]/100)))/10000000</f>
        <v>5.7477155999999995E-2</v>
      </c>
      <c r="R174" t="s">
        <v>25</v>
      </c>
      <c r="S174" t="str" cm="1">
        <f t="array" ref="S174">IFERROR(_xlfn.IFS(Table1[[#This Row],[Payment Status]]="Partial","In Transit",Table1[[#This Row],[Payment Status]]="Paid","Delivered",Table1[[#This Row],[Payment Status]]="Pending","Pending"),"Invalid Input")</f>
        <v>In Transit</v>
      </c>
      <c r="T174" t="s">
        <v>27</v>
      </c>
      <c r="U174" t="str" cm="1">
        <f t="array" ref="U174">IFERROR(_xlfn.IFS(Table1[[#This Row],[Payment Status]]="Partial","In Transit",Table1[[#This Row],[Payment Status]]="Paid","Completed",Table1[[#This Row],[Payment Status]]="Pending","Pending"),"Invalid Input")</f>
        <v>In Transit</v>
      </c>
    </row>
    <row r="175" spans="1:21" x14ac:dyDescent="0.25">
      <c r="A175" s="4" t="s">
        <v>414</v>
      </c>
      <c r="B175" s="5">
        <v>45726</v>
      </c>
      <c r="C175" t="s">
        <v>62</v>
      </c>
      <c r="D175" t="s">
        <v>3270</v>
      </c>
      <c r="E175" t="s">
        <v>38</v>
      </c>
      <c r="F175" t="s">
        <v>3218</v>
      </c>
      <c r="G175" t="s">
        <v>39</v>
      </c>
      <c r="H175" t="str">
        <f>VLOOKUP(Table1[[#This Row],[City]],Table6[#All],2,FALSE)</f>
        <v>West</v>
      </c>
      <c r="I175" t="s">
        <v>58</v>
      </c>
      <c r="J175" t="str">
        <f>_xlfn.XLOOKUP(Table1[[#This Row],[Tractor Model]],Table7[Product Model],Table7[Product Category],"Not Available",0)</f>
        <v>Powertrac</v>
      </c>
      <c r="K175" s="4">
        <v>6</v>
      </c>
      <c r="L175" s="72">
        <v>618828</v>
      </c>
      <c r="M175" s="4">
        <f>INDEX('Master Sheet'!$C$4:$C$12,MATCH(Table1[[#This Row],[Quantity]],'Master Sheet'!$B$4:$B$12,0))</f>
        <v>8</v>
      </c>
      <c r="N175" s="71">
        <f>Table1[[#This Row],[Quantity]]*Table1[[#This Row],[Unit Price]]</f>
        <v>3712968</v>
      </c>
      <c r="O175" s="73">
        <v>0.37129679999999998</v>
      </c>
      <c r="P175" s="70">
        <f>Table1[[#This Row],[Gross Amount]]*(1-(Table1[[#This Row],[Discount %]]/100))</f>
        <v>3415930.56</v>
      </c>
      <c r="Q175" s="74">
        <f>(Table1[[#This Row],[Gross Amount]]*(1-(Table1[[#This Row],[Discount %]]/100)))/10000000</f>
        <v>0.34159305600000001</v>
      </c>
      <c r="R175" t="s">
        <v>25</v>
      </c>
      <c r="S175" t="str" cm="1">
        <f t="array" ref="S175">IFERROR(_xlfn.IFS(Table1[[#This Row],[Payment Status]]="Partial","In Transit",Table1[[#This Row],[Payment Status]]="Paid","Delivered",Table1[[#This Row],[Payment Status]]="Pending","Pending"),"Invalid Input")</f>
        <v>In Transit</v>
      </c>
      <c r="T175" t="s">
        <v>27</v>
      </c>
      <c r="U175" t="str" cm="1">
        <f t="array" ref="U175">IFERROR(_xlfn.IFS(Table1[[#This Row],[Payment Status]]="Partial","In Transit",Table1[[#This Row],[Payment Status]]="Paid","Completed",Table1[[#This Row],[Payment Status]]="Pending","Pending"),"Invalid Input")</f>
        <v>In Transit</v>
      </c>
    </row>
    <row r="176" spans="1:21" x14ac:dyDescent="0.25">
      <c r="A176" s="4" t="s">
        <v>416</v>
      </c>
      <c r="B176" s="5">
        <v>45655</v>
      </c>
      <c r="C176" t="s">
        <v>62</v>
      </c>
      <c r="D176" t="s">
        <v>3269</v>
      </c>
      <c r="E176" t="s">
        <v>66</v>
      </c>
      <c r="F176" t="s">
        <v>3213</v>
      </c>
      <c r="G176" t="s">
        <v>67</v>
      </c>
      <c r="H176" t="str">
        <f>VLOOKUP(Table1[[#This Row],[City]],Table6[#All],2,FALSE)</f>
        <v>East</v>
      </c>
      <c r="I176" t="s">
        <v>53</v>
      </c>
      <c r="J176" t="str">
        <f>_xlfn.XLOOKUP(Table1[[#This Row],[Tractor Model]],Table7[Product Model],Table7[Product Category],"Not Available",0)</f>
        <v>Farmtrac</v>
      </c>
      <c r="K176" s="4">
        <v>5</v>
      </c>
      <c r="L176" s="72">
        <v>235104</v>
      </c>
      <c r="M176" s="4">
        <f>INDEX('Master Sheet'!$C$4:$C$12,MATCH(Table1[[#This Row],[Quantity]],'Master Sheet'!$B$4:$B$12,0))</f>
        <v>7</v>
      </c>
      <c r="N176" s="71">
        <f>Table1[[#This Row],[Quantity]]*Table1[[#This Row],[Unit Price]]</f>
        <v>1175520</v>
      </c>
      <c r="O176" s="73">
        <v>0.117552</v>
      </c>
      <c r="P176" s="70">
        <f>Table1[[#This Row],[Gross Amount]]*(1-(Table1[[#This Row],[Discount %]]/100))</f>
        <v>1093233.5999999999</v>
      </c>
      <c r="Q176" s="74">
        <f>(Table1[[#This Row],[Gross Amount]]*(1-(Table1[[#This Row],[Discount %]]/100)))/10000000</f>
        <v>0.10932335999999998</v>
      </c>
      <c r="R176" t="s">
        <v>54</v>
      </c>
      <c r="S176" t="str" cm="1">
        <f t="array" ref="S176">IFERROR(_xlfn.IFS(Table1[[#This Row],[Payment Status]]="Partial","In Transit",Table1[[#This Row],[Payment Status]]="Paid","Delivered",Table1[[#This Row],[Payment Status]]="Pending","Pending"),"Invalid Input")</f>
        <v>Delivered</v>
      </c>
      <c r="T176" t="s">
        <v>27</v>
      </c>
      <c r="U176" t="str" cm="1">
        <f t="array" ref="U176">IFERROR(_xlfn.IFS(Table1[[#This Row],[Payment Status]]="Partial","In Transit",Table1[[#This Row],[Payment Status]]="Paid","Completed",Table1[[#This Row],[Payment Status]]="Pending","Pending"),"Invalid Input")</f>
        <v>Completed</v>
      </c>
    </row>
    <row r="177" spans="1:21" x14ac:dyDescent="0.25">
      <c r="A177" s="4" t="s">
        <v>418</v>
      </c>
      <c r="B177" s="5">
        <v>45437</v>
      </c>
      <c r="C177" t="s">
        <v>52</v>
      </c>
      <c r="D177" t="s">
        <v>3271</v>
      </c>
      <c r="E177" t="s">
        <v>66</v>
      </c>
      <c r="F177" t="s">
        <v>3207</v>
      </c>
      <c r="G177" t="s">
        <v>67</v>
      </c>
      <c r="H177" t="str">
        <f>VLOOKUP(Table1[[#This Row],[City]],Table6[#All],2,FALSE)</f>
        <v>East</v>
      </c>
      <c r="I177" t="s">
        <v>3204</v>
      </c>
      <c r="J177" t="str">
        <f>_xlfn.XLOOKUP(Table1[[#This Row],[Tractor Model]],Table7[Product Model],Table7[Product Category],"Not Available",0)</f>
        <v>Kubota</v>
      </c>
      <c r="K177" s="4">
        <v>5</v>
      </c>
      <c r="L177" s="72">
        <v>279132</v>
      </c>
      <c r="M177" s="4">
        <f>INDEX('Master Sheet'!$C$4:$C$12,MATCH(Table1[[#This Row],[Quantity]],'Master Sheet'!$B$4:$B$12,0))</f>
        <v>7</v>
      </c>
      <c r="N177" s="71">
        <f>Table1[[#This Row],[Quantity]]*Table1[[#This Row],[Unit Price]]</f>
        <v>1395660</v>
      </c>
      <c r="O177" s="73">
        <v>0.139566</v>
      </c>
      <c r="P177" s="70">
        <f>Table1[[#This Row],[Gross Amount]]*(1-(Table1[[#This Row],[Discount %]]/100))</f>
        <v>1297963.7999999998</v>
      </c>
      <c r="Q177" s="74">
        <f>(Table1[[#This Row],[Gross Amount]]*(1-(Table1[[#This Row],[Discount %]]/100)))/10000000</f>
        <v>0.12979637999999999</v>
      </c>
      <c r="R177" t="s">
        <v>42</v>
      </c>
      <c r="S177" t="str" cm="1">
        <f t="array" ref="S177">IFERROR(_xlfn.IFS(Table1[[#This Row],[Payment Status]]="Partial","In Transit",Table1[[#This Row],[Payment Status]]="Paid","Delivered",Table1[[#This Row],[Payment Status]]="Pending","Pending"),"Invalid Input")</f>
        <v>Pending</v>
      </c>
      <c r="T177" t="s">
        <v>44</v>
      </c>
      <c r="U177" t="str" cm="1">
        <f t="array" ref="U177">IFERROR(_xlfn.IFS(Table1[[#This Row],[Payment Status]]="Partial","In Transit",Table1[[#This Row],[Payment Status]]="Paid","Completed",Table1[[#This Row],[Payment Status]]="Pending","Pending"),"Invalid Input")</f>
        <v>Pending</v>
      </c>
    </row>
    <row r="178" spans="1:21" x14ac:dyDescent="0.25">
      <c r="A178" s="4" t="s">
        <v>420</v>
      </c>
      <c r="B178" s="5">
        <v>45822</v>
      </c>
      <c r="C178" t="s">
        <v>62</v>
      </c>
      <c r="D178" t="s">
        <v>3268</v>
      </c>
      <c r="E178" t="s">
        <v>30</v>
      </c>
      <c r="F178" t="s">
        <v>3208</v>
      </c>
      <c r="G178" t="s">
        <v>31</v>
      </c>
      <c r="H178" t="str">
        <f>VLOOKUP(Table1[[#This Row],[City]],Table6[#All],2,FALSE)</f>
        <v>South</v>
      </c>
      <c r="I178" t="s">
        <v>53</v>
      </c>
      <c r="J178" t="str">
        <f>_xlfn.XLOOKUP(Table1[[#This Row],[Tractor Model]],Table7[Product Model],Table7[Product Category],"Not Available",0)</f>
        <v>Farmtrac</v>
      </c>
      <c r="K178" s="4">
        <v>4</v>
      </c>
      <c r="L178" s="72">
        <v>845154</v>
      </c>
      <c r="M178" s="4">
        <f>INDEX('Master Sheet'!$C$4:$C$12,MATCH(Table1[[#This Row],[Quantity]],'Master Sheet'!$B$4:$B$12,0))</f>
        <v>6</v>
      </c>
      <c r="N178" s="71">
        <f>Table1[[#This Row],[Quantity]]*Table1[[#This Row],[Unit Price]]</f>
        <v>3380616</v>
      </c>
      <c r="O178" s="73">
        <v>0.33806160000000002</v>
      </c>
      <c r="P178" s="70">
        <f>Table1[[#This Row],[Gross Amount]]*(1-(Table1[[#This Row],[Discount %]]/100))</f>
        <v>3177779.04</v>
      </c>
      <c r="Q178" s="74">
        <f>(Table1[[#This Row],[Gross Amount]]*(1-(Table1[[#This Row],[Discount %]]/100)))/10000000</f>
        <v>0.317777904</v>
      </c>
      <c r="R178" t="s">
        <v>42</v>
      </c>
      <c r="S178" t="str" cm="1">
        <f t="array" ref="S178">IFERROR(_xlfn.IFS(Table1[[#This Row],[Payment Status]]="Partial","In Transit",Table1[[#This Row],[Payment Status]]="Paid","Delivered",Table1[[#This Row],[Payment Status]]="Pending","Pending"),"Invalid Input")</f>
        <v>Pending</v>
      </c>
      <c r="T178" t="s">
        <v>44</v>
      </c>
      <c r="U178" t="str" cm="1">
        <f t="array" ref="U178">IFERROR(_xlfn.IFS(Table1[[#This Row],[Payment Status]]="Partial","In Transit",Table1[[#This Row],[Payment Status]]="Paid","Completed",Table1[[#This Row],[Payment Status]]="Pending","Pending"),"Invalid Input")</f>
        <v>Pending</v>
      </c>
    </row>
    <row r="179" spans="1:21" x14ac:dyDescent="0.25">
      <c r="A179" s="4" t="s">
        <v>422</v>
      </c>
      <c r="B179" s="5">
        <v>45383</v>
      </c>
      <c r="C179" t="s">
        <v>33</v>
      </c>
      <c r="D179" t="s">
        <v>37</v>
      </c>
      <c r="E179" t="s">
        <v>119</v>
      </c>
      <c r="F179" t="s">
        <v>3224</v>
      </c>
      <c r="G179" t="s">
        <v>21</v>
      </c>
      <c r="H179" t="str">
        <f>VLOOKUP(Table1[[#This Row],[City]],Table6[#All],2,FALSE)</f>
        <v>North</v>
      </c>
      <c r="I179" t="s">
        <v>53</v>
      </c>
      <c r="J179" t="str">
        <f>_xlfn.XLOOKUP(Table1[[#This Row],[Tractor Model]],Table7[Product Model],Table7[Product Category],"Not Available",0)</f>
        <v>Farmtrac</v>
      </c>
      <c r="K179" s="4">
        <v>1</v>
      </c>
      <c r="L179" s="72">
        <v>762543</v>
      </c>
      <c r="M179" s="4">
        <f>INDEX('Master Sheet'!$C$4:$C$12,MATCH(Table1[[#This Row],[Quantity]],'Master Sheet'!$B$4:$B$12,0))</f>
        <v>3</v>
      </c>
      <c r="N179" s="71">
        <f>Table1[[#This Row],[Quantity]]*Table1[[#This Row],[Unit Price]]</f>
        <v>762543</v>
      </c>
      <c r="O179" s="73">
        <v>7.6254299999999997E-2</v>
      </c>
      <c r="P179" s="70">
        <f>Table1[[#This Row],[Gross Amount]]*(1-(Table1[[#This Row],[Discount %]]/100))</f>
        <v>739666.71</v>
      </c>
      <c r="Q179" s="74">
        <f>(Table1[[#This Row],[Gross Amount]]*(1-(Table1[[#This Row],[Discount %]]/100)))/10000000</f>
        <v>7.3966670999999998E-2</v>
      </c>
      <c r="R179" t="s">
        <v>42</v>
      </c>
      <c r="S179" t="str" cm="1">
        <f t="array" ref="S179">IFERROR(_xlfn.IFS(Table1[[#This Row],[Payment Status]]="Partial","In Transit",Table1[[#This Row],[Payment Status]]="Paid","Delivered",Table1[[#This Row],[Payment Status]]="Pending","Pending"),"Invalid Input")</f>
        <v>Pending</v>
      </c>
      <c r="T179" t="s">
        <v>27</v>
      </c>
      <c r="U179" t="str" cm="1">
        <f t="array" ref="U179">IFERROR(_xlfn.IFS(Table1[[#This Row],[Payment Status]]="Partial","In Transit",Table1[[#This Row],[Payment Status]]="Paid","Completed",Table1[[#This Row],[Payment Status]]="Pending","Pending"),"Invalid Input")</f>
        <v>Pending</v>
      </c>
    </row>
    <row r="180" spans="1:21" x14ac:dyDescent="0.25">
      <c r="A180" s="4" t="s">
        <v>424</v>
      </c>
      <c r="B180" s="5">
        <v>45504</v>
      </c>
      <c r="C180" t="s">
        <v>73</v>
      </c>
      <c r="D180" t="s">
        <v>37</v>
      </c>
      <c r="E180" t="s">
        <v>66</v>
      </c>
      <c r="F180" t="s">
        <v>3226</v>
      </c>
      <c r="G180" t="s">
        <v>67</v>
      </c>
      <c r="H180" t="str">
        <f>VLOOKUP(Table1[[#This Row],[City]],Table6[#All],2,FALSE)</f>
        <v>East</v>
      </c>
      <c r="I180" t="s">
        <v>58</v>
      </c>
      <c r="J180" t="str">
        <f>_xlfn.XLOOKUP(Table1[[#This Row],[Tractor Model]],Table7[Product Model],Table7[Product Category],"Not Available",0)</f>
        <v>Powertrac</v>
      </c>
      <c r="K180" s="4">
        <v>0</v>
      </c>
      <c r="L180" s="72">
        <v>114973</v>
      </c>
      <c r="M180" s="4">
        <f>INDEX('Master Sheet'!$C$4:$C$12,MATCH(Table1[[#This Row],[Quantity]],'Master Sheet'!$B$4:$B$12,0))</f>
        <v>0</v>
      </c>
      <c r="N180" s="71">
        <f>Table1[[#This Row],[Quantity]]*Table1[[#This Row],[Unit Price]]</f>
        <v>0</v>
      </c>
      <c r="O180" s="73">
        <v>0</v>
      </c>
      <c r="P180" s="70">
        <f>Table1[[#This Row],[Gross Amount]]*(1-(Table1[[#This Row],[Discount %]]/100))</f>
        <v>0</v>
      </c>
      <c r="Q180" s="74">
        <f>(Table1[[#This Row],[Gross Amount]]*(1-(Table1[[#This Row],[Discount %]]/100)))/10000000</f>
        <v>0</v>
      </c>
      <c r="R180" t="s">
        <v>42</v>
      </c>
      <c r="S180" t="str" cm="1">
        <f t="array" ref="S180">IFERROR(_xlfn.IFS(Table1[[#This Row],[Payment Status]]="Partial","In Transit",Table1[[#This Row],[Payment Status]]="Paid","Delivered",Table1[[#This Row],[Payment Status]]="Pending","Pending"),"Invalid Input")</f>
        <v>Pending</v>
      </c>
      <c r="T180" t="s">
        <v>27</v>
      </c>
      <c r="U180" t="str" cm="1">
        <f t="array" ref="U180">IFERROR(_xlfn.IFS(Table1[[#This Row],[Payment Status]]="Partial","In Transit",Table1[[#This Row],[Payment Status]]="Paid","Completed",Table1[[#This Row],[Payment Status]]="Pending","Pending"),"Invalid Input")</f>
        <v>Pending</v>
      </c>
    </row>
    <row r="181" spans="1:21" x14ac:dyDescent="0.25">
      <c r="A181" s="4" t="s">
        <v>426</v>
      </c>
      <c r="B181" s="5">
        <v>45548</v>
      </c>
      <c r="C181" t="s">
        <v>62</v>
      </c>
      <c r="D181" t="s">
        <v>3271</v>
      </c>
      <c r="E181" t="s">
        <v>38</v>
      </c>
      <c r="F181" t="s">
        <v>3210</v>
      </c>
      <c r="G181" t="s">
        <v>39</v>
      </c>
      <c r="H181" t="str">
        <f>VLOOKUP(Table1[[#This Row],[City]],Table6[#All],2,FALSE)</f>
        <v>West</v>
      </c>
      <c r="I181" t="s">
        <v>3204</v>
      </c>
      <c r="J181" t="str">
        <f>_xlfn.XLOOKUP(Table1[[#This Row],[Tractor Model]],Table7[Product Model],Table7[Product Category],"Not Available",0)</f>
        <v>Kubota</v>
      </c>
      <c r="K181" s="4">
        <v>1</v>
      </c>
      <c r="L181" s="72">
        <v>114691</v>
      </c>
      <c r="M181" s="4">
        <f>INDEX('Master Sheet'!$C$4:$C$12,MATCH(Table1[[#This Row],[Quantity]],'Master Sheet'!$B$4:$B$12,0))</f>
        <v>3</v>
      </c>
      <c r="N181" s="71">
        <f>Table1[[#This Row],[Quantity]]*Table1[[#This Row],[Unit Price]]</f>
        <v>114691</v>
      </c>
      <c r="O181" s="73">
        <v>1.1469099999999999E-2</v>
      </c>
      <c r="P181" s="70">
        <f>Table1[[#This Row],[Gross Amount]]*(1-(Table1[[#This Row],[Discount %]]/100))</f>
        <v>111250.27</v>
      </c>
      <c r="Q181" s="74">
        <f>(Table1[[#This Row],[Gross Amount]]*(1-(Table1[[#This Row],[Discount %]]/100)))/10000000</f>
        <v>1.1125027000000001E-2</v>
      </c>
      <c r="R181" t="s">
        <v>25</v>
      </c>
      <c r="S181" t="str" cm="1">
        <f t="array" ref="S181">IFERROR(_xlfn.IFS(Table1[[#This Row],[Payment Status]]="Partial","In Transit",Table1[[#This Row],[Payment Status]]="Paid","Delivered",Table1[[#This Row],[Payment Status]]="Pending","Pending"),"Invalid Input")</f>
        <v>In Transit</v>
      </c>
      <c r="T181" t="s">
        <v>27</v>
      </c>
      <c r="U181" t="str" cm="1">
        <f t="array" ref="U181">IFERROR(_xlfn.IFS(Table1[[#This Row],[Payment Status]]="Partial","In Transit",Table1[[#This Row],[Payment Status]]="Paid","Completed",Table1[[#This Row],[Payment Status]]="Pending","Pending"),"Invalid Input")</f>
        <v>In Transit</v>
      </c>
    </row>
    <row r="182" spans="1:21" x14ac:dyDescent="0.25">
      <c r="A182" s="4" t="s">
        <v>428</v>
      </c>
      <c r="B182" s="5">
        <v>45540</v>
      </c>
      <c r="C182" t="s">
        <v>62</v>
      </c>
      <c r="D182" t="s">
        <v>3270</v>
      </c>
      <c r="E182" t="s">
        <v>119</v>
      </c>
      <c r="F182" t="s">
        <v>3212</v>
      </c>
      <c r="G182" t="s">
        <v>21</v>
      </c>
      <c r="H182" t="str">
        <f>VLOOKUP(Table1[[#This Row],[City]],Table6[#All],2,FALSE)</f>
        <v>North</v>
      </c>
      <c r="I182" t="s">
        <v>53</v>
      </c>
      <c r="J182" t="str">
        <f>_xlfn.XLOOKUP(Table1[[#This Row],[Tractor Model]],Table7[Product Model],Table7[Product Category],"Not Available",0)</f>
        <v>Farmtrac</v>
      </c>
      <c r="K182" s="4">
        <v>2</v>
      </c>
      <c r="L182" s="72">
        <v>542640</v>
      </c>
      <c r="M182" s="4">
        <f>INDEX('Master Sheet'!$C$4:$C$12,MATCH(Table1[[#This Row],[Quantity]],'Master Sheet'!$B$4:$B$12,0))</f>
        <v>5</v>
      </c>
      <c r="N182" s="71">
        <f>Table1[[#This Row],[Quantity]]*Table1[[#This Row],[Unit Price]]</f>
        <v>1085280</v>
      </c>
      <c r="O182" s="73">
        <v>0.108528</v>
      </c>
      <c r="P182" s="70">
        <f>Table1[[#This Row],[Gross Amount]]*(1-(Table1[[#This Row],[Discount %]]/100))</f>
        <v>1031016</v>
      </c>
      <c r="Q182" s="74">
        <f>(Table1[[#This Row],[Gross Amount]]*(1-(Table1[[#This Row],[Discount %]]/100)))/10000000</f>
        <v>0.1031016</v>
      </c>
      <c r="R182" t="s">
        <v>42</v>
      </c>
      <c r="S182" t="str" cm="1">
        <f t="array" ref="S182">IFERROR(_xlfn.IFS(Table1[[#This Row],[Payment Status]]="Partial","In Transit",Table1[[#This Row],[Payment Status]]="Paid","Delivered",Table1[[#This Row],[Payment Status]]="Pending","Pending"),"Invalid Input")</f>
        <v>Pending</v>
      </c>
      <c r="T182" t="s">
        <v>44</v>
      </c>
      <c r="U182" t="str" cm="1">
        <f t="array" ref="U182">IFERROR(_xlfn.IFS(Table1[[#This Row],[Payment Status]]="Partial","In Transit",Table1[[#This Row],[Payment Status]]="Paid","Completed",Table1[[#This Row],[Payment Status]]="Pending","Pending"),"Invalid Input")</f>
        <v>Pending</v>
      </c>
    </row>
    <row r="183" spans="1:21" x14ac:dyDescent="0.25">
      <c r="A183" s="4" t="s">
        <v>430</v>
      </c>
      <c r="B183" s="5">
        <v>45586</v>
      </c>
      <c r="C183" t="s">
        <v>41</v>
      </c>
      <c r="D183" t="s">
        <v>3270</v>
      </c>
      <c r="E183" t="s">
        <v>66</v>
      </c>
      <c r="F183" t="s">
        <v>3220</v>
      </c>
      <c r="G183" t="s">
        <v>67</v>
      </c>
      <c r="H183" t="str">
        <f>VLOOKUP(Table1[[#This Row],[City]],Table6[#All],2,FALSE)</f>
        <v>East</v>
      </c>
      <c r="I183" t="s">
        <v>58</v>
      </c>
      <c r="J183" t="str">
        <f>_xlfn.XLOOKUP(Table1[[#This Row],[Tractor Model]],Table7[Product Model],Table7[Product Category],"Not Available",0)</f>
        <v>Powertrac</v>
      </c>
      <c r="K183" s="4">
        <v>4</v>
      </c>
      <c r="L183" s="72">
        <v>750761</v>
      </c>
      <c r="M183" s="4">
        <f>INDEX('Master Sheet'!$C$4:$C$12,MATCH(Table1[[#This Row],[Quantity]],'Master Sheet'!$B$4:$B$12,0))</f>
        <v>6</v>
      </c>
      <c r="N183" s="71">
        <f>Table1[[#This Row],[Quantity]]*Table1[[#This Row],[Unit Price]]</f>
        <v>3003044</v>
      </c>
      <c r="O183" s="73">
        <v>0.30030440000000003</v>
      </c>
      <c r="P183" s="70">
        <f>Table1[[#This Row],[Gross Amount]]*(1-(Table1[[#This Row],[Discount %]]/100))</f>
        <v>2822861.36</v>
      </c>
      <c r="Q183" s="74">
        <f>(Table1[[#This Row],[Gross Amount]]*(1-(Table1[[#This Row],[Discount %]]/100)))/10000000</f>
        <v>0.28228613599999997</v>
      </c>
      <c r="R183" t="s">
        <v>25</v>
      </c>
      <c r="S183" t="str" cm="1">
        <f t="array" ref="S183">IFERROR(_xlfn.IFS(Table1[[#This Row],[Payment Status]]="Partial","In Transit",Table1[[#This Row],[Payment Status]]="Paid","Delivered",Table1[[#This Row],[Payment Status]]="Pending","Pending"),"Invalid Input")</f>
        <v>In Transit</v>
      </c>
      <c r="T183" t="s">
        <v>27</v>
      </c>
      <c r="U183" t="str" cm="1">
        <f t="array" ref="U183">IFERROR(_xlfn.IFS(Table1[[#This Row],[Payment Status]]="Partial","In Transit",Table1[[#This Row],[Payment Status]]="Paid","Completed",Table1[[#This Row],[Payment Status]]="Pending","Pending"),"Invalid Input")</f>
        <v>In Transit</v>
      </c>
    </row>
    <row r="184" spans="1:21" x14ac:dyDescent="0.25">
      <c r="A184" s="4" t="s">
        <v>432</v>
      </c>
      <c r="B184" s="5">
        <v>45448</v>
      </c>
      <c r="C184" t="s">
        <v>52</v>
      </c>
      <c r="D184" t="s">
        <v>3271</v>
      </c>
      <c r="E184" t="s">
        <v>47</v>
      </c>
      <c r="F184" t="s">
        <v>3221</v>
      </c>
      <c r="G184" t="s">
        <v>48</v>
      </c>
      <c r="H184" t="str">
        <f>VLOOKUP(Table1[[#This Row],[City]],Table6[#All],2,FALSE)</f>
        <v>North</v>
      </c>
      <c r="I184" t="s">
        <v>58</v>
      </c>
      <c r="J184" t="str">
        <f>_xlfn.XLOOKUP(Table1[[#This Row],[Tractor Model]],Table7[Product Model],Table7[Product Category],"Not Available",0)</f>
        <v>Powertrac</v>
      </c>
      <c r="K184" s="4">
        <v>6</v>
      </c>
      <c r="L184" s="72">
        <v>463790</v>
      </c>
      <c r="M184" s="4">
        <f>INDEX('Master Sheet'!$C$4:$C$12,MATCH(Table1[[#This Row],[Quantity]],'Master Sheet'!$B$4:$B$12,0))</f>
        <v>8</v>
      </c>
      <c r="N184" s="71">
        <f>Table1[[#This Row],[Quantity]]*Table1[[#This Row],[Unit Price]]</f>
        <v>2782740</v>
      </c>
      <c r="O184" s="73">
        <v>0.27827400000000002</v>
      </c>
      <c r="P184" s="70">
        <f>Table1[[#This Row],[Gross Amount]]*(1-(Table1[[#This Row],[Discount %]]/100))</f>
        <v>2560120.8000000003</v>
      </c>
      <c r="Q184" s="74">
        <f>(Table1[[#This Row],[Gross Amount]]*(1-(Table1[[#This Row],[Discount %]]/100)))/10000000</f>
        <v>0.25601208000000003</v>
      </c>
      <c r="R184" t="s">
        <v>42</v>
      </c>
      <c r="S184" t="str" cm="1">
        <f t="array" ref="S184">IFERROR(_xlfn.IFS(Table1[[#This Row],[Payment Status]]="Partial","In Transit",Table1[[#This Row],[Payment Status]]="Paid","Delivered",Table1[[#This Row],[Payment Status]]="Pending","Pending"),"Invalid Input")</f>
        <v>Pending</v>
      </c>
      <c r="T184" t="s">
        <v>44</v>
      </c>
      <c r="U184" t="str" cm="1">
        <f t="array" ref="U184">IFERROR(_xlfn.IFS(Table1[[#This Row],[Payment Status]]="Partial","In Transit",Table1[[#This Row],[Payment Status]]="Paid","Completed",Table1[[#This Row],[Payment Status]]="Pending","Pending"),"Invalid Input")</f>
        <v>Pending</v>
      </c>
    </row>
    <row r="185" spans="1:21" x14ac:dyDescent="0.25">
      <c r="A185" s="4" t="s">
        <v>434</v>
      </c>
      <c r="B185" s="5">
        <v>45350</v>
      </c>
      <c r="C185" t="s">
        <v>41</v>
      </c>
      <c r="D185" t="s">
        <v>3271</v>
      </c>
      <c r="E185" t="s">
        <v>38</v>
      </c>
      <c r="F185" t="s">
        <v>3210</v>
      </c>
      <c r="G185" t="s">
        <v>39</v>
      </c>
      <c r="H185" t="str">
        <f>VLOOKUP(Table1[[#This Row],[City]],Table6[#All],2,FALSE)</f>
        <v>West</v>
      </c>
      <c r="I185" t="s">
        <v>3204</v>
      </c>
      <c r="J185" t="str">
        <f>_xlfn.XLOOKUP(Table1[[#This Row],[Tractor Model]],Table7[Product Model],Table7[Product Category],"Not Available",0)</f>
        <v>Kubota</v>
      </c>
      <c r="K185" s="4">
        <v>2</v>
      </c>
      <c r="L185" s="72">
        <v>584772</v>
      </c>
      <c r="M185" s="4">
        <f>INDEX('Master Sheet'!$C$4:$C$12,MATCH(Table1[[#This Row],[Quantity]],'Master Sheet'!$B$4:$B$12,0))</f>
        <v>5</v>
      </c>
      <c r="N185" s="71">
        <f>Table1[[#This Row],[Quantity]]*Table1[[#This Row],[Unit Price]]</f>
        <v>1169544</v>
      </c>
      <c r="O185" s="73">
        <v>0.1169544</v>
      </c>
      <c r="P185" s="70">
        <f>Table1[[#This Row],[Gross Amount]]*(1-(Table1[[#This Row],[Discount %]]/100))</f>
        <v>1111066.8</v>
      </c>
      <c r="Q185" s="74">
        <f>(Table1[[#This Row],[Gross Amount]]*(1-(Table1[[#This Row],[Discount %]]/100)))/10000000</f>
        <v>0.11110668</v>
      </c>
      <c r="R185" t="s">
        <v>25</v>
      </c>
      <c r="S185" t="str" cm="1">
        <f t="array" ref="S185">IFERROR(_xlfn.IFS(Table1[[#This Row],[Payment Status]]="Partial","In Transit",Table1[[#This Row],[Payment Status]]="Paid","Delivered",Table1[[#This Row],[Payment Status]]="Pending","Pending"),"Invalid Input")</f>
        <v>In Transit</v>
      </c>
      <c r="T185" t="s">
        <v>27</v>
      </c>
      <c r="U185" t="str" cm="1">
        <f t="array" ref="U185">IFERROR(_xlfn.IFS(Table1[[#This Row],[Payment Status]]="Partial","In Transit",Table1[[#This Row],[Payment Status]]="Paid","Completed",Table1[[#This Row],[Payment Status]]="Pending","Pending"),"Invalid Input")</f>
        <v>In Transit</v>
      </c>
    </row>
    <row r="186" spans="1:21" x14ac:dyDescent="0.25">
      <c r="A186" s="4" t="s">
        <v>436</v>
      </c>
      <c r="B186" s="5">
        <v>45426</v>
      </c>
      <c r="C186" t="s">
        <v>52</v>
      </c>
      <c r="D186" t="s">
        <v>3270</v>
      </c>
      <c r="E186" t="s">
        <v>119</v>
      </c>
      <c r="F186" t="s">
        <v>3212</v>
      </c>
      <c r="G186" t="s">
        <v>21</v>
      </c>
      <c r="H186" t="str">
        <f>VLOOKUP(Table1[[#This Row],[City]],Table6[#All],2,FALSE)</f>
        <v>North</v>
      </c>
      <c r="I186" t="s">
        <v>24</v>
      </c>
      <c r="J186" t="str">
        <f>_xlfn.XLOOKUP(Table1[[#This Row],[Tractor Model]],Table7[Product Model],Table7[Product Category],"Not Available",0)</f>
        <v>Farmtrac</v>
      </c>
      <c r="K186" s="4">
        <v>7</v>
      </c>
      <c r="L186" s="72">
        <v>182637</v>
      </c>
      <c r="M186" s="4">
        <f>INDEX('Master Sheet'!$C$4:$C$12,MATCH(Table1[[#This Row],[Quantity]],'Master Sheet'!$B$4:$B$12,0))</f>
        <v>9</v>
      </c>
      <c r="N186" s="71">
        <f>Table1[[#This Row],[Quantity]]*Table1[[#This Row],[Unit Price]]</f>
        <v>1278459</v>
      </c>
      <c r="O186" s="73">
        <v>0.12784590000000001</v>
      </c>
      <c r="P186" s="70">
        <f>Table1[[#This Row],[Gross Amount]]*(1-(Table1[[#This Row],[Discount %]]/100))</f>
        <v>1163397.69</v>
      </c>
      <c r="Q186" s="74">
        <f>(Table1[[#This Row],[Gross Amount]]*(1-(Table1[[#This Row],[Discount %]]/100)))/10000000</f>
        <v>0.116339769</v>
      </c>
      <c r="R186" t="s">
        <v>25</v>
      </c>
      <c r="S186" t="str" cm="1">
        <f t="array" ref="S186">IFERROR(_xlfn.IFS(Table1[[#This Row],[Payment Status]]="Partial","In Transit",Table1[[#This Row],[Payment Status]]="Paid","Delivered",Table1[[#This Row],[Payment Status]]="Pending","Pending"),"Invalid Input")</f>
        <v>In Transit</v>
      </c>
      <c r="T186" t="s">
        <v>27</v>
      </c>
      <c r="U186" t="str" cm="1">
        <f t="array" ref="U186">IFERROR(_xlfn.IFS(Table1[[#This Row],[Payment Status]]="Partial","In Transit",Table1[[#This Row],[Payment Status]]="Paid","Completed",Table1[[#This Row],[Payment Status]]="Pending","Pending"),"Invalid Input")</f>
        <v>In Transit</v>
      </c>
    </row>
    <row r="187" spans="1:21" x14ac:dyDescent="0.25">
      <c r="A187" s="4" t="s">
        <v>438</v>
      </c>
      <c r="B187" s="5">
        <v>45319</v>
      </c>
      <c r="C187" t="s">
        <v>62</v>
      </c>
      <c r="D187" t="s">
        <v>3268</v>
      </c>
      <c r="E187" t="s">
        <v>30</v>
      </c>
      <c r="F187" t="s">
        <v>3208</v>
      </c>
      <c r="G187" t="s">
        <v>31</v>
      </c>
      <c r="H187" t="str">
        <f>VLOOKUP(Table1[[#This Row],[City]],Table6[#All],2,FALSE)</f>
        <v>South</v>
      </c>
      <c r="I187" t="s">
        <v>3203</v>
      </c>
      <c r="J187" t="str">
        <f>_xlfn.XLOOKUP(Table1[[#This Row],[Tractor Model]],Table7[Product Model],Table7[Product Category],"Not Available",0)</f>
        <v>Kubota</v>
      </c>
      <c r="K187" s="4">
        <v>6</v>
      </c>
      <c r="L187" s="72">
        <v>807251</v>
      </c>
      <c r="M187" s="4">
        <f>INDEX('Master Sheet'!$C$4:$C$12,MATCH(Table1[[#This Row],[Quantity]],'Master Sheet'!$B$4:$B$12,0))</f>
        <v>8</v>
      </c>
      <c r="N187" s="71">
        <f>Table1[[#This Row],[Quantity]]*Table1[[#This Row],[Unit Price]]</f>
        <v>4843506</v>
      </c>
      <c r="O187" s="73">
        <v>0.48435060000000002</v>
      </c>
      <c r="P187" s="70">
        <f>Table1[[#This Row],[Gross Amount]]*(1-(Table1[[#This Row],[Discount %]]/100))</f>
        <v>4456025.5200000005</v>
      </c>
      <c r="Q187" s="74">
        <f>(Table1[[#This Row],[Gross Amount]]*(1-(Table1[[#This Row],[Discount %]]/100)))/10000000</f>
        <v>0.44560255200000004</v>
      </c>
      <c r="R187" t="s">
        <v>54</v>
      </c>
      <c r="S187" t="str" cm="1">
        <f t="array" ref="S187">IFERROR(_xlfn.IFS(Table1[[#This Row],[Payment Status]]="Partial","In Transit",Table1[[#This Row],[Payment Status]]="Paid","Delivered",Table1[[#This Row],[Payment Status]]="Pending","Pending"),"Invalid Input")</f>
        <v>Delivered</v>
      </c>
      <c r="T187" t="s">
        <v>44</v>
      </c>
      <c r="U187" t="str" cm="1">
        <f t="array" ref="U187">IFERROR(_xlfn.IFS(Table1[[#This Row],[Payment Status]]="Partial","In Transit",Table1[[#This Row],[Payment Status]]="Paid","Completed",Table1[[#This Row],[Payment Status]]="Pending","Pending"),"Invalid Input")</f>
        <v>Completed</v>
      </c>
    </row>
    <row r="188" spans="1:21" x14ac:dyDescent="0.25">
      <c r="A188" s="4" t="s">
        <v>440</v>
      </c>
      <c r="B188" s="5">
        <v>45696</v>
      </c>
      <c r="C188" t="s">
        <v>62</v>
      </c>
      <c r="D188" t="s">
        <v>3271</v>
      </c>
      <c r="E188" t="s">
        <v>119</v>
      </c>
      <c r="F188" t="s">
        <v>3228</v>
      </c>
      <c r="G188" t="s">
        <v>21</v>
      </c>
      <c r="H188" t="str">
        <f>VLOOKUP(Table1[[#This Row],[City]],Table6[#All],2,FALSE)</f>
        <v>North</v>
      </c>
      <c r="I188" t="s">
        <v>58</v>
      </c>
      <c r="J188" t="str">
        <f>_xlfn.XLOOKUP(Table1[[#This Row],[Tractor Model]],Table7[Product Model],Table7[Product Category],"Not Available",0)</f>
        <v>Powertrac</v>
      </c>
      <c r="K188" s="4">
        <v>8</v>
      </c>
      <c r="L188" s="72">
        <v>203294</v>
      </c>
      <c r="M188" s="4">
        <f>INDEX('Master Sheet'!$C$4:$C$12,MATCH(Table1[[#This Row],[Quantity]],'Master Sheet'!$B$4:$B$12,0))</f>
        <v>9</v>
      </c>
      <c r="N188" s="71">
        <f>Table1[[#This Row],[Quantity]]*Table1[[#This Row],[Unit Price]]</f>
        <v>1626352</v>
      </c>
      <c r="O188" s="73">
        <v>0.16263520000000001</v>
      </c>
      <c r="P188" s="70">
        <f>Table1[[#This Row],[Gross Amount]]*(1-(Table1[[#This Row],[Discount %]]/100))</f>
        <v>1479980.32</v>
      </c>
      <c r="Q188" s="74">
        <f>(Table1[[#This Row],[Gross Amount]]*(1-(Table1[[#This Row],[Discount %]]/100)))/10000000</f>
        <v>0.147998032</v>
      </c>
      <c r="R188" t="s">
        <v>54</v>
      </c>
      <c r="S188" t="str" cm="1">
        <f t="array" ref="S188">IFERROR(_xlfn.IFS(Table1[[#This Row],[Payment Status]]="Partial","In Transit",Table1[[#This Row],[Payment Status]]="Paid","Delivered",Table1[[#This Row],[Payment Status]]="Pending","Pending"),"Invalid Input")</f>
        <v>Delivered</v>
      </c>
      <c r="T188" t="s">
        <v>27</v>
      </c>
      <c r="U188" t="str" cm="1">
        <f t="array" ref="U188">IFERROR(_xlfn.IFS(Table1[[#This Row],[Payment Status]]="Partial","In Transit",Table1[[#This Row],[Payment Status]]="Paid","Completed",Table1[[#This Row],[Payment Status]]="Pending","Pending"),"Invalid Input")</f>
        <v>Completed</v>
      </c>
    </row>
    <row r="189" spans="1:21" x14ac:dyDescent="0.25">
      <c r="A189" s="4" t="s">
        <v>442</v>
      </c>
      <c r="B189" s="5">
        <v>45361</v>
      </c>
      <c r="C189" t="s">
        <v>33</v>
      </c>
      <c r="D189" t="s">
        <v>3268</v>
      </c>
      <c r="E189" t="s">
        <v>66</v>
      </c>
      <c r="F189" t="s">
        <v>3211</v>
      </c>
      <c r="G189" t="s">
        <v>67</v>
      </c>
      <c r="H189" t="str">
        <f>VLOOKUP(Table1[[#This Row],[City]],Table6[#All],2,FALSE)</f>
        <v>East</v>
      </c>
      <c r="I189" t="s">
        <v>24</v>
      </c>
      <c r="J189" t="str">
        <f>_xlfn.XLOOKUP(Table1[[#This Row],[Tractor Model]],Table7[Product Model],Table7[Product Category],"Not Available",0)</f>
        <v>Farmtrac</v>
      </c>
      <c r="K189" s="4">
        <v>2</v>
      </c>
      <c r="L189" s="72">
        <v>233579</v>
      </c>
      <c r="M189" s="4">
        <f>INDEX('Master Sheet'!$C$4:$C$12,MATCH(Table1[[#This Row],[Quantity]],'Master Sheet'!$B$4:$B$12,0))</f>
        <v>5</v>
      </c>
      <c r="N189" s="71">
        <f>Table1[[#This Row],[Quantity]]*Table1[[#This Row],[Unit Price]]</f>
        <v>467158</v>
      </c>
      <c r="O189" s="73">
        <v>4.6715800000000002E-2</v>
      </c>
      <c r="P189" s="70">
        <f>Table1[[#This Row],[Gross Amount]]*(1-(Table1[[#This Row],[Discount %]]/100))</f>
        <v>443800.1</v>
      </c>
      <c r="Q189" s="74">
        <f>(Table1[[#This Row],[Gross Amount]]*(1-(Table1[[#This Row],[Discount %]]/100)))/10000000</f>
        <v>4.4380009999999998E-2</v>
      </c>
      <c r="R189" t="s">
        <v>42</v>
      </c>
      <c r="S189" t="str" cm="1">
        <f t="array" ref="S189">IFERROR(_xlfn.IFS(Table1[[#This Row],[Payment Status]]="Partial","In Transit",Table1[[#This Row],[Payment Status]]="Paid","Delivered",Table1[[#This Row],[Payment Status]]="Pending","Pending"),"Invalid Input")</f>
        <v>Pending</v>
      </c>
      <c r="T189" t="s">
        <v>27</v>
      </c>
      <c r="U189" t="str" cm="1">
        <f t="array" ref="U189">IFERROR(_xlfn.IFS(Table1[[#This Row],[Payment Status]]="Partial","In Transit",Table1[[#This Row],[Payment Status]]="Paid","Completed",Table1[[#This Row],[Payment Status]]="Pending","Pending"),"Invalid Input")</f>
        <v>Pending</v>
      </c>
    </row>
    <row r="190" spans="1:21" x14ac:dyDescent="0.25">
      <c r="A190" s="4" t="s">
        <v>444</v>
      </c>
      <c r="B190" s="5">
        <v>45680</v>
      </c>
      <c r="C190" t="s">
        <v>73</v>
      </c>
      <c r="D190" t="s">
        <v>37</v>
      </c>
      <c r="E190" t="s">
        <v>119</v>
      </c>
      <c r="F190" t="s">
        <v>3224</v>
      </c>
      <c r="G190" t="s">
        <v>21</v>
      </c>
      <c r="H190" t="str">
        <f>VLOOKUP(Table1[[#This Row],[City]],Table6[#All],2,FALSE)</f>
        <v>North</v>
      </c>
      <c r="I190" t="s">
        <v>53</v>
      </c>
      <c r="J190" t="str">
        <f>_xlfn.XLOOKUP(Table1[[#This Row],[Tractor Model]],Table7[Product Model],Table7[Product Category],"Not Available",0)</f>
        <v>Farmtrac</v>
      </c>
      <c r="K190" s="4">
        <v>1</v>
      </c>
      <c r="L190" s="72">
        <v>432778</v>
      </c>
      <c r="M190" s="4">
        <f>INDEX('Master Sheet'!$C$4:$C$12,MATCH(Table1[[#This Row],[Quantity]],'Master Sheet'!$B$4:$B$12,0))</f>
        <v>3</v>
      </c>
      <c r="N190" s="71">
        <f>Table1[[#This Row],[Quantity]]*Table1[[#This Row],[Unit Price]]</f>
        <v>432778</v>
      </c>
      <c r="O190" s="73">
        <v>4.3277799999999998E-2</v>
      </c>
      <c r="P190" s="70">
        <f>Table1[[#This Row],[Gross Amount]]*(1-(Table1[[#This Row],[Discount %]]/100))</f>
        <v>419794.66</v>
      </c>
      <c r="Q190" s="74">
        <f>(Table1[[#This Row],[Gross Amount]]*(1-(Table1[[#This Row],[Discount %]]/100)))/10000000</f>
        <v>4.1979466E-2</v>
      </c>
      <c r="R190" t="s">
        <v>25</v>
      </c>
      <c r="S190" t="str" cm="1">
        <f t="array" ref="S190">IFERROR(_xlfn.IFS(Table1[[#This Row],[Payment Status]]="Partial","In Transit",Table1[[#This Row],[Payment Status]]="Paid","Delivered",Table1[[#This Row],[Payment Status]]="Pending","Pending"),"Invalid Input")</f>
        <v>In Transit</v>
      </c>
      <c r="T190" t="s">
        <v>27</v>
      </c>
      <c r="U190" t="str" cm="1">
        <f t="array" ref="U190">IFERROR(_xlfn.IFS(Table1[[#This Row],[Payment Status]]="Partial","In Transit",Table1[[#This Row],[Payment Status]]="Paid","Completed",Table1[[#This Row],[Payment Status]]="Pending","Pending"),"Invalid Input")</f>
        <v>In Transit</v>
      </c>
    </row>
    <row r="191" spans="1:21" x14ac:dyDescent="0.25">
      <c r="A191" s="4" t="s">
        <v>446</v>
      </c>
      <c r="B191" s="5">
        <v>45832</v>
      </c>
      <c r="C191" t="s">
        <v>73</v>
      </c>
      <c r="D191" t="s">
        <v>3269</v>
      </c>
      <c r="E191" t="s">
        <v>38</v>
      </c>
      <c r="F191" t="s">
        <v>3206</v>
      </c>
      <c r="G191" t="s">
        <v>39</v>
      </c>
      <c r="H191" t="str">
        <f>VLOOKUP(Table1[[#This Row],[City]],Table6[#All],2,FALSE)</f>
        <v>West</v>
      </c>
      <c r="I191" t="s">
        <v>24</v>
      </c>
      <c r="J191" t="str">
        <f>_xlfn.XLOOKUP(Table1[[#This Row],[Tractor Model]],Table7[Product Model],Table7[Product Category],"Not Available",0)</f>
        <v>Farmtrac</v>
      </c>
      <c r="K191" s="4">
        <v>8</v>
      </c>
      <c r="L191" s="72">
        <v>435619</v>
      </c>
      <c r="M191" s="4">
        <f>INDEX('Master Sheet'!$C$4:$C$12,MATCH(Table1[[#This Row],[Quantity]],'Master Sheet'!$B$4:$B$12,0))</f>
        <v>9</v>
      </c>
      <c r="N191" s="71">
        <f>Table1[[#This Row],[Quantity]]*Table1[[#This Row],[Unit Price]]</f>
        <v>3484952</v>
      </c>
      <c r="O191" s="73">
        <v>0.3484952</v>
      </c>
      <c r="P191" s="70">
        <f>Table1[[#This Row],[Gross Amount]]*(1-(Table1[[#This Row],[Discount %]]/100))</f>
        <v>3171306.3200000003</v>
      </c>
      <c r="Q191" s="74">
        <f>(Table1[[#This Row],[Gross Amount]]*(1-(Table1[[#This Row],[Discount %]]/100)))/10000000</f>
        <v>0.31713063200000002</v>
      </c>
      <c r="R191" t="s">
        <v>42</v>
      </c>
      <c r="S191" t="str" cm="1">
        <f t="array" ref="S191">IFERROR(_xlfn.IFS(Table1[[#This Row],[Payment Status]]="Partial","In Transit",Table1[[#This Row],[Payment Status]]="Paid","Delivered",Table1[[#This Row],[Payment Status]]="Pending","Pending"),"Invalid Input")</f>
        <v>Pending</v>
      </c>
      <c r="T191" t="s">
        <v>27</v>
      </c>
      <c r="U191" t="str" cm="1">
        <f t="array" ref="U191">IFERROR(_xlfn.IFS(Table1[[#This Row],[Payment Status]]="Partial","In Transit",Table1[[#This Row],[Payment Status]]="Paid","Completed",Table1[[#This Row],[Payment Status]]="Pending","Pending"),"Invalid Input")</f>
        <v>Pending</v>
      </c>
    </row>
    <row r="192" spans="1:21" x14ac:dyDescent="0.25">
      <c r="A192" s="4" t="s">
        <v>448</v>
      </c>
      <c r="B192" s="5">
        <v>45630</v>
      </c>
      <c r="C192" t="s">
        <v>62</v>
      </c>
      <c r="D192" t="s">
        <v>3269</v>
      </c>
      <c r="E192" t="s">
        <v>66</v>
      </c>
      <c r="F192" t="s">
        <v>3213</v>
      </c>
      <c r="G192" t="s">
        <v>67</v>
      </c>
      <c r="H192" t="str">
        <f>VLOOKUP(Table1[[#This Row],[City]],Table6[#All],2,FALSE)</f>
        <v>East</v>
      </c>
      <c r="I192" t="s">
        <v>58</v>
      </c>
      <c r="J192" t="str">
        <f>_xlfn.XLOOKUP(Table1[[#This Row],[Tractor Model]],Table7[Product Model],Table7[Product Category],"Not Available",0)</f>
        <v>Powertrac</v>
      </c>
      <c r="K192" s="4">
        <v>2</v>
      </c>
      <c r="L192" s="72">
        <v>609532</v>
      </c>
      <c r="M192" s="4">
        <f>INDEX('Master Sheet'!$C$4:$C$12,MATCH(Table1[[#This Row],[Quantity]],'Master Sheet'!$B$4:$B$12,0))</f>
        <v>5</v>
      </c>
      <c r="N192" s="71">
        <f>Table1[[#This Row],[Quantity]]*Table1[[#This Row],[Unit Price]]</f>
        <v>1219064</v>
      </c>
      <c r="O192" s="73">
        <v>0.1219064</v>
      </c>
      <c r="P192" s="70">
        <f>Table1[[#This Row],[Gross Amount]]*(1-(Table1[[#This Row],[Discount %]]/100))</f>
        <v>1158110.8</v>
      </c>
      <c r="Q192" s="74">
        <f>(Table1[[#This Row],[Gross Amount]]*(1-(Table1[[#This Row],[Discount %]]/100)))/10000000</f>
        <v>0.11581108000000001</v>
      </c>
      <c r="R192" t="s">
        <v>54</v>
      </c>
      <c r="S192" t="str" cm="1">
        <f t="array" ref="S192">IFERROR(_xlfn.IFS(Table1[[#This Row],[Payment Status]]="Partial","In Transit",Table1[[#This Row],[Payment Status]]="Paid","Delivered",Table1[[#This Row],[Payment Status]]="Pending","Pending"),"Invalid Input")</f>
        <v>Delivered</v>
      </c>
      <c r="T192" t="s">
        <v>27</v>
      </c>
      <c r="U192" t="str" cm="1">
        <f t="array" ref="U192">IFERROR(_xlfn.IFS(Table1[[#This Row],[Payment Status]]="Partial","In Transit",Table1[[#This Row],[Payment Status]]="Paid","Completed",Table1[[#This Row],[Payment Status]]="Pending","Pending"),"Invalid Input")</f>
        <v>Completed</v>
      </c>
    </row>
    <row r="193" spans="1:21" x14ac:dyDescent="0.25">
      <c r="A193" s="4" t="s">
        <v>450</v>
      </c>
      <c r="B193" s="5">
        <v>45340</v>
      </c>
      <c r="C193" t="s">
        <v>73</v>
      </c>
      <c r="D193" t="s">
        <v>3269</v>
      </c>
      <c r="E193" t="s">
        <v>38</v>
      </c>
      <c r="F193" t="s">
        <v>3206</v>
      </c>
      <c r="G193" t="s">
        <v>39</v>
      </c>
      <c r="H193" t="str">
        <f>VLOOKUP(Table1[[#This Row],[City]],Table6[#All],2,FALSE)</f>
        <v>West</v>
      </c>
      <c r="I193" t="s">
        <v>3203</v>
      </c>
      <c r="J193" t="str">
        <f>_xlfn.XLOOKUP(Table1[[#This Row],[Tractor Model]],Table7[Product Model],Table7[Product Category],"Not Available",0)</f>
        <v>Kubota</v>
      </c>
      <c r="K193" s="4">
        <v>5</v>
      </c>
      <c r="L193" s="72">
        <v>348791</v>
      </c>
      <c r="M193" s="4">
        <f>INDEX('Master Sheet'!$C$4:$C$12,MATCH(Table1[[#This Row],[Quantity]],'Master Sheet'!$B$4:$B$12,0))</f>
        <v>7</v>
      </c>
      <c r="N193" s="71">
        <f>Table1[[#This Row],[Quantity]]*Table1[[#This Row],[Unit Price]]</f>
        <v>1743955</v>
      </c>
      <c r="O193" s="73">
        <v>0.17439550000000001</v>
      </c>
      <c r="P193" s="70">
        <f>Table1[[#This Row],[Gross Amount]]*(1-(Table1[[#This Row],[Discount %]]/100))</f>
        <v>1621878.15</v>
      </c>
      <c r="Q193" s="74">
        <f>(Table1[[#This Row],[Gross Amount]]*(1-(Table1[[#This Row],[Discount %]]/100)))/10000000</f>
        <v>0.16218781499999999</v>
      </c>
      <c r="R193" t="s">
        <v>42</v>
      </c>
      <c r="S193" t="str" cm="1">
        <f t="array" ref="S193">IFERROR(_xlfn.IFS(Table1[[#This Row],[Payment Status]]="Partial","In Transit",Table1[[#This Row],[Payment Status]]="Paid","Delivered",Table1[[#This Row],[Payment Status]]="Pending","Pending"),"Invalid Input")</f>
        <v>Pending</v>
      </c>
      <c r="T193" t="s">
        <v>27</v>
      </c>
      <c r="U193" t="str" cm="1">
        <f t="array" ref="U193">IFERROR(_xlfn.IFS(Table1[[#This Row],[Payment Status]]="Partial","In Transit",Table1[[#This Row],[Payment Status]]="Paid","Completed",Table1[[#This Row],[Payment Status]]="Pending","Pending"),"Invalid Input")</f>
        <v>Pending</v>
      </c>
    </row>
    <row r="194" spans="1:21" x14ac:dyDescent="0.25">
      <c r="A194" s="4" t="s">
        <v>452</v>
      </c>
      <c r="B194" s="5">
        <v>45713</v>
      </c>
      <c r="C194" t="s">
        <v>62</v>
      </c>
      <c r="D194" t="s">
        <v>37</v>
      </c>
      <c r="E194" t="s">
        <v>119</v>
      </c>
      <c r="F194" t="s">
        <v>3224</v>
      </c>
      <c r="G194" t="s">
        <v>21</v>
      </c>
      <c r="H194" t="str">
        <f>VLOOKUP(Table1[[#This Row],[City]],Table6[#All],2,FALSE)</f>
        <v>North</v>
      </c>
      <c r="I194" t="s">
        <v>53</v>
      </c>
      <c r="J194" t="str">
        <f>_xlfn.XLOOKUP(Table1[[#This Row],[Tractor Model]],Table7[Product Model],Table7[Product Category],"Not Available",0)</f>
        <v>Farmtrac</v>
      </c>
      <c r="K194" s="4">
        <v>3</v>
      </c>
      <c r="L194" s="72">
        <v>688400</v>
      </c>
      <c r="M194" s="4">
        <f>INDEX('Master Sheet'!$C$4:$C$12,MATCH(Table1[[#This Row],[Quantity]],'Master Sheet'!$B$4:$B$12,0))</f>
        <v>6</v>
      </c>
      <c r="N194" s="71">
        <f>Table1[[#This Row],[Quantity]]*Table1[[#This Row],[Unit Price]]</f>
        <v>2065200</v>
      </c>
      <c r="O194" s="73">
        <v>0.20652000000000001</v>
      </c>
      <c r="P194" s="70">
        <f>Table1[[#This Row],[Gross Amount]]*(1-(Table1[[#This Row],[Discount %]]/100))</f>
        <v>1941288</v>
      </c>
      <c r="Q194" s="74">
        <f>(Table1[[#This Row],[Gross Amount]]*(1-(Table1[[#This Row],[Discount %]]/100)))/10000000</f>
        <v>0.19412879999999999</v>
      </c>
      <c r="R194" t="s">
        <v>25</v>
      </c>
      <c r="S194" t="str" cm="1">
        <f t="array" ref="S194">IFERROR(_xlfn.IFS(Table1[[#This Row],[Payment Status]]="Partial","In Transit",Table1[[#This Row],[Payment Status]]="Paid","Delivered",Table1[[#This Row],[Payment Status]]="Pending","Pending"),"Invalid Input")</f>
        <v>In Transit</v>
      </c>
      <c r="T194" t="s">
        <v>44</v>
      </c>
      <c r="U194" t="str" cm="1">
        <f t="array" ref="U194">IFERROR(_xlfn.IFS(Table1[[#This Row],[Payment Status]]="Partial","In Transit",Table1[[#This Row],[Payment Status]]="Paid","Completed",Table1[[#This Row],[Payment Status]]="Pending","Pending"),"Invalid Input")</f>
        <v>In Transit</v>
      </c>
    </row>
    <row r="195" spans="1:21" x14ac:dyDescent="0.25">
      <c r="A195" s="4" t="s">
        <v>454</v>
      </c>
      <c r="B195" s="5">
        <v>45780</v>
      </c>
      <c r="C195" t="s">
        <v>73</v>
      </c>
      <c r="D195" t="s">
        <v>37</v>
      </c>
      <c r="E195" t="s">
        <v>38</v>
      </c>
      <c r="F195" t="s">
        <v>3214</v>
      </c>
      <c r="G195" t="s">
        <v>39</v>
      </c>
      <c r="H195" t="str">
        <f>VLOOKUP(Table1[[#This Row],[City]],Table6[#All],2,FALSE)</f>
        <v>West</v>
      </c>
      <c r="I195" t="s">
        <v>3203</v>
      </c>
      <c r="J195" t="str">
        <f>_xlfn.XLOOKUP(Table1[[#This Row],[Tractor Model]],Table7[Product Model],Table7[Product Category],"Not Available",0)</f>
        <v>Kubota</v>
      </c>
      <c r="K195" s="4">
        <v>7</v>
      </c>
      <c r="L195" s="72">
        <v>77536</v>
      </c>
      <c r="M195" s="4">
        <f>INDEX('Master Sheet'!$C$4:$C$12,MATCH(Table1[[#This Row],[Quantity]],'Master Sheet'!$B$4:$B$12,0))</f>
        <v>9</v>
      </c>
      <c r="N195" s="71">
        <f>Table1[[#This Row],[Quantity]]*Table1[[#This Row],[Unit Price]]</f>
        <v>542752</v>
      </c>
      <c r="O195" s="73">
        <v>5.4275200000000003E-2</v>
      </c>
      <c r="P195" s="70">
        <f>Table1[[#This Row],[Gross Amount]]*(1-(Table1[[#This Row],[Discount %]]/100))</f>
        <v>493904.32</v>
      </c>
      <c r="Q195" s="74">
        <f>(Table1[[#This Row],[Gross Amount]]*(1-(Table1[[#This Row],[Discount %]]/100)))/10000000</f>
        <v>4.9390431999999998E-2</v>
      </c>
      <c r="R195" t="s">
        <v>42</v>
      </c>
      <c r="S195" t="str" cm="1">
        <f t="array" ref="S195">IFERROR(_xlfn.IFS(Table1[[#This Row],[Payment Status]]="Partial","In Transit",Table1[[#This Row],[Payment Status]]="Paid","Delivered",Table1[[#This Row],[Payment Status]]="Pending","Pending"),"Invalid Input")</f>
        <v>Pending</v>
      </c>
      <c r="T195" t="s">
        <v>27</v>
      </c>
      <c r="U195" t="str" cm="1">
        <f t="array" ref="U195">IFERROR(_xlfn.IFS(Table1[[#This Row],[Payment Status]]="Partial","In Transit",Table1[[#This Row],[Payment Status]]="Paid","Completed",Table1[[#This Row],[Payment Status]]="Pending","Pending"),"Invalid Input")</f>
        <v>Pending</v>
      </c>
    </row>
    <row r="196" spans="1:21" x14ac:dyDescent="0.25">
      <c r="A196" s="4" t="s">
        <v>456</v>
      </c>
      <c r="B196" s="5">
        <v>45417</v>
      </c>
      <c r="C196" t="s">
        <v>62</v>
      </c>
      <c r="D196" t="s">
        <v>3269</v>
      </c>
      <c r="E196" t="s">
        <v>47</v>
      </c>
      <c r="F196" t="s">
        <v>3209</v>
      </c>
      <c r="G196" t="s">
        <v>48</v>
      </c>
      <c r="H196" t="str">
        <f>VLOOKUP(Table1[[#This Row],[City]],Table6[#All],2,FALSE)</f>
        <v>North</v>
      </c>
      <c r="I196" t="s">
        <v>3203</v>
      </c>
      <c r="J196" t="str">
        <f>_xlfn.XLOOKUP(Table1[[#This Row],[Tractor Model]],Table7[Product Model],Table7[Product Category],"Not Available",0)</f>
        <v>Kubota</v>
      </c>
      <c r="K196" s="4">
        <v>2</v>
      </c>
      <c r="L196" s="72">
        <v>474469</v>
      </c>
      <c r="M196" s="4">
        <f>INDEX('Master Sheet'!$C$4:$C$12,MATCH(Table1[[#This Row],[Quantity]],'Master Sheet'!$B$4:$B$12,0))</f>
        <v>5</v>
      </c>
      <c r="N196" s="71">
        <f>Table1[[#This Row],[Quantity]]*Table1[[#This Row],[Unit Price]]</f>
        <v>948938</v>
      </c>
      <c r="O196" s="73">
        <v>9.48938E-2</v>
      </c>
      <c r="P196" s="70">
        <f>Table1[[#This Row],[Gross Amount]]*(1-(Table1[[#This Row],[Discount %]]/100))</f>
        <v>901491.1</v>
      </c>
      <c r="Q196" s="74">
        <f>(Table1[[#This Row],[Gross Amount]]*(1-(Table1[[#This Row],[Discount %]]/100)))/10000000</f>
        <v>9.0149110000000005E-2</v>
      </c>
      <c r="R196" t="s">
        <v>54</v>
      </c>
      <c r="S196" t="str" cm="1">
        <f t="array" ref="S196">IFERROR(_xlfn.IFS(Table1[[#This Row],[Payment Status]]="Partial","In Transit",Table1[[#This Row],[Payment Status]]="Paid","Delivered",Table1[[#This Row],[Payment Status]]="Pending","Pending"),"Invalid Input")</f>
        <v>Delivered</v>
      </c>
      <c r="T196" t="s">
        <v>27</v>
      </c>
      <c r="U196" t="str" cm="1">
        <f t="array" ref="U196">IFERROR(_xlfn.IFS(Table1[[#This Row],[Payment Status]]="Partial","In Transit",Table1[[#This Row],[Payment Status]]="Paid","Completed",Table1[[#This Row],[Payment Status]]="Pending","Pending"),"Invalid Input")</f>
        <v>Completed</v>
      </c>
    </row>
    <row r="197" spans="1:21" x14ac:dyDescent="0.25">
      <c r="A197" s="4" t="s">
        <v>457</v>
      </c>
      <c r="B197" s="5">
        <v>45594</v>
      </c>
      <c r="C197" t="s">
        <v>62</v>
      </c>
      <c r="D197" t="s">
        <v>3270</v>
      </c>
      <c r="E197" t="s">
        <v>38</v>
      </c>
      <c r="F197" t="s">
        <v>3218</v>
      </c>
      <c r="G197" t="s">
        <v>39</v>
      </c>
      <c r="H197" t="str">
        <f>VLOOKUP(Table1[[#This Row],[City]],Table6[#All],2,FALSE)</f>
        <v>West</v>
      </c>
      <c r="I197" t="s">
        <v>3204</v>
      </c>
      <c r="J197" t="str">
        <f>_xlfn.XLOOKUP(Table1[[#This Row],[Tractor Model]],Table7[Product Model],Table7[Product Category],"Not Available",0)</f>
        <v>Kubota</v>
      </c>
      <c r="K197" s="4">
        <v>5</v>
      </c>
      <c r="L197" s="72">
        <v>849005</v>
      </c>
      <c r="M197" s="4">
        <f>INDEX('Master Sheet'!$C$4:$C$12,MATCH(Table1[[#This Row],[Quantity]],'Master Sheet'!$B$4:$B$12,0))</f>
        <v>7</v>
      </c>
      <c r="N197" s="71">
        <f>Table1[[#This Row],[Quantity]]*Table1[[#This Row],[Unit Price]]</f>
        <v>4245025</v>
      </c>
      <c r="O197" s="73">
        <v>0.4245025</v>
      </c>
      <c r="P197" s="70">
        <f>Table1[[#This Row],[Gross Amount]]*(1-(Table1[[#This Row],[Discount %]]/100))</f>
        <v>3947873.2499999995</v>
      </c>
      <c r="Q197" s="74">
        <f>(Table1[[#This Row],[Gross Amount]]*(1-(Table1[[#This Row],[Discount %]]/100)))/10000000</f>
        <v>0.39478732499999997</v>
      </c>
      <c r="R197" t="s">
        <v>25</v>
      </c>
      <c r="S197" t="str" cm="1">
        <f t="array" ref="S197">IFERROR(_xlfn.IFS(Table1[[#This Row],[Payment Status]]="Partial","In Transit",Table1[[#This Row],[Payment Status]]="Paid","Delivered",Table1[[#This Row],[Payment Status]]="Pending","Pending"),"Invalid Input")</f>
        <v>In Transit</v>
      </c>
      <c r="T197" t="s">
        <v>27</v>
      </c>
      <c r="U197" t="str" cm="1">
        <f t="array" ref="U197">IFERROR(_xlfn.IFS(Table1[[#This Row],[Payment Status]]="Partial","In Transit",Table1[[#This Row],[Payment Status]]="Paid","Completed",Table1[[#This Row],[Payment Status]]="Pending","Pending"),"Invalid Input")</f>
        <v>In Transit</v>
      </c>
    </row>
    <row r="198" spans="1:21" x14ac:dyDescent="0.25">
      <c r="A198" s="4" t="s">
        <v>459</v>
      </c>
      <c r="B198" s="5">
        <v>45802</v>
      </c>
      <c r="C198" t="s">
        <v>62</v>
      </c>
      <c r="D198" t="s">
        <v>3271</v>
      </c>
      <c r="E198" t="s">
        <v>47</v>
      </c>
      <c r="F198" t="s">
        <v>3221</v>
      </c>
      <c r="G198" t="s">
        <v>48</v>
      </c>
      <c r="H198" t="str">
        <f>VLOOKUP(Table1[[#This Row],[City]],Table6[#All],2,FALSE)</f>
        <v>North</v>
      </c>
      <c r="I198" t="s">
        <v>58</v>
      </c>
      <c r="J198" t="str">
        <f>_xlfn.XLOOKUP(Table1[[#This Row],[Tractor Model]],Table7[Product Model],Table7[Product Category],"Not Available",0)</f>
        <v>Powertrac</v>
      </c>
      <c r="K198" s="4">
        <v>7</v>
      </c>
      <c r="L198" s="72">
        <v>142194</v>
      </c>
      <c r="M198" s="4">
        <f>INDEX('Master Sheet'!$C$4:$C$12,MATCH(Table1[[#This Row],[Quantity]],'Master Sheet'!$B$4:$B$12,0))</f>
        <v>9</v>
      </c>
      <c r="N198" s="71">
        <f>Table1[[#This Row],[Quantity]]*Table1[[#This Row],[Unit Price]]</f>
        <v>995358</v>
      </c>
      <c r="O198" s="73">
        <v>9.9535799999999994E-2</v>
      </c>
      <c r="P198" s="70">
        <f>Table1[[#This Row],[Gross Amount]]*(1-(Table1[[#This Row],[Discount %]]/100))</f>
        <v>905775.78</v>
      </c>
      <c r="Q198" s="74">
        <f>(Table1[[#This Row],[Gross Amount]]*(1-(Table1[[#This Row],[Discount %]]/100)))/10000000</f>
        <v>9.0577578000000006E-2</v>
      </c>
      <c r="R198" t="s">
        <v>54</v>
      </c>
      <c r="S198" t="str" cm="1">
        <f t="array" ref="S198">IFERROR(_xlfn.IFS(Table1[[#This Row],[Payment Status]]="Partial","In Transit",Table1[[#This Row],[Payment Status]]="Paid","Delivered",Table1[[#This Row],[Payment Status]]="Pending","Pending"),"Invalid Input")</f>
        <v>Delivered</v>
      </c>
      <c r="T198" t="s">
        <v>27</v>
      </c>
      <c r="U198" t="str" cm="1">
        <f t="array" ref="U198">IFERROR(_xlfn.IFS(Table1[[#This Row],[Payment Status]]="Partial","In Transit",Table1[[#This Row],[Payment Status]]="Paid","Completed",Table1[[#This Row],[Payment Status]]="Pending","Pending"),"Invalid Input")</f>
        <v>Completed</v>
      </c>
    </row>
    <row r="199" spans="1:21" x14ac:dyDescent="0.25">
      <c r="A199" s="4" t="s">
        <v>461</v>
      </c>
      <c r="B199" s="5">
        <v>45731</v>
      </c>
      <c r="C199" t="s">
        <v>62</v>
      </c>
      <c r="D199" t="s">
        <v>3270</v>
      </c>
      <c r="E199" t="s">
        <v>38</v>
      </c>
      <c r="F199" t="s">
        <v>3218</v>
      </c>
      <c r="G199" t="s">
        <v>39</v>
      </c>
      <c r="H199" t="str">
        <f>VLOOKUP(Table1[[#This Row],[City]],Table6[#All],2,FALSE)</f>
        <v>West</v>
      </c>
      <c r="I199" t="s">
        <v>3203</v>
      </c>
      <c r="J199" t="str">
        <f>_xlfn.XLOOKUP(Table1[[#This Row],[Tractor Model]],Table7[Product Model],Table7[Product Category],"Not Available",0)</f>
        <v>Kubota</v>
      </c>
      <c r="K199" s="4">
        <v>8</v>
      </c>
      <c r="L199" s="72">
        <v>115488</v>
      </c>
      <c r="M199" s="4">
        <f>INDEX('Master Sheet'!$C$4:$C$12,MATCH(Table1[[#This Row],[Quantity]],'Master Sheet'!$B$4:$B$12,0))</f>
        <v>9</v>
      </c>
      <c r="N199" s="71">
        <f>Table1[[#This Row],[Quantity]]*Table1[[#This Row],[Unit Price]]</f>
        <v>923904</v>
      </c>
      <c r="O199" s="73">
        <v>9.2390399999999998E-2</v>
      </c>
      <c r="P199" s="70">
        <f>Table1[[#This Row],[Gross Amount]]*(1-(Table1[[#This Row],[Discount %]]/100))</f>
        <v>840752.64000000001</v>
      </c>
      <c r="Q199" s="74">
        <f>(Table1[[#This Row],[Gross Amount]]*(1-(Table1[[#This Row],[Discount %]]/100)))/10000000</f>
        <v>8.4075263999999997E-2</v>
      </c>
      <c r="R199" t="s">
        <v>42</v>
      </c>
      <c r="S199" t="str" cm="1">
        <f t="array" ref="S199">IFERROR(_xlfn.IFS(Table1[[#This Row],[Payment Status]]="Partial","In Transit",Table1[[#This Row],[Payment Status]]="Paid","Delivered",Table1[[#This Row],[Payment Status]]="Pending","Pending"),"Invalid Input")</f>
        <v>Pending</v>
      </c>
      <c r="T199" t="s">
        <v>44</v>
      </c>
      <c r="U199" t="str" cm="1">
        <f t="array" ref="U199">IFERROR(_xlfn.IFS(Table1[[#This Row],[Payment Status]]="Partial","In Transit",Table1[[#This Row],[Payment Status]]="Paid","Completed",Table1[[#This Row],[Payment Status]]="Pending","Pending"),"Invalid Input")</f>
        <v>Pending</v>
      </c>
    </row>
    <row r="200" spans="1:21" x14ac:dyDescent="0.25">
      <c r="A200" s="4" t="s">
        <v>463</v>
      </c>
      <c r="B200" s="5">
        <v>45539</v>
      </c>
      <c r="C200" t="s">
        <v>33</v>
      </c>
      <c r="D200" t="s">
        <v>3270</v>
      </c>
      <c r="E200" t="s">
        <v>47</v>
      </c>
      <c r="F200" t="s">
        <v>3205</v>
      </c>
      <c r="G200" t="s">
        <v>48</v>
      </c>
      <c r="H200" t="str">
        <f>VLOOKUP(Table1[[#This Row],[City]],Table6[#All],2,FALSE)</f>
        <v>North</v>
      </c>
      <c r="I200" t="s">
        <v>3204</v>
      </c>
      <c r="J200" t="str">
        <f>_xlfn.XLOOKUP(Table1[[#This Row],[Tractor Model]],Table7[Product Model],Table7[Product Category],"Not Available",0)</f>
        <v>Kubota</v>
      </c>
      <c r="K200" s="4">
        <v>3</v>
      </c>
      <c r="L200" s="72">
        <v>224624</v>
      </c>
      <c r="M200" s="4">
        <f>INDEX('Master Sheet'!$C$4:$C$12,MATCH(Table1[[#This Row],[Quantity]],'Master Sheet'!$B$4:$B$12,0))</f>
        <v>6</v>
      </c>
      <c r="N200" s="71">
        <f>Table1[[#This Row],[Quantity]]*Table1[[#This Row],[Unit Price]]</f>
        <v>673872</v>
      </c>
      <c r="O200" s="73">
        <v>6.7387199999999994E-2</v>
      </c>
      <c r="P200" s="70">
        <f>Table1[[#This Row],[Gross Amount]]*(1-(Table1[[#This Row],[Discount %]]/100))</f>
        <v>633439.67999999993</v>
      </c>
      <c r="Q200" s="74">
        <f>(Table1[[#This Row],[Gross Amount]]*(1-(Table1[[#This Row],[Discount %]]/100)))/10000000</f>
        <v>6.3343967999999987E-2</v>
      </c>
      <c r="R200" t="s">
        <v>54</v>
      </c>
      <c r="S200" t="str" cm="1">
        <f t="array" ref="S200">IFERROR(_xlfn.IFS(Table1[[#This Row],[Payment Status]]="Partial","In Transit",Table1[[#This Row],[Payment Status]]="Paid","Delivered",Table1[[#This Row],[Payment Status]]="Pending","Pending"),"Invalid Input")</f>
        <v>Delivered</v>
      </c>
      <c r="T200" t="s">
        <v>27</v>
      </c>
      <c r="U200" t="str" cm="1">
        <f t="array" ref="U200">IFERROR(_xlfn.IFS(Table1[[#This Row],[Payment Status]]="Partial","In Transit",Table1[[#This Row],[Payment Status]]="Paid","Completed",Table1[[#This Row],[Payment Status]]="Pending","Pending"),"Invalid Input")</f>
        <v>Completed</v>
      </c>
    </row>
    <row r="201" spans="1:21" x14ac:dyDescent="0.25">
      <c r="A201" s="4" t="s">
        <v>465</v>
      </c>
      <c r="B201" s="5">
        <v>45995</v>
      </c>
      <c r="C201" t="s">
        <v>41</v>
      </c>
      <c r="D201" t="s">
        <v>3271</v>
      </c>
      <c r="E201" t="s">
        <v>38</v>
      </c>
      <c r="F201" t="s">
        <v>3210</v>
      </c>
      <c r="G201" t="s">
        <v>39</v>
      </c>
      <c r="H201" t="str">
        <f>VLOOKUP(Table1[[#This Row],[City]],Table6[#All],2,FALSE)</f>
        <v>West</v>
      </c>
      <c r="I201" t="s">
        <v>58</v>
      </c>
      <c r="J201" t="str">
        <f>_xlfn.XLOOKUP(Table1[[#This Row],[Tractor Model]],Table7[Product Model],Table7[Product Category],"Not Available",0)</f>
        <v>Powertrac</v>
      </c>
      <c r="K201" s="4">
        <v>4</v>
      </c>
      <c r="L201" s="72">
        <v>768723</v>
      </c>
      <c r="M201" s="4">
        <f>INDEX('Master Sheet'!$C$4:$C$12,MATCH(Table1[[#This Row],[Quantity]],'Master Sheet'!$B$4:$B$12,0))</f>
        <v>6</v>
      </c>
      <c r="N201" s="71">
        <f>Table1[[#This Row],[Quantity]]*Table1[[#This Row],[Unit Price]]</f>
        <v>3074892</v>
      </c>
      <c r="O201" s="73">
        <v>0.30748920000000002</v>
      </c>
      <c r="P201" s="70">
        <f>Table1[[#This Row],[Gross Amount]]*(1-(Table1[[#This Row],[Discount %]]/100))</f>
        <v>2890398.48</v>
      </c>
      <c r="Q201" s="74">
        <f>(Table1[[#This Row],[Gross Amount]]*(1-(Table1[[#This Row],[Discount %]]/100)))/10000000</f>
        <v>0.28903984799999999</v>
      </c>
      <c r="R201" t="s">
        <v>25</v>
      </c>
      <c r="S201" t="str" cm="1">
        <f t="array" ref="S201">IFERROR(_xlfn.IFS(Table1[[#This Row],[Payment Status]]="Partial","In Transit",Table1[[#This Row],[Payment Status]]="Paid","Delivered",Table1[[#This Row],[Payment Status]]="Pending","Pending"),"Invalid Input")</f>
        <v>In Transit</v>
      </c>
      <c r="T201" t="s">
        <v>27</v>
      </c>
      <c r="U201" t="str" cm="1">
        <f t="array" ref="U201">IFERROR(_xlfn.IFS(Table1[[#This Row],[Payment Status]]="Partial","In Transit",Table1[[#This Row],[Payment Status]]="Paid","Completed",Table1[[#This Row],[Payment Status]]="Pending","Pending"),"Invalid Input")</f>
        <v>In Transit</v>
      </c>
    </row>
    <row r="202" spans="1:21" x14ac:dyDescent="0.25">
      <c r="A202" s="4" t="s">
        <v>467</v>
      </c>
      <c r="B202" s="5">
        <v>45366</v>
      </c>
      <c r="C202" t="s">
        <v>73</v>
      </c>
      <c r="D202" t="s">
        <v>3269</v>
      </c>
      <c r="E202" t="s">
        <v>30</v>
      </c>
      <c r="F202" t="s">
        <v>3225</v>
      </c>
      <c r="G202" t="s">
        <v>31</v>
      </c>
      <c r="H202" t="str">
        <f>VLOOKUP(Table1[[#This Row],[City]],Table6[#All],2,FALSE)</f>
        <v>South</v>
      </c>
      <c r="I202" t="s">
        <v>53</v>
      </c>
      <c r="J202" t="str">
        <f>_xlfn.XLOOKUP(Table1[[#This Row],[Tractor Model]],Table7[Product Model],Table7[Product Category],"Not Available",0)</f>
        <v>Farmtrac</v>
      </c>
      <c r="K202" s="4">
        <v>6</v>
      </c>
      <c r="L202" s="72">
        <v>312094</v>
      </c>
      <c r="M202" s="4">
        <f>INDEX('Master Sheet'!$C$4:$C$12,MATCH(Table1[[#This Row],[Quantity]],'Master Sheet'!$B$4:$B$12,0))</f>
        <v>8</v>
      </c>
      <c r="N202" s="71">
        <f>Table1[[#This Row],[Quantity]]*Table1[[#This Row],[Unit Price]]</f>
        <v>1872564</v>
      </c>
      <c r="O202" s="73">
        <v>0.18725639999999999</v>
      </c>
      <c r="P202" s="70">
        <f>Table1[[#This Row],[Gross Amount]]*(1-(Table1[[#This Row],[Discount %]]/100))</f>
        <v>1722758.8800000001</v>
      </c>
      <c r="Q202" s="74">
        <f>(Table1[[#This Row],[Gross Amount]]*(1-(Table1[[#This Row],[Discount %]]/100)))/10000000</f>
        <v>0.17227588800000002</v>
      </c>
      <c r="R202" t="s">
        <v>42</v>
      </c>
      <c r="S202" t="str" cm="1">
        <f t="array" ref="S202">IFERROR(_xlfn.IFS(Table1[[#This Row],[Payment Status]]="Partial","In Transit",Table1[[#This Row],[Payment Status]]="Paid","Delivered",Table1[[#This Row],[Payment Status]]="Pending","Pending"),"Invalid Input")</f>
        <v>Pending</v>
      </c>
      <c r="T202" t="s">
        <v>27</v>
      </c>
      <c r="U202" t="str" cm="1">
        <f t="array" ref="U202">IFERROR(_xlfn.IFS(Table1[[#This Row],[Payment Status]]="Partial","In Transit",Table1[[#This Row],[Payment Status]]="Paid","Completed",Table1[[#This Row],[Payment Status]]="Pending","Pending"),"Invalid Input")</f>
        <v>Pending</v>
      </c>
    </row>
    <row r="203" spans="1:21" x14ac:dyDescent="0.25">
      <c r="A203" s="4" t="s">
        <v>469</v>
      </c>
      <c r="B203" s="5">
        <v>45456</v>
      </c>
      <c r="C203" t="s">
        <v>52</v>
      </c>
      <c r="D203" t="s">
        <v>3268</v>
      </c>
      <c r="E203" t="s">
        <v>30</v>
      </c>
      <c r="F203" t="s">
        <v>3208</v>
      </c>
      <c r="G203" t="s">
        <v>31</v>
      </c>
      <c r="H203" t="str">
        <f>VLOOKUP(Table1[[#This Row],[City]],Table6[#All],2,FALSE)</f>
        <v>South</v>
      </c>
      <c r="I203" t="s">
        <v>3203</v>
      </c>
      <c r="J203" t="str">
        <f>_xlfn.XLOOKUP(Table1[[#This Row],[Tractor Model]],Table7[Product Model],Table7[Product Category],"Not Available",0)</f>
        <v>Kubota</v>
      </c>
      <c r="K203" s="4">
        <v>2</v>
      </c>
      <c r="L203" s="72">
        <v>72133</v>
      </c>
      <c r="M203" s="4">
        <f>INDEX('Master Sheet'!$C$4:$C$12,MATCH(Table1[[#This Row],[Quantity]],'Master Sheet'!$B$4:$B$12,0))</f>
        <v>5</v>
      </c>
      <c r="N203" s="71">
        <f>Table1[[#This Row],[Quantity]]*Table1[[#This Row],[Unit Price]]</f>
        <v>144266</v>
      </c>
      <c r="O203" s="73">
        <v>1.4426599999999999E-2</v>
      </c>
      <c r="P203" s="70">
        <f>Table1[[#This Row],[Gross Amount]]*(1-(Table1[[#This Row],[Discount %]]/100))</f>
        <v>137052.69999999998</v>
      </c>
      <c r="Q203" s="74">
        <f>(Table1[[#This Row],[Gross Amount]]*(1-(Table1[[#This Row],[Discount %]]/100)))/10000000</f>
        <v>1.3705269999999999E-2</v>
      </c>
      <c r="R203" t="s">
        <v>25</v>
      </c>
      <c r="S203" t="str" cm="1">
        <f t="array" ref="S203">IFERROR(_xlfn.IFS(Table1[[#This Row],[Payment Status]]="Partial","In Transit",Table1[[#This Row],[Payment Status]]="Paid","Delivered",Table1[[#This Row],[Payment Status]]="Pending","Pending"),"Invalid Input")</f>
        <v>In Transit</v>
      </c>
      <c r="T203" t="s">
        <v>44</v>
      </c>
      <c r="U203" t="str" cm="1">
        <f t="array" ref="U203">IFERROR(_xlfn.IFS(Table1[[#This Row],[Payment Status]]="Partial","In Transit",Table1[[#This Row],[Payment Status]]="Paid","Completed",Table1[[#This Row],[Payment Status]]="Pending","Pending"),"Invalid Input")</f>
        <v>In Transit</v>
      </c>
    </row>
    <row r="204" spans="1:21" x14ac:dyDescent="0.25">
      <c r="A204" s="4" t="s">
        <v>471</v>
      </c>
      <c r="B204" s="5">
        <v>45405</v>
      </c>
      <c r="C204" t="s">
        <v>73</v>
      </c>
      <c r="D204" t="s">
        <v>3268</v>
      </c>
      <c r="E204" t="s">
        <v>38</v>
      </c>
      <c r="F204" t="s">
        <v>3219</v>
      </c>
      <c r="G204" t="s">
        <v>39</v>
      </c>
      <c r="H204" t="str">
        <f>VLOOKUP(Table1[[#This Row],[City]],Table6[#All],2,FALSE)</f>
        <v>West</v>
      </c>
      <c r="I204" t="s">
        <v>3204</v>
      </c>
      <c r="J204" t="str">
        <f>_xlfn.XLOOKUP(Table1[[#This Row],[Tractor Model]],Table7[Product Model],Table7[Product Category],"Not Available",0)</f>
        <v>Kubota</v>
      </c>
      <c r="K204" s="4">
        <v>7</v>
      </c>
      <c r="L204" s="72">
        <v>305252</v>
      </c>
      <c r="M204" s="4">
        <f>INDEX('Master Sheet'!$C$4:$C$12,MATCH(Table1[[#This Row],[Quantity]],'Master Sheet'!$B$4:$B$12,0))</f>
        <v>9</v>
      </c>
      <c r="N204" s="71">
        <f>Table1[[#This Row],[Quantity]]*Table1[[#This Row],[Unit Price]]</f>
        <v>2136764</v>
      </c>
      <c r="O204" s="73">
        <v>0.21367639999999999</v>
      </c>
      <c r="P204" s="70">
        <f>Table1[[#This Row],[Gross Amount]]*(1-(Table1[[#This Row],[Discount %]]/100))</f>
        <v>1944455.24</v>
      </c>
      <c r="Q204" s="74">
        <f>(Table1[[#This Row],[Gross Amount]]*(1-(Table1[[#This Row],[Discount %]]/100)))/10000000</f>
        <v>0.19444552400000001</v>
      </c>
      <c r="R204" t="s">
        <v>25</v>
      </c>
      <c r="S204" t="str" cm="1">
        <f t="array" ref="S204">IFERROR(_xlfn.IFS(Table1[[#This Row],[Payment Status]]="Partial","In Transit",Table1[[#This Row],[Payment Status]]="Paid","Delivered",Table1[[#This Row],[Payment Status]]="Pending","Pending"),"Invalid Input")</f>
        <v>In Transit</v>
      </c>
      <c r="T204" t="s">
        <v>27</v>
      </c>
      <c r="U204" t="str" cm="1">
        <f t="array" ref="U204">IFERROR(_xlfn.IFS(Table1[[#This Row],[Payment Status]]="Partial","In Transit",Table1[[#This Row],[Payment Status]]="Paid","Completed",Table1[[#This Row],[Payment Status]]="Pending","Pending"),"Invalid Input")</f>
        <v>In Transit</v>
      </c>
    </row>
    <row r="205" spans="1:21" x14ac:dyDescent="0.25">
      <c r="A205" s="4" t="s">
        <v>473</v>
      </c>
      <c r="B205" s="5">
        <v>45462</v>
      </c>
      <c r="C205" t="s">
        <v>41</v>
      </c>
      <c r="D205" t="s">
        <v>3268</v>
      </c>
      <c r="E205" t="s">
        <v>66</v>
      </c>
      <c r="F205" t="s">
        <v>3211</v>
      </c>
      <c r="G205" t="s">
        <v>67</v>
      </c>
      <c r="H205" t="str">
        <f>VLOOKUP(Table1[[#This Row],[City]],Table6[#All],2,FALSE)</f>
        <v>East</v>
      </c>
      <c r="I205" t="s">
        <v>3203</v>
      </c>
      <c r="J205" t="str">
        <f>_xlfn.XLOOKUP(Table1[[#This Row],[Tractor Model]],Table7[Product Model],Table7[Product Category],"Not Available",0)</f>
        <v>Kubota</v>
      </c>
      <c r="K205" s="4">
        <v>6</v>
      </c>
      <c r="L205" s="72">
        <v>103219</v>
      </c>
      <c r="M205" s="4">
        <f>INDEX('Master Sheet'!$C$4:$C$12,MATCH(Table1[[#This Row],[Quantity]],'Master Sheet'!$B$4:$B$12,0))</f>
        <v>8</v>
      </c>
      <c r="N205" s="71">
        <f>Table1[[#This Row],[Quantity]]*Table1[[#This Row],[Unit Price]]</f>
        <v>619314</v>
      </c>
      <c r="O205" s="73">
        <v>6.1931399999999998E-2</v>
      </c>
      <c r="P205" s="70">
        <f>Table1[[#This Row],[Gross Amount]]*(1-(Table1[[#This Row],[Discount %]]/100))</f>
        <v>569768.88</v>
      </c>
      <c r="Q205" s="74">
        <f>(Table1[[#This Row],[Gross Amount]]*(1-(Table1[[#This Row],[Discount %]]/100)))/10000000</f>
        <v>5.6976888000000003E-2</v>
      </c>
      <c r="R205" t="s">
        <v>42</v>
      </c>
      <c r="S205" t="str" cm="1">
        <f t="array" ref="S205">IFERROR(_xlfn.IFS(Table1[[#This Row],[Payment Status]]="Partial","In Transit",Table1[[#This Row],[Payment Status]]="Paid","Delivered",Table1[[#This Row],[Payment Status]]="Pending","Pending"),"Invalid Input")</f>
        <v>Pending</v>
      </c>
      <c r="T205" t="s">
        <v>44</v>
      </c>
      <c r="U205" t="str" cm="1">
        <f t="array" ref="U205">IFERROR(_xlfn.IFS(Table1[[#This Row],[Payment Status]]="Partial","In Transit",Table1[[#This Row],[Payment Status]]="Paid","Completed",Table1[[#This Row],[Payment Status]]="Pending","Pending"),"Invalid Input")</f>
        <v>Pending</v>
      </c>
    </row>
    <row r="206" spans="1:21" x14ac:dyDescent="0.25">
      <c r="A206" s="4" t="s">
        <v>475</v>
      </c>
      <c r="B206" s="5">
        <v>45567</v>
      </c>
      <c r="C206" t="s">
        <v>33</v>
      </c>
      <c r="D206" t="s">
        <v>37</v>
      </c>
      <c r="E206" t="s">
        <v>119</v>
      </c>
      <c r="F206" t="s">
        <v>3224</v>
      </c>
      <c r="G206" t="s">
        <v>21</v>
      </c>
      <c r="H206" t="str">
        <f>VLOOKUP(Table1[[#This Row],[City]],Table6[#All],2,FALSE)</f>
        <v>North</v>
      </c>
      <c r="I206" t="s">
        <v>24</v>
      </c>
      <c r="J206" t="str">
        <f>_xlfn.XLOOKUP(Table1[[#This Row],[Tractor Model]],Table7[Product Model],Table7[Product Category],"Not Available",0)</f>
        <v>Farmtrac</v>
      </c>
      <c r="K206" s="4">
        <v>4</v>
      </c>
      <c r="L206" s="72">
        <v>819004</v>
      </c>
      <c r="M206" s="4">
        <f>INDEX('Master Sheet'!$C$4:$C$12,MATCH(Table1[[#This Row],[Quantity]],'Master Sheet'!$B$4:$B$12,0))</f>
        <v>6</v>
      </c>
      <c r="N206" s="71">
        <f>Table1[[#This Row],[Quantity]]*Table1[[#This Row],[Unit Price]]</f>
        <v>3276016</v>
      </c>
      <c r="O206" s="73">
        <v>0.32760159999999999</v>
      </c>
      <c r="P206" s="70">
        <f>Table1[[#This Row],[Gross Amount]]*(1-(Table1[[#This Row],[Discount %]]/100))</f>
        <v>3079455.04</v>
      </c>
      <c r="Q206" s="74">
        <f>(Table1[[#This Row],[Gross Amount]]*(1-(Table1[[#This Row],[Discount %]]/100)))/10000000</f>
        <v>0.30794550399999998</v>
      </c>
      <c r="R206" t="s">
        <v>54</v>
      </c>
      <c r="S206" t="str" cm="1">
        <f t="array" ref="S206">IFERROR(_xlfn.IFS(Table1[[#This Row],[Payment Status]]="Partial","In Transit",Table1[[#This Row],[Payment Status]]="Paid","Delivered",Table1[[#This Row],[Payment Status]]="Pending","Pending"),"Invalid Input")</f>
        <v>Delivered</v>
      </c>
      <c r="T206" t="s">
        <v>27</v>
      </c>
      <c r="U206" t="str" cm="1">
        <f t="array" ref="U206">IFERROR(_xlfn.IFS(Table1[[#This Row],[Payment Status]]="Partial","In Transit",Table1[[#This Row],[Payment Status]]="Paid","Completed",Table1[[#This Row],[Payment Status]]="Pending","Pending"),"Invalid Input")</f>
        <v>Completed</v>
      </c>
    </row>
    <row r="207" spans="1:21" x14ac:dyDescent="0.25">
      <c r="A207" s="4" t="s">
        <v>476</v>
      </c>
      <c r="B207" s="5">
        <v>45333</v>
      </c>
      <c r="C207" t="s">
        <v>73</v>
      </c>
      <c r="D207" t="s">
        <v>3270</v>
      </c>
      <c r="E207" t="s">
        <v>47</v>
      </c>
      <c r="F207" t="s">
        <v>3205</v>
      </c>
      <c r="G207" t="s">
        <v>48</v>
      </c>
      <c r="H207" t="str">
        <f>VLOOKUP(Table1[[#This Row],[City]],Table6[#All],2,FALSE)</f>
        <v>North</v>
      </c>
      <c r="I207" t="s">
        <v>3203</v>
      </c>
      <c r="J207" t="str">
        <f>_xlfn.XLOOKUP(Table1[[#This Row],[Tractor Model]],Table7[Product Model],Table7[Product Category],"Not Available",0)</f>
        <v>Kubota</v>
      </c>
      <c r="K207" s="4">
        <v>8</v>
      </c>
      <c r="L207" s="72">
        <v>200434</v>
      </c>
      <c r="M207" s="4">
        <f>INDEX('Master Sheet'!$C$4:$C$12,MATCH(Table1[[#This Row],[Quantity]],'Master Sheet'!$B$4:$B$12,0))</f>
        <v>9</v>
      </c>
      <c r="N207" s="71">
        <f>Table1[[#This Row],[Quantity]]*Table1[[#This Row],[Unit Price]]</f>
        <v>1603472</v>
      </c>
      <c r="O207" s="73">
        <v>0.1603472</v>
      </c>
      <c r="P207" s="70">
        <f>Table1[[#This Row],[Gross Amount]]*(1-(Table1[[#This Row],[Discount %]]/100))</f>
        <v>1459159.52</v>
      </c>
      <c r="Q207" s="74">
        <f>(Table1[[#This Row],[Gross Amount]]*(1-(Table1[[#This Row],[Discount %]]/100)))/10000000</f>
        <v>0.14591595200000002</v>
      </c>
      <c r="R207" t="s">
        <v>42</v>
      </c>
      <c r="S207" t="str" cm="1">
        <f t="array" ref="S207">IFERROR(_xlfn.IFS(Table1[[#This Row],[Payment Status]]="Partial","In Transit",Table1[[#This Row],[Payment Status]]="Paid","Delivered",Table1[[#This Row],[Payment Status]]="Pending","Pending"),"Invalid Input")</f>
        <v>Pending</v>
      </c>
      <c r="T207" t="s">
        <v>44</v>
      </c>
      <c r="U207" t="str" cm="1">
        <f t="array" ref="U207">IFERROR(_xlfn.IFS(Table1[[#This Row],[Payment Status]]="Partial","In Transit",Table1[[#This Row],[Payment Status]]="Paid","Completed",Table1[[#This Row],[Payment Status]]="Pending","Pending"),"Invalid Input")</f>
        <v>Pending</v>
      </c>
    </row>
    <row r="208" spans="1:21" x14ac:dyDescent="0.25">
      <c r="A208" s="4" t="s">
        <v>477</v>
      </c>
      <c r="B208" s="5">
        <v>45390</v>
      </c>
      <c r="C208" t="s">
        <v>41</v>
      </c>
      <c r="D208" t="s">
        <v>3269</v>
      </c>
      <c r="E208" t="s">
        <v>38</v>
      </c>
      <c r="F208" t="s">
        <v>3206</v>
      </c>
      <c r="G208" t="s">
        <v>39</v>
      </c>
      <c r="H208" t="str">
        <f>VLOOKUP(Table1[[#This Row],[City]],Table6[#All],2,FALSE)</f>
        <v>West</v>
      </c>
      <c r="I208" t="s">
        <v>24</v>
      </c>
      <c r="J208" t="str">
        <f>_xlfn.XLOOKUP(Table1[[#This Row],[Tractor Model]],Table7[Product Model],Table7[Product Category],"Not Available",0)</f>
        <v>Farmtrac</v>
      </c>
      <c r="K208" s="4">
        <v>3</v>
      </c>
      <c r="L208" s="72">
        <v>729227</v>
      </c>
      <c r="M208" s="4">
        <f>INDEX('Master Sheet'!$C$4:$C$12,MATCH(Table1[[#This Row],[Quantity]],'Master Sheet'!$B$4:$B$12,0))</f>
        <v>6</v>
      </c>
      <c r="N208" s="71">
        <f>Table1[[#This Row],[Quantity]]*Table1[[#This Row],[Unit Price]]</f>
        <v>2187681</v>
      </c>
      <c r="O208" s="73">
        <v>0.21876809999999999</v>
      </c>
      <c r="P208" s="70">
        <f>Table1[[#This Row],[Gross Amount]]*(1-(Table1[[#This Row],[Discount %]]/100))</f>
        <v>2056420.14</v>
      </c>
      <c r="Q208" s="74">
        <f>(Table1[[#This Row],[Gross Amount]]*(1-(Table1[[#This Row],[Discount %]]/100)))/10000000</f>
        <v>0.20564201399999998</v>
      </c>
      <c r="R208" t="s">
        <v>25</v>
      </c>
      <c r="S208" t="str" cm="1">
        <f t="array" ref="S208">IFERROR(_xlfn.IFS(Table1[[#This Row],[Payment Status]]="Partial","In Transit",Table1[[#This Row],[Payment Status]]="Paid","Delivered",Table1[[#This Row],[Payment Status]]="Pending","Pending"),"Invalid Input")</f>
        <v>In Transit</v>
      </c>
      <c r="T208" t="s">
        <v>27</v>
      </c>
      <c r="U208" t="str" cm="1">
        <f t="array" ref="U208">IFERROR(_xlfn.IFS(Table1[[#This Row],[Payment Status]]="Partial","In Transit",Table1[[#This Row],[Payment Status]]="Paid","Completed",Table1[[#This Row],[Payment Status]]="Pending","Pending"),"Invalid Input")</f>
        <v>In Transit</v>
      </c>
    </row>
    <row r="209" spans="1:21" x14ac:dyDescent="0.25">
      <c r="A209" s="4" t="s">
        <v>479</v>
      </c>
      <c r="B209" s="5">
        <v>45399</v>
      </c>
      <c r="C209" t="s">
        <v>41</v>
      </c>
      <c r="D209" t="s">
        <v>3270</v>
      </c>
      <c r="E209" t="s">
        <v>47</v>
      </c>
      <c r="F209" t="s">
        <v>3205</v>
      </c>
      <c r="G209" t="s">
        <v>48</v>
      </c>
      <c r="H209" t="str">
        <f>VLOOKUP(Table1[[#This Row],[City]],Table6[#All],2,FALSE)</f>
        <v>North</v>
      </c>
      <c r="I209" t="s">
        <v>58</v>
      </c>
      <c r="J209" t="str">
        <f>_xlfn.XLOOKUP(Table1[[#This Row],[Tractor Model]],Table7[Product Model],Table7[Product Category],"Not Available",0)</f>
        <v>Powertrac</v>
      </c>
      <c r="K209" s="4">
        <v>3</v>
      </c>
      <c r="L209" s="72">
        <v>871002</v>
      </c>
      <c r="M209" s="4">
        <f>INDEX('Master Sheet'!$C$4:$C$12,MATCH(Table1[[#This Row],[Quantity]],'Master Sheet'!$B$4:$B$12,0))</f>
        <v>6</v>
      </c>
      <c r="N209" s="71">
        <f>Table1[[#This Row],[Quantity]]*Table1[[#This Row],[Unit Price]]</f>
        <v>2613006</v>
      </c>
      <c r="O209" s="73">
        <v>0.26130059999999999</v>
      </c>
      <c r="P209" s="70">
        <f>Table1[[#This Row],[Gross Amount]]*(1-(Table1[[#This Row],[Discount %]]/100))</f>
        <v>2456225.6399999997</v>
      </c>
      <c r="Q209" s="74">
        <f>(Table1[[#This Row],[Gross Amount]]*(1-(Table1[[#This Row],[Discount %]]/100)))/10000000</f>
        <v>0.24562256399999996</v>
      </c>
      <c r="R209" t="s">
        <v>42</v>
      </c>
      <c r="S209" t="str" cm="1">
        <f t="array" ref="S209">IFERROR(_xlfn.IFS(Table1[[#This Row],[Payment Status]]="Partial","In Transit",Table1[[#This Row],[Payment Status]]="Paid","Delivered",Table1[[#This Row],[Payment Status]]="Pending","Pending"),"Invalid Input")</f>
        <v>Pending</v>
      </c>
      <c r="T209" t="s">
        <v>27</v>
      </c>
      <c r="U209" t="str" cm="1">
        <f t="array" ref="U209">IFERROR(_xlfn.IFS(Table1[[#This Row],[Payment Status]]="Partial","In Transit",Table1[[#This Row],[Payment Status]]="Paid","Completed",Table1[[#This Row],[Payment Status]]="Pending","Pending"),"Invalid Input")</f>
        <v>Pending</v>
      </c>
    </row>
    <row r="210" spans="1:21" x14ac:dyDescent="0.25">
      <c r="A210" s="4" t="s">
        <v>481</v>
      </c>
      <c r="B210" s="5">
        <v>45488</v>
      </c>
      <c r="C210" t="s">
        <v>62</v>
      </c>
      <c r="D210" t="s">
        <v>3268</v>
      </c>
      <c r="E210" t="s">
        <v>30</v>
      </c>
      <c r="F210" t="s">
        <v>3208</v>
      </c>
      <c r="G210" t="s">
        <v>31</v>
      </c>
      <c r="H210" t="str">
        <f>VLOOKUP(Table1[[#This Row],[City]],Table6[#All],2,FALSE)</f>
        <v>South</v>
      </c>
      <c r="I210" t="s">
        <v>24</v>
      </c>
      <c r="J210" t="str">
        <f>_xlfn.XLOOKUP(Table1[[#This Row],[Tractor Model]],Table7[Product Model],Table7[Product Category],"Not Available",0)</f>
        <v>Farmtrac</v>
      </c>
      <c r="K210" s="4">
        <v>1</v>
      </c>
      <c r="L210" s="72">
        <v>180059</v>
      </c>
      <c r="M210" s="4">
        <f>INDEX('Master Sheet'!$C$4:$C$12,MATCH(Table1[[#This Row],[Quantity]],'Master Sheet'!$B$4:$B$12,0))</f>
        <v>3</v>
      </c>
      <c r="N210" s="71">
        <f>Table1[[#This Row],[Quantity]]*Table1[[#This Row],[Unit Price]]</f>
        <v>180059</v>
      </c>
      <c r="O210" s="73">
        <v>1.8005899999999998E-2</v>
      </c>
      <c r="P210" s="70">
        <f>Table1[[#This Row],[Gross Amount]]*(1-(Table1[[#This Row],[Discount %]]/100))</f>
        <v>174657.22999999998</v>
      </c>
      <c r="Q210" s="74">
        <f>(Table1[[#This Row],[Gross Amount]]*(1-(Table1[[#This Row],[Discount %]]/100)))/10000000</f>
        <v>1.7465722999999999E-2</v>
      </c>
      <c r="R210" t="s">
        <v>54</v>
      </c>
      <c r="S210" t="str" cm="1">
        <f t="array" ref="S210">IFERROR(_xlfn.IFS(Table1[[#This Row],[Payment Status]]="Partial","In Transit",Table1[[#This Row],[Payment Status]]="Paid","Delivered",Table1[[#This Row],[Payment Status]]="Pending","Pending"),"Invalid Input")</f>
        <v>Delivered</v>
      </c>
      <c r="T210" t="s">
        <v>44</v>
      </c>
      <c r="U210" t="str" cm="1">
        <f t="array" ref="U210">IFERROR(_xlfn.IFS(Table1[[#This Row],[Payment Status]]="Partial","In Transit",Table1[[#This Row],[Payment Status]]="Paid","Completed",Table1[[#This Row],[Payment Status]]="Pending","Pending"),"Invalid Input")</f>
        <v>Completed</v>
      </c>
    </row>
    <row r="211" spans="1:21" x14ac:dyDescent="0.25">
      <c r="A211" s="4" t="s">
        <v>482</v>
      </c>
      <c r="B211" s="5">
        <v>45625</v>
      </c>
      <c r="C211" t="s">
        <v>33</v>
      </c>
      <c r="D211" t="s">
        <v>3269</v>
      </c>
      <c r="E211" t="s">
        <v>66</v>
      </c>
      <c r="F211" t="s">
        <v>3213</v>
      </c>
      <c r="G211" t="s">
        <v>67</v>
      </c>
      <c r="H211" t="str">
        <f>VLOOKUP(Table1[[#This Row],[City]],Table6[#All],2,FALSE)</f>
        <v>East</v>
      </c>
      <c r="I211" t="s">
        <v>53</v>
      </c>
      <c r="J211" t="str">
        <f>_xlfn.XLOOKUP(Table1[[#This Row],[Tractor Model]],Table7[Product Model],Table7[Product Category],"Not Available",0)</f>
        <v>Farmtrac</v>
      </c>
      <c r="K211" s="4">
        <v>7</v>
      </c>
      <c r="L211" s="72">
        <v>696108</v>
      </c>
      <c r="M211" s="4">
        <f>INDEX('Master Sheet'!$C$4:$C$12,MATCH(Table1[[#This Row],[Quantity]],'Master Sheet'!$B$4:$B$12,0))</f>
        <v>9</v>
      </c>
      <c r="N211" s="71">
        <f>Table1[[#This Row],[Quantity]]*Table1[[#This Row],[Unit Price]]</f>
        <v>4872756</v>
      </c>
      <c r="O211" s="73">
        <v>0.48727559999999998</v>
      </c>
      <c r="P211" s="70">
        <f>Table1[[#This Row],[Gross Amount]]*(1-(Table1[[#This Row],[Discount %]]/100))</f>
        <v>4434207.96</v>
      </c>
      <c r="Q211" s="74">
        <f>(Table1[[#This Row],[Gross Amount]]*(1-(Table1[[#This Row],[Discount %]]/100)))/10000000</f>
        <v>0.44342079600000001</v>
      </c>
      <c r="R211" t="s">
        <v>54</v>
      </c>
      <c r="S211" t="str" cm="1">
        <f t="array" ref="S211">IFERROR(_xlfn.IFS(Table1[[#This Row],[Payment Status]]="Partial","In Transit",Table1[[#This Row],[Payment Status]]="Paid","Delivered",Table1[[#This Row],[Payment Status]]="Pending","Pending"),"Invalid Input")</f>
        <v>Delivered</v>
      </c>
      <c r="T211" t="s">
        <v>27</v>
      </c>
      <c r="U211" t="str" cm="1">
        <f t="array" ref="U211">IFERROR(_xlfn.IFS(Table1[[#This Row],[Payment Status]]="Partial","In Transit",Table1[[#This Row],[Payment Status]]="Paid","Completed",Table1[[#This Row],[Payment Status]]="Pending","Pending"),"Invalid Input")</f>
        <v>Completed</v>
      </c>
    </row>
    <row r="212" spans="1:21" x14ac:dyDescent="0.25">
      <c r="A212" s="4" t="s">
        <v>484</v>
      </c>
      <c r="B212" s="5">
        <v>45538</v>
      </c>
      <c r="C212" t="s">
        <v>33</v>
      </c>
      <c r="D212" t="s">
        <v>3268</v>
      </c>
      <c r="E212" t="s">
        <v>47</v>
      </c>
      <c r="F212" t="s">
        <v>3216</v>
      </c>
      <c r="G212" t="s">
        <v>48</v>
      </c>
      <c r="H212" t="str">
        <f>VLOOKUP(Table1[[#This Row],[City]],Table6[#All],2,FALSE)</f>
        <v>North</v>
      </c>
      <c r="I212" t="s">
        <v>3204</v>
      </c>
      <c r="J212" t="str">
        <f>_xlfn.XLOOKUP(Table1[[#This Row],[Tractor Model]],Table7[Product Model],Table7[Product Category],"Not Available",0)</f>
        <v>Kubota</v>
      </c>
      <c r="K212" s="4">
        <v>1</v>
      </c>
      <c r="L212" s="72">
        <v>596346</v>
      </c>
      <c r="M212" s="4">
        <f>INDEX('Master Sheet'!$C$4:$C$12,MATCH(Table1[[#This Row],[Quantity]],'Master Sheet'!$B$4:$B$12,0))</f>
        <v>3</v>
      </c>
      <c r="N212" s="71">
        <f>Table1[[#This Row],[Quantity]]*Table1[[#This Row],[Unit Price]]</f>
        <v>596346</v>
      </c>
      <c r="O212" s="73">
        <v>5.9634600000000003E-2</v>
      </c>
      <c r="P212" s="70">
        <f>Table1[[#This Row],[Gross Amount]]*(1-(Table1[[#This Row],[Discount %]]/100))</f>
        <v>578455.62</v>
      </c>
      <c r="Q212" s="74">
        <f>(Table1[[#This Row],[Gross Amount]]*(1-(Table1[[#This Row],[Discount %]]/100)))/10000000</f>
        <v>5.7845561999999996E-2</v>
      </c>
      <c r="R212" t="s">
        <v>42</v>
      </c>
      <c r="S212" t="str" cm="1">
        <f t="array" ref="S212">IFERROR(_xlfn.IFS(Table1[[#This Row],[Payment Status]]="Partial","In Transit",Table1[[#This Row],[Payment Status]]="Paid","Delivered",Table1[[#This Row],[Payment Status]]="Pending","Pending"),"Invalid Input")</f>
        <v>Pending</v>
      </c>
      <c r="T212" t="s">
        <v>44</v>
      </c>
      <c r="U212" t="str" cm="1">
        <f t="array" ref="U212">IFERROR(_xlfn.IFS(Table1[[#This Row],[Payment Status]]="Partial","In Transit",Table1[[#This Row],[Payment Status]]="Paid","Completed",Table1[[#This Row],[Payment Status]]="Pending","Pending"),"Invalid Input")</f>
        <v>Pending</v>
      </c>
    </row>
    <row r="213" spans="1:21" x14ac:dyDescent="0.25">
      <c r="A213" s="4" t="s">
        <v>486</v>
      </c>
      <c r="B213" s="5">
        <v>45748</v>
      </c>
      <c r="C213" t="s">
        <v>33</v>
      </c>
      <c r="D213" t="s">
        <v>37</v>
      </c>
      <c r="E213" t="s">
        <v>30</v>
      </c>
      <c r="F213" t="s">
        <v>3222</v>
      </c>
      <c r="G213" t="s">
        <v>31</v>
      </c>
      <c r="H213" t="str">
        <f>VLOOKUP(Table1[[#This Row],[City]],Table6[#All],2,FALSE)</f>
        <v>South</v>
      </c>
      <c r="I213" t="s">
        <v>58</v>
      </c>
      <c r="J213" t="str">
        <f>_xlfn.XLOOKUP(Table1[[#This Row],[Tractor Model]],Table7[Product Model],Table7[Product Category],"Not Available",0)</f>
        <v>Powertrac</v>
      </c>
      <c r="K213" s="4">
        <v>4</v>
      </c>
      <c r="L213" s="72">
        <v>120527</v>
      </c>
      <c r="M213" s="4">
        <f>INDEX('Master Sheet'!$C$4:$C$12,MATCH(Table1[[#This Row],[Quantity]],'Master Sheet'!$B$4:$B$12,0))</f>
        <v>6</v>
      </c>
      <c r="N213" s="71">
        <f>Table1[[#This Row],[Quantity]]*Table1[[#This Row],[Unit Price]]</f>
        <v>482108</v>
      </c>
      <c r="O213" s="73">
        <v>4.8210799999999998E-2</v>
      </c>
      <c r="P213" s="70">
        <f>Table1[[#This Row],[Gross Amount]]*(1-(Table1[[#This Row],[Discount %]]/100))</f>
        <v>453181.51999999996</v>
      </c>
      <c r="Q213" s="74">
        <f>(Table1[[#This Row],[Gross Amount]]*(1-(Table1[[#This Row],[Discount %]]/100)))/10000000</f>
        <v>4.5318151999999993E-2</v>
      </c>
      <c r="R213" t="s">
        <v>25</v>
      </c>
      <c r="S213" t="str" cm="1">
        <f t="array" ref="S213">IFERROR(_xlfn.IFS(Table1[[#This Row],[Payment Status]]="Partial","In Transit",Table1[[#This Row],[Payment Status]]="Paid","Delivered",Table1[[#This Row],[Payment Status]]="Pending","Pending"),"Invalid Input")</f>
        <v>In Transit</v>
      </c>
      <c r="T213" t="s">
        <v>27</v>
      </c>
      <c r="U213" t="str" cm="1">
        <f t="array" ref="U213">IFERROR(_xlfn.IFS(Table1[[#This Row],[Payment Status]]="Partial","In Transit",Table1[[#This Row],[Payment Status]]="Paid","Completed",Table1[[#This Row],[Payment Status]]="Pending","Pending"),"Invalid Input")</f>
        <v>In Transit</v>
      </c>
    </row>
    <row r="214" spans="1:21" x14ac:dyDescent="0.25">
      <c r="A214" s="4" t="s">
        <v>488</v>
      </c>
      <c r="B214" s="5">
        <v>45805</v>
      </c>
      <c r="C214" t="s">
        <v>52</v>
      </c>
      <c r="D214" t="s">
        <v>3269</v>
      </c>
      <c r="E214" t="s">
        <v>38</v>
      </c>
      <c r="F214" t="s">
        <v>3206</v>
      </c>
      <c r="G214" t="s">
        <v>39</v>
      </c>
      <c r="H214" t="str">
        <f>VLOOKUP(Table1[[#This Row],[City]],Table6[#All],2,FALSE)</f>
        <v>West</v>
      </c>
      <c r="I214" t="s">
        <v>53</v>
      </c>
      <c r="J214" t="str">
        <f>_xlfn.XLOOKUP(Table1[[#This Row],[Tractor Model]],Table7[Product Model],Table7[Product Category],"Not Available",0)</f>
        <v>Farmtrac</v>
      </c>
      <c r="K214" s="4">
        <v>7</v>
      </c>
      <c r="L214" s="72">
        <v>181851</v>
      </c>
      <c r="M214" s="4">
        <f>INDEX('Master Sheet'!$C$4:$C$12,MATCH(Table1[[#This Row],[Quantity]],'Master Sheet'!$B$4:$B$12,0))</f>
        <v>9</v>
      </c>
      <c r="N214" s="71">
        <f>Table1[[#This Row],[Quantity]]*Table1[[#This Row],[Unit Price]]</f>
        <v>1272957</v>
      </c>
      <c r="O214" s="73">
        <v>0.12729570000000001</v>
      </c>
      <c r="P214" s="70">
        <f>Table1[[#This Row],[Gross Amount]]*(1-(Table1[[#This Row],[Discount %]]/100))</f>
        <v>1158390.8700000001</v>
      </c>
      <c r="Q214" s="74">
        <f>(Table1[[#This Row],[Gross Amount]]*(1-(Table1[[#This Row],[Discount %]]/100)))/10000000</f>
        <v>0.11583908700000001</v>
      </c>
      <c r="R214" t="s">
        <v>42</v>
      </c>
      <c r="S214" t="str" cm="1">
        <f t="array" ref="S214">IFERROR(_xlfn.IFS(Table1[[#This Row],[Payment Status]]="Partial","In Transit",Table1[[#This Row],[Payment Status]]="Paid","Delivered",Table1[[#This Row],[Payment Status]]="Pending","Pending"),"Invalid Input")</f>
        <v>Pending</v>
      </c>
      <c r="T214" t="s">
        <v>44</v>
      </c>
      <c r="U214" t="str" cm="1">
        <f t="array" ref="U214">IFERROR(_xlfn.IFS(Table1[[#This Row],[Payment Status]]="Partial","In Transit",Table1[[#This Row],[Payment Status]]="Paid","Completed",Table1[[#This Row],[Payment Status]]="Pending","Pending"),"Invalid Input")</f>
        <v>Pending</v>
      </c>
    </row>
    <row r="215" spans="1:21" x14ac:dyDescent="0.25">
      <c r="A215" s="4" t="s">
        <v>490</v>
      </c>
      <c r="B215" s="5">
        <v>45313</v>
      </c>
      <c r="C215" t="s">
        <v>33</v>
      </c>
      <c r="D215" t="s">
        <v>3269</v>
      </c>
      <c r="E215" t="s">
        <v>119</v>
      </c>
      <c r="F215" t="s">
        <v>3229</v>
      </c>
      <c r="G215" t="s">
        <v>21</v>
      </c>
      <c r="H215" t="str">
        <f>VLOOKUP(Table1[[#This Row],[City]],Table6[#All],2,FALSE)</f>
        <v>North</v>
      </c>
      <c r="I215" t="s">
        <v>3204</v>
      </c>
      <c r="J215" t="str">
        <f>_xlfn.XLOOKUP(Table1[[#This Row],[Tractor Model]],Table7[Product Model],Table7[Product Category],"Not Available",0)</f>
        <v>Kubota</v>
      </c>
      <c r="K215" s="4">
        <v>7</v>
      </c>
      <c r="L215" s="72">
        <v>238365</v>
      </c>
      <c r="M215" s="4">
        <f>INDEX('Master Sheet'!$C$4:$C$12,MATCH(Table1[[#This Row],[Quantity]],'Master Sheet'!$B$4:$B$12,0))</f>
        <v>9</v>
      </c>
      <c r="N215" s="71">
        <f>Table1[[#This Row],[Quantity]]*Table1[[#This Row],[Unit Price]]</f>
        <v>1668555</v>
      </c>
      <c r="O215" s="73">
        <v>0.16685549999999999</v>
      </c>
      <c r="P215" s="70">
        <f>Table1[[#This Row],[Gross Amount]]*(1-(Table1[[#This Row],[Discount %]]/100))</f>
        <v>1518385.05</v>
      </c>
      <c r="Q215" s="74">
        <f>(Table1[[#This Row],[Gross Amount]]*(1-(Table1[[#This Row],[Discount %]]/100)))/10000000</f>
        <v>0.15183850500000001</v>
      </c>
      <c r="R215" t="s">
        <v>42</v>
      </c>
      <c r="S215" t="str" cm="1">
        <f t="array" ref="S215">IFERROR(_xlfn.IFS(Table1[[#This Row],[Payment Status]]="Partial","In Transit",Table1[[#This Row],[Payment Status]]="Paid","Delivered",Table1[[#This Row],[Payment Status]]="Pending","Pending"),"Invalid Input")</f>
        <v>Pending</v>
      </c>
      <c r="T215" t="s">
        <v>27</v>
      </c>
      <c r="U215" t="str" cm="1">
        <f t="array" ref="U215">IFERROR(_xlfn.IFS(Table1[[#This Row],[Payment Status]]="Partial","In Transit",Table1[[#This Row],[Payment Status]]="Paid","Completed",Table1[[#This Row],[Payment Status]]="Pending","Pending"),"Invalid Input")</f>
        <v>Pending</v>
      </c>
    </row>
    <row r="216" spans="1:21" x14ac:dyDescent="0.25">
      <c r="A216" s="4" t="s">
        <v>492</v>
      </c>
      <c r="B216" s="5">
        <v>45312</v>
      </c>
      <c r="C216" t="s">
        <v>52</v>
      </c>
      <c r="D216" t="s">
        <v>3268</v>
      </c>
      <c r="E216" t="s">
        <v>119</v>
      </c>
      <c r="F216" t="s">
        <v>3227</v>
      </c>
      <c r="G216" t="s">
        <v>21</v>
      </c>
      <c r="H216" t="str">
        <f>VLOOKUP(Table1[[#This Row],[City]],Table6[#All],2,FALSE)</f>
        <v>North</v>
      </c>
      <c r="I216" t="s">
        <v>24</v>
      </c>
      <c r="J216" t="str">
        <f>_xlfn.XLOOKUP(Table1[[#This Row],[Tractor Model]],Table7[Product Model],Table7[Product Category],"Not Available",0)</f>
        <v>Farmtrac</v>
      </c>
      <c r="K216" s="4">
        <v>7</v>
      </c>
      <c r="L216" s="72">
        <v>307599</v>
      </c>
      <c r="M216" s="4">
        <f>INDEX('Master Sheet'!$C$4:$C$12,MATCH(Table1[[#This Row],[Quantity]],'Master Sheet'!$B$4:$B$12,0))</f>
        <v>9</v>
      </c>
      <c r="N216" s="71">
        <f>Table1[[#This Row],[Quantity]]*Table1[[#This Row],[Unit Price]]</f>
        <v>2153193</v>
      </c>
      <c r="O216" s="73">
        <v>0.21531929999999999</v>
      </c>
      <c r="P216" s="70">
        <f>Table1[[#This Row],[Gross Amount]]*(1-(Table1[[#This Row],[Discount %]]/100))</f>
        <v>1959405.6300000001</v>
      </c>
      <c r="Q216" s="74">
        <f>(Table1[[#This Row],[Gross Amount]]*(1-(Table1[[#This Row],[Discount %]]/100)))/10000000</f>
        <v>0.19594056300000001</v>
      </c>
      <c r="R216" t="s">
        <v>42</v>
      </c>
      <c r="S216" t="str" cm="1">
        <f t="array" ref="S216">IFERROR(_xlfn.IFS(Table1[[#This Row],[Payment Status]]="Partial","In Transit",Table1[[#This Row],[Payment Status]]="Paid","Delivered",Table1[[#This Row],[Payment Status]]="Pending","Pending"),"Invalid Input")</f>
        <v>Pending</v>
      </c>
      <c r="T216" t="s">
        <v>44</v>
      </c>
      <c r="U216" t="str" cm="1">
        <f t="array" ref="U216">IFERROR(_xlfn.IFS(Table1[[#This Row],[Payment Status]]="Partial","In Transit",Table1[[#This Row],[Payment Status]]="Paid","Completed",Table1[[#This Row],[Payment Status]]="Pending","Pending"),"Invalid Input")</f>
        <v>Pending</v>
      </c>
    </row>
    <row r="217" spans="1:21" x14ac:dyDescent="0.25">
      <c r="A217" s="4" t="s">
        <v>494</v>
      </c>
      <c r="B217" s="5">
        <v>45675</v>
      </c>
      <c r="C217" t="s">
        <v>62</v>
      </c>
      <c r="D217" t="s">
        <v>3270</v>
      </c>
      <c r="E217" t="s">
        <v>66</v>
      </c>
      <c r="F217" t="s">
        <v>3220</v>
      </c>
      <c r="G217" t="s">
        <v>67</v>
      </c>
      <c r="H217" t="str">
        <f>VLOOKUP(Table1[[#This Row],[City]],Table6[#All],2,FALSE)</f>
        <v>East</v>
      </c>
      <c r="I217" t="s">
        <v>53</v>
      </c>
      <c r="J217" t="str">
        <f>_xlfn.XLOOKUP(Table1[[#This Row],[Tractor Model]],Table7[Product Model],Table7[Product Category],"Not Available",0)</f>
        <v>Farmtrac</v>
      </c>
      <c r="K217" s="4">
        <v>2</v>
      </c>
      <c r="L217" s="72">
        <v>364443</v>
      </c>
      <c r="M217" s="4">
        <f>INDEX('Master Sheet'!$C$4:$C$12,MATCH(Table1[[#This Row],[Quantity]],'Master Sheet'!$B$4:$B$12,0))</f>
        <v>5</v>
      </c>
      <c r="N217" s="71">
        <f>Table1[[#This Row],[Quantity]]*Table1[[#This Row],[Unit Price]]</f>
        <v>728886</v>
      </c>
      <c r="O217" s="73">
        <v>7.2888599999999998E-2</v>
      </c>
      <c r="P217" s="70">
        <f>Table1[[#This Row],[Gross Amount]]*(1-(Table1[[#This Row],[Discount %]]/100))</f>
        <v>692441.7</v>
      </c>
      <c r="Q217" s="74">
        <f>(Table1[[#This Row],[Gross Amount]]*(1-(Table1[[#This Row],[Discount %]]/100)))/10000000</f>
        <v>6.9244169999999994E-2</v>
      </c>
      <c r="R217" t="s">
        <v>42</v>
      </c>
      <c r="S217" t="str" cm="1">
        <f t="array" ref="S217">IFERROR(_xlfn.IFS(Table1[[#This Row],[Payment Status]]="Partial","In Transit",Table1[[#This Row],[Payment Status]]="Paid","Delivered",Table1[[#This Row],[Payment Status]]="Pending","Pending"),"Invalid Input")</f>
        <v>Pending</v>
      </c>
      <c r="T217" t="s">
        <v>44</v>
      </c>
      <c r="U217" t="str" cm="1">
        <f t="array" ref="U217">IFERROR(_xlfn.IFS(Table1[[#This Row],[Payment Status]]="Partial","In Transit",Table1[[#This Row],[Payment Status]]="Paid","Completed",Table1[[#This Row],[Payment Status]]="Pending","Pending"),"Invalid Input")</f>
        <v>Pending</v>
      </c>
    </row>
    <row r="218" spans="1:21" x14ac:dyDescent="0.25">
      <c r="A218" s="4" t="s">
        <v>496</v>
      </c>
      <c r="B218" s="5">
        <v>45537</v>
      </c>
      <c r="C218" t="s">
        <v>62</v>
      </c>
      <c r="D218" t="s">
        <v>3271</v>
      </c>
      <c r="E218" t="s">
        <v>30</v>
      </c>
      <c r="F218" t="s">
        <v>3217</v>
      </c>
      <c r="G218" t="s">
        <v>31</v>
      </c>
      <c r="H218" t="str">
        <f>VLOOKUP(Table1[[#This Row],[City]],Table6[#All],2,FALSE)</f>
        <v>South</v>
      </c>
      <c r="I218" t="s">
        <v>58</v>
      </c>
      <c r="J218" t="str">
        <f>_xlfn.XLOOKUP(Table1[[#This Row],[Tractor Model]],Table7[Product Model],Table7[Product Category],"Not Available",0)</f>
        <v>Powertrac</v>
      </c>
      <c r="K218" s="4">
        <v>4</v>
      </c>
      <c r="L218" s="72">
        <v>361198</v>
      </c>
      <c r="M218" s="4">
        <f>INDEX('Master Sheet'!$C$4:$C$12,MATCH(Table1[[#This Row],[Quantity]],'Master Sheet'!$B$4:$B$12,0))</f>
        <v>6</v>
      </c>
      <c r="N218" s="71">
        <f>Table1[[#This Row],[Quantity]]*Table1[[#This Row],[Unit Price]]</f>
        <v>1444792</v>
      </c>
      <c r="O218" s="73">
        <v>0.1444792</v>
      </c>
      <c r="P218" s="70">
        <f>Table1[[#This Row],[Gross Amount]]*(1-(Table1[[#This Row],[Discount %]]/100))</f>
        <v>1358104.48</v>
      </c>
      <c r="Q218" s="74">
        <f>(Table1[[#This Row],[Gross Amount]]*(1-(Table1[[#This Row],[Discount %]]/100)))/10000000</f>
        <v>0.135810448</v>
      </c>
      <c r="R218" t="s">
        <v>42</v>
      </c>
      <c r="S218" t="str" cm="1">
        <f t="array" ref="S218">IFERROR(_xlfn.IFS(Table1[[#This Row],[Payment Status]]="Partial","In Transit",Table1[[#This Row],[Payment Status]]="Paid","Delivered",Table1[[#This Row],[Payment Status]]="Pending","Pending"),"Invalid Input")</f>
        <v>Pending</v>
      </c>
      <c r="T218" t="s">
        <v>44</v>
      </c>
      <c r="U218" t="str" cm="1">
        <f t="array" ref="U218">IFERROR(_xlfn.IFS(Table1[[#This Row],[Payment Status]]="Partial","In Transit",Table1[[#This Row],[Payment Status]]="Paid","Completed",Table1[[#This Row],[Payment Status]]="Pending","Pending"),"Invalid Input")</f>
        <v>Pending</v>
      </c>
    </row>
    <row r="219" spans="1:21" x14ac:dyDescent="0.25">
      <c r="A219" s="4" t="s">
        <v>498</v>
      </c>
      <c r="B219" s="5">
        <v>45589</v>
      </c>
      <c r="C219" t="s">
        <v>41</v>
      </c>
      <c r="D219" t="s">
        <v>3268</v>
      </c>
      <c r="E219" t="s">
        <v>38</v>
      </c>
      <c r="F219" t="s">
        <v>3219</v>
      </c>
      <c r="G219" t="s">
        <v>39</v>
      </c>
      <c r="H219" t="str">
        <f>VLOOKUP(Table1[[#This Row],[City]],Table6[#All],2,FALSE)</f>
        <v>West</v>
      </c>
      <c r="I219" t="s">
        <v>58</v>
      </c>
      <c r="J219" t="str">
        <f>_xlfn.XLOOKUP(Table1[[#This Row],[Tractor Model]],Table7[Product Model],Table7[Product Category],"Not Available",0)</f>
        <v>Powertrac</v>
      </c>
      <c r="K219" s="4">
        <v>6</v>
      </c>
      <c r="L219" s="72">
        <v>125124</v>
      </c>
      <c r="M219" s="4">
        <f>INDEX('Master Sheet'!$C$4:$C$12,MATCH(Table1[[#This Row],[Quantity]],'Master Sheet'!$B$4:$B$12,0))</f>
        <v>8</v>
      </c>
      <c r="N219" s="71">
        <f>Table1[[#This Row],[Quantity]]*Table1[[#This Row],[Unit Price]]</f>
        <v>750744</v>
      </c>
      <c r="O219" s="73">
        <v>7.5074399999999999E-2</v>
      </c>
      <c r="P219" s="70">
        <f>Table1[[#This Row],[Gross Amount]]*(1-(Table1[[#This Row],[Discount %]]/100))</f>
        <v>690684.48</v>
      </c>
      <c r="Q219" s="74">
        <f>(Table1[[#This Row],[Gross Amount]]*(1-(Table1[[#This Row],[Discount %]]/100)))/10000000</f>
        <v>6.9068448000000005E-2</v>
      </c>
      <c r="R219" t="s">
        <v>54</v>
      </c>
      <c r="S219" t="str" cm="1">
        <f t="array" ref="S219">IFERROR(_xlfn.IFS(Table1[[#This Row],[Payment Status]]="Partial","In Transit",Table1[[#This Row],[Payment Status]]="Paid","Delivered",Table1[[#This Row],[Payment Status]]="Pending","Pending"),"Invalid Input")</f>
        <v>Delivered</v>
      </c>
      <c r="T219" t="s">
        <v>27</v>
      </c>
      <c r="U219" t="str" cm="1">
        <f t="array" ref="U219">IFERROR(_xlfn.IFS(Table1[[#This Row],[Payment Status]]="Partial","In Transit",Table1[[#This Row],[Payment Status]]="Paid","Completed",Table1[[#This Row],[Payment Status]]="Pending","Pending"),"Invalid Input")</f>
        <v>Completed</v>
      </c>
    </row>
    <row r="220" spans="1:21" x14ac:dyDescent="0.25">
      <c r="A220" s="4" t="s">
        <v>500</v>
      </c>
      <c r="B220" s="5">
        <v>45673</v>
      </c>
      <c r="C220" t="s">
        <v>52</v>
      </c>
      <c r="D220" t="s">
        <v>3270</v>
      </c>
      <c r="E220" t="s">
        <v>47</v>
      </c>
      <c r="F220" t="s">
        <v>3205</v>
      </c>
      <c r="G220" t="s">
        <v>48</v>
      </c>
      <c r="H220" t="str">
        <f>VLOOKUP(Table1[[#This Row],[City]],Table6[#All],2,FALSE)</f>
        <v>North</v>
      </c>
      <c r="I220" t="s">
        <v>24</v>
      </c>
      <c r="J220" t="str">
        <f>_xlfn.XLOOKUP(Table1[[#This Row],[Tractor Model]],Table7[Product Model],Table7[Product Category],"Not Available",0)</f>
        <v>Farmtrac</v>
      </c>
      <c r="K220" s="4">
        <v>1</v>
      </c>
      <c r="L220" s="72">
        <v>573828</v>
      </c>
      <c r="M220" s="4">
        <f>INDEX('Master Sheet'!$C$4:$C$12,MATCH(Table1[[#This Row],[Quantity]],'Master Sheet'!$B$4:$B$12,0))</f>
        <v>3</v>
      </c>
      <c r="N220" s="71">
        <f>Table1[[#This Row],[Quantity]]*Table1[[#This Row],[Unit Price]]</f>
        <v>573828</v>
      </c>
      <c r="O220" s="73">
        <v>5.7382799999999998E-2</v>
      </c>
      <c r="P220" s="70">
        <f>Table1[[#This Row],[Gross Amount]]*(1-(Table1[[#This Row],[Discount %]]/100))</f>
        <v>556613.16</v>
      </c>
      <c r="Q220" s="74">
        <f>(Table1[[#This Row],[Gross Amount]]*(1-(Table1[[#This Row],[Discount %]]/100)))/10000000</f>
        <v>5.5661316000000002E-2</v>
      </c>
      <c r="R220" t="s">
        <v>54</v>
      </c>
      <c r="S220" t="str" cm="1">
        <f t="array" ref="S220">IFERROR(_xlfn.IFS(Table1[[#This Row],[Payment Status]]="Partial","In Transit",Table1[[#This Row],[Payment Status]]="Paid","Delivered",Table1[[#This Row],[Payment Status]]="Pending","Pending"),"Invalid Input")</f>
        <v>Delivered</v>
      </c>
      <c r="T220" t="s">
        <v>27</v>
      </c>
      <c r="U220" t="str" cm="1">
        <f t="array" ref="U220">IFERROR(_xlfn.IFS(Table1[[#This Row],[Payment Status]]="Partial","In Transit",Table1[[#This Row],[Payment Status]]="Paid","Completed",Table1[[#This Row],[Payment Status]]="Pending","Pending"),"Invalid Input")</f>
        <v>Completed</v>
      </c>
    </row>
    <row r="221" spans="1:21" x14ac:dyDescent="0.25">
      <c r="A221" s="4" t="s">
        <v>502</v>
      </c>
      <c r="B221" s="5">
        <v>45318</v>
      </c>
      <c r="C221" t="s">
        <v>73</v>
      </c>
      <c r="D221" t="s">
        <v>3271</v>
      </c>
      <c r="E221" t="s">
        <v>38</v>
      </c>
      <c r="F221" t="s">
        <v>3210</v>
      </c>
      <c r="G221" t="s">
        <v>39</v>
      </c>
      <c r="H221" t="str">
        <f>VLOOKUP(Table1[[#This Row],[City]],Table6[#All],2,FALSE)</f>
        <v>West</v>
      </c>
      <c r="I221" t="s">
        <v>53</v>
      </c>
      <c r="J221" t="str">
        <f>_xlfn.XLOOKUP(Table1[[#This Row],[Tractor Model]],Table7[Product Model],Table7[Product Category],"Not Available",0)</f>
        <v>Farmtrac</v>
      </c>
      <c r="K221" s="4">
        <v>4</v>
      </c>
      <c r="L221" s="72">
        <v>89230</v>
      </c>
      <c r="M221" s="4">
        <f>INDEX('Master Sheet'!$C$4:$C$12,MATCH(Table1[[#This Row],[Quantity]],'Master Sheet'!$B$4:$B$12,0))</f>
        <v>6</v>
      </c>
      <c r="N221" s="71">
        <f>Table1[[#This Row],[Quantity]]*Table1[[#This Row],[Unit Price]]</f>
        <v>356920</v>
      </c>
      <c r="O221" s="73">
        <v>3.5692000000000002E-2</v>
      </c>
      <c r="P221" s="70">
        <f>Table1[[#This Row],[Gross Amount]]*(1-(Table1[[#This Row],[Discount %]]/100))</f>
        <v>335504.8</v>
      </c>
      <c r="Q221" s="74">
        <f>(Table1[[#This Row],[Gross Amount]]*(1-(Table1[[#This Row],[Discount %]]/100)))/10000000</f>
        <v>3.3550480000000001E-2</v>
      </c>
      <c r="R221" t="s">
        <v>54</v>
      </c>
      <c r="S221" t="str" cm="1">
        <f t="array" ref="S221">IFERROR(_xlfn.IFS(Table1[[#This Row],[Payment Status]]="Partial","In Transit",Table1[[#This Row],[Payment Status]]="Paid","Delivered",Table1[[#This Row],[Payment Status]]="Pending","Pending"),"Invalid Input")</f>
        <v>Delivered</v>
      </c>
      <c r="T221" t="s">
        <v>44</v>
      </c>
      <c r="U221" t="str" cm="1">
        <f t="array" ref="U221">IFERROR(_xlfn.IFS(Table1[[#This Row],[Payment Status]]="Partial","In Transit",Table1[[#This Row],[Payment Status]]="Paid","Completed",Table1[[#This Row],[Payment Status]]="Pending","Pending"),"Invalid Input")</f>
        <v>Completed</v>
      </c>
    </row>
    <row r="222" spans="1:21" x14ac:dyDescent="0.25">
      <c r="A222" s="4" t="s">
        <v>503</v>
      </c>
      <c r="B222" s="5">
        <v>45578</v>
      </c>
      <c r="C222" t="s">
        <v>62</v>
      </c>
      <c r="D222" t="s">
        <v>3271</v>
      </c>
      <c r="E222" t="s">
        <v>119</v>
      </c>
      <c r="F222" t="s">
        <v>3228</v>
      </c>
      <c r="G222" t="s">
        <v>21</v>
      </c>
      <c r="H222" t="str">
        <f>VLOOKUP(Table1[[#This Row],[City]],Table6[#All],2,FALSE)</f>
        <v>North</v>
      </c>
      <c r="I222" t="s">
        <v>58</v>
      </c>
      <c r="J222" t="str">
        <f>_xlfn.XLOOKUP(Table1[[#This Row],[Tractor Model]],Table7[Product Model],Table7[Product Category],"Not Available",0)</f>
        <v>Powertrac</v>
      </c>
      <c r="K222" s="4">
        <v>0</v>
      </c>
      <c r="L222" s="72">
        <v>74453</v>
      </c>
      <c r="M222" s="4">
        <f>INDEX('Master Sheet'!$C$4:$C$12,MATCH(Table1[[#This Row],[Quantity]],'Master Sheet'!$B$4:$B$12,0))</f>
        <v>0</v>
      </c>
      <c r="N222" s="71">
        <f>Table1[[#This Row],[Quantity]]*Table1[[#This Row],[Unit Price]]</f>
        <v>0</v>
      </c>
      <c r="O222" s="73">
        <v>0</v>
      </c>
      <c r="P222" s="70">
        <f>Table1[[#This Row],[Gross Amount]]*(1-(Table1[[#This Row],[Discount %]]/100))</f>
        <v>0</v>
      </c>
      <c r="Q222" s="74">
        <f>(Table1[[#This Row],[Gross Amount]]*(1-(Table1[[#This Row],[Discount %]]/100)))/10000000</f>
        <v>0</v>
      </c>
      <c r="R222" t="s">
        <v>25</v>
      </c>
      <c r="S222" t="str" cm="1">
        <f t="array" ref="S222">IFERROR(_xlfn.IFS(Table1[[#This Row],[Payment Status]]="Partial","In Transit",Table1[[#This Row],[Payment Status]]="Paid","Delivered",Table1[[#This Row],[Payment Status]]="Pending","Pending"),"Invalid Input")</f>
        <v>In Transit</v>
      </c>
      <c r="T222" t="s">
        <v>27</v>
      </c>
      <c r="U222" t="str" cm="1">
        <f t="array" ref="U222">IFERROR(_xlfn.IFS(Table1[[#This Row],[Payment Status]]="Partial","In Transit",Table1[[#This Row],[Payment Status]]="Paid","Completed",Table1[[#This Row],[Payment Status]]="Pending","Pending"),"Invalid Input")</f>
        <v>In Transit</v>
      </c>
    </row>
    <row r="223" spans="1:21" x14ac:dyDescent="0.25">
      <c r="A223" s="4" t="s">
        <v>505</v>
      </c>
      <c r="B223" s="5">
        <v>45770</v>
      </c>
      <c r="C223" t="s">
        <v>73</v>
      </c>
      <c r="D223" t="s">
        <v>3268</v>
      </c>
      <c r="E223" t="s">
        <v>38</v>
      </c>
      <c r="F223" t="s">
        <v>3219</v>
      </c>
      <c r="G223" t="s">
        <v>39</v>
      </c>
      <c r="H223" t="str">
        <f>VLOOKUP(Table1[[#This Row],[City]],Table6[#All],2,FALSE)</f>
        <v>West</v>
      </c>
      <c r="I223" t="s">
        <v>53</v>
      </c>
      <c r="J223" t="str">
        <f>_xlfn.XLOOKUP(Table1[[#This Row],[Tractor Model]],Table7[Product Model],Table7[Product Category],"Not Available",0)</f>
        <v>Farmtrac</v>
      </c>
      <c r="K223" s="4">
        <v>8</v>
      </c>
      <c r="L223" s="72">
        <v>308499</v>
      </c>
      <c r="M223" s="4">
        <f>INDEX('Master Sheet'!$C$4:$C$12,MATCH(Table1[[#This Row],[Quantity]],'Master Sheet'!$B$4:$B$12,0))</f>
        <v>9</v>
      </c>
      <c r="N223" s="71">
        <f>Table1[[#This Row],[Quantity]]*Table1[[#This Row],[Unit Price]]</f>
        <v>2467992</v>
      </c>
      <c r="O223" s="73">
        <v>0.2467992</v>
      </c>
      <c r="P223" s="70">
        <f>Table1[[#This Row],[Gross Amount]]*(1-(Table1[[#This Row],[Discount %]]/100))</f>
        <v>2245872.7200000002</v>
      </c>
      <c r="Q223" s="74">
        <f>(Table1[[#This Row],[Gross Amount]]*(1-(Table1[[#This Row],[Discount %]]/100)))/10000000</f>
        <v>0.22458727200000003</v>
      </c>
      <c r="R223" t="s">
        <v>42</v>
      </c>
      <c r="S223" t="str" cm="1">
        <f t="array" ref="S223">IFERROR(_xlfn.IFS(Table1[[#This Row],[Payment Status]]="Partial","In Transit",Table1[[#This Row],[Payment Status]]="Paid","Delivered",Table1[[#This Row],[Payment Status]]="Pending","Pending"),"Invalid Input")</f>
        <v>Pending</v>
      </c>
      <c r="T223" t="s">
        <v>27</v>
      </c>
      <c r="U223" t="str" cm="1">
        <f t="array" ref="U223">IFERROR(_xlfn.IFS(Table1[[#This Row],[Payment Status]]="Partial","In Transit",Table1[[#This Row],[Payment Status]]="Paid","Completed",Table1[[#This Row],[Payment Status]]="Pending","Pending"),"Invalid Input")</f>
        <v>Pending</v>
      </c>
    </row>
    <row r="224" spans="1:21" x14ac:dyDescent="0.25">
      <c r="A224" s="4" t="s">
        <v>507</v>
      </c>
      <c r="B224" s="5">
        <v>45617</v>
      </c>
      <c r="C224" t="s">
        <v>52</v>
      </c>
      <c r="D224" t="s">
        <v>37</v>
      </c>
      <c r="E224" t="s">
        <v>66</v>
      </c>
      <c r="F224" t="s">
        <v>3226</v>
      </c>
      <c r="G224" t="s">
        <v>67</v>
      </c>
      <c r="H224" t="str">
        <f>VLOOKUP(Table1[[#This Row],[City]],Table6[#All],2,FALSE)</f>
        <v>East</v>
      </c>
      <c r="I224" t="s">
        <v>3204</v>
      </c>
      <c r="J224" t="str">
        <f>_xlfn.XLOOKUP(Table1[[#This Row],[Tractor Model]],Table7[Product Model],Table7[Product Category],"Not Available",0)</f>
        <v>Kubota</v>
      </c>
      <c r="K224" s="4">
        <v>7</v>
      </c>
      <c r="L224" s="72">
        <v>745772</v>
      </c>
      <c r="M224" s="4">
        <f>INDEX('Master Sheet'!$C$4:$C$12,MATCH(Table1[[#This Row],[Quantity]],'Master Sheet'!$B$4:$B$12,0))</f>
        <v>9</v>
      </c>
      <c r="N224" s="71">
        <f>Table1[[#This Row],[Quantity]]*Table1[[#This Row],[Unit Price]]</f>
        <v>5220404</v>
      </c>
      <c r="O224" s="73">
        <v>0.52204039999999996</v>
      </c>
      <c r="P224" s="70">
        <f>Table1[[#This Row],[Gross Amount]]*(1-(Table1[[#This Row],[Discount %]]/100))</f>
        <v>4750567.6400000006</v>
      </c>
      <c r="Q224" s="74">
        <f>(Table1[[#This Row],[Gross Amount]]*(1-(Table1[[#This Row],[Discount %]]/100)))/10000000</f>
        <v>0.47505676400000008</v>
      </c>
      <c r="R224" t="s">
        <v>54</v>
      </c>
      <c r="S224" t="str" cm="1">
        <f t="array" ref="S224">IFERROR(_xlfn.IFS(Table1[[#This Row],[Payment Status]]="Partial","In Transit",Table1[[#This Row],[Payment Status]]="Paid","Delivered",Table1[[#This Row],[Payment Status]]="Pending","Pending"),"Invalid Input")</f>
        <v>Delivered</v>
      </c>
      <c r="T224" t="s">
        <v>27</v>
      </c>
      <c r="U224" t="str" cm="1">
        <f t="array" ref="U224">IFERROR(_xlfn.IFS(Table1[[#This Row],[Payment Status]]="Partial","In Transit",Table1[[#This Row],[Payment Status]]="Paid","Completed",Table1[[#This Row],[Payment Status]]="Pending","Pending"),"Invalid Input")</f>
        <v>Completed</v>
      </c>
    </row>
    <row r="225" spans="1:21" x14ac:dyDescent="0.25">
      <c r="A225" s="4" t="s">
        <v>509</v>
      </c>
      <c r="B225" s="5">
        <v>45660</v>
      </c>
      <c r="C225" t="s">
        <v>73</v>
      </c>
      <c r="D225" t="s">
        <v>3271</v>
      </c>
      <c r="E225" t="s">
        <v>38</v>
      </c>
      <c r="F225" t="s">
        <v>3210</v>
      </c>
      <c r="G225" t="s">
        <v>39</v>
      </c>
      <c r="H225" t="str">
        <f>VLOOKUP(Table1[[#This Row],[City]],Table6[#All],2,FALSE)</f>
        <v>West</v>
      </c>
      <c r="I225" t="s">
        <v>58</v>
      </c>
      <c r="J225" t="str">
        <f>_xlfn.XLOOKUP(Table1[[#This Row],[Tractor Model]],Table7[Product Model],Table7[Product Category],"Not Available",0)</f>
        <v>Powertrac</v>
      </c>
      <c r="K225" s="4">
        <v>4</v>
      </c>
      <c r="L225" s="72">
        <v>862208</v>
      </c>
      <c r="M225" s="4">
        <f>INDEX('Master Sheet'!$C$4:$C$12,MATCH(Table1[[#This Row],[Quantity]],'Master Sheet'!$B$4:$B$12,0))</f>
        <v>6</v>
      </c>
      <c r="N225" s="71">
        <f>Table1[[#This Row],[Quantity]]*Table1[[#This Row],[Unit Price]]</f>
        <v>3448832</v>
      </c>
      <c r="O225" s="73">
        <v>0.3448832</v>
      </c>
      <c r="P225" s="70">
        <f>Table1[[#This Row],[Gross Amount]]*(1-(Table1[[#This Row],[Discount %]]/100))</f>
        <v>3241902.0799999996</v>
      </c>
      <c r="Q225" s="74">
        <f>(Table1[[#This Row],[Gross Amount]]*(1-(Table1[[#This Row],[Discount %]]/100)))/10000000</f>
        <v>0.32419020799999998</v>
      </c>
      <c r="R225" t="s">
        <v>54</v>
      </c>
      <c r="S225" t="str" cm="1">
        <f t="array" ref="S225">IFERROR(_xlfn.IFS(Table1[[#This Row],[Payment Status]]="Partial","In Transit",Table1[[#This Row],[Payment Status]]="Paid","Delivered",Table1[[#This Row],[Payment Status]]="Pending","Pending"),"Invalid Input")</f>
        <v>Delivered</v>
      </c>
      <c r="T225" t="s">
        <v>44</v>
      </c>
      <c r="U225" t="str" cm="1">
        <f t="array" ref="U225">IFERROR(_xlfn.IFS(Table1[[#This Row],[Payment Status]]="Partial","In Transit",Table1[[#This Row],[Payment Status]]="Paid","Completed",Table1[[#This Row],[Payment Status]]="Pending","Pending"),"Invalid Input")</f>
        <v>Completed</v>
      </c>
    </row>
    <row r="226" spans="1:21" x14ac:dyDescent="0.25">
      <c r="A226" s="4" t="s">
        <v>511</v>
      </c>
      <c r="B226" s="5">
        <v>45368</v>
      </c>
      <c r="C226" t="s">
        <v>52</v>
      </c>
      <c r="D226" t="s">
        <v>3269</v>
      </c>
      <c r="E226" t="s">
        <v>119</v>
      </c>
      <c r="F226" t="s">
        <v>3229</v>
      </c>
      <c r="G226" t="s">
        <v>21</v>
      </c>
      <c r="H226" t="str">
        <f>VLOOKUP(Table1[[#This Row],[City]],Table6[#All],2,FALSE)</f>
        <v>North</v>
      </c>
      <c r="I226" t="s">
        <v>53</v>
      </c>
      <c r="J226" t="str">
        <f>_xlfn.XLOOKUP(Table1[[#This Row],[Tractor Model]],Table7[Product Model],Table7[Product Category],"Not Available",0)</f>
        <v>Farmtrac</v>
      </c>
      <c r="K226" s="4">
        <v>8</v>
      </c>
      <c r="L226" s="72">
        <v>871600</v>
      </c>
      <c r="M226" s="4">
        <f>INDEX('Master Sheet'!$C$4:$C$12,MATCH(Table1[[#This Row],[Quantity]],'Master Sheet'!$B$4:$B$12,0))</f>
        <v>9</v>
      </c>
      <c r="N226" s="71">
        <f>Table1[[#This Row],[Quantity]]*Table1[[#This Row],[Unit Price]]</f>
        <v>6972800</v>
      </c>
      <c r="O226" s="73">
        <v>0.69728000000000001</v>
      </c>
      <c r="P226" s="70">
        <f>Table1[[#This Row],[Gross Amount]]*(1-(Table1[[#This Row],[Discount %]]/100))</f>
        <v>6345248</v>
      </c>
      <c r="Q226" s="74">
        <f>(Table1[[#This Row],[Gross Amount]]*(1-(Table1[[#This Row],[Discount %]]/100)))/10000000</f>
        <v>0.6345248</v>
      </c>
      <c r="R226" t="s">
        <v>54</v>
      </c>
      <c r="S226" t="str" cm="1">
        <f t="array" ref="S226">IFERROR(_xlfn.IFS(Table1[[#This Row],[Payment Status]]="Partial","In Transit",Table1[[#This Row],[Payment Status]]="Paid","Delivered",Table1[[#This Row],[Payment Status]]="Pending","Pending"),"Invalid Input")</f>
        <v>Delivered</v>
      </c>
      <c r="T226" t="s">
        <v>27</v>
      </c>
      <c r="U226" t="str" cm="1">
        <f t="array" ref="U226">IFERROR(_xlfn.IFS(Table1[[#This Row],[Payment Status]]="Partial","In Transit",Table1[[#This Row],[Payment Status]]="Paid","Completed",Table1[[#This Row],[Payment Status]]="Pending","Pending"),"Invalid Input")</f>
        <v>Completed</v>
      </c>
    </row>
    <row r="227" spans="1:21" x14ac:dyDescent="0.25">
      <c r="A227" s="4" t="s">
        <v>513</v>
      </c>
      <c r="B227" s="5">
        <v>45692</v>
      </c>
      <c r="C227" t="s">
        <v>73</v>
      </c>
      <c r="D227" t="s">
        <v>3271</v>
      </c>
      <c r="E227" t="s">
        <v>66</v>
      </c>
      <c r="F227" t="s">
        <v>3207</v>
      </c>
      <c r="G227" t="s">
        <v>67</v>
      </c>
      <c r="H227" t="str">
        <f>VLOOKUP(Table1[[#This Row],[City]],Table6[#All],2,FALSE)</f>
        <v>East</v>
      </c>
      <c r="I227" t="s">
        <v>58</v>
      </c>
      <c r="J227" t="str">
        <f>_xlfn.XLOOKUP(Table1[[#This Row],[Tractor Model]],Table7[Product Model],Table7[Product Category],"Not Available",0)</f>
        <v>Powertrac</v>
      </c>
      <c r="K227" s="4">
        <v>2</v>
      </c>
      <c r="L227" s="72">
        <v>148940</v>
      </c>
      <c r="M227" s="4">
        <f>INDEX('Master Sheet'!$C$4:$C$12,MATCH(Table1[[#This Row],[Quantity]],'Master Sheet'!$B$4:$B$12,0))</f>
        <v>5</v>
      </c>
      <c r="N227" s="71">
        <f>Table1[[#This Row],[Quantity]]*Table1[[#This Row],[Unit Price]]</f>
        <v>297880</v>
      </c>
      <c r="O227" s="73">
        <v>2.9787999999999999E-2</v>
      </c>
      <c r="P227" s="70">
        <f>Table1[[#This Row],[Gross Amount]]*(1-(Table1[[#This Row],[Discount %]]/100))</f>
        <v>282986</v>
      </c>
      <c r="Q227" s="74">
        <f>(Table1[[#This Row],[Gross Amount]]*(1-(Table1[[#This Row],[Discount %]]/100)))/10000000</f>
        <v>2.82986E-2</v>
      </c>
      <c r="R227" t="s">
        <v>54</v>
      </c>
      <c r="S227" t="str" cm="1">
        <f t="array" ref="S227">IFERROR(_xlfn.IFS(Table1[[#This Row],[Payment Status]]="Partial","In Transit",Table1[[#This Row],[Payment Status]]="Paid","Delivered",Table1[[#This Row],[Payment Status]]="Pending","Pending"),"Invalid Input")</f>
        <v>Delivered</v>
      </c>
      <c r="T227" t="s">
        <v>27</v>
      </c>
      <c r="U227" t="str" cm="1">
        <f t="array" ref="U227">IFERROR(_xlfn.IFS(Table1[[#This Row],[Payment Status]]="Partial","In Transit",Table1[[#This Row],[Payment Status]]="Paid","Completed",Table1[[#This Row],[Payment Status]]="Pending","Pending"),"Invalid Input")</f>
        <v>Completed</v>
      </c>
    </row>
    <row r="228" spans="1:21" x14ac:dyDescent="0.25">
      <c r="A228" s="4" t="s">
        <v>515</v>
      </c>
      <c r="B228" s="5">
        <v>45438</v>
      </c>
      <c r="C228" t="s">
        <v>62</v>
      </c>
      <c r="D228" t="s">
        <v>3268</v>
      </c>
      <c r="E228" t="s">
        <v>119</v>
      </c>
      <c r="F228" t="s">
        <v>3227</v>
      </c>
      <c r="G228" t="s">
        <v>21</v>
      </c>
      <c r="H228" t="str">
        <f>VLOOKUP(Table1[[#This Row],[City]],Table6[#All],2,FALSE)</f>
        <v>North</v>
      </c>
      <c r="I228" t="s">
        <v>3204</v>
      </c>
      <c r="J228" t="str">
        <f>_xlfn.XLOOKUP(Table1[[#This Row],[Tractor Model]],Table7[Product Model],Table7[Product Category],"Not Available",0)</f>
        <v>Kubota</v>
      </c>
      <c r="K228" s="4">
        <v>1</v>
      </c>
      <c r="L228" s="72">
        <v>61667</v>
      </c>
      <c r="M228" s="4">
        <f>INDEX('Master Sheet'!$C$4:$C$12,MATCH(Table1[[#This Row],[Quantity]],'Master Sheet'!$B$4:$B$12,0))</f>
        <v>3</v>
      </c>
      <c r="N228" s="71">
        <f>Table1[[#This Row],[Quantity]]*Table1[[#This Row],[Unit Price]]</f>
        <v>61667</v>
      </c>
      <c r="O228" s="73">
        <v>6.1666999999999998E-3</v>
      </c>
      <c r="P228" s="70">
        <f>Table1[[#This Row],[Gross Amount]]*(1-(Table1[[#This Row],[Discount %]]/100))</f>
        <v>59816.99</v>
      </c>
      <c r="Q228" s="74">
        <f>(Table1[[#This Row],[Gross Amount]]*(1-(Table1[[#This Row],[Discount %]]/100)))/10000000</f>
        <v>5.981699E-3</v>
      </c>
      <c r="R228" t="s">
        <v>25</v>
      </c>
      <c r="S228" t="str" cm="1">
        <f t="array" ref="S228">IFERROR(_xlfn.IFS(Table1[[#This Row],[Payment Status]]="Partial","In Transit",Table1[[#This Row],[Payment Status]]="Paid","Delivered",Table1[[#This Row],[Payment Status]]="Pending","Pending"),"Invalid Input")</f>
        <v>In Transit</v>
      </c>
      <c r="T228" t="s">
        <v>44</v>
      </c>
      <c r="U228" t="str" cm="1">
        <f t="array" ref="U228">IFERROR(_xlfn.IFS(Table1[[#This Row],[Payment Status]]="Partial","In Transit",Table1[[#This Row],[Payment Status]]="Paid","Completed",Table1[[#This Row],[Payment Status]]="Pending","Pending"),"Invalid Input")</f>
        <v>In Transit</v>
      </c>
    </row>
    <row r="229" spans="1:21" x14ac:dyDescent="0.25">
      <c r="A229" s="4" t="s">
        <v>517</v>
      </c>
      <c r="B229" s="5">
        <v>45758</v>
      </c>
      <c r="C229" t="s">
        <v>33</v>
      </c>
      <c r="D229" t="s">
        <v>3271</v>
      </c>
      <c r="E229" t="s">
        <v>119</v>
      </c>
      <c r="F229" t="s">
        <v>3228</v>
      </c>
      <c r="G229" t="s">
        <v>21</v>
      </c>
      <c r="H229" t="str">
        <f>VLOOKUP(Table1[[#This Row],[City]],Table6[#All],2,FALSE)</f>
        <v>North</v>
      </c>
      <c r="I229" t="s">
        <v>58</v>
      </c>
      <c r="J229" t="str">
        <f>_xlfn.XLOOKUP(Table1[[#This Row],[Tractor Model]],Table7[Product Model],Table7[Product Category],"Not Available",0)</f>
        <v>Powertrac</v>
      </c>
      <c r="K229" s="4">
        <v>4</v>
      </c>
      <c r="L229" s="72">
        <v>815888</v>
      </c>
      <c r="M229" s="4">
        <f>INDEX('Master Sheet'!$C$4:$C$12,MATCH(Table1[[#This Row],[Quantity]],'Master Sheet'!$B$4:$B$12,0))</f>
        <v>6</v>
      </c>
      <c r="N229" s="71">
        <f>Table1[[#This Row],[Quantity]]*Table1[[#This Row],[Unit Price]]</f>
        <v>3263552</v>
      </c>
      <c r="O229" s="73">
        <v>0.32635520000000001</v>
      </c>
      <c r="P229" s="70">
        <f>Table1[[#This Row],[Gross Amount]]*(1-(Table1[[#This Row],[Discount %]]/100))</f>
        <v>3067738.88</v>
      </c>
      <c r="Q229" s="74">
        <f>(Table1[[#This Row],[Gross Amount]]*(1-(Table1[[#This Row],[Discount %]]/100)))/10000000</f>
        <v>0.30677388799999999</v>
      </c>
      <c r="R229" t="s">
        <v>25</v>
      </c>
      <c r="S229" t="str" cm="1">
        <f t="array" ref="S229">IFERROR(_xlfn.IFS(Table1[[#This Row],[Payment Status]]="Partial","In Transit",Table1[[#This Row],[Payment Status]]="Paid","Delivered",Table1[[#This Row],[Payment Status]]="Pending","Pending"),"Invalid Input")</f>
        <v>In Transit</v>
      </c>
      <c r="T229" t="s">
        <v>27</v>
      </c>
      <c r="U229" t="str" cm="1">
        <f t="array" ref="U229">IFERROR(_xlfn.IFS(Table1[[#This Row],[Payment Status]]="Partial","In Transit",Table1[[#This Row],[Payment Status]]="Paid","Completed",Table1[[#This Row],[Payment Status]]="Pending","Pending"),"Invalid Input")</f>
        <v>In Transit</v>
      </c>
    </row>
    <row r="230" spans="1:21" x14ac:dyDescent="0.25">
      <c r="A230" s="4" t="s">
        <v>519</v>
      </c>
      <c r="B230" s="5">
        <v>45508</v>
      </c>
      <c r="C230" t="s">
        <v>41</v>
      </c>
      <c r="D230" t="s">
        <v>3270</v>
      </c>
      <c r="E230" t="s">
        <v>30</v>
      </c>
      <c r="F230" t="s">
        <v>3223</v>
      </c>
      <c r="G230" t="s">
        <v>31</v>
      </c>
      <c r="H230" t="str">
        <f>VLOOKUP(Table1[[#This Row],[City]],Table6[#All],2,FALSE)</f>
        <v>South</v>
      </c>
      <c r="I230" t="s">
        <v>3204</v>
      </c>
      <c r="J230" t="str">
        <f>_xlfn.XLOOKUP(Table1[[#This Row],[Tractor Model]],Table7[Product Model],Table7[Product Category],"Not Available",0)</f>
        <v>Kubota</v>
      </c>
      <c r="K230" s="4">
        <v>1</v>
      </c>
      <c r="L230" s="72">
        <v>711676</v>
      </c>
      <c r="M230" s="4">
        <f>INDEX('Master Sheet'!$C$4:$C$12,MATCH(Table1[[#This Row],[Quantity]],'Master Sheet'!$B$4:$B$12,0))</f>
        <v>3</v>
      </c>
      <c r="N230" s="71">
        <f>Table1[[#This Row],[Quantity]]*Table1[[#This Row],[Unit Price]]</f>
        <v>711676</v>
      </c>
      <c r="O230" s="73">
        <v>7.1167599999999998E-2</v>
      </c>
      <c r="P230" s="70">
        <f>Table1[[#This Row],[Gross Amount]]*(1-(Table1[[#This Row],[Discount %]]/100))</f>
        <v>690325.72</v>
      </c>
      <c r="Q230" s="74">
        <f>(Table1[[#This Row],[Gross Amount]]*(1-(Table1[[#This Row],[Discount %]]/100)))/10000000</f>
        <v>6.9032572E-2</v>
      </c>
      <c r="R230" t="s">
        <v>42</v>
      </c>
      <c r="S230" t="str" cm="1">
        <f t="array" ref="S230">IFERROR(_xlfn.IFS(Table1[[#This Row],[Payment Status]]="Partial","In Transit",Table1[[#This Row],[Payment Status]]="Paid","Delivered",Table1[[#This Row],[Payment Status]]="Pending","Pending"),"Invalid Input")</f>
        <v>Pending</v>
      </c>
      <c r="T230" t="s">
        <v>27</v>
      </c>
      <c r="U230" t="str" cm="1">
        <f t="array" ref="U230">IFERROR(_xlfn.IFS(Table1[[#This Row],[Payment Status]]="Partial","In Transit",Table1[[#This Row],[Payment Status]]="Paid","Completed",Table1[[#This Row],[Payment Status]]="Pending","Pending"),"Invalid Input")</f>
        <v>Pending</v>
      </c>
    </row>
    <row r="231" spans="1:21" x14ac:dyDescent="0.25">
      <c r="A231" s="4" t="s">
        <v>521</v>
      </c>
      <c r="B231" s="5">
        <v>45663</v>
      </c>
      <c r="C231" t="s">
        <v>73</v>
      </c>
      <c r="D231" t="s">
        <v>37</v>
      </c>
      <c r="E231" t="s">
        <v>119</v>
      </c>
      <c r="F231" t="s">
        <v>3224</v>
      </c>
      <c r="G231" t="s">
        <v>21</v>
      </c>
      <c r="H231" t="str">
        <f>VLOOKUP(Table1[[#This Row],[City]],Table6[#All],2,FALSE)</f>
        <v>North</v>
      </c>
      <c r="I231" t="s">
        <v>58</v>
      </c>
      <c r="J231" t="str">
        <f>_xlfn.XLOOKUP(Table1[[#This Row],[Tractor Model]],Table7[Product Model],Table7[Product Category],"Not Available",0)</f>
        <v>Powertrac</v>
      </c>
      <c r="K231" s="4">
        <v>6</v>
      </c>
      <c r="L231" s="72">
        <v>579062</v>
      </c>
      <c r="M231" s="4">
        <f>INDEX('Master Sheet'!$C$4:$C$12,MATCH(Table1[[#This Row],[Quantity]],'Master Sheet'!$B$4:$B$12,0))</f>
        <v>8</v>
      </c>
      <c r="N231" s="71">
        <f>Table1[[#This Row],[Quantity]]*Table1[[#This Row],[Unit Price]]</f>
        <v>3474372</v>
      </c>
      <c r="O231" s="73">
        <v>0.3474372</v>
      </c>
      <c r="P231" s="70">
        <f>Table1[[#This Row],[Gross Amount]]*(1-(Table1[[#This Row],[Discount %]]/100))</f>
        <v>3196422.24</v>
      </c>
      <c r="Q231" s="74">
        <f>(Table1[[#This Row],[Gross Amount]]*(1-(Table1[[#This Row],[Discount %]]/100)))/10000000</f>
        <v>0.31964222400000003</v>
      </c>
      <c r="R231" t="s">
        <v>54</v>
      </c>
      <c r="S231" t="str" cm="1">
        <f t="array" ref="S231">IFERROR(_xlfn.IFS(Table1[[#This Row],[Payment Status]]="Partial","In Transit",Table1[[#This Row],[Payment Status]]="Paid","Delivered",Table1[[#This Row],[Payment Status]]="Pending","Pending"),"Invalid Input")</f>
        <v>Delivered</v>
      </c>
      <c r="T231" t="s">
        <v>27</v>
      </c>
      <c r="U231" t="str" cm="1">
        <f t="array" ref="U231">IFERROR(_xlfn.IFS(Table1[[#This Row],[Payment Status]]="Partial","In Transit",Table1[[#This Row],[Payment Status]]="Paid","Completed",Table1[[#This Row],[Payment Status]]="Pending","Pending"),"Invalid Input")</f>
        <v>Completed</v>
      </c>
    </row>
    <row r="232" spans="1:21" x14ac:dyDescent="0.25">
      <c r="A232" s="4" t="s">
        <v>523</v>
      </c>
      <c r="B232" s="5">
        <v>45657</v>
      </c>
      <c r="C232" t="s">
        <v>62</v>
      </c>
      <c r="D232" t="s">
        <v>37</v>
      </c>
      <c r="E232" t="s">
        <v>38</v>
      </c>
      <c r="F232" t="s">
        <v>3214</v>
      </c>
      <c r="G232" t="s">
        <v>39</v>
      </c>
      <c r="H232" t="str">
        <f>VLOOKUP(Table1[[#This Row],[City]],Table6[#All],2,FALSE)</f>
        <v>West</v>
      </c>
      <c r="I232" t="s">
        <v>3203</v>
      </c>
      <c r="J232" t="str">
        <f>_xlfn.XLOOKUP(Table1[[#This Row],[Tractor Model]],Table7[Product Model],Table7[Product Category],"Not Available",0)</f>
        <v>Kubota</v>
      </c>
      <c r="K232" s="4">
        <v>1</v>
      </c>
      <c r="L232" s="72">
        <v>134636</v>
      </c>
      <c r="M232" s="4">
        <f>INDEX('Master Sheet'!$C$4:$C$12,MATCH(Table1[[#This Row],[Quantity]],'Master Sheet'!$B$4:$B$12,0))</f>
        <v>3</v>
      </c>
      <c r="N232" s="71">
        <f>Table1[[#This Row],[Quantity]]*Table1[[#This Row],[Unit Price]]</f>
        <v>134636</v>
      </c>
      <c r="O232" s="73">
        <v>1.3463599999999999E-2</v>
      </c>
      <c r="P232" s="70">
        <f>Table1[[#This Row],[Gross Amount]]*(1-(Table1[[#This Row],[Discount %]]/100))</f>
        <v>130596.92</v>
      </c>
      <c r="Q232" s="74">
        <f>(Table1[[#This Row],[Gross Amount]]*(1-(Table1[[#This Row],[Discount %]]/100)))/10000000</f>
        <v>1.3059691999999999E-2</v>
      </c>
      <c r="R232" t="s">
        <v>25</v>
      </c>
      <c r="S232" t="str" cm="1">
        <f t="array" ref="S232">IFERROR(_xlfn.IFS(Table1[[#This Row],[Payment Status]]="Partial","In Transit",Table1[[#This Row],[Payment Status]]="Paid","Delivered",Table1[[#This Row],[Payment Status]]="Pending","Pending"),"Invalid Input")</f>
        <v>In Transit</v>
      </c>
      <c r="T232" t="s">
        <v>27</v>
      </c>
      <c r="U232" t="str" cm="1">
        <f t="array" ref="U232">IFERROR(_xlfn.IFS(Table1[[#This Row],[Payment Status]]="Partial","In Transit",Table1[[#This Row],[Payment Status]]="Paid","Completed",Table1[[#This Row],[Payment Status]]="Pending","Pending"),"Invalid Input")</f>
        <v>In Transit</v>
      </c>
    </row>
    <row r="233" spans="1:21" x14ac:dyDescent="0.25">
      <c r="A233" s="4" t="s">
        <v>525</v>
      </c>
      <c r="B233" s="5">
        <v>45698</v>
      </c>
      <c r="C233" t="s">
        <v>62</v>
      </c>
      <c r="D233" t="s">
        <v>3271</v>
      </c>
      <c r="E233" t="s">
        <v>30</v>
      </c>
      <c r="F233" t="s">
        <v>3217</v>
      </c>
      <c r="G233" t="s">
        <v>31</v>
      </c>
      <c r="H233" t="str">
        <f>VLOOKUP(Table1[[#This Row],[City]],Table6[#All],2,FALSE)</f>
        <v>South</v>
      </c>
      <c r="I233" t="s">
        <v>3203</v>
      </c>
      <c r="J233" t="str">
        <f>_xlfn.XLOOKUP(Table1[[#This Row],[Tractor Model]],Table7[Product Model],Table7[Product Category],"Not Available",0)</f>
        <v>Kubota</v>
      </c>
      <c r="K233" s="4">
        <v>6</v>
      </c>
      <c r="L233" s="72">
        <v>122620</v>
      </c>
      <c r="M233" s="4">
        <f>INDEX('Master Sheet'!$C$4:$C$12,MATCH(Table1[[#This Row],[Quantity]],'Master Sheet'!$B$4:$B$12,0))</f>
        <v>8</v>
      </c>
      <c r="N233" s="71">
        <f>Table1[[#This Row],[Quantity]]*Table1[[#This Row],[Unit Price]]</f>
        <v>735720</v>
      </c>
      <c r="O233" s="73">
        <v>7.3571999999999999E-2</v>
      </c>
      <c r="P233" s="70">
        <f>Table1[[#This Row],[Gross Amount]]*(1-(Table1[[#This Row],[Discount %]]/100))</f>
        <v>676862.4</v>
      </c>
      <c r="Q233" s="74">
        <f>(Table1[[#This Row],[Gross Amount]]*(1-(Table1[[#This Row],[Discount %]]/100)))/10000000</f>
        <v>6.7686240000000009E-2</v>
      </c>
      <c r="R233" t="s">
        <v>25</v>
      </c>
      <c r="S233" t="str" cm="1">
        <f t="array" ref="S233">IFERROR(_xlfn.IFS(Table1[[#This Row],[Payment Status]]="Partial","In Transit",Table1[[#This Row],[Payment Status]]="Paid","Delivered",Table1[[#This Row],[Payment Status]]="Pending","Pending"),"Invalid Input")</f>
        <v>In Transit</v>
      </c>
      <c r="T233" t="s">
        <v>27</v>
      </c>
      <c r="U233" t="str" cm="1">
        <f t="array" ref="U233">IFERROR(_xlfn.IFS(Table1[[#This Row],[Payment Status]]="Partial","In Transit",Table1[[#This Row],[Payment Status]]="Paid","Completed",Table1[[#This Row],[Payment Status]]="Pending","Pending"),"Invalid Input")</f>
        <v>In Transit</v>
      </c>
    </row>
    <row r="234" spans="1:21" x14ac:dyDescent="0.25">
      <c r="A234" s="4" t="s">
        <v>527</v>
      </c>
      <c r="B234" s="5">
        <v>45292</v>
      </c>
      <c r="C234" t="s">
        <v>33</v>
      </c>
      <c r="D234" t="s">
        <v>3270</v>
      </c>
      <c r="E234" t="s">
        <v>30</v>
      </c>
      <c r="F234" t="s">
        <v>3223</v>
      </c>
      <c r="G234" t="s">
        <v>31</v>
      </c>
      <c r="H234" t="str">
        <f>VLOOKUP(Table1[[#This Row],[City]],Table6[#All],2,FALSE)</f>
        <v>South</v>
      </c>
      <c r="I234" t="s">
        <v>3203</v>
      </c>
      <c r="J234" t="str">
        <f>_xlfn.XLOOKUP(Table1[[#This Row],[Tractor Model]],Table7[Product Model],Table7[Product Category],"Not Available",0)</f>
        <v>Kubota</v>
      </c>
      <c r="K234" s="4">
        <v>5</v>
      </c>
      <c r="L234" s="72">
        <v>537490</v>
      </c>
      <c r="M234" s="4">
        <f>INDEX('Master Sheet'!$C$4:$C$12,MATCH(Table1[[#This Row],[Quantity]],'Master Sheet'!$B$4:$B$12,0))</f>
        <v>7</v>
      </c>
      <c r="N234" s="71">
        <f>Table1[[#This Row],[Quantity]]*Table1[[#This Row],[Unit Price]]</f>
        <v>2687450</v>
      </c>
      <c r="O234" s="73">
        <v>0.26874500000000001</v>
      </c>
      <c r="P234" s="70">
        <f>Table1[[#This Row],[Gross Amount]]*(1-(Table1[[#This Row],[Discount %]]/100))</f>
        <v>2499328.5</v>
      </c>
      <c r="Q234" s="74">
        <f>(Table1[[#This Row],[Gross Amount]]*(1-(Table1[[#This Row],[Discount %]]/100)))/10000000</f>
        <v>0.24993285000000001</v>
      </c>
      <c r="R234" t="s">
        <v>42</v>
      </c>
      <c r="S234" t="str" cm="1">
        <f t="array" ref="S234">IFERROR(_xlfn.IFS(Table1[[#This Row],[Payment Status]]="Partial","In Transit",Table1[[#This Row],[Payment Status]]="Paid","Delivered",Table1[[#This Row],[Payment Status]]="Pending","Pending"),"Invalid Input")</f>
        <v>Pending</v>
      </c>
      <c r="T234" t="s">
        <v>27</v>
      </c>
      <c r="U234" t="str" cm="1">
        <f t="array" ref="U234">IFERROR(_xlfn.IFS(Table1[[#This Row],[Payment Status]]="Partial","In Transit",Table1[[#This Row],[Payment Status]]="Paid","Completed",Table1[[#This Row],[Payment Status]]="Pending","Pending"),"Invalid Input")</f>
        <v>Pending</v>
      </c>
    </row>
    <row r="235" spans="1:21" x14ac:dyDescent="0.25">
      <c r="A235" s="4" t="s">
        <v>529</v>
      </c>
      <c r="B235" s="5">
        <v>45793</v>
      </c>
      <c r="C235" t="s">
        <v>41</v>
      </c>
      <c r="D235" t="s">
        <v>3269</v>
      </c>
      <c r="E235" t="s">
        <v>38</v>
      </c>
      <c r="F235" t="s">
        <v>3206</v>
      </c>
      <c r="G235" t="s">
        <v>39</v>
      </c>
      <c r="H235" t="str">
        <f>VLOOKUP(Table1[[#This Row],[City]],Table6[#All],2,FALSE)</f>
        <v>West</v>
      </c>
      <c r="I235" t="s">
        <v>53</v>
      </c>
      <c r="J235" t="str">
        <f>_xlfn.XLOOKUP(Table1[[#This Row],[Tractor Model]],Table7[Product Model],Table7[Product Category],"Not Available",0)</f>
        <v>Farmtrac</v>
      </c>
      <c r="K235" s="4">
        <v>7</v>
      </c>
      <c r="L235" s="72">
        <v>493566</v>
      </c>
      <c r="M235" s="4">
        <f>INDEX('Master Sheet'!$C$4:$C$12,MATCH(Table1[[#This Row],[Quantity]],'Master Sheet'!$B$4:$B$12,0))</f>
        <v>9</v>
      </c>
      <c r="N235" s="71">
        <f>Table1[[#This Row],[Quantity]]*Table1[[#This Row],[Unit Price]]</f>
        <v>3454962</v>
      </c>
      <c r="O235" s="73">
        <v>0.34549619999999998</v>
      </c>
      <c r="P235" s="70">
        <f>Table1[[#This Row],[Gross Amount]]*(1-(Table1[[#This Row],[Discount %]]/100))</f>
        <v>3144015.42</v>
      </c>
      <c r="Q235" s="74">
        <f>(Table1[[#This Row],[Gross Amount]]*(1-(Table1[[#This Row],[Discount %]]/100)))/10000000</f>
        <v>0.31440154199999998</v>
      </c>
      <c r="R235" t="s">
        <v>54</v>
      </c>
      <c r="S235" t="str" cm="1">
        <f t="array" ref="S235">IFERROR(_xlfn.IFS(Table1[[#This Row],[Payment Status]]="Partial","In Transit",Table1[[#This Row],[Payment Status]]="Paid","Delivered",Table1[[#This Row],[Payment Status]]="Pending","Pending"),"Invalid Input")</f>
        <v>Delivered</v>
      </c>
      <c r="T235" t="s">
        <v>27</v>
      </c>
      <c r="U235" t="str" cm="1">
        <f t="array" ref="U235">IFERROR(_xlfn.IFS(Table1[[#This Row],[Payment Status]]="Partial","In Transit",Table1[[#This Row],[Payment Status]]="Paid","Completed",Table1[[#This Row],[Payment Status]]="Pending","Pending"),"Invalid Input")</f>
        <v>Completed</v>
      </c>
    </row>
    <row r="236" spans="1:21" x14ac:dyDescent="0.25">
      <c r="A236" s="4" t="s">
        <v>531</v>
      </c>
      <c r="B236" s="5">
        <v>45376</v>
      </c>
      <c r="C236" t="s">
        <v>33</v>
      </c>
      <c r="D236" t="s">
        <v>3268</v>
      </c>
      <c r="E236" t="s">
        <v>30</v>
      </c>
      <c r="F236" t="s">
        <v>3208</v>
      </c>
      <c r="G236" t="s">
        <v>31</v>
      </c>
      <c r="H236" t="str">
        <f>VLOOKUP(Table1[[#This Row],[City]],Table6[#All],2,FALSE)</f>
        <v>South</v>
      </c>
      <c r="I236" t="s">
        <v>3204</v>
      </c>
      <c r="J236" t="str">
        <f>_xlfn.XLOOKUP(Table1[[#This Row],[Tractor Model]],Table7[Product Model],Table7[Product Category],"Not Available",0)</f>
        <v>Kubota</v>
      </c>
      <c r="K236" s="4">
        <v>2</v>
      </c>
      <c r="L236" s="72">
        <v>177146</v>
      </c>
      <c r="M236" s="4">
        <f>INDEX('Master Sheet'!$C$4:$C$12,MATCH(Table1[[#This Row],[Quantity]],'Master Sheet'!$B$4:$B$12,0))</f>
        <v>5</v>
      </c>
      <c r="N236" s="71">
        <f>Table1[[#This Row],[Quantity]]*Table1[[#This Row],[Unit Price]]</f>
        <v>354292</v>
      </c>
      <c r="O236" s="73">
        <v>3.5429200000000001E-2</v>
      </c>
      <c r="P236" s="70">
        <f>Table1[[#This Row],[Gross Amount]]*(1-(Table1[[#This Row],[Discount %]]/100))</f>
        <v>336577.39999999997</v>
      </c>
      <c r="Q236" s="74">
        <f>(Table1[[#This Row],[Gross Amount]]*(1-(Table1[[#This Row],[Discount %]]/100)))/10000000</f>
        <v>3.3657739999999998E-2</v>
      </c>
      <c r="R236" t="s">
        <v>25</v>
      </c>
      <c r="S236" t="str" cm="1">
        <f t="array" ref="S236">IFERROR(_xlfn.IFS(Table1[[#This Row],[Payment Status]]="Partial","In Transit",Table1[[#This Row],[Payment Status]]="Paid","Delivered",Table1[[#This Row],[Payment Status]]="Pending","Pending"),"Invalid Input")</f>
        <v>In Transit</v>
      </c>
      <c r="T236" t="s">
        <v>27</v>
      </c>
      <c r="U236" t="str" cm="1">
        <f t="array" ref="U236">IFERROR(_xlfn.IFS(Table1[[#This Row],[Payment Status]]="Partial","In Transit",Table1[[#This Row],[Payment Status]]="Paid","Completed",Table1[[#This Row],[Payment Status]]="Pending","Pending"),"Invalid Input")</f>
        <v>In Transit</v>
      </c>
    </row>
    <row r="237" spans="1:21" x14ac:dyDescent="0.25">
      <c r="A237" s="4" t="s">
        <v>533</v>
      </c>
      <c r="B237" s="5">
        <v>45570</v>
      </c>
      <c r="C237" t="s">
        <v>33</v>
      </c>
      <c r="D237" t="s">
        <v>3269</v>
      </c>
      <c r="E237" t="s">
        <v>30</v>
      </c>
      <c r="F237" t="s">
        <v>3225</v>
      </c>
      <c r="G237" t="s">
        <v>31</v>
      </c>
      <c r="H237" t="str">
        <f>VLOOKUP(Table1[[#This Row],[City]],Table6[#All],2,FALSE)</f>
        <v>South</v>
      </c>
      <c r="I237" t="s">
        <v>3204</v>
      </c>
      <c r="J237" t="str">
        <f>_xlfn.XLOOKUP(Table1[[#This Row],[Tractor Model]],Table7[Product Model],Table7[Product Category],"Not Available",0)</f>
        <v>Kubota</v>
      </c>
      <c r="K237" s="4">
        <v>3</v>
      </c>
      <c r="L237" s="72">
        <v>848878</v>
      </c>
      <c r="M237" s="4">
        <f>INDEX('Master Sheet'!$C$4:$C$12,MATCH(Table1[[#This Row],[Quantity]],'Master Sheet'!$B$4:$B$12,0))</f>
        <v>6</v>
      </c>
      <c r="N237" s="71">
        <f>Table1[[#This Row],[Quantity]]*Table1[[#This Row],[Unit Price]]</f>
        <v>2546634</v>
      </c>
      <c r="O237" s="73">
        <v>0.25466339999999998</v>
      </c>
      <c r="P237" s="70">
        <f>Table1[[#This Row],[Gross Amount]]*(1-(Table1[[#This Row],[Discount %]]/100))</f>
        <v>2393835.96</v>
      </c>
      <c r="Q237" s="74">
        <f>(Table1[[#This Row],[Gross Amount]]*(1-(Table1[[#This Row],[Discount %]]/100)))/10000000</f>
        <v>0.239383596</v>
      </c>
      <c r="R237" t="s">
        <v>42</v>
      </c>
      <c r="S237" t="str" cm="1">
        <f t="array" ref="S237">IFERROR(_xlfn.IFS(Table1[[#This Row],[Payment Status]]="Partial","In Transit",Table1[[#This Row],[Payment Status]]="Paid","Delivered",Table1[[#This Row],[Payment Status]]="Pending","Pending"),"Invalid Input")</f>
        <v>Pending</v>
      </c>
      <c r="T237" t="s">
        <v>27</v>
      </c>
      <c r="U237" t="str" cm="1">
        <f t="array" ref="U237">IFERROR(_xlfn.IFS(Table1[[#This Row],[Payment Status]]="Partial","In Transit",Table1[[#This Row],[Payment Status]]="Paid","Completed",Table1[[#This Row],[Payment Status]]="Pending","Pending"),"Invalid Input")</f>
        <v>Pending</v>
      </c>
    </row>
    <row r="238" spans="1:21" x14ac:dyDescent="0.25">
      <c r="A238" s="4" t="s">
        <v>535</v>
      </c>
      <c r="B238" s="5">
        <v>45761</v>
      </c>
      <c r="C238" t="s">
        <v>73</v>
      </c>
      <c r="D238" t="s">
        <v>3268</v>
      </c>
      <c r="E238" t="s">
        <v>47</v>
      </c>
      <c r="F238" t="s">
        <v>3216</v>
      </c>
      <c r="G238" t="s">
        <v>48</v>
      </c>
      <c r="H238" t="str">
        <f>VLOOKUP(Table1[[#This Row],[City]],Table6[#All],2,FALSE)</f>
        <v>North</v>
      </c>
      <c r="I238" t="s">
        <v>58</v>
      </c>
      <c r="J238" t="str">
        <f>_xlfn.XLOOKUP(Table1[[#This Row],[Tractor Model]],Table7[Product Model],Table7[Product Category],"Not Available",0)</f>
        <v>Powertrac</v>
      </c>
      <c r="K238" s="4">
        <v>4</v>
      </c>
      <c r="L238" s="72">
        <v>482242</v>
      </c>
      <c r="M238" s="4">
        <f>INDEX('Master Sheet'!$C$4:$C$12,MATCH(Table1[[#This Row],[Quantity]],'Master Sheet'!$B$4:$B$12,0))</f>
        <v>6</v>
      </c>
      <c r="N238" s="71">
        <f>Table1[[#This Row],[Quantity]]*Table1[[#This Row],[Unit Price]]</f>
        <v>1928968</v>
      </c>
      <c r="O238" s="73">
        <v>0.19289680000000001</v>
      </c>
      <c r="P238" s="70">
        <f>Table1[[#This Row],[Gross Amount]]*(1-(Table1[[#This Row],[Discount %]]/100))</f>
        <v>1813229.92</v>
      </c>
      <c r="Q238" s="74">
        <f>(Table1[[#This Row],[Gross Amount]]*(1-(Table1[[#This Row],[Discount %]]/100)))/10000000</f>
        <v>0.18132299199999999</v>
      </c>
      <c r="R238" t="s">
        <v>42</v>
      </c>
      <c r="S238" t="str" cm="1">
        <f t="array" ref="S238">IFERROR(_xlfn.IFS(Table1[[#This Row],[Payment Status]]="Partial","In Transit",Table1[[#This Row],[Payment Status]]="Paid","Delivered",Table1[[#This Row],[Payment Status]]="Pending","Pending"),"Invalid Input")</f>
        <v>Pending</v>
      </c>
      <c r="T238" t="s">
        <v>27</v>
      </c>
      <c r="U238" t="str" cm="1">
        <f t="array" ref="U238">IFERROR(_xlfn.IFS(Table1[[#This Row],[Payment Status]]="Partial","In Transit",Table1[[#This Row],[Payment Status]]="Paid","Completed",Table1[[#This Row],[Payment Status]]="Pending","Pending"),"Invalid Input")</f>
        <v>Pending</v>
      </c>
    </row>
    <row r="239" spans="1:21" x14ac:dyDescent="0.25">
      <c r="A239" s="4" t="s">
        <v>536</v>
      </c>
      <c r="B239" s="5">
        <v>45544</v>
      </c>
      <c r="C239" t="s">
        <v>41</v>
      </c>
      <c r="D239" t="s">
        <v>3269</v>
      </c>
      <c r="E239" t="s">
        <v>119</v>
      </c>
      <c r="F239" t="s">
        <v>3229</v>
      </c>
      <c r="G239" t="s">
        <v>21</v>
      </c>
      <c r="H239" t="str">
        <f>VLOOKUP(Table1[[#This Row],[City]],Table6[#All],2,FALSE)</f>
        <v>North</v>
      </c>
      <c r="I239" t="s">
        <v>3203</v>
      </c>
      <c r="J239" t="str">
        <f>_xlfn.XLOOKUP(Table1[[#This Row],[Tractor Model]],Table7[Product Model],Table7[Product Category],"Not Available",0)</f>
        <v>Kubota</v>
      </c>
      <c r="K239" s="4">
        <v>1</v>
      </c>
      <c r="L239" s="72">
        <v>288299</v>
      </c>
      <c r="M239" s="4">
        <f>INDEX('Master Sheet'!$C$4:$C$12,MATCH(Table1[[#This Row],[Quantity]],'Master Sheet'!$B$4:$B$12,0))</f>
        <v>3</v>
      </c>
      <c r="N239" s="71">
        <f>Table1[[#This Row],[Quantity]]*Table1[[#This Row],[Unit Price]]</f>
        <v>288299</v>
      </c>
      <c r="O239" s="73">
        <v>2.8829899999999999E-2</v>
      </c>
      <c r="P239" s="70">
        <f>Table1[[#This Row],[Gross Amount]]*(1-(Table1[[#This Row],[Discount %]]/100))</f>
        <v>279650.02999999997</v>
      </c>
      <c r="Q239" s="74">
        <f>(Table1[[#This Row],[Gross Amount]]*(1-(Table1[[#This Row],[Discount %]]/100)))/10000000</f>
        <v>2.7965002999999999E-2</v>
      </c>
      <c r="R239" t="s">
        <v>42</v>
      </c>
      <c r="S239" t="str" cm="1">
        <f t="array" ref="S239">IFERROR(_xlfn.IFS(Table1[[#This Row],[Payment Status]]="Partial","In Transit",Table1[[#This Row],[Payment Status]]="Paid","Delivered",Table1[[#This Row],[Payment Status]]="Pending","Pending"),"Invalid Input")</f>
        <v>Pending</v>
      </c>
      <c r="T239" t="s">
        <v>44</v>
      </c>
      <c r="U239" t="str" cm="1">
        <f t="array" ref="U239">IFERROR(_xlfn.IFS(Table1[[#This Row],[Payment Status]]="Partial","In Transit",Table1[[#This Row],[Payment Status]]="Paid","Completed",Table1[[#This Row],[Payment Status]]="Pending","Pending"),"Invalid Input")</f>
        <v>Pending</v>
      </c>
    </row>
    <row r="240" spans="1:21" x14ac:dyDescent="0.25">
      <c r="A240" s="4" t="s">
        <v>538</v>
      </c>
      <c r="B240" s="5">
        <v>45520</v>
      </c>
      <c r="C240" t="s">
        <v>62</v>
      </c>
      <c r="D240" t="s">
        <v>3271</v>
      </c>
      <c r="E240" t="s">
        <v>38</v>
      </c>
      <c r="F240" t="s">
        <v>3210</v>
      </c>
      <c r="G240" t="s">
        <v>39</v>
      </c>
      <c r="H240" t="str">
        <f>VLOOKUP(Table1[[#This Row],[City]],Table6[#All],2,FALSE)</f>
        <v>West</v>
      </c>
      <c r="I240" t="s">
        <v>3203</v>
      </c>
      <c r="J240" t="str">
        <f>_xlfn.XLOOKUP(Table1[[#This Row],[Tractor Model]],Table7[Product Model],Table7[Product Category],"Not Available",0)</f>
        <v>Kubota</v>
      </c>
      <c r="K240" s="4">
        <v>0</v>
      </c>
      <c r="L240" s="72">
        <v>531361</v>
      </c>
      <c r="M240" s="4">
        <f>INDEX('Master Sheet'!$C$4:$C$12,MATCH(Table1[[#This Row],[Quantity]],'Master Sheet'!$B$4:$B$12,0))</f>
        <v>0</v>
      </c>
      <c r="N240" s="71">
        <f>Table1[[#This Row],[Quantity]]*Table1[[#This Row],[Unit Price]]</f>
        <v>0</v>
      </c>
      <c r="O240" s="73">
        <v>0</v>
      </c>
      <c r="P240" s="70">
        <f>Table1[[#This Row],[Gross Amount]]*(1-(Table1[[#This Row],[Discount %]]/100))</f>
        <v>0</v>
      </c>
      <c r="Q240" s="74">
        <f>(Table1[[#This Row],[Gross Amount]]*(1-(Table1[[#This Row],[Discount %]]/100)))/10000000</f>
        <v>0</v>
      </c>
      <c r="R240" t="s">
        <v>54</v>
      </c>
      <c r="S240" t="str" cm="1">
        <f t="array" ref="S240">IFERROR(_xlfn.IFS(Table1[[#This Row],[Payment Status]]="Partial","In Transit",Table1[[#This Row],[Payment Status]]="Paid","Delivered",Table1[[#This Row],[Payment Status]]="Pending","Pending"),"Invalid Input")</f>
        <v>Delivered</v>
      </c>
      <c r="T240" t="s">
        <v>27</v>
      </c>
      <c r="U240" t="str" cm="1">
        <f t="array" ref="U240">IFERROR(_xlfn.IFS(Table1[[#This Row],[Payment Status]]="Partial","In Transit",Table1[[#This Row],[Payment Status]]="Paid","Completed",Table1[[#This Row],[Payment Status]]="Pending","Pending"),"Invalid Input")</f>
        <v>Completed</v>
      </c>
    </row>
    <row r="241" spans="1:21" x14ac:dyDescent="0.25">
      <c r="A241" s="4" t="s">
        <v>540</v>
      </c>
      <c r="B241" s="5">
        <v>45822</v>
      </c>
      <c r="C241" t="s">
        <v>52</v>
      </c>
      <c r="D241" t="s">
        <v>37</v>
      </c>
      <c r="E241" t="s">
        <v>47</v>
      </c>
      <c r="F241" t="s">
        <v>3215</v>
      </c>
      <c r="G241" t="s">
        <v>48</v>
      </c>
      <c r="H241" t="str">
        <f>VLOOKUP(Table1[[#This Row],[City]],Table6[#All],2,FALSE)</f>
        <v>North</v>
      </c>
      <c r="I241" t="s">
        <v>53</v>
      </c>
      <c r="J241" t="str">
        <f>_xlfn.XLOOKUP(Table1[[#This Row],[Tractor Model]],Table7[Product Model],Table7[Product Category],"Not Available",0)</f>
        <v>Farmtrac</v>
      </c>
      <c r="K241" s="4">
        <v>5</v>
      </c>
      <c r="L241" s="72">
        <v>851114</v>
      </c>
      <c r="M241" s="4">
        <f>INDEX('Master Sheet'!$C$4:$C$12,MATCH(Table1[[#This Row],[Quantity]],'Master Sheet'!$B$4:$B$12,0))</f>
        <v>7</v>
      </c>
      <c r="N241" s="71">
        <f>Table1[[#This Row],[Quantity]]*Table1[[#This Row],[Unit Price]]</f>
        <v>4255570</v>
      </c>
      <c r="O241" s="73">
        <v>0.42555700000000002</v>
      </c>
      <c r="P241" s="70">
        <f>Table1[[#This Row],[Gross Amount]]*(1-(Table1[[#This Row],[Discount %]]/100))</f>
        <v>3957680.0999999996</v>
      </c>
      <c r="Q241" s="74">
        <f>(Table1[[#This Row],[Gross Amount]]*(1-(Table1[[#This Row],[Discount %]]/100)))/10000000</f>
        <v>0.39576800999999995</v>
      </c>
      <c r="R241" t="s">
        <v>25</v>
      </c>
      <c r="S241" t="str" cm="1">
        <f t="array" ref="S241">IFERROR(_xlfn.IFS(Table1[[#This Row],[Payment Status]]="Partial","In Transit",Table1[[#This Row],[Payment Status]]="Paid","Delivered",Table1[[#This Row],[Payment Status]]="Pending","Pending"),"Invalid Input")</f>
        <v>In Transit</v>
      </c>
      <c r="T241" t="s">
        <v>27</v>
      </c>
      <c r="U241" t="str" cm="1">
        <f t="array" ref="U241">IFERROR(_xlfn.IFS(Table1[[#This Row],[Payment Status]]="Partial","In Transit",Table1[[#This Row],[Payment Status]]="Paid","Completed",Table1[[#This Row],[Payment Status]]="Pending","Pending"),"Invalid Input")</f>
        <v>In Transit</v>
      </c>
    </row>
    <row r="242" spans="1:21" x14ac:dyDescent="0.25">
      <c r="A242" s="4" t="s">
        <v>541</v>
      </c>
      <c r="B242" s="5">
        <v>45333</v>
      </c>
      <c r="C242" t="s">
        <v>52</v>
      </c>
      <c r="D242" t="s">
        <v>3270</v>
      </c>
      <c r="E242" t="s">
        <v>30</v>
      </c>
      <c r="F242" t="s">
        <v>3223</v>
      </c>
      <c r="G242" t="s">
        <v>31</v>
      </c>
      <c r="H242" t="str">
        <f>VLOOKUP(Table1[[#This Row],[City]],Table6[#All],2,FALSE)</f>
        <v>South</v>
      </c>
      <c r="I242" t="s">
        <v>53</v>
      </c>
      <c r="J242" t="str">
        <f>_xlfn.XLOOKUP(Table1[[#This Row],[Tractor Model]],Table7[Product Model],Table7[Product Category],"Not Available",0)</f>
        <v>Farmtrac</v>
      </c>
      <c r="K242" s="4">
        <v>1</v>
      </c>
      <c r="L242" s="72">
        <v>705027</v>
      </c>
      <c r="M242" s="4">
        <f>INDEX('Master Sheet'!$C$4:$C$12,MATCH(Table1[[#This Row],[Quantity]],'Master Sheet'!$B$4:$B$12,0))</f>
        <v>3</v>
      </c>
      <c r="N242" s="71">
        <f>Table1[[#This Row],[Quantity]]*Table1[[#This Row],[Unit Price]]</f>
        <v>705027</v>
      </c>
      <c r="O242" s="73">
        <v>7.0502700000000001E-2</v>
      </c>
      <c r="P242" s="70">
        <f>Table1[[#This Row],[Gross Amount]]*(1-(Table1[[#This Row],[Discount %]]/100))</f>
        <v>683876.19</v>
      </c>
      <c r="Q242" s="74">
        <f>(Table1[[#This Row],[Gross Amount]]*(1-(Table1[[#This Row],[Discount %]]/100)))/10000000</f>
        <v>6.8387618999999997E-2</v>
      </c>
      <c r="R242" t="s">
        <v>42</v>
      </c>
      <c r="S242" t="str" cm="1">
        <f t="array" ref="S242">IFERROR(_xlfn.IFS(Table1[[#This Row],[Payment Status]]="Partial","In Transit",Table1[[#This Row],[Payment Status]]="Paid","Delivered",Table1[[#This Row],[Payment Status]]="Pending","Pending"),"Invalid Input")</f>
        <v>Pending</v>
      </c>
      <c r="T242" t="s">
        <v>27</v>
      </c>
      <c r="U242" t="str" cm="1">
        <f t="array" ref="U242">IFERROR(_xlfn.IFS(Table1[[#This Row],[Payment Status]]="Partial","In Transit",Table1[[#This Row],[Payment Status]]="Paid","Completed",Table1[[#This Row],[Payment Status]]="Pending","Pending"),"Invalid Input")</f>
        <v>Pending</v>
      </c>
    </row>
    <row r="243" spans="1:21" x14ac:dyDescent="0.25">
      <c r="A243" s="4" t="s">
        <v>542</v>
      </c>
      <c r="B243" s="5">
        <v>45598</v>
      </c>
      <c r="C243" t="s">
        <v>41</v>
      </c>
      <c r="D243" t="s">
        <v>3271</v>
      </c>
      <c r="E243" t="s">
        <v>47</v>
      </c>
      <c r="F243" t="s">
        <v>3221</v>
      </c>
      <c r="G243" t="s">
        <v>48</v>
      </c>
      <c r="H243" t="str">
        <f>VLOOKUP(Table1[[#This Row],[City]],Table6[#All],2,FALSE)</f>
        <v>North</v>
      </c>
      <c r="I243" t="s">
        <v>53</v>
      </c>
      <c r="J243" t="str">
        <f>_xlfn.XLOOKUP(Table1[[#This Row],[Tractor Model]],Table7[Product Model],Table7[Product Category],"Not Available",0)</f>
        <v>Farmtrac</v>
      </c>
      <c r="K243" s="4">
        <v>8</v>
      </c>
      <c r="L243" s="72">
        <v>696026</v>
      </c>
      <c r="M243" s="4">
        <f>INDEX('Master Sheet'!$C$4:$C$12,MATCH(Table1[[#This Row],[Quantity]],'Master Sheet'!$B$4:$B$12,0))</f>
        <v>9</v>
      </c>
      <c r="N243" s="71">
        <f>Table1[[#This Row],[Quantity]]*Table1[[#This Row],[Unit Price]]</f>
        <v>5568208</v>
      </c>
      <c r="O243" s="73">
        <v>0.5568208</v>
      </c>
      <c r="P243" s="70">
        <f>Table1[[#This Row],[Gross Amount]]*(1-(Table1[[#This Row],[Discount %]]/100))</f>
        <v>5067069.28</v>
      </c>
      <c r="Q243" s="74">
        <f>(Table1[[#This Row],[Gross Amount]]*(1-(Table1[[#This Row],[Discount %]]/100)))/10000000</f>
        <v>0.50670692800000006</v>
      </c>
      <c r="R243" t="s">
        <v>54</v>
      </c>
      <c r="S243" t="str" cm="1">
        <f t="array" ref="S243">IFERROR(_xlfn.IFS(Table1[[#This Row],[Payment Status]]="Partial","In Transit",Table1[[#This Row],[Payment Status]]="Paid","Delivered",Table1[[#This Row],[Payment Status]]="Pending","Pending"),"Invalid Input")</f>
        <v>Delivered</v>
      </c>
      <c r="T243" t="s">
        <v>44</v>
      </c>
      <c r="U243" t="str" cm="1">
        <f t="array" ref="U243">IFERROR(_xlfn.IFS(Table1[[#This Row],[Payment Status]]="Partial","In Transit",Table1[[#This Row],[Payment Status]]="Paid","Completed",Table1[[#This Row],[Payment Status]]="Pending","Pending"),"Invalid Input")</f>
        <v>Completed</v>
      </c>
    </row>
    <row r="244" spans="1:21" x14ac:dyDescent="0.25">
      <c r="A244" s="4" t="s">
        <v>544</v>
      </c>
      <c r="B244" s="5">
        <v>45344</v>
      </c>
      <c r="C244" t="s">
        <v>41</v>
      </c>
      <c r="D244" t="s">
        <v>37</v>
      </c>
      <c r="E244" t="s">
        <v>30</v>
      </c>
      <c r="F244" t="s">
        <v>3222</v>
      </c>
      <c r="G244" t="s">
        <v>31</v>
      </c>
      <c r="H244" t="str">
        <f>VLOOKUP(Table1[[#This Row],[City]],Table6[#All],2,FALSE)</f>
        <v>South</v>
      </c>
      <c r="I244" t="s">
        <v>3203</v>
      </c>
      <c r="J244" t="str">
        <f>_xlfn.XLOOKUP(Table1[[#This Row],[Tractor Model]],Table7[Product Model],Table7[Product Category],"Not Available",0)</f>
        <v>Kubota</v>
      </c>
      <c r="K244" s="4">
        <v>4</v>
      </c>
      <c r="L244" s="72">
        <v>87480</v>
      </c>
      <c r="M244" s="4">
        <f>INDEX('Master Sheet'!$C$4:$C$12,MATCH(Table1[[#This Row],[Quantity]],'Master Sheet'!$B$4:$B$12,0))</f>
        <v>6</v>
      </c>
      <c r="N244" s="71">
        <f>Table1[[#This Row],[Quantity]]*Table1[[#This Row],[Unit Price]]</f>
        <v>349920</v>
      </c>
      <c r="O244" s="73">
        <v>3.4992000000000002E-2</v>
      </c>
      <c r="P244" s="70">
        <f>Table1[[#This Row],[Gross Amount]]*(1-(Table1[[#This Row],[Discount %]]/100))</f>
        <v>328924.79999999999</v>
      </c>
      <c r="Q244" s="74">
        <f>(Table1[[#This Row],[Gross Amount]]*(1-(Table1[[#This Row],[Discount %]]/100)))/10000000</f>
        <v>3.2892480000000002E-2</v>
      </c>
      <c r="R244" t="s">
        <v>54</v>
      </c>
      <c r="S244" t="str" cm="1">
        <f t="array" ref="S244">IFERROR(_xlfn.IFS(Table1[[#This Row],[Payment Status]]="Partial","In Transit",Table1[[#This Row],[Payment Status]]="Paid","Delivered",Table1[[#This Row],[Payment Status]]="Pending","Pending"),"Invalid Input")</f>
        <v>Delivered</v>
      </c>
      <c r="T244" t="s">
        <v>27</v>
      </c>
      <c r="U244" t="str" cm="1">
        <f t="array" ref="U244">IFERROR(_xlfn.IFS(Table1[[#This Row],[Payment Status]]="Partial","In Transit",Table1[[#This Row],[Payment Status]]="Paid","Completed",Table1[[#This Row],[Payment Status]]="Pending","Pending"),"Invalid Input")</f>
        <v>Completed</v>
      </c>
    </row>
    <row r="245" spans="1:21" x14ac:dyDescent="0.25">
      <c r="A245" s="4" t="s">
        <v>546</v>
      </c>
      <c r="B245" s="5">
        <v>45768</v>
      </c>
      <c r="C245" t="s">
        <v>41</v>
      </c>
      <c r="D245" t="s">
        <v>37</v>
      </c>
      <c r="E245" t="s">
        <v>30</v>
      </c>
      <c r="F245" t="s">
        <v>3222</v>
      </c>
      <c r="G245" t="s">
        <v>31</v>
      </c>
      <c r="H245" t="str">
        <f>VLOOKUP(Table1[[#This Row],[City]],Table6[#All],2,FALSE)</f>
        <v>South</v>
      </c>
      <c r="I245" t="s">
        <v>58</v>
      </c>
      <c r="J245" t="str">
        <f>_xlfn.XLOOKUP(Table1[[#This Row],[Tractor Model]],Table7[Product Model],Table7[Product Category],"Not Available",0)</f>
        <v>Powertrac</v>
      </c>
      <c r="K245" s="4">
        <v>1</v>
      </c>
      <c r="L245" s="72">
        <v>171431</v>
      </c>
      <c r="M245" s="4">
        <f>INDEX('Master Sheet'!$C$4:$C$12,MATCH(Table1[[#This Row],[Quantity]],'Master Sheet'!$B$4:$B$12,0))</f>
        <v>3</v>
      </c>
      <c r="N245" s="71">
        <f>Table1[[#This Row],[Quantity]]*Table1[[#This Row],[Unit Price]]</f>
        <v>171431</v>
      </c>
      <c r="O245" s="73">
        <v>1.7143100000000001E-2</v>
      </c>
      <c r="P245" s="70">
        <f>Table1[[#This Row],[Gross Amount]]*(1-(Table1[[#This Row],[Discount %]]/100))</f>
        <v>166288.07</v>
      </c>
      <c r="Q245" s="74">
        <f>(Table1[[#This Row],[Gross Amount]]*(1-(Table1[[#This Row],[Discount %]]/100)))/10000000</f>
        <v>1.6628807000000002E-2</v>
      </c>
      <c r="R245" t="s">
        <v>25</v>
      </c>
      <c r="S245" t="str" cm="1">
        <f t="array" ref="S245">IFERROR(_xlfn.IFS(Table1[[#This Row],[Payment Status]]="Partial","In Transit",Table1[[#This Row],[Payment Status]]="Paid","Delivered",Table1[[#This Row],[Payment Status]]="Pending","Pending"),"Invalid Input")</f>
        <v>In Transit</v>
      </c>
      <c r="T245" t="s">
        <v>44</v>
      </c>
      <c r="U245" t="str" cm="1">
        <f t="array" ref="U245">IFERROR(_xlfn.IFS(Table1[[#This Row],[Payment Status]]="Partial","In Transit",Table1[[#This Row],[Payment Status]]="Paid","Completed",Table1[[#This Row],[Payment Status]]="Pending","Pending"),"Invalid Input")</f>
        <v>In Transit</v>
      </c>
    </row>
    <row r="246" spans="1:21" x14ac:dyDescent="0.25">
      <c r="A246" s="4" t="s">
        <v>548</v>
      </c>
      <c r="B246" s="5">
        <v>45622</v>
      </c>
      <c r="C246" t="s">
        <v>41</v>
      </c>
      <c r="D246" t="s">
        <v>3270</v>
      </c>
      <c r="E246" t="s">
        <v>30</v>
      </c>
      <c r="F246" t="s">
        <v>3223</v>
      </c>
      <c r="G246" t="s">
        <v>31</v>
      </c>
      <c r="H246" t="str">
        <f>VLOOKUP(Table1[[#This Row],[City]],Table6[#All],2,FALSE)</f>
        <v>South</v>
      </c>
      <c r="I246" t="s">
        <v>58</v>
      </c>
      <c r="J246" t="str">
        <f>_xlfn.XLOOKUP(Table1[[#This Row],[Tractor Model]],Table7[Product Model],Table7[Product Category],"Not Available",0)</f>
        <v>Powertrac</v>
      </c>
      <c r="K246" s="4">
        <v>6</v>
      </c>
      <c r="L246" s="72">
        <v>567146</v>
      </c>
      <c r="M246" s="4">
        <f>INDEX('Master Sheet'!$C$4:$C$12,MATCH(Table1[[#This Row],[Quantity]],'Master Sheet'!$B$4:$B$12,0))</f>
        <v>8</v>
      </c>
      <c r="N246" s="71">
        <f>Table1[[#This Row],[Quantity]]*Table1[[#This Row],[Unit Price]]</f>
        <v>3402876</v>
      </c>
      <c r="O246" s="73">
        <v>0.34028760000000002</v>
      </c>
      <c r="P246" s="70">
        <f>Table1[[#This Row],[Gross Amount]]*(1-(Table1[[#This Row],[Discount %]]/100))</f>
        <v>3130645.92</v>
      </c>
      <c r="Q246" s="74">
        <f>(Table1[[#This Row],[Gross Amount]]*(1-(Table1[[#This Row],[Discount %]]/100)))/10000000</f>
        <v>0.31306459199999997</v>
      </c>
      <c r="R246" t="s">
        <v>54</v>
      </c>
      <c r="S246" t="str" cm="1">
        <f t="array" ref="S246">IFERROR(_xlfn.IFS(Table1[[#This Row],[Payment Status]]="Partial","In Transit",Table1[[#This Row],[Payment Status]]="Paid","Delivered",Table1[[#This Row],[Payment Status]]="Pending","Pending"),"Invalid Input")</f>
        <v>Delivered</v>
      </c>
      <c r="T246" t="s">
        <v>27</v>
      </c>
      <c r="U246" t="str" cm="1">
        <f t="array" ref="U246">IFERROR(_xlfn.IFS(Table1[[#This Row],[Payment Status]]="Partial","In Transit",Table1[[#This Row],[Payment Status]]="Paid","Completed",Table1[[#This Row],[Payment Status]]="Pending","Pending"),"Invalid Input")</f>
        <v>Completed</v>
      </c>
    </row>
    <row r="247" spans="1:21" x14ac:dyDescent="0.25">
      <c r="A247" s="4" t="s">
        <v>550</v>
      </c>
      <c r="B247" s="5">
        <v>45715</v>
      </c>
      <c r="C247" t="s">
        <v>62</v>
      </c>
      <c r="D247" t="s">
        <v>3269</v>
      </c>
      <c r="E247" t="s">
        <v>30</v>
      </c>
      <c r="F247" t="s">
        <v>3225</v>
      </c>
      <c r="G247" t="s">
        <v>31</v>
      </c>
      <c r="H247" t="str">
        <f>VLOOKUP(Table1[[#This Row],[City]],Table6[#All],2,FALSE)</f>
        <v>South</v>
      </c>
      <c r="I247" t="s">
        <v>3203</v>
      </c>
      <c r="J247" t="str">
        <f>_xlfn.XLOOKUP(Table1[[#This Row],[Tractor Model]],Table7[Product Model],Table7[Product Category],"Not Available",0)</f>
        <v>Kubota</v>
      </c>
      <c r="K247" s="4">
        <v>6</v>
      </c>
      <c r="L247" s="72">
        <v>393181</v>
      </c>
      <c r="M247" s="4">
        <f>INDEX('Master Sheet'!$C$4:$C$12,MATCH(Table1[[#This Row],[Quantity]],'Master Sheet'!$B$4:$B$12,0))</f>
        <v>8</v>
      </c>
      <c r="N247" s="71">
        <f>Table1[[#This Row],[Quantity]]*Table1[[#This Row],[Unit Price]]</f>
        <v>2359086</v>
      </c>
      <c r="O247" s="73">
        <v>0.2359086</v>
      </c>
      <c r="P247" s="70">
        <f>Table1[[#This Row],[Gross Amount]]*(1-(Table1[[#This Row],[Discount %]]/100))</f>
        <v>2170359.12</v>
      </c>
      <c r="Q247" s="74">
        <f>(Table1[[#This Row],[Gross Amount]]*(1-(Table1[[#This Row],[Discount %]]/100)))/10000000</f>
        <v>0.217035912</v>
      </c>
      <c r="R247" t="s">
        <v>42</v>
      </c>
      <c r="S247" t="str" cm="1">
        <f t="array" ref="S247">IFERROR(_xlfn.IFS(Table1[[#This Row],[Payment Status]]="Partial","In Transit",Table1[[#This Row],[Payment Status]]="Paid","Delivered",Table1[[#This Row],[Payment Status]]="Pending","Pending"),"Invalid Input")</f>
        <v>Pending</v>
      </c>
      <c r="T247" t="s">
        <v>27</v>
      </c>
      <c r="U247" t="str" cm="1">
        <f t="array" ref="U247">IFERROR(_xlfn.IFS(Table1[[#This Row],[Payment Status]]="Partial","In Transit",Table1[[#This Row],[Payment Status]]="Paid","Completed",Table1[[#This Row],[Payment Status]]="Pending","Pending"),"Invalid Input")</f>
        <v>Pending</v>
      </c>
    </row>
    <row r="248" spans="1:21" x14ac:dyDescent="0.25">
      <c r="A248" s="4" t="s">
        <v>551</v>
      </c>
      <c r="B248" s="5">
        <v>45301</v>
      </c>
      <c r="C248" t="s">
        <v>41</v>
      </c>
      <c r="D248" t="s">
        <v>3270</v>
      </c>
      <c r="E248" t="s">
        <v>30</v>
      </c>
      <c r="F248" t="s">
        <v>3223</v>
      </c>
      <c r="G248" t="s">
        <v>31</v>
      </c>
      <c r="H248" t="str">
        <f>VLOOKUP(Table1[[#This Row],[City]],Table6[#All],2,FALSE)</f>
        <v>South</v>
      </c>
      <c r="I248" t="s">
        <v>3203</v>
      </c>
      <c r="J248" t="str">
        <f>_xlfn.XLOOKUP(Table1[[#This Row],[Tractor Model]],Table7[Product Model],Table7[Product Category],"Not Available",0)</f>
        <v>Kubota</v>
      </c>
      <c r="K248" s="4">
        <v>6</v>
      </c>
      <c r="L248" s="72">
        <v>424369</v>
      </c>
      <c r="M248" s="4">
        <f>INDEX('Master Sheet'!$C$4:$C$12,MATCH(Table1[[#This Row],[Quantity]],'Master Sheet'!$B$4:$B$12,0))</f>
        <v>8</v>
      </c>
      <c r="N248" s="71">
        <f>Table1[[#This Row],[Quantity]]*Table1[[#This Row],[Unit Price]]</f>
        <v>2546214</v>
      </c>
      <c r="O248" s="73">
        <v>0.2546214</v>
      </c>
      <c r="P248" s="70">
        <f>Table1[[#This Row],[Gross Amount]]*(1-(Table1[[#This Row],[Discount %]]/100))</f>
        <v>2342516.88</v>
      </c>
      <c r="Q248" s="74">
        <f>(Table1[[#This Row],[Gross Amount]]*(1-(Table1[[#This Row],[Discount %]]/100)))/10000000</f>
        <v>0.23425168799999999</v>
      </c>
      <c r="R248" t="s">
        <v>25</v>
      </c>
      <c r="S248" t="str" cm="1">
        <f t="array" ref="S248">IFERROR(_xlfn.IFS(Table1[[#This Row],[Payment Status]]="Partial","In Transit",Table1[[#This Row],[Payment Status]]="Paid","Delivered",Table1[[#This Row],[Payment Status]]="Pending","Pending"),"Invalid Input")</f>
        <v>In Transit</v>
      </c>
      <c r="T248" t="s">
        <v>27</v>
      </c>
      <c r="U248" t="str" cm="1">
        <f t="array" ref="U248">IFERROR(_xlfn.IFS(Table1[[#This Row],[Payment Status]]="Partial","In Transit",Table1[[#This Row],[Payment Status]]="Paid","Completed",Table1[[#This Row],[Payment Status]]="Pending","Pending"),"Invalid Input")</f>
        <v>In Transit</v>
      </c>
    </row>
    <row r="249" spans="1:21" x14ac:dyDescent="0.25">
      <c r="A249" s="4" t="s">
        <v>553</v>
      </c>
      <c r="B249" s="5">
        <v>45457</v>
      </c>
      <c r="C249" t="s">
        <v>62</v>
      </c>
      <c r="D249" t="s">
        <v>3270</v>
      </c>
      <c r="E249" t="s">
        <v>38</v>
      </c>
      <c r="F249" t="s">
        <v>3218</v>
      </c>
      <c r="G249" t="s">
        <v>39</v>
      </c>
      <c r="H249" t="str">
        <f>VLOOKUP(Table1[[#This Row],[City]],Table6[#All],2,FALSE)</f>
        <v>West</v>
      </c>
      <c r="I249" t="s">
        <v>58</v>
      </c>
      <c r="J249" t="str">
        <f>_xlfn.XLOOKUP(Table1[[#This Row],[Tractor Model]],Table7[Product Model],Table7[Product Category],"Not Available",0)</f>
        <v>Powertrac</v>
      </c>
      <c r="K249" s="4">
        <v>6</v>
      </c>
      <c r="L249" s="72">
        <v>527495</v>
      </c>
      <c r="M249" s="4">
        <f>INDEX('Master Sheet'!$C$4:$C$12,MATCH(Table1[[#This Row],[Quantity]],'Master Sheet'!$B$4:$B$12,0))</f>
        <v>8</v>
      </c>
      <c r="N249" s="71">
        <f>Table1[[#This Row],[Quantity]]*Table1[[#This Row],[Unit Price]]</f>
        <v>3164970</v>
      </c>
      <c r="O249" s="73">
        <v>0.31649699999999997</v>
      </c>
      <c r="P249" s="70">
        <f>Table1[[#This Row],[Gross Amount]]*(1-(Table1[[#This Row],[Discount %]]/100))</f>
        <v>2911772.4</v>
      </c>
      <c r="Q249" s="74">
        <f>(Table1[[#This Row],[Gross Amount]]*(1-(Table1[[#This Row],[Discount %]]/100)))/10000000</f>
        <v>0.29117724</v>
      </c>
      <c r="R249" t="s">
        <v>42</v>
      </c>
      <c r="S249" t="str" cm="1">
        <f t="array" ref="S249">IFERROR(_xlfn.IFS(Table1[[#This Row],[Payment Status]]="Partial","In Transit",Table1[[#This Row],[Payment Status]]="Paid","Delivered",Table1[[#This Row],[Payment Status]]="Pending","Pending"),"Invalid Input")</f>
        <v>Pending</v>
      </c>
      <c r="T249" t="s">
        <v>44</v>
      </c>
      <c r="U249" t="str" cm="1">
        <f t="array" ref="U249">IFERROR(_xlfn.IFS(Table1[[#This Row],[Payment Status]]="Partial","In Transit",Table1[[#This Row],[Payment Status]]="Paid","Completed",Table1[[#This Row],[Payment Status]]="Pending","Pending"),"Invalid Input")</f>
        <v>Pending</v>
      </c>
    </row>
    <row r="250" spans="1:21" x14ac:dyDescent="0.25">
      <c r="A250" s="4" t="s">
        <v>555</v>
      </c>
      <c r="B250" s="5">
        <v>45312</v>
      </c>
      <c r="C250" t="s">
        <v>52</v>
      </c>
      <c r="D250" t="s">
        <v>37</v>
      </c>
      <c r="E250" t="s">
        <v>30</v>
      </c>
      <c r="F250" t="s">
        <v>3222</v>
      </c>
      <c r="G250" t="s">
        <v>31</v>
      </c>
      <c r="H250" t="str">
        <f>VLOOKUP(Table1[[#This Row],[City]],Table6[#All],2,FALSE)</f>
        <v>South</v>
      </c>
      <c r="I250" t="s">
        <v>3203</v>
      </c>
      <c r="J250" t="str">
        <f>_xlfn.XLOOKUP(Table1[[#This Row],[Tractor Model]],Table7[Product Model],Table7[Product Category],"Not Available",0)</f>
        <v>Kubota</v>
      </c>
      <c r="K250" s="4">
        <v>6</v>
      </c>
      <c r="L250" s="72">
        <v>830380</v>
      </c>
      <c r="M250" s="4">
        <f>INDEX('Master Sheet'!$C$4:$C$12,MATCH(Table1[[#This Row],[Quantity]],'Master Sheet'!$B$4:$B$12,0))</f>
        <v>8</v>
      </c>
      <c r="N250" s="71">
        <f>Table1[[#This Row],[Quantity]]*Table1[[#This Row],[Unit Price]]</f>
        <v>4982280</v>
      </c>
      <c r="O250" s="73">
        <v>0.498228</v>
      </c>
      <c r="P250" s="70">
        <f>Table1[[#This Row],[Gross Amount]]*(1-(Table1[[#This Row],[Discount %]]/100))</f>
        <v>4583697.6000000006</v>
      </c>
      <c r="Q250" s="74">
        <f>(Table1[[#This Row],[Gross Amount]]*(1-(Table1[[#This Row],[Discount %]]/100)))/10000000</f>
        <v>0.45836976000000007</v>
      </c>
      <c r="R250" t="s">
        <v>42</v>
      </c>
      <c r="S250" t="str" cm="1">
        <f t="array" ref="S250">IFERROR(_xlfn.IFS(Table1[[#This Row],[Payment Status]]="Partial","In Transit",Table1[[#This Row],[Payment Status]]="Paid","Delivered",Table1[[#This Row],[Payment Status]]="Pending","Pending"),"Invalid Input")</f>
        <v>Pending</v>
      </c>
      <c r="T250" t="s">
        <v>27</v>
      </c>
      <c r="U250" t="str" cm="1">
        <f t="array" ref="U250">IFERROR(_xlfn.IFS(Table1[[#This Row],[Payment Status]]="Partial","In Transit",Table1[[#This Row],[Payment Status]]="Paid","Completed",Table1[[#This Row],[Payment Status]]="Pending","Pending"),"Invalid Input")</f>
        <v>Pending</v>
      </c>
    </row>
    <row r="251" spans="1:21" x14ac:dyDescent="0.25">
      <c r="A251" s="4" t="s">
        <v>556</v>
      </c>
      <c r="B251" s="5">
        <v>45546</v>
      </c>
      <c r="C251" t="s">
        <v>62</v>
      </c>
      <c r="D251" t="s">
        <v>3268</v>
      </c>
      <c r="E251" t="s">
        <v>119</v>
      </c>
      <c r="F251" t="s">
        <v>3227</v>
      </c>
      <c r="G251" t="s">
        <v>21</v>
      </c>
      <c r="H251" t="str">
        <f>VLOOKUP(Table1[[#This Row],[City]],Table6[#All],2,FALSE)</f>
        <v>North</v>
      </c>
      <c r="I251" t="s">
        <v>24</v>
      </c>
      <c r="J251" t="str">
        <f>_xlfn.XLOOKUP(Table1[[#This Row],[Tractor Model]],Table7[Product Model],Table7[Product Category],"Not Available",0)</f>
        <v>Farmtrac</v>
      </c>
      <c r="K251" s="4">
        <v>3</v>
      </c>
      <c r="L251" s="72">
        <v>259751</v>
      </c>
      <c r="M251" s="4">
        <f>INDEX('Master Sheet'!$C$4:$C$12,MATCH(Table1[[#This Row],[Quantity]],'Master Sheet'!$B$4:$B$12,0))</f>
        <v>6</v>
      </c>
      <c r="N251" s="71">
        <f>Table1[[#This Row],[Quantity]]*Table1[[#This Row],[Unit Price]]</f>
        <v>779253</v>
      </c>
      <c r="O251" s="73">
        <v>7.7925300000000003E-2</v>
      </c>
      <c r="P251" s="70">
        <f>Table1[[#This Row],[Gross Amount]]*(1-(Table1[[#This Row],[Discount %]]/100))</f>
        <v>732497.82</v>
      </c>
      <c r="Q251" s="74">
        <f>(Table1[[#This Row],[Gross Amount]]*(1-(Table1[[#This Row],[Discount %]]/100)))/10000000</f>
        <v>7.3249781999999999E-2</v>
      </c>
      <c r="R251" t="s">
        <v>25</v>
      </c>
      <c r="S251" t="str" cm="1">
        <f t="array" ref="S251">IFERROR(_xlfn.IFS(Table1[[#This Row],[Payment Status]]="Partial","In Transit",Table1[[#This Row],[Payment Status]]="Paid","Delivered",Table1[[#This Row],[Payment Status]]="Pending","Pending"),"Invalid Input")</f>
        <v>In Transit</v>
      </c>
      <c r="T251" t="s">
        <v>27</v>
      </c>
      <c r="U251" t="str" cm="1">
        <f t="array" ref="U251">IFERROR(_xlfn.IFS(Table1[[#This Row],[Payment Status]]="Partial","In Transit",Table1[[#This Row],[Payment Status]]="Paid","Completed",Table1[[#This Row],[Payment Status]]="Pending","Pending"),"Invalid Input")</f>
        <v>In Transit</v>
      </c>
    </row>
    <row r="252" spans="1:21" x14ac:dyDescent="0.25">
      <c r="A252" s="4" t="s">
        <v>558</v>
      </c>
      <c r="B252" s="5">
        <v>45454</v>
      </c>
      <c r="C252" t="s">
        <v>52</v>
      </c>
      <c r="D252" t="s">
        <v>3270</v>
      </c>
      <c r="E252" t="s">
        <v>66</v>
      </c>
      <c r="F252" t="s">
        <v>3220</v>
      </c>
      <c r="G252" t="s">
        <v>67</v>
      </c>
      <c r="H252" t="str">
        <f>VLOOKUP(Table1[[#This Row],[City]],Table6[#All],2,FALSE)</f>
        <v>East</v>
      </c>
      <c r="I252" t="s">
        <v>24</v>
      </c>
      <c r="J252" t="str">
        <f>_xlfn.XLOOKUP(Table1[[#This Row],[Tractor Model]],Table7[Product Model],Table7[Product Category],"Not Available",0)</f>
        <v>Farmtrac</v>
      </c>
      <c r="K252" s="4">
        <v>2</v>
      </c>
      <c r="L252" s="72">
        <v>857769</v>
      </c>
      <c r="M252" s="4">
        <f>INDEX('Master Sheet'!$C$4:$C$12,MATCH(Table1[[#This Row],[Quantity]],'Master Sheet'!$B$4:$B$12,0))</f>
        <v>5</v>
      </c>
      <c r="N252" s="71">
        <f>Table1[[#This Row],[Quantity]]*Table1[[#This Row],[Unit Price]]</f>
        <v>1715538</v>
      </c>
      <c r="O252" s="73">
        <v>0.17155380000000001</v>
      </c>
      <c r="P252" s="70">
        <f>Table1[[#This Row],[Gross Amount]]*(1-(Table1[[#This Row],[Discount %]]/100))</f>
        <v>1629761.0999999999</v>
      </c>
      <c r="Q252" s="74">
        <f>(Table1[[#This Row],[Gross Amount]]*(1-(Table1[[#This Row],[Discount %]]/100)))/10000000</f>
        <v>0.16297610999999998</v>
      </c>
      <c r="R252" t="s">
        <v>54</v>
      </c>
      <c r="S252" t="str" cm="1">
        <f t="array" ref="S252">IFERROR(_xlfn.IFS(Table1[[#This Row],[Payment Status]]="Partial","In Transit",Table1[[#This Row],[Payment Status]]="Paid","Delivered",Table1[[#This Row],[Payment Status]]="Pending","Pending"),"Invalid Input")</f>
        <v>Delivered</v>
      </c>
      <c r="T252" t="s">
        <v>27</v>
      </c>
      <c r="U252" t="str" cm="1">
        <f t="array" ref="U252">IFERROR(_xlfn.IFS(Table1[[#This Row],[Payment Status]]="Partial","In Transit",Table1[[#This Row],[Payment Status]]="Paid","Completed",Table1[[#This Row],[Payment Status]]="Pending","Pending"),"Invalid Input")</f>
        <v>Completed</v>
      </c>
    </row>
    <row r="253" spans="1:21" x14ac:dyDescent="0.25">
      <c r="A253" s="4" t="s">
        <v>560</v>
      </c>
      <c r="B253" s="5">
        <v>45568</v>
      </c>
      <c r="C253" t="s">
        <v>62</v>
      </c>
      <c r="D253" t="s">
        <v>3268</v>
      </c>
      <c r="E253" t="s">
        <v>30</v>
      </c>
      <c r="F253" t="s">
        <v>3208</v>
      </c>
      <c r="G253" t="s">
        <v>31</v>
      </c>
      <c r="H253" t="str">
        <f>VLOOKUP(Table1[[#This Row],[City]],Table6[#All],2,FALSE)</f>
        <v>South</v>
      </c>
      <c r="I253" t="s">
        <v>58</v>
      </c>
      <c r="J253" t="str">
        <f>_xlfn.XLOOKUP(Table1[[#This Row],[Tractor Model]],Table7[Product Model],Table7[Product Category],"Not Available",0)</f>
        <v>Powertrac</v>
      </c>
      <c r="K253" s="4">
        <v>1</v>
      </c>
      <c r="L253" s="72">
        <v>217396</v>
      </c>
      <c r="M253" s="4">
        <f>INDEX('Master Sheet'!$C$4:$C$12,MATCH(Table1[[#This Row],[Quantity]],'Master Sheet'!$B$4:$B$12,0))</f>
        <v>3</v>
      </c>
      <c r="N253" s="71">
        <f>Table1[[#This Row],[Quantity]]*Table1[[#This Row],[Unit Price]]</f>
        <v>217396</v>
      </c>
      <c r="O253" s="73">
        <v>2.1739600000000001E-2</v>
      </c>
      <c r="P253" s="70">
        <f>Table1[[#This Row],[Gross Amount]]*(1-(Table1[[#This Row],[Discount %]]/100))</f>
        <v>210874.12</v>
      </c>
      <c r="Q253" s="74">
        <f>(Table1[[#This Row],[Gross Amount]]*(1-(Table1[[#This Row],[Discount %]]/100)))/10000000</f>
        <v>2.1087412E-2</v>
      </c>
      <c r="R253" t="s">
        <v>42</v>
      </c>
      <c r="S253" t="str" cm="1">
        <f t="array" ref="S253">IFERROR(_xlfn.IFS(Table1[[#This Row],[Payment Status]]="Partial","In Transit",Table1[[#This Row],[Payment Status]]="Paid","Delivered",Table1[[#This Row],[Payment Status]]="Pending","Pending"),"Invalid Input")</f>
        <v>Pending</v>
      </c>
      <c r="T253" t="s">
        <v>27</v>
      </c>
      <c r="U253" t="str" cm="1">
        <f t="array" ref="U253">IFERROR(_xlfn.IFS(Table1[[#This Row],[Payment Status]]="Partial","In Transit",Table1[[#This Row],[Payment Status]]="Paid","Completed",Table1[[#This Row],[Payment Status]]="Pending","Pending"),"Invalid Input")</f>
        <v>Pending</v>
      </c>
    </row>
    <row r="254" spans="1:21" x14ac:dyDescent="0.25">
      <c r="A254" s="4" t="s">
        <v>562</v>
      </c>
      <c r="B254" s="5">
        <v>45531</v>
      </c>
      <c r="C254" t="s">
        <v>52</v>
      </c>
      <c r="D254" t="s">
        <v>3268</v>
      </c>
      <c r="E254" t="s">
        <v>30</v>
      </c>
      <c r="F254" t="s">
        <v>3208</v>
      </c>
      <c r="G254" t="s">
        <v>31</v>
      </c>
      <c r="H254" t="str">
        <f>VLOOKUP(Table1[[#This Row],[City]],Table6[#All],2,FALSE)</f>
        <v>South</v>
      </c>
      <c r="I254" t="s">
        <v>58</v>
      </c>
      <c r="J254" t="str">
        <f>_xlfn.XLOOKUP(Table1[[#This Row],[Tractor Model]],Table7[Product Model],Table7[Product Category],"Not Available",0)</f>
        <v>Powertrac</v>
      </c>
      <c r="K254" s="4">
        <v>2</v>
      </c>
      <c r="L254" s="72">
        <v>431835</v>
      </c>
      <c r="M254" s="4">
        <f>INDEX('Master Sheet'!$C$4:$C$12,MATCH(Table1[[#This Row],[Quantity]],'Master Sheet'!$B$4:$B$12,0))</f>
        <v>5</v>
      </c>
      <c r="N254" s="71">
        <f>Table1[[#This Row],[Quantity]]*Table1[[#This Row],[Unit Price]]</f>
        <v>863670</v>
      </c>
      <c r="O254" s="73">
        <v>8.6366999999999999E-2</v>
      </c>
      <c r="P254" s="70">
        <f>Table1[[#This Row],[Gross Amount]]*(1-(Table1[[#This Row],[Discount %]]/100))</f>
        <v>820486.5</v>
      </c>
      <c r="Q254" s="74">
        <f>(Table1[[#This Row],[Gross Amount]]*(1-(Table1[[#This Row],[Discount %]]/100)))/10000000</f>
        <v>8.2048650000000001E-2</v>
      </c>
      <c r="R254" t="s">
        <v>54</v>
      </c>
      <c r="S254" t="str" cm="1">
        <f t="array" ref="S254">IFERROR(_xlfn.IFS(Table1[[#This Row],[Payment Status]]="Partial","In Transit",Table1[[#This Row],[Payment Status]]="Paid","Delivered",Table1[[#This Row],[Payment Status]]="Pending","Pending"),"Invalid Input")</f>
        <v>Delivered</v>
      </c>
      <c r="T254" t="s">
        <v>27</v>
      </c>
      <c r="U254" t="str" cm="1">
        <f t="array" ref="U254">IFERROR(_xlfn.IFS(Table1[[#This Row],[Payment Status]]="Partial","In Transit",Table1[[#This Row],[Payment Status]]="Paid","Completed",Table1[[#This Row],[Payment Status]]="Pending","Pending"),"Invalid Input")</f>
        <v>Completed</v>
      </c>
    </row>
    <row r="255" spans="1:21" x14ac:dyDescent="0.25">
      <c r="A255" s="4" t="s">
        <v>564</v>
      </c>
      <c r="B255" s="5">
        <v>45398</v>
      </c>
      <c r="C255" t="s">
        <v>62</v>
      </c>
      <c r="D255" t="s">
        <v>37</v>
      </c>
      <c r="E255" t="s">
        <v>38</v>
      </c>
      <c r="F255" t="s">
        <v>3214</v>
      </c>
      <c r="G255" t="s">
        <v>39</v>
      </c>
      <c r="H255" t="str">
        <f>VLOOKUP(Table1[[#This Row],[City]],Table6[#All],2,FALSE)</f>
        <v>West</v>
      </c>
      <c r="I255" t="s">
        <v>58</v>
      </c>
      <c r="J255" t="str">
        <f>_xlfn.XLOOKUP(Table1[[#This Row],[Tractor Model]],Table7[Product Model],Table7[Product Category],"Not Available",0)</f>
        <v>Powertrac</v>
      </c>
      <c r="K255" s="4">
        <v>6</v>
      </c>
      <c r="L255" s="72">
        <v>881441</v>
      </c>
      <c r="M255" s="4">
        <f>INDEX('Master Sheet'!$C$4:$C$12,MATCH(Table1[[#This Row],[Quantity]],'Master Sheet'!$B$4:$B$12,0))</f>
        <v>8</v>
      </c>
      <c r="N255" s="71">
        <f>Table1[[#This Row],[Quantity]]*Table1[[#This Row],[Unit Price]]</f>
        <v>5288646</v>
      </c>
      <c r="O255" s="73">
        <v>0.52886460000000002</v>
      </c>
      <c r="P255" s="70">
        <f>Table1[[#This Row],[Gross Amount]]*(1-(Table1[[#This Row],[Discount %]]/100))</f>
        <v>4865554.32</v>
      </c>
      <c r="Q255" s="74">
        <f>(Table1[[#This Row],[Gross Amount]]*(1-(Table1[[#This Row],[Discount %]]/100)))/10000000</f>
        <v>0.48655543200000001</v>
      </c>
      <c r="R255" t="s">
        <v>42</v>
      </c>
      <c r="S255" t="str" cm="1">
        <f t="array" ref="S255">IFERROR(_xlfn.IFS(Table1[[#This Row],[Payment Status]]="Partial","In Transit",Table1[[#This Row],[Payment Status]]="Paid","Delivered",Table1[[#This Row],[Payment Status]]="Pending","Pending"),"Invalid Input")</f>
        <v>Pending</v>
      </c>
      <c r="T255" t="s">
        <v>44</v>
      </c>
      <c r="U255" t="str" cm="1">
        <f t="array" ref="U255">IFERROR(_xlfn.IFS(Table1[[#This Row],[Payment Status]]="Partial","In Transit",Table1[[#This Row],[Payment Status]]="Paid","Completed",Table1[[#This Row],[Payment Status]]="Pending","Pending"),"Invalid Input")</f>
        <v>Pending</v>
      </c>
    </row>
    <row r="256" spans="1:21" x14ac:dyDescent="0.25">
      <c r="A256" s="4" t="s">
        <v>566</v>
      </c>
      <c r="B256" s="5">
        <v>45322</v>
      </c>
      <c r="C256" t="s">
        <v>33</v>
      </c>
      <c r="D256" t="s">
        <v>3271</v>
      </c>
      <c r="E256" t="s">
        <v>119</v>
      </c>
      <c r="F256" t="s">
        <v>3228</v>
      </c>
      <c r="G256" t="s">
        <v>21</v>
      </c>
      <c r="H256" t="str">
        <f>VLOOKUP(Table1[[#This Row],[City]],Table6[#All],2,FALSE)</f>
        <v>North</v>
      </c>
      <c r="I256" t="s">
        <v>3203</v>
      </c>
      <c r="J256" t="str">
        <f>_xlfn.XLOOKUP(Table1[[#This Row],[Tractor Model]],Table7[Product Model],Table7[Product Category],"Not Available",0)</f>
        <v>Kubota</v>
      </c>
      <c r="K256" s="4">
        <v>2</v>
      </c>
      <c r="L256" s="72">
        <v>98333</v>
      </c>
      <c r="M256" s="4">
        <f>INDEX('Master Sheet'!$C$4:$C$12,MATCH(Table1[[#This Row],[Quantity]],'Master Sheet'!$B$4:$B$12,0))</f>
        <v>5</v>
      </c>
      <c r="N256" s="71">
        <f>Table1[[#This Row],[Quantity]]*Table1[[#This Row],[Unit Price]]</f>
        <v>196666</v>
      </c>
      <c r="O256" s="73">
        <v>1.9666599999999999E-2</v>
      </c>
      <c r="P256" s="70">
        <f>Table1[[#This Row],[Gross Amount]]*(1-(Table1[[#This Row],[Discount %]]/100))</f>
        <v>186832.69999999998</v>
      </c>
      <c r="Q256" s="74">
        <f>(Table1[[#This Row],[Gross Amount]]*(1-(Table1[[#This Row],[Discount %]]/100)))/10000000</f>
        <v>1.8683269999999998E-2</v>
      </c>
      <c r="R256" t="s">
        <v>42</v>
      </c>
      <c r="S256" t="str" cm="1">
        <f t="array" ref="S256">IFERROR(_xlfn.IFS(Table1[[#This Row],[Payment Status]]="Partial","In Transit",Table1[[#This Row],[Payment Status]]="Paid","Delivered",Table1[[#This Row],[Payment Status]]="Pending","Pending"),"Invalid Input")</f>
        <v>Pending</v>
      </c>
      <c r="T256" t="s">
        <v>27</v>
      </c>
      <c r="U256" t="str" cm="1">
        <f t="array" ref="U256">IFERROR(_xlfn.IFS(Table1[[#This Row],[Payment Status]]="Partial","In Transit",Table1[[#This Row],[Payment Status]]="Paid","Completed",Table1[[#This Row],[Payment Status]]="Pending","Pending"),"Invalid Input")</f>
        <v>Pending</v>
      </c>
    </row>
    <row r="257" spans="1:21" x14ac:dyDescent="0.25">
      <c r="A257" s="4" t="s">
        <v>568</v>
      </c>
      <c r="B257" s="5">
        <v>45371</v>
      </c>
      <c r="C257" t="s">
        <v>62</v>
      </c>
      <c r="D257" t="s">
        <v>3271</v>
      </c>
      <c r="E257" t="s">
        <v>119</v>
      </c>
      <c r="F257" t="s">
        <v>3228</v>
      </c>
      <c r="G257" t="s">
        <v>21</v>
      </c>
      <c r="H257" t="str">
        <f>VLOOKUP(Table1[[#This Row],[City]],Table6[#All],2,FALSE)</f>
        <v>North</v>
      </c>
      <c r="I257" t="s">
        <v>58</v>
      </c>
      <c r="J257" t="str">
        <f>_xlfn.XLOOKUP(Table1[[#This Row],[Tractor Model]],Table7[Product Model],Table7[Product Category],"Not Available",0)</f>
        <v>Powertrac</v>
      </c>
      <c r="K257" s="4">
        <v>7</v>
      </c>
      <c r="L257" s="72">
        <v>591718</v>
      </c>
      <c r="M257" s="4">
        <f>INDEX('Master Sheet'!$C$4:$C$12,MATCH(Table1[[#This Row],[Quantity]],'Master Sheet'!$B$4:$B$12,0))</f>
        <v>9</v>
      </c>
      <c r="N257" s="71">
        <f>Table1[[#This Row],[Quantity]]*Table1[[#This Row],[Unit Price]]</f>
        <v>4142026</v>
      </c>
      <c r="O257" s="73">
        <v>0.41420259999999998</v>
      </c>
      <c r="P257" s="70">
        <f>Table1[[#This Row],[Gross Amount]]*(1-(Table1[[#This Row],[Discount %]]/100))</f>
        <v>3769243.66</v>
      </c>
      <c r="Q257" s="74">
        <f>(Table1[[#This Row],[Gross Amount]]*(1-(Table1[[#This Row],[Discount %]]/100)))/10000000</f>
        <v>0.37692436600000001</v>
      </c>
      <c r="R257" t="s">
        <v>42</v>
      </c>
      <c r="S257" t="str" cm="1">
        <f t="array" ref="S257">IFERROR(_xlfn.IFS(Table1[[#This Row],[Payment Status]]="Partial","In Transit",Table1[[#This Row],[Payment Status]]="Paid","Delivered",Table1[[#This Row],[Payment Status]]="Pending","Pending"),"Invalid Input")</f>
        <v>Pending</v>
      </c>
      <c r="T257" t="s">
        <v>27</v>
      </c>
      <c r="U257" t="str" cm="1">
        <f t="array" ref="U257">IFERROR(_xlfn.IFS(Table1[[#This Row],[Payment Status]]="Partial","In Transit",Table1[[#This Row],[Payment Status]]="Paid","Completed",Table1[[#This Row],[Payment Status]]="Pending","Pending"),"Invalid Input")</f>
        <v>Pending</v>
      </c>
    </row>
    <row r="258" spans="1:21" x14ac:dyDescent="0.25">
      <c r="A258" s="4" t="s">
        <v>570</v>
      </c>
      <c r="B258" s="5">
        <v>45552</v>
      </c>
      <c r="C258" t="s">
        <v>73</v>
      </c>
      <c r="D258" t="s">
        <v>3269</v>
      </c>
      <c r="E258" t="s">
        <v>38</v>
      </c>
      <c r="F258" t="s">
        <v>3206</v>
      </c>
      <c r="G258" t="s">
        <v>39</v>
      </c>
      <c r="H258" t="str">
        <f>VLOOKUP(Table1[[#This Row],[City]],Table6[#All],2,FALSE)</f>
        <v>West</v>
      </c>
      <c r="I258" t="s">
        <v>58</v>
      </c>
      <c r="J258" t="str">
        <f>_xlfn.XLOOKUP(Table1[[#This Row],[Tractor Model]],Table7[Product Model],Table7[Product Category],"Not Available",0)</f>
        <v>Powertrac</v>
      </c>
      <c r="K258" s="4">
        <v>3</v>
      </c>
      <c r="L258" s="72">
        <v>532442</v>
      </c>
      <c r="M258" s="4">
        <f>INDEX('Master Sheet'!$C$4:$C$12,MATCH(Table1[[#This Row],[Quantity]],'Master Sheet'!$B$4:$B$12,0))</f>
        <v>6</v>
      </c>
      <c r="N258" s="71">
        <f>Table1[[#This Row],[Quantity]]*Table1[[#This Row],[Unit Price]]</f>
        <v>1597326</v>
      </c>
      <c r="O258" s="73">
        <v>0.1597326</v>
      </c>
      <c r="P258" s="70">
        <f>Table1[[#This Row],[Gross Amount]]*(1-(Table1[[#This Row],[Discount %]]/100))</f>
        <v>1501486.44</v>
      </c>
      <c r="Q258" s="74">
        <f>(Table1[[#This Row],[Gross Amount]]*(1-(Table1[[#This Row],[Discount %]]/100)))/10000000</f>
        <v>0.150148644</v>
      </c>
      <c r="R258" t="s">
        <v>25</v>
      </c>
      <c r="S258" t="str" cm="1">
        <f t="array" ref="S258">IFERROR(_xlfn.IFS(Table1[[#This Row],[Payment Status]]="Partial","In Transit",Table1[[#This Row],[Payment Status]]="Paid","Delivered",Table1[[#This Row],[Payment Status]]="Pending","Pending"),"Invalid Input")</f>
        <v>In Transit</v>
      </c>
      <c r="T258" t="s">
        <v>27</v>
      </c>
      <c r="U258" t="str" cm="1">
        <f t="array" ref="U258">IFERROR(_xlfn.IFS(Table1[[#This Row],[Payment Status]]="Partial","In Transit",Table1[[#This Row],[Payment Status]]="Paid","Completed",Table1[[#This Row],[Payment Status]]="Pending","Pending"),"Invalid Input")</f>
        <v>In Transit</v>
      </c>
    </row>
    <row r="259" spans="1:21" x14ac:dyDescent="0.25">
      <c r="A259" s="4" t="s">
        <v>572</v>
      </c>
      <c r="B259" s="5">
        <v>45566</v>
      </c>
      <c r="C259" t="s">
        <v>62</v>
      </c>
      <c r="D259" t="s">
        <v>37</v>
      </c>
      <c r="E259" t="s">
        <v>47</v>
      </c>
      <c r="F259" t="s">
        <v>3215</v>
      </c>
      <c r="G259" t="s">
        <v>48</v>
      </c>
      <c r="H259" t="str">
        <f>VLOOKUP(Table1[[#This Row],[City]],Table6[#All],2,FALSE)</f>
        <v>North</v>
      </c>
      <c r="I259" t="s">
        <v>3204</v>
      </c>
      <c r="J259" t="str">
        <f>_xlfn.XLOOKUP(Table1[[#This Row],[Tractor Model]],Table7[Product Model],Table7[Product Category],"Not Available",0)</f>
        <v>Kubota</v>
      </c>
      <c r="K259" s="4">
        <v>8</v>
      </c>
      <c r="L259" s="72">
        <v>356359</v>
      </c>
      <c r="M259" s="4">
        <f>INDEX('Master Sheet'!$C$4:$C$12,MATCH(Table1[[#This Row],[Quantity]],'Master Sheet'!$B$4:$B$12,0))</f>
        <v>9</v>
      </c>
      <c r="N259" s="71">
        <f>Table1[[#This Row],[Quantity]]*Table1[[#This Row],[Unit Price]]</f>
        <v>2850872</v>
      </c>
      <c r="O259" s="73">
        <v>0.28508719999999999</v>
      </c>
      <c r="P259" s="70">
        <f>Table1[[#This Row],[Gross Amount]]*(1-(Table1[[#This Row],[Discount %]]/100))</f>
        <v>2594293.52</v>
      </c>
      <c r="Q259" s="74">
        <f>(Table1[[#This Row],[Gross Amount]]*(1-(Table1[[#This Row],[Discount %]]/100)))/10000000</f>
        <v>0.259429352</v>
      </c>
      <c r="R259" t="s">
        <v>25</v>
      </c>
      <c r="S259" t="str" cm="1">
        <f t="array" ref="S259">IFERROR(_xlfn.IFS(Table1[[#This Row],[Payment Status]]="Partial","In Transit",Table1[[#This Row],[Payment Status]]="Paid","Delivered",Table1[[#This Row],[Payment Status]]="Pending","Pending"),"Invalid Input")</f>
        <v>In Transit</v>
      </c>
      <c r="T259" t="s">
        <v>44</v>
      </c>
      <c r="U259" t="str" cm="1">
        <f t="array" ref="U259">IFERROR(_xlfn.IFS(Table1[[#This Row],[Payment Status]]="Partial","In Transit",Table1[[#This Row],[Payment Status]]="Paid","Completed",Table1[[#This Row],[Payment Status]]="Pending","Pending"),"Invalid Input")</f>
        <v>In Transit</v>
      </c>
    </row>
    <row r="260" spans="1:21" x14ac:dyDescent="0.25">
      <c r="A260" s="4" t="s">
        <v>574</v>
      </c>
      <c r="B260" s="5">
        <v>45747</v>
      </c>
      <c r="C260" t="s">
        <v>52</v>
      </c>
      <c r="D260" t="s">
        <v>37</v>
      </c>
      <c r="E260" t="s">
        <v>66</v>
      </c>
      <c r="F260" t="s">
        <v>3226</v>
      </c>
      <c r="G260" t="s">
        <v>67</v>
      </c>
      <c r="H260" t="str">
        <f>VLOOKUP(Table1[[#This Row],[City]],Table6[#All],2,FALSE)</f>
        <v>East</v>
      </c>
      <c r="I260" t="s">
        <v>53</v>
      </c>
      <c r="J260" t="str">
        <f>_xlfn.XLOOKUP(Table1[[#This Row],[Tractor Model]],Table7[Product Model],Table7[Product Category],"Not Available",0)</f>
        <v>Farmtrac</v>
      </c>
      <c r="K260" s="4">
        <v>5</v>
      </c>
      <c r="L260" s="72">
        <v>636217</v>
      </c>
      <c r="M260" s="4">
        <f>INDEX('Master Sheet'!$C$4:$C$12,MATCH(Table1[[#This Row],[Quantity]],'Master Sheet'!$B$4:$B$12,0))</f>
        <v>7</v>
      </c>
      <c r="N260" s="71">
        <f>Table1[[#This Row],[Quantity]]*Table1[[#This Row],[Unit Price]]</f>
        <v>3181085</v>
      </c>
      <c r="O260" s="73">
        <v>0.31810850000000002</v>
      </c>
      <c r="P260" s="70">
        <f>Table1[[#This Row],[Gross Amount]]*(1-(Table1[[#This Row],[Discount %]]/100))</f>
        <v>2958409.05</v>
      </c>
      <c r="Q260" s="74">
        <f>(Table1[[#This Row],[Gross Amount]]*(1-(Table1[[#This Row],[Discount %]]/100)))/10000000</f>
        <v>0.29584090499999999</v>
      </c>
      <c r="R260" t="s">
        <v>25</v>
      </c>
      <c r="S260" t="str" cm="1">
        <f t="array" ref="S260">IFERROR(_xlfn.IFS(Table1[[#This Row],[Payment Status]]="Partial","In Transit",Table1[[#This Row],[Payment Status]]="Paid","Delivered",Table1[[#This Row],[Payment Status]]="Pending","Pending"),"Invalid Input")</f>
        <v>In Transit</v>
      </c>
      <c r="T260" t="s">
        <v>27</v>
      </c>
      <c r="U260" t="str" cm="1">
        <f t="array" ref="U260">IFERROR(_xlfn.IFS(Table1[[#This Row],[Payment Status]]="Partial","In Transit",Table1[[#This Row],[Payment Status]]="Paid","Completed",Table1[[#This Row],[Payment Status]]="Pending","Pending"),"Invalid Input")</f>
        <v>In Transit</v>
      </c>
    </row>
    <row r="261" spans="1:21" x14ac:dyDescent="0.25">
      <c r="A261" s="4" t="s">
        <v>576</v>
      </c>
      <c r="B261" s="5">
        <v>45485</v>
      </c>
      <c r="C261" t="s">
        <v>33</v>
      </c>
      <c r="D261" t="s">
        <v>3268</v>
      </c>
      <c r="E261" t="s">
        <v>30</v>
      </c>
      <c r="F261" t="s">
        <v>3208</v>
      </c>
      <c r="G261" t="s">
        <v>31</v>
      </c>
      <c r="H261" t="str">
        <f>VLOOKUP(Table1[[#This Row],[City]],Table6[#All],2,FALSE)</f>
        <v>South</v>
      </c>
      <c r="I261" t="s">
        <v>53</v>
      </c>
      <c r="J261" t="str">
        <f>_xlfn.XLOOKUP(Table1[[#This Row],[Tractor Model]],Table7[Product Model],Table7[Product Category],"Not Available",0)</f>
        <v>Farmtrac</v>
      </c>
      <c r="K261" s="4">
        <v>1</v>
      </c>
      <c r="L261" s="72">
        <v>521202</v>
      </c>
      <c r="M261" s="4">
        <f>INDEX('Master Sheet'!$C$4:$C$12,MATCH(Table1[[#This Row],[Quantity]],'Master Sheet'!$B$4:$B$12,0))</f>
        <v>3</v>
      </c>
      <c r="N261" s="71">
        <f>Table1[[#This Row],[Quantity]]*Table1[[#This Row],[Unit Price]]</f>
        <v>521202</v>
      </c>
      <c r="O261" s="73">
        <v>5.2120199999999998E-2</v>
      </c>
      <c r="P261" s="70">
        <f>Table1[[#This Row],[Gross Amount]]*(1-(Table1[[#This Row],[Discount %]]/100))</f>
        <v>505565.94</v>
      </c>
      <c r="Q261" s="74">
        <f>(Table1[[#This Row],[Gross Amount]]*(1-(Table1[[#This Row],[Discount %]]/100)))/10000000</f>
        <v>5.0556594000000003E-2</v>
      </c>
      <c r="R261" t="s">
        <v>25</v>
      </c>
      <c r="S261" t="str" cm="1">
        <f t="array" ref="S261">IFERROR(_xlfn.IFS(Table1[[#This Row],[Payment Status]]="Partial","In Transit",Table1[[#This Row],[Payment Status]]="Paid","Delivered",Table1[[#This Row],[Payment Status]]="Pending","Pending"),"Invalid Input")</f>
        <v>In Transit</v>
      </c>
      <c r="T261" t="s">
        <v>27</v>
      </c>
      <c r="U261" t="str" cm="1">
        <f t="array" ref="U261">IFERROR(_xlfn.IFS(Table1[[#This Row],[Payment Status]]="Partial","In Transit",Table1[[#This Row],[Payment Status]]="Paid","Completed",Table1[[#This Row],[Payment Status]]="Pending","Pending"),"Invalid Input")</f>
        <v>In Transit</v>
      </c>
    </row>
    <row r="262" spans="1:21" x14ac:dyDescent="0.25">
      <c r="A262" s="4" t="s">
        <v>578</v>
      </c>
      <c r="B262" s="5">
        <v>45310</v>
      </c>
      <c r="C262" t="s">
        <v>52</v>
      </c>
      <c r="D262" t="s">
        <v>3270</v>
      </c>
      <c r="E262" t="s">
        <v>119</v>
      </c>
      <c r="F262" t="s">
        <v>3212</v>
      </c>
      <c r="G262" t="s">
        <v>21</v>
      </c>
      <c r="H262" t="str">
        <f>VLOOKUP(Table1[[#This Row],[City]],Table6[#All],2,FALSE)</f>
        <v>North</v>
      </c>
      <c r="I262" t="s">
        <v>3204</v>
      </c>
      <c r="J262" t="str">
        <f>_xlfn.XLOOKUP(Table1[[#This Row],[Tractor Model]],Table7[Product Model],Table7[Product Category],"Not Available",0)</f>
        <v>Kubota</v>
      </c>
      <c r="K262" s="4">
        <v>4</v>
      </c>
      <c r="L262" s="72">
        <v>380978</v>
      </c>
      <c r="M262" s="4">
        <f>INDEX('Master Sheet'!$C$4:$C$12,MATCH(Table1[[#This Row],[Quantity]],'Master Sheet'!$B$4:$B$12,0))</f>
        <v>6</v>
      </c>
      <c r="N262" s="71">
        <f>Table1[[#This Row],[Quantity]]*Table1[[#This Row],[Unit Price]]</f>
        <v>1523912</v>
      </c>
      <c r="O262" s="73">
        <v>0.1523912</v>
      </c>
      <c r="P262" s="70">
        <f>Table1[[#This Row],[Gross Amount]]*(1-(Table1[[#This Row],[Discount %]]/100))</f>
        <v>1432477.28</v>
      </c>
      <c r="Q262" s="74">
        <f>(Table1[[#This Row],[Gross Amount]]*(1-(Table1[[#This Row],[Discount %]]/100)))/10000000</f>
        <v>0.14324772799999999</v>
      </c>
      <c r="R262" t="s">
        <v>25</v>
      </c>
      <c r="S262" t="str" cm="1">
        <f t="array" ref="S262">IFERROR(_xlfn.IFS(Table1[[#This Row],[Payment Status]]="Partial","In Transit",Table1[[#This Row],[Payment Status]]="Paid","Delivered",Table1[[#This Row],[Payment Status]]="Pending","Pending"),"Invalid Input")</f>
        <v>In Transit</v>
      </c>
      <c r="T262" t="s">
        <v>27</v>
      </c>
      <c r="U262" t="str" cm="1">
        <f t="array" ref="U262">IFERROR(_xlfn.IFS(Table1[[#This Row],[Payment Status]]="Partial","In Transit",Table1[[#This Row],[Payment Status]]="Paid","Completed",Table1[[#This Row],[Payment Status]]="Pending","Pending"),"Invalid Input")</f>
        <v>In Transit</v>
      </c>
    </row>
    <row r="263" spans="1:21" x14ac:dyDescent="0.25">
      <c r="A263" s="4" t="s">
        <v>580</v>
      </c>
      <c r="B263" s="5">
        <v>45491</v>
      </c>
      <c r="C263" t="s">
        <v>73</v>
      </c>
      <c r="D263" t="s">
        <v>3270</v>
      </c>
      <c r="E263" t="s">
        <v>38</v>
      </c>
      <c r="F263" t="s">
        <v>3218</v>
      </c>
      <c r="G263" t="s">
        <v>39</v>
      </c>
      <c r="H263" t="str">
        <f>VLOOKUP(Table1[[#This Row],[City]],Table6[#All],2,FALSE)</f>
        <v>West</v>
      </c>
      <c r="I263" t="s">
        <v>53</v>
      </c>
      <c r="J263" t="str">
        <f>_xlfn.XLOOKUP(Table1[[#This Row],[Tractor Model]],Table7[Product Model],Table7[Product Category],"Not Available",0)</f>
        <v>Farmtrac</v>
      </c>
      <c r="K263" s="4">
        <v>2</v>
      </c>
      <c r="L263" s="72">
        <v>848838</v>
      </c>
      <c r="M263" s="4">
        <f>INDEX('Master Sheet'!$C$4:$C$12,MATCH(Table1[[#This Row],[Quantity]],'Master Sheet'!$B$4:$B$12,0))</f>
        <v>5</v>
      </c>
      <c r="N263" s="71">
        <f>Table1[[#This Row],[Quantity]]*Table1[[#This Row],[Unit Price]]</f>
        <v>1697676</v>
      </c>
      <c r="O263" s="73">
        <v>0.16976759999999999</v>
      </c>
      <c r="P263" s="70">
        <f>Table1[[#This Row],[Gross Amount]]*(1-(Table1[[#This Row],[Discount %]]/100))</f>
        <v>1612792.2</v>
      </c>
      <c r="Q263" s="74">
        <f>(Table1[[#This Row],[Gross Amount]]*(1-(Table1[[#This Row],[Discount %]]/100)))/10000000</f>
        <v>0.16127922</v>
      </c>
      <c r="R263" t="s">
        <v>25</v>
      </c>
      <c r="S263" t="str" cm="1">
        <f t="array" ref="S263">IFERROR(_xlfn.IFS(Table1[[#This Row],[Payment Status]]="Partial","In Transit",Table1[[#This Row],[Payment Status]]="Paid","Delivered",Table1[[#This Row],[Payment Status]]="Pending","Pending"),"Invalid Input")</f>
        <v>In Transit</v>
      </c>
      <c r="T263" t="s">
        <v>27</v>
      </c>
      <c r="U263" t="str" cm="1">
        <f t="array" ref="U263">IFERROR(_xlfn.IFS(Table1[[#This Row],[Payment Status]]="Partial","In Transit",Table1[[#This Row],[Payment Status]]="Paid","Completed",Table1[[#This Row],[Payment Status]]="Pending","Pending"),"Invalid Input")</f>
        <v>In Transit</v>
      </c>
    </row>
    <row r="264" spans="1:21" x14ac:dyDescent="0.25">
      <c r="A264" s="4" t="s">
        <v>582</v>
      </c>
      <c r="B264" s="5">
        <v>45302</v>
      </c>
      <c r="C264" t="s">
        <v>52</v>
      </c>
      <c r="D264" t="s">
        <v>3270</v>
      </c>
      <c r="E264" t="s">
        <v>119</v>
      </c>
      <c r="F264" t="s">
        <v>3212</v>
      </c>
      <c r="G264" t="s">
        <v>21</v>
      </c>
      <c r="H264" t="str">
        <f>VLOOKUP(Table1[[#This Row],[City]],Table6[#All],2,FALSE)</f>
        <v>North</v>
      </c>
      <c r="I264" t="s">
        <v>24</v>
      </c>
      <c r="J264" t="str">
        <f>_xlfn.XLOOKUP(Table1[[#This Row],[Tractor Model]],Table7[Product Model],Table7[Product Category],"Not Available",0)</f>
        <v>Farmtrac</v>
      </c>
      <c r="K264" s="4">
        <v>8</v>
      </c>
      <c r="L264" s="72">
        <v>624130</v>
      </c>
      <c r="M264" s="4">
        <f>INDEX('Master Sheet'!$C$4:$C$12,MATCH(Table1[[#This Row],[Quantity]],'Master Sheet'!$B$4:$B$12,0))</f>
        <v>9</v>
      </c>
      <c r="N264" s="71">
        <f>Table1[[#This Row],[Quantity]]*Table1[[#This Row],[Unit Price]]</f>
        <v>4993040</v>
      </c>
      <c r="O264" s="73">
        <v>0.49930400000000003</v>
      </c>
      <c r="P264" s="70">
        <f>Table1[[#This Row],[Gross Amount]]*(1-(Table1[[#This Row],[Discount %]]/100))</f>
        <v>4543666.4000000004</v>
      </c>
      <c r="Q264" s="74">
        <f>(Table1[[#This Row],[Gross Amount]]*(1-(Table1[[#This Row],[Discount %]]/100)))/10000000</f>
        <v>0.45436664000000004</v>
      </c>
      <c r="R264" t="s">
        <v>25</v>
      </c>
      <c r="S264" t="str" cm="1">
        <f t="array" ref="S264">IFERROR(_xlfn.IFS(Table1[[#This Row],[Payment Status]]="Partial","In Transit",Table1[[#This Row],[Payment Status]]="Paid","Delivered",Table1[[#This Row],[Payment Status]]="Pending","Pending"),"Invalid Input")</f>
        <v>In Transit</v>
      </c>
      <c r="T264" t="s">
        <v>44</v>
      </c>
      <c r="U264" t="str" cm="1">
        <f t="array" ref="U264">IFERROR(_xlfn.IFS(Table1[[#This Row],[Payment Status]]="Partial","In Transit",Table1[[#This Row],[Payment Status]]="Paid","Completed",Table1[[#This Row],[Payment Status]]="Pending","Pending"),"Invalid Input")</f>
        <v>In Transit</v>
      </c>
    </row>
    <row r="265" spans="1:21" x14ac:dyDescent="0.25">
      <c r="A265" s="4" t="s">
        <v>583</v>
      </c>
      <c r="B265" s="5">
        <v>45480</v>
      </c>
      <c r="C265" t="s">
        <v>41</v>
      </c>
      <c r="D265" t="s">
        <v>37</v>
      </c>
      <c r="E265" t="s">
        <v>119</v>
      </c>
      <c r="F265" t="s">
        <v>3224</v>
      </c>
      <c r="G265" t="s">
        <v>21</v>
      </c>
      <c r="H265" t="str">
        <f>VLOOKUP(Table1[[#This Row],[City]],Table6[#All],2,FALSE)</f>
        <v>North</v>
      </c>
      <c r="I265" t="s">
        <v>53</v>
      </c>
      <c r="J265" t="str">
        <f>_xlfn.XLOOKUP(Table1[[#This Row],[Tractor Model]],Table7[Product Model],Table7[Product Category],"Not Available",0)</f>
        <v>Farmtrac</v>
      </c>
      <c r="K265" s="4">
        <v>2</v>
      </c>
      <c r="L265" s="72">
        <v>348196</v>
      </c>
      <c r="M265" s="4">
        <f>INDEX('Master Sheet'!$C$4:$C$12,MATCH(Table1[[#This Row],[Quantity]],'Master Sheet'!$B$4:$B$12,0))</f>
        <v>5</v>
      </c>
      <c r="N265" s="71">
        <f>Table1[[#This Row],[Quantity]]*Table1[[#This Row],[Unit Price]]</f>
        <v>696392</v>
      </c>
      <c r="O265" s="73">
        <v>6.9639199999999998E-2</v>
      </c>
      <c r="P265" s="70">
        <f>Table1[[#This Row],[Gross Amount]]*(1-(Table1[[#This Row],[Discount %]]/100))</f>
        <v>661572.4</v>
      </c>
      <c r="Q265" s="74">
        <f>(Table1[[#This Row],[Gross Amount]]*(1-(Table1[[#This Row],[Discount %]]/100)))/10000000</f>
        <v>6.6157240000000006E-2</v>
      </c>
      <c r="R265" t="s">
        <v>54</v>
      </c>
      <c r="S265" t="str" cm="1">
        <f t="array" ref="S265">IFERROR(_xlfn.IFS(Table1[[#This Row],[Payment Status]]="Partial","In Transit",Table1[[#This Row],[Payment Status]]="Paid","Delivered",Table1[[#This Row],[Payment Status]]="Pending","Pending"),"Invalid Input")</f>
        <v>Delivered</v>
      </c>
      <c r="T265" t="s">
        <v>44</v>
      </c>
      <c r="U265" t="str" cm="1">
        <f t="array" ref="U265">IFERROR(_xlfn.IFS(Table1[[#This Row],[Payment Status]]="Partial","In Transit",Table1[[#This Row],[Payment Status]]="Paid","Completed",Table1[[#This Row],[Payment Status]]="Pending","Pending"),"Invalid Input")</f>
        <v>Completed</v>
      </c>
    </row>
    <row r="266" spans="1:21" x14ac:dyDescent="0.25">
      <c r="A266" s="4" t="s">
        <v>585</v>
      </c>
      <c r="B266" s="5">
        <v>45819</v>
      </c>
      <c r="C266" t="s">
        <v>62</v>
      </c>
      <c r="D266" t="s">
        <v>3271</v>
      </c>
      <c r="E266" t="s">
        <v>119</v>
      </c>
      <c r="F266" t="s">
        <v>3228</v>
      </c>
      <c r="G266" t="s">
        <v>21</v>
      </c>
      <c r="H266" t="str">
        <f>VLOOKUP(Table1[[#This Row],[City]],Table6[#All],2,FALSE)</f>
        <v>North</v>
      </c>
      <c r="I266" t="s">
        <v>53</v>
      </c>
      <c r="J266" t="str">
        <f>_xlfn.XLOOKUP(Table1[[#This Row],[Tractor Model]],Table7[Product Model],Table7[Product Category],"Not Available",0)</f>
        <v>Farmtrac</v>
      </c>
      <c r="K266" s="4">
        <v>0</v>
      </c>
      <c r="L266" s="72">
        <v>716647</v>
      </c>
      <c r="M266" s="4">
        <f>INDEX('Master Sheet'!$C$4:$C$12,MATCH(Table1[[#This Row],[Quantity]],'Master Sheet'!$B$4:$B$12,0))</f>
        <v>0</v>
      </c>
      <c r="N266" s="71">
        <f>Table1[[#This Row],[Quantity]]*Table1[[#This Row],[Unit Price]]</f>
        <v>0</v>
      </c>
      <c r="O266" s="73">
        <v>0</v>
      </c>
      <c r="P266" s="70">
        <f>Table1[[#This Row],[Gross Amount]]*(1-(Table1[[#This Row],[Discount %]]/100))</f>
        <v>0</v>
      </c>
      <c r="Q266" s="74">
        <f>(Table1[[#This Row],[Gross Amount]]*(1-(Table1[[#This Row],[Discount %]]/100)))/10000000</f>
        <v>0</v>
      </c>
      <c r="R266" t="s">
        <v>42</v>
      </c>
      <c r="S266" t="str" cm="1">
        <f t="array" ref="S266">IFERROR(_xlfn.IFS(Table1[[#This Row],[Payment Status]]="Partial","In Transit",Table1[[#This Row],[Payment Status]]="Paid","Delivered",Table1[[#This Row],[Payment Status]]="Pending","Pending"),"Invalid Input")</f>
        <v>Pending</v>
      </c>
      <c r="T266" t="s">
        <v>44</v>
      </c>
      <c r="U266" t="str" cm="1">
        <f t="array" ref="U266">IFERROR(_xlfn.IFS(Table1[[#This Row],[Payment Status]]="Partial","In Transit",Table1[[#This Row],[Payment Status]]="Paid","Completed",Table1[[#This Row],[Payment Status]]="Pending","Pending"),"Invalid Input")</f>
        <v>Pending</v>
      </c>
    </row>
    <row r="267" spans="1:21" x14ac:dyDescent="0.25">
      <c r="A267" s="4" t="s">
        <v>588</v>
      </c>
      <c r="B267" s="5">
        <v>45394</v>
      </c>
      <c r="C267" t="s">
        <v>33</v>
      </c>
      <c r="D267" t="s">
        <v>3268</v>
      </c>
      <c r="E267" t="s">
        <v>47</v>
      </c>
      <c r="F267" t="s">
        <v>3216</v>
      </c>
      <c r="G267" t="s">
        <v>48</v>
      </c>
      <c r="H267" t="str">
        <f>VLOOKUP(Table1[[#This Row],[City]],Table6[#All],2,FALSE)</f>
        <v>North</v>
      </c>
      <c r="I267" t="s">
        <v>3203</v>
      </c>
      <c r="J267" t="str">
        <f>_xlfn.XLOOKUP(Table1[[#This Row],[Tractor Model]],Table7[Product Model],Table7[Product Category],"Not Available",0)</f>
        <v>Kubota</v>
      </c>
      <c r="K267" s="4">
        <v>1</v>
      </c>
      <c r="L267" s="72">
        <v>661173</v>
      </c>
      <c r="M267" s="4">
        <f>INDEX('Master Sheet'!$C$4:$C$12,MATCH(Table1[[#This Row],[Quantity]],'Master Sheet'!$B$4:$B$12,0))</f>
        <v>3</v>
      </c>
      <c r="N267" s="71">
        <f>Table1[[#This Row],[Quantity]]*Table1[[#This Row],[Unit Price]]</f>
        <v>661173</v>
      </c>
      <c r="O267" s="73">
        <v>6.6117300000000004E-2</v>
      </c>
      <c r="P267" s="70">
        <f>Table1[[#This Row],[Gross Amount]]*(1-(Table1[[#This Row],[Discount %]]/100))</f>
        <v>641337.80999999994</v>
      </c>
      <c r="Q267" s="74">
        <f>(Table1[[#This Row],[Gross Amount]]*(1-(Table1[[#This Row],[Discount %]]/100)))/10000000</f>
        <v>6.4133781000000001E-2</v>
      </c>
      <c r="R267" t="s">
        <v>54</v>
      </c>
      <c r="S267" t="str" cm="1">
        <f t="array" ref="S267">IFERROR(_xlfn.IFS(Table1[[#This Row],[Payment Status]]="Partial","In Transit",Table1[[#This Row],[Payment Status]]="Paid","Delivered",Table1[[#This Row],[Payment Status]]="Pending","Pending"),"Invalid Input")</f>
        <v>Delivered</v>
      </c>
      <c r="T267" t="s">
        <v>27</v>
      </c>
      <c r="U267" t="str" cm="1">
        <f t="array" ref="U267">IFERROR(_xlfn.IFS(Table1[[#This Row],[Payment Status]]="Partial","In Transit",Table1[[#This Row],[Payment Status]]="Paid","Completed",Table1[[#This Row],[Payment Status]]="Pending","Pending"),"Invalid Input")</f>
        <v>Completed</v>
      </c>
    </row>
    <row r="268" spans="1:21" x14ac:dyDescent="0.25">
      <c r="A268" s="4" t="s">
        <v>590</v>
      </c>
      <c r="B268" s="5">
        <v>45698</v>
      </c>
      <c r="C268" t="s">
        <v>62</v>
      </c>
      <c r="D268" t="s">
        <v>3269</v>
      </c>
      <c r="E268" t="s">
        <v>66</v>
      </c>
      <c r="F268" t="s">
        <v>3213</v>
      </c>
      <c r="G268" t="s">
        <v>67</v>
      </c>
      <c r="H268" t="str">
        <f>VLOOKUP(Table1[[#This Row],[City]],Table6[#All],2,FALSE)</f>
        <v>East</v>
      </c>
      <c r="I268" t="s">
        <v>3203</v>
      </c>
      <c r="J268" t="str">
        <f>_xlfn.XLOOKUP(Table1[[#This Row],[Tractor Model]],Table7[Product Model],Table7[Product Category],"Not Available",0)</f>
        <v>Kubota</v>
      </c>
      <c r="K268" s="4">
        <v>1</v>
      </c>
      <c r="L268" s="72">
        <v>318100</v>
      </c>
      <c r="M268" s="4">
        <f>INDEX('Master Sheet'!$C$4:$C$12,MATCH(Table1[[#This Row],[Quantity]],'Master Sheet'!$B$4:$B$12,0))</f>
        <v>3</v>
      </c>
      <c r="N268" s="71">
        <f>Table1[[#This Row],[Quantity]]*Table1[[#This Row],[Unit Price]]</f>
        <v>318100</v>
      </c>
      <c r="O268" s="73">
        <v>3.1809999999999998E-2</v>
      </c>
      <c r="P268" s="70">
        <f>Table1[[#This Row],[Gross Amount]]*(1-(Table1[[#This Row],[Discount %]]/100))</f>
        <v>308557</v>
      </c>
      <c r="Q268" s="74">
        <f>(Table1[[#This Row],[Gross Amount]]*(1-(Table1[[#This Row],[Discount %]]/100)))/10000000</f>
        <v>3.08557E-2</v>
      </c>
      <c r="R268" t="s">
        <v>54</v>
      </c>
      <c r="S268" t="str" cm="1">
        <f t="array" ref="S268">IFERROR(_xlfn.IFS(Table1[[#This Row],[Payment Status]]="Partial","In Transit",Table1[[#This Row],[Payment Status]]="Paid","Delivered",Table1[[#This Row],[Payment Status]]="Pending","Pending"),"Invalid Input")</f>
        <v>Delivered</v>
      </c>
      <c r="T268" t="s">
        <v>44</v>
      </c>
      <c r="U268" t="str" cm="1">
        <f t="array" ref="U268">IFERROR(_xlfn.IFS(Table1[[#This Row],[Payment Status]]="Partial","In Transit",Table1[[#This Row],[Payment Status]]="Paid","Completed",Table1[[#This Row],[Payment Status]]="Pending","Pending"),"Invalid Input")</f>
        <v>Completed</v>
      </c>
    </row>
    <row r="269" spans="1:21" x14ac:dyDescent="0.25">
      <c r="A269" s="4" t="s">
        <v>592</v>
      </c>
      <c r="B269" s="5">
        <v>45673</v>
      </c>
      <c r="C269" t="s">
        <v>41</v>
      </c>
      <c r="D269" t="s">
        <v>3271</v>
      </c>
      <c r="E269" t="s">
        <v>66</v>
      </c>
      <c r="F269" t="s">
        <v>3207</v>
      </c>
      <c r="G269" t="s">
        <v>67</v>
      </c>
      <c r="H269" t="str">
        <f>VLOOKUP(Table1[[#This Row],[City]],Table6[#All],2,FALSE)</f>
        <v>East</v>
      </c>
      <c r="I269" t="s">
        <v>3203</v>
      </c>
      <c r="J269" t="str">
        <f>_xlfn.XLOOKUP(Table1[[#This Row],[Tractor Model]],Table7[Product Model],Table7[Product Category],"Not Available",0)</f>
        <v>Kubota</v>
      </c>
      <c r="K269" s="4">
        <v>4</v>
      </c>
      <c r="L269" s="72">
        <v>584592</v>
      </c>
      <c r="M269" s="4">
        <f>INDEX('Master Sheet'!$C$4:$C$12,MATCH(Table1[[#This Row],[Quantity]],'Master Sheet'!$B$4:$B$12,0))</f>
        <v>6</v>
      </c>
      <c r="N269" s="71">
        <f>Table1[[#This Row],[Quantity]]*Table1[[#This Row],[Unit Price]]</f>
        <v>2338368</v>
      </c>
      <c r="O269" s="73">
        <v>0.23383680000000001</v>
      </c>
      <c r="P269" s="70">
        <f>Table1[[#This Row],[Gross Amount]]*(1-(Table1[[#This Row],[Discount %]]/100))</f>
        <v>2198065.92</v>
      </c>
      <c r="Q269" s="74">
        <f>(Table1[[#This Row],[Gross Amount]]*(1-(Table1[[#This Row],[Discount %]]/100)))/10000000</f>
        <v>0.219806592</v>
      </c>
      <c r="R269" t="s">
        <v>54</v>
      </c>
      <c r="S269" t="str" cm="1">
        <f t="array" ref="S269">IFERROR(_xlfn.IFS(Table1[[#This Row],[Payment Status]]="Partial","In Transit",Table1[[#This Row],[Payment Status]]="Paid","Delivered",Table1[[#This Row],[Payment Status]]="Pending","Pending"),"Invalid Input")</f>
        <v>Delivered</v>
      </c>
      <c r="T269" t="s">
        <v>27</v>
      </c>
      <c r="U269" t="str" cm="1">
        <f t="array" ref="U269">IFERROR(_xlfn.IFS(Table1[[#This Row],[Payment Status]]="Partial","In Transit",Table1[[#This Row],[Payment Status]]="Paid","Completed",Table1[[#This Row],[Payment Status]]="Pending","Pending"),"Invalid Input")</f>
        <v>Completed</v>
      </c>
    </row>
    <row r="270" spans="1:21" x14ac:dyDescent="0.25">
      <c r="A270" s="4" t="s">
        <v>593</v>
      </c>
      <c r="B270" s="5">
        <v>45584</v>
      </c>
      <c r="C270" t="s">
        <v>41</v>
      </c>
      <c r="D270" t="s">
        <v>3268</v>
      </c>
      <c r="E270" t="s">
        <v>38</v>
      </c>
      <c r="F270" t="s">
        <v>3219</v>
      </c>
      <c r="G270" t="s">
        <v>39</v>
      </c>
      <c r="H270" t="str">
        <f>VLOOKUP(Table1[[#This Row],[City]],Table6[#All],2,FALSE)</f>
        <v>West</v>
      </c>
      <c r="I270" t="s">
        <v>3203</v>
      </c>
      <c r="J270" t="str">
        <f>_xlfn.XLOOKUP(Table1[[#This Row],[Tractor Model]],Table7[Product Model],Table7[Product Category],"Not Available",0)</f>
        <v>Kubota</v>
      </c>
      <c r="K270" s="4">
        <v>3</v>
      </c>
      <c r="L270" s="72">
        <v>488816</v>
      </c>
      <c r="M270" s="4">
        <f>INDEX('Master Sheet'!$C$4:$C$12,MATCH(Table1[[#This Row],[Quantity]],'Master Sheet'!$B$4:$B$12,0))</f>
        <v>6</v>
      </c>
      <c r="N270" s="71">
        <f>Table1[[#This Row],[Quantity]]*Table1[[#This Row],[Unit Price]]</f>
        <v>1466448</v>
      </c>
      <c r="O270" s="73">
        <v>0.14664479999999999</v>
      </c>
      <c r="P270" s="70">
        <f>Table1[[#This Row],[Gross Amount]]*(1-(Table1[[#This Row],[Discount %]]/100))</f>
        <v>1378461.1199999999</v>
      </c>
      <c r="Q270" s="74">
        <f>(Table1[[#This Row],[Gross Amount]]*(1-(Table1[[#This Row],[Discount %]]/100)))/10000000</f>
        <v>0.13784611199999999</v>
      </c>
      <c r="R270" t="s">
        <v>25</v>
      </c>
      <c r="S270" t="str" cm="1">
        <f t="array" ref="S270">IFERROR(_xlfn.IFS(Table1[[#This Row],[Payment Status]]="Partial","In Transit",Table1[[#This Row],[Payment Status]]="Paid","Delivered",Table1[[#This Row],[Payment Status]]="Pending","Pending"),"Invalid Input")</f>
        <v>In Transit</v>
      </c>
      <c r="T270" t="s">
        <v>44</v>
      </c>
      <c r="U270" t="str" cm="1">
        <f t="array" ref="U270">IFERROR(_xlfn.IFS(Table1[[#This Row],[Payment Status]]="Partial","In Transit",Table1[[#This Row],[Payment Status]]="Paid","Completed",Table1[[#This Row],[Payment Status]]="Pending","Pending"),"Invalid Input")</f>
        <v>In Transit</v>
      </c>
    </row>
    <row r="271" spans="1:21" x14ac:dyDescent="0.25">
      <c r="A271" s="4" t="s">
        <v>595</v>
      </c>
      <c r="B271" s="5">
        <v>45715</v>
      </c>
      <c r="C271" t="s">
        <v>52</v>
      </c>
      <c r="D271" t="s">
        <v>3271</v>
      </c>
      <c r="E271" t="s">
        <v>30</v>
      </c>
      <c r="F271" t="s">
        <v>3217</v>
      </c>
      <c r="G271" t="s">
        <v>31</v>
      </c>
      <c r="H271" t="str">
        <f>VLOOKUP(Table1[[#This Row],[City]],Table6[#All],2,FALSE)</f>
        <v>South</v>
      </c>
      <c r="I271" t="s">
        <v>3204</v>
      </c>
      <c r="J271" t="str">
        <f>_xlfn.XLOOKUP(Table1[[#This Row],[Tractor Model]],Table7[Product Model],Table7[Product Category],"Not Available",0)</f>
        <v>Kubota</v>
      </c>
      <c r="K271" s="4">
        <v>5</v>
      </c>
      <c r="L271" s="72">
        <v>136361</v>
      </c>
      <c r="M271" s="4">
        <f>INDEX('Master Sheet'!$C$4:$C$12,MATCH(Table1[[#This Row],[Quantity]],'Master Sheet'!$B$4:$B$12,0))</f>
        <v>7</v>
      </c>
      <c r="N271" s="71">
        <f>Table1[[#This Row],[Quantity]]*Table1[[#This Row],[Unit Price]]</f>
        <v>681805</v>
      </c>
      <c r="O271" s="73">
        <v>6.8180500000000005E-2</v>
      </c>
      <c r="P271" s="70">
        <f>Table1[[#This Row],[Gross Amount]]*(1-(Table1[[#This Row],[Discount %]]/100))</f>
        <v>634078.64999999991</v>
      </c>
      <c r="Q271" s="74">
        <f>(Table1[[#This Row],[Gross Amount]]*(1-(Table1[[#This Row],[Discount %]]/100)))/10000000</f>
        <v>6.3407864999999994E-2</v>
      </c>
      <c r="R271" t="s">
        <v>25</v>
      </c>
      <c r="S271" t="str" cm="1">
        <f t="array" ref="S271">IFERROR(_xlfn.IFS(Table1[[#This Row],[Payment Status]]="Partial","In Transit",Table1[[#This Row],[Payment Status]]="Paid","Delivered",Table1[[#This Row],[Payment Status]]="Pending","Pending"),"Invalid Input")</f>
        <v>In Transit</v>
      </c>
      <c r="T271" t="s">
        <v>27</v>
      </c>
      <c r="U271" t="str" cm="1">
        <f t="array" ref="U271">IFERROR(_xlfn.IFS(Table1[[#This Row],[Payment Status]]="Partial","In Transit",Table1[[#This Row],[Payment Status]]="Paid","Completed",Table1[[#This Row],[Payment Status]]="Pending","Pending"),"Invalid Input")</f>
        <v>In Transit</v>
      </c>
    </row>
    <row r="272" spans="1:21" x14ac:dyDescent="0.25">
      <c r="A272" s="4" t="s">
        <v>597</v>
      </c>
      <c r="B272" s="5">
        <v>45701</v>
      </c>
      <c r="C272" t="s">
        <v>52</v>
      </c>
      <c r="D272" t="s">
        <v>3271</v>
      </c>
      <c r="E272" t="s">
        <v>66</v>
      </c>
      <c r="F272" t="s">
        <v>3207</v>
      </c>
      <c r="G272" t="s">
        <v>67</v>
      </c>
      <c r="H272" t="str">
        <f>VLOOKUP(Table1[[#This Row],[City]],Table6[#All],2,FALSE)</f>
        <v>East</v>
      </c>
      <c r="I272" t="s">
        <v>58</v>
      </c>
      <c r="J272" t="str">
        <f>_xlfn.XLOOKUP(Table1[[#This Row],[Tractor Model]],Table7[Product Model],Table7[Product Category],"Not Available",0)</f>
        <v>Powertrac</v>
      </c>
      <c r="K272" s="4">
        <v>5</v>
      </c>
      <c r="L272" s="72">
        <v>577434</v>
      </c>
      <c r="M272" s="4">
        <f>INDEX('Master Sheet'!$C$4:$C$12,MATCH(Table1[[#This Row],[Quantity]],'Master Sheet'!$B$4:$B$12,0))</f>
        <v>7</v>
      </c>
      <c r="N272" s="71">
        <f>Table1[[#This Row],[Quantity]]*Table1[[#This Row],[Unit Price]]</f>
        <v>2887170</v>
      </c>
      <c r="O272" s="73">
        <v>0.288717</v>
      </c>
      <c r="P272" s="70">
        <f>Table1[[#This Row],[Gross Amount]]*(1-(Table1[[#This Row],[Discount %]]/100))</f>
        <v>2685068.0999999996</v>
      </c>
      <c r="Q272" s="74">
        <f>(Table1[[#This Row],[Gross Amount]]*(1-(Table1[[#This Row],[Discount %]]/100)))/10000000</f>
        <v>0.26850680999999998</v>
      </c>
      <c r="R272" t="s">
        <v>42</v>
      </c>
      <c r="S272" t="str" cm="1">
        <f t="array" ref="S272">IFERROR(_xlfn.IFS(Table1[[#This Row],[Payment Status]]="Partial","In Transit",Table1[[#This Row],[Payment Status]]="Paid","Delivered",Table1[[#This Row],[Payment Status]]="Pending","Pending"),"Invalid Input")</f>
        <v>Pending</v>
      </c>
      <c r="T272" t="s">
        <v>27</v>
      </c>
      <c r="U272" t="str" cm="1">
        <f t="array" ref="U272">IFERROR(_xlfn.IFS(Table1[[#This Row],[Payment Status]]="Partial","In Transit",Table1[[#This Row],[Payment Status]]="Paid","Completed",Table1[[#This Row],[Payment Status]]="Pending","Pending"),"Invalid Input")</f>
        <v>Pending</v>
      </c>
    </row>
    <row r="273" spans="1:21" x14ac:dyDescent="0.25">
      <c r="A273" s="4" t="s">
        <v>599</v>
      </c>
      <c r="B273" s="5">
        <v>45309</v>
      </c>
      <c r="C273" t="s">
        <v>62</v>
      </c>
      <c r="D273" t="s">
        <v>37</v>
      </c>
      <c r="E273" t="s">
        <v>47</v>
      </c>
      <c r="F273" t="s">
        <v>3215</v>
      </c>
      <c r="G273" t="s">
        <v>48</v>
      </c>
      <c r="H273" t="str">
        <f>VLOOKUP(Table1[[#This Row],[City]],Table6[#All],2,FALSE)</f>
        <v>North</v>
      </c>
      <c r="I273" t="s">
        <v>3203</v>
      </c>
      <c r="J273" t="str">
        <f>_xlfn.XLOOKUP(Table1[[#This Row],[Tractor Model]],Table7[Product Model],Table7[Product Category],"Not Available",0)</f>
        <v>Kubota</v>
      </c>
      <c r="K273" s="4">
        <v>1</v>
      </c>
      <c r="L273" s="72">
        <v>116943</v>
      </c>
      <c r="M273" s="4">
        <f>INDEX('Master Sheet'!$C$4:$C$12,MATCH(Table1[[#This Row],[Quantity]],'Master Sheet'!$B$4:$B$12,0))</f>
        <v>3</v>
      </c>
      <c r="N273" s="71">
        <f>Table1[[#This Row],[Quantity]]*Table1[[#This Row],[Unit Price]]</f>
        <v>116943</v>
      </c>
      <c r="O273" s="73">
        <v>1.1694299999999999E-2</v>
      </c>
      <c r="P273" s="70">
        <f>Table1[[#This Row],[Gross Amount]]*(1-(Table1[[#This Row],[Discount %]]/100))</f>
        <v>113434.70999999999</v>
      </c>
      <c r="Q273" s="74">
        <f>(Table1[[#This Row],[Gross Amount]]*(1-(Table1[[#This Row],[Discount %]]/100)))/10000000</f>
        <v>1.1343470999999999E-2</v>
      </c>
      <c r="R273" t="s">
        <v>54</v>
      </c>
      <c r="S273" t="str" cm="1">
        <f t="array" ref="S273">IFERROR(_xlfn.IFS(Table1[[#This Row],[Payment Status]]="Partial","In Transit",Table1[[#This Row],[Payment Status]]="Paid","Delivered",Table1[[#This Row],[Payment Status]]="Pending","Pending"),"Invalid Input")</f>
        <v>Delivered</v>
      </c>
      <c r="T273" t="s">
        <v>27</v>
      </c>
      <c r="U273" t="str" cm="1">
        <f t="array" ref="U273">IFERROR(_xlfn.IFS(Table1[[#This Row],[Payment Status]]="Partial","In Transit",Table1[[#This Row],[Payment Status]]="Paid","Completed",Table1[[#This Row],[Payment Status]]="Pending","Pending"),"Invalid Input")</f>
        <v>Completed</v>
      </c>
    </row>
    <row r="274" spans="1:21" x14ac:dyDescent="0.25">
      <c r="A274" s="4" t="s">
        <v>601</v>
      </c>
      <c r="B274" s="5">
        <v>45422</v>
      </c>
      <c r="C274" t="s">
        <v>33</v>
      </c>
      <c r="D274" t="s">
        <v>3269</v>
      </c>
      <c r="E274" t="s">
        <v>119</v>
      </c>
      <c r="F274" t="s">
        <v>3229</v>
      </c>
      <c r="G274" t="s">
        <v>21</v>
      </c>
      <c r="H274" t="str">
        <f>VLOOKUP(Table1[[#This Row],[City]],Table6[#All],2,FALSE)</f>
        <v>North</v>
      </c>
      <c r="I274" t="s">
        <v>24</v>
      </c>
      <c r="J274" t="str">
        <f>_xlfn.XLOOKUP(Table1[[#This Row],[Tractor Model]],Table7[Product Model],Table7[Product Category],"Not Available",0)</f>
        <v>Farmtrac</v>
      </c>
      <c r="K274" s="4">
        <v>0</v>
      </c>
      <c r="L274" s="72">
        <v>429094</v>
      </c>
      <c r="M274" s="4">
        <f>INDEX('Master Sheet'!$C$4:$C$12,MATCH(Table1[[#This Row],[Quantity]],'Master Sheet'!$B$4:$B$12,0))</f>
        <v>0</v>
      </c>
      <c r="N274" s="71">
        <f>Table1[[#This Row],[Quantity]]*Table1[[#This Row],[Unit Price]]</f>
        <v>0</v>
      </c>
      <c r="O274" s="73">
        <v>0</v>
      </c>
      <c r="P274" s="70">
        <f>Table1[[#This Row],[Gross Amount]]*(1-(Table1[[#This Row],[Discount %]]/100))</f>
        <v>0</v>
      </c>
      <c r="Q274" s="74">
        <f>(Table1[[#This Row],[Gross Amount]]*(1-(Table1[[#This Row],[Discount %]]/100)))/10000000</f>
        <v>0</v>
      </c>
      <c r="R274" t="s">
        <v>42</v>
      </c>
      <c r="S274" t="str" cm="1">
        <f t="array" ref="S274">IFERROR(_xlfn.IFS(Table1[[#This Row],[Payment Status]]="Partial","In Transit",Table1[[#This Row],[Payment Status]]="Paid","Delivered",Table1[[#This Row],[Payment Status]]="Pending","Pending"),"Invalid Input")</f>
        <v>Pending</v>
      </c>
      <c r="T274" t="s">
        <v>27</v>
      </c>
      <c r="U274" t="str" cm="1">
        <f t="array" ref="U274">IFERROR(_xlfn.IFS(Table1[[#This Row],[Payment Status]]="Partial","In Transit",Table1[[#This Row],[Payment Status]]="Paid","Completed",Table1[[#This Row],[Payment Status]]="Pending","Pending"),"Invalid Input")</f>
        <v>Pending</v>
      </c>
    </row>
    <row r="275" spans="1:21" x14ac:dyDescent="0.25">
      <c r="A275" s="4" t="s">
        <v>602</v>
      </c>
      <c r="B275" s="5">
        <v>45379</v>
      </c>
      <c r="C275" t="s">
        <v>33</v>
      </c>
      <c r="D275" t="s">
        <v>3271</v>
      </c>
      <c r="E275" t="s">
        <v>119</v>
      </c>
      <c r="F275" t="s">
        <v>3228</v>
      </c>
      <c r="G275" t="s">
        <v>21</v>
      </c>
      <c r="H275" t="str">
        <f>VLOOKUP(Table1[[#This Row],[City]],Table6[#All],2,FALSE)</f>
        <v>North</v>
      </c>
      <c r="I275" t="s">
        <v>53</v>
      </c>
      <c r="J275" t="str">
        <f>_xlfn.XLOOKUP(Table1[[#This Row],[Tractor Model]],Table7[Product Model],Table7[Product Category],"Not Available",0)</f>
        <v>Farmtrac</v>
      </c>
      <c r="K275" s="4">
        <v>4</v>
      </c>
      <c r="L275" s="72">
        <v>626790</v>
      </c>
      <c r="M275" s="4">
        <f>INDEX('Master Sheet'!$C$4:$C$12,MATCH(Table1[[#This Row],[Quantity]],'Master Sheet'!$B$4:$B$12,0))</f>
        <v>6</v>
      </c>
      <c r="N275" s="71">
        <f>Table1[[#This Row],[Quantity]]*Table1[[#This Row],[Unit Price]]</f>
        <v>2507160</v>
      </c>
      <c r="O275" s="73">
        <v>0.25071599999999999</v>
      </c>
      <c r="P275" s="70">
        <f>Table1[[#This Row],[Gross Amount]]*(1-(Table1[[#This Row],[Discount %]]/100))</f>
        <v>2356730.4</v>
      </c>
      <c r="Q275" s="74">
        <f>(Table1[[#This Row],[Gross Amount]]*(1-(Table1[[#This Row],[Discount %]]/100)))/10000000</f>
        <v>0.23567304</v>
      </c>
      <c r="R275" t="s">
        <v>54</v>
      </c>
      <c r="S275" t="str" cm="1">
        <f t="array" ref="S275">IFERROR(_xlfn.IFS(Table1[[#This Row],[Payment Status]]="Partial","In Transit",Table1[[#This Row],[Payment Status]]="Paid","Delivered",Table1[[#This Row],[Payment Status]]="Pending","Pending"),"Invalid Input")</f>
        <v>Delivered</v>
      </c>
      <c r="T275" t="s">
        <v>27</v>
      </c>
      <c r="U275" t="str" cm="1">
        <f t="array" ref="U275">IFERROR(_xlfn.IFS(Table1[[#This Row],[Payment Status]]="Partial","In Transit",Table1[[#This Row],[Payment Status]]="Paid","Completed",Table1[[#This Row],[Payment Status]]="Pending","Pending"),"Invalid Input")</f>
        <v>Completed</v>
      </c>
    </row>
    <row r="276" spans="1:21" x14ac:dyDescent="0.25">
      <c r="A276" s="4" t="s">
        <v>604</v>
      </c>
      <c r="B276" s="5">
        <v>45364</v>
      </c>
      <c r="C276" t="s">
        <v>52</v>
      </c>
      <c r="D276" t="s">
        <v>37</v>
      </c>
      <c r="E276" t="s">
        <v>119</v>
      </c>
      <c r="F276" t="s">
        <v>3224</v>
      </c>
      <c r="G276" t="s">
        <v>21</v>
      </c>
      <c r="H276" t="str">
        <f>VLOOKUP(Table1[[#This Row],[City]],Table6[#All],2,FALSE)</f>
        <v>North</v>
      </c>
      <c r="I276" t="s">
        <v>24</v>
      </c>
      <c r="J276" t="str">
        <f>_xlfn.XLOOKUP(Table1[[#This Row],[Tractor Model]],Table7[Product Model],Table7[Product Category],"Not Available",0)</f>
        <v>Farmtrac</v>
      </c>
      <c r="K276" s="4">
        <v>6</v>
      </c>
      <c r="L276" s="72">
        <v>794165</v>
      </c>
      <c r="M276" s="4">
        <f>INDEX('Master Sheet'!$C$4:$C$12,MATCH(Table1[[#This Row],[Quantity]],'Master Sheet'!$B$4:$B$12,0))</f>
        <v>8</v>
      </c>
      <c r="N276" s="71">
        <f>Table1[[#This Row],[Quantity]]*Table1[[#This Row],[Unit Price]]</f>
        <v>4764990</v>
      </c>
      <c r="O276" s="73">
        <v>0.47649900000000001</v>
      </c>
      <c r="P276" s="70">
        <f>Table1[[#This Row],[Gross Amount]]*(1-(Table1[[#This Row],[Discount %]]/100))</f>
        <v>4383790.8</v>
      </c>
      <c r="Q276" s="74">
        <f>(Table1[[#This Row],[Gross Amount]]*(1-(Table1[[#This Row],[Discount %]]/100)))/10000000</f>
        <v>0.43837907999999998</v>
      </c>
      <c r="R276" t="s">
        <v>54</v>
      </c>
      <c r="S276" t="str" cm="1">
        <f t="array" ref="S276">IFERROR(_xlfn.IFS(Table1[[#This Row],[Payment Status]]="Partial","In Transit",Table1[[#This Row],[Payment Status]]="Paid","Delivered",Table1[[#This Row],[Payment Status]]="Pending","Pending"),"Invalid Input")</f>
        <v>Delivered</v>
      </c>
      <c r="T276" t="s">
        <v>44</v>
      </c>
      <c r="U276" t="str" cm="1">
        <f t="array" ref="U276">IFERROR(_xlfn.IFS(Table1[[#This Row],[Payment Status]]="Partial","In Transit",Table1[[#This Row],[Payment Status]]="Paid","Completed",Table1[[#This Row],[Payment Status]]="Pending","Pending"),"Invalid Input")</f>
        <v>Completed</v>
      </c>
    </row>
    <row r="277" spans="1:21" x14ac:dyDescent="0.25">
      <c r="A277" s="4" t="s">
        <v>606</v>
      </c>
      <c r="B277" s="5">
        <v>45758</v>
      </c>
      <c r="C277" t="s">
        <v>52</v>
      </c>
      <c r="D277" t="s">
        <v>3270</v>
      </c>
      <c r="E277" t="s">
        <v>47</v>
      </c>
      <c r="F277" t="s">
        <v>3205</v>
      </c>
      <c r="G277" t="s">
        <v>48</v>
      </c>
      <c r="H277" t="str">
        <f>VLOOKUP(Table1[[#This Row],[City]],Table6[#All],2,FALSE)</f>
        <v>North</v>
      </c>
      <c r="I277" t="s">
        <v>24</v>
      </c>
      <c r="J277" t="str">
        <f>_xlfn.XLOOKUP(Table1[[#This Row],[Tractor Model]],Table7[Product Model],Table7[Product Category],"Not Available",0)</f>
        <v>Farmtrac</v>
      </c>
      <c r="K277" s="4">
        <v>5</v>
      </c>
      <c r="L277" s="72">
        <v>177570</v>
      </c>
      <c r="M277" s="4">
        <f>INDEX('Master Sheet'!$C$4:$C$12,MATCH(Table1[[#This Row],[Quantity]],'Master Sheet'!$B$4:$B$12,0))</f>
        <v>7</v>
      </c>
      <c r="N277" s="71">
        <f>Table1[[#This Row],[Quantity]]*Table1[[#This Row],[Unit Price]]</f>
        <v>887850</v>
      </c>
      <c r="O277" s="73">
        <v>8.8785000000000003E-2</v>
      </c>
      <c r="P277" s="70">
        <f>Table1[[#This Row],[Gross Amount]]*(1-(Table1[[#This Row],[Discount %]]/100))</f>
        <v>825700.5</v>
      </c>
      <c r="Q277" s="74">
        <f>(Table1[[#This Row],[Gross Amount]]*(1-(Table1[[#This Row],[Discount %]]/100)))/10000000</f>
        <v>8.2570050000000006E-2</v>
      </c>
      <c r="R277" t="s">
        <v>42</v>
      </c>
      <c r="S277" t="str" cm="1">
        <f t="array" ref="S277">IFERROR(_xlfn.IFS(Table1[[#This Row],[Payment Status]]="Partial","In Transit",Table1[[#This Row],[Payment Status]]="Paid","Delivered",Table1[[#This Row],[Payment Status]]="Pending","Pending"),"Invalid Input")</f>
        <v>Pending</v>
      </c>
      <c r="T277" t="s">
        <v>44</v>
      </c>
      <c r="U277" t="str" cm="1">
        <f t="array" ref="U277">IFERROR(_xlfn.IFS(Table1[[#This Row],[Payment Status]]="Partial","In Transit",Table1[[#This Row],[Payment Status]]="Paid","Completed",Table1[[#This Row],[Payment Status]]="Pending","Pending"),"Invalid Input")</f>
        <v>Pending</v>
      </c>
    </row>
    <row r="278" spans="1:21" x14ac:dyDescent="0.25">
      <c r="A278" s="4" t="s">
        <v>607</v>
      </c>
      <c r="B278" s="5">
        <v>45962</v>
      </c>
      <c r="C278" t="s">
        <v>41</v>
      </c>
      <c r="D278" t="s">
        <v>3269</v>
      </c>
      <c r="E278" t="s">
        <v>66</v>
      </c>
      <c r="F278" t="s">
        <v>3213</v>
      </c>
      <c r="G278" t="s">
        <v>67</v>
      </c>
      <c r="H278" t="str">
        <f>VLOOKUP(Table1[[#This Row],[City]],Table6[#All],2,FALSE)</f>
        <v>East</v>
      </c>
      <c r="I278" t="s">
        <v>3204</v>
      </c>
      <c r="J278" t="str">
        <f>_xlfn.XLOOKUP(Table1[[#This Row],[Tractor Model]],Table7[Product Model],Table7[Product Category],"Not Available",0)</f>
        <v>Kubota</v>
      </c>
      <c r="K278" s="4">
        <v>2</v>
      </c>
      <c r="L278" s="72">
        <v>501140</v>
      </c>
      <c r="M278" s="4">
        <f>INDEX('Master Sheet'!$C$4:$C$12,MATCH(Table1[[#This Row],[Quantity]],'Master Sheet'!$B$4:$B$12,0))</f>
        <v>5</v>
      </c>
      <c r="N278" s="71">
        <f>Table1[[#This Row],[Quantity]]*Table1[[#This Row],[Unit Price]]</f>
        <v>1002280</v>
      </c>
      <c r="O278" s="73">
        <v>0.100228</v>
      </c>
      <c r="P278" s="70">
        <f>Table1[[#This Row],[Gross Amount]]*(1-(Table1[[#This Row],[Discount %]]/100))</f>
        <v>952166</v>
      </c>
      <c r="Q278" s="74">
        <f>(Table1[[#This Row],[Gross Amount]]*(1-(Table1[[#This Row],[Discount %]]/100)))/10000000</f>
        <v>9.5216599999999998E-2</v>
      </c>
      <c r="R278" t="s">
        <v>25</v>
      </c>
      <c r="S278" t="str" cm="1">
        <f t="array" ref="S278">IFERROR(_xlfn.IFS(Table1[[#This Row],[Payment Status]]="Partial","In Transit",Table1[[#This Row],[Payment Status]]="Paid","Delivered",Table1[[#This Row],[Payment Status]]="Pending","Pending"),"Invalid Input")</f>
        <v>In Transit</v>
      </c>
      <c r="T278" t="s">
        <v>44</v>
      </c>
      <c r="U278" t="str" cm="1">
        <f t="array" ref="U278">IFERROR(_xlfn.IFS(Table1[[#This Row],[Payment Status]]="Partial","In Transit",Table1[[#This Row],[Payment Status]]="Paid","Completed",Table1[[#This Row],[Payment Status]]="Pending","Pending"),"Invalid Input")</f>
        <v>In Transit</v>
      </c>
    </row>
    <row r="279" spans="1:21" x14ac:dyDescent="0.25">
      <c r="A279" s="4" t="s">
        <v>609</v>
      </c>
      <c r="B279" s="5">
        <v>45438</v>
      </c>
      <c r="C279" t="s">
        <v>41</v>
      </c>
      <c r="D279" t="s">
        <v>37</v>
      </c>
      <c r="E279" t="s">
        <v>119</v>
      </c>
      <c r="F279" t="s">
        <v>3224</v>
      </c>
      <c r="G279" t="s">
        <v>21</v>
      </c>
      <c r="H279" t="str">
        <f>VLOOKUP(Table1[[#This Row],[City]],Table6[#All],2,FALSE)</f>
        <v>North</v>
      </c>
      <c r="I279" t="s">
        <v>53</v>
      </c>
      <c r="J279" t="str">
        <f>_xlfn.XLOOKUP(Table1[[#This Row],[Tractor Model]],Table7[Product Model],Table7[Product Category],"Not Available",0)</f>
        <v>Farmtrac</v>
      </c>
      <c r="K279" s="4">
        <v>3</v>
      </c>
      <c r="L279" s="72">
        <v>205653</v>
      </c>
      <c r="M279" s="4">
        <f>INDEX('Master Sheet'!$C$4:$C$12,MATCH(Table1[[#This Row],[Quantity]],'Master Sheet'!$B$4:$B$12,0))</f>
        <v>6</v>
      </c>
      <c r="N279" s="71">
        <f>Table1[[#This Row],[Quantity]]*Table1[[#This Row],[Unit Price]]</f>
        <v>616959</v>
      </c>
      <c r="O279" s="73">
        <v>6.1695899999999998E-2</v>
      </c>
      <c r="P279" s="70">
        <f>Table1[[#This Row],[Gross Amount]]*(1-(Table1[[#This Row],[Discount %]]/100))</f>
        <v>579941.46</v>
      </c>
      <c r="Q279" s="74">
        <f>(Table1[[#This Row],[Gross Amount]]*(1-(Table1[[#This Row],[Discount %]]/100)))/10000000</f>
        <v>5.7994145999999996E-2</v>
      </c>
      <c r="R279" t="s">
        <v>54</v>
      </c>
      <c r="S279" t="str" cm="1">
        <f t="array" ref="S279">IFERROR(_xlfn.IFS(Table1[[#This Row],[Payment Status]]="Partial","In Transit",Table1[[#This Row],[Payment Status]]="Paid","Delivered",Table1[[#This Row],[Payment Status]]="Pending","Pending"),"Invalid Input")</f>
        <v>Delivered</v>
      </c>
      <c r="T279" t="s">
        <v>27</v>
      </c>
      <c r="U279" t="str" cm="1">
        <f t="array" ref="U279">IFERROR(_xlfn.IFS(Table1[[#This Row],[Payment Status]]="Partial","In Transit",Table1[[#This Row],[Payment Status]]="Paid","Completed",Table1[[#This Row],[Payment Status]]="Pending","Pending"),"Invalid Input")</f>
        <v>Completed</v>
      </c>
    </row>
    <row r="280" spans="1:21" x14ac:dyDescent="0.25">
      <c r="A280" s="4" t="s">
        <v>611</v>
      </c>
      <c r="B280" s="5">
        <v>45292</v>
      </c>
      <c r="C280" t="s">
        <v>33</v>
      </c>
      <c r="D280" t="s">
        <v>3269</v>
      </c>
      <c r="E280" t="s">
        <v>38</v>
      </c>
      <c r="F280" t="s">
        <v>3206</v>
      </c>
      <c r="G280" t="s">
        <v>39</v>
      </c>
      <c r="H280" t="str">
        <f>VLOOKUP(Table1[[#This Row],[City]],Table6[#All],2,FALSE)</f>
        <v>West</v>
      </c>
      <c r="I280" t="s">
        <v>53</v>
      </c>
      <c r="J280" t="str">
        <f>_xlfn.XLOOKUP(Table1[[#This Row],[Tractor Model]],Table7[Product Model],Table7[Product Category],"Not Available",0)</f>
        <v>Farmtrac</v>
      </c>
      <c r="K280" s="4">
        <v>8</v>
      </c>
      <c r="L280" s="72">
        <v>564393</v>
      </c>
      <c r="M280" s="4">
        <f>INDEX('Master Sheet'!$C$4:$C$12,MATCH(Table1[[#This Row],[Quantity]],'Master Sheet'!$B$4:$B$12,0))</f>
        <v>9</v>
      </c>
      <c r="N280" s="71">
        <f>Table1[[#This Row],[Quantity]]*Table1[[#This Row],[Unit Price]]</f>
        <v>4515144</v>
      </c>
      <c r="O280" s="73">
        <v>0.45151439999999998</v>
      </c>
      <c r="P280" s="70">
        <f>Table1[[#This Row],[Gross Amount]]*(1-(Table1[[#This Row],[Discount %]]/100))</f>
        <v>4108781.04</v>
      </c>
      <c r="Q280" s="74">
        <f>(Table1[[#This Row],[Gross Amount]]*(1-(Table1[[#This Row],[Discount %]]/100)))/10000000</f>
        <v>0.41087810400000002</v>
      </c>
      <c r="R280" t="s">
        <v>54</v>
      </c>
      <c r="S280" t="str" cm="1">
        <f t="array" ref="S280">IFERROR(_xlfn.IFS(Table1[[#This Row],[Payment Status]]="Partial","In Transit",Table1[[#This Row],[Payment Status]]="Paid","Delivered",Table1[[#This Row],[Payment Status]]="Pending","Pending"),"Invalid Input")</f>
        <v>Delivered</v>
      </c>
      <c r="T280" t="s">
        <v>27</v>
      </c>
      <c r="U280" t="str" cm="1">
        <f t="array" ref="U280">IFERROR(_xlfn.IFS(Table1[[#This Row],[Payment Status]]="Partial","In Transit",Table1[[#This Row],[Payment Status]]="Paid","Completed",Table1[[#This Row],[Payment Status]]="Pending","Pending"),"Invalid Input")</f>
        <v>Completed</v>
      </c>
    </row>
    <row r="281" spans="1:21" x14ac:dyDescent="0.25">
      <c r="A281" s="4" t="s">
        <v>612</v>
      </c>
      <c r="B281" s="5">
        <v>45362</v>
      </c>
      <c r="C281" t="s">
        <v>52</v>
      </c>
      <c r="D281" t="s">
        <v>3271</v>
      </c>
      <c r="E281" t="s">
        <v>38</v>
      </c>
      <c r="F281" t="s">
        <v>3210</v>
      </c>
      <c r="G281" t="s">
        <v>39</v>
      </c>
      <c r="H281" t="str">
        <f>VLOOKUP(Table1[[#This Row],[City]],Table6[#All],2,FALSE)</f>
        <v>West</v>
      </c>
      <c r="I281" t="s">
        <v>3203</v>
      </c>
      <c r="J281" t="str">
        <f>_xlfn.XLOOKUP(Table1[[#This Row],[Tractor Model]],Table7[Product Model],Table7[Product Category],"Not Available",0)</f>
        <v>Kubota</v>
      </c>
      <c r="K281" s="4">
        <v>6</v>
      </c>
      <c r="L281" s="72">
        <v>303400</v>
      </c>
      <c r="M281" s="4">
        <f>INDEX('Master Sheet'!$C$4:$C$12,MATCH(Table1[[#This Row],[Quantity]],'Master Sheet'!$B$4:$B$12,0))</f>
        <v>8</v>
      </c>
      <c r="N281" s="71">
        <f>Table1[[#This Row],[Quantity]]*Table1[[#This Row],[Unit Price]]</f>
        <v>1820400</v>
      </c>
      <c r="O281" s="73">
        <v>0.18204000000000001</v>
      </c>
      <c r="P281" s="70">
        <f>Table1[[#This Row],[Gross Amount]]*(1-(Table1[[#This Row],[Discount %]]/100))</f>
        <v>1674768</v>
      </c>
      <c r="Q281" s="74">
        <f>(Table1[[#This Row],[Gross Amount]]*(1-(Table1[[#This Row],[Discount %]]/100)))/10000000</f>
        <v>0.16747680000000001</v>
      </c>
      <c r="R281" t="s">
        <v>42</v>
      </c>
      <c r="S281" t="str" cm="1">
        <f t="array" ref="S281">IFERROR(_xlfn.IFS(Table1[[#This Row],[Payment Status]]="Partial","In Transit",Table1[[#This Row],[Payment Status]]="Paid","Delivered",Table1[[#This Row],[Payment Status]]="Pending","Pending"),"Invalid Input")</f>
        <v>Pending</v>
      </c>
      <c r="T281" t="s">
        <v>27</v>
      </c>
      <c r="U281" t="str" cm="1">
        <f t="array" ref="U281">IFERROR(_xlfn.IFS(Table1[[#This Row],[Payment Status]]="Partial","In Transit",Table1[[#This Row],[Payment Status]]="Paid","Completed",Table1[[#This Row],[Payment Status]]="Pending","Pending"),"Invalid Input")</f>
        <v>Pending</v>
      </c>
    </row>
    <row r="282" spans="1:21" x14ac:dyDescent="0.25">
      <c r="A282" s="4" t="s">
        <v>614</v>
      </c>
      <c r="B282" s="5">
        <v>45440</v>
      </c>
      <c r="C282" t="s">
        <v>41</v>
      </c>
      <c r="D282" t="s">
        <v>37</v>
      </c>
      <c r="E282" t="s">
        <v>30</v>
      </c>
      <c r="F282" t="s">
        <v>3222</v>
      </c>
      <c r="G282" t="s">
        <v>31</v>
      </c>
      <c r="H282" t="str">
        <f>VLOOKUP(Table1[[#This Row],[City]],Table6[#All],2,FALSE)</f>
        <v>South</v>
      </c>
      <c r="I282" t="s">
        <v>24</v>
      </c>
      <c r="J282" t="str">
        <f>_xlfn.XLOOKUP(Table1[[#This Row],[Tractor Model]],Table7[Product Model],Table7[Product Category],"Not Available",0)</f>
        <v>Farmtrac</v>
      </c>
      <c r="K282" s="4">
        <v>6</v>
      </c>
      <c r="L282" s="72">
        <v>308437</v>
      </c>
      <c r="M282" s="4">
        <f>INDEX('Master Sheet'!$C$4:$C$12,MATCH(Table1[[#This Row],[Quantity]],'Master Sheet'!$B$4:$B$12,0))</f>
        <v>8</v>
      </c>
      <c r="N282" s="71">
        <f>Table1[[#This Row],[Quantity]]*Table1[[#This Row],[Unit Price]]</f>
        <v>1850622</v>
      </c>
      <c r="O282" s="73">
        <v>0.18506220000000001</v>
      </c>
      <c r="P282" s="70">
        <f>Table1[[#This Row],[Gross Amount]]*(1-(Table1[[#This Row],[Discount %]]/100))</f>
        <v>1702572.24</v>
      </c>
      <c r="Q282" s="74">
        <f>(Table1[[#This Row],[Gross Amount]]*(1-(Table1[[#This Row],[Discount %]]/100)))/10000000</f>
        <v>0.17025722400000001</v>
      </c>
      <c r="R282" t="s">
        <v>25</v>
      </c>
      <c r="S282" t="str" cm="1">
        <f t="array" ref="S282">IFERROR(_xlfn.IFS(Table1[[#This Row],[Payment Status]]="Partial","In Transit",Table1[[#This Row],[Payment Status]]="Paid","Delivered",Table1[[#This Row],[Payment Status]]="Pending","Pending"),"Invalid Input")</f>
        <v>In Transit</v>
      </c>
      <c r="T282" t="s">
        <v>44</v>
      </c>
      <c r="U282" t="str" cm="1">
        <f t="array" ref="U282">IFERROR(_xlfn.IFS(Table1[[#This Row],[Payment Status]]="Partial","In Transit",Table1[[#This Row],[Payment Status]]="Paid","Completed",Table1[[#This Row],[Payment Status]]="Pending","Pending"),"Invalid Input")</f>
        <v>In Transit</v>
      </c>
    </row>
    <row r="283" spans="1:21" x14ac:dyDescent="0.25">
      <c r="A283" s="4" t="s">
        <v>616</v>
      </c>
      <c r="B283" s="5">
        <v>45428</v>
      </c>
      <c r="C283" t="s">
        <v>33</v>
      </c>
      <c r="D283" t="s">
        <v>3271</v>
      </c>
      <c r="E283" t="s">
        <v>119</v>
      </c>
      <c r="F283" t="s">
        <v>3228</v>
      </c>
      <c r="G283" t="s">
        <v>21</v>
      </c>
      <c r="H283" t="str">
        <f>VLOOKUP(Table1[[#This Row],[City]],Table6[#All],2,FALSE)</f>
        <v>North</v>
      </c>
      <c r="I283" t="s">
        <v>58</v>
      </c>
      <c r="J283" t="str">
        <f>_xlfn.XLOOKUP(Table1[[#This Row],[Tractor Model]],Table7[Product Model],Table7[Product Category],"Not Available",0)</f>
        <v>Powertrac</v>
      </c>
      <c r="K283" s="4">
        <v>4</v>
      </c>
      <c r="L283" s="72">
        <v>289347</v>
      </c>
      <c r="M283" s="4">
        <f>INDEX('Master Sheet'!$C$4:$C$12,MATCH(Table1[[#This Row],[Quantity]],'Master Sheet'!$B$4:$B$12,0))</f>
        <v>6</v>
      </c>
      <c r="N283" s="71">
        <f>Table1[[#This Row],[Quantity]]*Table1[[#This Row],[Unit Price]]</f>
        <v>1157388</v>
      </c>
      <c r="O283" s="73">
        <v>0.1157388</v>
      </c>
      <c r="P283" s="70">
        <f>Table1[[#This Row],[Gross Amount]]*(1-(Table1[[#This Row],[Discount %]]/100))</f>
        <v>1087944.72</v>
      </c>
      <c r="Q283" s="74">
        <f>(Table1[[#This Row],[Gross Amount]]*(1-(Table1[[#This Row],[Discount %]]/100)))/10000000</f>
        <v>0.108794472</v>
      </c>
      <c r="R283" t="s">
        <v>42</v>
      </c>
      <c r="S283" t="str" cm="1">
        <f t="array" ref="S283">IFERROR(_xlfn.IFS(Table1[[#This Row],[Payment Status]]="Partial","In Transit",Table1[[#This Row],[Payment Status]]="Paid","Delivered",Table1[[#This Row],[Payment Status]]="Pending","Pending"),"Invalid Input")</f>
        <v>Pending</v>
      </c>
      <c r="T283" t="s">
        <v>27</v>
      </c>
      <c r="U283" t="str" cm="1">
        <f t="array" ref="U283">IFERROR(_xlfn.IFS(Table1[[#This Row],[Payment Status]]="Partial","In Transit",Table1[[#This Row],[Payment Status]]="Paid","Completed",Table1[[#This Row],[Payment Status]]="Pending","Pending"),"Invalid Input")</f>
        <v>Pending</v>
      </c>
    </row>
    <row r="284" spans="1:21" x14ac:dyDescent="0.25">
      <c r="A284" s="4" t="s">
        <v>618</v>
      </c>
      <c r="B284" s="5">
        <v>45317</v>
      </c>
      <c r="C284" t="s">
        <v>73</v>
      </c>
      <c r="D284" t="s">
        <v>3271</v>
      </c>
      <c r="E284" t="s">
        <v>119</v>
      </c>
      <c r="F284" t="s">
        <v>3228</v>
      </c>
      <c r="G284" t="s">
        <v>21</v>
      </c>
      <c r="H284" t="str">
        <f>VLOOKUP(Table1[[#This Row],[City]],Table6[#All],2,FALSE)</f>
        <v>North</v>
      </c>
      <c r="I284" t="s">
        <v>53</v>
      </c>
      <c r="J284" t="str">
        <f>_xlfn.XLOOKUP(Table1[[#This Row],[Tractor Model]],Table7[Product Model],Table7[Product Category],"Not Available",0)</f>
        <v>Farmtrac</v>
      </c>
      <c r="K284" s="4">
        <v>1</v>
      </c>
      <c r="L284" s="72">
        <v>637421</v>
      </c>
      <c r="M284" s="4">
        <f>INDEX('Master Sheet'!$C$4:$C$12,MATCH(Table1[[#This Row],[Quantity]],'Master Sheet'!$B$4:$B$12,0))</f>
        <v>3</v>
      </c>
      <c r="N284" s="71">
        <f>Table1[[#This Row],[Quantity]]*Table1[[#This Row],[Unit Price]]</f>
        <v>637421</v>
      </c>
      <c r="O284" s="73">
        <v>6.3742099999999996E-2</v>
      </c>
      <c r="P284" s="70">
        <f>Table1[[#This Row],[Gross Amount]]*(1-(Table1[[#This Row],[Discount %]]/100))</f>
        <v>618298.37</v>
      </c>
      <c r="Q284" s="74">
        <f>(Table1[[#This Row],[Gross Amount]]*(1-(Table1[[#This Row],[Discount %]]/100)))/10000000</f>
        <v>6.1829836999999999E-2</v>
      </c>
      <c r="R284" t="s">
        <v>54</v>
      </c>
      <c r="S284" t="str" cm="1">
        <f t="array" ref="S284">IFERROR(_xlfn.IFS(Table1[[#This Row],[Payment Status]]="Partial","In Transit",Table1[[#This Row],[Payment Status]]="Paid","Delivered",Table1[[#This Row],[Payment Status]]="Pending","Pending"),"Invalid Input")</f>
        <v>Delivered</v>
      </c>
      <c r="T284" t="s">
        <v>27</v>
      </c>
      <c r="U284" t="str" cm="1">
        <f t="array" ref="U284">IFERROR(_xlfn.IFS(Table1[[#This Row],[Payment Status]]="Partial","In Transit",Table1[[#This Row],[Payment Status]]="Paid","Completed",Table1[[#This Row],[Payment Status]]="Pending","Pending"),"Invalid Input")</f>
        <v>Completed</v>
      </c>
    </row>
    <row r="285" spans="1:21" x14ac:dyDescent="0.25">
      <c r="A285" s="4" t="s">
        <v>620</v>
      </c>
      <c r="B285" s="5">
        <v>45709</v>
      </c>
      <c r="C285" t="s">
        <v>33</v>
      </c>
      <c r="D285" t="s">
        <v>3270</v>
      </c>
      <c r="E285" t="s">
        <v>119</v>
      </c>
      <c r="F285" t="s">
        <v>3212</v>
      </c>
      <c r="G285" t="s">
        <v>21</v>
      </c>
      <c r="H285" t="str">
        <f>VLOOKUP(Table1[[#This Row],[City]],Table6[#All],2,FALSE)</f>
        <v>North</v>
      </c>
      <c r="I285" t="s">
        <v>24</v>
      </c>
      <c r="J285" t="str">
        <f>_xlfn.XLOOKUP(Table1[[#This Row],[Tractor Model]],Table7[Product Model],Table7[Product Category],"Not Available",0)</f>
        <v>Farmtrac</v>
      </c>
      <c r="K285" s="4">
        <v>1</v>
      </c>
      <c r="L285" s="72">
        <v>356683</v>
      </c>
      <c r="M285" s="4">
        <f>INDEX('Master Sheet'!$C$4:$C$12,MATCH(Table1[[#This Row],[Quantity]],'Master Sheet'!$B$4:$B$12,0))</f>
        <v>3</v>
      </c>
      <c r="N285" s="71">
        <f>Table1[[#This Row],[Quantity]]*Table1[[#This Row],[Unit Price]]</f>
        <v>356683</v>
      </c>
      <c r="O285" s="73">
        <v>3.56683E-2</v>
      </c>
      <c r="P285" s="70">
        <f>Table1[[#This Row],[Gross Amount]]*(1-(Table1[[#This Row],[Discount %]]/100))</f>
        <v>345982.51</v>
      </c>
      <c r="Q285" s="74">
        <f>(Table1[[#This Row],[Gross Amount]]*(1-(Table1[[#This Row],[Discount %]]/100)))/10000000</f>
        <v>3.4598251000000003E-2</v>
      </c>
      <c r="R285" t="s">
        <v>25</v>
      </c>
      <c r="S285" t="str" cm="1">
        <f t="array" ref="S285">IFERROR(_xlfn.IFS(Table1[[#This Row],[Payment Status]]="Partial","In Transit",Table1[[#This Row],[Payment Status]]="Paid","Delivered",Table1[[#This Row],[Payment Status]]="Pending","Pending"),"Invalid Input")</f>
        <v>In Transit</v>
      </c>
      <c r="T285" t="s">
        <v>44</v>
      </c>
      <c r="U285" t="str" cm="1">
        <f t="array" ref="U285">IFERROR(_xlfn.IFS(Table1[[#This Row],[Payment Status]]="Partial","In Transit",Table1[[#This Row],[Payment Status]]="Paid","Completed",Table1[[#This Row],[Payment Status]]="Pending","Pending"),"Invalid Input")</f>
        <v>In Transit</v>
      </c>
    </row>
    <row r="286" spans="1:21" x14ac:dyDescent="0.25">
      <c r="A286" s="4" t="s">
        <v>622</v>
      </c>
      <c r="B286" s="5">
        <v>45902</v>
      </c>
      <c r="C286" t="s">
        <v>62</v>
      </c>
      <c r="D286" t="s">
        <v>37</v>
      </c>
      <c r="E286" t="s">
        <v>30</v>
      </c>
      <c r="F286" t="s">
        <v>3222</v>
      </c>
      <c r="G286" t="s">
        <v>31</v>
      </c>
      <c r="H286" t="str">
        <f>VLOOKUP(Table1[[#This Row],[City]],Table6[#All],2,FALSE)</f>
        <v>South</v>
      </c>
      <c r="I286" t="s">
        <v>3203</v>
      </c>
      <c r="J286" t="str">
        <f>_xlfn.XLOOKUP(Table1[[#This Row],[Tractor Model]],Table7[Product Model],Table7[Product Category],"Not Available",0)</f>
        <v>Kubota</v>
      </c>
      <c r="K286" s="4">
        <v>6</v>
      </c>
      <c r="L286" s="72">
        <v>888244</v>
      </c>
      <c r="M286" s="4">
        <f>INDEX('Master Sheet'!$C$4:$C$12,MATCH(Table1[[#This Row],[Quantity]],'Master Sheet'!$B$4:$B$12,0))</f>
        <v>8</v>
      </c>
      <c r="N286" s="71">
        <f>Table1[[#This Row],[Quantity]]*Table1[[#This Row],[Unit Price]]</f>
        <v>5329464</v>
      </c>
      <c r="O286" s="73">
        <v>0.53294640000000004</v>
      </c>
      <c r="P286" s="70">
        <f>Table1[[#This Row],[Gross Amount]]*(1-(Table1[[#This Row],[Discount %]]/100))</f>
        <v>4903106.88</v>
      </c>
      <c r="Q286" s="74">
        <f>(Table1[[#This Row],[Gross Amount]]*(1-(Table1[[#This Row],[Discount %]]/100)))/10000000</f>
        <v>0.49031068799999999</v>
      </c>
      <c r="R286" t="s">
        <v>54</v>
      </c>
      <c r="S286" t="str" cm="1">
        <f t="array" ref="S286">IFERROR(_xlfn.IFS(Table1[[#This Row],[Payment Status]]="Partial","In Transit",Table1[[#This Row],[Payment Status]]="Paid","Delivered",Table1[[#This Row],[Payment Status]]="Pending","Pending"),"Invalid Input")</f>
        <v>Delivered</v>
      </c>
      <c r="T286" t="s">
        <v>44</v>
      </c>
      <c r="U286" t="str" cm="1">
        <f t="array" ref="U286">IFERROR(_xlfn.IFS(Table1[[#This Row],[Payment Status]]="Partial","In Transit",Table1[[#This Row],[Payment Status]]="Paid","Completed",Table1[[#This Row],[Payment Status]]="Pending","Pending"),"Invalid Input")</f>
        <v>Completed</v>
      </c>
    </row>
    <row r="287" spans="1:21" x14ac:dyDescent="0.25">
      <c r="A287" s="4" t="s">
        <v>624</v>
      </c>
      <c r="B287" s="5">
        <v>45826</v>
      </c>
      <c r="C287" t="s">
        <v>33</v>
      </c>
      <c r="D287" t="s">
        <v>3269</v>
      </c>
      <c r="E287" t="s">
        <v>30</v>
      </c>
      <c r="F287" t="s">
        <v>3225</v>
      </c>
      <c r="G287" t="s">
        <v>31</v>
      </c>
      <c r="H287" t="str">
        <f>VLOOKUP(Table1[[#This Row],[City]],Table6[#All],2,FALSE)</f>
        <v>South</v>
      </c>
      <c r="I287" t="s">
        <v>58</v>
      </c>
      <c r="J287" t="str">
        <f>_xlfn.XLOOKUP(Table1[[#This Row],[Tractor Model]],Table7[Product Model],Table7[Product Category],"Not Available",0)</f>
        <v>Powertrac</v>
      </c>
      <c r="K287" s="4">
        <v>2</v>
      </c>
      <c r="L287" s="72">
        <v>254001</v>
      </c>
      <c r="M287" s="4">
        <f>INDEX('Master Sheet'!$C$4:$C$12,MATCH(Table1[[#This Row],[Quantity]],'Master Sheet'!$B$4:$B$12,0))</f>
        <v>5</v>
      </c>
      <c r="N287" s="71">
        <f>Table1[[#This Row],[Quantity]]*Table1[[#This Row],[Unit Price]]</f>
        <v>508002</v>
      </c>
      <c r="O287" s="73">
        <v>5.0800199999999997E-2</v>
      </c>
      <c r="P287" s="70">
        <f>Table1[[#This Row],[Gross Amount]]*(1-(Table1[[#This Row],[Discount %]]/100))</f>
        <v>482601.89999999997</v>
      </c>
      <c r="Q287" s="74">
        <f>(Table1[[#This Row],[Gross Amount]]*(1-(Table1[[#This Row],[Discount %]]/100)))/10000000</f>
        <v>4.8260189999999994E-2</v>
      </c>
      <c r="R287" t="s">
        <v>25</v>
      </c>
      <c r="S287" t="str" cm="1">
        <f t="array" ref="S287">IFERROR(_xlfn.IFS(Table1[[#This Row],[Payment Status]]="Partial","In Transit",Table1[[#This Row],[Payment Status]]="Paid","Delivered",Table1[[#This Row],[Payment Status]]="Pending","Pending"),"Invalid Input")</f>
        <v>In Transit</v>
      </c>
      <c r="T287" t="s">
        <v>27</v>
      </c>
      <c r="U287" t="str" cm="1">
        <f t="array" ref="U287">IFERROR(_xlfn.IFS(Table1[[#This Row],[Payment Status]]="Partial","In Transit",Table1[[#This Row],[Payment Status]]="Paid","Completed",Table1[[#This Row],[Payment Status]]="Pending","Pending"),"Invalid Input")</f>
        <v>In Transit</v>
      </c>
    </row>
    <row r="288" spans="1:21" x14ac:dyDescent="0.25">
      <c r="A288" s="4" t="s">
        <v>626</v>
      </c>
      <c r="B288" s="5">
        <v>45415</v>
      </c>
      <c r="C288" t="s">
        <v>33</v>
      </c>
      <c r="D288" t="s">
        <v>3271</v>
      </c>
      <c r="E288" t="s">
        <v>119</v>
      </c>
      <c r="F288" t="s">
        <v>3228</v>
      </c>
      <c r="G288" t="s">
        <v>21</v>
      </c>
      <c r="H288" t="str">
        <f>VLOOKUP(Table1[[#This Row],[City]],Table6[#All],2,FALSE)</f>
        <v>North</v>
      </c>
      <c r="I288" t="s">
        <v>58</v>
      </c>
      <c r="J288" t="str">
        <f>_xlfn.XLOOKUP(Table1[[#This Row],[Tractor Model]],Table7[Product Model],Table7[Product Category],"Not Available",0)</f>
        <v>Powertrac</v>
      </c>
      <c r="K288" s="4">
        <v>3</v>
      </c>
      <c r="L288" s="72">
        <v>702698</v>
      </c>
      <c r="M288" s="4">
        <f>INDEX('Master Sheet'!$C$4:$C$12,MATCH(Table1[[#This Row],[Quantity]],'Master Sheet'!$B$4:$B$12,0))</f>
        <v>6</v>
      </c>
      <c r="N288" s="71">
        <f>Table1[[#This Row],[Quantity]]*Table1[[#This Row],[Unit Price]]</f>
        <v>2108094</v>
      </c>
      <c r="O288" s="73">
        <v>0.21080940000000001</v>
      </c>
      <c r="P288" s="70">
        <f>Table1[[#This Row],[Gross Amount]]*(1-(Table1[[#This Row],[Discount %]]/100))</f>
        <v>1981608.3599999999</v>
      </c>
      <c r="Q288" s="74">
        <f>(Table1[[#This Row],[Gross Amount]]*(1-(Table1[[#This Row],[Discount %]]/100)))/10000000</f>
        <v>0.19816083599999998</v>
      </c>
      <c r="R288" t="s">
        <v>25</v>
      </c>
      <c r="S288" t="str" cm="1">
        <f t="array" ref="S288">IFERROR(_xlfn.IFS(Table1[[#This Row],[Payment Status]]="Partial","In Transit",Table1[[#This Row],[Payment Status]]="Paid","Delivered",Table1[[#This Row],[Payment Status]]="Pending","Pending"),"Invalid Input")</f>
        <v>In Transit</v>
      </c>
      <c r="T288" t="s">
        <v>27</v>
      </c>
      <c r="U288" t="str" cm="1">
        <f t="array" ref="U288">IFERROR(_xlfn.IFS(Table1[[#This Row],[Payment Status]]="Partial","In Transit",Table1[[#This Row],[Payment Status]]="Paid","Completed",Table1[[#This Row],[Payment Status]]="Pending","Pending"),"Invalid Input")</f>
        <v>In Transit</v>
      </c>
    </row>
    <row r="289" spans="1:21" x14ac:dyDescent="0.25">
      <c r="A289" s="4" t="s">
        <v>628</v>
      </c>
      <c r="B289" s="5">
        <v>45781</v>
      </c>
      <c r="C289" t="s">
        <v>62</v>
      </c>
      <c r="D289" t="s">
        <v>3270</v>
      </c>
      <c r="E289" t="s">
        <v>47</v>
      </c>
      <c r="F289" t="s">
        <v>3205</v>
      </c>
      <c r="G289" t="s">
        <v>48</v>
      </c>
      <c r="H289" t="str">
        <f>VLOOKUP(Table1[[#This Row],[City]],Table6[#All],2,FALSE)</f>
        <v>North</v>
      </c>
      <c r="I289" t="s">
        <v>58</v>
      </c>
      <c r="J289" t="str">
        <f>_xlfn.XLOOKUP(Table1[[#This Row],[Tractor Model]],Table7[Product Model],Table7[Product Category],"Not Available",0)</f>
        <v>Powertrac</v>
      </c>
      <c r="K289" s="4">
        <v>3</v>
      </c>
      <c r="L289" s="72">
        <v>689288</v>
      </c>
      <c r="M289" s="4">
        <f>INDEX('Master Sheet'!$C$4:$C$12,MATCH(Table1[[#This Row],[Quantity]],'Master Sheet'!$B$4:$B$12,0))</f>
        <v>6</v>
      </c>
      <c r="N289" s="71">
        <f>Table1[[#This Row],[Quantity]]*Table1[[#This Row],[Unit Price]]</f>
        <v>2067864</v>
      </c>
      <c r="O289" s="73">
        <v>0.20678640000000001</v>
      </c>
      <c r="P289" s="70">
        <f>Table1[[#This Row],[Gross Amount]]*(1-(Table1[[#This Row],[Discount %]]/100))</f>
        <v>1943792.16</v>
      </c>
      <c r="Q289" s="74">
        <f>(Table1[[#This Row],[Gross Amount]]*(1-(Table1[[#This Row],[Discount %]]/100)))/10000000</f>
        <v>0.19437921599999999</v>
      </c>
      <c r="R289" t="s">
        <v>42</v>
      </c>
      <c r="S289" t="str" cm="1">
        <f t="array" ref="S289">IFERROR(_xlfn.IFS(Table1[[#This Row],[Payment Status]]="Partial","In Transit",Table1[[#This Row],[Payment Status]]="Paid","Delivered",Table1[[#This Row],[Payment Status]]="Pending","Pending"),"Invalid Input")</f>
        <v>Pending</v>
      </c>
      <c r="T289" t="s">
        <v>27</v>
      </c>
      <c r="U289" t="str" cm="1">
        <f t="array" ref="U289">IFERROR(_xlfn.IFS(Table1[[#This Row],[Payment Status]]="Partial","In Transit",Table1[[#This Row],[Payment Status]]="Paid","Completed",Table1[[#This Row],[Payment Status]]="Pending","Pending"),"Invalid Input")</f>
        <v>Pending</v>
      </c>
    </row>
    <row r="290" spans="1:21" x14ac:dyDescent="0.25">
      <c r="A290" s="4" t="s">
        <v>630</v>
      </c>
      <c r="B290" s="5">
        <v>45709</v>
      </c>
      <c r="C290" t="s">
        <v>52</v>
      </c>
      <c r="D290" t="s">
        <v>3268</v>
      </c>
      <c r="E290" t="s">
        <v>66</v>
      </c>
      <c r="F290" t="s">
        <v>3211</v>
      </c>
      <c r="G290" t="s">
        <v>67</v>
      </c>
      <c r="H290" t="str">
        <f>VLOOKUP(Table1[[#This Row],[City]],Table6[#All],2,FALSE)</f>
        <v>East</v>
      </c>
      <c r="I290" t="s">
        <v>58</v>
      </c>
      <c r="J290" t="str">
        <f>_xlfn.XLOOKUP(Table1[[#This Row],[Tractor Model]],Table7[Product Model],Table7[Product Category],"Not Available",0)</f>
        <v>Powertrac</v>
      </c>
      <c r="K290" s="4">
        <v>6</v>
      </c>
      <c r="L290" s="72">
        <v>170014</v>
      </c>
      <c r="M290" s="4">
        <f>INDEX('Master Sheet'!$C$4:$C$12,MATCH(Table1[[#This Row],[Quantity]],'Master Sheet'!$B$4:$B$12,0))</f>
        <v>8</v>
      </c>
      <c r="N290" s="71">
        <f>Table1[[#This Row],[Quantity]]*Table1[[#This Row],[Unit Price]]</f>
        <v>1020084</v>
      </c>
      <c r="O290" s="73">
        <v>0.1020084</v>
      </c>
      <c r="P290" s="70">
        <f>Table1[[#This Row],[Gross Amount]]*(1-(Table1[[#This Row],[Discount %]]/100))</f>
        <v>938477.28</v>
      </c>
      <c r="Q290" s="74">
        <f>(Table1[[#This Row],[Gross Amount]]*(1-(Table1[[#This Row],[Discount %]]/100)))/10000000</f>
        <v>9.3847728000000005E-2</v>
      </c>
      <c r="R290" t="s">
        <v>25</v>
      </c>
      <c r="S290" t="str" cm="1">
        <f t="array" ref="S290">IFERROR(_xlfn.IFS(Table1[[#This Row],[Payment Status]]="Partial","In Transit",Table1[[#This Row],[Payment Status]]="Paid","Delivered",Table1[[#This Row],[Payment Status]]="Pending","Pending"),"Invalid Input")</f>
        <v>In Transit</v>
      </c>
      <c r="T290" t="s">
        <v>27</v>
      </c>
      <c r="U290" t="str" cm="1">
        <f t="array" ref="U290">IFERROR(_xlfn.IFS(Table1[[#This Row],[Payment Status]]="Partial","In Transit",Table1[[#This Row],[Payment Status]]="Paid","Completed",Table1[[#This Row],[Payment Status]]="Pending","Pending"),"Invalid Input")</f>
        <v>In Transit</v>
      </c>
    </row>
    <row r="291" spans="1:21" x14ac:dyDescent="0.25">
      <c r="A291" s="4" t="s">
        <v>632</v>
      </c>
      <c r="B291" s="5">
        <v>45685</v>
      </c>
      <c r="C291" t="s">
        <v>41</v>
      </c>
      <c r="D291" t="s">
        <v>3268</v>
      </c>
      <c r="E291" t="s">
        <v>38</v>
      </c>
      <c r="F291" t="s">
        <v>3219</v>
      </c>
      <c r="G291" t="s">
        <v>39</v>
      </c>
      <c r="H291" t="str">
        <f>VLOOKUP(Table1[[#This Row],[City]],Table6[#All],2,FALSE)</f>
        <v>West</v>
      </c>
      <c r="I291" t="s">
        <v>24</v>
      </c>
      <c r="J291" t="str">
        <f>_xlfn.XLOOKUP(Table1[[#This Row],[Tractor Model]],Table7[Product Model],Table7[Product Category],"Not Available",0)</f>
        <v>Farmtrac</v>
      </c>
      <c r="K291" s="4">
        <v>2</v>
      </c>
      <c r="L291" s="72">
        <v>747006</v>
      </c>
      <c r="M291" s="4">
        <f>INDEX('Master Sheet'!$C$4:$C$12,MATCH(Table1[[#This Row],[Quantity]],'Master Sheet'!$B$4:$B$12,0))</f>
        <v>5</v>
      </c>
      <c r="N291" s="71">
        <f>Table1[[#This Row],[Quantity]]*Table1[[#This Row],[Unit Price]]</f>
        <v>1494012</v>
      </c>
      <c r="O291" s="73">
        <v>0.14940120000000001</v>
      </c>
      <c r="P291" s="70">
        <f>Table1[[#This Row],[Gross Amount]]*(1-(Table1[[#This Row],[Discount %]]/100))</f>
        <v>1419311.4</v>
      </c>
      <c r="Q291" s="74">
        <f>(Table1[[#This Row],[Gross Amount]]*(1-(Table1[[#This Row],[Discount %]]/100)))/10000000</f>
        <v>0.14193113999999998</v>
      </c>
      <c r="R291" t="s">
        <v>42</v>
      </c>
      <c r="S291" t="str" cm="1">
        <f t="array" ref="S291">IFERROR(_xlfn.IFS(Table1[[#This Row],[Payment Status]]="Partial","In Transit",Table1[[#This Row],[Payment Status]]="Paid","Delivered",Table1[[#This Row],[Payment Status]]="Pending","Pending"),"Invalid Input")</f>
        <v>Pending</v>
      </c>
      <c r="T291" t="s">
        <v>27</v>
      </c>
      <c r="U291" t="str" cm="1">
        <f t="array" ref="U291">IFERROR(_xlfn.IFS(Table1[[#This Row],[Payment Status]]="Partial","In Transit",Table1[[#This Row],[Payment Status]]="Paid","Completed",Table1[[#This Row],[Payment Status]]="Pending","Pending"),"Invalid Input")</f>
        <v>Pending</v>
      </c>
    </row>
    <row r="292" spans="1:21" x14ac:dyDescent="0.25">
      <c r="A292" s="4" t="s">
        <v>634</v>
      </c>
      <c r="B292" s="5">
        <v>45537</v>
      </c>
      <c r="C292" t="s">
        <v>73</v>
      </c>
      <c r="D292" t="s">
        <v>3271</v>
      </c>
      <c r="E292" t="s">
        <v>66</v>
      </c>
      <c r="F292" t="s">
        <v>3207</v>
      </c>
      <c r="G292" t="s">
        <v>67</v>
      </c>
      <c r="H292" t="str">
        <f>VLOOKUP(Table1[[#This Row],[City]],Table6[#All],2,FALSE)</f>
        <v>East</v>
      </c>
      <c r="I292" t="s">
        <v>3204</v>
      </c>
      <c r="J292" t="str">
        <f>_xlfn.XLOOKUP(Table1[[#This Row],[Tractor Model]],Table7[Product Model],Table7[Product Category],"Not Available",0)</f>
        <v>Kubota</v>
      </c>
      <c r="K292" s="4">
        <v>4</v>
      </c>
      <c r="L292" s="72">
        <v>247075</v>
      </c>
      <c r="M292" s="4">
        <f>INDEX('Master Sheet'!$C$4:$C$12,MATCH(Table1[[#This Row],[Quantity]],'Master Sheet'!$B$4:$B$12,0))</f>
        <v>6</v>
      </c>
      <c r="N292" s="71">
        <f>Table1[[#This Row],[Quantity]]*Table1[[#This Row],[Unit Price]]</f>
        <v>988300</v>
      </c>
      <c r="O292" s="73">
        <v>9.8830000000000001E-2</v>
      </c>
      <c r="P292" s="70">
        <f>Table1[[#This Row],[Gross Amount]]*(1-(Table1[[#This Row],[Discount %]]/100))</f>
        <v>929002</v>
      </c>
      <c r="Q292" s="74">
        <f>(Table1[[#This Row],[Gross Amount]]*(1-(Table1[[#This Row],[Discount %]]/100)))/10000000</f>
        <v>9.2900200000000002E-2</v>
      </c>
      <c r="R292" t="s">
        <v>25</v>
      </c>
      <c r="S292" t="str" cm="1">
        <f t="array" ref="S292">IFERROR(_xlfn.IFS(Table1[[#This Row],[Payment Status]]="Partial","In Transit",Table1[[#This Row],[Payment Status]]="Paid","Delivered",Table1[[#This Row],[Payment Status]]="Pending","Pending"),"Invalid Input")</f>
        <v>In Transit</v>
      </c>
      <c r="T292" t="s">
        <v>27</v>
      </c>
      <c r="U292" t="str" cm="1">
        <f t="array" ref="U292">IFERROR(_xlfn.IFS(Table1[[#This Row],[Payment Status]]="Partial","In Transit",Table1[[#This Row],[Payment Status]]="Paid","Completed",Table1[[#This Row],[Payment Status]]="Pending","Pending"),"Invalid Input")</f>
        <v>In Transit</v>
      </c>
    </row>
    <row r="293" spans="1:21" x14ac:dyDescent="0.25">
      <c r="A293" s="4" t="s">
        <v>635</v>
      </c>
      <c r="B293" s="5">
        <v>45596</v>
      </c>
      <c r="C293" t="s">
        <v>33</v>
      </c>
      <c r="D293" t="s">
        <v>3268</v>
      </c>
      <c r="E293" t="s">
        <v>38</v>
      </c>
      <c r="F293" t="s">
        <v>3219</v>
      </c>
      <c r="G293" t="s">
        <v>39</v>
      </c>
      <c r="H293" t="str">
        <f>VLOOKUP(Table1[[#This Row],[City]],Table6[#All],2,FALSE)</f>
        <v>West</v>
      </c>
      <c r="I293" t="s">
        <v>3203</v>
      </c>
      <c r="J293" t="str">
        <f>_xlfn.XLOOKUP(Table1[[#This Row],[Tractor Model]],Table7[Product Model],Table7[Product Category],"Not Available",0)</f>
        <v>Kubota</v>
      </c>
      <c r="K293" s="4">
        <v>3</v>
      </c>
      <c r="L293" s="72">
        <v>51705</v>
      </c>
      <c r="M293" s="4">
        <f>INDEX('Master Sheet'!$C$4:$C$12,MATCH(Table1[[#This Row],[Quantity]],'Master Sheet'!$B$4:$B$12,0))</f>
        <v>6</v>
      </c>
      <c r="N293" s="71">
        <f>Table1[[#This Row],[Quantity]]*Table1[[#This Row],[Unit Price]]</f>
        <v>155115</v>
      </c>
      <c r="O293" s="73">
        <v>1.5511499999999999E-2</v>
      </c>
      <c r="P293" s="70">
        <f>Table1[[#This Row],[Gross Amount]]*(1-(Table1[[#This Row],[Discount %]]/100))</f>
        <v>145808.1</v>
      </c>
      <c r="Q293" s="74">
        <f>(Table1[[#This Row],[Gross Amount]]*(1-(Table1[[#This Row],[Discount %]]/100)))/10000000</f>
        <v>1.4580810000000001E-2</v>
      </c>
      <c r="R293" t="s">
        <v>42</v>
      </c>
      <c r="S293" t="str" cm="1">
        <f t="array" ref="S293">IFERROR(_xlfn.IFS(Table1[[#This Row],[Payment Status]]="Partial","In Transit",Table1[[#This Row],[Payment Status]]="Paid","Delivered",Table1[[#This Row],[Payment Status]]="Pending","Pending"),"Invalid Input")</f>
        <v>Pending</v>
      </c>
      <c r="T293" t="s">
        <v>44</v>
      </c>
      <c r="U293" t="str" cm="1">
        <f t="array" ref="U293">IFERROR(_xlfn.IFS(Table1[[#This Row],[Payment Status]]="Partial","In Transit",Table1[[#This Row],[Payment Status]]="Paid","Completed",Table1[[#This Row],[Payment Status]]="Pending","Pending"),"Invalid Input")</f>
        <v>Pending</v>
      </c>
    </row>
    <row r="294" spans="1:21" x14ac:dyDescent="0.25">
      <c r="A294" s="4" t="s">
        <v>637</v>
      </c>
      <c r="B294" s="5">
        <v>45395</v>
      </c>
      <c r="C294" t="s">
        <v>52</v>
      </c>
      <c r="D294" t="s">
        <v>37</v>
      </c>
      <c r="E294" t="s">
        <v>47</v>
      </c>
      <c r="F294" t="s">
        <v>3215</v>
      </c>
      <c r="G294" t="s">
        <v>48</v>
      </c>
      <c r="H294" t="str">
        <f>VLOOKUP(Table1[[#This Row],[City]],Table6[#All],2,FALSE)</f>
        <v>North</v>
      </c>
      <c r="I294" t="s">
        <v>3204</v>
      </c>
      <c r="J294" t="str">
        <f>_xlfn.XLOOKUP(Table1[[#This Row],[Tractor Model]],Table7[Product Model],Table7[Product Category],"Not Available",0)</f>
        <v>Kubota</v>
      </c>
      <c r="K294" s="4">
        <v>6</v>
      </c>
      <c r="L294" s="72">
        <v>126314</v>
      </c>
      <c r="M294" s="4">
        <f>INDEX('Master Sheet'!$C$4:$C$12,MATCH(Table1[[#This Row],[Quantity]],'Master Sheet'!$B$4:$B$12,0))</f>
        <v>8</v>
      </c>
      <c r="N294" s="71">
        <f>Table1[[#This Row],[Quantity]]*Table1[[#This Row],[Unit Price]]</f>
        <v>757884</v>
      </c>
      <c r="O294" s="73">
        <v>7.5788400000000006E-2</v>
      </c>
      <c r="P294" s="70">
        <f>Table1[[#This Row],[Gross Amount]]*(1-(Table1[[#This Row],[Discount %]]/100))</f>
        <v>697253.28</v>
      </c>
      <c r="Q294" s="74">
        <f>(Table1[[#This Row],[Gross Amount]]*(1-(Table1[[#This Row],[Discount %]]/100)))/10000000</f>
        <v>6.9725328000000003E-2</v>
      </c>
      <c r="R294" t="s">
        <v>42</v>
      </c>
      <c r="S294" t="str" cm="1">
        <f t="array" ref="S294">IFERROR(_xlfn.IFS(Table1[[#This Row],[Payment Status]]="Partial","In Transit",Table1[[#This Row],[Payment Status]]="Paid","Delivered",Table1[[#This Row],[Payment Status]]="Pending","Pending"),"Invalid Input")</f>
        <v>Pending</v>
      </c>
      <c r="T294" t="s">
        <v>44</v>
      </c>
      <c r="U294" t="str" cm="1">
        <f t="array" ref="U294">IFERROR(_xlfn.IFS(Table1[[#This Row],[Payment Status]]="Partial","In Transit",Table1[[#This Row],[Payment Status]]="Paid","Completed",Table1[[#This Row],[Payment Status]]="Pending","Pending"),"Invalid Input")</f>
        <v>Pending</v>
      </c>
    </row>
    <row r="295" spans="1:21" x14ac:dyDescent="0.25">
      <c r="A295" s="4" t="s">
        <v>638</v>
      </c>
      <c r="B295" s="5">
        <v>45411</v>
      </c>
      <c r="C295" t="s">
        <v>73</v>
      </c>
      <c r="D295" t="s">
        <v>3270</v>
      </c>
      <c r="E295" t="s">
        <v>119</v>
      </c>
      <c r="F295" t="s">
        <v>3212</v>
      </c>
      <c r="G295" t="s">
        <v>21</v>
      </c>
      <c r="H295" t="str">
        <f>VLOOKUP(Table1[[#This Row],[City]],Table6[#All],2,FALSE)</f>
        <v>North</v>
      </c>
      <c r="I295" t="s">
        <v>3204</v>
      </c>
      <c r="J295" t="str">
        <f>_xlfn.XLOOKUP(Table1[[#This Row],[Tractor Model]],Table7[Product Model],Table7[Product Category],"Not Available",0)</f>
        <v>Kubota</v>
      </c>
      <c r="K295" s="4">
        <v>7</v>
      </c>
      <c r="L295" s="72">
        <v>269822</v>
      </c>
      <c r="M295" s="4">
        <f>INDEX('Master Sheet'!$C$4:$C$12,MATCH(Table1[[#This Row],[Quantity]],'Master Sheet'!$B$4:$B$12,0))</f>
        <v>9</v>
      </c>
      <c r="N295" s="71">
        <f>Table1[[#This Row],[Quantity]]*Table1[[#This Row],[Unit Price]]</f>
        <v>1888754</v>
      </c>
      <c r="O295" s="73">
        <v>0.1888754</v>
      </c>
      <c r="P295" s="70">
        <f>Table1[[#This Row],[Gross Amount]]*(1-(Table1[[#This Row],[Discount %]]/100))</f>
        <v>1718766.1400000001</v>
      </c>
      <c r="Q295" s="74">
        <f>(Table1[[#This Row],[Gross Amount]]*(1-(Table1[[#This Row],[Discount %]]/100)))/10000000</f>
        <v>0.17187661400000001</v>
      </c>
      <c r="R295" t="s">
        <v>42</v>
      </c>
      <c r="S295" t="str" cm="1">
        <f t="array" ref="S295">IFERROR(_xlfn.IFS(Table1[[#This Row],[Payment Status]]="Partial","In Transit",Table1[[#This Row],[Payment Status]]="Paid","Delivered",Table1[[#This Row],[Payment Status]]="Pending","Pending"),"Invalid Input")</f>
        <v>Pending</v>
      </c>
      <c r="T295" t="s">
        <v>27</v>
      </c>
      <c r="U295" t="str" cm="1">
        <f t="array" ref="U295">IFERROR(_xlfn.IFS(Table1[[#This Row],[Payment Status]]="Partial","In Transit",Table1[[#This Row],[Payment Status]]="Paid","Completed",Table1[[#This Row],[Payment Status]]="Pending","Pending"),"Invalid Input")</f>
        <v>Pending</v>
      </c>
    </row>
    <row r="296" spans="1:21" x14ac:dyDescent="0.25">
      <c r="A296" s="4" t="s">
        <v>640</v>
      </c>
      <c r="B296" s="5">
        <v>45402</v>
      </c>
      <c r="C296" t="s">
        <v>41</v>
      </c>
      <c r="D296" t="s">
        <v>3270</v>
      </c>
      <c r="E296" t="s">
        <v>66</v>
      </c>
      <c r="F296" t="s">
        <v>3220</v>
      </c>
      <c r="G296" t="s">
        <v>67</v>
      </c>
      <c r="H296" t="str">
        <f>VLOOKUP(Table1[[#This Row],[City]],Table6[#All],2,FALSE)</f>
        <v>East</v>
      </c>
      <c r="I296" t="s">
        <v>24</v>
      </c>
      <c r="J296" t="str">
        <f>_xlfn.XLOOKUP(Table1[[#This Row],[Tractor Model]],Table7[Product Model],Table7[Product Category],"Not Available",0)</f>
        <v>Farmtrac</v>
      </c>
      <c r="K296" s="4">
        <v>4</v>
      </c>
      <c r="L296" s="72">
        <v>469142</v>
      </c>
      <c r="M296" s="4">
        <f>INDEX('Master Sheet'!$C$4:$C$12,MATCH(Table1[[#This Row],[Quantity]],'Master Sheet'!$B$4:$B$12,0))</f>
        <v>6</v>
      </c>
      <c r="N296" s="71">
        <f>Table1[[#This Row],[Quantity]]*Table1[[#This Row],[Unit Price]]</f>
        <v>1876568</v>
      </c>
      <c r="O296" s="73">
        <v>0.18765680000000001</v>
      </c>
      <c r="P296" s="70">
        <f>Table1[[#This Row],[Gross Amount]]*(1-(Table1[[#This Row],[Discount %]]/100))</f>
        <v>1763973.92</v>
      </c>
      <c r="Q296" s="74">
        <f>(Table1[[#This Row],[Gross Amount]]*(1-(Table1[[#This Row],[Discount %]]/100)))/10000000</f>
        <v>0.17639739199999999</v>
      </c>
      <c r="R296" t="s">
        <v>42</v>
      </c>
      <c r="S296" t="str" cm="1">
        <f t="array" ref="S296">IFERROR(_xlfn.IFS(Table1[[#This Row],[Payment Status]]="Partial","In Transit",Table1[[#This Row],[Payment Status]]="Paid","Delivered",Table1[[#This Row],[Payment Status]]="Pending","Pending"),"Invalid Input")</f>
        <v>Pending</v>
      </c>
      <c r="T296" t="s">
        <v>27</v>
      </c>
      <c r="U296" t="str" cm="1">
        <f t="array" ref="U296">IFERROR(_xlfn.IFS(Table1[[#This Row],[Payment Status]]="Partial","In Transit",Table1[[#This Row],[Payment Status]]="Paid","Completed",Table1[[#This Row],[Payment Status]]="Pending","Pending"),"Invalid Input")</f>
        <v>Pending</v>
      </c>
    </row>
    <row r="297" spans="1:21" x14ac:dyDescent="0.25">
      <c r="A297" s="4" t="s">
        <v>642</v>
      </c>
      <c r="B297" s="5">
        <v>45615</v>
      </c>
      <c r="C297" t="s">
        <v>62</v>
      </c>
      <c r="D297" t="s">
        <v>3271</v>
      </c>
      <c r="E297" t="s">
        <v>66</v>
      </c>
      <c r="F297" t="s">
        <v>3207</v>
      </c>
      <c r="G297" t="s">
        <v>67</v>
      </c>
      <c r="H297" t="str">
        <f>VLOOKUP(Table1[[#This Row],[City]],Table6[#All],2,FALSE)</f>
        <v>East</v>
      </c>
      <c r="I297" t="s">
        <v>24</v>
      </c>
      <c r="J297" t="str">
        <f>_xlfn.XLOOKUP(Table1[[#This Row],[Tractor Model]],Table7[Product Model],Table7[Product Category],"Not Available",0)</f>
        <v>Farmtrac</v>
      </c>
      <c r="K297" s="4">
        <v>1</v>
      </c>
      <c r="L297" s="72">
        <v>666537</v>
      </c>
      <c r="M297" s="4">
        <f>INDEX('Master Sheet'!$C$4:$C$12,MATCH(Table1[[#This Row],[Quantity]],'Master Sheet'!$B$4:$B$12,0))</f>
        <v>3</v>
      </c>
      <c r="N297" s="71">
        <f>Table1[[#This Row],[Quantity]]*Table1[[#This Row],[Unit Price]]</f>
        <v>666537</v>
      </c>
      <c r="O297" s="73">
        <v>6.6653699999999996E-2</v>
      </c>
      <c r="P297" s="70">
        <f>Table1[[#This Row],[Gross Amount]]*(1-(Table1[[#This Row],[Discount %]]/100))</f>
        <v>646540.89</v>
      </c>
      <c r="Q297" s="74">
        <f>(Table1[[#This Row],[Gross Amount]]*(1-(Table1[[#This Row],[Discount %]]/100)))/10000000</f>
        <v>6.4654088999999998E-2</v>
      </c>
      <c r="R297" t="s">
        <v>54</v>
      </c>
      <c r="S297" t="str" cm="1">
        <f t="array" ref="S297">IFERROR(_xlfn.IFS(Table1[[#This Row],[Payment Status]]="Partial","In Transit",Table1[[#This Row],[Payment Status]]="Paid","Delivered",Table1[[#This Row],[Payment Status]]="Pending","Pending"),"Invalid Input")</f>
        <v>Delivered</v>
      </c>
      <c r="T297" t="s">
        <v>27</v>
      </c>
      <c r="U297" t="str" cm="1">
        <f t="array" ref="U297">IFERROR(_xlfn.IFS(Table1[[#This Row],[Payment Status]]="Partial","In Transit",Table1[[#This Row],[Payment Status]]="Paid","Completed",Table1[[#This Row],[Payment Status]]="Pending","Pending"),"Invalid Input")</f>
        <v>Completed</v>
      </c>
    </row>
    <row r="298" spans="1:21" x14ac:dyDescent="0.25">
      <c r="A298" s="4" t="s">
        <v>643</v>
      </c>
      <c r="B298" s="5">
        <v>45391</v>
      </c>
      <c r="C298" t="s">
        <v>33</v>
      </c>
      <c r="D298" t="s">
        <v>3269</v>
      </c>
      <c r="E298" t="s">
        <v>30</v>
      </c>
      <c r="F298" t="s">
        <v>3225</v>
      </c>
      <c r="G298" t="s">
        <v>31</v>
      </c>
      <c r="H298" t="str">
        <f>VLOOKUP(Table1[[#This Row],[City]],Table6[#All],2,FALSE)</f>
        <v>South</v>
      </c>
      <c r="I298" t="s">
        <v>3203</v>
      </c>
      <c r="J298" t="str">
        <f>_xlfn.XLOOKUP(Table1[[#This Row],[Tractor Model]],Table7[Product Model],Table7[Product Category],"Not Available",0)</f>
        <v>Kubota</v>
      </c>
      <c r="K298" s="4">
        <v>1</v>
      </c>
      <c r="L298" s="72">
        <v>183525</v>
      </c>
      <c r="M298" s="4">
        <f>INDEX('Master Sheet'!$C$4:$C$12,MATCH(Table1[[#This Row],[Quantity]],'Master Sheet'!$B$4:$B$12,0))</f>
        <v>3</v>
      </c>
      <c r="N298" s="71">
        <f>Table1[[#This Row],[Quantity]]*Table1[[#This Row],[Unit Price]]</f>
        <v>183525</v>
      </c>
      <c r="O298" s="73">
        <v>1.8352500000000001E-2</v>
      </c>
      <c r="P298" s="70">
        <f>Table1[[#This Row],[Gross Amount]]*(1-(Table1[[#This Row],[Discount %]]/100))</f>
        <v>178019.25</v>
      </c>
      <c r="Q298" s="74">
        <f>(Table1[[#This Row],[Gross Amount]]*(1-(Table1[[#This Row],[Discount %]]/100)))/10000000</f>
        <v>1.7801925E-2</v>
      </c>
      <c r="R298" t="s">
        <v>25</v>
      </c>
      <c r="S298" t="str" cm="1">
        <f t="array" ref="S298">IFERROR(_xlfn.IFS(Table1[[#This Row],[Payment Status]]="Partial","In Transit",Table1[[#This Row],[Payment Status]]="Paid","Delivered",Table1[[#This Row],[Payment Status]]="Pending","Pending"),"Invalid Input")</f>
        <v>In Transit</v>
      </c>
      <c r="T298" t="s">
        <v>44</v>
      </c>
      <c r="U298" t="str" cm="1">
        <f t="array" ref="U298">IFERROR(_xlfn.IFS(Table1[[#This Row],[Payment Status]]="Partial","In Transit",Table1[[#This Row],[Payment Status]]="Paid","Completed",Table1[[#This Row],[Payment Status]]="Pending","Pending"),"Invalid Input")</f>
        <v>In Transit</v>
      </c>
    </row>
    <row r="299" spans="1:21" x14ac:dyDescent="0.25">
      <c r="A299" s="4" t="s">
        <v>645</v>
      </c>
      <c r="B299" s="5">
        <v>45374</v>
      </c>
      <c r="C299" t="s">
        <v>62</v>
      </c>
      <c r="D299" t="s">
        <v>3271</v>
      </c>
      <c r="E299" t="s">
        <v>30</v>
      </c>
      <c r="F299" t="s">
        <v>3217</v>
      </c>
      <c r="G299" t="s">
        <v>31</v>
      </c>
      <c r="H299" t="str">
        <f>VLOOKUP(Table1[[#This Row],[City]],Table6[#All],2,FALSE)</f>
        <v>South</v>
      </c>
      <c r="I299" t="s">
        <v>58</v>
      </c>
      <c r="J299" t="str">
        <f>_xlfn.XLOOKUP(Table1[[#This Row],[Tractor Model]],Table7[Product Model],Table7[Product Category],"Not Available",0)</f>
        <v>Powertrac</v>
      </c>
      <c r="K299" s="4">
        <v>3</v>
      </c>
      <c r="L299" s="72">
        <v>410312</v>
      </c>
      <c r="M299" s="4">
        <f>INDEX('Master Sheet'!$C$4:$C$12,MATCH(Table1[[#This Row],[Quantity]],'Master Sheet'!$B$4:$B$12,0))</f>
        <v>6</v>
      </c>
      <c r="N299" s="71">
        <f>Table1[[#This Row],[Quantity]]*Table1[[#This Row],[Unit Price]]</f>
        <v>1230936</v>
      </c>
      <c r="O299" s="73">
        <v>0.1230936</v>
      </c>
      <c r="P299" s="70">
        <f>Table1[[#This Row],[Gross Amount]]*(1-(Table1[[#This Row],[Discount %]]/100))</f>
        <v>1157079.8399999999</v>
      </c>
      <c r="Q299" s="74">
        <f>(Table1[[#This Row],[Gross Amount]]*(1-(Table1[[#This Row],[Discount %]]/100)))/10000000</f>
        <v>0.11570798399999999</v>
      </c>
      <c r="R299" t="s">
        <v>42</v>
      </c>
      <c r="S299" t="str" cm="1">
        <f t="array" ref="S299">IFERROR(_xlfn.IFS(Table1[[#This Row],[Payment Status]]="Partial","In Transit",Table1[[#This Row],[Payment Status]]="Paid","Delivered",Table1[[#This Row],[Payment Status]]="Pending","Pending"),"Invalid Input")</f>
        <v>Pending</v>
      </c>
      <c r="T299" t="s">
        <v>27</v>
      </c>
      <c r="U299" t="str" cm="1">
        <f t="array" ref="U299">IFERROR(_xlfn.IFS(Table1[[#This Row],[Payment Status]]="Partial","In Transit",Table1[[#This Row],[Payment Status]]="Paid","Completed",Table1[[#This Row],[Payment Status]]="Pending","Pending"),"Invalid Input")</f>
        <v>Pending</v>
      </c>
    </row>
    <row r="300" spans="1:21" x14ac:dyDescent="0.25">
      <c r="A300" s="4" t="s">
        <v>647</v>
      </c>
      <c r="B300" s="5">
        <v>45652</v>
      </c>
      <c r="C300" t="s">
        <v>33</v>
      </c>
      <c r="D300" t="s">
        <v>3268</v>
      </c>
      <c r="E300" t="s">
        <v>119</v>
      </c>
      <c r="F300" t="s">
        <v>3227</v>
      </c>
      <c r="G300" t="s">
        <v>21</v>
      </c>
      <c r="H300" t="str">
        <f>VLOOKUP(Table1[[#This Row],[City]],Table6[#All],2,FALSE)</f>
        <v>North</v>
      </c>
      <c r="I300" t="s">
        <v>24</v>
      </c>
      <c r="J300" t="str">
        <f>_xlfn.XLOOKUP(Table1[[#This Row],[Tractor Model]],Table7[Product Model],Table7[Product Category],"Not Available",0)</f>
        <v>Farmtrac</v>
      </c>
      <c r="K300" s="4">
        <v>1</v>
      </c>
      <c r="L300" s="72">
        <v>467479</v>
      </c>
      <c r="M300" s="4">
        <f>INDEX('Master Sheet'!$C$4:$C$12,MATCH(Table1[[#This Row],[Quantity]],'Master Sheet'!$B$4:$B$12,0))</f>
        <v>3</v>
      </c>
      <c r="N300" s="71">
        <f>Table1[[#This Row],[Quantity]]*Table1[[#This Row],[Unit Price]]</f>
        <v>467479</v>
      </c>
      <c r="O300" s="73">
        <v>4.6747900000000002E-2</v>
      </c>
      <c r="P300" s="70">
        <f>Table1[[#This Row],[Gross Amount]]*(1-(Table1[[#This Row],[Discount %]]/100))</f>
        <v>453454.63</v>
      </c>
      <c r="Q300" s="74">
        <f>(Table1[[#This Row],[Gross Amount]]*(1-(Table1[[#This Row],[Discount %]]/100)))/10000000</f>
        <v>4.5345463000000003E-2</v>
      </c>
      <c r="R300" t="s">
        <v>25</v>
      </c>
      <c r="S300" t="str" cm="1">
        <f t="array" ref="S300">IFERROR(_xlfn.IFS(Table1[[#This Row],[Payment Status]]="Partial","In Transit",Table1[[#This Row],[Payment Status]]="Paid","Delivered",Table1[[#This Row],[Payment Status]]="Pending","Pending"),"Invalid Input")</f>
        <v>In Transit</v>
      </c>
      <c r="T300" t="s">
        <v>44</v>
      </c>
      <c r="U300" t="str" cm="1">
        <f t="array" ref="U300">IFERROR(_xlfn.IFS(Table1[[#This Row],[Payment Status]]="Partial","In Transit",Table1[[#This Row],[Payment Status]]="Paid","Completed",Table1[[#This Row],[Payment Status]]="Pending","Pending"),"Invalid Input")</f>
        <v>In Transit</v>
      </c>
    </row>
    <row r="301" spans="1:21" x14ac:dyDescent="0.25">
      <c r="A301" s="4" t="s">
        <v>649</v>
      </c>
      <c r="B301" s="5">
        <v>45813</v>
      </c>
      <c r="C301" t="s">
        <v>62</v>
      </c>
      <c r="D301" t="s">
        <v>3271</v>
      </c>
      <c r="E301" t="s">
        <v>66</v>
      </c>
      <c r="F301" t="s">
        <v>3207</v>
      </c>
      <c r="G301" t="s">
        <v>67</v>
      </c>
      <c r="H301" t="str">
        <f>VLOOKUP(Table1[[#This Row],[City]],Table6[#All],2,FALSE)</f>
        <v>East</v>
      </c>
      <c r="I301" t="s">
        <v>53</v>
      </c>
      <c r="J301" t="str">
        <f>_xlfn.XLOOKUP(Table1[[#This Row],[Tractor Model]],Table7[Product Model],Table7[Product Category],"Not Available",0)</f>
        <v>Farmtrac</v>
      </c>
      <c r="K301" s="4">
        <v>6</v>
      </c>
      <c r="L301" s="72">
        <v>792871</v>
      </c>
      <c r="M301" s="4">
        <f>INDEX('Master Sheet'!$C$4:$C$12,MATCH(Table1[[#This Row],[Quantity]],'Master Sheet'!$B$4:$B$12,0))</f>
        <v>8</v>
      </c>
      <c r="N301" s="71">
        <f>Table1[[#This Row],[Quantity]]*Table1[[#This Row],[Unit Price]]</f>
        <v>4757226</v>
      </c>
      <c r="O301" s="73">
        <v>0.4757226</v>
      </c>
      <c r="P301" s="70">
        <f>Table1[[#This Row],[Gross Amount]]*(1-(Table1[[#This Row],[Discount %]]/100))</f>
        <v>4376647.92</v>
      </c>
      <c r="Q301" s="74">
        <f>(Table1[[#This Row],[Gross Amount]]*(1-(Table1[[#This Row],[Discount %]]/100)))/10000000</f>
        <v>0.43766479199999997</v>
      </c>
      <c r="R301" t="s">
        <v>25</v>
      </c>
      <c r="S301" t="str" cm="1">
        <f t="array" ref="S301">IFERROR(_xlfn.IFS(Table1[[#This Row],[Payment Status]]="Partial","In Transit",Table1[[#This Row],[Payment Status]]="Paid","Delivered",Table1[[#This Row],[Payment Status]]="Pending","Pending"),"Invalid Input")</f>
        <v>In Transit</v>
      </c>
      <c r="T301" t="s">
        <v>27</v>
      </c>
      <c r="U301" t="str" cm="1">
        <f t="array" ref="U301">IFERROR(_xlfn.IFS(Table1[[#This Row],[Payment Status]]="Partial","In Transit",Table1[[#This Row],[Payment Status]]="Paid","Completed",Table1[[#This Row],[Payment Status]]="Pending","Pending"),"Invalid Input")</f>
        <v>In Transit</v>
      </c>
    </row>
    <row r="302" spans="1:21" x14ac:dyDescent="0.25">
      <c r="A302" s="4" t="s">
        <v>651</v>
      </c>
      <c r="B302" s="5">
        <v>45442</v>
      </c>
      <c r="C302" t="s">
        <v>62</v>
      </c>
      <c r="D302" t="s">
        <v>3269</v>
      </c>
      <c r="E302" t="s">
        <v>66</v>
      </c>
      <c r="F302" t="s">
        <v>3213</v>
      </c>
      <c r="G302" t="s">
        <v>67</v>
      </c>
      <c r="H302" t="str">
        <f>VLOOKUP(Table1[[#This Row],[City]],Table6[#All],2,FALSE)</f>
        <v>East</v>
      </c>
      <c r="I302" t="s">
        <v>3203</v>
      </c>
      <c r="J302" t="str">
        <f>_xlfn.XLOOKUP(Table1[[#This Row],[Tractor Model]],Table7[Product Model],Table7[Product Category],"Not Available",0)</f>
        <v>Kubota</v>
      </c>
      <c r="K302" s="4">
        <v>5</v>
      </c>
      <c r="L302" s="72">
        <v>216896</v>
      </c>
      <c r="M302" s="4">
        <f>INDEX('Master Sheet'!$C$4:$C$12,MATCH(Table1[[#This Row],[Quantity]],'Master Sheet'!$B$4:$B$12,0))</f>
        <v>7</v>
      </c>
      <c r="N302" s="71">
        <f>Table1[[#This Row],[Quantity]]*Table1[[#This Row],[Unit Price]]</f>
        <v>1084480</v>
      </c>
      <c r="O302" s="73">
        <v>0.108448</v>
      </c>
      <c r="P302" s="70">
        <f>Table1[[#This Row],[Gross Amount]]*(1-(Table1[[#This Row],[Discount %]]/100))</f>
        <v>1008566.3999999999</v>
      </c>
      <c r="Q302" s="74">
        <f>(Table1[[#This Row],[Gross Amount]]*(1-(Table1[[#This Row],[Discount %]]/100)))/10000000</f>
        <v>0.10085664</v>
      </c>
      <c r="R302" t="s">
        <v>54</v>
      </c>
      <c r="S302" t="str" cm="1">
        <f t="array" ref="S302">IFERROR(_xlfn.IFS(Table1[[#This Row],[Payment Status]]="Partial","In Transit",Table1[[#This Row],[Payment Status]]="Paid","Delivered",Table1[[#This Row],[Payment Status]]="Pending","Pending"),"Invalid Input")</f>
        <v>Delivered</v>
      </c>
      <c r="T302" t="s">
        <v>44</v>
      </c>
      <c r="U302" t="str" cm="1">
        <f t="array" ref="U302">IFERROR(_xlfn.IFS(Table1[[#This Row],[Payment Status]]="Partial","In Transit",Table1[[#This Row],[Payment Status]]="Paid","Completed",Table1[[#This Row],[Payment Status]]="Pending","Pending"),"Invalid Input")</f>
        <v>Completed</v>
      </c>
    </row>
    <row r="303" spans="1:21" x14ac:dyDescent="0.25">
      <c r="A303" s="4" t="s">
        <v>653</v>
      </c>
      <c r="B303" s="5">
        <v>45730</v>
      </c>
      <c r="C303" t="s">
        <v>52</v>
      </c>
      <c r="D303" t="s">
        <v>3269</v>
      </c>
      <c r="E303" t="s">
        <v>38</v>
      </c>
      <c r="F303" t="s">
        <v>3206</v>
      </c>
      <c r="G303" t="s">
        <v>39</v>
      </c>
      <c r="H303" t="str">
        <f>VLOOKUP(Table1[[#This Row],[City]],Table6[#All],2,FALSE)</f>
        <v>West</v>
      </c>
      <c r="I303" t="s">
        <v>58</v>
      </c>
      <c r="J303" t="str">
        <f>_xlfn.XLOOKUP(Table1[[#This Row],[Tractor Model]],Table7[Product Model],Table7[Product Category],"Not Available",0)</f>
        <v>Powertrac</v>
      </c>
      <c r="K303" s="4">
        <v>8</v>
      </c>
      <c r="L303" s="72">
        <v>812277</v>
      </c>
      <c r="M303" s="4">
        <f>INDEX('Master Sheet'!$C$4:$C$12,MATCH(Table1[[#This Row],[Quantity]],'Master Sheet'!$B$4:$B$12,0))</f>
        <v>9</v>
      </c>
      <c r="N303" s="71">
        <f>Table1[[#This Row],[Quantity]]*Table1[[#This Row],[Unit Price]]</f>
        <v>6498216</v>
      </c>
      <c r="O303" s="73">
        <v>0.6498216</v>
      </c>
      <c r="P303" s="70">
        <f>Table1[[#This Row],[Gross Amount]]*(1-(Table1[[#This Row],[Discount %]]/100))</f>
        <v>5913376.5600000005</v>
      </c>
      <c r="Q303" s="74">
        <f>(Table1[[#This Row],[Gross Amount]]*(1-(Table1[[#This Row],[Discount %]]/100)))/10000000</f>
        <v>0.5913376560000001</v>
      </c>
      <c r="R303" t="s">
        <v>25</v>
      </c>
      <c r="S303" t="str" cm="1">
        <f t="array" ref="S303">IFERROR(_xlfn.IFS(Table1[[#This Row],[Payment Status]]="Partial","In Transit",Table1[[#This Row],[Payment Status]]="Paid","Delivered",Table1[[#This Row],[Payment Status]]="Pending","Pending"),"Invalid Input")</f>
        <v>In Transit</v>
      </c>
      <c r="T303" t="s">
        <v>27</v>
      </c>
      <c r="U303" t="str" cm="1">
        <f t="array" ref="U303">IFERROR(_xlfn.IFS(Table1[[#This Row],[Payment Status]]="Partial","In Transit",Table1[[#This Row],[Payment Status]]="Paid","Completed",Table1[[#This Row],[Payment Status]]="Pending","Pending"),"Invalid Input")</f>
        <v>In Transit</v>
      </c>
    </row>
    <row r="304" spans="1:21" x14ac:dyDescent="0.25">
      <c r="A304" s="4" t="s">
        <v>655</v>
      </c>
      <c r="B304" s="5">
        <v>45725</v>
      </c>
      <c r="C304" t="s">
        <v>41</v>
      </c>
      <c r="D304" t="s">
        <v>3271</v>
      </c>
      <c r="E304" t="s">
        <v>38</v>
      </c>
      <c r="F304" t="s">
        <v>3210</v>
      </c>
      <c r="G304" t="s">
        <v>39</v>
      </c>
      <c r="H304" t="str">
        <f>VLOOKUP(Table1[[#This Row],[City]],Table6[#All],2,FALSE)</f>
        <v>West</v>
      </c>
      <c r="I304" t="s">
        <v>53</v>
      </c>
      <c r="J304" t="str">
        <f>_xlfn.XLOOKUP(Table1[[#This Row],[Tractor Model]],Table7[Product Model],Table7[Product Category],"Not Available",0)</f>
        <v>Farmtrac</v>
      </c>
      <c r="K304" s="4">
        <v>3</v>
      </c>
      <c r="L304" s="72">
        <v>225224</v>
      </c>
      <c r="M304" s="4">
        <f>INDEX('Master Sheet'!$C$4:$C$12,MATCH(Table1[[#This Row],[Quantity]],'Master Sheet'!$B$4:$B$12,0))</f>
        <v>6</v>
      </c>
      <c r="N304" s="71">
        <f>Table1[[#This Row],[Quantity]]*Table1[[#This Row],[Unit Price]]</f>
        <v>675672</v>
      </c>
      <c r="O304" s="73">
        <v>6.7567199999999994E-2</v>
      </c>
      <c r="P304" s="70">
        <f>Table1[[#This Row],[Gross Amount]]*(1-(Table1[[#This Row],[Discount %]]/100))</f>
        <v>635131.67999999993</v>
      </c>
      <c r="Q304" s="74">
        <f>(Table1[[#This Row],[Gross Amount]]*(1-(Table1[[#This Row],[Discount %]]/100)))/10000000</f>
        <v>6.3513167999999995E-2</v>
      </c>
      <c r="R304" t="s">
        <v>54</v>
      </c>
      <c r="S304" t="str" cm="1">
        <f t="array" ref="S304">IFERROR(_xlfn.IFS(Table1[[#This Row],[Payment Status]]="Partial","In Transit",Table1[[#This Row],[Payment Status]]="Paid","Delivered",Table1[[#This Row],[Payment Status]]="Pending","Pending"),"Invalid Input")</f>
        <v>Delivered</v>
      </c>
      <c r="T304" t="s">
        <v>27</v>
      </c>
      <c r="U304" t="str" cm="1">
        <f t="array" ref="U304">IFERROR(_xlfn.IFS(Table1[[#This Row],[Payment Status]]="Partial","In Transit",Table1[[#This Row],[Payment Status]]="Paid","Completed",Table1[[#This Row],[Payment Status]]="Pending","Pending"),"Invalid Input")</f>
        <v>Completed</v>
      </c>
    </row>
    <row r="305" spans="1:21" x14ac:dyDescent="0.25">
      <c r="A305" s="4" t="s">
        <v>657</v>
      </c>
      <c r="B305" s="5">
        <v>45455</v>
      </c>
      <c r="C305" t="s">
        <v>52</v>
      </c>
      <c r="D305" t="s">
        <v>37</v>
      </c>
      <c r="E305" t="s">
        <v>119</v>
      </c>
      <c r="F305" t="s">
        <v>3224</v>
      </c>
      <c r="G305" t="s">
        <v>21</v>
      </c>
      <c r="H305" t="str">
        <f>VLOOKUP(Table1[[#This Row],[City]],Table6[#All],2,FALSE)</f>
        <v>North</v>
      </c>
      <c r="I305" t="s">
        <v>53</v>
      </c>
      <c r="J305" t="str">
        <f>_xlfn.XLOOKUP(Table1[[#This Row],[Tractor Model]],Table7[Product Model],Table7[Product Category],"Not Available",0)</f>
        <v>Farmtrac</v>
      </c>
      <c r="K305" s="4">
        <v>7</v>
      </c>
      <c r="L305" s="72">
        <v>705908</v>
      </c>
      <c r="M305" s="4">
        <f>INDEX('Master Sheet'!$C$4:$C$12,MATCH(Table1[[#This Row],[Quantity]],'Master Sheet'!$B$4:$B$12,0))</f>
        <v>9</v>
      </c>
      <c r="N305" s="71">
        <f>Table1[[#This Row],[Quantity]]*Table1[[#This Row],[Unit Price]]</f>
        <v>4941356</v>
      </c>
      <c r="O305" s="73">
        <v>0.49413560000000001</v>
      </c>
      <c r="P305" s="70">
        <f>Table1[[#This Row],[Gross Amount]]*(1-(Table1[[#This Row],[Discount %]]/100))</f>
        <v>4496633.96</v>
      </c>
      <c r="Q305" s="74">
        <f>(Table1[[#This Row],[Gross Amount]]*(1-(Table1[[#This Row],[Discount %]]/100)))/10000000</f>
        <v>0.44966339599999999</v>
      </c>
      <c r="R305" t="s">
        <v>42</v>
      </c>
      <c r="S305" t="str" cm="1">
        <f t="array" ref="S305">IFERROR(_xlfn.IFS(Table1[[#This Row],[Payment Status]]="Partial","In Transit",Table1[[#This Row],[Payment Status]]="Paid","Delivered",Table1[[#This Row],[Payment Status]]="Pending","Pending"),"Invalid Input")</f>
        <v>Pending</v>
      </c>
      <c r="T305" t="s">
        <v>27</v>
      </c>
      <c r="U305" t="str" cm="1">
        <f t="array" ref="U305">IFERROR(_xlfn.IFS(Table1[[#This Row],[Payment Status]]="Partial","In Transit",Table1[[#This Row],[Payment Status]]="Paid","Completed",Table1[[#This Row],[Payment Status]]="Pending","Pending"),"Invalid Input")</f>
        <v>Pending</v>
      </c>
    </row>
    <row r="306" spans="1:21" x14ac:dyDescent="0.25">
      <c r="A306" s="4" t="s">
        <v>659</v>
      </c>
      <c r="B306" s="5">
        <v>45714</v>
      </c>
      <c r="C306" t="s">
        <v>52</v>
      </c>
      <c r="D306" t="s">
        <v>3269</v>
      </c>
      <c r="E306" t="s">
        <v>38</v>
      </c>
      <c r="F306" t="s">
        <v>3206</v>
      </c>
      <c r="G306" t="s">
        <v>39</v>
      </c>
      <c r="H306" t="str">
        <f>VLOOKUP(Table1[[#This Row],[City]],Table6[#All],2,FALSE)</f>
        <v>West</v>
      </c>
      <c r="I306" t="s">
        <v>24</v>
      </c>
      <c r="J306" t="str">
        <f>_xlfn.XLOOKUP(Table1[[#This Row],[Tractor Model]],Table7[Product Model],Table7[Product Category],"Not Available",0)</f>
        <v>Farmtrac</v>
      </c>
      <c r="K306" s="4">
        <v>2</v>
      </c>
      <c r="L306" s="72">
        <v>451942</v>
      </c>
      <c r="M306" s="4">
        <f>INDEX('Master Sheet'!$C$4:$C$12,MATCH(Table1[[#This Row],[Quantity]],'Master Sheet'!$B$4:$B$12,0))</f>
        <v>5</v>
      </c>
      <c r="N306" s="71">
        <f>Table1[[#This Row],[Quantity]]*Table1[[#This Row],[Unit Price]]</f>
        <v>903884</v>
      </c>
      <c r="O306" s="73">
        <v>9.0388399999999994E-2</v>
      </c>
      <c r="P306" s="70">
        <f>Table1[[#This Row],[Gross Amount]]*(1-(Table1[[#This Row],[Discount %]]/100))</f>
        <v>858689.79999999993</v>
      </c>
      <c r="Q306" s="74">
        <f>(Table1[[#This Row],[Gross Amount]]*(1-(Table1[[#This Row],[Discount %]]/100)))/10000000</f>
        <v>8.5868979999999998E-2</v>
      </c>
      <c r="R306" t="s">
        <v>25</v>
      </c>
      <c r="S306" t="str" cm="1">
        <f t="array" ref="S306">IFERROR(_xlfn.IFS(Table1[[#This Row],[Payment Status]]="Partial","In Transit",Table1[[#This Row],[Payment Status]]="Paid","Delivered",Table1[[#This Row],[Payment Status]]="Pending","Pending"),"Invalid Input")</f>
        <v>In Transit</v>
      </c>
      <c r="T306" t="s">
        <v>27</v>
      </c>
      <c r="U306" t="str" cm="1">
        <f t="array" ref="U306">IFERROR(_xlfn.IFS(Table1[[#This Row],[Payment Status]]="Partial","In Transit",Table1[[#This Row],[Payment Status]]="Paid","Completed",Table1[[#This Row],[Payment Status]]="Pending","Pending"),"Invalid Input")</f>
        <v>In Transit</v>
      </c>
    </row>
    <row r="307" spans="1:21" x14ac:dyDescent="0.25">
      <c r="A307" s="4" t="s">
        <v>661</v>
      </c>
      <c r="B307" s="5">
        <v>45512</v>
      </c>
      <c r="C307" t="s">
        <v>62</v>
      </c>
      <c r="D307" t="s">
        <v>37</v>
      </c>
      <c r="E307" t="s">
        <v>119</v>
      </c>
      <c r="F307" t="s">
        <v>3224</v>
      </c>
      <c r="G307" t="s">
        <v>21</v>
      </c>
      <c r="H307" t="str">
        <f>VLOOKUP(Table1[[#This Row],[City]],Table6[#All],2,FALSE)</f>
        <v>North</v>
      </c>
      <c r="I307" t="s">
        <v>3204</v>
      </c>
      <c r="J307" t="str">
        <f>_xlfn.XLOOKUP(Table1[[#This Row],[Tractor Model]],Table7[Product Model],Table7[Product Category],"Not Available",0)</f>
        <v>Kubota</v>
      </c>
      <c r="K307" s="4">
        <v>2</v>
      </c>
      <c r="L307" s="72">
        <v>768976</v>
      </c>
      <c r="M307" s="4">
        <f>INDEX('Master Sheet'!$C$4:$C$12,MATCH(Table1[[#This Row],[Quantity]],'Master Sheet'!$B$4:$B$12,0))</f>
        <v>5</v>
      </c>
      <c r="N307" s="71">
        <f>Table1[[#This Row],[Quantity]]*Table1[[#This Row],[Unit Price]]</f>
        <v>1537952</v>
      </c>
      <c r="O307" s="73">
        <v>0.15379519999999999</v>
      </c>
      <c r="P307" s="70">
        <f>Table1[[#This Row],[Gross Amount]]*(1-(Table1[[#This Row],[Discount %]]/100))</f>
        <v>1461054.4</v>
      </c>
      <c r="Q307" s="74">
        <f>(Table1[[#This Row],[Gross Amount]]*(1-(Table1[[#This Row],[Discount %]]/100)))/10000000</f>
        <v>0.14610544</v>
      </c>
      <c r="R307" t="s">
        <v>54</v>
      </c>
      <c r="S307" t="str" cm="1">
        <f t="array" ref="S307">IFERROR(_xlfn.IFS(Table1[[#This Row],[Payment Status]]="Partial","In Transit",Table1[[#This Row],[Payment Status]]="Paid","Delivered",Table1[[#This Row],[Payment Status]]="Pending","Pending"),"Invalid Input")</f>
        <v>Delivered</v>
      </c>
      <c r="T307" t="s">
        <v>27</v>
      </c>
      <c r="U307" t="str" cm="1">
        <f t="array" ref="U307">IFERROR(_xlfn.IFS(Table1[[#This Row],[Payment Status]]="Partial","In Transit",Table1[[#This Row],[Payment Status]]="Paid","Completed",Table1[[#This Row],[Payment Status]]="Pending","Pending"),"Invalid Input")</f>
        <v>Completed</v>
      </c>
    </row>
    <row r="308" spans="1:21" x14ac:dyDescent="0.25">
      <c r="A308" s="4" t="s">
        <v>663</v>
      </c>
      <c r="B308" s="5">
        <v>45641</v>
      </c>
      <c r="C308" t="s">
        <v>41</v>
      </c>
      <c r="D308" t="s">
        <v>3271</v>
      </c>
      <c r="E308" t="s">
        <v>47</v>
      </c>
      <c r="F308" t="s">
        <v>3221</v>
      </c>
      <c r="G308" t="s">
        <v>48</v>
      </c>
      <c r="H308" t="str">
        <f>VLOOKUP(Table1[[#This Row],[City]],Table6[#All],2,FALSE)</f>
        <v>North</v>
      </c>
      <c r="I308" t="s">
        <v>24</v>
      </c>
      <c r="J308" t="str">
        <f>_xlfn.XLOOKUP(Table1[[#This Row],[Tractor Model]],Table7[Product Model],Table7[Product Category],"Not Available",0)</f>
        <v>Farmtrac</v>
      </c>
      <c r="K308" s="4">
        <v>4</v>
      </c>
      <c r="L308" s="72">
        <v>879039</v>
      </c>
      <c r="M308" s="4">
        <f>INDEX('Master Sheet'!$C$4:$C$12,MATCH(Table1[[#This Row],[Quantity]],'Master Sheet'!$B$4:$B$12,0))</f>
        <v>6</v>
      </c>
      <c r="N308" s="71">
        <f>Table1[[#This Row],[Quantity]]*Table1[[#This Row],[Unit Price]]</f>
        <v>3516156</v>
      </c>
      <c r="O308" s="73">
        <v>0.35161559999999997</v>
      </c>
      <c r="P308" s="70">
        <f>Table1[[#This Row],[Gross Amount]]*(1-(Table1[[#This Row],[Discount %]]/100))</f>
        <v>3305186.6399999997</v>
      </c>
      <c r="Q308" s="74">
        <f>(Table1[[#This Row],[Gross Amount]]*(1-(Table1[[#This Row],[Discount %]]/100)))/10000000</f>
        <v>0.33051866399999996</v>
      </c>
      <c r="R308" t="s">
        <v>54</v>
      </c>
      <c r="S308" t="str" cm="1">
        <f t="array" ref="S308">IFERROR(_xlfn.IFS(Table1[[#This Row],[Payment Status]]="Partial","In Transit",Table1[[#This Row],[Payment Status]]="Paid","Delivered",Table1[[#This Row],[Payment Status]]="Pending","Pending"),"Invalid Input")</f>
        <v>Delivered</v>
      </c>
      <c r="T308" t="s">
        <v>27</v>
      </c>
      <c r="U308" t="str" cm="1">
        <f t="array" ref="U308">IFERROR(_xlfn.IFS(Table1[[#This Row],[Payment Status]]="Partial","In Transit",Table1[[#This Row],[Payment Status]]="Paid","Completed",Table1[[#This Row],[Payment Status]]="Pending","Pending"),"Invalid Input")</f>
        <v>Completed</v>
      </c>
    </row>
    <row r="309" spans="1:21" x14ac:dyDescent="0.25">
      <c r="A309" s="4" t="s">
        <v>665</v>
      </c>
      <c r="B309" s="5">
        <v>45332</v>
      </c>
      <c r="C309" t="s">
        <v>73</v>
      </c>
      <c r="D309" t="s">
        <v>3269</v>
      </c>
      <c r="E309" t="s">
        <v>66</v>
      </c>
      <c r="F309" t="s">
        <v>3213</v>
      </c>
      <c r="G309" t="s">
        <v>67</v>
      </c>
      <c r="H309" t="str">
        <f>VLOOKUP(Table1[[#This Row],[City]],Table6[#All],2,FALSE)</f>
        <v>East</v>
      </c>
      <c r="I309" t="s">
        <v>3203</v>
      </c>
      <c r="J309" t="str">
        <f>_xlfn.XLOOKUP(Table1[[#This Row],[Tractor Model]],Table7[Product Model],Table7[Product Category],"Not Available",0)</f>
        <v>Kubota</v>
      </c>
      <c r="K309" s="4">
        <v>2</v>
      </c>
      <c r="L309" s="72">
        <v>699336</v>
      </c>
      <c r="M309" s="4">
        <f>INDEX('Master Sheet'!$C$4:$C$12,MATCH(Table1[[#This Row],[Quantity]],'Master Sheet'!$B$4:$B$12,0))</f>
        <v>5</v>
      </c>
      <c r="N309" s="71">
        <f>Table1[[#This Row],[Quantity]]*Table1[[#This Row],[Unit Price]]</f>
        <v>1398672</v>
      </c>
      <c r="O309" s="73">
        <v>0.1398672</v>
      </c>
      <c r="P309" s="70">
        <f>Table1[[#This Row],[Gross Amount]]*(1-(Table1[[#This Row],[Discount %]]/100))</f>
        <v>1328738.3999999999</v>
      </c>
      <c r="Q309" s="74">
        <f>(Table1[[#This Row],[Gross Amount]]*(1-(Table1[[#This Row],[Discount %]]/100)))/10000000</f>
        <v>0.13287383999999999</v>
      </c>
      <c r="R309" t="s">
        <v>42</v>
      </c>
      <c r="S309" t="str" cm="1">
        <f t="array" ref="S309">IFERROR(_xlfn.IFS(Table1[[#This Row],[Payment Status]]="Partial","In Transit",Table1[[#This Row],[Payment Status]]="Paid","Delivered",Table1[[#This Row],[Payment Status]]="Pending","Pending"),"Invalid Input")</f>
        <v>Pending</v>
      </c>
      <c r="T309" t="s">
        <v>44</v>
      </c>
      <c r="U309" t="str" cm="1">
        <f t="array" ref="U309">IFERROR(_xlfn.IFS(Table1[[#This Row],[Payment Status]]="Partial","In Transit",Table1[[#This Row],[Payment Status]]="Paid","Completed",Table1[[#This Row],[Payment Status]]="Pending","Pending"),"Invalid Input")</f>
        <v>Pending</v>
      </c>
    </row>
    <row r="310" spans="1:21" x14ac:dyDescent="0.25">
      <c r="A310" s="4" t="s">
        <v>666</v>
      </c>
      <c r="B310" s="5">
        <v>45490</v>
      </c>
      <c r="C310" t="s">
        <v>73</v>
      </c>
      <c r="D310" t="s">
        <v>3271</v>
      </c>
      <c r="E310" t="s">
        <v>119</v>
      </c>
      <c r="F310" t="s">
        <v>3228</v>
      </c>
      <c r="G310" t="s">
        <v>21</v>
      </c>
      <c r="H310" t="str">
        <f>VLOOKUP(Table1[[#This Row],[City]],Table6[#All],2,FALSE)</f>
        <v>North</v>
      </c>
      <c r="I310" t="s">
        <v>3203</v>
      </c>
      <c r="J310" t="str">
        <f>_xlfn.XLOOKUP(Table1[[#This Row],[Tractor Model]],Table7[Product Model],Table7[Product Category],"Not Available",0)</f>
        <v>Kubota</v>
      </c>
      <c r="K310" s="4">
        <v>3</v>
      </c>
      <c r="L310" s="72">
        <v>717501</v>
      </c>
      <c r="M310" s="4">
        <f>INDEX('Master Sheet'!$C$4:$C$12,MATCH(Table1[[#This Row],[Quantity]],'Master Sheet'!$B$4:$B$12,0))</f>
        <v>6</v>
      </c>
      <c r="N310" s="71">
        <f>Table1[[#This Row],[Quantity]]*Table1[[#This Row],[Unit Price]]</f>
        <v>2152503</v>
      </c>
      <c r="O310" s="73">
        <v>0.21525030000000001</v>
      </c>
      <c r="P310" s="70">
        <f>Table1[[#This Row],[Gross Amount]]*(1-(Table1[[#This Row],[Discount %]]/100))</f>
        <v>2023352.8199999998</v>
      </c>
      <c r="Q310" s="74">
        <f>(Table1[[#This Row],[Gross Amount]]*(1-(Table1[[#This Row],[Discount %]]/100)))/10000000</f>
        <v>0.20233528199999998</v>
      </c>
      <c r="R310" t="s">
        <v>42</v>
      </c>
      <c r="S310" t="str" cm="1">
        <f t="array" ref="S310">IFERROR(_xlfn.IFS(Table1[[#This Row],[Payment Status]]="Partial","In Transit",Table1[[#This Row],[Payment Status]]="Paid","Delivered",Table1[[#This Row],[Payment Status]]="Pending","Pending"),"Invalid Input")</f>
        <v>Pending</v>
      </c>
      <c r="T310" t="s">
        <v>27</v>
      </c>
      <c r="U310" t="str" cm="1">
        <f t="array" ref="U310">IFERROR(_xlfn.IFS(Table1[[#This Row],[Payment Status]]="Partial","In Transit",Table1[[#This Row],[Payment Status]]="Paid","Completed",Table1[[#This Row],[Payment Status]]="Pending","Pending"),"Invalid Input")</f>
        <v>Pending</v>
      </c>
    </row>
    <row r="311" spans="1:21" x14ac:dyDescent="0.25">
      <c r="A311" s="4" t="s">
        <v>667</v>
      </c>
      <c r="B311" s="5">
        <v>45570</v>
      </c>
      <c r="C311" t="s">
        <v>62</v>
      </c>
      <c r="D311" t="s">
        <v>3269</v>
      </c>
      <c r="E311" t="s">
        <v>119</v>
      </c>
      <c r="F311" t="s">
        <v>3229</v>
      </c>
      <c r="G311" t="s">
        <v>21</v>
      </c>
      <c r="H311" t="str">
        <f>VLOOKUP(Table1[[#This Row],[City]],Table6[#All],2,FALSE)</f>
        <v>North</v>
      </c>
      <c r="I311" t="s">
        <v>3203</v>
      </c>
      <c r="J311" t="str">
        <f>_xlfn.XLOOKUP(Table1[[#This Row],[Tractor Model]],Table7[Product Model],Table7[Product Category],"Not Available",0)</f>
        <v>Kubota</v>
      </c>
      <c r="K311" s="4">
        <v>3</v>
      </c>
      <c r="L311" s="72">
        <v>541769</v>
      </c>
      <c r="M311" s="4">
        <f>INDEX('Master Sheet'!$C$4:$C$12,MATCH(Table1[[#This Row],[Quantity]],'Master Sheet'!$B$4:$B$12,0))</f>
        <v>6</v>
      </c>
      <c r="N311" s="71">
        <f>Table1[[#This Row],[Quantity]]*Table1[[#This Row],[Unit Price]]</f>
        <v>1625307</v>
      </c>
      <c r="O311" s="73">
        <v>0.1625307</v>
      </c>
      <c r="P311" s="70">
        <f>Table1[[#This Row],[Gross Amount]]*(1-(Table1[[#This Row],[Discount %]]/100))</f>
        <v>1527788.5799999998</v>
      </c>
      <c r="Q311" s="74">
        <f>(Table1[[#This Row],[Gross Amount]]*(1-(Table1[[#This Row],[Discount %]]/100)))/10000000</f>
        <v>0.15277885799999999</v>
      </c>
      <c r="R311" t="s">
        <v>54</v>
      </c>
      <c r="S311" t="str" cm="1">
        <f t="array" ref="S311">IFERROR(_xlfn.IFS(Table1[[#This Row],[Payment Status]]="Partial","In Transit",Table1[[#This Row],[Payment Status]]="Paid","Delivered",Table1[[#This Row],[Payment Status]]="Pending","Pending"),"Invalid Input")</f>
        <v>Delivered</v>
      </c>
      <c r="T311" t="s">
        <v>27</v>
      </c>
      <c r="U311" t="str" cm="1">
        <f t="array" ref="U311">IFERROR(_xlfn.IFS(Table1[[#This Row],[Payment Status]]="Partial","In Transit",Table1[[#This Row],[Payment Status]]="Paid","Completed",Table1[[#This Row],[Payment Status]]="Pending","Pending"),"Invalid Input")</f>
        <v>Completed</v>
      </c>
    </row>
    <row r="312" spans="1:21" x14ac:dyDescent="0.25">
      <c r="A312" s="4" t="s">
        <v>668</v>
      </c>
      <c r="B312" s="5">
        <v>45655</v>
      </c>
      <c r="C312" t="s">
        <v>33</v>
      </c>
      <c r="D312" t="s">
        <v>3271</v>
      </c>
      <c r="E312" t="s">
        <v>30</v>
      </c>
      <c r="F312" t="s">
        <v>3217</v>
      </c>
      <c r="G312" t="s">
        <v>31</v>
      </c>
      <c r="H312" t="str">
        <f>VLOOKUP(Table1[[#This Row],[City]],Table6[#All],2,FALSE)</f>
        <v>South</v>
      </c>
      <c r="I312" t="s">
        <v>53</v>
      </c>
      <c r="J312" t="str">
        <f>_xlfn.XLOOKUP(Table1[[#This Row],[Tractor Model]],Table7[Product Model],Table7[Product Category],"Not Available",0)</f>
        <v>Farmtrac</v>
      </c>
      <c r="K312" s="4">
        <v>1</v>
      </c>
      <c r="L312" s="72">
        <v>792032</v>
      </c>
      <c r="M312" s="4">
        <f>INDEX('Master Sheet'!$C$4:$C$12,MATCH(Table1[[#This Row],[Quantity]],'Master Sheet'!$B$4:$B$12,0))</f>
        <v>3</v>
      </c>
      <c r="N312" s="71">
        <f>Table1[[#This Row],[Quantity]]*Table1[[#This Row],[Unit Price]]</f>
        <v>792032</v>
      </c>
      <c r="O312" s="73">
        <v>7.9203200000000001E-2</v>
      </c>
      <c r="P312" s="70">
        <f>Table1[[#This Row],[Gross Amount]]*(1-(Table1[[#This Row],[Discount %]]/100))</f>
        <v>768271.03999999992</v>
      </c>
      <c r="Q312" s="74">
        <f>(Table1[[#This Row],[Gross Amount]]*(1-(Table1[[#This Row],[Discount %]]/100)))/10000000</f>
        <v>7.6827103999999993E-2</v>
      </c>
      <c r="R312" t="s">
        <v>54</v>
      </c>
      <c r="S312" t="str" cm="1">
        <f t="array" ref="S312">IFERROR(_xlfn.IFS(Table1[[#This Row],[Payment Status]]="Partial","In Transit",Table1[[#This Row],[Payment Status]]="Paid","Delivered",Table1[[#This Row],[Payment Status]]="Pending","Pending"),"Invalid Input")</f>
        <v>Delivered</v>
      </c>
      <c r="T312" t="s">
        <v>27</v>
      </c>
      <c r="U312" t="str" cm="1">
        <f t="array" ref="U312">IFERROR(_xlfn.IFS(Table1[[#This Row],[Payment Status]]="Partial","In Transit",Table1[[#This Row],[Payment Status]]="Paid","Completed",Table1[[#This Row],[Payment Status]]="Pending","Pending"),"Invalid Input")</f>
        <v>Completed</v>
      </c>
    </row>
    <row r="313" spans="1:21" x14ac:dyDescent="0.25">
      <c r="A313" s="4" t="s">
        <v>670</v>
      </c>
      <c r="B313" s="5">
        <v>45600</v>
      </c>
      <c r="C313" t="s">
        <v>73</v>
      </c>
      <c r="D313" t="s">
        <v>3268</v>
      </c>
      <c r="E313" t="s">
        <v>38</v>
      </c>
      <c r="F313" t="s">
        <v>3219</v>
      </c>
      <c r="G313" t="s">
        <v>39</v>
      </c>
      <c r="H313" t="str">
        <f>VLOOKUP(Table1[[#This Row],[City]],Table6[#All],2,FALSE)</f>
        <v>West</v>
      </c>
      <c r="I313" t="s">
        <v>3204</v>
      </c>
      <c r="J313" t="str">
        <f>_xlfn.XLOOKUP(Table1[[#This Row],[Tractor Model]],Table7[Product Model],Table7[Product Category],"Not Available",0)</f>
        <v>Kubota</v>
      </c>
      <c r="K313" s="4">
        <v>5</v>
      </c>
      <c r="L313" s="72">
        <v>606236</v>
      </c>
      <c r="M313" s="4">
        <f>INDEX('Master Sheet'!$C$4:$C$12,MATCH(Table1[[#This Row],[Quantity]],'Master Sheet'!$B$4:$B$12,0))</f>
        <v>7</v>
      </c>
      <c r="N313" s="71">
        <f>Table1[[#This Row],[Quantity]]*Table1[[#This Row],[Unit Price]]</f>
        <v>3031180</v>
      </c>
      <c r="O313" s="73">
        <v>0.303118</v>
      </c>
      <c r="P313" s="70">
        <f>Table1[[#This Row],[Gross Amount]]*(1-(Table1[[#This Row],[Discount %]]/100))</f>
        <v>2818997.4</v>
      </c>
      <c r="Q313" s="74">
        <f>(Table1[[#This Row],[Gross Amount]]*(1-(Table1[[#This Row],[Discount %]]/100)))/10000000</f>
        <v>0.28189974000000001</v>
      </c>
      <c r="R313" t="s">
        <v>25</v>
      </c>
      <c r="S313" t="str" cm="1">
        <f t="array" ref="S313">IFERROR(_xlfn.IFS(Table1[[#This Row],[Payment Status]]="Partial","In Transit",Table1[[#This Row],[Payment Status]]="Paid","Delivered",Table1[[#This Row],[Payment Status]]="Pending","Pending"),"Invalid Input")</f>
        <v>In Transit</v>
      </c>
      <c r="T313" t="s">
        <v>27</v>
      </c>
      <c r="U313" t="str" cm="1">
        <f t="array" ref="U313">IFERROR(_xlfn.IFS(Table1[[#This Row],[Payment Status]]="Partial","In Transit",Table1[[#This Row],[Payment Status]]="Paid","Completed",Table1[[#This Row],[Payment Status]]="Pending","Pending"),"Invalid Input")</f>
        <v>In Transit</v>
      </c>
    </row>
    <row r="314" spans="1:21" x14ac:dyDescent="0.25">
      <c r="A314" s="4" t="s">
        <v>672</v>
      </c>
      <c r="B314" s="5">
        <v>45494</v>
      </c>
      <c r="C314" t="s">
        <v>52</v>
      </c>
      <c r="D314" t="s">
        <v>3268</v>
      </c>
      <c r="E314" t="s">
        <v>38</v>
      </c>
      <c r="F314" t="s">
        <v>3219</v>
      </c>
      <c r="G314" t="s">
        <v>39</v>
      </c>
      <c r="H314" t="str">
        <f>VLOOKUP(Table1[[#This Row],[City]],Table6[#All],2,FALSE)</f>
        <v>West</v>
      </c>
      <c r="I314" t="s">
        <v>24</v>
      </c>
      <c r="J314" t="str">
        <f>_xlfn.XLOOKUP(Table1[[#This Row],[Tractor Model]],Table7[Product Model],Table7[Product Category],"Not Available",0)</f>
        <v>Farmtrac</v>
      </c>
      <c r="K314" s="4">
        <v>6</v>
      </c>
      <c r="L314" s="72">
        <v>634475</v>
      </c>
      <c r="M314" s="4">
        <f>INDEX('Master Sheet'!$C$4:$C$12,MATCH(Table1[[#This Row],[Quantity]],'Master Sheet'!$B$4:$B$12,0))</f>
        <v>8</v>
      </c>
      <c r="N314" s="71">
        <f>Table1[[#This Row],[Quantity]]*Table1[[#This Row],[Unit Price]]</f>
        <v>3806850</v>
      </c>
      <c r="O314" s="73">
        <v>0.380685</v>
      </c>
      <c r="P314" s="70">
        <f>Table1[[#This Row],[Gross Amount]]*(1-(Table1[[#This Row],[Discount %]]/100))</f>
        <v>3502302</v>
      </c>
      <c r="Q314" s="74">
        <f>(Table1[[#This Row],[Gross Amount]]*(1-(Table1[[#This Row],[Discount %]]/100)))/10000000</f>
        <v>0.35023019999999999</v>
      </c>
      <c r="R314" t="s">
        <v>42</v>
      </c>
      <c r="S314" t="str" cm="1">
        <f t="array" ref="S314">IFERROR(_xlfn.IFS(Table1[[#This Row],[Payment Status]]="Partial","In Transit",Table1[[#This Row],[Payment Status]]="Paid","Delivered",Table1[[#This Row],[Payment Status]]="Pending","Pending"),"Invalid Input")</f>
        <v>Pending</v>
      </c>
      <c r="T314" t="s">
        <v>27</v>
      </c>
      <c r="U314" t="str" cm="1">
        <f t="array" ref="U314">IFERROR(_xlfn.IFS(Table1[[#This Row],[Payment Status]]="Partial","In Transit",Table1[[#This Row],[Payment Status]]="Paid","Completed",Table1[[#This Row],[Payment Status]]="Pending","Pending"),"Invalid Input")</f>
        <v>Pending</v>
      </c>
    </row>
    <row r="315" spans="1:21" x14ac:dyDescent="0.25">
      <c r="A315" s="4" t="s">
        <v>673</v>
      </c>
      <c r="B315" s="5">
        <v>45406</v>
      </c>
      <c r="C315" t="s">
        <v>41</v>
      </c>
      <c r="D315" t="s">
        <v>3269</v>
      </c>
      <c r="E315" t="s">
        <v>66</v>
      </c>
      <c r="F315" t="s">
        <v>3213</v>
      </c>
      <c r="G315" t="s">
        <v>67</v>
      </c>
      <c r="H315" t="str">
        <f>VLOOKUP(Table1[[#This Row],[City]],Table6[#All],2,FALSE)</f>
        <v>East</v>
      </c>
      <c r="I315" t="s">
        <v>58</v>
      </c>
      <c r="J315" t="str">
        <f>_xlfn.XLOOKUP(Table1[[#This Row],[Tractor Model]],Table7[Product Model],Table7[Product Category],"Not Available",0)</f>
        <v>Powertrac</v>
      </c>
      <c r="K315" s="4">
        <v>7</v>
      </c>
      <c r="L315" s="72">
        <v>231062</v>
      </c>
      <c r="M315" s="4">
        <f>INDEX('Master Sheet'!$C$4:$C$12,MATCH(Table1[[#This Row],[Quantity]],'Master Sheet'!$B$4:$B$12,0))</f>
        <v>9</v>
      </c>
      <c r="N315" s="71">
        <f>Table1[[#This Row],[Quantity]]*Table1[[#This Row],[Unit Price]]</f>
        <v>1617434</v>
      </c>
      <c r="O315" s="73">
        <v>0.16174340000000001</v>
      </c>
      <c r="P315" s="70">
        <f>Table1[[#This Row],[Gross Amount]]*(1-(Table1[[#This Row],[Discount %]]/100))</f>
        <v>1471864.94</v>
      </c>
      <c r="Q315" s="74">
        <f>(Table1[[#This Row],[Gross Amount]]*(1-(Table1[[#This Row],[Discount %]]/100)))/10000000</f>
        <v>0.147186494</v>
      </c>
      <c r="R315" t="s">
        <v>54</v>
      </c>
      <c r="S315" t="str" cm="1">
        <f t="array" ref="S315">IFERROR(_xlfn.IFS(Table1[[#This Row],[Payment Status]]="Partial","In Transit",Table1[[#This Row],[Payment Status]]="Paid","Delivered",Table1[[#This Row],[Payment Status]]="Pending","Pending"),"Invalid Input")</f>
        <v>Delivered</v>
      </c>
      <c r="T315" t="s">
        <v>44</v>
      </c>
      <c r="U315" t="str" cm="1">
        <f t="array" ref="U315">IFERROR(_xlfn.IFS(Table1[[#This Row],[Payment Status]]="Partial","In Transit",Table1[[#This Row],[Payment Status]]="Paid","Completed",Table1[[#This Row],[Payment Status]]="Pending","Pending"),"Invalid Input")</f>
        <v>Completed</v>
      </c>
    </row>
    <row r="316" spans="1:21" x14ac:dyDescent="0.25">
      <c r="A316" s="4" t="s">
        <v>675</v>
      </c>
      <c r="B316" s="5">
        <v>45761</v>
      </c>
      <c r="C316" t="s">
        <v>41</v>
      </c>
      <c r="D316" t="s">
        <v>3270</v>
      </c>
      <c r="E316" t="s">
        <v>30</v>
      </c>
      <c r="F316" t="s">
        <v>3223</v>
      </c>
      <c r="G316" t="s">
        <v>31</v>
      </c>
      <c r="H316" t="str">
        <f>VLOOKUP(Table1[[#This Row],[City]],Table6[#All],2,FALSE)</f>
        <v>South</v>
      </c>
      <c r="I316" t="s">
        <v>3203</v>
      </c>
      <c r="J316" t="str">
        <f>_xlfn.XLOOKUP(Table1[[#This Row],[Tractor Model]],Table7[Product Model],Table7[Product Category],"Not Available",0)</f>
        <v>Kubota</v>
      </c>
      <c r="K316" s="4">
        <v>4</v>
      </c>
      <c r="L316" s="72">
        <v>617795</v>
      </c>
      <c r="M316" s="4">
        <f>INDEX('Master Sheet'!$C$4:$C$12,MATCH(Table1[[#This Row],[Quantity]],'Master Sheet'!$B$4:$B$12,0))</f>
        <v>6</v>
      </c>
      <c r="N316" s="71">
        <f>Table1[[#This Row],[Quantity]]*Table1[[#This Row],[Unit Price]]</f>
        <v>2471180</v>
      </c>
      <c r="O316" s="73">
        <v>0.247118</v>
      </c>
      <c r="P316" s="70">
        <f>Table1[[#This Row],[Gross Amount]]*(1-(Table1[[#This Row],[Discount %]]/100))</f>
        <v>2322909.1999999997</v>
      </c>
      <c r="Q316" s="74">
        <f>(Table1[[#This Row],[Gross Amount]]*(1-(Table1[[#This Row],[Discount %]]/100)))/10000000</f>
        <v>0.23229091999999998</v>
      </c>
      <c r="R316" t="s">
        <v>42</v>
      </c>
      <c r="S316" t="str" cm="1">
        <f t="array" ref="S316">IFERROR(_xlfn.IFS(Table1[[#This Row],[Payment Status]]="Partial","In Transit",Table1[[#This Row],[Payment Status]]="Paid","Delivered",Table1[[#This Row],[Payment Status]]="Pending","Pending"),"Invalid Input")</f>
        <v>Pending</v>
      </c>
      <c r="T316" t="s">
        <v>27</v>
      </c>
      <c r="U316" t="str" cm="1">
        <f t="array" ref="U316">IFERROR(_xlfn.IFS(Table1[[#This Row],[Payment Status]]="Partial","In Transit",Table1[[#This Row],[Payment Status]]="Paid","Completed",Table1[[#This Row],[Payment Status]]="Pending","Pending"),"Invalid Input")</f>
        <v>Pending</v>
      </c>
    </row>
    <row r="317" spans="1:21" x14ac:dyDescent="0.25">
      <c r="A317" s="4" t="s">
        <v>676</v>
      </c>
      <c r="B317" s="5">
        <v>45780</v>
      </c>
      <c r="C317" t="s">
        <v>33</v>
      </c>
      <c r="D317" t="s">
        <v>3268</v>
      </c>
      <c r="E317" t="s">
        <v>38</v>
      </c>
      <c r="F317" t="s">
        <v>3219</v>
      </c>
      <c r="G317" t="s">
        <v>39</v>
      </c>
      <c r="H317" t="str">
        <f>VLOOKUP(Table1[[#This Row],[City]],Table6[#All],2,FALSE)</f>
        <v>West</v>
      </c>
      <c r="I317" t="s">
        <v>3203</v>
      </c>
      <c r="J317" t="str">
        <f>_xlfn.XLOOKUP(Table1[[#This Row],[Tractor Model]],Table7[Product Model],Table7[Product Category],"Not Available",0)</f>
        <v>Kubota</v>
      </c>
      <c r="K317" s="4">
        <v>8</v>
      </c>
      <c r="L317" s="72">
        <v>790234</v>
      </c>
      <c r="M317" s="4">
        <f>INDEX('Master Sheet'!$C$4:$C$12,MATCH(Table1[[#This Row],[Quantity]],'Master Sheet'!$B$4:$B$12,0))</f>
        <v>9</v>
      </c>
      <c r="N317" s="71">
        <f>Table1[[#This Row],[Quantity]]*Table1[[#This Row],[Unit Price]]</f>
        <v>6321872</v>
      </c>
      <c r="O317" s="73">
        <v>0.63218719999999995</v>
      </c>
      <c r="P317" s="70">
        <f>Table1[[#This Row],[Gross Amount]]*(1-(Table1[[#This Row],[Discount %]]/100))</f>
        <v>5752903.5200000005</v>
      </c>
      <c r="Q317" s="74">
        <f>(Table1[[#This Row],[Gross Amount]]*(1-(Table1[[#This Row],[Discount %]]/100)))/10000000</f>
        <v>0.575290352</v>
      </c>
      <c r="R317" t="s">
        <v>42</v>
      </c>
      <c r="S317" t="str" cm="1">
        <f t="array" ref="S317">IFERROR(_xlfn.IFS(Table1[[#This Row],[Payment Status]]="Partial","In Transit",Table1[[#This Row],[Payment Status]]="Paid","Delivered",Table1[[#This Row],[Payment Status]]="Pending","Pending"),"Invalid Input")</f>
        <v>Pending</v>
      </c>
      <c r="T317" t="s">
        <v>44</v>
      </c>
      <c r="U317" t="str" cm="1">
        <f t="array" ref="U317">IFERROR(_xlfn.IFS(Table1[[#This Row],[Payment Status]]="Partial","In Transit",Table1[[#This Row],[Payment Status]]="Paid","Completed",Table1[[#This Row],[Payment Status]]="Pending","Pending"),"Invalid Input")</f>
        <v>Pending</v>
      </c>
    </row>
    <row r="318" spans="1:21" x14ac:dyDescent="0.25">
      <c r="A318" s="4" t="s">
        <v>678</v>
      </c>
      <c r="B318" s="5">
        <v>45380</v>
      </c>
      <c r="C318" t="s">
        <v>62</v>
      </c>
      <c r="D318" t="s">
        <v>3271</v>
      </c>
      <c r="E318" t="s">
        <v>38</v>
      </c>
      <c r="F318" t="s">
        <v>3210</v>
      </c>
      <c r="G318" t="s">
        <v>39</v>
      </c>
      <c r="H318" t="str">
        <f>VLOOKUP(Table1[[#This Row],[City]],Table6[#All],2,FALSE)</f>
        <v>West</v>
      </c>
      <c r="I318" t="s">
        <v>3203</v>
      </c>
      <c r="J318" t="str">
        <f>_xlfn.XLOOKUP(Table1[[#This Row],[Tractor Model]],Table7[Product Model],Table7[Product Category],"Not Available",0)</f>
        <v>Kubota</v>
      </c>
      <c r="K318" s="4">
        <v>3</v>
      </c>
      <c r="L318" s="72">
        <v>878674</v>
      </c>
      <c r="M318" s="4">
        <f>INDEX('Master Sheet'!$C$4:$C$12,MATCH(Table1[[#This Row],[Quantity]],'Master Sheet'!$B$4:$B$12,0))</f>
        <v>6</v>
      </c>
      <c r="N318" s="71">
        <f>Table1[[#This Row],[Quantity]]*Table1[[#This Row],[Unit Price]]</f>
        <v>2636022</v>
      </c>
      <c r="O318" s="73">
        <v>0.26360220000000001</v>
      </c>
      <c r="P318" s="70">
        <f>Table1[[#This Row],[Gross Amount]]*(1-(Table1[[#This Row],[Discount %]]/100))</f>
        <v>2477860.6799999997</v>
      </c>
      <c r="Q318" s="74">
        <f>(Table1[[#This Row],[Gross Amount]]*(1-(Table1[[#This Row],[Discount %]]/100)))/10000000</f>
        <v>0.24778606799999997</v>
      </c>
      <c r="R318" t="s">
        <v>54</v>
      </c>
      <c r="S318" t="str" cm="1">
        <f t="array" ref="S318">IFERROR(_xlfn.IFS(Table1[[#This Row],[Payment Status]]="Partial","In Transit",Table1[[#This Row],[Payment Status]]="Paid","Delivered",Table1[[#This Row],[Payment Status]]="Pending","Pending"),"Invalid Input")</f>
        <v>Delivered</v>
      </c>
      <c r="T318" t="s">
        <v>44</v>
      </c>
      <c r="U318" t="str" cm="1">
        <f t="array" ref="U318">IFERROR(_xlfn.IFS(Table1[[#This Row],[Payment Status]]="Partial","In Transit",Table1[[#This Row],[Payment Status]]="Paid","Completed",Table1[[#This Row],[Payment Status]]="Pending","Pending"),"Invalid Input")</f>
        <v>Completed</v>
      </c>
    </row>
    <row r="319" spans="1:21" x14ac:dyDescent="0.25">
      <c r="A319" s="4" t="s">
        <v>680</v>
      </c>
      <c r="B319" s="5">
        <v>45516</v>
      </c>
      <c r="C319" t="s">
        <v>33</v>
      </c>
      <c r="D319" t="s">
        <v>3270</v>
      </c>
      <c r="E319" t="s">
        <v>66</v>
      </c>
      <c r="F319" t="s">
        <v>3220</v>
      </c>
      <c r="G319" t="s">
        <v>67</v>
      </c>
      <c r="H319" t="str">
        <f>VLOOKUP(Table1[[#This Row],[City]],Table6[#All],2,FALSE)</f>
        <v>East</v>
      </c>
      <c r="I319" t="s">
        <v>3203</v>
      </c>
      <c r="J319" t="str">
        <f>_xlfn.XLOOKUP(Table1[[#This Row],[Tractor Model]],Table7[Product Model],Table7[Product Category],"Not Available",0)</f>
        <v>Kubota</v>
      </c>
      <c r="K319" s="4">
        <v>5</v>
      </c>
      <c r="L319" s="72">
        <v>586666</v>
      </c>
      <c r="M319" s="4">
        <f>INDEX('Master Sheet'!$C$4:$C$12,MATCH(Table1[[#This Row],[Quantity]],'Master Sheet'!$B$4:$B$12,0))</f>
        <v>7</v>
      </c>
      <c r="N319" s="71">
        <f>Table1[[#This Row],[Quantity]]*Table1[[#This Row],[Unit Price]]</f>
        <v>2933330</v>
      </c>
      <c r="O319" s="73">
        <v>0.29333300000000001</v>
      </c>
      <c r="P319" s="70">
        <f>Table1[[#This Row],[Gross Amount]]*(1-(Table1[[#This Row],[Discount %]]/100))</f>
        <v>2727996.9</v>
      </c>
      <c r="Q319" s="74">
        <f>(Table1[[#This Row],[Gross Amount]]*(1-(Table1[[#This Row],[Discount %]]/100)))/10000000</f>
        <v>0.27279968999999998</v>
      </c>
      <c r="R319" t="s">
        <v>54</v>
      </c>
      <c r="S319" t="str" cm="1">
        <f t="array" ref="S319">IFERROR(_xlfn.IFS(Table1[[#This Row],[Payment Status]]="Partial","In Transit",Table1[[#This Row],[Payment Status]]="Paid","Delivered",Table1[[#This Row],[Payment Status]]="Pending","Pending"),"Invalid Input")</f>
        <v>Delivered</v>
      </c>
      <c r="T319" t="s">
        <v>27</v>
      </c>
      <c r="U319" t="str" cm="1">
        <f t="array" ref="U319">IFERROR(_xlfn.IFS(Table1[[#This Row],[Payment Status]]="Partial","In Transit",Table1[[#This Row],[Payment Status]]="Paid","Completed",Table1[[#This Row],[Payment Status]]="Pending","Pending"),"Invalid Input")</f>
        <v>Completed</v>
      </c>
    </row>
    <row r="320" spans="1:21" x14ac:dyDescent="0.25">
      <c r="A320" s="4" t="s">
        <v>682</v>
      </c>
      <c r="B320" s="5">
        <v>45732</v>
      </c>
      <c r="C320" t="s">
        <v>33</v>
      </c>
      <c r="D320" t="s">
        <v>3268</v>
      </c>
      <c r="E320" t="s">
        <v>47</v>
      </c>
      <c r="F320" t="s">
        <v>3216</v>
      </c>
      <c r="G320" t="s">
        <v>48</v>
      </c>
      <c r="H320" t="str">
        <f>VLOOKUP(Table1[[#This Row],[City]],Table6[#All],2,FALSE)</f>
        <v>North</v>
      </c>
      <c r="I320" t="s">
        <v>53</v>
      </c>
      <c r="J320" t="str">
        <f>_xlfn.XLOOKUP(Table1[[#This Row],[Tractor Model]],Table7[Product Model],Table7[Product Category],"Not Available",0)</f>
        <v>Farmtrac</v>
      </c>
      <c r="K320" s="4">
        <v>6</v>
      </c>
      <c r="L320" s="72">
        <v>835465</v>
      </c>
      <c r="M320" s="4">
        <f>INDEX('Master Sheet'!$C$4:$C$12,MATCH(Table1[[#This Row],[Quantity]],'Master Sheet'!$B$4:$B$12,0))</f>
        <v>8</v>
      </c>
      <c r="N320" s="71">
        <f>Table1[[#This Row],[Quantity]]*Table1[[#This Row],[Unit Price]]</f>
        <v>5012790</v>
      </c>
      <c r="O320" s="73">
        <v>0.50127900000000003</v>
      </c>
      <c r="P320" s="70">
        <f>Table1[[#This Row],[Gross Amount]]*(1-(Table1[[#This Row],[Discount %]]/100))</f>
        <v>4611766.8</v>
      </c>
      <c r="Q320" s="74">
        <f>(Table1[[#This Row],[Gross Amount]]*(1-(Table1[[#This Row],[Discount %]]/100)))/10000000</f>
        <v>0.46117668000000001</v>
      </c>
      <c r="R320" t="s">
        <v>54</v>
      </c>
      <c r="S320" t="str" cm="1">
        <f t="array" ref="S320">IFERROR(_xlfn.IFS(Table1[[#This Row],[Payment Status]]="Partial","In Transit",Table1[[#This Row],[Payment Status]]="Paid","Delivered",Table1[[#This Row],[Payment Status]]="Pending","Pending"),"Invalid Input")</f>
        <v>Delivered</v>
      </c>
      <c r="T320" t="s">
        <v>44</v>
      </c>
      <c r="U320" t="str" cm="1">
        <f t="array" ref="U320">IFERROR(_xlfn.IFS(Table1[[#This Row],[Payment Status]]="Partial","In Transit",Table1[[#This Row],[Payment Status]]="Paid","Completed",Table1[[#This Row],[Payment Status]]="Pending","Pending"),"Invalid Input")</f>
        <v>Completed</v>
      </c>
    </row>
    <row r="321" spans="1:21" x14ac:dyDescent="0.25">
      <c r="A321" s="4" t="s">
        <v>684</v>
      </c>
      <c r="B321" s="5">
        <v>45399</v>
      </c>
      <c r="C321" t="s">
        <v>62</v>
      </c>
      <c r="D321" t="s">
        <v>37</v>
      </c>
      <c r="E321" t="s">
        <v>30</v>
      </c>
      <c r="F321" t="s">
        <v>3222</v>
      </c>
      <c r="G321" t="s">
        <v>31</v>
      </c>
      <c r="H321" t="str">
        <f>VLOOKUP(Table1[[#This Row],[City]],Table6[#All],2,FALSE)</f>
        <v>South</v>
      </c>
      <c r="I321" t="s">
        <v>24</v>
      </c>
      <c r="J321" t="str">
        <f>_xlfn.XLOOKUP(Table1[[#This Row],[Tractor Model]],Table7[Product Model],Table7[Product Category],"Not Available",0)</f>
        <v>Farmtrac</v>
      </c>
      <c r="K321" s="4">
        <v>6</v>
      </c>
      <c r="L321" s="72">
        <v>491860</v>
      </c>
      <c r="M321" s="4">
        <f>INDEX('Master Sheet'!$C$4:$C$12,MATCH(Table1[[#This Row],[Quantity]],'Master Sheet'!$B$4:$B$12,0))</f>
        <v>8</v>
      </c>
      <c r="N321" s="71">
        <f>Table1[[#This Row],[Quantity]]*Table1[[#This Row],[Unit Price]]</f>
        <v>2951160</v>
      </c>
      <c r="O321" s="73">
        <v>0.29511599999999999</v>
      </c>
      <c r="P321" s="70">
        <f>Table1[[#This Row],[Gross Amount]]*(1-(Table1[[#This Row],[Discount %]]/100))</f>
        <v>2715067.2</v>
      </c>
      <c r="Q321" s="74">
        <f>(Table1[[#This Row],[Gross Amount]]*(1-(Table1[[#This Row],[Discount %]]/100)))/10000000</f>
        <v>0.27150672000000003</v>
      </c>
      <c r="R321" t="s">
        <v>25</v>
      </c>
      <c r="S321" t="str" cm="1">
        <f t="array" ref="S321">IFERROR(_xlfn.IFS(Table1[[#This Row],[Payment Status]]="Partial","In Transit",Table1[[#This Row],[Payment Status]]="Paid","Delivered",Table1[[#This Row],[Payment Status]]="Pending","Pending"),"Invalid Input")</f>
        <v>In Transit</v>
      </c>
      <c r="T321" t="s">
        <v>27</v>
      </c>
      <c r="U321" t="str" cm="1">
        <f t="array" ref="U321">IFERROR(_xlfn.IFS(Table1[[#This Row],[Payment Status]]="Partial","In Transit",Table1[[#This Row],[Payment Status]]="Paid","Completed",Table1[[#This Row],[Payment Status]]="Pending","Pending"),"Invalid Input")</f>
        <v>In Transit</v>
      </c>
    </row>
    <row r="322" spans="1:21" x14ac:dyDescent="0.25">
      <c r="A322" s="4" t="s">
        <v>686</v>
      </c>
      <c r="B322" s="5">
        <v>45827</v>
      </c>
      <c r="C322" t="s">
        <v>73</v>
      </c>
      <c r="D322" t="s">
        <v>3271</v>
      </c>
      <c r="E322" t="s">
        <v>47</v>
      </c>
      <c r="F322" t="s">
        <v>3221</v>
      </c>
      <c r="G322" t="s">
        <v>48</v>
      </c>
      <c r="H322" t="str">
        <f>VLOOKUP(Table1[[#This Row],[City]],Table6[#All],2,FALSE)</f>
        <v>North</v>
      </c>
      <c r="I322" t="s">
        <v>53</v>
      </c>
      <c r="J322" t="str">
        <f>_xlfn.XLOOKUP(Table1[[#This Row],[Tractor Model]],Table7[Product Model],Table7[Product Category],"Not Available",0)</f>
        <v>Farmtrac</v>
      </c>
      <c r="K322" s="4">
        <v>3</v>
      </c>
      <c r="L322" s="72">
        <v>397411</v>
      </c>
      <c r="M322" s="4">
        <f>INDEX('Master Sheet'!$C$4:$C$12,MATCH(Table1[[#This Row],[Quantity]],'Master Sheet'!$B$4:$B$12,0))</f>
        <v>6</v>
      </c>
      <c r="N322" s="71">
        <f>Table1[[#This Row],[Quantity]]*Table1[[#This Row],[Unit Price]]</f>
        <v>1192233</v>
      </c>
      <c r="O322" s="73">
        <v>0.1192233</v>
      </c>
      <c r="P322" s="70">
        <f>Table1[[#This Row],[Gross Amount]]*(1-(Table1[[#This Row],[Discount %]]/100))</f>
        <v>1120699.02</v>
      </c>
      <c r="Q322" s="74">
        <f>(Table1[[#This Row],[Gross Amount]]*(1-(Table1[[#This Row],[Discount %]]/100)))/10000000</f>
        <v>0.112069902</v>
      </c>
      <c r="R322" t="s">
        <v>42</v>
      </c>
      <c r="S322" t="str" cm="1">
        <f t="array" ref="S322">IFERROR(_xlfn.IFS(Table1[[#This Row],[Payment Status]]="Partial","In Transit",Table1[[#This Row],[Payment Status]]="Paid","Delivered",Table1[[#This Row],[Payment Status]]="Pending","Pending"),"Invalid Input")</f>
        <v>Pending</v>
      </c>
      <c r="T322" t="s">
        <v>27</v>
      </c>
      <c r="U322" t="str" cm="1">
        <f t="array" ref="U322">IFERROR(_xlfn.IFS(Table1[[#This Row],[Payment Status]]="Partial","In Transit",Table1[[#This Row],[Payment Status]]="Paid","Completed",Table1[[#This Row],[Payment Status]]="Pending","Pending"),"Invalid Input")</f>
        <v>Pending</v>
      </c>
    </row>
    <row r="323" spans="1:21" x14ac:dyDescent="0.25">
      <c r="A323" s="4" t="s">
        <v>688</v>
      </c>
      <c r="B323" s="5">
        <v>45410</v>
      </c>
      <c r="C323" t="s">
        <v>41</v>
      </c>
      <c r="D323" t="s">
        <v>37</v>
      </c>
      <c r="E323" t="s">
        <v>30</v>
      </c>
      <c r="F323" t="s">
        <v>3222</v>
      </c>
      <c r="G323" t="s">
        <v>31</v>
      </c>
      <c r="H323" t="str">
        <f>VLOOKUP(Table1[[#This Row],[City]],Table6[#All],2,FALSE)</f>
        <v>South</v>
      </c>
      <c r="I323" t="s">
        <v>53</v>
      </c>
      <c r="J323" t="str">
        <f>_xlfn.XLOOKUP(Table1[[#This Row],[Tractor Model]],Table7[Product Model],Table7[Product Category],"Not Available",0)</f>
        <v>Farmtrac</v>
      </c>
      <c r="K323" s="4">
        <v>4</v>
      </c>
      <c r="L323" s="72">
        <v>113202</v>
      </c>
      <c r="M323" s="4">
        <f>INDEX('Master Sheet'!$C$4:$C$12,MATCH(Table1[[#This Row],[Quantity]],'Master Sheet'!$B$4:$B$12,0))</f>
        <v>6</v>
      </c>
      <c r="N323" s="71">
        <f>Table1[[#This Row],[Quantity]]*Table1[[#This Row],[Unit Price]]</f>
        <v>452808</v>
      </c>
      <c r="O323" s="73">
        <v>4.5280800000000003E-2</v>
      </c>
      <c r="P323" s="70">
        <f>Table1[[#This Row],[Gross Amount]]*(1-(Table1[[#This Row],[Discount %]]/100))</f>
        <v>425639.51999999996</v>
      </c>
      <c r="Q323" s="74">
        <f>(Table1[[#This Row],[Gross Amount]]*(1-(Table1[[#This Row],[Discount %]]/100)))/10000000</f>
        <v>4.2563951999999995E-2</v>
      </c>
      <c r="R323" t="s">
        <v>42</v>
      </c>
      <c r="S323" t="str" cm="1">
        <f t="array" ref="S323">IFERROR(_xlfn.IFS(Table1[[#This Row],[Payment Status]]="Partial","In Transit",Table1[[#This Row],[Payment Status]]="Paid","Delivered",Table1[[#This Row],[Payment Status]]="Pending","Pending"),"Invalid Input")</f>
        <v>Pending</v>
      </c>
      <c r="T323" t="s">
        <v>44</v>
      </c>
      <c r="U323" t="str" cm="1">
        <f t="array" ref="U323">IFERROR(_xlfn.IFS(Table1[[#This Row],[Payment Status]]="Partial","In Transit",Table1[[#This Row],[Payment Status]]="Paid","Completed",Table1[[#This Row],[Payment Status]]="Pending","Pending"),"Invalid Input")</f>
        <v>Pending</v>
      </c>
    </row>
    <row r="324" spans="1:21" x14ac:dyDescent="0.25">
      <c r="A324" s="4" t="s">
        <v>690</v>
      </c>
      <c r="B324" s="5">
        <v>45714</v>
      </c>
      <c r="C324" t="s">
        <v>41</v>
      </c>
      <c r="D324" t="s">
        <v>3270</v>
      </c>
      <c r="E324" t="s">
        <v>66</v>
      </c>
      <c r="F324" t="s">
        <v>3220</v>
      </c>
      <c r="G324" t="s">
        <v>67</v>
      </c>
      <c r="H324" t="str">
        <f>VLOOKUP(Table1[[#This Row],[City]],Table6[#All],2,FALSE)</f>
        <v>East</v>
      </c>
      <c r="I324" t="s">
        <v>24</v>
      </c>
      <c r="J324" t="str">
        <f>_xlfn.XLOOKUP(Table1[[#This Row],[Tractor Model]],Table7[Product Model],Table7[Product Category],"Not Available",0)</f>
        <v>Farmtrac</v>
      </c>
      <c r="K324" s="4">
        <v>2</v>
      </c>
      <c r="L324" s="72">
        <v>483377</v>
      </c>
      <c r="M324" s="4">
        <f>INDEX('Master Sheet'!$C$4:$C$12,MATCH(Table1[[#This Row],[Quantity]],'Master Sheet'!$B$4:$B$12,0))</f>
        <v>5</v>
      </c>
      <c r="N324" s="71">
        <f>Table1[[#This Row],[Quantity]]*Table1[[#This Row],[Unit Price]]</f>
        <v>966754</v>
      </c>
      <c r="O324" s="73">
        <v>9.6675399999999995E-2</v>
      </c>
      <c r="P324" s="70">
        <f>Table1[[#This Row],[Gross Amount]]*(1-(Table1[[#This Row],[Discount %]]/100))</f>
        <v>918416.29999999993</v>
      </c>
      <c r="Q324" s="74">
        <f>(Table1[[#This Row],[Gross Amount]]*(1-(Table1[[#This Row],[Discount %]]/100)))/10000000</f>
        <v>9.1841629999999994E-2</v>
      </c>
      <c r="R324" t="s">
        <v>54</v>
      </c>
      <c r="S324" t="str" cm="1">
        <f t="array" ref="S324">IFERROR(_xlfn.IFS(Table1[[#This Row],[Payment Status]]="Partial","In Transit",Table1[[#This Row],[Payment Status]]="Paid","Delivered",Table1[[#This Row],[Payment Status]]="Pending","Pending"),"Invalid Input")</f>
        <v>Delivered</v>
      </c>
      <c r="T324" t="s">
        <v>27</v>
      </c>
      <c r="U324" t="str" cm="1">
        <f t="array" ref="U324">IFERROR(_xlfn.IFS(Table1[[#This Row],[Payment Status]]="Partial","In Transit",Table1[[#This Row],[Payment Status]]="Paid","Completed",Table1[[#This Row],[Payment Status]]="Pending","Pending"),"Invalid Input")</f>
        <v>Completed</v>
      </c>
    </row>
    <row r="325" spans="1:21" x14ac:dyDescent="0.25">
      <c r="A325" s="4" t="s">
        <v>692</v>
      </c>
      <c r="B325" s="5">
        <v>45576</v>
      </c>
      <c r="C325" t="s">
        <v>62</v>
      </c>
      <c r="D325" t="s">
        <v>3269</v>
      </c>
      <c r="E325" t="s">
        <v>47</v>
      </c>
      <c r="F325" t="s">
        <v>3209</v>
      </c>
      <c r="G325" t="s">
        <v>48</v>
      </c>
      <c r="H325" t="str">
        <f>VLOOKUP(Table1[[#This Row],[City]],Table6[#All],2,FALSE)</f>
        <v>North</v>
      </c>
      <c r="I325" t="s">
        <v>24</v>
      </c>
      <c r="J325" t="str">
        <f>_xlfn.XLOOKUP(Table1[[#This Row],[Tractor Model]],Table7[Product Model],Table7[Product Category],"Not Available",0)</f>
        <v>Farmtrac</v>
      </c>
      <c r="K325" s="4">
        <v>8</v>
      </c>
      <c r="L325" s="72">
        <v>873525</v>
      </c>
      <c r="M325" s="4">
        <f>INDEX('Master Sheet'!$C$4:$C$12,MATCH(Table1[[#This Row],[Quantity]],'Master Sheet'!$B$4:$B$12,0))</f>
        <v>9</v>
      </c>
      <c r="N325" s="71">
        <f>Table1[[#This Row],[Quantity]]*Table1[[#This Row],[Unit Price]]</f>
        <v>6988200</v>
      </c>
      <c r="O325" s="73">
        <v>0.69882</v>
      </c>
      <c r="P325" s="70">
        <f>Table1[[#This Row],[Gross Amount]]*(1-(Table1[[#This Row],[Discount %]]/100))</f>
        <v>6359262</v>
      </c>
      <c r="Q325" s="74">
        <f>(Table1[[#This Row],[Gross Amount]]*(1-(Table1[[#This Row],[Discount %]]/100)))/10000000</f>
        <v>0.6359262</v>
      </c>
      <c r="R325" t="s">
        <v>25</v>
      </c>
      <c r="S325" t="str" cm="1">
        <f t="array" ref="S325">IFERROR(_xlfn.IFS(Table1[[#This Row],[Payment Status]]="Partial","In Transit",Table1[[#This Row],[Payment Status]]="Paid","Delivered",Table1[[#This Row],[Payment Status]]="Pending","Pending"),"Invalid Input")</f>
        <v>In Transit</v>
      </c>
      <c r="T325" t="s">
        <v>44</v>
      </c>
      <c r="U325" t="str" cm="1">
        <f t="array" ref="U325">IFERROR(_xlfn.IFS(Table1[[#This Row],[Payment Status]]="Partial","In Transit",Table1[[#This Row],[Payment Status]]="Paid","Completed",Table1[[#This Row],[Payment Status]]="Pending","Pending"),"Invalid Input")</f>
        <v>In Transit</v>
      </c>
    </row>
    <row r="326" spans="1:21" x14ac:dyDescent="0.25">
      <c r="A326" s="4" t="s">
        <v>694</v>
      </c>
      <c r="B326" s="5">
        <v>45522</v>
      </c>
      <c r="C326" t="s">
        <v>52</v>
      </c>
      <c r="D326" t="s">
        <v>3271</v>
      </c>
      <c r="E326" t="s">
        <v>38</v>
      </c>
      <c r="F326" t="s">
        <v>3210</v>
      </c>
      <c r="G326" t="s">
        <v>39</v>
      </c>
      <c r="H326" t="str">
        <f>VLOOKUP(Table1[[#This Row],[City]],Table6[#All],2,FALSE)</f>
        <v>West</v>
      </c>
      <c r="I326" t="s">
        <v>58</v>
      </c>
      <c r="J326" t="str">
        <f>_xlfn.XLOOKUP(Table1[[#This Row],[Tractor Model]],Table7[Product Model],Table7[Product Category],"Not Available",0)</f>
        <v>Powertrac</v>
      </c>
      <c r="K326" s="4">
        <v>1</v>
      </c>
      <c r="L326" s="72">
        <v>861669</v>
      </c>
      <c r="M326" s="4">
        <f>INDEX('Master Sheet'!$C$4:$C$12,MATCH(Table1[[#This Row],[Quantity]],'Master Sheet'!$B$4:$B$12,0))</f>
        <v>3</v>
      </c>
      <c r="N326" s="71">
        <f>Table1[[#This Row],[Quantity]]*Table1[[#This Row],[Unit Price]]</f>
        <v>861669</v>
      </c>
      <c r="O326" s="73">
        <v>8.6166900000000005E-2</v>
      </c>
      <c r="P326" s="70">
        <f>Table1[[#This Row],[Gross Amount]]*(1-(Table1[[#This Row],[Discount %]]/100))</f>
        <v>835818.92999999993</v>
      </c>
      <c r="Q326" s="74">
        <f>(Table1[[#This Row],[Gross Amount]]*(1-(Table1[[#This Row],[Discount %]]/100)))/10000000</f>
        <v>8.358189299999999E-2</v>
      </c>
      <c r="R326" t="s">
        <v>25</v>
      </c>
      <c r="S326" t="str" cm="1">
        <f t="array" ref="S326">IFERROR(_xlfn.IFS(Table1[[#This Row],[Payment Status]]="Partial","In Transit",Table1[[#This Row],[Payment Status]]="Paid","Delivered",Table1[[#This Row],[Payment Status]]="Pending","Pending"),"Invalid Input")</f>
        <v>In Transit</v>
      </c>
      <c r="T326" t="s">
        <v>27</v>
      </c>
      <c r="U326" t="str" cm="1">
        <f t="array" ref="U326">IFERROR(_xlfn.IFS(Table1[[#This Row],[Payment Status]]="Partial","In Transit",Table1[[#This Row],[Payment Status]]="Paid","Completed",Table1[[#This Row],[Payment Status]]="Pending","Pending"),"Invalid Input")</f>
        <v>In Transit</v>
      </c>
    </row>
    <row r="327" spans="1:21" x14ac:dyDescent="0.25">
      <c r="A327" s="4" t="s">
        <v>696</v>
      </c>
      <c r="B327" s="5">
        <v>45652</v>
      </c>
      <c r="C327" t="s">
        <v>52</v>
      </c>
      <c r="D327" t="s">
        <v>37</v>
      </c>
      <c r="E327" t="s">
        <v>119</v>
      </c>
      <c r="F327" t="s">
        <v>3224</v>
      </c>
      <c r="G327" t="s">
        <v>21</v>
      </c>
      <c r="H327" t="str">
        <f>VLOOKUP(Table1[[#This Row],[City]],Table6[#All],2,FALSE)</f>
        <v>North</v>
      </c>
      <c r="I327" t="s">
        <v>24</v>
      </c>
      <c r="J327" t="str">
        <f>_xlfn.XLOOKUP(Table1[[#This Row],[Tractor Model]],Table7[Product Model],Table7[Product Category],"Not Available",0)</f>
        <v>Farmtrac</v>
      </c>
      <c r="K327" s="4">
        <v>5</v>
      </c>
      <c r="L327" s="72">
        <v>546362</v>
      </c>
      <c r="M327" s="4">
        <f>INDEX('Master Sheet'!$C$4:$C$12,MATCH(Table1[[#This Row],[Quantity]],'Master Sheet'!$B$4:$B$12,0))</f>
        <v>7</v>
      </c>
      <c r="N327" s="71">
        <f>Table1[[#This Row],[Quantity]]*Table1[[#This Row],[Unit Price]]</f>
        <v>2731810</v>
      </c>
      <c r="O327" s="73">
        <v>0.27318100000000001</v>
      </c>
      <c r="P327" s="70">
        <f>Table1[[#This Row],[Gross Amount]]*(1-(Table1[[#This Row],[Discount %]]/100))</f>
        <v>2540583.2999999998</v>
      </c>
      <c r="Q327" s="74">
        <f>(Table1[[#This Row],[Gross Amount]]*(1-(Table1[[#This Row],[Discount %]]/100)))/10000000</f>
        <v>0.25405833</v>
      </c>
      <c r="R327" t="s">
        <v>42</v>
      </c>
      <c r="S327" t="str" cm="1">
        <f t="array" ref="S327">IFERROR(_xlfn.IFS(Table1[[#This Row],[Payment Status]]="Partial","In Transit",Table1[[#This Row],[Payment Status]]="Paid","Delivered",Table1[[#This Row],[Payment Status]]="Pending","Pending"),"Invalid Input")</f>
        <v>Pending</v>
      </c>
      <c r="T327" t="s">
        <v>27</v>
      </c>
      <c r="U327" t="str" cm="1">
        <f t="array" ref="U327">IFERROR(_xlfn.IFS(Table1[[#This Row],[Payment Status]]="Partial","In Transit",Table1[[#This Row],[Payment Status]]="Paid","Completed",Table1[[#This Row],[Payment Status]]="Pending","Pending"),"Invalid Input")</f>
        <v>Pending</v>
      </c>
    </row>
    <row r="328" spans="1:21" x14ac:dyDescent="0.25">
      <c r="A328" s="4" t="s">
        <v>698</v>
      </c>
      <c r="B328" s="5">
        <v>45645</v>
      </c>
      <c r="C328" t="s">
        <v>62</v>
      </c>
      <c r="D328" t="s">
        <v>37</v>
      </c>
      <c r="E328" t="s">
        <v>38</v>
      </c>
      <c r="F328" t="s">
        <v>3214</v>
      </c>
      <c r="G328" t="s">
        <v>39</v>
      </c>
      <c r="H328" t="str">
        <f>VLOOKUP(Table1[[#This Row],[City]],Table6[#All],2,FALSE)</f>
        <v>West</v>
      </c>
      <c r="I328" t="s">
        <v>53</v>
      </c>
      <c r="J328" t="str">
        <f>_xlfn.XLOOKUP(Table1[[#This Row],[Tractor Model]],Table7[Product Model],Table7[Product Category],"Not Available",0)</f>
        <v>Farmtrac</v>
      </c>
      <c r="K328" s="4">
        <v>8</v>
      </c>
      <c r="L328" s="72">
        <v>865659</v>
      </c>
      <c r="M328" s="4">
        <f>INDEX('Master Sheet'!$C$4:$C$12,MATCH(Table1[[#This Row],[Quantity]],'Master Sheet'!$B$4:$B$12,0))</f>
        <v>9</v>
      </c>
      <c r="N328" s="71">
        <f>Table1[[#This Row],[Quantity]]*Table1[[#This Row],[Unit Price]]</f>
        <v>6925272</v>
      </c>
      <c r="O328" s="73">
        <v>0.69252720000000001</v>
      </c>
      <c r="P328" s="70">
        <f>Table1[[#This Row],[Gross Amount]]*(1-(Table1[[#This Row],[Discount %]]/100))</f>
        <v>6301997.5200000005</v>
      </c>
      <c r="Q328" s="74">
        <f>(Table1[[#This Row],[Gross Amount]]*(1-(Table1[[#This Row],[Discount %]]/100)))/10000000</f>
        <v>0.630199752</v>
      </c>
      <c r="R328" t="s">
        <v>42</v>
      </c>
      <c r="S328" t="str" cm="1">
        <f t="array" ref="S328">IFERROR(_xlfn.IFS(Table1[[#This Row],[Payment Status]]="Partial","In Transit",Table1[[#This Row],[Payment Status]]="Paid","Delivered",Table1[[#This Row],[Payment Status]]="Pending","Pending"),"Invalid Input")</f>
        <v>Pending</v>
      </c>
      <c r="T328" t="s">
        <v>27</v>
      </c>
      <c r="U328" t="str" cm="1">
        <f t="array" ref="U328">IFERROR(_xlfn.IFS(Table1[[#This Row],[Payment Status]]="Partial","In Transit",Table1[[#This Row],[Payment Status]]="Paid","Completed",Table1[[#This Row],[Payment Status]]="Pending","Pending"),"Invalid Input")</f>
        <v>Pending</v>
      </c>
    </row>
    <row r="329" spans="1:21" x14ac:dyDescent="0.25">
      <c r="A329" s="4" t="s">
        <v>700</v>
      </c>
      <c r="B329" s="5">
        <v>45618</v>
      </c>
      <c r="C329" t="s">
        <v>33</v>
      </c>
      <c r="D329" t="s">
        <v>37</v>
      </c>
      <c r="E329" t="s">
        <v>47</v>
      </c>
      <c r="F329" t="s">
        <v>3215</v>
      </c>
      <c r="G329" t="s">
        <v>48</v>
      </c>
      <c r="H329" t="str">
        <f>VLOOKUP(Table1[[#This Row],[City]],Table6[#All],2,FALSE)</f>
        <v>North</v>
      </c>
      <c r="I329" t="s">
        <v>3204</v>
      </c>
      <c r="J329" t="str">
        <f>_xlfn.XLOOKUP(Table1[[#This Row],[Tractor Model]],Table7[Product Model],Table7[Product Category],"Not Available",0)</f>
        <v>Kubota</v>
      </c>
      <c r="K329" s="4">
        <v>5</v>
      </c>
      <c r="L329" s="72">
        <v>573127</v>
      </c>
      <c r="M329" s="4">
        <f>INDEX('Master Sheet'!$C$4:$C$12,MATCH(Table1[[#This Row],[Quantity]],'Master Sheet'!$B$4:$B$12,0))</f>
        <v>7</v>
      </c>
      <c r="N329" s="71">
        <f>Table1[[#This Row],[Quantity]]*Table1[[#This Row],[Unit Price]]</f>
        <v>2865635</v>
      </c>
      <c r="O329" s="73">
        <v>0.28656350000000003</v>
      </c>
      <c r="P329" s="70">
        <f>Table1[[#This Row],[Gross Amount]]*(1-(Table1[[#This Row],[Discount %]]/100))</f>
        <v>2665040.5499999998</v>
      </c>
      <c r="Q329" s="74">
        <f>(Table1[[#This Row],[Gross Amount]]*(1-(Table1[[#This Row],[Discount %]]/100)))/10000000</f>
        <v>0.26650405499999996</v>
      </c>
      <c r="R329" t="s">
        <v>54</v>
      </c>
      <c r="S329" t="str" cm="1">
        <f t="array" ref="S329">IFERROR(_xlfn.IFS(Table1[[#This Row],[Payment Status]]="Partial","In Transit",Table1[[#This Row],[Payment Status]]="Paid","Delivered",Table1[[#This Row],[Payment Status]]="Pending","Pending"),"Invalid Input")</f>
        <v>Delivered</v>
      </c>
      <c r="T329" t="s">
        <v>27</v>
      </c>
      <c r="U329" t="str" cm="1">
        <f t="array" ref="U329">IFERROR(_xlfn.IFS(Table1[[#This Row],[Payment Status]]="Partial","In Transit",Table1[[#This Row],[Payment Status]]="Paid","Completed",Table1[[#This Row],[Payment Status]]="Pending","Pending"),"Invalid Input")</f>
        <v>Completed</v>
      </c>
    </row>
    <row r="330" spans="1:21" x14ac:dyDescent="0.25">
      <c r="A330" s="4" t="s">
        <v>701</v>
      </c>
      <c r="B330" s="5">
        <v>45434</v>
      </c>
      <c r="C330" t="s">
        <v>33</v>
      </c>
      <c r="D330" t="s">
        <v>3271</v>
      </c>
      <c r="E330" t="s">
        <v>66</v>
      </c>
      <c r="F330" t="s">
        <v>3207</v>
      </c>
      <c r="G330" t="s">
        <v>67</v>
      </c>
      <c r="H330" t="str">
        <f>VLOOKUP(Table1[[#This Row],[City]],Table6[#All],2,FALSE)</f>
        <v>East</v>
      </c>
      <c r="I330" t="s">
        <v>24</v>
      </c>
      <c r="J330" t="str">
        <f>_xlfn.XLOOKUP(Table1[[#This Row],[Tractor Model]],Table7[Product Model],Table7[Product Category],"Not Available",0)</f>
        <v>Farmtrac</v>
      </c>
      <c r="K330" s="4">
        <v>4</v>
      </c>
      <c r="L330" s="72">
        <v>195445</v>
      </c>
      <c r="M330" s="4">
        <f>INDEX('Master Sheet'!$C$4:$C$12,MATCH(Table1[[#This Row],[Quantity]],'Master Sheet'!$B$4:$B$12,0))</f>
        <v>6</v>
      </c>
      <c r="N330" s="71">
        <f>Table1[[#This Row],[Quantity]]*Table1[[#This Row],[Unit Price]]</f>
        <v>781780</v>
      </c>
      <c r="O330" s="73">
        <v>7.8177999999999997E-2</v>
      </c>
      <c r="P330" s="70">
        <f>Table1[[#This Row],[Gross Amount]]*(1-(Table1[[#This Row],[Discount %]]/100))</f>
        <v>734873.2</v>
      </c>
      <c r="Q330" s="74">
        <f>(Table1[[#This Row],[Gross Amount]]*(1-(Table1[[#This Row],[Discount %]]/100)))/10000000</f>
        <v>7.3487319999999995E-2</v>
      </c>
      <c r="R330" t="s">
        <v>54</v>
      </c>
      <c r="S330" t="str" cm="1">
        <f t="array" ref="S330">IFERROR(_xlfn.IFS(Table1[[#This Row],[Payment Status]]="Partial","In Transit",Table1[[#This Row],[Payment Status]]="Paid","Delivered",Table1[[#This Row],[Payment Status]]="Pending","Pending"),"Invalid Input")</f>
        <v>Delivered</v>
      </c>
      <c r="T330" t="s">
        <v>44</v>
      </c>
      <c r="U330" t="str" cm="1">
        <f t="array" ref="U330">IFERROR(_xlfn.IFS(Table1[[#This Row],[Payment Status]]="Partial","In Transit",Table1[[#This Row],[Payment Status]]="Paid","Completed",Table1[[#This Row],[Payment Status]]="Pending","Pending"),"Invalid Input")</f>
        <v>Completed</v>
      </c>
    </row>
    <row r="331" spans="1:21" x14ac:dyDescent="0.25">
      <c r="A331" s="4" t="s">
        <v>703</v>
      </c>
      <c r="B331" s="5">
        <v>45345</v>
      </c>
      <c r="C331" t="s">
        <v>52</v>
      </c>
      <c r="D331" t="s">
        <v>3271</v>
      </c>
      <c r="E331" t="s">
        <v>66</v>
      </c>
      <c r="F331" t="s">
        <v>3207</v>
      </c>
      <c r="G331" t="s">
        <v>67</v>
      </c>
      <c r="H331" t="str">
        <f>VLOOKUP(Table1[[#This Row],[City]],Table6[#All],2,FALSE)</f>
        <v>East</v>
      </c>
      <c r="I331" t="s">
        <v>3203</v>
      </c>
      <c r="J331" t="str">
        <f>_xlfn.XLOOKUP(Table1[[#This Row],[Tractor Model]],Table7[Product Model],Table7[Product Category],"Not Available",0)</f>
        <v>Kubota</v>
      </c>
      <c r="K331" s="4">
        <v>3</v>
      </c>
      <c r="L331" s="72">
        <v>818237</v>
      </c>
      <c r="M331" s="4">
        <f>INDEX('Master Sheet'!$C$4:$C$12,MATCH(Table1[[#This Row],[Quantity]],'Master Sheet'!$B$4:$B$12,0))</f>
        <v>6</v>
      </c>
      <c r="N331" s="71">
        <f>Table1[[#This Row],[Quantity]]*Table1[[#This Row],[Unit Price]]</f>
        <v>2454711</v>
      </c>
      <c r="O331" s="73">
        <v>0.2454711</v>
      </c>
      <c r="P331" s="70">
        <f>Table1[[#This Row],[Gross Amount]]*(1-(Table1[[#This Row],[Discount %]]/100))</f>
        <v>2307428.34</v>
      </c>
      <c r="Q331" s="74">
        <f>(Table1[[#This Row],[Gross Amount]]*(1-(Table1[[#This Row],[Discount %]]/100)))/10000000</f>
        <v>0.23074283399999998</v>
      </c>
      <c r="R331" t="s">
        <v>42</v>
      </c>
      <c r="S331" t="str" cm="1">
        <f t="array" ref="S331">IFERROR(_xlfn.IFS(Table1[[#This Row],[Payment Status]]="Partial","In Transit",Table1[[#This Row],[Payment Status]]="Paid","Delivered",Table1[[#This Row],[Payment Status]]="Pending","Pending"),"Invalid Input")</f>
        <v>Pending</v>
      </c>
      <c r="T331" t="s">
        <v>44</v>
      </c>
      <c r="U331" t="str" cm="1">
        <f t="array" ref="U331">IFERROR(_xlfn.IFS(Table1[[#This Row],[Payment Status]]="Partial","In Transit",Table1[[#This Row],[Payment Status]]="Paid","Completed",Table1[[#This Row],[Payment Status]]="Pending","Pending"),"Invalid Input")</f>
        <v>Pending</v>
      </c>
    </row>
    <row r="332" spans="1:21" x14ac:dyDescent="0.25">
      <c r="A332" s="4" t="s">
        <v>705</v>
      </c>
      <c r="B332" s="5">
        <v>45673</v>
      </c>
      <c r="C332" t="s">
        <v>41</v>
      </c>
      <c r="D332" t="s">
        <v>37</v>
      </c>
      <c r="E332" t="s">
        <v>30</v>
      </c>
      <c r="F332" t="s">
        <v>3222</v>
      </c>
      <c r="G332" t="s">
        <v>31</v>
      </c>
      <c r="H332" t="str">
        <f>VLOOKUP(Table1[[#This Row],[City]],Table6[#All],2,FALSE)</f>
        <v>South</v>
      </c>
      <c r="I332" t="s">
        <v>24</v>
      </c>
      <c r="J332" t="str">
        <f>_xlfn.XLOOKUP(Table1[[#This Row],[Tractor Model]],Table7[Product Model],Table7[Product Category],"Not Available",0)</f>
        <v>Farmtrac</v>
      </c>
      <c r="K332" s="4">
        <v>3</v>
      </c>
      <c r="L332" s="72">
        <v>635701</v>
      </c>
      <c r="M332" s="4">
        <f>INDEX('Master Sheet'!$C$4:$C$12,MATCH(Table1[[#This Row],[Quantity]],'Master Sheet'!$B$4:$B$12,0))</f>
        <v>6</v>
      </c>
      <c r="N332" s="71">
        <f>Table1[[#This Row],[Quantity]]*Table1[[#This Row],[Unit Price]]</f>
        <v>1907103</v>
      </c>
      <c r="O332" s="73">
        <v>0.1907103</v>
      </c>
      <c r="P332" s="70">
        <f>Table1[[#This Row],[Gross Amount]]*(1-(Table1[[#This Row],[Discount %]]/100))</f>
        <v>1792676.8199999998</v>
      </c>
      <c r="Q332" s="74">
        <f>(Table1[[#This Row],[Gross Amount]]*(1-(Table1[[#This Row],[Discount %]]/100)))/10000000</f>
        <v>0.17926768199999998</v>
      </c>
      <c r="R332" t="s">
        <v>42</v>
      </c>
      <c r="S332" t="str" cm="1">
        <f t="array" ref="S332">IFERROR(_xlfn.IFS(Table1[[#This Row],[Payment Status]]="Partial","In Transit",Table1[[#This Row],[Payment Status]]="Paid","Delivered",Table1[[#This Row],[Payment Status]]="Pending","Pending"),"Invalid Input")</f>
        <v>Pending</v>
      </c>
      <c r="T332" t="s">
        <v>27</v>
      </c>
      <c r="U332" t="str" cm="1">
        <f t="array" ref="U332">IFERROR(_xlfn.IFS(Table1[[#This Row],[Payment Status]]="Partial","In Transit",Table1[[#This Row],[Payment Status]]="Paid","Completed",Table1[[#This Row],[Payment Status]]="Pending","Pending"),"Invalid Input")</f>
        <v>Pending</v>
      </c>
    </row>
    <row r="333" spans="1:21" x14ac:dyDescent="0.25">
      <c r="A333" s="4" t="s">
        <v>707</v>
      </c>
      <c r="B333" s="5">
        <v>45463</v>
      </c>
      <c r="C333" t="s">
        <v>33</v>
      </c>
      <c r="D333" t="s">
        <v>3271</v>
      </c>
      <c r="E333" t="s">
        <v>30</v>
      </c>
      <c r="F333" t="s">
        <v>3217</v>
      </c>
      <c r="G333" t="s">
        <v>31</v>
      </c>
      <c r="H333" t="str">
        <f>VLOOKUP(Table1[[#This Row],[City]],Table6[#All],2,FALSE)</f>
        <v>South</v>
      </c>
      <c r="I333" t="s">
        <v>3203</v>
      </c>
      <c r="J333" t="str">
        <f>_xlfn.XLOOKUP(Table1[[#This Row],[Tractor Model]],Table7[Product Model],Table7[Product Category],"Not Available",0)</f>
        <v>Kubota</v>
      </c>
      <c r="K333" s="4">
        <v>1</v>
      </c>
      <c r="L333" s="72">
        <v>470420</v>
      </c>
      <c r="M333" s="4">
        <f>INDEX('Master Sheet'!$C$4:$C$12,MATCH(Table1[[#This Row],[Quantity]],'Master Sheet'!$B$4:$B$12,0))</f>
        <v>3</v>
      </c>
      <c r="N333" s="71">
        <f>Table1[[#This Row],[Quantity]]*Table1[[#This Row],[Unit Price]]</f>
        <v>470420</v>
      </c>
      <c r="O333" s="73">
        <v>4.7042E-2</v>
      </c>
      <c r="P333" s="70">
        <f>Table1[[#This Row],[Gross Amount]]*(1-(Table1[[#This Row],[Discount %]]/100))</f>
        <v>456307.39999999997</v>
      </c>
      <c r="Q333" s="74">
        <f>(Table1[[#This Row],[Gross Amount]]*(1-(Table1[[#This Row],[Discount %]]/100)))/10000000</f>
        <v>4.5630739999999996E-2</v>
      </c>
      <c r="R333" t="s">
        <v>54</v>
      </c>
      <c r="S333" t="str" cm="1">
        <f t="array" ref="S333">IFERROR(_xlfn.IFS(Table1[[#This Row],[Payment Status]]="Partial","In Transit",Table1[[#This Row],[Payment Status]]="Paid","Delivered",Table1[[#This Row],[Payment Status]]="Pending","Pending"),"Invalid Input")</f>
        <v>Delivered</v>
      </c>
      <c r="T333" t="s">
        <v>27</v>
      </c>
      <c r="U333" t="str" cm="1">
        <f t="array" ref="U333">IFERROR(_xlfn.IFS(Table1[[#This Row],[Payment Status]]="Partial","In Transit",Table1[[#This Row],[Payment Status]]="Paid","Completed",Table1[[#This Row],[Payment Status]]="Pending","Pending"),"Invalid Input")</f>
        <v>Completed</v>
      </c>
    </row>
    <row r="334" spans="1:21" x14ac:dyDescent="0.25">
      <c r="A334" s="4" t="s">
        <v>709</v>
      </c>
      <c r="B334" s="5">
        <v>45372</v>
      </c>
      <c r="C334" t="s">
        <v>73</v>
      </c>
      <c r="D334" t="s">
        <v>3269</v>
      </c>
      <c r="E334" t="s">
        <v>66</v>
      </c>
      <c r="F334" t="s">
        <v>3213</v>
      </c>
      <c r="G334" t="s">
        <v>67</v>
      </c>
      <c r="H334" t="str">
        <f>VLOOKUP(Table1[[#This Row],[City]],Table6[#All],2,FALSE)</f>
        <v>East</v>
      </c>
      <c r="I334" t="s">
        <v>3203</v>
      </c>
      <c r="J334" t="str">
        <f>_xlfn.XLOOKUP(Table1[[#This Row],[Tractor Model]],Table7[Product Model],Table7[Product Category],"Not Available",0)</f>
        <v>Kubota</v>
      </c>
      <c r="K334" s="4">
        <v>2</v>
      </c>
      <c r="L334" s="72">
        <v>453544</v>
      </c>
      <c r="M334" s="4">
        <f>INDEX('Master Sheet'!$C$4:$C$12,MATCH(Table1[[#This Row],[Quantity]],'Master Sheet'!$B$4:$B$12,0))</f>
        <v>5</v>
      </c>
      <c r="N334" s="71">
        <f>Table1[[#This Row],[Quantity]]*Table1[[#This Row],[Unit Price]]</f>
        <v>907088</v>
      </c>
      <c r="O334" s="73">
        <v>9.0708800000000006E-2</v>
      </c>
      <c r="P334" s="70">
        <f>Table1[[#This Row],[Gross Amount]]*(1-(Table1[[#This Row],[Discount %]]/100))</f>
        <v>861733.6</v>
      </c>
      <c r="Q334" s="74">
        <f>(Table1[[#This Row],[Gross Amount]]*(1-(Table1[[#This Row],[Discount %]]/100)))/10000000</f>
        <v>8.6173360000000004E-2</v>
      </c>
      <c r="R334" t="s">
        <v>54</v>
      </c>
      <c r="S334" t="str" cm="1">
        <f t="array" ref="S334">IFERROR(_xlfn.IFS(Table1[[#This Row],[Payment Status]]="Partial","In Transit",Table1[[#This Row],[Payment Status]]="Paid","Delivered",Table1[[#This Row],[Payment Status]]="Pending","Pending"),"Invalid Input")</f>
        <v>Delivered</v>
      </c>
      <c r="T334" t="s">
        <v>44</v>
      </c>
      <c r="U334" t="str" cm="1">
        <f t="array" ref="U334">IFERROR(_xlfn.IFS(Table1[[#This Row],[Payment Status]]="Partial","In Transit",Table1[[#This Row],[Payment Status]]="Paid","Completed",Table1[[#This Row],[Payment Status]]="Pending","Pending"),"Invalid Input")</f>
        <v>Completed</v>
      </c>
    </row>
    <row r="335" spans="1:21" x14ac:dyDescent="0.25">
      <c r="A335" s="4" t="s">
        <v>711</v>
      </c>
      <c r="B335" s="5">
        <v>45380</v>
      </c>
      <c r="C335" t="s">
        <v>73</v>
      </c>
      <c r="D335" t="s">
        <v>3270</v>
      </c>
      <c r="E335" t="s">
        <v>30</v>
      </c>
      <c r="F335" t="s">
        <v>3223</v>
      </c>
      <c r="G335" t="s">
        <v>31</v>
      </c>
      <c r="H335" t="str">
        <f>VLOOKUP(Table1[[#This Row],[City]],Table6[#All],2,FALSE)</f>
        <v>South</v>
      </c>
      <c r="I335" t="s">
        <v>58</v>
      </c>
      <c r="J335" t="str">
        <f>_xlfn.XLOOKUP(Table1[[#This Row],[Tractor Model]],Table7[Product Model],Table7[Product Category],"Not Available",0)</f>
        <v>Powertrac</v>
      </c>
      <c r="K335" s="4">
        <v>1</v>
      </c>
      <c r="L335" s="72">
        <v>418575</v>
      </c>
      <c r="M335" s="4">
        <f>INDEX('Master Sheet'!$C$4:$C$12,MATCH(Table1[[#This Row],[Quantity]],'Master Sheet'!$B$4:$B$12,0))</f>
        <v>3</v>
      </c>
      <c r="N335" s="71">
        <f>Table1[[#This Row],[Quantity]]*Table1[[#This Row],[Unit Price]]</f>
        <v>418575</v>
      </c>
      <c r="O335" s="73">
        <v>4.1857499999999999E-2</v>
      </c>
      <c r="P335" s="70">
        <f>Table1[[#This Row],[Gross Amount]]*(1-(Table1[[#This Row],[Discount %]]/100))</f>
        <v>406017.75</v>
      </c>
      <c r="Q335" s="74">
        <f>(Table1[[#This Row],[Gross Amount]]*(1-(Table1[[#This Row],[Discount %]]/100)))/10000000</f>
        <v>4.0601775E-2</v>
      </c>
      <c r="R335" t="s">
        <v>42</v>
      </c>
      <c r="S335" t="str" cm="1">
        <f t="array" ref="S335">IFERROR(_xlfn.IFS(Table1[[#This Row],[Payment Status]]="Partial","In Transit",Table1[[#This Row],[Payment Status]]="Paid","Delivered",Table1[[#This Row],[Payment Status]]="Pending","Pending"),"Invalid Input")</f>
        <v>Pending</v>
      </c>
      <c r="T335" t="s">
        <v>27</v>
      </c>
      <c r="U335" t="str" cm="1">
        <f t="array" ref="U335">IFERROR(_xlfn.IFS(Table1[[#This Row],[Payment Status]]="Partial","In Transit",Table1[[#This Row],[Payment Status]]="Paid","Completed",Table1[[#This Row],[Payment Status]]="Pending","Pending"),"Invalid Input")</f>
        <v>Pending</v>
      </c>
    </row>
    <row r="336" spans="1:21" x14ac:dyDescent="0.25">
      <c r="A336" s="4" t="s">
        <v>713</v>
      </c>
      <c r="B336" s="5">
        <v>45701</v>
      </c>
      <c r="C336" t="s">
        <v>62</v>
      </c>
      <c r="D336" t="s">
        <v>3268</v>
      </c>
      <c r="E336" t="s">
        <v>30</v>
      </c>
      <c r="F336" t="s">
        <v>3208</v>
      </c>
      <c r="G336" t="s">
        <v>31</v>
      </c>
      <c r="H336" t="str">
        <f>VLOOKUP(Table1[[#This Row],[City]],Table6[#All],2,FALSE)</f>
        <v>South</v>
      </c>
      <c r="I336" t="s">
        <v>53</v>
      </c>
      <c r="J336" t="str">
        <f>_xlfn.XLOOKUP(Table1[[#This Row],[Tractor Model]],Table7[Product Model],Table7[Product Category],"Not Available",0)</f>
        <v>Farmtrac</v>
      </c>
      <c r="K336" s="4">
        <v>5</v>
      </c>
      <c r="L336" s="72">
        <v>454484</v>
      </c>
      <c r="M336" s="4">
        <f>INDEX('Master Sheet'!$C$4:$C$12,MATCH(Table1[[#This Row],[Quantity]],'Master Sheet'!$B$4:$B$12,0))</f>
        <v>7</v>
      </c>
      <c r="N336" s="71">
        <f>Table1[[#This Row],[Quantity]]*Table1[[#This Row],[Unit Price]]</f>
        <v>2272420</v>
      </c>
      <c r="O336" s="73">
        <v>0.227242</v>
      </c>
      <c r="P336" s="70">
        <f>Table1[[#This Row],[Gross Amount]]*(1-(Table1[[#This Row],[Discount %]]/100))</f>
        <v>2113350.5999999996</v>
      </c>
      <c r="Q336" s="74">
        <f>(Table1[[#This Row],[Gross Amount]]*(1-(Table1[[#This Row],[Discount %]]/100)))/10000000</f>
        <v>0.21133505999999996</v>
      </c>
      <c r="R336" t="s">
        <v>25</v>
      </c>
      <c r="S336" t="str" cm="1">
        <f t="array" ref="S336">IFERROR(_xlfn.IFS(Table1[[#This Row],[Payment Status]]="Partial","In Transit",Table1[[#This Row],[Payment Status]]="Paid","Delivered",Table1[[#This Row],[Payment Status]]="Pending","Pending"),"Invalid Input")</f>
        <v>In Transit</v>
      </c>
      <c r="T336" t="s">
        <v>44</v>
      </c>
      <c r="U336" t="str" cm="1">
        <f t="array" ref="U336">IFERROR(_xlfn.IFS(Table1[[#This Row],[Payment Status]]="Partial","In Transit",Table1[[#This Row],[Payment Status]]="Paid","Completed",Table1[[#This Row],[Payment Status]]="Pending","Pending"),"Invalid Input")</f>
        <v>In Transit</v>
      </c>
    </row>
    <row r="337" spans="1:21" x14ac:dyDescent="0.25">
      <c r="A337" s="4" t="s">
        <v>715</v>
      </c>
      <c r="B337" s="5">
        <v>45904</v>
      </c>
      <c r="C337" t="s">
        <v>41</v>
      </c>
      <c r="D337" t="s">
        <v>3271</v>
      </c>
      <c r="E337" t="s">
        <v>119</v>
      </c>
      <c r="F337" t="s">
        <v>3228</v>
      </c>
      <c r="G337" t="s">
        <v>21</v>
      </c>
      <c r="H337" t="str">
        <f>VLOOKUP(Table1[[#This Row],[City]],Table6[#All],2,FALSE)</f>
        <v>North</v>
      </c>
      <c r="I337" t="s">
        <v>58</v>
      </c>
      <c r="J337" t="str">
        <f>_xlfn.XLOOKUP(Table1[[#This Row],[Tractor Model]],Table7[Product Model],Table7[Product Category],"Not Available",0)</f>
        <v>Powertrac</v>
      </c>
      <c r="K337" s="4">
        <v>3</v>
      </c>
      <c r="L337" s="72">
        <v>57904</v>
      </c>
      <c r="M337" s="4">
        <f>INDEX('Master Sheet'!$C$4:$C$12,MATCH(Table1[[#This Row],[Quantity]],'Master Sheet'!$B$4:$B$12,0))</f>
        <v>6</v>
      </c>
      <c r="N337" s="71">
        <f>Table1[[#This Row],[Quantity]]*Table1[[#This Row],[Unit Price]]</f>
        <v>173712</v>
      </c>
      <c r="O337" s="73">
        <v>1.73712E-2</v>
      </c>
      <c r="P337" s="70">
        <f>Table1[[#This Row],[Gross Amount]]*(1-(Table1[[#This Row],[Discount %]]/100))</f>
        <v>163289.28</v>
      </c>
      <c r="Q337" s="74">
        <f>(Table1[[#This Row],[Gross Amount]]*(1-(Table1[[#This Row],[Discount %]]/100)))/10000000</f>
        <v>1.6328927999999999E-2</v>
      </c>
      <c r="R337" t="s">
        <v>25</v>
      </c>
      <c r="S337" t="str" cm="1">
        <f t="array" ref="S337">IFERROR(_xlfn.IFS(Table1[[#This Row],[Payment Status]]="Partial","In Transit",Table1[[#This Row],[Payment Status]]="Paid","Delivered",Table1[[#This Row],[Payment Status]]="Pending","Pending"),"Invalid Input")</f>
        <v>In Transit</v>
      </c>
      <c r="T337" t="s">
        <v>27</v>
      </c>
      <c r="U337" t="str" cm="1">
        <f t="array" ref="U337">IFERROR(_xlfn.IFS(Table1[[#This Row],[Payment Status]]="Partial","In Transit",Table1[[#This Row],[Payment Status]]="Paid","Completed",Table1[[#This Row],[Payment Status]]="Pending","Pending"),"Invalid Input")</f>
        <v>In Transit</v>
      </c>
    </row>
    <row r="338" spans="1:21" x14ac:dyDescent="0.25">
      <c r="A338" s="4" t="s">
        <v>717</v>
      </c>
      <c r="B338" s="5">
        <v>45771</v>
      </c>
      <c r="C338" t="s">
        <v>33</v>
      </c>
      <c r="D338" t="s">
        <v>37</v>
      </c>
      <c r="E338" t="s">
        <v>47</v>
      </c>
      <c r="F338" t="s">
        <v>3215</v>
      </c>
      <c r="G338" t="s">
        <v>48</v>
      </c>
      <c r="H338" t="str">
        <f>VLOOKUP(Table1[[#This Row],[City]],Table6[#All],2,FALSE)</f>
        <v>North</v>
      </c>
      <c r="I338" t="s">
        <v>58</v>
      </c>
      <c r="J338" t="str">
        <f>_xlfn.XLOOKUP(Table1[[#This Row],[Tractor Model]],Table7[Product Model],Table7[Product Category],"Not Available",0)</f>
        <v>Powertrac</v>
      </c>
      <c r="K338" s="4">
        <v>7</v>
      </c>
      <c r="L338" s="72">
        <v>226450</v>
      </c>
      <c r="M338" s="4">
        <f>INDEX('Master Sheet'!$C$4:$C$12,MATCH(Table1[[#This Row],[Quantity]],'Master Sheet'!$B$4:$B$12,0))</f>
        <v>9</v>
      </c>
      <c r="N338" s="71">
        <f>Table1[[#This Row],[Quantity]]*Table1[[#This Row],[Unit Price]]</f>
        <v>1585150</v>
      </c>
      <c r="O338" s="73">
        <v>0.15851499999999999</v>
      </c>
      <c r="P338" s="70">
        <f>Table1[[#This Row],[Gross Amount]]*(1-(Table1[[#This Row],[Discount %]]/100))</f>
        <v>1442486.5</v>
      </c>
      <c r="Q338" s="74">
        <f>(Table1[[#This Row],[Gross Amount]]*(1-(Table1[[#This Row],[Discount %]]/100)))/10000000</f>
        <v>0.14424865000000001</v>
      </c>
      <c r="R338" t="s">
        <v>42</v>
      </c>
      <c r="S338" t="str" cm="1">
        <f t="array" ref="S338">IFERROR(_xlfn.IFS(Table1[[#This Row],[Payment Status]]="Partial","In Transit",Table1[[#This Row],[Payment Status]]="Paid","Delivered",Table1[[#This Row],[Payment Status]]="Pending","Pending"),"Invalid Input")</f>
        <v>Pending</v>
      </c>
      <c r="T338" t="s">
        <v>27</v>
      </c>
      <c r="U338" t="str" cm="1">
        <f t="array" ref="U338">IFERROR(_xlfn.IFS(Table1[[#This Row],[Payment Status]]="Partial","In Transit",Table1[[#This Row],[Payment Status]]="Paid","Completed",Table1[[#This Row],[Payment Status]]="Pending","Pending"),"Invalid Input")</f>
        <v>Pending</v>
      </c>
    </row>
    <row r="339" spans="1:21" x14ac:dyDescent="0.25">
      <c r="A339" s="4" t="s">
        <v>719</v>
      </c>
      <c r="B339" s="5">
        <v>45618</v>
      </c>
      <c r="C339" t="s">
        <v>33</v>
      </c>
      <c r="D339" t="s">
        <v>3269</v>
      </c>
      <c r="E339" t="s">
        <v>30</v>
      </c>
      <c r="F339" t="s">
        <v>3225</v>
      </c>
      <c r="G339" t="s">
        <v>31</v>
      </c>
      <c r="H339" t="str">
        <f>VLOOKUP(Table1[[#This Row],[City]],Table6[#All],2,FALSE)</f>
        <v>South</v>
      </c>
      <c r="I339" t="s">
        <v>53</v>
      </c>
      <c r="J339" t="str">
        <f>_xlfn.XLOOKUP(Table1[[#This Row],[Tractor Model]],Table7[Product Model],Table7[Product Category],"Not Available",0)</f>
        <v>Farmtrac</v>
      </c>
      <c r="K339" s="4">
        <v>4</v>
      </c>
      <c r="L339" s="72">
        <v>200818</v>
      </c>
      <c r="M339" s="4">
        <f>INDEX('Master Sheet'!$C$4:$C$12,MATCH(Table1[[#This Row],[Quantity]],'Master Sheet'!$B$4:$B$12,0))</f>
        <v>6</v>
      </c>
      <c r="N339" s="71">
        <f>Table1[[#This Row],[Quantity]]*Table1[[#This Row],[Unit Price]]</f>
        <v>803272</v>
      </c>
      <c r="O339" s="73">
        <v>8.0327200000000001E-2</v>
      </c>
      <c r="P339" s="70">
        <f>Table1[[#This Row],[Gross Amount]]*(1-(Table1[[#This Row],[Discount %]]/100))</f>
        <v>755075.67999999993</v>
      </c>
      <c r="Q339" s="74">
        <f>(Table1[[#This Row],[Gross Amount]]*(1-(Table1[[#This Row],[Discount %]]/100)))/10000000</f>
        <v>7.5507567999999997E-2</v>
      </c>
      <c r="R339" t="s">
        <v>54</v>
      </c>
      <c r="S339" t="str" cm="1">
        <f t="array" ref="S339">IFERROR(_xlfn.IFS(Table1[[#This Row],[Payment Status]]="Partial","In Transit",Table1[[#This Row],[Payment Status]]="Paid","Delivered",Table1[[#This Row],[Payment Status]]="Pending","Pending"),"Invalid Input")</f>
        <v>Delivered</v>
      </c>
      <c r="T339" t="s">
        <v>27</v>
      </c>
      <c r="U339" t="str" cm="1">
        <f t="array" ref="U339">IFERROR(_xlfn.IFS(Table1[[#This Row],[Payment Status]]="Partial","In Transit",Table1[[#This Row],[Payment Status]]="Paid","Completed",Table1[[#This Row],[Payment Status]]="Pending","Pending"),"Invalid Input")</f>
        <v>Completed</v>
      </c>
    </row>
    <row r="340" spans="1:21" x14ac:dyDescent="0.25">
      <c r="A340" s="4" t="s">
        <v>720</v>
      </c>
      <c r="B340" s="5">
        <v>45350</v>
      </c>
      <c r="C340" t="s">
        <v>52</v>
      </c>
      <c r="D340" t="s">
        <v>3270</v>
      </c>
      <c r="E340" t="s">
        <v>38</v>
      </c>
      <c r="F340" t="s">
        <v>3218</v>
      </c>
      <c r="G340" t="s">
        <v>39</v>
      </c>
      <c r="H340" t="str">
        <f>VLOOKUP(Table1[[#This Row],[City]],Table6[#All],2,FALSE)</f>
        <v>West</v>
      </c>
      <c r="I340" t="s">
        <v>24</v>
      </c>
      <c r="J340" t="str">
        <f>_xlfn.XLOOKUP(Table1[[#This Row],[Tractor Model]],Table7[Product Model],Table7[Product Category],"Not Available",0)</f>
        <v>Farmtrac</v>
      </c>
      <c r="K340" s="4">
        <v>1</v>
      </c>
      <c r="L340" s="72">
        <v>659131</v>
      </c>
      <c r="M340" s="4">
        <f>INDEX('Master Sheet'!$C$4:$C$12,MATCH(Table1[[#This Row],[Quantity]],'Master Sheet'!$B$4:$B$12,0))</f>
        <v>3</v>
      </c>
      <c r="N340" s="71">
        <f>Table1[[#This Row],[Quantity]]*Table1[[#This Row],[Unit Price]]</f>
        <v>659131</v>
      </c>
      <c r="O340" s="73">
        <v>6.5913100000000002E-2</v>
      </c>
      <c r="P340" s="70">
        <f>Table1[[#This Row],[Gross Amount]]*(1-(Table1[[#This Row],[Discount %]]/100))</f>
        <v>639357.06999999995</v>
      </c>
      <c r="Q340" s="74">
        <f>(Table1[[#This Row],[Gross Amount]]*(1-(Table1[[#This Row],[Discount %]]/100)))/10000000</f>
        <v>6.3935706999999994E-2</v>
      </c>
      <c r="R340" t="s">
        <v>54</v>
      </c>
      <c r="S340" t="str" cm="1">
        <f t="array" ref="S340">IFERROR(_xlfn.IFS(Table1[[#This Row],[Payment Status]]="Partial","In Transit",Table1[[#This Row],[Payment Status]]="Paid","Delivered",Table1[[#This Row],[Payment Status]]="Pending","Pending"),"Invalid Input")</f>
        <v>Delivered</v>
      </c>
      <c r="T340" t="s">
        <v>27</v>
      </c>
      <c r="U340" t="str" cm="1">
        <f t="array" ref="U340">IFERROR(_xlfn.IFS(Table1[[#This Row],[Payment Status]]="Partial","In Transit",Table1[[#This Row],[Payment Status]]="Paid","Completed",Table1[[#This Row],[Payment Status]]="Pending","Pending"),"Invalid Input")</f>
        <v>Completed</v>
      </c>
    </row>
    <row r="341" spans="1:21" x14ac:dyDescent="0.25">
      <c r="A341" s="4" t="s">
        <v>721</v>
      </c>
      <c r="B341" s="5">
        <v>45428</v>
      </c>
      <c r="C341" t="s">
        <v>62</v>
      </c>
      <c r="D341" t="s">
        <v>3268</v>
      </c>
      <c r="E341" t="s">
        <v>30</v>
      </c>
      <c r="F341" t="s">
        <v>3208</v>
      </c>
      <c r="G341" t="s">
        <v>31</v>
      </c>
      <c r="H341" t="str">
        <f>VLOOKUP(Table1[[#This Row],[City]],Table6[#All],2,FALSE)</f>
        <v>South</v>
      </c>
      <c r="I341" t="s">
        <v>24</v>
      </c>
      <c r="J341" t="str">
        <f>_xlfn.XLOOKUP(Table1[[#This Row],[Tractor Model]],Table7[Product Model],Table7[Product Category],"Not Available",0)</f>
        <v>Farmtrac</v>
      </c>
      <c r="K341" s="4">
        <v>4</v>
      </c>
      <c r="L341" s="72">
        <v>529345</v>
      </c>
      <c r="M341" s="4">
        <f>INDEX('Master Sheet'!$C$4:$C$12,MATCH(Table1[[#This Row],[Quantity]],'Master Sheet'!$B$4:$B$12,0))</f>
        <v>6</v>
      </c>
      <c r="N341" s="71">
        <f>Table1[[#This Row],[Quantity]]*Table1[[#This Row],[Unit Price]]</f>
        <v>2117380</v>
      </c>
      <c r="O341" s="73">
        <v>0.21173800000000001</v>
      </c>
      <c r="P341" s="70">
        <f>Table1[[#This Row],[Gross Amount]]*(1-(Table1[[#This Row],[Discount %]]/100))</f>
        <v>1990337.2</v>
      </c>
      <c r="Q341" s="74">
        <f>(Table1[[#This Row],[Gross Amount]]*(1-(Table1[[#This Row],[Discount %]]/100)))/10000000</f>
        <v>0.19903372</v>
      </c>
      <c r="R341" t="s">
        <v>54</v>
      </c>
      <c r="S341" t="str" cm="1">
        <f t="array" ref="S341">IFERROR(_xlfn.IFS(Table1[[#This Row],[Payment Status]]="Partial","In Transit",Table1[[#This Row],[Payment Status]]="Paid","Delivered",Table1[[#This Row],[Payment Status]]="Pending","Pending"),"Invalid Input")</f>
        <v>Delivered</v>
      </c>
      <c r="T341" t="s">
        <v>27</v>
      </c>
      <c r="U341" t="str" cm="1">
        <f t="array" ref="U341">IFERROR(_xlfn.IFS(Table1[[#This Row],[Payment Status]]="Partial","In Transit",Table1[[#This Row],[Payment Status]]="Paid","Completed",Table1[[#This Row],[Payment Status]]="Pending","Pending"),"Invalid Input")</f>
        <v>Completed</v>
      </c>
    </row>
    <row r="342" spans="1:21" x14ac:dyDescent="0.25">
      <c r="A342" s="4" t="s">
        <v>722</v>
      </c>
      <c r="B342" s="5">
        <v>45711</v>
      </c>
      <c r="C342" t="s">
        <v>33</v>
      </c>
      <c r="D342" t="s">
        <v>3268</v>
      </c>
      <c r="E342" t="s">
        <v>66</v>
      </c>
      <c r="F342" t="s">
        <v>3211</v>
      </c>
      <c r="G342" t="s">
        <v>67</v>
      </c>
      <c r="H342" t="str">
        <f>VLOOKUP(Table1[[#This Row],[City]],Table6[#All],2,FALSE)</f>
        <v>East</v>
      </c>
      <c r="I342" t="s">
        <v>3203</v>
      </c>
      <c r="J342" t="str">
        <f>_xlfn.XLOOKUP(Table1[[#This Row],[Tractor Model]],Table7[Product Model],Table7[Product Category],"Not Available",0)</f>
        <v>Kubota</v>
      </c>
      <c r="K342" s="4">
        <v>5</v>
      </c>
      <c r="L342" s="72">
        <v>294203</v>
      </c>
      <c r="M342" s="4">
        <f>INDEX('Master Sheet'!$C$4:$C$12,MATCH(Table1[[#This Row],[Quantity]],'Master Sheet'!$B$4:$B$12,0))</f>
        <v>7</v>
      </c>
      <c r="N342" s="71">
        <f>Table1[[#This Row],[Quantity]]*Table1[[#This Row],[Unit Price]]</f>
        <v>1471015</v>
      </c>
      <c r="O342" s="73">
        <v>0.1471015</v>
      </c>
      <c r="P342" s="70">
        <f>Table1[[#This Row],[Gross Amount]]*(1-(Table1[[#This Row],[Discount %]]/100))</f>
        <v>1368043.95</v>
      </c>
      <c r="Q342" s="74">
        <f>(Table1[[#This Row],[Gross Amount]]*(1-(Table1[[#This Row],[Discount %]]/100)))/10000000</f>
        <v>0.136804395</v>
      </c>
      <c r="R342" t="s">
        <v>25</v>
      </c>
      <c r="S342" t="str" cm="1">
        <f t="array" ref="S342">IFERROR(_xlfn.IFS(Table1[[#This Row],[Payment Status]]="Partial","In Transit",Table1[[#This Row],[Payment Status]]="Paid","Delivered",Table1[[#This Row],[Payment Status]]="Pending","Pending"),"Invalid Input")</f>
        <v>In Transit</v>
      </c>
      <c r="T342" t="s">
        <v>27</v>
      </c>
      <c r="U342" t="str" cm="1">
        <f t="array" ref="U342">IFERROR(_xlfn.IFS(Table1[[#This Row],[Payment Status]]="Partial","In Transit",Table1[[#This Row],[Payment Status]]="Paid","Completed",Table1[[#This Row],[Payment Status]]="Pending","Pending"),"Invalid Input")</f>
        <v>In Transit</v>
      </c>
    </row>
    <row r="343" spans="1:21" x14ac:dyDescent="0.25">
      <c r="A343" s="4" t="s">
        <v>724</v>
      </c>
      <c r="B343" s="5">
        <v>45689</v>
      </c>
      <c r="C343" t="s">
        <v>52</v>
      </c>
      <c r="D343" t="s">
        <v>37</v>
      </c>
      <c r="E343" t="s">
        <v>38</v>
      </c>
      <c r="F343" t="s">
        <v>3214</v>
      </c>
      <c r="G343" t="s">
        <v>39</v>
      </c>
      <c r="H343" t="str">
        <f>VLOOKUP(Table1[[#This Row],[City]],Table6[#All],2,FALSE)</f>
        <v>West</v>
      </c>
      <c r="I343" t="s">
        <v>53</v>
      </c>
      <c r="J343" t="str">
        <f>_xlfn.XLOOKUP(Table1[[#This Row],[Tractor Model]],Table7[Product Model],Table7[Product Category],"Not Available",0)</f>
        <v>Farmtrac</v>
      </c>
      <c r="K343" s="4">
        <v>5</v>
      </c>
      <c r="L343" s="72">
        <v>243628</v>
      </c>
      <c r="M343" s="4">
        <f>INDEX('Master Sheet'!$C$4:$C$12,MATCH(Table1[[#This Row],[Quantity]],'Master Sheet'!$B$4:$B$12,0))</f>
        <v>7</v>
      </c>
      <c r="N343" s="71">
        <f>Table1[[#This Row],[Quantity]]*Table1[[#This Row],[Unit Price]]</f>
        <v>1218140</v>
      </c>
      <c r="O343" s="73">
        <v>0.12181400000000001</v>
      </c>
      <c r="P343" s="70">
        <f>Table1[[#This Row],[Gross Amount]]*(1-(Table1[[#This Row],[Discount %]]/100))</f>
        <v>1132870.2</v>
      </c>
      <c r="Q343" s="74">
        <f>(Table1[[#This Row],[Gross Amount]]*(1-(Table1[[#This Row],[Discount %]]/100)))/10000000</f>
        <v>0.11328702</v>
      </c>
      <c r="R343" t="s">
        <v>25</v>
      </c>
      <c r="S343" t="str" cm="1">
        <f t="array" ref="S343">IFERROR(_xlfn.IFS(Table1[[#This Row],[Payment Status]]="Partial","In Transit",Table1[[#This Row],[Payment Status]]="Paid","Delivered",Table1[[#This Row],[Payment Status]]="Pending","Pending"),"Invalid Input")</f>
        <v>In Transit</v>
      </c>
      <c r="T343" t="s">
        <v>27</v>
      </c>
      <c r="U343" t="str" cm="1">
        <f t="array" ref="U343">IFERROR(_xlfn.IFS(Table1[[#This Row],[Payment Status]]="Partial","In Transit",Table1[[#This Row],[Payment Status]]="Paid","Completed",Table1[[#This Row],[Payment Status]]="Pending","Pending"),"Invalid Input")</f>
        <v>In Transit</v>
      </c>
    </row>
    <row r="344" spans="1:21" x14ac:dyDescent="0.25">
      <c r="A344" s="4" t="s">
        <v>726</v>
      </c>
      <c r="B344" s="5">
        <v>45458</v>
      </c>
      <c r="C344" t="s">
        <v>33</v>
      </c>
      <c r="D344" t="s">
        <v>3270</v>
      </c>
      <c r="E344" t="s">
        <v>119</v>
      </c>
      <c r="F344" t="s">
        <v>3212</v>
      </c>
      <c r="G344" t="s">
        <v>21</v>
      </c>
      <c r="H344" t="str">
        <f>VLOOKUP(Table1[[#This Row],[City]],Table6[#All],2,FALSE)</f>
        <v>North</v>
      </c>
      <c r="I344" t="s">
        <v>3203</v>
      </c>
      <c r="J344" t="str">
        <f>_xlfn.XLOOKUP(Table1[[#This Row],[Tractor Model]],Table7[Product Model],Table7[Product Category],"Not Available",0)</f>
        <v>Kubota</v>
      </c>
      <c r="K344" s="4">
        <v>3</v>
      </c>
      <c r="L344" s="72">
        <v>182819</v>
      </c>
      <c r="M344" s="4">
        <f>INDEX('Master Sheet'!$C$4:$C$12,MATCH(Table1[[#This Row],[Quantity]],'Master Sheet'!$B$4:$B$12,0))</f>
        <v>6</v>
      </c>
      <c r="N344" s="71">
        <f>Table1[[#This Row],[Quantity]]*Table1[[#This Row],[Unit Price]]</f>
        <v>548457</v>
      </c>
      <c r="O344" s="73">
        <v>5.4845699999999997E-2</v>
      </c>
      <c r="P344" s="70">
        <f>Table1[[#This Row],[Gross Amount]]*(1-(Table1[[#This Row],[Discount %]]/100))</f>
        <v>515549.57999999996</v>
      </c>
      <c r="Q344" s="74">
        <f>(Table1[[#This Row],[Gross Amount]]*(1-(Table1[[#This Row],[Discount %]]/100)))/10000000</f>
        <v>5.1554957999999998E-2</v>
      </c>
      <c r="R344" t="s">
        <v>54</v>
      </c>
      <c r="S344" t="str" cm="1">
        <f t="array" ref="S344">IFERROR(_xlfn.IFS(Table1[[#This Row],[Payment Status]]="Partial","In Transit",Table1[[#This Row],[Payment Status]]="Paid","Delivered",Table1[[#This Row],[Payment Status]]="Pending","Pending"),"Invalid Input")</f>
        <v>Delivered</v>
      </c>
      <c r="T344" t="s">
        <v>44</v>
      </c>
      <c r="U344" t="str" cm="1">
        <f t="array" ref="U344">IFERROR(_xlfn.IFS(Table1[[#This Row],[Payment Status]]="Partial","In Transit",Table1[[#This Row],[Payment Status]]="Paid","Completed",Table1[[#This Row],[Payment Status]]="Pending","Pending"),"Invalid Input")</f>
        <v>Completed</v>
      </c>
    </row>
    <row r="345" spans="1:21" x14ac:dyDescent="0.25">
      <c r="A345" s="4" t="s">
        <v>728</v>
      </c>
      <c r="B345" s="5">
        <v>45320</v>
      </c>
      <c r="C345" t="s">
        <v>33</v>
      </c>
      <c r="D345" t="s">
        <v>3270</v>
      </c>
      <c r="E345" t="s">
        <v>47</v>
      </c>
      <c r="F345" t="s">
        <v>3205</v>
      </c>
      <c r="G345" t="s">
        <v>48</v>
      </c>
      <c r="H345" t="str">
        <f>VLOOKUP(Table1[[#This Row],[City]],Table6[#All],2,FALSE)</f>
        <v>North</v>
      </c>
      <c r="I345" t="s">
        <v>53</v>
      </c>
      <c r="J345" t="str">
        <f>_xlfn.XLOOKUP(Table1[[#This Row],[Tractor Model]],Table7[Product Model],Table7[Product Category],"Not Available",0)</f>
        <v>Farmtrac</v>
      </c>
      <c r="K345" s="4">
        <v>7</v>
      </c>
      <c r="L345" s="72">
        <v>554583</v>
      </c>
      <c r="M345" s="4">
        <f>INDEX('Master Sheet'!$C$4:$C$12,MATCH(Table1[[#This Row],[Quantity]],'Master Sheet'!$B$4:$B$12,0))</f>
        <v>9</v>
      </c>
      <c r="N345" s="71">
        <f>Table1[[#This Row],[Quantity]]*Table1[[#This Row],[Unit Price]]</f>
        <v>3882081</v>
      </c>
      <c r="O345" s="73">
        <v>0.3882081</v>
      </c>
      <c r="P345" s="70">
        <f>Table1[[#This Row],[Gross Amount]]*(1-(Table1[[#This Row],[Discount %]]/100))</f>
        <v>3532693.71</v>
      </c>
      <c r="Q345" s="74">
        <f>(Table1[[#This Row],[Gross Amount]]*(1-(Table1[[#This Row],[Discount %]]/100)))/10000000</f>
        <v>0.353269371</v>
      </c>
      <c r="R345" t="s">
        <v>54</v>
      </c>
      <c r="S345" t="str" cm="1">
        <f t="array" ref="S345">IFERROR(_xlfn.IFS(Table1[[#This Row],[Payment Status]]="Partial","In Transit",Table1[[#This Row],[Payment Status]]="Paid","Delivered",Table1[[#This Row],[Payment Status]]="Pending","Pending"),"Invalid Input")</f>
        <v>Delivered</v>
      </c>
      <c r="T345" t="s">
        <v>27</v>
      </c>
      <c r="U345" t="str" cm="1">
        <f t="array" ref="U345">IFERROR(_xlfn.IFS(Table1[[#This Row],[Payment Status]]="Partial","In Transit",Table1[[#This Row],[Payment Status]]="Paid","Completed",Table1[[#This Row],[Payment Status]]="Pending","Pending"),"Invalid Input")</f>
        <v>Completed</v>
      </c>
    </row>
    <row r="346" spans="1:21" x14ac:dyDescent="0.25">
      <c r="A346" s="4" t="s">
        <v>730</v>
      </c>
      <c r="B346" s="5">
        <v>45542</v>
      </c>
      <c r="C346" t="s">
        <v>62</v>
      </c>
      <c r="D346" t="s">
        <v>3271</v>
      </c>
      <c r="E346" t="s">
        <v>119</v>
      </c>
      <c r="F346" t="s">
        <v>3228</v>
      </c>
      <c r="G346" t="s">
        <v>21</v>
      </c>
      <c r="H346" t="str">
        <f>VLOOKUP(Table1[[#This Row],[City]],Table6[#All],2,FALSE)</f>
        <v>North</v>
      </c>
      <c r="I346" t="s">
        <v>3204</v>
      </c>
      <c r="J346" t="str">
        <f>_xlfn.XLOOKUP(Table1[[#This Row],[Tractor Model]],Table7[Product Model],Table7[Product Category],"Not Available",0)</f>
        <v>Kubota</v>
      </c>
      <c r="K346" s="4">
        <v>4</v>
      </c>
      <c r="L346" s="72">
        <v>816526</v>
      </c>
      <c r="M346" s="4">
        <f>INDEX('Master Sheet'!$C$4:$C$12,MATCH(Table1[[#This Row],[Quantity]],'Master Sheet'!$B$4:$B$12,0))</f>
        <v>6</v>
      </c>
      <c r="N346" s="71">
        <f>Table1[[#This Row],[Quantity]]*Table1[[#This Row],[Unit Price]]</f>
        <v>3266104</v>
      </c>
      <c r="O346" s="73">
        <v>0.32661040000000002</v>
      </c>
      <c r="P346" s="70">
        <f>Table1[[#This Row],[Gross Amount]]*(1-(Table1[[#This Row],[Discount %]]/100))</f>
        <v>3070137.76</v>
      </c>
      <c r="Q346" s="74">
        <f>(Table1[[#This Row],[Gross Amount]]*(1-(Table1[[#This Row],[Discount %]]/100)))/10000000</f>
        <v>0.30701377599999996</v>
      </c>
      <c r="R346" t="s">
        <v>42</v>
      </c>
      <c r="S346" t="str" cm="1">
        <f t="array" ref="S346">IFERROR(_xlfn.IFS(Table1[[#This Row],[Payment Status]]="Partial","In Transit",Table1[[#This Row],[Payment Status]]="Paid","Delivered",Table1[[#This Row],[Payment Status]]="Pending","Pending"),"Invalid Input")</f>
        <v>Pending</v>
      </c>
      <c r="T346" t="s">
        <v>44</v>
      </c>
      <c r="U346" t="str" cm="1">
        <f t="array" ref="U346">IFERROR(_xlfn.IFS(Table1[[#This Row],[Payment Status]]="Partial","In Transit",Table1[[#This Row],[Payment Status]]="Paid","Completed",Table1[[#This Row],[Payment Status]]="Pending","Pending"),"Invalid Input")</f>
        <v>Pending</v>
      </c>
    </row>
    <row r="347" spans="1:21" x14ac:dyDescent="0.25">
      <c r="A347" s="4" t="s">
        <v>732</v>
      </c>
      <c r="B347" s="5">
        <v>45608</v>
      </c>
      <c r="C347" t="s">
        <v>33</v>
      </c>
      <c r="D347" t="s">
        <v>37</v>
      </c>
      <c r="E347" t="s">
        <v>38</v>
      </c>
      <c r="F347" t="s">
        <v>3214</v>
      </c>
      <c r="G347" t="s">
        <v>39</v>
      </c>
      <c r="H347" t="str">
        <f>VLOOKUP(Table1[[#This Row],[City]],Table6[#All],2,FALSE)</f>
        <v>West</v>
      </c>
      <c r="I347" t="s">
        <v>3204</v>
      </c>
      <c r="J347" t="str">
        <f>_xlfn.XLOOKUP(Table1[[#This Row],[Tractor Model]],Table7[Product Model],Table7[Product Category],"Not Available",0)</f>
        <v>Kubota</v>
      </c>
      <c r="K347" s="4">
        <v>5</v>
      </c>
      <c r="L347" s="72">
        <v>344508</v>
      </c>
      <c r="M347" s="4">
        <f>INDEX('Master Sheet'!$C$4:$C$12,MATCH(Table1[[#This Row],[Quantity]],'Master Sheet'!$B$4:$B$12,0))</f>
        <v>7</v>
      </c>
      <c r="N347" s="71">
        <f>Table1[[#This Row],[Quantity]]*Table1[[#This Row],[Unit Price]]</f>
        <v>1722540</v>
      </c>
      <c r="O347" s="73">
        <v>0.17225399999999999</v>
      </c>
      <c r="P347" s="70">
        <f>Table1[[#This Row],[Gross Amount]]*(1-(Table1[[#This Row],[Discount %]]/100))</f>
        <v>1601962.2</v>
      </c>
      <c r="Q347" s="74">
        <f>(Table1[[#This Row],[Gross Amount]]*(1-(Table1[[#This Row],[Discount %]]/100)))/10000000</f>
        <v>0.16019622</v>
      </c>
      <c r="R347" t="s">
        <v>42</v>
      </c>
      <c r="S347" t="str" cm="1">
        <f t="array" ref="S347">IFERROR(_xlfn.IFS(Table1[[#This Row],[Payment Status]]="Partial","In Transit",Table1[[#This Row],[Payment Status]]="Paid","Delivered",Table1[[#This Row],[Payment Status]]="Pending","Pending"),"Invalid Input")</f>
        <v>Pending</v>
      </c>
      <c r="T347" t="s">
        <v>27</v>
      </c>
      <c r="U347" t="str" cm="1">
        <f t="array" ref="U347">IFERROR(_xlfn.IFS(Table1[[#This Row],[Payment Status]]="Partial","In Transit",Table1[[#This Row],[Payment Status]]="Paid","Completed",Table1[[#This Row],[Payment Status]]="Pending","Pending"),"Invalid Input")</f>
        <v>Pending</v>
      </c>
    </row>
    <row r="348" spans="1:21" x14ac:dyDescent="0.25">
      <c r="A348" s="4" t="s">
        <v>734</v>
      </c>
      <c r="B348" s="5">
        <v>45352</v>
      </c>
      <c r="C348" t="s">
        <v>41</v>
      </c>
      <c r="D348" t="s">
        <v>3270</v>
      </c>
      <c r="E348" t="s">
        <v>66</v>
      </c>
      <c r="F348" t="s">
        <v>3220</v>
      </c>
      <c r="G348" t="s">
        <v>67</v>
      </c>
      <c r="H348" t="str">
        <f>VLOOKUP(Table1[[#This Row],[City]],Table6[#All],2,FALSE)</f>
        <v>East</v>
      </c>
      <c r="I348" t="s">
        <v>53</v>
      </c>
      <c r="J348" t="str">
        <f>_xlfn.XLOOKUP(Table1[[#This Row],[Tractor Model]],Table7[Product Model],Table7[Product Category],"Not Available",0)</f>
        <v>Farmtrac</v>
      </c>
      <c r="K348" s="4">
        <v>6</v>
      </c>
      <c r="L348" s="72">
        <v>723145</v>
      </c>
      <c r="M348" s="4">
        <f>INDEX('Master Sheet'!$C$4:$C$12,MATCH(Table1[[#This Row],[Quantity]],'Master Sheet'!$B$4:$B$12,0))</f>
        <v>8</v>
      </c>
      <c r="N348" s="71">
        <f>Table1[[#This Row],[Quantity]]*Table1[[#This Row],[Unit Price]]</f>
        <v>4338870</v>
      </c>
      <c r="O348" s="73">
        <v>0.43388700000000002</v>
      </c>
      <c r="P348" s="70">
        <f>Table1[[#This Row],[Gross Amount]]*(1-(Table1[[#This Row],[Discount %]]/100))</f>
        <v>3991760.4000000004</v>
      </c>
      <c r="Q348" s="74">
        <f>(Table1[[#This Row],[Gross Amount]]*(1-(Table1[[#This Row],[Discount %]]/100)))/10000000</f>
        <v>0.39917604000000001</v>
      </c>
      <c r="R348" t="s">
        <v>54</v>
      </c>
      <c r="S348" t="str" cm="1">
        <f t="array" ref="S348">IFERROR(_xlfn.IFS(Table1[[#This Row],[Payment Status]]="Partial","In Transit",Table1[[#This Row],[Payment Status]]="Paid","Delivered",Table1[[#This Row],[Payment Status]]="Pending","Pending"),"Invalid Input")</f>
        <v>Delivered</v>
      </c>
      <c r="T348" t="s">
        <v>27</v>
      </c>
      <c r="U348" t="str" cm="1">
        <f t="array" ref="U348">IFERROR(_xlfn.IFS(Table1[[#This Row],[Payment Status]]="Partial","In Transit",Table1[[#This Row],[Payment Status]]="Paid","Completed",Table1[[#This Row],[Payment Status]]="Pending","Pending"),"Invalid Input")</f>
        <v>Completed</v>
      </c>
    </row>
    <row r="349" spans="1:21" x14ac:dyDescent="0.25">
      <c r="A349" s="4" t="s">
        <v>736</v>
      </c>
      <c r="B349" s="5">
        <v>45491</v>
      </c>
      <c r="C349" t="s">
        <v>41</v>
      </c>
      <c r="D349" t="s">
        <v>37</v>
      </c>
      <c r="E349" t="s">
        <v>66</v>
      </c>
      <c r="F349" t="s">
        <v>3226</v>
      </c>
      <c r="G349" t="s">
        <v>67</v>
      </c>
      <c r="H349" t="str">
        <f>VLOOKUP(Table1[[#This Row],[City]],Table6[#All],2,FALSE)</f>
        <v>East</v>
      </c>
      <c r="I349" t="s">
        <v>58</v>
      </c>
      <c r="J349" t="str">
        <f>_xlfn.XLOOKUP(Table1[[#This Row],[Tractor Model]],Table7[Product Model],Table7[Product Category],"Not Available",0)</f>
        <v>Powertrac</v>
      </c>
      <c r="K349" s="4">
        <v>4</v>
      </c>
      <c r="L349" s="72">
        <v>342530</v>
      </c>
      <c r="M349" s="4">
        <f>INDEX('Master Sheet'!$C$4:$C$12,MATCH(Table1[[#This Row],[Quantity]],'Master Sheet'!$B$4:$B$12,0))</f>
        <v>6</v>
      </c>
      <c r="N349" s="71">
        <f>Table1[[#This Row],[Quantity]]*Table1[[#This Row],[Unit Price]]</f>
        <v>1370120</v>
      </c>
      <c r="O349" s="73">
        <v>0.13701199999999999</v>
      </c>
      <c r="P349" s="70">
        <f>Table1[[#This Row],[Gross Amount]]*(1-(Table1[[#This Row],[Discount %]]/100))</f>
        <v>1287912.7999999998</v>
      </c>
      <c r="Q349" s="74">
        <f>(Table1[[#This Row],[Gross Amount]]*(1-(Table1[[#This Row],[Discount %]]/100)))/10000000</f>
        <v>0.12879127999999998</v>
      </c>
      <c r="R349" t="s">
        <v>25</v>
      </c>
      <c r="S349" t="str" cm="1">
        <f t="array" ref="S349">IFERROR(_xlfn.IFS(Table1[[#This Row],[Payment Status]]="Partial","In Transit",Table1[[#This Row],[Payment Status]]="Paid","Delivered",Table1[[#This Row],[Payment Status]]="Pending","Pending"),"Invalid Input")</f>
        <v>In Transit</v>
      </c>
      <c r="T349" t="s">
        <v>44</v>
      </c>
      <c r="U349" t="str" cm="1">
        <f t="array" ref="U349">IFERROR(_xlfn.IFS(Table1[[#This Row],[Payment Status]]="Partial","In Transit",Table1[[#This Row],[Payment Status]]="Paid","Completed",Table1[[#This Row],[Payment Status]]="Pending","Pending"),"Invalid Input")</f>
        <v>In Transit</v>
      </c>
    </row>
    <row r="350" spans="1:21" x14ac:dyDescent="0.25">
      <c r="A350" s="4" t="s">
        <v>738</v>
      </c>
      <c r="B350" s="5">
        <v>45465</v>
      </c>
      <c r="C350" t="s">
        <v>73</v>
      </c>
      <c r="D350" t="s">
        <v>37</v>
      </c>
      <c r="E350" t="s">
        <v>47</v>
      </c>
      <c r="F350" t="s">
        <v>3215</v>
      </c>
      <c r="G350" t="s">
        <v>48</v>
      </c>
      <c r="H350" t="str">
        <f>VLOOKUP(Table1[[#This Row],[City]],Table6[#All],2,FALSE)</f>
        <v>North</v>
      </c>
      <c r="I350" t="s">
        <v>24</v>
      </c>
      <c r="J350" t="str">
        <f>_xlfn.XLOOKUP(Table1[[#This Row],[Tractor Model]],Table7[Product Model],Table7[Product Category],"Not Available",0)</f>
        <v>Farmtrac</v>
      </c>
      <c r="K350" s="4">
        <v>1</v>
      </c>
      <c r="L350" s="72">
        <v>126793</v>
      </c>
      <c r="M350" s="4">
        <f>INDEX('Master Sheet'!$C$4:$C$12,MATCH(Table1[[#This Row],[Quantity]],'Master Sheet'!$B$4:$B$12,0))</f>
        <v>3</v>
      </c>
      <c r="N350" s="71">
        <f>Table1[[#This Row],[Quantity]]*Table1[[#This Row],[Unit Price]]</f>
        <v>126793</v>
      </c>
      <c r="O350" s="73">
        <v>1.2679299999999999E-2</v>
      </c>
      <c r="P350" s="70">
        <f>Table1[[#This Row],[Gross Amount]]*(1-(Table1[[#This Row],[Discount %]]/100))</f>
        <v>122989.20999999999</v>
      </c>
      <c r="Q350" s="74">
        <f>(Table1[[#This Row],[Gross Amount]]*(1-(Table1[[#This Row],[Discount %]]/100)))/10000000</f>
        <v>1.2298920999999999E-2</v>
      </c>
      <c r="R350" t="s">
        <v>42</v>
      </c>
      <c r="S350" t="str" cm="1">
        <f t="array" ref="S350">IFERROR(_xlfn.IFS(Table1[[#This Row],[Payment Status]]="Partial","In Transit",Table1[[#This Row],[Payment Status]]="Paid","Delivered",Table1[[#This Row],[Payment Status]]="Pending","Pending"),"Invalid Input")</f>
        <v>Pending</v>
      </c>
      <c r="T350" t="s">
        <v>44</v>
      </c>
      <c r="U350" t="str" cm="1">
        <f t="array" ref="U350">IFERROR(_xlfn.IFS(Table1[[#This Row],[Payment Status]]="Partial","In Transit",Table1[[#This Row],[Payment Status]]="Paid","Completed",Table1[[#This Row],[Payment Status]]="Pending","Pending"),"Invalid Input")</f>
        <v>Pending</v>
      </c>
    </row>
    <row r="351" spans="1:21" x14ac:dyDescent="0.25">
      <c r="A351" s="4" t="s">
        <v>739</v>
      </c>
      <c r="B351" s="5">
        <v>45383</v>
      </c>
      <c r="C351" t="s">
        <v>41</v>
      </c>
      <c r="D351" t="s">
        <v>3269</v>
      </c>
      <c r="E351" t="s">
        <v>47</v>
      </c>
      <c r="F351" t="s">
        <v>3209</v>
      </c>
      <c r="G351" t="s">
        <v>48</v>
      </c>
      <c r="H351" t="str">
        <f>VLOOKUP(Table1[[#This Row],[City]],Table6[#All],2,FALSE)</f>
        <v>North</v>
      </c>
      <c r="I351" t="s">
        <v>58</v>
      </c>
      <c r="J351" t="str">
        <f>_xlfn.XLOOKUP(Table1[[#This Row],[Tractor Model]],Table7[Product Model],Table7[Product Category],"Not Available",0)</f>
        <v>Powertrac</v>
      </c>
      <c r="K351" s="4">
        <v>1</v>
      </c>
      <c r="L351" s="72">
        <v>251731</v>
      </c>
      <c r="M351" s="4">
        <f>INDEX('Master Sheet'!$C$4:$C$12,MATCH(Table1[[#This Row],[Quantity]],'Master Sheet'!$B$4:$B$12,0))</f>
        <v>3</v>
      </c>
      <c r="N351" s="71">
        <f>Table1[[#This Row],[Quantity]]*Table1[[#This Row],[Unit Price]]</f>
        <v>251731</v>
      </c>
      <c r="O351" s="73">
        <v>2.51731E-2</v>
      </c>
      <c r="P351" s="70">
        <f>Table1[[#This Row],[Gross Amount]]*(1-(Table1[[#This Row],[Discount %]]/100))</f>
        <v>244179.07</v>
      </c>
      <c r="Q351" s="74">
        <f>(Table1[[#This Row],[Gross Amount]]*(1-(Table1[[#This Row],[Discount %]]/100)))/10000000</f>
        <v>2.4417906999999999E-2</v>
      </c>
      <c r="R351" t="s">
        <v>25</v>
      </c>
      <c r="S351" t="str" cm="1">
        <f t="array" ref="S351">IFERROR(_xlfn.IFS(Table1[[#This Row],[Payment Status]]="Partial","In Transit",Table1[[#This Row],[Payment Status]]="Paid","Delivered",Table1[[#This Row],[Payment Status]]="Pending","Pending"),"Invalid Input")</f>
        <v>In Transit</v>
      </c>
      <c r="T351" t="s">
        <v>27</v>
      </c>
      <c r="U351" t="str" cm="1">
        <f t="array" ref="U351">IFERROR(_xlfn.IFS(Table1[[#This Row],[Payment Status]]="Partial","In Transit",Table1[[#This Row],[Payment Status]]="Paid","Completed",Table1[[#This Row],[Payment Status]]="Pending","Pending"),"Invalid Input")</f>
        <v>In Transit</v>
      </c>
    </row>
    <row r="352" spans="1:21" x14ac:dyDescent="0.25">
      <c r="A352" s="4" t="s">
        <v>740</v>
      </c>
      <c r="B352" s="5">
        <v>45376</v>
      </c>
      <c r="C352" t="s">
        <v>62</v>
      </c>
      <c r="D352" t="s">
        <v>3268</v>
      </c>
      <c r="E352" t="s">
        <v>66</v>
      </c>
      <c r="F352" t="s">
        <v>3211</v>
      </c>
      <c r="G352" t="s">
        <v>67</v>
      </c>
      <c r="H352" t="str">
        <f>VLOOKUP(Table1[[#This Row],[City]],Table6[#All],2,FALSE)</f>
        <v>East</v>
      </c>
      <c r="I352" t="s">
        <v>3204</v>
      </c>
      <c r="J352" t="str">
        <f>_xlfn.XLOOKUP(Table1[[#This Row],[Tractor Model]],Table7[Product Model],Table7[Product Category],"Not Available",0)</f>
        <v>Kubota</v>
      </c>
      <c r="K352" s="4">
        <v>8</v>
      </c>
      <c r="L352" s="72">
        <v>264680</v>
      </c>
      <c r="M352" s="4">
        <f>INDEX('Master Sheet'!$C$4:$C$12,MATCH(Table1[[#This Row],[Quantity]],'Master Sheet'!$B$4:$B$12,0))</f>
        <v>9</v>
      </c>
      <c r="N352" s="71">
        <f>Table1[[#This Row],[Quantity]]*Table1[[#This Row],[Unit Price]]</f>
        <v>2117440</v>
      </c>
      <c r="O352" s="73">
        <v>0.21174399999999999</v>
      </c>
      <c r="P352" s="70">
        <f>Table1[[#This Row],[Gross Amount]]*(1-(Table1[[#This Row],[Discount %]]/100))</f>
        <v>1926870.4000000001</v>
      </c>
      <c r="Q352" s="74">
        <f>(Table1[[#This Row],[Gross Amount]]*(1-(Table1[[#This Row],[Discount %]]/100)))/10000000</f>
        <v>0.19268704</v>
      </c>
      <c r="R352" t="s">
        <v>42</v>
      </c>
      <c r="S352" t="str" cm="1">
        <f t="array" ref="S352">IFERROR(_xlfn.IFS(Table1[[#This Row],[Payment Status]]="Partial","In Transit",Table1[[#This Row],[Payment Status]]="Paid","Delivered",Table1[[#This Row],[Payment Status]]="Pending","Pending"),"Invalid Input")</f>
        <v>Pending</v>
      </c>
      <c r="T352" t="s">
        <v>44</v>
      </c>
      <c r="U352" t="str" cm="1">
        <f t="array" ref="U352">IFERROR(_xlfn.IFS(Table1[[#This Row],[Payment Status]]="Partial","In Transit",Table1[[#This Row],[Payment Status]]="Paid","Completed",Table1[[#This Row],[Payment Status]]="Pending","Pending"),"Invalid Input")</f>
        <v>Pending</v>
      </c>
    </row>
    <row r="353" spans="1:21" x14ac:dyDescent="0.25">
      <c r="A353" s="4" t="s">
        <v>741</v>
      </c>
      <c r="B353" s="5">
        <v>45311</v>
      </c>
      <c r="C353" t="s">
        <v>33</v>
      </c>
      <c r="D353" t="s">
        <v>3269</v>
      </c>
      <c r="E353" t="s">
        <v>119</v>
      </c>
      <c r="F353" t="s">
        <v>3229</v>
      </c>
      <c r="G353" t="s">
        <v>21</v>
      </c>
      <c r="H353" t="str">
        <f>VLOOKUP(Table1[[#This Row],[City]],Table6[#All],2,FALSE)</f>
        <v>North</v>
      </c>
      <c r="I353" t="s">
        <v>24</v>
      </c>
      <c r="J353" t="str">
        <f>_xlfn.XLOOKUP(Table1[[#This Row],[Tractor Model]],Table7[Product Model],Table7[Product Category],"Not Available",0)</f>
        <v>Farmtrac</v>
      </c>
      <c r="K353" s="4">
        <v>5</v>
      </c>
      <c r="L353" s="72">
        <v>853338</v>
      </c>
      <c r="M353" s="4">
        <f>INDEX('Master Sheet'!$C$4:$C$12,MATCH(Table1[[#This Row],[Quantity]],'Master Sheet'!$B$4:$B$12,0))</f>
        <v>7</v>
      </c>
      <c r="N353" s="71">
        <f>Table1[[#This Row],[Quantity]]*Table1[[#This Row],[Unit Price]]</f>
        <v>4266690</v>
      </c>
      <c r="O353" s="73">
        <v>0.42666900000000002</v>
      </c>
      <c r="P353" s="70">
        <f>Table1[[#This Row],[Gross Amount]]*(1-(Table1[[#This Row],[Discount %]]/100))</f>
        <v>3968021.6999999997</v>
      </c>
      <c r="Q353" s="74">
        <f>(Table1[[#This Row],[Gross Amount]]*(1-(Table1[[#This Row],[Discount %]]/100)))/10000000</f>
        <v>0.39680216999999995</v>
      </c>
      <c r="R353" t="s">
        <v>42</v>
      </c>
      <c r="S353" t="str" cm="1">
        <f t="array" ref="S353">IFERROR(_xlfn.IFS(Table1[[#This Row],[Payment Status]]="Partial","In Transit",Table1[[#This Row],[Payment Status]]="Paid","Delivered",Table1[[#This Row],[Payment Status]]="Pending","Pending"),"Invalid Input")</f>
        <v>Pending</v>
      </c>
      <c r="T353" t="s">
        <v>44</v>
      </c>
      <c r="U353" t="str" cm="1">
        <f t="array" ref="U353">IFERROR(_xlfn.IFS(Table1[[#This Row],[Payment Status]]="Partial","In Transit",Table1[[#This Row],[Payment Status]]="Paid","Completed",Table1[[#This Row],[Payment Status]]="Pending","Pending"),"Invalid Input")</f>
        <v>Pending</v>
      </c>
    </row>
    <row r="354" spans="1:21" x14ac:dyDescent="0.25">
      <c r="A354" s="4" t="s">
        <v>744</v>
      </c>
      <c r="B354" s="5">
        <v>45307</v>
      </c>
      <c r="C354" t="s">
        <v>52</v>
      </c>
      <c r="D354" t="s">
        <v>3271</v>
      </c>
      <c r="E354" t="s">
        <v>30</v>
      </c>
      <c r="F354" t="s">
        <v>3217</v>
      </c>
      <c r="G354" t="s">
        <v>31</v>
      </c>
      <c r="H354" t="str">
        <f>VLOOKUP(Table1[[#This Row],[City]],Table6[#All],2,FALSE)</f>
        <v>South</v>
      </c>
      <c r="I354" t="s">
        <v>3203</v>
      </c>
      <c r="J354" t="str">
        <f>_xlfn.XLOOKUP(Table1[[#This Row],[Tractor Model]],Table7[Product Model],Table7[Product Category],"Not Available",0)</f>
        <v>Kubota</v>
      </c>
      <c r="K354" s="4">
        <v>4</v>
      </c>
      <c r="L354" s="72">
        <v>405463</v>
      </c>
      <c r="M354" s="4">
        <f>INDEX('Master Sheet'!$C$4:$C$12,MATCH(Table1[[#This Row],[Quantity]],'Master Sheet'!$B$4:$B$12,0))</f>
        <v>6</v>
      </c>
      <c r="N354" s="71">
        <f>Table1[[#This Row],[Quantity]]*Table1[[#This Row],[Unit Price]]</f>
        <v>1621852</v>
      </c>
      <c r="O354" s="73">
        <v>0.1621852</v>
      </c>
      <c r="P354" s="70">
        <f>Table1[[#This Row],[Gross Amount]]*(1-(Table1[[#This Row],[Discount %]]/100))</f>
        <v>1524540.88</v>
      </c>
      <c r="Q354" s="74">
        <f>(Table1[[#This Row],[Gross Amount]]*(1-(Table1[[#This Row],[Discount %]]/100)))/10000000</f>
        <v>0.15245408799999999</v>
      </c>
      <c r="R354" t="s">
        <v>25</v>
      </c>
      <c r="S354" t="str" cm="1">
        <f t="array" ref="S354">IFERROR(_xlfn.IFS(Table1[[#This Row],[Payment Status]]="Partial","In Transit",Table1[[#This Row],[Payment Status]]="Paid","Delivered",Table1[[#This Row],[Payment Status]]="Pending","Pending"),"Invalid Input")</f>
        <v>In Transit</v>
      </c>
      <c r="T354" t="s">
        <v>27</v>
      </c>
      <c r="U354" t="str" cm="1">
        <f t="array" ref="U354">IFERROR(_xlfn.IFS(Table1[[#This Row],[Payment Status]]="Partial","In Transit",Table1[[#This Row],[Payment Status]]="Paid","Completed",Table1[[#This Row],[Payment Status]]="Pending","Pending"),"Invalid Input")</f>
        <v>In Transit</v>
      </c>
    </row>
    <row r="355" spans="1:21" x14ac:dyDescent="0.25">
      <c r="A355" s="4" t="s">
        <v>746</v>
      </c>
      <c r="B355" s="5">
        <v>45808</v>
      </c>
      <c r="C355" t="s">
        <v>62</v>
      </c>
      <c r="D355" t="s">
        <v>3269</v>
      </c>
      <c r="E355" t="s">
        <v>119</v>
      </c>
      <c r="F355" t="s">
        <v>3229</v>
      </c>
      <c r="G355" t="s">
        <v>21</v>
      </c>
      <c r="H355" t="str">
        <f>VLOOKUP(Table1[[#This Row],[City]],Table6[#All],2,FALSE)</f>
        <v>North</v>
      </c>
      <c r="I355" t="s">
        <v>3204</v>
      </c>
      <c r="J355" t="str">
        <f>_xlfn.XLOOKUP(Table1[[#This Row],[Tractor Model]],Table7[Product Model],Table7[Product Category],"Not Available",0)</f>
        <v>Kubota</v>
      </c>
      <c r="K355" s="4">
        <v>1</v>
      </c>
      <c r="L355" s="72">
        <v>547511</v>
      </c>
      <c r="M355" s="4">
        <f>INDEX('Master Sheet'!$C$4:$C$12,MATCH(Table1[[#This Row],[Quantity]],'Master Sheet'!$B$4:$B$12,0))</f>
        <v>3</v>
      </c>
      <c r="N355" s="71">
        <f>Table1[[#This Row],[Quantity]]*Table1[[#This Row],[Unit Price]]</f>
        <v>547511</v>
      </c>
      <c r="O355" s="73">
        <v>5.4751099999999997E-2</v>
      </c>
      <c r="P355" s="70">
        <f>Table1[[#This Row],[Gross Amount]]*(1-(Table1[[#This Row],[Discount %]]/100))</f>
        <v>531085.67000000004</v>
      </c>
      <c r="Q355" s="74">
        <f>(Table1[[#This Row],[Gross Amount]]*(1-(Table1[[#This Row],[Discount %]]/100)))/10000000</f>
        <v>5.3108567000000002E-2</v>
      </c>
      <c r="R355" t="s">
        <v>25</v>
      </c>
      <c r="S355" t="str" cm="1">
        <f t="array" ref="S355">IFERROR(_xlfn.IFS(Table1[[#This Row],[Payment Status]]="Partial","In Transit",Table1[[#This Row],[Payment Status]]="Paid","Delivered",Table1[[#This Row],[Payment Status]]="Pending","Pending"),"Invalid Input")</f>
        <v>In Transit</v>
      </c>
      <c r="T355" t="s">
        <v>27</v>
      </c>
      <c r="U355" t="str" cm="1">
        <f t="array" ref="U355">IFERROR(_xlfn.IFS(Table1[[#This Row],[Payment Status]]="Partial","In Transit",Table1[[#This Row],[Payment Status]]="Paid","Completed",Table1[[#This Row],[Payment Status]]="Pending","Pending"),"Invalid Input")</f>
        <v>In Transit</v>
      </c>
    </row>
    <row r="356" spans="1:21" x14ac:dyDescent="0.25">
      <c r="A356" s="4" t="s">
        <v>748</v>
      </c>
      <c r="B356" s="5">
        <v>45621</v>
      </c>
      <c r="C356" t="s">
        <v>41</v>
      </c>
      <c r="D356" t="s">
        <v>3270</v>
      </c>
      <c r="E356" t="s">
        <v>119</v>
      </c>
      <c r="F356" t="s">
        <v>3212</v>
      </c>
      <c r="G356" t="s">
        <v>21</v>
      </c>
      <c r="H356" t="str">
        <f>VLOOKUP(Table1[[#This Row],[City]],Table6[#All],2,FALSE)</f>
        <v>North</v>
      </c>
      <c r="I356" t="s">
        <v>58</v>
      </c>
      <c r="J356" t="str">
        <f>_xlfn.XLOOKUP(Table1[[#This Row],[Tractor Model]],Table7[Product Model],Table7[Product Category],"Not Available",0)</f>
        <v>Powertrac</v>
      </c>
      <c r="K356" s="4">
        <v>3</v>
      </c>
      <c r="L356" s="72">
        <v>693120</v>
      </c>
      <c r="M356" s="4">
        <f>INDEX('Master Sheet'!$C$4:$C$12,MATCH(Table1[[#This Row],[Quantity]],'Master Sheet'!$B$4:$B$12,0))</f>
        <v>6</v>
      </c>
      <c r="N356" s="71">
        <f>Table1[[#This Row],[Quantity]]*Table1[[#This Row],[Unit Price]]</f>
        <v>2079360</v>
      </c>
      <c r="O356" s="73">
        <v>0.20793600000000001</v>
      </c>
      <c r="P356" s="70">
        <f>Table1[[#This Row],[Gross Amount]]*(1-(Table1[[#This Row],[Discount %]]/100))</f>
        <v>1954598.4</v>
      </c>
      <c r="Q356" s="74">
        <f>(Table1[[#This Row],[Gross Amount]]*(1-(Table1[[#This Row],[Discount %]]/100)))/10000000</f>
        <v>0.19545984</v>
      </c>
      <c r="R356" t="s">
        <v>25</v>
      </c>
      <c r="S356" t="str" cm="1">
        <f t="array" ref="S356">IFERROR(_xlfn.IFS(Table1[[#This Row],[Payment Status]]="Partial","In Transit",Table1[[#This Row],[Payment Status]]="Paid","Delivered",Table1[[#This Row],[Payment Status]]="Pending","Pending"),"Invalid Input")</f>
        <v>In Transit</v>
      </c>
      <c r="T356" t="s">
        <v>27</v>
      </c>
      <c r="U356" t="str" cm="1">
        <f t="array" ref="U356">IFERROR(_xlfn.IFS(Table1[[#This Row],[Payment Status]]="Partial","In Transit",Table1[[#This Row],[Payment Status]]="Paid","Completed",Table1[[#This Row],[Payment Status]]="Pending","Pending"),"Invalid Input")</f>
        <v>In Transit</v>
      </c>
    </row>
    <row r="357" spans="1:21" x14ac:dyDescent="0.25">
      <c r="A357" s="4" t="s">
        <v>750</v>
      </c>
      <c r="B357" s="5">
        <v>45675</v>
      </c>
      <c r="C357" t="s">
        <v>73</v>
      </c>
      <c r="D357" t="s">
        <v>3271</v>
      </c>
      <c r="E357" t="s">
        <v>38</v>
      </c>
      <c r="F357" t="s">
        <v>3210</v>
      </c>
      <c r="G357" t="s">
        <v>39</v>
      </c>
      <c r="H357" t="str">
        <f>VLOOKUP(Table1[[#This Row],[City]],Table6[#All],2,FALSE)</f>
        <v>West</v>
      </c>
      <c r="I357" t="s">
        <v>3204</v>
      </c>
      <c r="J357" t="str">
        <f>_xlfn.XLOOKUP(Table1[[#This Row],[Tractor Model]],Table7[Product Model],Table7[Product Category],"Not Available",0)</f>
        <v>Kubota</v>
      </c>
      <c r="K357" s="4">
        <v>4</v>
      </c>
      <c r="L357" s="72">
        <v>423177</v>
      </c>
      <c r="M357" s="4">
        <f>INDEX('Master Sheet'!$C$4:$C$12,MATCH(Table1[[#This Row],[Quantity]],'Master Sheet'!$B$4:$B$12,0))</f>
        <v>6</v>
      </c>
      <c r="N357" s="71">
        <f>Table1[[#This Row],[Quantity]]*Table1[[#This Row],[Unit Price]]</f>
        <v>1692708</v>
      </c>
      <c r="O357" s="73">
        <v>0.1692708</v>
      </c>
      <c r="P357" s="70">
        <f>Table1[[#This Row],[Gross Amount]]*(1-(Table1[[#This Row],[Discount %]]/100))</f>
        <v>1591145.52</v>
      </c>
      <c r="Q357" s="74">
        <f>(Table1[[#This Row],[Gross Amount]]*(1-(Table1[[#This Row],[Discount %]]/100)))/10000000</f>
        <v>0.15911455199999999</v>
      </c>
      <c r="R357" t="s">
        <v>42</v>
      </c>
      <c r="S357" t="str" cm="1">
        <f t="array" ref="S357">IFERROR(_xlfn.IFS(Table1[[#This Row],[Payment Status]]="Partial","In Transit",Table1[[#This Row],[Payment Status]]="Paid","Delivered",Table1[[#This Row],[Payment Status]]="Pending","Pending"),"Invalid Input")</f>
        <v>Pending</v>
      </c>
      <c r="T357" t="s">
        <v>27</v>
      </c>
      <c r="U357" t="str" cm="1">
        <f t="array" ref="U357">IFERROR(_xlfn.IFS(Table1[[#This Row],[Payment Status]]="Partial","In Transit",Table1[[#This Row],[Payment Status]]="Paid","Completed",Table1[[#This Row],[Payment Status]]="Pending","Pending"),"Invalid Input")</f>
        <v>Pending</v>
      </c>
    </row>
    <row r="358" spans="1:21" x14ac:dyDescent="0.25">
      <c r="A358" s="4" t="s">
        <v>752</v>
      </c>
      <c r="B358" s="5">
        <v>45749</v>
      </c>
      <c r="C358" t="s">
        <v>52</v>
      </c>
      <c r="D358" t="s">
        <v>3270</v>
      </c>
      <c r="E358" t="s">
        <v>30</v>
      </c>
      <c r="F358" t="s">
        <v>3223</v>
      </c>
      <c r="G358" t="s">
        <v>31</v>
      </c>
      <c r="H358" t="str">
        <f>VLOOKUP(Table1[[#This Row],[City]],Table6[#All],2,FALSE)</f>
        <v>South</v>
      </c>
      <c r="I358" t="s">
        <v>3203</v>
      </c>
      <c r="J358" t="str">
        <f>_xlfn.XLOOKUP(Table1[[#This Row],[Tractor Model]],Table7[Product Model],Table7[Product Category],"Not Available",0)</f>
        <v>Kubota</v>
      </c>
      <c r="K358" s="4">
        <v>2</v>
      </c>
      <c r="L358" s="72">
        <v>875208</v>
      </c>
      <c r="M358" s="4">
        <f>INDEX('Master Sheet'!$C$4:$C$12,MATCH(Table1[[#This Row],[Quantity]],'Master Sheet'!$B$4:$B$12,0))</f>
        <v>5</v>
      </c>
      <c r="N358" s="71">
        <f>Table1[[#This Row],[Quantity]]*Table1[[#This Row],[Unit Price]]</f>
        <v>1750416</v>
      </c>
      <c r="O358" s="73">
        <v>0.17504159999999999</v>
      </c>
      <c r="P358" s="70">
        <f>Table1[[#This Row],[Gross Amount]]*(1-(Table1[[#This Row],[Discount %]]/100))</f>
        <v>1662895.2</v>
      </c>
      <c r="Q358" s="74">
        <f>(Table1[[#This Row],[Gross Amount]]*(1-(Table1[[#This Row],[Discount %]]/100)))/10000000</f>
        <v>0.16628952</v>
      </c>
      <c r="R358" t="s">
        <v>54</v>
      </c>
      <c r="S358" t="str" cm="1">
        <f t="array" ref="S358">IFERROR(_xlfn.IFS(Table1[[#This Row],[Payment Status]]="Partial","In Transit",Table1[[#This Row],[Payment Status]]="Paid","Delivered",Table1[[#This Row],[Payment Status]]="Pending","Pending"),"Invalid Input")</f>
        <v>Delivered</v>
      </c>
      <c r="T358" t="s">
        <v>27</v>
      </c>
      <c r="U358" t="str" cm="1">
        <f t="array" ref="U358">IFERROR(_xlfn.IFS(Table1[[#This Row],[Payment Status]]="Partial","In Transit",Table1[[#This Row],[Payment Status]]="Paid","Completed",Table1[[#This Row],[Payment Status]]="Pending","Pending"),"Invalid Input")</f>
        <v>Completed</v>
      </c>
    </row>
    <row r="359" spans="1:21" x14ac:dyDescent="0.25">
      <c r="A359" s="4" t="s">
        <v>754</v>
      </c>
      <c r="B359" s="5">
        <v>45692</v>
      </c>
      <c r="C359" t="s">
        <v>41</v>
      </c>
      <c r="D359" t="s">
        <v>3271</v>
      </c>
      <c r="E359" t="s">
        <v>66</v>
      </c>
      <c r="F359" t="s">
        <v>3207</v>
      </c>
      <c r="G359" t="s">
        <v>67</v>
      </c>
      <c r="H359" t="str">
        <f>VLOOKUP(Table1[[#This Row],[City]],Table6[#All],2,FALSE)</f>
        <v>East</v>
      </c>
      <c r="I359" t="s">
        <v>24</v>
      </c>
      <c r="J359" t="str">
        <f>_xlfn.XLOOKUP(Table1[[#This Row],[Tractor Model]],Table7[Product Model],Table7[Product Category],"Not Available",0)</f>
        <v>Farmtrac</v>
      </c>
      <c r="K359" s="4">
        <v>4</v>
      </c>
      <c r="L359" s="72">
        <v>102444</v>
      </c>
      <c r="M359" s="4">
        <f>INDEX('Master Sheet'!$C$4:$C$12,MATCH(Table1[[#This Row],[Quantity]],'Master Sheet'!$B$4:$B$12,0))</f>
        <v>6</v>
      </c>
      <c r="N359" s="71">
        <f>Table1[[#This Row],[Quantity]]*Table1[[#This Row],[Unit Price]]</f>
        <v>409776</v>
      </c>
      <c r="O359" s="73">
        <v>4.0977600000000003E-2</v>
      </c>
      <c r="P359" s="70">
        <f>Table1[[#This Row],[Gross Amount]]*(1-(Table1[[#This Row],[Discount %]]/100))</f>
        <v>385189.44</v>
      </c>
      <c r="Q359" s="74">
        <f>(Table1[[#This Row],[Gross Amount]]*(1-(Table1[[#This Row],[Discount %]]/100)))/10000000</f>
        <v>3.8518943999999999E-2</v>
      </c>
      <c r="R359" t="s">
        <v>25</v>
      </c>
      <c r="S359" t="str" cm="1">
        <f t="array" ref="S359">IFERROR(_xlfn.IFS(Table1[[#This Row],[Payment Status]]="Partial","In Transit",Table1[[#This Row],[Payment Status]]="Paid","Delivered",Table1[[#This Row],[Payment Status]]="Pending","Pending"),"Invalid Input")</f>
        <v>In Transit</v>
      </c>
      <c r="T359" t="s">
        <v>27</v>
      </c>
      <c r="U359" t="str" cm="1">
        <f t="array" ref="U359">IFERROR(_xlfn.IFS(Table1[[#This Row],[Payment Status]]="Partial","In Transit",Table1[[#This Row],[Payment Status]]="Paid","Completed",Table1[[#This Row],[Payment Status]]="Pending","Pending"),"Invalid Input")</f>
        <v>In Transit</v>
      </c>
    </row>
    <row r="360" spans="1:21" x14ac:dyDescent="0.25">
      <c r="A360" s="4" t="s">
        <v>757</v>
      </c>
      <c r="B360" s="5">
        <v>45726</v>
      </c>
      <c r="C360" t="s">
        <v>52</v>
      </c>
      <c r="D360" t="s">
        <v>3270</v>
      </c>
      <c r="E360" t="s">
        <v>66</v>
      </c>
      <c r="F360" t="s">
        <v>3220</v>
      </c>
      <c r="G360" t="s">
        <v>67</v>
      </c>
      <c r="H360" t="str">
        <f>VLOOKUP(Table1[[#This Row],[City]],Table6[#All],2,FALSE)</f>
        <v>East</v>
      </c>
      <c r="I360" t="s">
        <v>24</v>
      </c>
      <c r="J360" t="str">
        <f>_xlfn.XLOOKUP(Table1[[#This Row],[Tractor Model]],Table7[Product Model],Table7[Product Category],"Not Available",0)</f>
        <v>Farmtrac</v>
      </c>
      <c r="K360" s="4">
        <v>6</v>
      </c>
      <c r="L360" s="72">
        <v>128455</v>
      </c>
      <c r="M360" s="4">
        <f>INDEX('Master Sheet'!$C$4:$C$12,MATCH(Table1[[#This Row],[Quantity]],'Master Sheet'!$B$4:$B$12,0))</f>
        <v>8</v>
      </c>
      <c r="N360" s="71">
        <f>Table1[[#This Row],[Quantity]]*Table1[[#This Row],[Unit Price]]</f>
        <v>770730</v>
      </c>
      <c r="O360" s="73">
        <v>7.7073000000000003E-2</v>
      </c>
      <c r="P360" s="70">
        <f>Table1[[#This Row],[Gross Amount]]*(1-(Table1[[#This Row],[Discount %]]/100))</f>
        <v>709071.6</v>
      </c>
      <c r="Q360" s="74">
        <f>(Table1[[#This Row],[Gross Amount]]*(1-(Table1[[#This Row],[Discount %]]/100)))/10000000</f>
        <v>7.0907159999999997E-2</v>
      </c>
      <c r="R360" t="s">
        <v>42</v>
      </c>
      <c r="S360" t="str" cm="1">
        <f t="array" ref="S360">IFERROR(_xlfn.IFS(Table1[[#This Row],[Payment Status]]="Partial","In Transit",Table1[[#This Row],[Payment Status]]="Paid","Delivered",Table1[[#This Row],[Payment Status]]="Pending","Pending"),"Invalid Input")</f>
        <v>Pending</v>
      </c>
      <c r="T360" t="s">
        <v>27</v>
      </c>
      <c r="U360" t="str" cm="1">
        <f t="array" ref="U360">IFERROR(_xlfn.IFS(Table1[[#This Row],[Payment Status]]="Partial","In Transit",Table1[[#This Row],[Payment Status]]="Paid","Completed",Table1[[#This Row],[Payment Status]]="Pending","Pending"),"Invalid Input")</f>
        <v>Pending</v>
      </c>
    </row>
    <row r="361" spans="1:21" x14ac:dyDescent="0.25">
      <c r="A361" s="4" t="s">
        <v>758</v>
      </c>
      <c r="B361" s="5">
        <v>45431</v>
      </c>
      <c r="C361" t="s">
        <v>73</v>
      </c>
      <c r="D361" t="s">
        <v>3270</v>
      </c>
      <c r="E361" t="s">
        <v>38</v>
      </c>
      <c r="F361" t="s">
        <v>3218</v>
      </c>
      <c r="G361" t="s">
        <v>39</v>
      </c>
      <c r="H361" t="str">
        <f>VLOOKUP(Table1[[#This Row],[City]],Table6[#All],2,FALSE)</f>
        <v>West</v>
      </c>
      <c r="I361" t="s">
        <v>58</v>
      </c>
      <c r="J361" t="str">
        <f>_xlfn.XLOOKUP(Table1[[#This Row],[Tractor Model]],Table7[Product Model],Table7[Product Category],"Not Available",0)</f>
        <v>Powertrac</v>
      </c>
      <c r="K361" s="4">
        <v>8</v>
      </c>
      <c r="L361" s="72">
        <v>725092</v>
      </c>
      <c r="M361" s="4">
        <f>INDEX('Master Sheet'!$C$4:$C$12,MATCH(Table1[[#This Row],[Quantity]],'Master Sheet'!$B$4:$B$12,0))</f>
        <v>9</v>
      </c>
      <c r="N361" s="71">
        <f>Table1[[#This Row],[Quantity]]*Table1[[#This Row],[Unit Price]]</f>
        <v>5800736</v>
      </c>
      <c r="O361" s="73">
        <v>0.58007359999999997</v>
      </c>
      <c r="P361" s="70">
        <f>Table1[[#This Row],[Gross Amount]]*(1-(Table1[[#This Row],[Discount %]]/100))</f>
        <v>5278669.76</v>
      </c>
      <c r="Q361" s="74">
        <f>(Table1[[#This Row],[Gross Amount]]*(1-(Table1[[#This Row],[Discount %]]/100)))/10000000</f>
        <v>0.52786697599999999</v>
      </c>
      <c r="R361" t="s">
        <v>42</v>
      </c>
      <c r="S361" t="str" cm="1">
        <f t="array" ref="S361">IFERROR(_xlfn.IFS(Table1[[#This Row],[Payment Status]]="Partial","In Transit",Table1[[#This Row],[Payment Status]]="Paid","Delivered",Table1[[#This Row],[Payment Status]]="Pending","Pending"),"Invalid Input")</f>
        <v>Pending</v>
      </c>
      <c r="T361" t="s">
        <v>27</v>
      </c>
      <c r="U361" t="str" cm="1">
        <f t="array" ref="U361">IFERROR(_xlfn.IFS(Table1[[#This Row],[Payment Status]]="Partial","In Transit",Table1[[#This Row],[Payment Status]]="Paid","Completed",Table1[[#This Row],[Payment Status]]="Pending","Pending"),"Invalid Input")</f>
        <v>Pending</v>
      </c>
    </row>
    <row r="362" spans="1:21" x14ac:dyDescent="0.25">
      <c r="A362" s="4" t="s">
        <v>760</v>
      </c>
      <c r="B362" s="5">
        <v>45469</v>
      </c>
      <c r="C362" t="s">
        <v>41</v>
      </c>
      <c r="D362" t="s">
        <v>3271</v>
      </c>
      <c r="E362" t="s">
        <v>119</v>
      </c>
      <c r="F362" t="s">
        <v>3228</v>
      </c>
      <c r="G362" t="s">
        <v>21</v>
      </c>
      <c r="H362" t="str">
        <f>VLOOKUP(Table1[[#This Row],[City]],Table6[#All],2,FALSE)</f>
        <v>North</v>
      </c>
      <c r="I362" t="s">
        <v>3204</v>
      </c>
      <c r="J362" t="str">
        <f>_xlfn.XLOOKUP(Table1[[#This Row],[Tractor Model]],Table7[Product Model],Table7[Product Category],"Not Available",0)</f>
        <v>Kubota</v>
      </c>
      <c r="K362" s="4">
        <v>5</v>
      </c>
      <c r="L362" s="72">
        <v>618678</v>
      </c>
      <c r="M362" s="4">
        <f>INDEX('Master Sheet'!$C$4:$C$12,MATCH(Table1[[#This Row],[Quantity]],'Master Sheet'!$B$4:$B$12,0))</f>
        <v>7</v>
      </c>
      <c r="N362" s="71">
        <f>Table1[[#This Row],[Quantity]]*Table1[[#This Row],[Unit Price]]</f>
        <v>3093390</v>
      </c>
      <c r="O362" s="73">
        <v>0.30933899999999998</v>
      </c>
      <c r="P362" s="70">
        <f>Table1[[#This Row],[Gross Amount]]*(1-(Table1[[#This Row],[Discount %]]/100))</f>
        <v>2876852.6999999997</v>
      </c>
      <c r="Q362" s="74">
        <f>(Table1[[#This Row],[Gross Amount]]*(1-(Table1[[#This Row],[Discount %]]/100)))/10000000</f>
        <v>0.28768526999999999</v>
      </c>
      <c r="R362" t="s">
        <v>25</v>
      </c>
      <c r="S362" t="str" cm="1">
        <f t="array" ref="S362">IFERROR(_xlfn.IFS(Table1[[#This Row],[Payment Status]]="Partial","In Transit",Table1[[#This Row],[Payment Status]]="Paid","Delivered",Table1[[#This Row],[Payment Status]]="Pending","Pending"),"Invalid Input")</f>
        <v>In Transit</v>
      </c>
      <c r="T362" t="s">
        <v>44</v>
      </c>
      <c r="U362" t="str" cm="1">
        <f t="array" ref="U362">IFERROR(_xlfn.IFS(Table1[[#This Row],[Payment Status]]="Partial","In Transit",Table1[[#This Row],[Payment Status]]="Paid","Completed",Table1[[#This Row],[Payment Status]]="Pending","Pending"),"Invalid Input")</f>
        <v>In Transit</v>
      </c>
    </row>
    <row r="363" spans="1:21" x14ac:dyDescent="0.25">
      <c r="A363" s="4" t="s">
        <v>762</v>
      </c>
      <c r="B363" s="5">
        <v>45536</v>
      </c>
      <c r="C363" t="s">
        <v>41</v>
      </c>
      <c r="D363" t="s">
        <v>3271</v>
      </c>
      <c r="E363" t="s">
        <v>30</v>
      </c>
      <c r="F363" t="s">
        <v>3217</v>
      </c>
      <c r="G363" t="s">
        <v>31</v>
      </c>
      <c r="H363" t="str">
        <f>VLOOKUP(Table1[[#This Row],[City]],Table6[#All],2,FALSE)</f>
        <v>South</v>
      </c>
      <c r="I363" t="s">
        <v>3204</v>
      </c>
      <c r="J363" t="str">
        <f>_xlfn.XLOOKUP(Table1[[#This Row],[Tractor Model]],Table7[Product Model],Table7[Product Category],"Not Available",0)</f>
        <v>Kubota</v>
      </c>
      <c r="K363" s="4">
        <v>0</v>
      </c>
      <c r="L363" s="72">
        <v>634001</v>
      </c>
      <c r="M363" s="4">
        <f>INDEX('Master Sheet'!$C$4:$C$12,MATCH(Table1[[#This Row],[Quantity]],'Master Sheet'!$B$4:$B$12,0))</f>
        <v>0</v>
      </c>
      <c r="N363" s="71">
        <f>Table1[[#This Row],[Quantity]]*Table1[[#This Row],[Unit Price]]</f>
        <v>0</v>
      </c>
      <c r="O363" s="73">
        <v>0</v>
      </c>
      <c r="P363" s="70">
        <f>Table1[[#This Row],[Gross Amount]]*(1-(Table1[[#This Row],[Discount %]]/100))</f>
        <v>0</v>
      </c>
      <c r="Q363" s="74">
        <f>(Table1[[#This Row],[Gross Amount]]*(1-(Table1[[#This Row],[Discount %]]/100)))/10000000</f>
        <v>0</v>
      </c>
      <c r="R363" t="s">
        <v>42</v>
      </c>
      <c r="S363" t="str" cm="1">
        <f t="array" ref="S363">IFERROR(_xlfn.IFS(Table1[[#This Row],[Payment Status]]="Partial","In Transit",Table1[[#This Row],[Payment Status]]="Paid","Delivered",Table1[[#This Row],[Payment Status]]="Pending","Pending"),"Invalid Input")</f>
        <v>Pending</v>
      </c>
      <c r="T363" t="s">
        <v>27</v>
      </c>
      <c r="U363" t="str" cm="1">
        <f t="array" ref="U363">IFERROR(_xlfn.IFS(Table1[[#This Row],[Payment Status]]="Partial","In Transit",Table1[[#This Row],[Payment Status]]="Paid","Completed",Table1[[#This Row],[Payment Status]]="Pending","Pending"),"Invalid Input")</f>
        <v>Pending</v>
      </c>
    </row>
    <row r="364" spans="1:21" x14ac:dyDescent="0.25">
      <c r="A364" s="4" t="s">
        <v>764</v>
      </c>
      <c r="B364" s="5">
        <v>45508</v>
      </c>
      <c r="C364" t="s">
        <v>33</v>
      </c>
      <c r="D364" t="s">
        <v>3271</v>
      </c>
      <c r="E364" t="s">
        <v>38</v>
      </c>
      <c r="F364" t="s">
        <v>3210</v>
      </c>
      <c r="G364" t="s">
        <v>39</v>
      </c>
      <c r="H364" t="str">
        <f>VLOOKUP(Table1[[#This Row],[City]],Table6[#All],2,FALSE)</f>
        <v>West</v>
      </c>
      <c r="I364" t="s">
        <v>58</v>
      </c>
      <c r="J364" t="str">
        <f>_xlfn.XLOOKUP(Table1[[#This Row],[Tractor Model]],Table7[Product Model],Table7[Product Category],"Not Available",0)</f>
        <v>Powertrac</v>
      </c>
      <c r="K364" s="4">
        <v>1</v>
      </c>
      <c r="L364" s="72">
        <v>328109</v>
      </c>
      <c r="M364" s="4">
        <f>INDEX('Master Sheet'!$C$4:$C$12,MATCH(Table1[[#This Row],[Quantity]],'Master Sheet'!$B$4:$B$12,0))</f>
        <v>3</v>
      </c>
      <c r="N364" s="71">
        <f>Table1[[#This Row],[Quantity]]*Table1[[#This Row],[Unit Price]]</f>
        <v>328109</v>
      </c>
      <c r="O364" s="73">
        <v>3.2810899999999997E-2</v>
      </c>
      <c r="P364" s="70">
        <f>Table1[[#This Row],[Gross Amount]]*(1-(Table1[[#This Row],[Discount %]]/100))</f>
        <v>318265.73</v>
      </c>
      <c r="Q364" s="74">
        <f>(Table1[[#This Row],[Gross Amount]]*(1-(Table1[[#This Row],[Discount %]]/100)))/10000000</f>
        <v>3.1826572999999997E-2</v>
      </c>
      <c r="R364" t="s">
        <v>54</v>
      </c>
      <c r="S364" t="str" cm="1">
        <f t="array" ref="S364">IFERROR(_xlfn.IFS(Table1[[#This Row],[Payment Status]]="Partial","In Transit",Table1[[#This Row],[Payment Status]]="Paid","Delivered",Table1[[#This Row],[Payment Status]]="Pending","Pending"),"Invalid Input")</f>
        <v>Delivered</v>
      </c>
      <c r="T364" t="s">
        <v>27</v>
      </c>
      <c r="U364" t="str" cm="1">
        <f t="array" ref="U364">IFERROR(_xlfn.IFS(Table1[[#This Row],[Payment Status]]="Partial","In Transit",Table1[[#This Row],[Payment Status]]="Paid","Completed",Table1[[#This Row],[Payment Status]]="Pending","Pending"),"Invalid Input")</f>
        <v>Completed</v>
      </c>
    </row>
    <row r="365" spans="1:21" x14ac:dyDescent="0.25">
      <c r="A365" s="4" t="s">
        <v>766</v>
      </c>
      <c r="B365" s="5">
        <v>45324</v>
      </c>
      <c r="C365" t="s">
        <v>33</v>
      </c>
      <c r="D365" t="s">
        <v>3270</v>
      </c>
      <c r="E365" t="s">
        <v>47</v>
      </c>
      <c r="F365" t="s">
        <v>3205</v>
      </c>
      <c r="G365" t="s">
        <v>48</v>
      </c>
      <c r="H365" t="str">
        <f>VLOOKUP(Table1[[#This Row],[City]],Table6[#All],2,FALSE)</f>
        <v>North</v>
      </c>
      <c r="I365" t="s">
        <v>24</v>
      </c>
      <c r="J365" t="str">
        <f>_xlfn.XLOOKUP(Table1[[#This Row],[Tractor Model]],Table7[Product Model],Table7[Product Category],"Not Available",0)</f>
        <v>Farmtrac</v>
      </c>
      <c r="K365" s="4">
        <v>1</v>
      </c>
      <c r="L365" s="72">
        <v>372606</v>
      </c>
      <c r="M365" s="4">
        <f>INDEX('Master Sheet'!$C$4:$C$12,MATCH(Table1[[#This Row],[Quantity]],'Master Sheet'!$B$4:$B$12,0))</f>
        <v>3</v>
      </c>
      <c r="N365" s="71">
        <f>Table1[[#This Row],[Quantity]]*Table1[[#This Row],[Unit Price]]</f>
        <v>372606</v>
      </c>
      <c r="O365" s="73">
        <v>3.7260599999999998E-2</v>
      </c>
      <c r="P365" s="70">
        <f>Table1[[#This Row],[Gross Amount]]*(1-(Table1[[#This Row],[Discount %]]/100))</f>
        <v>361427.82</v>
      </c>
      <c r="Q365" s="74">
        <f>(Table1[[#This Row],[Gross Amount]]*(1-(Table1[[#This Row],[Discount %]]/100)))/10000000</f>
        <v>3.6142781999999998E-2</v>
      </c>
      <c r="R365" t="s">
        <v>25</v>
      </c>
      <c r="S365" t="str" cm="1">
        <f t="array" ref="S365">IFERROR(_xlfn.IFS(Table1[[#This Row],[Payment Status]]="Partial","In Transit",Table1[[#This Row],[Payment Status]]="Paid","Delivered",Table1[[#This Row],[Payment Status]]="Pending","Pending"),"Invalid Input")</f>
        <v>In Transit</v>
      </c>
      <c r="T365" t="s">
        <v>27</v>
      </c>
      <c r="U365" t="str" cm="1">
        <f t="array" ref="U365">IFERROR(_xlfn.IFS(Table1[[#This Row],[Payment Status]]="Partial","In Transit",Table1[[#This Row],[Payment Status]]="Paid","Completed",Table1[[#This Row],[Payment Status]]="Pending","Pending"),"Invalid Input")</f>
        <v>In Transit</v>
      </c>
    </row>
    <row r="366" spans="1:21" x14ac:dyDescent="0.25">
      <c r="A366" s="4" t="s">
        <v>768</v>
      </c>
      <c r="B366" s="5">
        <v>45556</v>
      </c>
      <c r="C366" t="s">
        <v>41</v>
      </c>
      <c r="D366" t="s">
        <v>3269</v>
      </c>
      <c r="E366" t="s">
        <v>47</v>
      </c>
      <c r="F366" t="s">
        <v>3209</v>
      </c>
      <c r="G366" t="s">
        <v>48</v>
      </c>
      <c r="H366" t="str">
        <f>VLOOKUP(Table1[[#This Row],[City]],Table6[#All],2,FALSE)</f>
        <v>North</v>
      </c>
      <c r="I366" t="s">
        <v>3204</v>
      </c>
      <c r="J366" t="str">
        <f>_xlfn.XLOOKUP(Table1[[#This Row],[Tractor Model]],Table7[Product Model],Table7[Product Category],"Not Available",0)</f>
        <v>Kubota</v>
      </c>
      <c r="K366" s="4">
        <v>1</v>
      </c>
      <c r="L366" s="72">
        <v>162109</v>
      </c>
      <c r="M366" s="4">
        <f>INDEX('Master Sheet'!$C$4:$C$12,MATCH(Table1[[#This Row],[Quantity]],'Master Sheet'!$B$4:$B$12,0))</f>
        <v>3</v>
      </c>
      <c r="N366" s="71">
        <f>Table1[[#This Row],[Quantity]]*Table1[[#This Row],[Unit Price]]</f>
        <v>162109</v>
      </c>
      <c r="O366" s="73">
        <v>1.62109E-2</v>
      </c>
      <c r="P366" s="70">
        <f>Table1[[#This Row],[Gross Amount]]*(1-(Table1[[#This Row],[Discount %]]/100))</f>
        <v>157245.72999999998</v>
      </c>
      <c r="Q366" s="74">
        <f>(Table1[[#This Row],[Gross Amount]]*(1-(Table1[[#This Row],[Discount %]]/100)))/10000000</f>
        <v>1.5724572999999999E-2</v>
      </c>
      <c r="R366" t="s">
        <v>25</v>
      </c>
      <c r="S366" t="str" cm="1">
        <f t="array" ref="S366">IFERROR(_xlfn.IFS(Table1[[#This Row],[Payment Status]]="Partial","In Transit",Table1[[#This Row],[Payment Status]]="Paid","Delivered",Table1[[#This Row],[Payment Status]]="Pending","Pending"),"Invalid Input")</f>
        <v>In Transit</v>
      </c>
      <c r="T366" t="s">
        <v>27</v>
      </c>
      <c r="U366" t="str" cm="1">
        <f t="array" ref="U366">IFERROR(_xlfn.IFS(Table1[[#This Row],[Payment Status]]="Partial","In Transit",Table1[[#This Row],[Payment Status]]="Paid","Completed",Table1[[#This Row],[Payment Status]]="Pending","Pending"),"Invalid Input")</f>
        <v>In Transit</v>
      </c>
    </row>
    <row r="367" spans="1:21" x14ac:dyDescent="0.25">
      <c r="A367" s="4" t="s">
        <v>770</v>
      </c>
      <c r="B367" s="5">
        <v>45824</v>
      </c>
      <c r="C367" t="s">
        <v>62</v>
      </c>
      <c r="D367" t="s">
        <v>3269</v>
      </c>
      <c r="E367" t="s">
        <v>119</v>
      </c>
      <c r="F367" t="s">
        <v>3229</v>
      </c>
      <c r="G367" t="s">
        <v>21</v>
      </c>
      <c r="H367" t="str">
        <f>VLOOKUP(Table1[[#This Row],[City]],Table6[#All],2,FALSE)</f>
        <v>North</v>
      </c>
      <c r="I367" t="s">
        <v>24</v>
      </c>
      <c r="J367" t="str">
        <f>_xlfn.XLOOKUP(Table1[[#This Row],[Tractor Model]],Table7[Product Model],Table7[Product Category],"Not Available",0)</f>
        <v>Farmtrac</v>
      </c>
      <c r="K367" s="4">
        <v>8</v>
      </c>
      <c r="L367" s="72">
        <v>793445</v>
      </c>
      <c r="M367" s="4">
        <f>INDEX('Master Sheet'!$C$4:$C$12,MATCH(Table1[[#This Row],[Quantity]],'Master Sheet'!$B$4:$B$12,0))</f>
        <v>9</v>
      </c>
      <c r="N367" s="71">
        <f>Table1[[#This Row],[Quantity]]*Table1[[#This Row],[Unit Price]]</f>
        <v>6347560</v>
      </c>
      <c r="O367" s="73">
        <v>0.63475599999999999</v>
      </c>
      <c r="P367" s="70">
        <f>Table1[[#This Row],[Gross Amount]]*(1-(Table1[[#This Row],[Discount %]]/100))</f>
        <v>5776279.6000000006</v>
      </c>
      <c r="Q367" s="74">
        <f>(Table1[[#This Row],[Gross Amount]]*(1-(Table1[[#This Row],[Discount %]]/100)))/10000000</f>
        <v>0.57762796000000005</v>
      </c>
      <c r="R367" t="s">
        <v>25</v>
      </c>
      <c r="S367" t="str" cm="1">
        <f t="array" ref="S367">IFERROR(_xlfn.IFS(Table1[[#This Row],[Payment Status]]="Partial","In Transit",Table1[[#This Row],[Payment Status]]="Paid","Delivered",Table1[[#This Row],[Payment Status]]="Pending","Pending"),"Invalid Input")</f>
        <v>In Transit</v>
      </c>
      <c r="T367" t="s">
        <v>27</v>
      </c>
      <c r="U367" t="str" cm="1">
        <f t="array" ref="U367">IFERROR(_xlfn.IFS(Table1[[#This Row],[Payment Status]]="Partial","In Transit",Table1[[#This Row],[Payment Status]]="Paid","Completed",Table1[[#This Row],[Payment Status]]="Pending","Pending"),"Invalid Input")</f>
        <v>In Transit</v>
      </c>
    </row>
    <row r="368" spans="1:21" x14ac:dyDescent="0.25">
      <c r="A368" s="4" t="s">
        <v>772</v>
      </c>
      <c r="B368" s="5">
        <v>45624</v>
      </c>
      <c r="C368" t="s">
        <v>73</v>
      </c>
      <c r="D368" t="s">
        <v>3268</v>
      </c>
      <c r="E368" t="s">
        <v>66</v>
      </c>
      <c r="F368" t="s">
        <v>3211</v>
      </c>
      <c r="G368" t="s">
        <v>67</v>
      </c>
      <c r="H368" t="str">
        <f>VLOOKUP(Table1[[#This Row],[City]],Table6[#All],2,FALSE)</f>
        <v>East</v>
      </c>
      <c r="I368" t="s">
        <v>3203</v>
      </c>
      <c r="J368" t="str">
        <f>_xlfn.XLOOKUP(Table1[[#This Row],[Tractor Model]],Table7[Product Model],Table7[Product Category],"Not Available",0)</f>
        <v>Kubota</v>
      </c>
      <c r="K368" s="4">
        <v>2</v>
      </c>
      <c r="L368" s="72">
        <v>88874</v>
      </c>
      <c r="M368" s="4">
        <f>INDEX('Master Sheet'!$C$4:$C$12,MATCH(Table1[[#This Row],[Quantity]],'Master Sheet'!$B$4:$B$12,0))</f>
        <v>5</v>
      </c>
      <c r="N368" s="71">
        <f>Table1[[#This Row],[Quantity]]*Table1[[#This Row],[Unit Price]]</f>
        <v>177748</v>
      </c>
      <c r="O368" s="73">
        <v>1.77748E-2</v>
      </c>
      <c r="P368" s="70">
        <f>Table1[[#This Row],[Gross Amount]]*(1-(Table1[[#This Row],[Discount %]]/100))</f>
        <v>168860.6</v>
      </c>
      <c r="Q368" s="74">
        <f>(Table1[[#This Row],[Gross Amount]]*(1-(Table1[[#This Row],[Discount %]]/100)))/10000000</f>
        <v>1.6886060000000001E-2</v>
      </c>
      <c r="R368" t="s">
        <v>25</v>
      </c>
      <c r="S368" t="str" cm="1">
        <f t="array" ref="S368">IFERROR(_xlfn.IFS(Table1[[#This Row],[Payment Status]]="Partial","In Transit",Table1[[#This Row],[Payment Status]]="Paid","Delivered",Table1[[#This Row],[Payment Status]]="Pending","Pending"),"Invalid Input")</f>
        <v>In Transit</v>
      </c>
      <c r="T368" t="s">
        <v>27</v>
      </c>
      <c r="U368" t="str" cm="1">
        <f t="array" ref="U368">IFERROR(_xlfn.IFS(Table1[[#This Row],[Payment Status]]="Partial","In Transit",Table1[[#This Row],[Payment Status]]="Paid","Completed",Table1[[#This Row],[Payment Status]]="Pending","Pending"),"Invalid Input")</f>
        <v>In Transit</v>
      </c>
    </row>
    <row r="369" spans="1:21" x14ac:dyDescent="0.25">
      <c r="A369" s="4" t="s">
        <v>774</v>
      </c>
      <c r="B369" s="5">
        <v>45773</v>
      </c>
      <c r="C369" t="s">
        <v>52</v>
      </c>
      <c r="D369" t="s">
        <v>3271</v>
      </c>
      <c r="E369" t="s">
        <v>66</v>
      </c>
      <c r="F369" t="s">
        <v>3207</v>
      </c>
      <c r="G369" t="s">
        <v>67</v>
      </c>
      <c r="H369" t="str">
        <f>VLOOKUP(Table1[[#This Row],[City]],Table6[#All],2,FALSE)</f>
        <v>East</v>
      </c>
      <c r="I369" t="s">
        <v>53</v>
      </c>
      <c r="J369" t="str">
        <f>_xlfn.XLOOKUP(Table1[[#This Row],[Tractor Model]],Table7[Product Model],Table7[Product Category],"Not Available",0)</f>
        <v>Farmtrac</v>
      </c>
      <c r="K369" s="4">
        <v>5</v>
      </c>
      <c r="L369" s="72">
        <v>497323</v>
      </c>
      <c r="M369" s="4">
        <f>INDEX('Master Sheet'!$C$4:$C$12,MATCH(Table1[[#This Row],[Quantity]],'Master Sheet'!$B$4:$B$12,0))</f>
        <v>7</v>
      </c>
      <c r="N369" s="71">
        <f>Table1[[#This Row],[Quantity]]*Table1[[#This Row],[Unit Price]]</f>
        <v>2486615</v>
      </c>
      <c r="O369" s="73">
        <v>0.24866150000000001</v>
      </c>
      <c r="P369" s="70">
        <f>Table1[[#This Row],[Gross Amount]]*(1-(Table1[[#This Row],[Discount %]]/100))</f>
        <v>2312551.9499999997</v>
      </c>
      <c r="Q369" s="74">
        <f>(Table1[[#This Row],[Gross Amount]]*(1-(Table1[[#This Row],[Discount %]]/100)))/10000000</f>
        <v>0.23125519499999997</v>
      </c>
      <c r="R369" t="s">
        <v>42</v>
      </c>
      <c r="S369" t="str" cm="1">
        <f t="array" ref="S369">IFERROR(_xlfn.IFS(Table1[[#This Row],[Payment Status]]="Partial","In Transit",Table1[[#This Row],[Payment Status]]="Paid","Delivered",Table1[[#This Row],[Payment Status]]="Pending","Pending"),"Invalid Input")</f>
        <v>Pending</v>
      </c>
      <c r="T369" t="s">
        <v>44</v>
      </c>
      <c r="U369" t="str" cm="1">
        <f t="array" ref="U369">IFERROR(_xlfn.IFS(Table1[[#This Row],[Payment Status]]="Partial","In Transit",Table1[[#This Row],[Payment Status]]="Paid","Completed",Table1[[#This Row],[Payment Status]]="Pending","Pending"),"Invalid Input")</f>
        <v>Pending</v>
      </c>
    </row>
    <row r="370" spans="1:21" x14ac:dyDescent="0.25">
      <c r="A370" s="4" t="s">
        <v>776</v>
      </c>
      <c r="B370" s="5">
        <v>45503</v>
      </c>
      <c r="C370" t="s">
        <v>33</v>
      </c>
      <c r="D370" t="s">
        <v>3271</v>
      </c>
      <c r="E370" t="s">
        <v>47</v>
      </c>
      <c r="F370" t="s">
        <v>3221</v>
      </c>
      <c r="G370" t="s">
        <v>48</v>
      </c>
      <c r="H370" t="str">
        <f>VLOOKUP(Table1[[#This Row],[City]],Table6[#All],2,FALSE)</f>
        <v>North</v>
      </c>
      <c r="I370" t="s">
        <v>24</v>
      </c>
      <c r="J370" t="str">
        <f>_xlfn.XLOOKUP(Table1[[#This Row],[Tractor Model]],Table7[Product Model],Table7[Product Category],"Not Available",0)</f>
        <v>Farmtrac</v>
      </c>
      <c r="K370" s="4">
        <v>1</v>
      </c>
      <c r="L370" s="72">
        <v>893259</v>
      </c>
      <c r="M370" s="4">
        <f>INDEX('Master Sheet'!$C$4:$C$12,MATCH(Table1[[#This Row],[Quantity]],'Master Sheet'!$B$4:$B$12,0))</f>
        <v>3</v>
      </c>
      <c r="N370" s="71">
        <f>Table1[[#This Row],[Quantity]]*Table1[[#This Row],[Unit Price]]</f>
        <v>893259</v>
      </c>
      <c r="O370" s="73">
        <v>8.93259E-2</v>
      </c>
      <c r="P370" s="70">
        <f>Table1[[#This Row],[Gross Amount]]*(1-(Table1[[#This Row],[Discount %]]/100))</f>
        <v>866461.23</v>
      </c>
      <c r="Q370" s="74">
        <f>(Table1[[#This Row],[Gross Amount]]*(1-(Table1[[#This Row],[Discount %]]/100)))/10000000</f>
        <v>8.6646122999999992E-2</v>
      </c>
      <c r="R370" t="s">
        <v>54</v>
      </c>
      <c r="S370" t="str" cm="1">
        <f t="array" ref="S370">IFERROR(_xlfn.IFS(Table1[[#This Row],[Payment Status]]="Partial","In Transit",Table1[[#This Row],[Payment Status]]="Paid","Delivered",Table1[[#This Row],[Payment Status]]="Pending","Pending"),"Invalid Input")</f>
        <v>Delivered</v>
      </c>
      <c r="T370" t="s">
        <v>27</v>
      </c>
      <c r="U370" t="str" cm="1">
        <f t="array" ref="U370">IFERROR(_xlfn.IFS(Table1[[#This Row],[Payment Status]]="Partial","In Transit",Table1[[#This Row],[Payment Status]]="Paid","Completed",Table1[[#This Row],[Payment Status]]="Pending","Pending"),"Invalid Input")</f>
        <v>Completed</v>
      </c>
    </row>
    <row r="371" spans="1:21" x14ac:dyDescent="0.25">
      <c r="A371" s="4" t="s">
        <v>778</v>
      </c>
      <c r="B371" s="5">
        <v>45743</v>
      </c>
      <c r="C371" t="s">
        <v>62</v>
      </c>
      <c r="D371" t="s">
        <v>3270</v>
      </c>
      <c r="E371" t="s">
        <v>66</v>
      </c>
      <c r="F371" t="s">
        <v>3220</v>
      </c>
      <c r="G371" t="s">
        <v>67</v>
      </c>
      <c r="H371" t="str">
        <f>VLOOKUP(Table1[[#This Row],[City]],Table6[#All],2,FALSE)</f>
        <v>East</v>
      </c>
      <c r="I371" t="s">
        <v>3204</v>
      </c>
      <c r="J371" t="str">
        <f>_xlfn.XLOOKUP(Table1[[#This Row],[Tractor Model]],Table7[Product Model],Table7[Product Category],"Not Available",0)</f>
        <v>Kubota</v>
      </c>
      <c r="K371" s="4">
        <v>2</v>
      </c>
      <c r="L371" s="72">
        <v>481827</v>
      </c>
      <c r="M371" s="4">
        <f>INDEX('Master Sheet'!$C$4:$C$12,MATCH(Table1[[#This Row],[Quantity]],'Master Sheet'!$B$4:$B$12,0))</f>
        <v>5</v>
      </c>
      <c r="N371" s="71">
        <f>Table1[[#This Row],[Quantity]]*Table1[[#This Row],[Unit Price]]</f>
        <v>963654</v>
      </c>
      <c r="O371" s="73">
        <v>9.6365400000000004E-2</v>
      </c>
      <c r="P371" s="70">
        <f>Table1[[#This Row],[Gross Amount]]*(1-(Table1[[#This Row],[Discount %]]/100))</f>
        <v>915471.29999999993</v>
      </c>
      <c r="Q371" s="74">
        <f>(Table1[[#This Row],[Gross Amount]]*(1-(Table1[[#This Row],[Discount %]]/100)))/10000000</f>
        <v>9.154712999999999E-2</v>
      </c>
      <c r="R371" t="s">
        <v>54</v>
      </c>
      <c r="S371" t="str" cm="1">
        <f t="array" ref="S371">IFERROR(_xlfn.IFS(Table1[[#This Row],[Payment Status]]="Partial","In Transit",Table1[[#This Row],[Payment Status]]="Paid","Delivered",Table1[[#This Row],[Payment Status]]="Pending","Pending"),"Invalid Input")</f>
        <v>Delivered</v>
      </c>
      <c r="T371" t="s">
        <v>27</v>
      </c>
      <c r="U371" t="str" cm="1">
        <f t="array" ref="U371">IFERROR(_xlfn.IFS(Table1[[#This Row],[Payment Status]]="Partial","In Transit",Table1[[#This Row],[Payment Status]]="Paid","Completed",Table1[[#This Row],[Payment Status]]="Pending","Pending"),"Invalid Input")</f>
        <v>Completed</v>
      </c>
    </row>
    <row r="372" spans="1:21" x14ac:dyDescent="0.25">
      <c r="A372" s="4" t="s">
        <v>779</v>
      </c>
      <c r="B372" s="5">
        <v>45583</v>
      </c>
      <c r="C372" t="s">
        <v>33</v>
      </c>
      <c r="D372" t="s">
        <v>37</v>
      </c>
      <c r="E372" t="s">
        <v>66</v>
      </c>
      <c r="F372" t="s">
        <v>3226</v>
      </c>
      <c r="G372" t="s">
        <v>67</v>
      </c>
      <c r="H372" t="str">
        <f>VLOOKUP(Table1[[#This Row],[City]],Table6[#All],2,FALSE)</f>
        <v>East</v>
      </c>
      <c r="I372" t="s">
        <v>24</v>
      </c>
      <c r="J372" t="str">
        <f>_xlfn.XLOOKUP(Table1[[#This Row],[Tractor Model]],Table7[Product Model],Table7[Product Category],"Not Available",0)</f>
        <v>Farmtrac</v>
      </c>
      <c r="K372" s="4">
        <v>6</v>
      </c>
      <c r="L372" s="72">
        <v>299647</v>
      </c>
      <c r="M372" s="4">
        <f>INDEX('Master Sheet'!$C$4:$C$12,MATCH(Table1[[#This Row],[Quantity]],'Master Sheet'!$B$4:$B$12,0))</f>
        <v>8</v>
      </c>
      <c r="N372" s="71">
        <f>Table1[[#This Row],[Quantity]]*Table1[[#This Row],[Unit Price]]</f>
        <v>1797882</v>
      </c>
      <c r="O372" s="73">
        <v>0.17978820000000001</v>
      </c>
      <c r="P372" s="70">
        <f>Table1[[#This Row],[Gross Amount]]*(1-(Table1[[#This Row],[Discount %]]/100))</f>
        <v>1654051.4400000002</v>
      </c>
      <c r="Q372" s="74">
        <f>(Table1[[#This Row],[Gross Amount]]*(1-(Table1[[#This Row],[Discount %]]/100)))/10000000</f>
        <v>0.165405144</v>
      </c>
      <c r="R372" t="s">
        <v>54</v>
      </c>
      <c r="S372" t="str" cm="1">
        <f t="array" ref="S372">IFERROR(_xlfn.IFS(Table1[[#This Row],[Payment Status]]="Partial","In Transit",Table1[[#This Row],[Payment Status]]="Paid","Delivered",Table1[[#This Row],[Payment Status]]="Pending","Pending"),"Invalid Input")</f>
        <v>Delivered</v>
      </c>
      <c r="T372" t="s">
        <v>27</v>
      </c>
      <c r="U372" t="str" cm="1">
        <f t="array" ref="U372">IFERROR(_xlfn.IFS(Table1[[#This Row],[Payment Status]]="Partial","In Transit",Table1[[#This Row],[Payment Status]]="Paid","Completed",Table1[[#This Row],[Payment Status]]="Pending","Pending"),"Invalid Input")</f>
        <v>Completed</v>
      </c>
    </row>
    <row r="373" spans="1:21" x14ac:dyDescent="0.25">
      <c r="A373" s="4" t="s">
        <v>780</v>
      </c>
      <c r="B373" s="5">
        <v>45544</v>
      </c>
      <c r="C373" t="s">
        <v>41</v>
      </c>
      <c r="D373" t="s">
        <v>37</v>
      </c>
      <c r="E373" t="s">
        <v>66</v>
      </c>
      <c r="F373" t="s">
        <v>3226</v>
      </c>
      <c r="G373" t="s">
        <v>67</v>
      </c>
      <c r="H373" t="str">
        <f>VLOOKUP(Table1[[#This Row],[City]],Table6[#All],2,FALSE)</f>
        <v>East</v>
      </c>
      <c r="I373" t="s">
        <v>24</v>
      </c>
      <c r="J373" t="str">
        <f>_xlfn.XLOOKUP(Table1[[#This Row],[Tractor Model]],Table7[Product Model],Table7[Product Category],"Not Available",0)</f>
        <v>Farmtrac</v>
      </c>
      <c r="K373" s="4">
        <v>3</v>
      </c>
      <c r="L373" s="72">
        <v>872775</v>
      </c>
      <c r="M373" s="4">
        <f>INDEX('Master Sheet'!$C$4:$C$12,MATCH(Table1[[#This Row],[Quantity]],'Master Sheet'!$B$4:$B$12,0))</f>
        <v>6</v>
      </c>
      <c r="N373" s="71">
        <f>Table1[[#This Row],[Quantity]]*Table1[[#This Row],[Unit Price]]</f>
        <v>2618325</v>
      </c>
      <c r="O373" s="73">
        <v>0.26183250000000002</v>
      </c>
      <c r="P373" s="70">
        <f>Table1[[#This Row],[Gross Amount]]*(1-(Table1[[#This Row],[Discount %]]/100))</f>
        <v>2461225.5</v>
      </c>
      <c r="Q373" s="74">
        <f>(Table1[[#This Row],[Gross Amount]]*(1-(Table1[[#This Row],[Discount %]]/100)))/10000000</f>
        <v>0.24612255</v>
      </c>
      <c r="R373" t="s">
        <v>54</v>
      </c>
      <c r="S373" t="str" cm="1">
        <f t="array" ref="S373">IFERROR(_xlfn.IFS(Table1[[#This Row],[Payment Status]]="Partial","In Transit",Table1[[#This Row],[Payment Status]]="Paid","Delivered",Table1[[#This Row],[Payment Status]]="Pending","Pending"),"Invalid Input")</f>
        <v>Delivered</v>
      </c>
      <c r="T373" t="s">
        <v>27</v>
      </c>
      <c r="U373" t="str" cm="1">
        <f t="array" ref="U373">IFERROR(_xlfn.IFS(Table1[[#This Row],[Payment Status]]="Partial","In Transit",Table1[[#This Row],[Payment Status]]="Paid","Completed",Table1[[#This Row],[Payment Status]]="Pending","Pending"),"Invalid Input")</f>
        <v>Completed</v>
      </c>
    </row>
    <row r="374" spans="1:21" x14ac:dyDescent="0.25">
      <c r="A374" s="4" t="s">
        <v>782</v>
      </c>
      <c r="B374" s="5">
        <v>45406</v>
      </c>
      <c r="C374" t="s">
        <v>41</v>
      </c>
      <c r="D374" t="s">
        <v>37</v>
      </c>
      <c r="E374" t="s">
        <v>119</v>
      </c>
      <c r="F374" t="s">
        <v>3224</v>
      </c>
      <c r="G374" t="s">
        <v>21</v>
      </c>
      <c r="H374" t="str">
        <f>VLOOKUP(Table1[[#This Row],[City]],Table6[#All],2,FALSE)</f>
        <v>North</v>
      </c>
      <c r="I374" t="s">
        <v>53</v>
      </c>
      <c r="J374" t="str">
        <f>_xlfn.XLOOKUP(Table1[[#This Row],[Tractor Model]],Table7[Product Model],Table7[Product Category],"Not Available",0)</f>
        <v>Farmtrac</v>
      </c>
      <c r="K374" s="4">
        <v>2</v>
      </c>
      <c r="L374" s="72">
        <v>229255</v>
      </c>
      <c r="M374" s="4">
        <f>INDEX('Master Sheet'!$C$4:$C$12,MATCH(Table1[[#This Row],[Quantity]],'Master Sheet'!$B$4:$B$12,0))</f>
        <v>5</v>
      </c>
      <c r="N374" s="71">
        <f>Table1[[#This Row],[Quantity]]*Table1[[#This Row],[Unit Price]]</f>
        <v>458510</v>
      </c>
      <c r="O374" s="73">
        <v>4.5851000000000003E-2</v>
      </c>
      <c r="P374" s="70">
        <f>Table1[[#This Row],[Gross Amount]]*(1-(Table1[[#This Row],[Discount %]]/100))</f>
        <v>435584.5</v>
      </c>
      <c r="Q374" s="74">
        <f>(Table1[[#This Row],[Gross Amount]]*(1-(Table1[[#This Row],[Discount %]]/100)))/10000000</f>
        <v>4.3558449999999999E-2</v>
      </c>
      <c r="R374" t="s">
        <v>42</v>
      </c>
      <c r="S374" t="str" cm="1">
        <f t="array" ref="S374">IFERROR(_xlfn.IFS(Table1[[#This Row],[Payment Status]]="Partial","In Transit",Table1[[#This Row],[Payment Status]]="Paid","Delivered",Table1[[#This Row],[Payment Status]]="Pending","Pending"),"Invalid Input")</f>
        <v>Pending</v>
      </c>
      <c r="T374" t="s">
        <v>27</v>
      </c>
      <c r="U374" t="str" cm="1">
        <f t="array" ref="U374">IFERROR(_xlfn.IFS(Table1[[#This Row],[Payment Status]]="Partial","In Transit",Table1[[#This Row],[Payment Status]]="Paid","Completed",Table1[[#This Row],[Payment Status]]="Pending","Pending"),"Invalid Input")</f>
        <v>Pending</v>
      </c>
    </row>
    <row r="375" spans="1:21" x14ac:dyDescent="0.25">
      <c r="A375" s="4" t="s">
        <v>783</v>
      </c>
      <c r="B375" s="5">
        <v>45934</v>
      </c>
      <c r="C375" t="s">
        <v>62</v>
      </c>
      <c r="D375" t="s">
        <v>3270</v>
      </c>
      <c r="E375" t="s">
        <v>30</v>
      </c>
      <c r="F375" t="s">
        <v>3223</v>
      </c>
      <c r="G375" t="s">
        <v>31</v>
      </c>
      <c r="H375" t="str">
        <f>VLOOKUP(Table1[[#This Row],[City]],Table6[#All],2,FALSE)</f>
        <v>South</v>
      </c>
      <c r="I375" t="s">
        <v>58</v>
      </c>
      <c r="J375" t="str">
        <f>_xlfn.XLOOKUP(Table1[[#This Row],[Tractor Model]],Table7[Product Model],Table7[Product Category],"Not Available",0)</f>
        <v>Powertrac</v>
      </c>
      <c r="K375" s="4">
        <v>3</v>
      </c>
      <c r="L375" s="72">
        <v>467882</v>
      </c>
      <c r="M375" s="4">
        <f>INDEX('Master Sheet'!$C$4:$C$12,MATCH(Table1[[#This Row],[Quantity]],'Master Sheet'!$B$4:$B$12,0))</f>
        <v>6</v>
      </c>
      <c r="N375" s="71">
        <f>Table1[[#This Row],[Quantity]]*Table1[[#This Row],[Unit Price]]</f>
        <v>1403646</v>
      </c>
      <c r="O375" s="73">
        <v>0.14036460000000001</v>
      </c>
      <c r="P375" s="70">
        <f>Table1[[#This Row],[Gross Amount]]*(1-(Table1[[#This Row],[Discount %]]/100))</f>
        <v>1319427.24</v>
      </c>
      <c r="Q375" s="74">
        <f>(Table1[[#This Row],[Gross Amount]]*(1-(Table1[[#This Row],[Discount %]]/100)))/10000000</f>
        <v>0.13194272400000001</v>
      </c>
      <c r="R375" t="s">
        <v>25</v>
      </c>
      <c r="S375" t="str" cm="1">
        <f t="array" ref="S375">IFERROR(_xlfn.IFS(Table1[[#This Row],[Payment Status]]="Partial","In Transit",Table1[[#This Row],[Payment Status]]="Paid","Delivered",Table1[[#This Row],[Payment Status]]="Pending","Pending"),"Invalid Input")</f>
        <v>In Transit</v>
      </c>
      <c r="T375" t="s">
        <v>27</v>
      </c>
      <c r="U375" t="str" cm="1">
        <f t="array" ref="U375">IFERROR(_xlfn.IFS(Table1[[#This Row],[Payment Status]]="Partial","In Transit",Table1[[#This Row],[Payment Status]]="Paid","Completed",Table1[[#This Row],[Payment Status]]="Pending","Pending"),"Invalid Input")</f>
        <v>In Transit</v>
      </c>
    </row>
    <row r="376" spans="1:21" x14ac:dyDescent="0.25">
      <c r="A376" s="4" t="s">
        <v>785</v>
      </c>
      <c r="B376" s="5">
        <v>45635</v>
      </c>
      <c r="C376" t="s">
        <v>73</v>
      </c>
      <c r="D376" t="s">
        <v>3270</v>
      </c>
      <c r="E376" t="s">
        <v>119</v>
      </c>
      <c r="F376" t="s">
        <v>3212</v>
      </c>
      <c r="G376" t="s">
        <v>21</v>
      </c>
      <c r="H376" t="str">
        <f>VLOOKUP(Table1[[#This Row],[City]],Table6[#All],2,FALSE)</f>
        <v>North</v>
      </c>
      <c r="I376" t="s">
        <v>24</v>
      </c>
      <c r="J376" t="str">
        <f>_xlfn.XLOOKUP(Table1[[#This Row],[Tractor Model]],Table7[Product Model],Table7[Product Category],"Not Available",0)</f>
        <v>Farmtrac</v>
      </c>
      <c r="K376" s="4">
        <v>7</v>
      </c>
      <c r="L376" s="72">
        <v>98443</v>
      </c>
      <c r="M376" s="4">
        <f>INDEX('Master Sheet'!$C$4:$C$12,MATCH(Table1[[#This Row],[Quantity]],'Master Sheet'!$B$4:$B$12,0))</f>
        <v>9</v>
      </c>
      <c r="N376" s="71">
        <f>Table1[[#This Row],[Quantity]]*Table1[[#This Row],[Unit Price]]</f>
        <v>689101</v>
      </c>
      <c r="O376" s="73">
        <v>6.8910100000000002E-2</v>
      </c>
      <c r="P376" s="70">
        <f>Table1[[#This Row],[Gross Amount]]*(1-(Table1[[#This Row],[Discount %]]/100))</f>
        <v>627081.91</v>
      </c>
      <c r="Q376" s="74">
        <f>(Table1[[#This Row],[Gross Amount]]*(1-(Table1[[#This Row],[Discount %]]/100)))/10000000</f>
        <v>6.2708190999999996E-2</v>
      </c>
      <c r="R376" t="s">
        <v>42</v>
      </c>
      <c r="S376" t="str" cm="1">
        <f t="array" ref="S376">IFERROR(_xlfn.IFS(Table1[[#This Row],[Payment Status]]="Partial","In Transit",Table1[[#This Row],[Payment Status]]="Paid","Delivered",Table1[[#This Row],[Payment Status]]="Pending","Pending"),"Invalid Input")</f>
        <v>Pending</v>
      </c>
      <c r="T376" t="s">
        <v>27</v>
      </c>
      <c r="U376" t="str" cm="1">
        <f t="array" ref="U376">IFERROR(_xlfn.IFS(Table1[[#This Row],[Payment Status]]="Partial","In Transit",Table1[[#This Row],[Payment Status]]="Paid","Completed",Table1[[#This Row],[Payment Status]]="Pending","Pending"),"Invalid Input")</f>
        <v>Pending</v>
      </c>
    </row>
    <row r="377" spans="1:21" x14ac:dyDescent="0.25">
      <c r="A377" s="4" t="s">
        <v>786</v>
      </c>
      <c r="B377" s="5">
        <v>45578</v>
      </c>
      <c r="C377" t="s">
        <v>33</v>
      </c>
      <c r="D377" t="s">
        <v>37</v>
      </c>
      <c r="E377" t="s">
        <v>47</v>
      </c>
      <c r="F377" t="s">
        <v>3215</v>
      </c>
      <c r="G377" t="s">
        <v>48</v>
      </c>
      <c r="H377" t="str">
        <f>VLOOKUP(Table1[[#This Row],[City]],Table6[#All],2,FALSE)</f>
        <v>North</v>
      </c>
      <c r="I377" t="s">
        <v>58</v>
      </c>
      <c r="J377" t="str">
        <f>_xlfn.XLOOKUP(Table1[[#This Row],[Tractor Model]],Table7[Product Model],Table7[Product Category],"Not Available",0)</f>
        <v>Powertrac</v>
      </c>
      <c r="K377" s="4">
        <v>4</v>
      </c>
      <c r="L377" s="72">
        <v>90562</v>
      </c>
      <c r="M377" s="4">
        <f>INDEX('Master Sheet'!$C$4:$C$12,MATCH(Table1[[#This Row],[Quantity]],'Master Sheet'!$B$4:$B$12,0))</f>
        <v>6</v>
      </c>
      <c r="N377" s="71">
        <f>Table1[[#This Row],[Quantity]]*Table1[[#This Row],[Unit Price]]</f>
        <v>362248</v>
      </c>
      <c r="O377" s="73">
        <v>3.6224800000000001E-2</v>
      </c>
      <c r="P377" s="70">
        <f>Table1[[#This Row],[Gross Amount]]*(1-(Table1[[#This Row],[Discount %]]/100))</f>
        <v>340513.12</v>
      </c>
      <c r="Q377" s="74">
        <f>(Table1[[#This Row],[Gross Amount]]*(1-(Table1[[#This Row],[Discount %]]/100)))/10000000</f>
        <v>3.4051312E-2</v>
      </c>
      <c r="R377" t="s">
        <v>42</v>
      </c>
      <c r="S377" t="str" cm="1">
        <f t="array" ref="S377">IFERROR(_xlfn.IFS(Table1[[#This Row],[Payment Status]]="Partial","In Transit",Table1[[#This Row],[Payment Status]]="Paid","Delivered",Table1[[#This Row],[Payment Status]]="Pending","Pending"),"Invalid Input")</f>
        <v>Pending</v>
      </c>
      <c r="T377" t="s">
        <v>27</v>
      </c>
      <c r="U377" t="str" cm="1">
        <f t="array" ref="U377">IFERROR(_xlfn.IFS(Table1[[#This Row],[Payment Status]]="Partial","In Transit",Table1[[#This Row],[Payment Status]]="Paid","Completed",Table1[[#This Row],[Payment Status]]="Pending","Pending"),"Invalid Input")</f>
        <v>Pending</v>
      </c>
    </row>
    <row r="378" spans="1:21" x14ac:dyDescent="0.25">
      <c r="A378" s="4" t="s">
        <v>788</v>
      </c>
      <c r="B378" s="5">
        <v>45700</v>
      </c>
      <c r="C378" t="s">
        <v>62</v>
      </c>
      <c r="D378" t="s">
        <v>3271</v>
      </c>
      <c r="E378" t="s">
        <v>66</v>
      </c>
      <c r="F378" t="s">
        <v>3207</v>
      </c>
      <c r="G378" t="s">
        <v>67</v>
      </c>
      <c r="H378" t="str">
        <f>VLOOKUP(Table1[[#This Row],[City]],Table6[#All],2,FALSE)</f>
        <v>East</v>
      </c>
      <c r="I378" t="s">
        <v>58</v>
      </c>
      <c r="J378" t="str">
        <f>_xlfn.XLOOKUP(Table1[[#This Row],[Tractor Model]],Table7[Product Model],Table7[Product Category],"Not Available",0)</f>
        <v>Powertrac</v>
      </c>
      <c r="K378" s="4">
        <v>1</v>
      </c>
      <c r="L378" s="72">
        <v>438161</v>
      </c>
      <c r="M378" s="4">
        <f>INDEX('Master Sheet'!$C$4:$C$12,MATCH(Table1[[#This Row],[Quantity]],'Master Sheet'!$B$4:$B$12,0))</f>
        <v>3</v>
      </c>
      <c r="N378" s="71">
        <f>Table1[[#This Row],[Quantity]]*Table1[[#This Row],[Unit Price]]</f>
        <v>438161</v>
      </c>
      <c r="O378" s="73">
        <v>4.3816099999999997E-2</v>
      </c>
      <c r="P378" s="70">
        <f>Table1[[#This Row],[Gross Amount]]*(1-(Table1[[#This Row],[Discount %]]/100))</f>
        <v>425016.17</v>
      </c>
      <c r="Q378" s="74">
        <f>(Table1[[#This Row],[Gross Amount]]*(1-(Table1[[#This Row],[Discount %]]/100)))/10000000</f>
        <v>4.2501616999999998E-2</v>
      </c>
      <c r="R378" t="s">
        <v>54</v>
      </c>
      <c r="S378" t="str" cm="1">
        <f t="array" ref="S378">IFERROR(_xlfn.IFS(Table1[[#This Row],[Payment Status]]="Partial","In Transit",Table1[[#This Row],[Payment Status]]="Paid","Delivered",Table1[[#This Row],[Payment Status]]="Pending","Pending"),"Invalid Input")</f>
        <v>Delivered</v>
      </c>
      <c r="T378" t="s">
        <v>27</v>
      </c>
      <c r="U378" t="str" cm="1">
        <f t="array" ref="U378">IFERROR(_xlfn.IFS(Table1[[#This Row],[Payment Status]]="Partial","In Transit",Table1[[#This Row],[Payment Status]]="Paid","Completed",Table1[[#This Row],[Payment Status]]="Pending","Pending"),"Invalid Input")</f>
        <v>Completed</v>
      </c>
    </row>
    <row r="379" spans="1:21" x14ac:dyDescent="0.25">
      <c r="A379" s="4" t="s">
        <v>790</v>
      </c>
      <c r="B379" s="5">
        <v>45757</v>
      </c>
      <c r="C379" t="s">
        <v>41</v>
      </c>
      <c r="D379" t="s">
        <v>3271</v>
      </c>
      <c r="E379" t="s">
        <v>66</v>
      </c>
      <c r="F379" t="s">
        <v>3207</v>
      </c>
      <c r="G379" t="s">
        <v>67</v>
      </c>
      <c r="H379" t="str">
        <f>VLOOKUP(Table1[[#This Row],[City]],Table6[#All],2,FALSE)</f>
        <v>East</v>
      </c>
      <c r="I379" t="s">
        <v>53</v>
      </c>
      <c r="J379" t="str">
        <f>_xlfn.XLOOKUP(Table1[[#This Row],[Tractor Model]],Table7[Product Model],Table7[Product Category],"Not Available",0)</f>
        <v>Farmtrac</v>
      </c>
      <c r="K379" s="4">
        <v>7</v>
      </c>
      <c r="L379" s="72">
        <v>798776</v>
      </c>
      <c r="M379" s="4">
        <f>INDEX('Master Sheet'!$C$4:$C$12,MATCH(Table1[[#This Row],[Quantity]],'Master Sheet'!$B$4:$B$12,0))</f>
        <v>9</v>
      </c>
      <c r="N379" s="71">
        <f>Table1[[#This Row],[Quantity]]*Table1[[#This Row],[Unit Price]]</f>
        <v>5591432</v>
      </c>
      <c r="O379" s="73">
        <v>0.55914319999999995</v>
      </c>
      <c r="P379" s="70">
        <f>Table1[[#This Row],[Gross Amount]]*(1-(Table1[[#This Row],[Discount %]]/100))</f>
        <v>5088203.12</v>
      </c>
      <c r="Q379" s="74">
        <f>(Table1[[#This Row],[Gross Amount]]*(1-(Table1[[#This Row],[Discount %]]/100)))/10000000</f>
        <v>0.508820312</v>
      </c>
      <c r="R379" t="s">
        <v>25</v>
      </c>
      <c r="S379" t="str" cm="1">
        <f t="array" ref="S379">IFERROR(_xlfn.IFS(Table1[[#This Row],[Payment Status]]="Partial","In Transit",Table1[[#This Row],[Payment Status]]="Paid","Delivered",Table1[[#This Row],[Payment Status]]="Pending","Pending"),"Invalid Input")</f>
        <v>In Transit</v>
      </c>
      <c r="T379" t="s">
        <v>27</v>
      </c>
      <c r="U379" t="str" cm="1">
        <f t="array" ref="U379">IFERROR(_xlfn.IFS(Table1[[#This Row],[Payment Status]]="Partial","In Transit",Table1[[#This Row],[Payment Status]]="Paid","Completed",Table1[[#This Row],[Payment Status]]="Pending","Pending"),"Invalid Input")</f>
        <v>In Transit</v>
      </c>
    </row>
    <row r="380" spans="1:21" x14ac:dyDescent="0.25">
      <c r="A380" s="4" t="s">
        <v>792</v>
      </c>
      <c r="B380" s="5">
        <v>45545</v>
      </c>
      <c r="C380" t="s">
        <v>62</v>
      </c>
      <c r="D380" t="s">
        <v>3268</v>
      </c>
      <c r="E380" t="s">
        <v>119</v>
      </c>
      <c r="F380" t="s">
        <v>3227</v>
      </c>
      <c r="G380" t="s">
        <v>21</v>
      </c>
      <c r="H380" t="str">
        <f>VLOOKUP(Table1[[#This Row],[City]],Table6[#All],2,FALSE)</f>
        <v>North</v>
      </c>
      <c r="I380" t="s">
        <v>58</v>
      </c>
      <c r="J380" t="str">
        <f>_xlfn.XLOOKUP(Table1[[#This Row],[Tractor Model]],Table7[Product Model],Table7[Product Category],"Not Available",0)</f>
        <v>Powertrac</v>
      </c>
      <c r="K380" s="4">
        <v>5</v>
      </c>
      <c r="L380" s="72">
        <v>309154</v>
      </c>
      <c r="M380" s="4">
        <f>INDEX('Master Sheet'!$C$4:$C$12,MATCH(Table1[[#This Row],[Quantity]],'Master Sheet'!$B$4:$B$12,0))</f>
        <v>7</v>
      </c>
      <c r="N380" s="71">
        <f>Table1[[#This Row],[Quantity]]*Table1[[#This Row],[Unit Price]]</f>
        <v>1545770</v>
      </c>
      <c r="O380" s="73">
        <v>0.15457699999999999</v>
      </c>
      <c r="P380" s="70">
        <f>Table1[[#This Row],[Gross Amount]]*(1-(Table1[[#This Row],[Discount %]]/100))</f>
        <v>1437566.0999999999</v>
      </c>
      <c r="Q380" s="74">
        <f>(Table1[[#This Row],[Gross Amount]]*(1-(Table1[[#This Row],[Discount %]]/100)))/10000000</f>
        <v>0.14375660999999998</v>
      </c>
      <c r="R380" t="s">
        <v>54</v>
      </c>
      <c r="S380" t="str" cm="1">
        <f t="array" ref="S380">IFERROR(_xlfn.IFS(Table1[[#This Row],[Payment Status]]="Partial","In Transit",Table1[[#This Row],[Payment Status]]="Paid","Delivered",Table1[[#This Row],[Payment Status]]="Pending","Pending"),"Invalid Input")</f>
        <v>Delivered</v>
      </c>
      <c r="T380" t="s">
        <v>27</v>
      </c>
      <c r="U380" t="str" cm="1">
        <f t="array" ref="U380">IFERROR(_xlfn.IFS(Table1[[#This Row],[Payment Status]]="Partial","In Transit",Table1[[#This Row],[Payment Status]]="Paid","Completed",Table1[[#This Row],[Payment Status]]="Pending","Pending"),"Invalid Input")</f>
        <v>Completed</v>
      </c>
    </row>
    <row r="381" spans="1:21" x14ac:dyDescent="0.25">
      <c r="A381" s="4" t="s">
        <v>794</v>
      </c>
      <c r="B381" s="5">
        <v>45538</v>
      </c>
      <c r="C381" t="s">
        <v>41</v>
      </c>
      <c r="D381" t="s">
        <v>37</v>
      </c>
      <c r="E381" t="s">
        <v>38</v>
      </c>
      <c r="F381" t="s">
        <v>3214</v>
      </c>
      <c r="G381" t="s">
        <v>39</v>
      </c>
      <c r="H381" t="str">
        <f>VLOOKUP(Table1[[#This Row],[City]],Table6[#All],2,FALSE)</f>
        <v>West</v>
      </c>
      <c r="I381" t="s">
        <v>58</v>
      </c>
      <c r="J381" t="str">
        <f>_xlfn.XLOOKUP(Table1[[#This Row],[Tractor Model]],Table7[Product Model],Table7[Product Category],"Not Available",0)</f>
        <v>Powertrac</v>
      </c>
      <c r="K381" s="4">
        <v>2</v>
      </c>
      <c r="L381" s="72">
        <v>547095</v>
      </c>
      <c r="M381" s="4">
        <f>INDEX('Master Sheet'!$C$4:$C$12,MATCH(Table1[[#This Row],[Quantity]],'Master Sheet'!$B$4:$B$12,0))</f>
        <v>5</v>
      </c>
      <c r="N381" s="71">
        <f>Table1[[#This Row],[Quantity]]*Table1[[#This Row],[Unit Price]]</f>
        <v>1094190</v>
      </c>
      <c r="O381" s="73">
        <v>0.109419</v>
      </c>
      <c r="P381" s="70">
        <f>Table1[[#This Row],[Gross Amount]]*(1-(Table1[[#This Row],[Discount %]]/100))</f>
        <v>1039480.5</v>
      </c>
      <c r="Q381" s="74">
        <f>(Table1[[#This Row],[Gross Amount]]*(1-(Table1[[#This Row],[Discount %]]/100)))/10000000</f>
        <v>0.10394805</v>
      </c>
      <c r="R381" t="s">
        <v>54</v>
      </c>
      <c r="S381" t="str" cm="1">
        <f t="array" ref="S381">IFERROR(_xlfn.IFS(Table1[[#This Row],[Payment Status]]="Partial","In Transit",Table1[[#This Row],[Payment Status]]="Paid","Delivered",Table1[[#This Row],[Payment Status]]="Pending","Pending"),"Invalid Input")</f>
        <v>Delivered</v>
      </c>
      <c r="T381" t="s">
        <v>44</v>
      </c>
      <c r="U381" t="str" cm="1">
        <f t="array" ref="U381">IFERROR(_xlfn.IFS(Table1[[#This Row],[Payment Status]]="Partial","In Transit",Table1[[#This Row],[Payment Status]]="Paid","Completed",Table1[[#This Row],[Payment Status]]="Pending","Pending"),"Invalid Input")</f>
        <v>Completed</v>
      </c>
    </row>
    <row r="382" spans="1:21" x14ac:dyDescent="0.25">
      <c r="A382" s="4" t="s">
        <v>796</v>
      </c>
      <c r="B382" s="5">
        <v>45494</v>
      </c>
      <c r="C382" t="s">
        <v>62</v>
      </c>
      <c r="D382" t="s">
        <v>3271</v>
      </c>
      <c r="E382" t="s">
        <v>47</v>
      </c>
      <c r="F382" t="s">
        <v>3221</v>
      </c>
      <c r="G382" t="s">
        <v>48</v>
      </c>
      <c r="H382" t="str">
        <f>VLOOKUP(Table1[[#This Row],[City]],Table6[#All],2,FALSE)</f>
        <v>North</v>
      </c>
      <c r="I382" t="s">
        <v>3204</v>
      </c>
      <c r="J382" t="str">
        <f>_xlfn.XLOOKUP(Table1[[#This Row],[Tractor Model]],Table7[Product Model],Table7[Product Category],"Not Available",0)</f>
        <v>Kubota</v>
      </c>
      <c r="K382" s="4">
        <v>5</v>
      </c>
      <c r="L382" s="72">
        <v>105345</v>
      </c>
      <c r="M382" s="4">
        <f>INDEX('Master Sheet'!$C$4:$C$12,MATCH(Table1[[#This Row],[Quantity]],'Master Sheet'!$B$4:$B$12,0))</f>
        <v>7</v>
      </c>
      <c r="N382" s="71">
        <f>Table1[[#This Row],[Quantity]]*Table1[[#This Row],[Unit Price]]</f>
        <v>526725</v>
      </c>
      <c r="O382" s="73">
        <v>5.2672499999999997E-2</v>
      </c>
      <c r="P382" s="70">
        <f>Table1[[#This Row],[Gross Amount]]*(1-(Table1[[#This Row],[Discount %]]/100))</f>
        <v>489854.24999999994</v>
      </c>
      <c r="Q382" s="74">
        <f>(Table1[[#This Row],[Gross Amount]]*(1-(Table1[[#This Row],[Discount %]]/100)))/10000000</f>
        <v>4.8985424999999992E-2</v>
      </c>
      <c r="R382" t="s">
        <v>42</v>
      </c>
      <c r="S382" t="str" cm="1">
        <f t="array" ref="S382">IFERROR(_xlfn.IFS(Table1[[#This Row],[Payment Status]]="Partial","In Transit",Table1[[#This Row],[Payment Status]]="Paid","Delivered",Table1[[#This Row],[Payment Status]]="Pending","Pending"),"Invalid Input")</f>
        <v>Pending</v>
      </c>
      <c r="T382" t="s">
        <v>27</v>
      </c>
      <c r="U382" t="str" cm="1">
        <f t="array" ref="U382">IFERROR(_xlfn.IFS(Table1[[#This Row],[Payment Status]]="Partial","In Transit",Table1[[#This Row],[Payment Status]]="Paid","Completed",Table1[[#This Row],[Payment Status]]="Pending","Pending"),"Invalid Input")</f>
        <v>Pending</v>
      </c>
    </row>
    <row r="383" spans="1:21" x14ac:dyDescent="0.25">
      <c r="A383" s="4" t="s">
        <v>798</v>
      </c>
      <c r="B383" s="5">
        <v>45307</v>
      </c>
      <c r="C383" t="s">
        <v>33</v>
      </c>
      <c r="D383" t="s">
        <v>3268</v>
      </c>
      <c r="E383" t="s">
        <v>47</v>
      </c>
      <c r="F383" t="s">
        <v>3216</v>
      </c>
      <c r="G383" t="s">
        <v>48</v>
      </c>
      <c r="H383" t="str">
        <f>VLOOKUP(Table1[[#This Row],[City]],Table6[#All],2,FALSE)</f>
        <v>North</v>
      </c>
      <c r="I383" t="s">
        <v>3204</v>
      </c>
      <c r="J383" t="str">
        <f>_xlfn.XLOOKUP(Table1[[#This Row],[Tractor Model]],Table7[Product Model],Table7[Product Category],"Not Available",0)</f>
        <v>Kubota</v>
      </c>
      <c r="K383" s="4">
        <v>4</v>
      </c>
      <c r="L383" s="72">
        <v>833623</v>
      </c>
      <c r="M383" s="4">
        <f>INDEX('Master Sheet'!$C$4:$C$12,MATCH(Table1[[#This Row],[Quantity]],'Master Sheet'!$B$4:$B$12,0))</f>
        <v>6</v>
      </c>
      <c r="N383" s="71">
        <f>Table1[[#This Row],[Quantity]]*Table1[[#This Row],[Unit Price]]</f>
        <v>3334492</v>
      </c>
      <c r="O383" s="73">
        <v>0.3334492</v>
      </c>
      <c r="P383" s="70">
        <f>Table1[[#This Row],[Gross Amount]]*(1-(Table1[[#This Row],[Discount %]]/100))</f>
        <v>3134422.48</v>
      </c>
      <c r="Q383" s="74">
        <f>(Table1[[#This Row],[Gross Amount]]*(1-(Table1[[#This Row],[Discount %]]/100)))/10000000</f>
        <v>0.31344224799999998</v>
      </c>
      <c r="R383" t="s">
        <v>54</v>
      </c>
      <c r="S383" t="str" cm="1">
        <f t="array" ref="S383">IFERROR(_xlfn.IFS(Table1[[#This Row],[Payment Status]]="Partial","In Transit",Table1[[#This Row],[Payment Status]]="Paid","Delivered",Table1[[#This Row],[Payment Status]]="Pending","Pending"),"Invalid Input")</f>
        <v>Delivered</v>
      </c>
      <c r="T383" t="s">
        <v>27</v>
      </c>
      <c r="U383" t="str" cm="1">
        <f t="array" ref="U383">IFERROR(_xlfn.IFS(Table1[[#This Row],[Payment Status]]="Partial","In Transit",Table1[[#This Row],[Payment Status]]="Paid","Completed",Table1[[#This Row],[Payment Status]]="Pending","Pending"),"Invalid Input")</f>
        <v>Completed</v>
      </c>
    </row>
    <row r="384" spans="1:21" x14ac:dyDescent="0.25">
      <c r="A384" s="4" t="s">
        <v>799</v>
      </c>
      <c r="B384" s="5">
        <v>45414</v>
      </c>
      <c r="C384" t="s">
        <v>41</v>
      </c>
      <c r="D384" t="s">
        <v>3270</v>
      </c>
      <c r="E384" t="s">
        <v>30</v>
      </c>
      <c r="F384" t="s">
        <v>3223</v>
      </c>
      <c r="G384" t="s">
        <v>31</v>
      </c>
      <c r="H384" t="str">
        <f>VLOOKUP(Table1[[#This Row],[City]],Table6[#All],2,FALSE)</f>
        <v>South</v>
      </c>
      <c r="I384" t="s">
        <v>53</v>
      </c>
      <c r="J384" t="str">
        <f>_xlfn.XLOOKUP(Table1[[#This Row],[Tractor Model]],Table7[Product Model],Table7[Product Category],"Not Available",0)</f>
        <v>Farmtrac</v>
      </c>
      <c r="K384" s="4">
        <v>4</v>
      </c>
      <c r="L384" s="72">
        <v>99187</v>
      </c>
      <c r="M384" s="4">
        <f>INDEX('Master Sheet'!$C$4:$C$12,MATCH(Table1[[#This Row],[Quantity]],'Master Sheet'!$B$4:$B$12,0))</f>
        <v>6</v>
      </c>
      <c r="N384" s="71">
        <f>Table1[[#This Row],[Quantity]]*Table1[[#This Row],[Unit Price]]</f>
        <v>396748</v>
      </c>
      <c r="O384" s="73">
        <v>3.9674800000000003E-2</v>
      </c>
      <c r="P384" s="70">
        <f>Table1[[#This Row],[Gross Amount]]*(1-(Table1[[#This Row],[Discount %]]/100))</f>
        <v>372943.12</v>
      </c>
      <c r="Q384" s="74">
        <f>(Table1[[#This Row],[Gross Amount]]*(1-(Table1[[#This Row],[Discount %]]/100)))/10000000</f>
        <v>3.7294311999999996E-2</v>
      </c>
      <c r="R384" t="s">
        <v>54</v>
      </c>
      <c r="S384" t="str" cm="1">
        <f t="array" ref="S384">IFERROR(_xlfn.IFS(Table1[[#This Row],[Payment Status]]="Partial","In Transit",Table1[[#This Row],[Payment Status]]="Paid","Delivered",Table1[[#This Row],[Payment Status]]="Pending","Pending"),"Invalid Input")</f>
        <v>Delivered</v>
      </c>
      <c r="T384" t="s">
        <v>27</v>
      </c>
      <c r="U384" t="str" cm="1">
        <f t="array" ref="U384">IFERROR(_xlfn.IFS(Table1[[#This Row],[Payment Status]]="Partial","In Transit",Table1[[#This Row],[Payment Status]]="Paid","Completed",Table1[[#This Row],[Payment Status]]="Pending","Pending"),"Invalid Input")</f>
        <v>Completed</v>
      </c>
    </row>
    <row r="385" spans="1:21" x14ac:dyDescent="0.25">
      <c r="A385" s="4" t="s">
        <v>801</v>
      </c>
      <c r="B385" s="5">
        <v>45423</v>
      </c>
      <c r="C385" t="s">
        <v>52</v>
      </c>
      <c r="D385" t="s">
        <v>3269</v>
      </c>
      <c r="E385" t="s">
        <v>30</v>
      </c>
      <c r="F385" t="s">
        <v>3225</v>
      </c>
      <c r="G385" t="s">
        <v>31</v>
      </c>
      <c r="H385" t="str">
        <f>VLOOKUP(Table1[[#This Row],[City]],Table6[#All],2,FALSE)</f>
        <v>South</v>
      </c>
      <c r="I385" t="s">
        <v>58</v>
      </c>
      <c r="J385" t="str">
        <f>_xlfn.XLOOKUP(Table1[[#This Row],[Tractor Model]],Table7[Product Model],Table7[Product Category],"Not Available",0)</f>
        <v>Powertrac</v>
      </c>
      <c r="K385" s="4">
        <v>1</v>
      </c>
      <c r="L385" s="72">
        <v>351592</v>
      </c>
      <c r="M385" s="4">
        <f>INDEX('Master Sheet'!$C$4:$C$12,MATCH(Table1[[#This Row],[Quantity]],'Master Sheet'!$B$4:$B$12,0))</f>
        <v>3</v>
      </c>
      <c r="N385" s="71">
        <f>Table1[[#This Row],[Quantity]]*Table1[[#This Row],[Unit Price]]</f>
        <v>351592</v>
      </c>
      <c r="O385" s="73">
        <v>3.5159200000000002E-2</v>
      </c>
      <c r="P385" s="70">
        <f>Table1[[#This Row],[Gross Amount]]*(1-(Table1[[#This Row],[Discount %]]/100))</f>
        <v>341044.24</v>
      </c>
      <c r="Q385" s="74">
        <f>(Table1[[#This Row],[Gross Amount]]*(1-(Table1[[#This Row],[Discount %]]/100)))/10000000</f>
        <v>3.4104424000000001E-2</v>
      </c>
      <c r="R385" t="s">
        <v>25</v>
      </c>
      <c r="S385" t="str" cm="1">
        <f t="array" ref="S385">IFERROR(_xlfn.IFS(Table1[[#This Row],[Payment Status]]="Partial","In Transit",Table1[[#This Row],[Payment Status]]="Paid","Delivered",Table1[[#This Row],[Payment Status]]="Pending","Pending"),"Invalid Input")</f>
        <v>In Transit</v>
      </c>
      <c r="T385" t="s">
        <v>27</v>
      </c>
      <c r="U385" t="str" cm="1">
        <f t="array" ref="U385">IFERROR(_xlfn.IFS(Table1[[#This Row],[Payment Status]]="Partial","In Transit",Table1[[#This Row],[Payment Status]]="Paid","Completed",Table1[[#This Row],[Payment Status]]="Pending","Pending"),"Invalid Input")</f>
        <v>In Transit</v>
      </c>
    </row>
    <row r="386" spans="1:21" x14ac:dyDescent="0.25">
      <c r="A386" s="4" t="s">
        <v>803</v>
      </c>
      <c r="B386" s="5">
        <v>45582</v>
      </c>
      <c r="C386" t="s">
        <v>33</v>
      </c>
      <c r="D386" t="s">
        <v>3269</v>
      </c>
      <c r="E386" t="s">
        <v>30</v>
      </c>
      <c r="F386" t="s">
        <v>3225</v>
      </c>
      <c r="G386" t="s">
        <v>31</v>
      </c>
      <c r="H386" t="str">
        <f>VLOOKUP(Table1[[#This Row],[City]],Table6[#All],2,FALSE)</f>
        <v>South</v>
      </c>
      <c r="I386" t="s">
        <v>3203</v>
      </c>
      <c r="J386" t="str">
        <f>_xlfn.XLOOKUP(Table1[[#This Row],[Tractor Model]],Table7[Product Model],Table7[Product Category],"Not Available",0)</f>
        <v>Kubota</v>
      </c>
      <c r="K386" s="4">
        <v>8</v>
      </c>
      <c r="L386" s="72">
        <v>837900</v>
      </c>
      <c r="M386" s="4">
        <f>INDEX('Master Sheet'!$C$4:$C$12,MATCH(Table1[[#This Row],[Quantity]],'Master Sheet'!$B$4:$B$12,0))</f>
        <v>9</v>
      </c>
      <c r="N386" s="71">
        <f>Table1[[#This Row],[Quantity]]*Table1[[#This Row],[Unit Price]]</f>
        <v>6703200</v>
      </c>
      <c r="O386" s="73">
        <v>0.67032000000000003</v>
      </c>
      <c r="P386" s="70">
        <f>Table1[[#This Row],[Gross Amount]]*(1-(Table1[[#This Row],[Discount %]]/100))</f>
        <v>6099912</v>
      </c>
      <c r="Q386" s="74">
        <f>(Table1[[#This Row],[Gross Amount]]*(1-(Table1[[#This Row],[Discount %]]/100)))/10000000</f>
        <v>0.60999119999999996</v>
      </c>
      <c r="R386" t="s">
        <v>25</v>
      </c>
      <c r="S386" t="str" cm="1">
        <f t="array" ref="S386">IFERROR(_xlfn.IFS(Table1[[#This Row],[Payment Status]]="Partial","In Transit",Table1[[#This Row],[Payment Status]]="Paid","Delivered",Table1[[#This Row],[Payment Status]]="Pending","Pending"),"Invalid Input")</f>
        <v>In Transit</v>
      </c>
      <c r="T386" t="s">
        <v>27</v>
      </c>
      <c r="U386" t="str" cm="1">
        <f t="array" ref="U386">IFERROR(_xlfn.IFS(Table1[[#This Row],[Payment Status]]="Partial","In Transit",Table1[[#This Row],[Payment Status]]="Paid","Completed",Table1[[#This Row],[Payment Status]]="Pending","Pending"),"Invalid Input")</f>
        <v>In Transit</v>
      </c>
    </row>
    <row r="387" spans="1:21" x14ac:dyDescent="0.25">
      <c r="A387" s="4" t="s">
        <v>805</v>
      </c>
      <c r="B387" s="5">
        <v>45318</v>
      </c>
      <c r="C387" t="s">
        <v>62</v>
      </c>
      <c r="D387" t="s">
        <v>37</v>
      </c>
      <c r="E387" t="s">
        <v>66</v>
      </c>
      <c r="F387" t="s">
        <v>3226</v>
      </c>
      <c r="G387" t="s">
        <v>67</v>
      </c>
      <c r="H387" t="str">
        <f>VLOOKUP(Table1[[#This Row],[City]],Table6[#All],2,FALSE)</f>
        <v>East</v>
      </c>
      <c r="I387" t="s">
        <v>3203</v>
      </c>
      <c r="J387" t="str">
        <f>_xlfn.XLOOKUP(Table1[[#This Row],[Tractor Model]],Table7[Product Model],Table7[Product Category],"Not Available",0)</f>
        <v>Kubota</v>
      </c>
      <c r="K387" s="4">
        <v>4</v>
      </c>
      <c r="L387" s="72">
        <v>460050</v>
      </c>
      <c r="M387" s="4">
        <f>INDEX('Master Sheet'!$C$4:$C$12,MATCH(Table1[[#This Row],[Quantity]],'Master Sheet'!$B$4:$B$12,0))</f>
        <v>6</v>
      </c>
      <c r="N387" s="71">
        <f>Table1[[#This Row],[Quantity]]*Table1[[#This Row],[Unit Price]]</f>
        <v>1840200</v>
      </c>
      <c r="O387" s="73">
        <v>0.18401999999999999</v>
      </c>
      <c r="P387" s="70">
        <f>Table1[[#This Row],[Gross Amount]]*(1-(Table1[[#This Row],[Discount %]]/100))</f>
        <v>1729788</v>
      </c>
      <c r="Q387" s="74">
        <f>(Table1[[#This Row],[Gross Amount]]*(1-(Table1[[#This Row],[Discount %]]/100)))/10000000</f>
        <v>0.17297879999999999</v>
      </c>
      <c r="R387" t="s">
        <v>54</v>
      </c>
      <c r="S387" t="str" cm="1">
        <f t="array" ref="S387">IFERROR(_xlfn.IFS(Table1[[#This Row],[Payment Status]]="Partial","In Transit",Table1[[#This Row],[Payment Status]]="Paid","Delivered",Table1[[#This Row],[Payment Status]]="Pending","Pending"),"Invalid Input")</f>
        <v>Delivered</v>
      </c>
      <c r="T387" t="s">
        <v>44</v>
      </c>
      <c r="U387" t="str" cm="1">
        <f t="array" ref="U387">IFERROR(_xlfn.IFS(Table1[[#This Row],[Payment Status]]="Partial","In Transit",Table1[[#This Row],[Payment Status]]="Paid","Completed",Table1[[#This Row],[Payment Status]]="Pending","Pending"),"Invalid Input")</f>
        <v>Completed</v>
      </c>
    </row>
    <row r="388" spans="1:21" x14ac:dyDescent="0.25">
      <c r="A388" s="4" t="s">
        <v>806</v>
      </c>
      <c r="B388" s="5">
        <v>45705</v>
      </c>
      <c r="C388" t="s">
        <v>33</v>
      </c>
      <c r="D388" t="s">
        <v>3270</v>
      </c>
      <c r="E388" t="s">
        <v>30</v>
      </c>
      <c r="F388" t="s">
        <v>3223</v>
      </c>
      <c r="G388" t="s">
        <v>31</v>
      </c>
      <c r="H388" t="str">
        <f>VLOOKUP(Table1[[#This Row],[City]],Table6[#All],2,FALSE)</f>
        <v>South</v>
      </c>
      <c r="I388" t="s">
        <v>3204</v>
      </c>
      <c r="J388" t="str">
        <f>_xlfn.XLOOKUP(Table1[[#This Row],[Tractor Model]],Table7[Product Model],Table7[Product Category],"Not Available",0)</f>
        <v>Kubota</v>
      </c>
      <c r="K388" s="4">
        <v>6</v>
      </c>
      <c r="L388" s="72">
        <v>493186</v>
      </c>
      <c r="M388" s="4">
        <f>INDEX('Master Sheet'!$C$4:$C$12,MATCH(Table1[[#This Row],[Quantity]],'Master Sheet'!$B$4:$B$12,0))</f>
        <v>8</v>
      </c>
      <c r="N388" s="71">
        <f>Table1[[#This Row],[Quantity]]*Table1[[#This Row],[Unit Price]]</f>
        <v>2959116</v>
      </c>
      <c r="O388" s="73">
        <v>0.2959116</v>
      </c>
      <c r="P388" s="70">
        <f>Table1[[#This Row],[Gross Amount]]*(1-(Table1[[#This Row],[Discount %]]/100))</f>
        <v>2722386.72</v>
      </c>
      <c r="Q388" s="74">
        <f>(Table1[[#This Row],[Gross Amount]]*(1-(Table1[[#This Row],[Discount %]]/100)))/10000000</f>
        <v>0.27223867200000001</v>
      </c>
      <c r="R388" t="s">
        <v>25</v>
      </c>
      <c r="S388" t="str" cm="1">
        <f t="array" ref="S388">IFERROR(_xlfn.IFS(Table1[[#This Row],[Payment Status]]="Partial","In Transit",Table1[[#This Row],[Payment Status]]="Paid","Delivered",Table1[[#This Row],[Payment Status]]="Pending","Pending"),"Invalid Input")</f>
        <v>In Transit</v>
      </c>
      <c r="T388" t="s">
        <v>44</v>
      </c>
      <c r="U388" t="str" cm="1">
        <f t="array" ref="U388">IFERROR(_xlfn.IFS(Table1[[#This Row],[Payment Status]]="Partial","In Transit",Table1[[#This Row],[Payment Status]]="Paid","Completed",Table1[[#This Row],[Payment Status]]="Pending","Pending"),"Invalid Input")</f>
        <v>In Transit</v>
      </c>
    </row>
    <row r="389" spans="1:21" x14ac:dyDescent="0.25">
      <c r="A389" s="4" t="s">
        <v>808</v>
      </c>
      <c r="B389" s="5">
        <v>45659</v>
      </c>
      <c r="C389" t="s">
        <v>52</v>
      </c>
      <c r="D389" t="s">
        <v>37</v>
      </c>
      <c r="E389" t="s">
        <v>47</v>
      </c>
      <c r="F389" t="s">
        <v>3215</v>
      </c>
      <c r="G389" t="s">
        <v>48</v>
      </c>
      <c r="H389" t="str">
        <f>VLOOKUP(Table1[[#This Row],[City]],Table6[#All],2,FALSE)</f>
        <v>North</v>
      </c>
      <c r="I389" t="s">
        <v>3204</v>
      </c>
      <c r="J389" t="str">
        <f>_xlfn.XLOOKUP(Table1[[#This Row],[Tractor Model]],Table7[Product Model],Table7[Product Category],"Not Available",0)</f>
        <v>Kubota</v>
      </c>
      <c r="K389" s="4">
        <v>7</v>
      </c>
      <c r="L389" s="72">
        <v>139129</v>
      </c>
      <c r="M389" s="4">
        <f>INDEX('Master Sheet'!$C$4:$C$12,MATCH(Table1[[#This Row],[Quantity]],'Master Sheet'!$B$4:$B$12,0))</f>
        <v>9</v>
      </c>
      <c r="N389" s="71">
        <f>Table1[[#This Row],[Quantity]]*Table1[[#This Row],[Unit Price]]</f>
        <v>973903</v>
      </c>
      <c r="O389" s="73">
        <v>9.7390299999999999E-2</v>
      </c>
      <c r="P389" s="70">
        <f>Table1[[#This Row],[Gross Amount]]*(1-(Table1[[#This Row],[Discount %]]/100))</f>
        <v>886251.73</v>
      </c>
      <c r="Q389" s="74">
        <f>(Table1[[#This Row],[Gross Amount]]*(1-(Table1[[#This Row],[Discount %]]/100)))/10000000</f>
        <v>8.8625173000000002E-2</v>
      </c>
      <c r="R389" t="s">
        <v>25</v>
      </c>
      <c r="S389" t="str" cm="1">
        <f t="array" ref="S389">IFERROR(_xlfn.IFS(Table1[[#This Row],[Payment Status]]="Partial","In Transit",Table1[[#This Row],[Payment Status]]="Paid","Delivered",Table1[[#This Row],[Payment Status]]="Pending","Pending"),"Invalid Input")</f>
        <v>In Transit</v>
      </c>
      <c r="T389" t="s">
        <v>27</v>
      </c>
      <c r="U389" t="str" cm="1">
        <f t="array" ref="U389">IFERROR(_xlfn.IFS(Table1[[#This Row],[Payment Status]]="Partial","In Transit",Table1[[#This Row],[Payment Status]]="Paid","Completed",Table1[[#This Row],[Payment Status]]="Pending","Pending"),"Invalid Input")</f>
        <v>In Transit</v>
      </c>
    </row>
    <row r="390" spans="1:21" x14ac:dyDescent="0.25">
      <c r="A390" s="4" t="s">
        <v>810</v>
      </c>
      <c r="B390" s="5">
        <v>45450</v>
      </c>
      <c r="C390" t="s">
        <v>73</v>
      </c>
      <c r="D390" t="s">
        <v>37</v>
      </c>
      <c r="E390" t="s">
        <v>47</v>
      </c>
      <c r="F390" t="s">
        <v>3215</v>
      </c>
      <c r="G390" t="s">
        <v>48</v>
      </c>
      <c r="H390" t="str">
        <f>VLOOKUP(Table1[[#This Row],[City]],Table6[#All],2,FALSE)</f>
        <v>North</v>
      </c>
      <c r="I390" t="s">
        <v>58</v>
      </c>
      <c r="J390" t="str">
        <f>_xlfn.XLOOKUP(Table1[[#This Row],[Tractor Model]],Table7[Product Model],Table7[Product Category],"Not Available",0)</f>
        <v>Powertrac</v>
      </c>
      <c r="K390" s="4">
        <v>4</v>
      </c>
      <c r="L390" s="72">
        <v>479807</v>
      </c>
      <c r="M390" s="4">
        <f>INDEX('Master Sheet'!$C$4:$C$12,MATCH(Table1[[#This Row],[Quantity]],'Master Sheet'!$B$4:$B$12,0))</f>
        <v>6</v>
      </c>
      <c r="N390" s="71">
        <f>Table1[[#This Row],[Quantity]]*Table1[[#This Row],[Unit Price]]</f>
        <v>1919228</v>
      </c>
      <c r="O390" s="73">
        <v>0.1919228</v>
      </c>
      <c r="P390" s="70">
        <f>Table1[[#This Row],[Gross Amount]]*(1-(Table1[[#This Row],[Discount %]]/100))</f>
        <v>1804074.3199999998</v>
      </c>
      <c r="Q390" s="74">
        <f>(Table1[[#This Row],[Gross Amount]]*(1-(Table1[[#This Row],[Discount %]]/100)))/10000000</f>
        <v>0.18040743199999998</v>
      </c>
      <c r="R390" t="s">
        <v>42</v>
      </c>
      <c r="S390" t="str" cm="1">
        <f t="array" ref="S390">IFERROR(_xlfn.IFS(Table1[[#This Row],[Payment Status]]="Partial","In Transit",Table1[[#This Row],[Payment Status]]="Paid","Delivered",Table1[[#This Row],[Payment Status]]="Pending","Pending"),"Invalid Input")</f>
        <v>Pending</v>
      </c>
      <c r="T390" t="s">
        <v>44</v>
      </c>
      <c r="U390" t="str" cm="1">
        <f t="array" ref="U390">IFERROR(_xlfn.IFS(Table1[[#This Row],[Payment Status]]="Partial","In Transit",Table1[[#This Row],[Payment Status]]="Paid","Completed",Table1[[#This Row],[Payment Status]]="Pending","Pending"),"Invalid Input")</f>
        <v>Pending</v>
      </c>
    </row>
    <row r="391" spans="1:21" x14ac:dyDescent="0.25">
      <c r="A391" s="4" t="s">
        <v>812</v>
      </c>
      <c r="B391" s="5">
        <v>45461</v>
      </c>
      <c r="C391" t="s">
        <v>73</v>
      </c>
      <c r="D391" t="s">
        <v>3269</v>
      </c>
      <c r="E391" t="s">
        <v>119</v>
      </c>
      <c r="F391" t="s">
        <v>3229</v>
      </c>
      <c r="G391" t="s">
        <v>21</v>
      </c>
      <c r="H391" t="str">
        <f>VLOOKUP(Table1[[#This Row],[City]],Table6[#All],2,FALSE)</f>
        <v>North</v>
      </c>
      <c r="I391" t="s">
        <v>3204</v>
      </c>
      <c r="J391" t="str">
        <f>_xlfn.XLOOKUP(Table1[[#This Row],[Tractor Model]],Table7[Product Model],Table7[Product Category],"Not Available",0)</f>
        <v>Kubota</v>
      </c>
      <c r="K391" s="4">
        <v>7</v>
      </c>
      <c r="L391" s="72">
        <v>114065</v>
      </c>
      <c r="M391" s="4">
        <f>INDEX('Master Sheet'!$C$4:$C$12,MATCH(Table1[[#This Row],[Quantity]],'Master Sheet'!$B$4:$B$12,0))</f>
        <v>9</v>
      </c>
      <c r="N391" s="71">
        <f>Table1[[#This Row],[Quantity]]*Table1[[#This Row],[Unit Price]]</f>
        <v>798455</v>
      </c>
      <c r="O391" s="73">
        <v>7.98455E-2</v>
      </c>
      <c r="P391" s="70">
        <f>Table1[[#This Row],[Gross Amount]]*(1-(Table1[[#This Row],[Discount %]]/100))</f>
        <v>726594.05</v>
      </c>
      <c r="Q391" s="74">
        <f>(Table1[[#This Row],[Gross Amount]]*(1-(Table1[[#This Row],[Discount %]]/100)))/10000000</f>
        <v>7.265940500000001E-2</v>
      </c>
      <c r="R391" t="s">
        <v>54</v>
      </c>
      <c r="S391" t="str" cm="1">
        <f t="array" ref="S391">IFERROR(_xlfn.IFS(Table1[[#This Row],[Payment Status]]="Partial","In Transit",Table1[[#This Row],[Payment Status]]="Paid","Delivered",Table1[[#This Row],[Payment Status]]="Pending","Pending"),"Invalid Input")</f>
        <v>Delivered</v>
      </c>
      <c r="T391" t="s">
        <v>44</v>
      </c>
      <c r="U391" t="str" cm="1">
        <f t="array" ref="U391">IFERROR(_xlfn.IFS(Table1[[#This Row],[Payment Status]]="Partial","In Transit",Table1[[#This Row],[Payment Status]]="Paid","Completed",Table1[[#This Row],[Payment Status]]="Pending","Pending"),"Invalid Input")</f>
        <v>Completed</v>
      </c>
    </row>
    <row r="392" spans="1:21" x14ac:dyDescent="0.25">
      <c r="A392" s="4" t="s">
        <v>814</v>
      </c>
      <c r="B392" s="5">
        <v>45496</v>
      </c>
      <c r="C392" t="s">
        <v>52</v>
      </c>
      <c r="D392" t="s">
        <v>3271</v>
      </c>
      <c r="E392" t="s">
        <v>119</v>
      </c>
      <c r="F392" t="s">
        <v>3228</v>
      </c>
      <c r="G392" t="s">
        <v>21</v>
      </c>
      <c r="H392" t="str">
        <f>VLOOKUP(Table1[[#This Row],[City]],Table6[#All],2,FALSE)</f>
        <v>North</v>
      </c>
      <c r="I392" t="s">
        <v>58</v>
      </c>
      <c r="J392" t="str">
        <f>_xlfn.XLOOKUP(Table1[[#This Row],[Tractor Model]],Table7[Product Model],Table7[Product Category],"Not Available",0)</f>
        <v>Powertrac</v>
      </c>
      <c r="K392" s="4">
        <v>6</v>
      </c>
      <c r="L392" s="72">
        <v>465239</v>
      </c>
      <c r="M392" s="4">
        <f>INDEX('Master Sheet'!$C$4:$C$12,MATCH(Table1[[#This Row],[Quantity]],'Master Sheet'!$B$4:$B$12,0))</f>
        <v>8</v>
      </c>
      <c r="N392" s="71">
        <f>Table1[[#This Row],[Quantity]]*Table1[[#This Row],[Unit Price]]</f>
        <v>2791434</v>
      </c>
      <c r="O392" s="73">
        <v>0.27914339999999999</v>
      </c>
      <c r="P392" s="70">
        <f>Table1[[#This Row],[Gross Amount]]*(1-(Table1[[#This Row],[Discount %]]/100))</f>
        <v>2568119.2800000003</v>
      </c>
      <c r="Q392" s="74">
        <f>(Table1[[#This Row],[Gross Amount]]*(1-(Table1[[#This Row],[Discount %]]/100)))/10000000</f>
        <v>0.25681192800000002</v>
      </c>
      <c r="R392" t="s">
        <v>42</v>
      </c>
      <c r="S392" t="str" cm="1">
        <f t="array" ref="S392">IFERROR(_xlfn.IFS(Table1[[#This Row],[Payment Status]]="Partial","In Transit",Table1[[#This Row],[Payment Status]]="Paid","Delivered",Table1[[#This Row],[Payment Status]]="Pending","Pending"),"Invalid Input")</f>
        <v>Pending</v>
      </c>
      <c r="T392" t="s">
        <v>27</v>
      </c>
      <c r="U392" t="str" cm="1">
        <f t="array" ref="U392">IFERROR(_xlfn.IFS(Table1[[#This Row],[Payment Status]]="Partial","In Transit",Table1[[#This Row],[Payment Status]]="Paid","Completed",Table1[[#This Row],[Payment Status]]="Pending","Pending"),"Invalid Input")</f>
        <v>Pending</v>
      </c>
    </row>
    <row r="393" spans="1:21" x14ac:dyDescent="0.25">
      <c r="A393" s="4" t="s">
        <v>816</v>
      </c>
      <c r="B393" s="5">
        <v>45523</v>
      </c>
      <c r="C393" t="s">
        <v>52</v>
      </c>
      <c r="D393" t="s">
        <v>3270</v>
      </c>
      <c r="E393" t="s">
        <v>66</v>
      </c>
      <c r="F393" t="s">
        <v>3220</v>
      </c>
      <c r="G393" t="s">
        <v>67</v>
      </c>
      <c r="H393" t="str">
        <f>VLOOKUP(Table1[[#This Row],[City]],Table6[#All],2,FALSE)</f>
        <v>East</v>
      </c>
      <c r="I393" t="s">
        <v>58</v>
      </c>
      <c r="J393" t="str">
        <f>_xlfn.XLOOKUP(Table1[[#This Row],[Tractor Model]],Table7[Product Model],Table7[Product Category],"Not Available",0)</f>
        <v>Powertrac</v>
      </c>
      <c r="K393" s="4">
        <v>7</v>
      </c>
      <c r="L393" s="72">
        <v>501856</v>
      </c>
      <c r="M393" s="4">
        <f>INDEX('Master Sheet'!$C$4:$C$12,MATCH(Table1[[#This Row],[Quantity]],'Master Sheet'!$B$4:$B$12,0))</f>
        <v>9</v>
      </c>
      <c r="N393" s="71">
        <f>Table1[[#This Row],[Quantity]]*Table1[[#This Row],[Unit Price]]</f>
        <v>3512992</v>
      </c>
      <c r="O393" s="73">
        <v>0.35129919999999998</v>
      </c>
      <c r="P393" s="70">
        <f>Table1[[#This Row],[Gross Amount]]*(1-(Table1[[#This Row],[Discount %]]/100))</f>
        <v>3196822.72</v>
      </c>
      <c r="Q393" s="74">
        <f>(Table1[[#This Row],[Gross Amount]]*(1-(Table1[[#This Row],[Discount %]]/100)))/10000000</f>
        <v>0.31968227200000005</v>
      </c>
      <c r="R393" t="s">
        <v>54</v>
      </c>
      <c r="S393" t="str" cm="1">
        <f t="array" ref="S393">IFERROR(_xlfn.IFS(Table1[[#This Row],[Payment Status]]="Partial","In Transit",Table1[[#This Row],[Payment Status]]="Paid","Delivered",Table1[[#This Row],[Payment Status]]="Pending","Pending"),"Invalid Input")</f>
        <v>Delivered</v>
      </c>
      <c r="T393" t="s">
        <v>44</v>
      </c>
      <c r="U393" t="str" cm="1">
        <f t="array" ref="U393">IFERROR(_xlfn.IFS(Table1[[#This Row],[Payment Status]]="Partial","In Transit",Table1[[#This Row],[Payment Status]]="Paid","Completed",Table1[[#This Row],[Payment Status]]="Pending","Pending"),"Invalid Input")</f>
        <v>Completed</v>
      </c>
    </row>
    <row r="394" spans="1:21" x14ac:dyDescent="0.25">
      <c r="A394" s="4" t="s">
        <v>817</v>
      </c>
      <c r="B394" s="5">
        <v>45324</v>
      </c>
      <c r="C394" t="s">
        <v>73</v>
      </c>
      <c r="D394" t="s">
        <v>3271</v>
      </c>
      <c r="E394" t="s">
        <v>47</v>
      </c>
      <c r="F394" t="s">
        <v>3221</v>
      </c>
      <c r="G394" t="s">
        <v>48</v>
      </c>
      <c r="H394" t="str">
        <f>VLOOKUP(Table1[[#This Row],[City]],Table6[#All],2,FALSE)</f>
        <v>North</v>
      </c>
      <c r="I394" t="s">
        <v>3203</v>
      </c>
      <c r="J394" t="str">
        <f>_xlfn.XLOOKUP(Table1[[#This Row],[Tractor Model]],Table7[Product Model],Table7[Product Category],"Not Available",0)</f>
        <v>Kubota</v>
      </c>
      <c r="K394" s="4">
        <v>8</v>
      </c>
      <c r="L394" s="72">
        <v>235344</v>
      </c>
      <c r="M394" s="4">
        <f>INDEX('Master Sheet'!$C$4:$C$12,MATCH(Table1[[#This Row],[Quantity]],'Master Sheet'!$B$4:$B$12,0))</f>
        <v>9</v>
      </c>
      <c r="N394" s="71">
        <f>Table1[[#This Row],[Quantity]]*Table1[[#This Row],[Unit Price]]</f>
        <v>1882752</v>
      </c>
      <c r="O394" s="73">
        <v>0.1882752</v>
      </c>
      <c r="P394" s="70">
        <f>Table1[[#This Row],[Gross Amount]]*(1-(Table1[[#This Row],[Discount %]]/100))</f>
        <v>1713304.32</v>
      </c>
      <c r="Q394" s="74">
        <f>(Table1[[#This Row],[Gross Amount]]*(1-(Table1[[#This Row],[Discount %]]/100)))/10000000</f>
        <v>0.171330432</v>
      </c>
      <c r="R394" t="s">
        <v>54</v>
      </c>
      <c r="S394" t="str" cm="1">
        <f t="array" ref="S394">IFERROR(_xlfn.IFS(Table1[[#This Row],[Payment Status]]="Partial","In Transit",Table1[[#This Row],[Payment Status]]="Paid","Delivered",Table1[[#This Row],[Payment Status]]="Pending","Pending"),"Invalid Input")</f>
        <v>Delivered</v>
      </c>
      <c r="T394" t="s">
        <v>27</v>
      </c>
      <c r="U394" t="str" cm="1">
        <f t="array" ref="U394">IFERROR(_xlfn.IFS(Table1[[#This Row],[Payment Status]]="Partial","In Transit",Table1[[#This Row],[Payment Status]]="Paid","Completed",Table1[[#This Row],[Payment Status]]="Pending","Pending"),"Invalid Input")</f>
        <v>Completed</v>
      </c>
    </row>
    <row r="395" spans="1:21" x14ac:dyDescent="0.25">
      <c r="A395" s="4" t="s">
        <v>819</v>
      </c>
      <c r="B395" s="5">
        <v>45305</v>
      </c>
      <c r="C395" t="s">
        <v>73</v>
      </c>
      <c r="D395" t="s">
        <v>3271</v>
      </c>
      <c r="E395" t="s">
        <v>47</v>
      </c>
      <c r="F395" t="s">
        <v>3221</v>
      </c>
      <c r="G395" t="s">
        <v>48</v>
      </c>
      <c r="H395" t="str">
        <f>VLOOKUP(Table1[[#This Row],[City]],Table6[#All],2,FALSE)</f>
        <v>North</v>
      </c>
      <c r="I395" t="s">
        <v>3203</v>
      </c>
      <c r="J395" t="str">
        <f>_xlfn.XLOOKUP(Table1[[#This Row],[Tractor Model]],Table7[Product Model],Table7[Product Category],"Not Available",0)</f>
        <v>Kubota</v>
      </c>
      <c r="K395" s="4">
        <v>3</v>
      </c>
      <c r="L395" s="72">
        <v>200562</v>
      </c>
      <c r="M395" s="4">
        <f>INDEX('Master Sheet'!$C$4:$C$12,MATCH(Table1[[#This Row],[Quantity]],'Master Sheet'!$B$4:$B$12,0))</f>
        <v>6</v>
      </c>
      <c r="N395" s="71">
        <f>Table1[[#This Row],[Quantity]]*Table1[[#This Row],[Unit Price]]</f>
        <v>601686</v>
      </c>
      <c r="O395" s="73">
        <v>6.0168600000000003E-2</v>
      </c>
      <c r="P395" s="70">
        <f>Table1[[#This Row],[Gross Amount]]*(1-(Table1[[#This Row],[Discount %]]/100))</f>
        <v>565584.84</v>
      </c>
      <c r="Q395" s="74">
        <f>(Table1[[#This Row],[Gross Amount]]*(1-(Table1[[#This Row],[Discount %]]/100)))/10000000</f>
        <v>5.6558483999999999E-2</v>
      </c>
      <c r="R395" t="s">
        <v>42</v>
      </c>
      <c r="S395" t="str" cm="1">
        <f t="array" ref="S395">IFERROR(_xlfn.IFS(Table1[[#This Row],[Payment Status]]="Partial","In Transit",Table1[[#This Row],[Payment Status]]="Paid","Delivered",Table1[[#This Row],[Payment Status]]="Pending","Pending"),"Invalid Input")</f>
        <v>Pending</v>
      </c>
      <c r="T395" t="s">
        <v>27</v>
      </c>
      <c r="U395" t="str" cm="1">
        <f t="array" ref="U395">IFERROR(_xlfn.IFS(Table1[[#This Row],[Payment Status]]="Partial","In Transit",Table1[[#This Row],[Payment Status]]="Paid","Completed",Table1[[#This Row],[Payment Status]]="Pending","Pending"),"Invalid Input")</f>
        <v>Pending</v>
      </c>
    </row>
    <row r="396" spans="1:21" x14ac:dyDescent="0.25">
      <c r="A396" s="4" t="s">
        <v>820</v>
      </c>
      <c r="B396" s="5">
        <v>45498</v>
      </c>
      <c r="C396" t="s">
        <v>62</v>
      </c>
      <c r="D396" t="s">
        <v>37</v>
      </c>
      <c r="E396" t="s">
        <v>47</v>
      </c>
      <c r="F396" t="s">
        <v>3215</v>
      </c>
      <c r="G396" t="s">
        <v>48</v>
      </c>
      <c r="H396" t="str">
        <f>VLOOKUP(Table1[[#This Row],[City]],Table6[#All],2,FALSE)</f>
        <v>North</v>
      </c>
      <c r="I396" t="s">
        <v>24</v>
      </c>
      <c r="J396" t="str">
        <f>_xlfn.XLOOKUP(Table1[[#This Row],[Tractor Model]],Table7[Product Model],Table7[Product Category],"Not Available",0)</f>
        <v>Farmtrac</v>
      </c>
      <c r="K396" s="4">
        <v>2</v>
      </c>
      <c r="L396" s="72">
        <v>695438</v>
      </c>
      <c r="M396" s="4">
        <f>INDEX('Master Sheet'!$C$4:$C$12,MATCH(Table1[[#This Row],[Quantity]],'Master Sheet'!$B$4:$B$12,0))</f>
        <v>5</v>
      </c>
      <c r="N396" s="71">
        <f>Table1[[#This Row],[Quantity]]*Table1[[#This Row],[Unit Price]]</f>
        <v>1390876</v>
      </c>
      <c r="O396" s="73">
        <v>0.13908760000000001</v>
      </c>
      <c r="P396" s="70">
        <f>Table1[[#This Row],[Gross Amount]]*(1-(Table1[[#This Row],[Discount %]]/100))</f>
        <v>1321332.2</v>
      </c>
      <c r="Q396" s="74">
        <f>(Table1[[#This Row],[Gross Amount]]*(1-(Table1[[#This Row],[Discount %]]/100)))/10000000</f>
        <v>0.13213322</v>
      </c>
      <c r="R396" t="s">
        <v>25</v>
      </c>
      <c r="S396" t="str" cm="1">
        <f t="array" ref="S396">IFERROR(_xlfn.IFS(Table1[[#This Row],[Payment Status]]="Partial","In Transit",Table1[[#This Row],[Payment Status]]="Paid","Delivered",Table1[[#This Row],[Payment Status]]="Pending","Pending"),"Invalid Input")</f>
        <v>In Transit</v>
      </c>
      <c r="T396" t="s">
        <v>44</v>
      </c>
      <c r="U396" t="str" cm="1">
        <f t="array" ref="U396">IFERROR(_xlfn.IFS(Table1[[#This Row],[Payment Status]]="Partial","In Transit",Table1[[#This Row],[Payment Status]]="Paid","Completed",Table1[[#This Row],[Payment Status]]="Pending","Pending"),"Invalid Input")</f>
        <v>In Transit</v>
      </c>
    </row>
    <row r="397" spans="1:21" x14ac:dyDescent="0.25">
      <c r="A397" s="4" t="s">
        <v>822</v>
      </c>
      <c r="B397" s="5">
        <v>45724</v>
      </c>
      <c r="C397" t="s">
        <v>52</v>
      </c>
      <c r="D397" t="s">
        <v>3271</v>
      </c>
      <c r="E397" t="s">
        <v>47</v>
      </c>
      <c r="F397" t="s">
        <v>3221</v>
      </c>
      <c r="G397" t="s">
        <v>48</v>
      </c>
      <c r="H397" t="str">
        <f>VLOOKUP(Table1[[#This Row],[City]],Table6[#All],2,FALSE)</f>
        <v>North</v>
      </c>
      <c r="I397" t="s">
        <v>53</v>
      </c>
      <c r="J397" t="str">
        <f>_xlfn.XLOOKUP(Table1[[#This Row],[Tractor Model]],Table7[Product Model],Table7[Product Category],"Not Available",0)</f>
        <v>Farmtrac</v>
      </c>
      <c r="K397" s="4">
        <v>4</v>
      </c>
      <c r="L397" s="72">
        <v>459194</v>
      </c>
      <c r="M397" s="4">
        <f>INDEX('Master Sheet'!$C$4:$C$12,MATCH(Table1[[#This Row],[Quantity]],'Master Sheet'!$B$4:$B$12,0))</f>
        <v>6</v>
      </c>
      <c r="N397" s="71">
        <f>Table1[[#This Row],[Quantity]]*Table1[[#This Row],[Unit Price]]</f>
        <v>1836776</v>
      </c>
      <c r="O397" s="73">
        <v>0.1836776</v>
      </c>
      <c r="P397" s="70">
        <f>Table1[[#This Row],[Gross Amount]]*(1-(Table1[[#This Row],[Discount %]]/100))</f>
        <v>1726569.44</v>
      </c>
      <c r="Q397" s="74">
        <f>(Table1[[#This Row],[Gross Amount]]*(1-(Table1[[#This Row],[Discount %]]/100)))/10000000</f>
        <v>0.17265694400000001</v>
      </c>
      <c r="R397" t="s">
        <v>25</v>
      </c>
      <c r="S397" t="str" cm="1">
        <f t="array" ref="S397">IFERROR(_xlfn.IFS(Table1[[#This Row],[Payment Status]]="Partial","In Transit",Table1[[#This Row],[Payment Status]]="Paid","Delivered",Table1[[#This Row],[Payment Status]]="Pending","Pending"),"Invalid Input")</f>
        <v>In Transit</v>
      </c>
      <c r="T397" t="s">
        <v>44</v>
      </c>
      <c r="U397" t="str" cm="1">
        <f t="array" ref="U397">IFERROR(_xlfn.IFS(Table1[[#This Row],[Payment Status]]="Partial","In Transit",Table1[[#This Row],[Payment Status]]="Paid","Completed",Table1[[#This Row],[Payment Status]]="Pending","Pending"),"Invalid Input")</f>
        <v>In Transit</v>
      </c>
    </row>
    <row r="398" spans="1:21" x14ac:dyDescent="0.25">
      <c r="A398" s="4" t="s">
        <v>823</v>
      </c>
      <c r="B398" s="5">
        <v>45312</v>
      </c>
      <c r="C398" t="s">
        <v>52</v>
      </c>
      <c r="D398" t="s">
        <v>3271</v>
      </c>
      <c r="E398" t="s">
        <v>119</v>
      </c>
      <c r="F398" t="s">
        <v>3228</v>
      </c>
      <c r="G398" t="s">
        <v>21</v>
      </c>
      <c r="H398" t="str">
        <f>VLOOKUP(Table1[[#This Row],[City]],Table6[#All],2,FALSE)</f>
        <v>North</v>
      </c>
      <c r="I398" t="s">
        <v>53</v>
      </c>
      <c r="J398" t="str">
        <f>_xlfn.XLOOKUP(Table1[[#This Row],[Tractor Model]],Table7[Product Model],Table7[Product Category],"Not Available",0)</f>
        <v>Farmtrac</v>
      </c>
      <c r="K398" s="4">
        <v>3</v>
      </c>
      <c r="L398" s="72">
        <v>144168</v>
      </c>
      <c r="M398" s="4">
        <f>INDEX('Master Sheet'!$C$4:$C$12,MATCH(Table1[[#This Row],[Quantity]],'Master Sheet'!$B$4:$B$12,0))</f>
        <v>6</v>
      </c>
      <c r="N398" s="71">
        <f>Table1[[#This Row],[Quantity]]*Table1[[#This Row],[Unit Price]]</f>
        <v>432504</v>
      </c>
      <c r="O398" s="73">
        <v>4.3250400000000001E-2</v>
      </c>
      <c r="P398" s="70">
        <f>Table1[[#This Row],[Gross Amount]]*(1-(Table1[[#This Row],[Discount %]]/100))</f>
        <v>406553.75999999995</v>
      </c>
      <c r="Q398" s="74">
        <f>(Table1[[#This Row],[Gross Amount]]*(1-(Table1[[#This Row],[Discount %]]/100)))/10000000</f>
        <v>4.0655375999999993E-2</v>
      </c>
      <c r="R398" t="s">
        <v>54</v>
      </c>
      <c r="S398" t="str" cm="1">
        <f t="array" ref="S398">IFERROR(_xlfn.IFS(Table1[[#This Row],[Payment Status]]="Partial","In Transit",Table1[[#This Row],[Payment Status]]="Paid","Delivered",Table1[[#This Row],[Payment Status]]="Pending","Pending"),"Invalid Input")</f>
        <v>Delivered</v>
      </c>
      <c r="T398" t="s">
        <v>44</v>
      </c>
      <c r="U398" t="str" cm="1">
        <f t="array" ref="U398">IFERROR(_xlfn.IFS(Table1[[#This Row],[Payment Status]]="Partial","In Transit",Table1[[#This Row],[Payment Status]]="Paid","Completed",Table1[[#This Row],[Payment Status]]="Pending","Pending"),"Invalid Input")</f>
        <v>Completed</v>
      </c>
    </row>
    <row r="399" spans="1:21" x14ac:dyDescent="0.25">
      <c r="A399" s="4" t="s">
        <v>824</v>
      </c>
      <c r="B399" s="5">
        <v>45509</v>
      </c>
      <c r="C399" t="s">
        <v>41</v>
      </c>
      <c r="D399" t="s">
        <v>37</v>
      </c>
      <c r="E399" t="s">
        <v>30</v>
      </c>
      <c r="F399" t="s">
        <v>3222</v>
      </c>
      <c r="G399" t="s">
        <v>31</v>
      </c>
      <c r="H399" t="str">
        <f>VLOOKUP(Table1[[#This Row],[City]],Table6[#All],2,FALSE)</f>
        <v>South</v>
      </c>
      <c r="I399" t="s">
        <v>24</v>
      </c>
      <c r="J399" t="str">
        <f>_xlfn.XLOOKUP(Table1[[#This Row],[Tractor Model]],Table7[Product Model],Table7[Product Category],"Not Available",0)</f>
        <v>Farmtrac</v>
      </c>
      <c r="K399" s="4">
        <v>2</v>
      </c>
      <c r="L399" s="72">
        <v>349341</v>
      </c>
      <c r="M399" s="4">
        <f>INDEX('Master Sheet'!$C$4:$C$12,MATCH(Table1[[#This Row],[Quantity]],'Master Sheet'!$B$4:$B$12,0))</f>
        <v>5</v>
      </c>
      <c r="N399" s="71">
        <f>Table1[[#This Row],[Quantity]]*Table1[[#This Row],[Unit Price]]</f>
        <v>698682</v>
      </c>
      <c r="O399" s="73">
        <v>6.9868200000000005E-2</v>
      </c>
      <c r="P399" s="70">
        <f>Table1[[#This Row],[Gross Amount]]*(1-(Table1[[#This Row],[Discount %]]/100))</f>
        <v>663747.9</v>
      </c>
      <c r="Q399" s="74">
        <f>(Table1[[#This Row],[Gross Amount]]*(1-(Table1[[#This Row],[Discount %]]/100)))/10000000</f>
        <v>6.6374790000000003E-2</v>
      </c>
      <c r="R399" t="s">
        <v>25</v>
      </c>
      <c r="S399" t="str" cm="1">
        <f t="array" ref="S399">IFERROR(_xlfn.IFS(Table1[[#This Row],[Payment Status]]="Partial","In Transit",Table1[[#This Row],[Payment Status]]="Paid","Delivered",Table1[[#This Row],[Payment Status]]="Pending","Pending"),"Invalid Input")</f>
        <v>In Transit</v>
      </c>
      <c r="T399" t="s">
        <v>27</v>
      </c>
      <c r="U399" t="str" cm="1">
        <f t="array" ref="U399">IFERROR(_xlfn.IFS(Table1[[#This Row],[Payment Status]]="Partial","In Transit",Table1[[#This Row],[Payment Status]]="Paid","Completed",Table1[[#This Row],[Payment Status]]="Pending","Pending"),"Invalid Input")</f>
        <v>In Transit</v>
      </c>
    </row>
    <row r="400" spans="1:21" x14ac:dyDescent="0.25">
      <c r="A400" s="4" t="s">
        <v>826</v>
      </c>
      <c r="B400" s="5">
        <v>45621</v>
      </c>
      <c r="C400" t="s">
        <v>62</v>
      </c>
      <c r="D400" t="s">
        <v>3269</v>
      </c>
      <c r="E400" t="s">
        <v>119</v>
      </c>
      <c r="F400" t="s">
        <v>3229</v>
      </c>
      <c r="G400" t="s">
        <v>21</v>
      </c>
      <c r="H400" t="str">
        <f>VLOOKUP(Table1[[#This Row],[City]],Table6[#All],2,FALSE)</f>
        <v>North</v>
      </c>
      <c r="I400" t="s">
        <v>24</v>
      </c>
      <c r="J400" t="str">
        <f>_xlfn.XLOOKUP(Table1[[#This Row],[Tractor Model]],Table7[Product Model],Table7[Product Category],"Not Available",0)</f>
        <v>Farmtrac</v>
      </c>
      <c r="K400" s="4">
        <v>1</v>
      </c>
      <c r="L400" s="72">
        <v>576989</v>
      </c>
      <c r="M400" s="4">
        <f>INDEX('Master Sheet'!$C$4:$C$12,MATCH(Table1[[#This Row],[Quantity]],'Master Sheet'!$B$4:$B$12,0))</f>
        <v>3</v>
      </c>
      <c r="N400" s="71">
        <f>Table1[[#This Row],[Quantity]]*Table1[[#This Row],[Unit Price]]</f>
        <v>576989</v>
      </c>
      <c r="O400" s="73">
        <v>5.7698899999999997E-2</v>
      </c>
      <c r="P400" s="70">
        <f>Table1[[#This Row],[Gross Amount]]*(1-(Table1[[#This Row],[Discount %]]/100))</f>
        <v>559679.32999999996</v>
      </c>
      <c r="Q400" s="74">
        <f>(Table1[[#This Row],[Gross Amount]]*(1-(Table1[[#This Row],[Discount %]]/100)))/10000000</f>
        <v>5.5967932999999997E-2</v>
      </c>
      <c r="R400" t="s">
        <v>25</v>
      </c>
      <c r="S400" t="str" cm="1">
        <f t="array" ref="S400">IFERROR(_xlfn.IFS(Table1[[#This Row],[Payment Status]]="Partial","In Transit",Table1[[#This Row],[Payment Status]]="Paid","Delivered",Table1[[#This Row],[Payment Status]]="Pending","Pending"),"Invalid Input")</f>
        <v>In Transit</v>
      </c>
      <c r="T400" t="s">
        <v>27</v>
      </c>
      <c r="U400" t="str" cm="1">
        <f t="array" ref="U400">IFERROR(_xlfn.IFS(Table1[[#This Row],[Payment Status]]="Partial","In Transit",Table1[[#This Row],[Payment Status]]="Paid","Completed",Table1[[#This Row],[Payment Status]]="Pending","Pending"),"Invalid Input")</f>
        <v>In Transit</v>
      </c>
    </row>
    <row r="401" spans="1:21" x14ac:dyDescent="0.25">
      <c r="A401" s="4" t="s">
        <v>828</v>
      </c>
      <c r="B401" s="5">
        <v>45479</v>
      </c>
      <c r="C401" t="s">
        <v>33</v>
      </c>
      <c r="D401" t="s">
        <v>3270</v>
      </c>
      <c r="E401" t="s">
        <v>38</v>
      </c>
      <c r="F401" t="s">
        <v>3218</v>
      </c>
      <c r="G401" t="s">
        <v>39</v>
      </c>
      <c r="H401" t="str">
        <f>VLOOKUP(Table1[[#This Row],[City]],Table6[#All],2,FALSE)</f>
        <v>West</v>
      </c>
      <c r="I401" t="s">
        <v>58</v>
      </c>
      <c r="J401" t="str">
        <f>_xlfn.XLOOKUP(Table1[[#This Row],[Tractor Model]],Table7[Product Model],Table7[Product Category],"Not Available",0)</f>
        <v>Powertrac</v>
      </c>
      <c r="K401" s="4">
        <v>1</v>
      </c>
      <c r="L401" s="72">
        <v>305133</v>
      </c>
      <c r="M401" s="4">
        <f>INDEX('Master Sheet'!$C$4:$C$12,MATCH(Table1[[#This Row],[Quantity]],'Master Sheet'!$B$4:$B$12,0))</f>
        <v>3</v>
      </c>
      <c r="N401" s="71">
        <f>Table1[[#This Row],[Quantity]]*Table1[[#This Row],[Unit Price]]</f>
        <v>305133</v>
      </c>
      <c r="O401" s="73">
        <v>3.05133E-2</v>
      </c>
      <c r="P401" s="70">
        <f>Table1[[#This Row],[Gross Amount]]*(1-(Table1[[#This Row],[Discount %]]/100))</f>
        <v>295979.01</v>
      </c>
      <c r="Q401" s="74">
        <f>(Table1[[#This Row],[Gross Amount]]*(1-(Table1[[#This Row],[Discount %]]/100)))/10000000</f>
        <v>2.9597900999999999E-2</v>
      </c>
      <c r="R401" t="s">
        <v>42</v>
      </c>
      <c r="S401" t="str" cm="1">
        <f t="array" ref="S401">IFERROR(_xlfn.IFS(Table1[[#This Row],[Payment Status]]="Partial","In Transit",Table1[[#This Row],[Payment Status]]="Paid","Delivered",Table1[[#This Row],[Payment Status]]="Pending","Pending"),"Invalid Input")</f>
        <v>Pending</v>
      </c>
      <c r="T401" t="s">
        <v>27</v>
      </c>
      <c r="U401" t="str" cm="1">
        <f t="array" ref="U401">IFERROR(_xlfn.IFS(Table1[[#This Row],[Payment Status]]="Partial","In Transit",Table1[[#This Row],[Payment Status]]="Paid","Completed",Table1[[#This Row],[Payment Status]]="Pending","Pending"),"Invalid Input")</f>
        <v>Pending</v>
      </c>
    </row>
    <row r="402" spans="1:21" x14ac:dyDescent="0.25">
      <c r="A402" s="4" t="s">
        <v>830</v>
      </c>
      <c r="B402" s="5">
        <v>45366</v>
      </c>
      <c r="C402" t="s">
        <v>33</v>
      </c>
      <c r="D402" t="s">
        <v>37</v>
      </c>
      <c r="E402" t="s">
        <v>119</v>
      </c>
      <c r="F402" t="s">
        <v>3224</v>
      </c>
      <c r="G402" t="s">
        <v>21</v>
      </c>
      <c r="H402" t="str">
        <f>VLOOKUP(Table1[[#This Row],[City]],Table6[#All],2,FALSE)</f>
        <v>North</v>
      </c>
      <c r="I402" t="s">
        <v>3203</v>
      </c>
      <c r="J402" t="str">
        <f>_xlfn.XLOOKUP(Table1[[#This Row],[Tractor Model]],Table7[Product Model],Table7[Product Category],"Not Available",0)</f>
        <v>Kubota</v>
      </c>
      <c r="K402" s="4">
        <v>7</v>
      </c>
      <c r="L402" s="72">
        <v>831211</v>
      </c>
      <c r="M402" s="4">
        <f>INDEX('Master Sheet'!$C$4:$C$12,MATCH(Table1[[#This Row],[Quantity]],'Master Sheet'!$B$4:$B$12,0))</f>
        <v>9</v>
      </c>
      <c r="N402" s="71">
        <f>Table1[[#This Row],[Quantity]]*Table1[[#This Row],[Unit Price]]</f>
        <v>5818477</v>
      </c>
      <c r="O402" s="73">
        <v>0.58184769999999997</v>
      </c>
      <c r="P402" s="70">
        <f>Table1[[#This Row],[Gross Amount]]*(1-(Table1[[#This Row],[Discount %]]/100))</f>
        <v>5294814.07</v>
      </c>
      <c r="Q402" s="74">
        <f>(Table1[[#This Row],[Gross Amount]]*(1-(Table1[[#This Row],[Discount %]]/100)))/10000000</f>
        <v>0.52948140700000002</v>
      </c>
      <c r="R402" t="s">
        <v>42</v>
      </c>
      <c r="S402" t="str" cm="1">
        <f t="array" ref="S402">IFERROR(_xlfn.IFS(Table1[[#This Row],[Payment Status]]="Partial","In Transit",Table1[[#This Row],[Payment Status]]="Paid","Delivered",Table1[[#This Row],[Payment Status]]="Pending","Pending"),"Invalid Input")</f>
        <v>Pending</v>
      </c>
      <c r="T402" t="s">
        <v>27</v>
      </c>
      <c r="U402" t="str" cm="1">
        <f t="array" ref="U402">IFERROR(_xlfn.IFS(Table1[[#This Row],[Payment Status]]="Partial","In Transit",Table1[[#This Row],[Payment Status]]="Paid","Completed",Table1[[#This Row],[Payment Status]]="Pending","Pending"),"Invalid Input")</f>
        <v>Pending</v>
      </c>
    </row>
    <row r="403" spans="1:21" x14ac:dyDescent="0.25">
      <c r="A403" s="4" t="s">
        <v>831</v>
      </c>
      <c r="B403" s="5">
        <v>45336</v>
      </c>
      <c r="C403" t="s">
        <v>33</v>
      </c>
      <c r="D403" t="s">
        <v>3268</v>
      </c>
      <c r="E403" t="s">
        <v>38</v>
      </c>
      <c r="F403" t="s">
        <v>3219</v>
      </c>
      <c r="G403" t="s">
        <v>39</v>
      </c>
      <c r="H403" t="str">
        <f>VLOOKUP(Table1[[#This Row],[City]],Table6[#All],2,FALSE)</f>
        <v>West</v>
      </c>
      <c r="I403" t="s">
        <v>24</v>
      </c>
      <c r="J403" t="str">
        <f>_xlfn.XLOOKUP(Table1[[#This Row],[Tractor Model]],Table7[Product Model],Table7[Product Category],"Not Available",0)</f>
        <v>Farmtrac</v>
      </c>
      <c r="K403" s="4">
        <v>6</v>
      </c>
      <c r="L403" s="72">
        <v>223908</v>
      </c>
      <c r="M403" s="4">
        <f>INDEX('Master Sheet'!$C$4:$C$12,MATCH(Table1[[#This Row],[Quantity]],'Master Sheet'!$B$4:$B$12,0))</f>
        <v>8</v>
      </c>
      <c r="N403" s="71">
        <f>Table1[[#This Row],[Quantity]]*Table1[[#This Row],[Unit Price]]</f>
        <v>1343448</v>
      </c>
      <c r="O403" s="73">
        <v>0.13434479999999999</v>
      </c>
      <c r="P403" s="70">
        <f>Table1[[#This Row],[Gross Amount]]*(1-(Table1[[#This Row],[Discount %]]/100))</f>
        <v>1235972.1600000001</v>
      </c>
      <c r="Q403" s="74">
        <f>(Table1[[#This Row],[Gross Amount]]*(1-(Table1[[#This Row],[Discount %]]/100)))/10000000</f>
        <v>0.12359721600000001</v>
      </c>
      <c r="R403" t="s">
        <v>25</v>
      </c>
      <c r="S403" t="str" cm="1">
        <f t="array" ref="S403">IFERROR(_xlfn.IFS(Table1[[#This Row],[Payment Status]]="Partial","In Transit",Table1[[#This Row],[Payment Status]]="Paid","Delivered",Table1[[#This Row],[Payment Status]]="Pending","Pending"),"Invalid Input")</f>
        <v>In Transit</v>
      </c>
      <c r="T403" t="s">
        <v>27</v>
      </c>
      <c r="U403" t="str" cm="1">
        <f t="array" ref="U403">IFERROR(_xlfn.IFS(Table1[[#This Row],[Payment Status]]="Partial","In Transit",Table1[[#This Row],[Payment Status]]="Paid","Completed",Table1[[#This Row],[Payment Status]]="Pending","Pending"),"Invalid Input")</f>
        <v>In Transit</v>
      </c>
    </row>
    <row r="404" spans="1:21" x14ac:dyDescent="0.25">
      <c r="A404" s="4" t="s">
        <v>832</v>
      </c>
      <c r="B404" s="5">
        <v>45405</v>
      </c>
      <c r="C404" t="s">
        <v>41</v>
      </c>
      <c r="D404" t="s">
        <v>3268</v>
      </c>
      <c r="E404" t="s">
        <v>38</v>
      </c>
      <c r="F404" t="s">
        <v>3219</v>
      </c>
      <c r="G404" t="s">
        <v>39</v>
      </c>
      <c r="H404" t="str">
        <f>VLOOKUP(Table1[[#This Row],[City]],Table6[#All],2,FALSE)</f>
        <v>West</v>
      </c>
      <c r="I404" t="s">
        <v>24</v>
      </c>
      <c r="J404" t="str">
        <f>_xlfn.XLOOKUP(Table1[[#This Row],[Tractor Model]],Table7[Product Model],Table7[Product Category],"Not Available",0)</f>
        <v>Farmtrac</v>
      </c>
      <c r="K404" s="4">
        <v>5</v>
      </c>
      <c r="L404" s="72">
        <v>359979</v>
      </c>
      <c r="M404" s="4">
        <f>INDEX('Master Sheet'!$C$4:$C$12,MATCH(Table1[[#This Row],[Quantity]],'Master Sheet'!$B$4:$B$12,0))</f>
        <v>7</v>
      </c>
      <c r="N404" s="71">
        <f>Table1[[#This Row],[Quantity]]*Table1[[#This Row],[Unit Price]]</f>
        <v>1799895</v>
      </c>
      <c r="O404" s="73">
        <v>0.1799895</v>
      </c>
      <c r="P404" s="70">
        <f>Table1[[#This Row],[Gross Amount]]*(1-(Table1[[#This Row],[Discount %]]/100))</f>
        <v>1673902.3499999999</v>
      </c>
      <c r="Q404" s="74">
        <f>(Table1[[#This Row],[Gross Amount]]*(1-(Table1[[#This Row],[Discount %]]/100)))/10000000</f>
        <v>0.167390235</v>
      </c>
      <c r="R404" t="s">
        <v>42</v>
      </c>
      <c r="S404" t="str" cm="1">
        <f t="array" ref="S404">IFERROR(_xlfn.IFS(Table1[[#This Row],[Payment Status]]="Partial","In Transit",Table1[[#This Row],[Payment Status]]="Paid","Delivered",Table1[[#This Row],[Payment Status]]="Pending","Pending"),"Invalid Input")</f>
        <v>Pending</v>
      </c>
      <c r="T404" t="s">
        <v>27</v>
      </c>
      <c r="U404" t="str" cm="1">
        <f t="array" ref="U404">IFERROR(_xlfn.IFS(Table1[[#This Row],[Payment Status]]="Partial","In Transit",Table1[[#This Row],[Payment Status]]="Paid","Completed",Table1[[#This Row],[Payment Status]]="Pending","Pending"),"Invalid Input")</f>
        <v>Pending</v>
      </c>
    </row>
    <row r="405" spans="1:21" x14ac:dyDescent="0.25">
      <c r="A405" s="4" t="s">
        <v>834</v>
      </c>
      <c r="B405" s="5">
        <v>45752</v>
      </c>
      <c r="C405" t="s">
        <v>52</v>
      </c>
      <c r="D405" t="s">
        <v>3269</v>
      </c>
      <c r="E405" t="s">
        <v>66</v>
      </c>
      <c r="F405" t="s">
        <v>3213</v>
      </c>
      <c r="G405" t="s">
        <v>67</v>
      </c>
      <c r="H405" t="str">
        <f>VLOOKUP(Table1[[#This Row],[City]],Table6[#All],2,FALSE)</f>
        <v>East</v>
      </c>
      <c r="I405" t="s">
        <v>3204</v>
      </c>
      <c r="J405" t="str">
        <f>_xlfn.XLOOKUP(Table1[[#This Row],[Tractor Model]],Table7[Product Model],Table7[Product Category],"Not Available",0)</f>
        <v>Kubota</v>
      </c>
      <c r="K405" s="4">
        <v>6</v>
      </c>
      <c r="L405" s="72">
        <v>858308</v>
      </c>
      <c r="M405" s="4">
        <f>INDEX('Master Sheet'!$C$4:$C$12,MATCH(Table1[[#This Row],[Quantity]],'Master Sheet'!$B$4:$B$12,0))</f>
        <v>8</v>
      </c>
      <c r="N405" s="71">
        <f>Table1[[#This Row],[Quantity]]*Table1[[#This Row],[Unit Price]]</f>
        <v>5149848</v>
      </c>
      <c r="O405" s="73">
        <v>0.51498480000000002</v>
      </c>
      <c r="P405" s="70">
        <f>Table1[[#This Row],[Gross Amount]]*(1-(Table1[[#This Row],[Discount %]]/100))</f>
        <v>4737860.16</v>
      </c>
      <c r="Q405" s="74">
        <f>(Table1[[#This Row],[Gross Amount]]*(1-(Table1[[#This Row],[Discount %]]/100)))/10000000</f>
        <v>0.47378601600000003</v>
      </c>
      <c r="R405" t="s">
        <v>25</v>
      </c>
      <c r="S405" t="str" cm="1">
        <f t="array" ref="S405">IFERROR(_xlfn.IFS(Table1[[#This Row],[Payment Status]]="Partial","In Transit",Table1[[#This Row],[Payment Status]]="Paid","Delivered",Table1[[#This Row],[Payment Status]]="Pending","Pending"),"Invalid Input")</f>
        <v>In Transit</v>
      </c>
      <c r="T405" t="s">
        <v>27</v>
      </c>
      <c r="U405" t="str" cm="1">
        <f t="array" ref="U405">IFERROR(_xlfn.IFS(Table1[[#This Row],[Payment Status]]="Partial","In Transit",Table1[[#This Row],[Payment Status]]="Paid","Completed",Table1[[#This Row],[Payment Status]]="Pending","Pending"),"Invalid Input")</f>
        <v>In Transit</v>
      </c>
    </row>
    <row r="406" spans="1:21" x14ac:dyDescent="0.25">
      <c r="A406" s="4" t="s">
        <v>835</v>
      </c>
      <c r="B406" s="5">
        <v>45637</v>
      </c>
      <c r="C406" t="s">
        <v>41</v>
      </c>
      <c r="D406" t="s">
        <v>3268</v>
      </c>
      <c r="E406" t="s">
        <v>66</v>
      </c>
      <c r="F406" t="s">
        <v>3211</v>
      </c>
      <c r="G406" t="s">
        <v>67</v>
      </c>
      <c r="H406" t="str">
        <f>VLOOKUP(Table1[[#This Row],[City]],Table6[#All],2,FALSE)</f>
        <v>East</v>
      </c>
      <c r="I406" t="s">
        <v>58</v>
      </c>
      <c r="J406" t="str">
        <f>_xlfn.XLOOKUP(Table1[[#This Row],[Tractor Model]],Table7[Product Model],Table7[Product Category],"Not Available",0)</f>
        <v>Powertrac</v>
      </c>
      <c r="K406" s="4">
        <v>7</v>
      </c>
      <c r="L406" s="72">
        <v>636398</v>
      </c>
      <c r="M406" s="4">
        <f>INDEX('Master Sheet'!$C$4:$C$12,MATCH(Table1[[#This Row],[Quantity]],'Master Sheet'!$B$4:$B$12,0))</f>
        <v>9</v>
      </c>
      <c r="N406" s="71">
        <f>Table1[[#This Row],[Quantity]]*Table1[[#This Row],[Unit Price]]</f>
        <v>4454786</v>
      </c>
      <c r="O406" s="73">
        <v>0.4454786</v>
      </c>
      <c r="P406" s="70">
        <f>Table1[[#This Row],[Gross Amount]]*(1-(Table1[[#This Row],[Discount %]]/100))</f>
        <v>4053855.2600000002</v>
      </c>
      <c r="Q406" s="74">
        <f>(Table1[[#This Row],[Gross Amount]]*(1-(Table1[[#This Row],[Discount %]]/100)))/10000000</f>
        <v>0.40538552600000005</v>
      </c>
      <c r="R406" t="s">
        <v>42</v>
      </c>
      <c r="S406" t="str" cm="1">
        <f t="array" ref="S406">IFERROR(_xlfn.IFS(Table1[[#This Row],[Payment Status]]="Partial","In Transit",Table1[[#This Row],[Payment Status]]="Paid","Delivered",Table1[[#This Row],[Payment Status]]="Pending","Pending"),"Invalid Input")</f>
        <v>Pending</v>
      </c>
      <c r="T406" t="s">
        <v>44</v>
      </c>
      <c r="U406" t="str" cm="1">
        <f t="array" ref="U406">IFERROR(_xlfn.IFS(Table1[[#This Row],[Payment Status]]="Partial","In Transit",Table1[[#This Row],[Payment Status]]="Paid","Completed",Table1[[#This Row],[Payment Status]]="Pending","Pending"),"Invalid Input")</f>
        <v>Pending</v>
      </c>
    </row>
    <row r="407" spans="1:21" x14ac:dyDescent="0.25">
      <c r="A407" s="4" t="s">
        <v>837</v>
      </c>
      <c r="B407" s="5">
        <v>45756</v>
      </c>
      <c r="C407" t="s">
        <v>41</v>
      </c>
      <c r="D407" t="s">
        <v>3271</v>
      </c>
      <c r="E407" t="s">
        <v>38</v>
      </c>
      <c r="F407" t="s">
        <v>3210</v>
      </c>
      <c r="G407" t="s">
        <v>39</v>
      </c>
      <c r="H407" t="str">
        <f>VLOOKUP(Table1[[#This Row],[City]],Table6[#All],2,FALSE)</f>
        <v>West</v>
      </c>
      <c r="I407" t="s">
        <v>3204</v>
      </c>
      <c r="J407" t="str">
        <f>_xlfn.XLOOKUP(Table1[[#This Row],[Tractor Model]],Table7[Product Model],Table7[Product Category],"Not Available",0)</f>
        <v>Kubota</v>
      </c>
      <c r="K407" s="4">
        <v>3</v>
      </c>
      <c r="L407" s="72">
        <v>776263</v>
      </c>
      <c r="M407" s="4">
        <f>INDEX('Master Sheet'!$C$4:$C$12,MATCH(Table1[[#This Row],[Quantity]],'Master Sheet'!$B$4:$B$12,0))</f>
        <v>6</v>
      </c>
      <c r="N407" s="71">
        <f>Table1[[#This Row],[Quantity]]*Table1[[#This Row],[Unit Price]]</f>
        <v>2328789</v>
      </c>
      <c r="O407" s="73">
        <v>0.2328789</v>
      </c>
      <c r="P407" s="70">
        <f>Table1[[#This Row],[Gross Amount]]*(1-(Table1[[#This Row],[Discount %]]/100))</f>
        <v>2189061.6599999997</v>
      </c>
      <c r="Q407" s="74">
        <f>(Table1[[#This Row],[Gross Amount]]*(1-(Table1[[#This Row],[Discount %]]/100)))/10000000</f>
        <v>0.21890616599999996</v>
      </c>
      <c r="R407" t="s">
        <v>42</v>
      </c>
      <c r="S407" t="str" cm="1">
        <f t="array" ref="S407">IFERROR(_xlfn.IFS(Table1[[#This Row],[Payment Status]]="Partial","In Transit",Table1[[#This Row],[Payment Status]]="Paid","Delivered",Table1[[#This Row],[Payment Status]]="Pending","Pending"),"Invalid Input")</f>
        <v>Pending</v>
      </c>
      <c r="T407" t="s">
        <v>27</v>
      </c>
      <c r="U407" t="str" cm="1">
        <f t="array" ref="U407">IFERROR(_xlfn.IFS(Table1[[#This Row],[Payment Status]]="Partial","In Transit",Table1[[#This Row],[Payment Status]]="Paid","Completed",Table1[[#This Row],[Payment Status]]="Pending","Pending"),"Invalid Input")</f>
        <v>Pending</v>
      </c>
    </row>
    <row r="408" spans="1:21" x14ac:dyDescent="0.25">
      <c r="A408" s="4" t="s">
        <v>839</v>
      </c>
      <c r="B408" s="5">
        <v>45690</v>
      </c>
      <c r="C408" t="s">
        <v>52</v>
      </c>
      <c r="D408" t="s">
        <v>37</v>
      </c>
      <c r="E408" t="s">
        <v>119</v>
      </c>
      <c r="F408" t="s">
        <v>3224</v>
      </c>
      <c r="G408" t="s">
        <v>21</v>
      </c>
      <c r="H408" t="str">
        <f>VLOOKUP(Table1[[#This Row],[City]],Table6[#All],2,FALSE)</f>
        <v>North</v>
      </c>
      <c r="I408" t="s">
        <v>3203</v>
      </c>
      <c r="J408" t="str">
        <f>_xlfn.XLOOKUP(Table1[[#This Row],[Tractor Model]],Table7[Product Model],Table7[Product Category],"Not Available",0)</f>
        <v>Kubota</v>
      </c>
      <c r="K408" s="4">
        <v>2</v>
      </c>
      <c r="L408" s="72">
        <v>535365</v>
      </c>
      <c r="M408" s="4">
        <f>INDEX('Master Sheet'!$C$4:$C$12,MATCH(Table1[[#This Row],[Quantity]],'Master Sheet'!$B$4:$B$12,0))</f>
        <v>5</v>
      </c>
      <c r="N408" s="71">
        <f>Table1[[#This Row],[Quantity]]*Table1[[#This Row],[Unit Price]]</f>
        <v>1070730</v>
      </c>
      <c r="O408" s="73">
        <v>0.107073</v>
      </c>
      <c r="P408" s="70">
        <f>Table1[[#This Row],[Gross Amount]]*(1-(Table1[[#This Row],[Discount %]]/100))</f>
        <v>1017193.5</v>
      </c>
      <c r="Q408" s="74">
        <f>(Table1[[#This Row],[Gross Amount]]*(1-(Table1[[#This Row],[Discount %]]/100)))/10000000</f>
        <v>0.10171935</v>
      </c>
      <c r="R408" t="s">
        <v>54</v>
      </c>
      <c r="S408" t="str" cm="1">
        <f t="array" ref="S408">IFERROR(_xlfn.IFS(Table1[[#This Row],[Payment Status]]="Partial","In Transit",Table1[[#This Row],[Payment Status]]="Paid","Delivered",Table1[[#This Row],[Payment Status]]="Pending","Pending"),"Invalid Input")</f>
        <v>Delivered</v>
      </c>
      <c r="T408" t="s">
        <v>44</v>
      </c>
      <c r="U408" t="str" cm="1">
        <f t="array" ref="U408">IFERROR(_xlfn.IFS(Table1[[#This Row],[Payment Status]]="Partial","In Transit",Table1[[#This Row],[Payment Status]]="Paid","Completed",Table1[[#This Row],[Payment Status]]="Pending","Pending"),"Invalid Input")</f>
        <v>Completed</v>
      </c>
    </row>
    <row r="409" spans="1:21" x14ac:dyDescent="0.25">
      <c r="A409" s="4" t="s">
        <v>841</v>
      </c>
      <c r="B409" s="5">
        <v>45361</v>
      </c>
      <c r="C409" t="s">
        <v>62</v>
      </c>
      <c r="D409" t="s">
        <v>37</v>
      </c>
      <c r="E409" t="s">
        <v>47</v>
      </c>
      <c r="F409" t="s">
        <v>3215</v>
      </c>
      <c r="G409" t="s">
        <v>48</v>
      </c>
      <c r="H409" t="str">
        <f>VLOOKUP(Table1[[#This Row],[City]],Table6[#All],2,FALSE)</f>
        <v>North</v>
      </c>
      <c r="I409" t="s">
        <v>58</v>
      </c>
      <c r="J409" t="str">
        <f>_xlfn.XLOOKUP(Table1[[#This Row],[Tractor Model]],Table7[Product Model],Table7[Product Category],"Not Available",0)</f>
        <v>Powertrac</v>
      </c>
      <c r="K409" s="4">
        <v>4</v>
      </c>
      <c r="L409" s="72">
        <v>553847</v>
      </c>
      <c r="M409" s="4">
        <f>INDEX('Master Sheet'!$C$4:$C$12,MATCH(Table1[[#This Row],[Quantity]],'Master Sheet'!$B$4:$B$12,0))</f>
        <v>6</v>
      </c>
      <c r="N409" s="71">
        <f>Table1[[#This Row],[Quantity]]*Table1[[#This Row],[Unit Price]]</f>
        <v>2215388</v>
      </c>
      <c r="O409" s="73">
        <v>0.22153880000000001</v>
      </c>
      <c r="P409" s="70">
        <f>Table1[[#This Row],[Gross Amount]]*(1-(Table1[[#This Row],[Discount %]]/100))</f>
        <v>2082464.72</v>
      </c>
      <c r="Q409" s="74">
        <f>(Table1[[#This Row],[Gross Amount]]*(1-(Table1[[#This Row],[Discount %]]/100)))/10000000</f>
        <v>0.20824647199999999</v>
      </c>
      <c r="R409" t="s">
        <v>25</v>
      </c>
      <c r="S409" t="str" cm="1">
        <f t="array" ref="S409">IFERROR(_xlfn.IFS(Table1[[#This Row],[Payment Status]]="Partial","In Transit",Table1[[#This Row],[Payment Status]]="Paid","Delivered",Table1[[#This Row],[Payment Status]]="Pending","Pending"),"Invalid Input")</f>
        <v>In Transit</v>
      </c>
      <c r="T409" t="s">
        <v>27</v>
      </c>
      <c r="U409" t="str" cm="1">
        <f t="array" ref="U409">IFERROR(_xlfn.IFS(Table1[[#This Row],[Payment Status]]="Partial","In Transit",Table1[[#This Row],[Payment Status]]="Paid","Completed",Table1[[#This Row],[Payment Status]]="Pending","Pending"),"Invalid Input")</f>
        <v>In Transit</v>
      </c>
    </row>
    <row r="410" spans="1:21" x14ac:dyDescent="0.25">
      <c r="A410" s="4" t="s">
        <v>843</v>
      </c>
      <c r="B410" s="5">
        <v>45555</v>
      </c>
      <c r="C410" t="s">
        <v>33</v>
      </c>
      <c r="D410" t="s">
        <v>37</v>
      </c>
      <c r="E410" t="s">
        <v>47</v>
      </c>
      <c r="F410" t="s">
        <v>3215</v>
      </c>
      <c r="G410" t="s">
        <v>48</v>
      </c>
      <c r="H410" t="str">
        <f>VLOOKUP(Table1[[#This Row],[City]],Table6[#All],2,FALSE)</f>
        <v>North</v>
      </c>
      <c r="I410" t="s">
        <v>3203</v>
      </c>
      <c r="J410" t="str">
        <f>_xlfn.XLOOKUP(Table1[[#This Row],[Tractor Model]],Table7[Product Model],Table7[Product Category],"Not Available",0)</f>
        <v>Kubota</v>
      </c>
      <c r="K410" s="4">
        <v>8</v>
      </c>
      <c r="L410" s="72">
        <v>131305</v>
      </c>
      <c r="M410" s="4">
        <f>INDEX('Master Sheet'!$C$4:$C$12,MATCH(Table1[[#This Row],[Quantity]],'Master Sheet'!$B$4:$B$12,0))</f>
        <v>9</v>
      </c>
      <c r="N410" s="71">
        <f>Table1[[#This Row],[Quantity]]*Table1[[#This Row],[Unit Price]]</f>
        <v>1050440</v>
      </c>
      <c r="O410" s="73">
        <v>0.105044</v>
      </c>
      <c r="P410" s="70">
        <f>Table1[[#This Row],[Gross Amount]]*(1-(Table1[[#This Row],[Discount %]]/100))</f>
        <v>955900.4</v>
      </c>
      <c r="Q410" s="74">
        <f>(Table1[[#This Row],[Gross Amount]]*(1-(Table1[[#This Row],[Discount %]]/100)))/10000000</f>
        <v>9.5590040000000001E-2</v>
      </c>
      <c r="R410" t="s">
        <v>42</v>
      </c>
      <c r="S410" t="str" cm="1">
        <f t="array" ref="S410">IFERROR(_xlfn.IFS(Table1[[#This Row],[Payment Status]]="Partial","In Transit",Table1[[#This Row],[Payment Status]]="Paid","Delivered",Table1[[#This Row],[Payment Status]]="Pending","Pending"),"Invalid Input")</f>
        <v>Pending</v>
      </c>
      <c r="T410" t="s">
        <v>44</v>
      </c>
      <c r="U410" t="str" cm="1">
        <f t="array" ref="U410">IFERROR(_xlfn.IFS(Table1[[#This Row],[Payment Status]]="Partial","In Transit",Table1[[#This Row],[Payment Status]]="Paid","Completed",Table1[[#This Row],[Payment Status]]="Pending","Pending"),"Invalid Input")</f>
        <v>Pending</v>
      </c>
    </row>
    <row r="411" spans="1:21" x14ac:dyDescent="0.25">
      <c r="A411" s="4" t="s">
        <v>845</v>
      </c>
      <c r="B411" s="5">
        <v>45727</v>
      </c>
      <c r="C411" t="s">
        <v>73</v>
      </c>
      <c r="D411" t="s">
        <v>3268</v>
      </c>
      <c r="E411" t="s">
        <v>47</v>
      </c>
      <c r="F411" t="s">
        <v>3216</v>
      </c>
      <c r="G411" t="s">
        <v>48</v>
      </c>
      <c r="H411" t="str">
        <f>VLOOKUP(Table1[[#This Row],[City]],Table6[#All],2,FALSE)</f>
        <v>North</v>
      </c>
      <c r="I411" t="s">
        <v>53</v>
      </c>
      <c r="J411" t="str">
        <f>_xlfn.XLOOKUP(Table1[[#This Row],[Tractor Model]],Table7[Product Model],Table7[Product Category],"Not Available",0)</f>
        <v>Farmtrac</v>
      </c>
      <c r="K411" s="4">
        <v>6</v>
      </c>
      <c r="L411" s="72">
        <v>617549</v>
      </c>
      <c r="M411" s="4">
        <f>INDEX('Master Sheet'!$C$4:$C$12,MATCH(Table1[[#This Row],[Quantity]],'Master Sheet'!$B$4:$B$12,0))</f>
        <v>8</v>
      </c>
      <c r="N411" s="71">
        <f>Table1[[#This Row],[Quantity]]*Table1[[#This Row],[Unit Price]]</f>
        <v>3705294</v>
      </c>
      <c r="O411" s="73">
        <v>0.37052940000000001</v>
      </c>
      <c r="P411" s="70">
        <f>Table1[[#This Row],[Gross Amount]]*(1-(Table1[[#This Row],[Discount %]]/100))</f>
        <v>3408870.48</v>
      </c>
      <c r="Q411" s="74">
        <f>(Table1[[#This Row],[Gross Amount]]*(1-(Table1[[#This Row],[Discount %]]/100)))/10000000</f>
        <v>0.34088704800000003</v>
      </c>
      <c r="R411" t="s">
        <v>54</v>
      </c>
      <c r="S411" t="str" cm="1">
        <f t="array" ref="S411">IFERROR(_xlfn.IFS(Table1[[#This Row],[Payment Status]]="Partial","In Transit",Table1[[#This Row],[Payment Status]]="Paid","Delivered",Table1[[#This Row],[Payment Status]]="Pending","Pending"),"Invalid Input")</f>
        <v>Delivered</v>
      </c>
      <c r="T411" t="s">
        <v>27</v>
      </c>
      <c r="U411" t="str" cm="1">
        <f t="array" ref="U411">IFERROR(_xlfn.IFS(Table1[[#This Row],[Payment Status]]="Partial","In Transit",Table1[[#This Row],[Payment Status]]="Paid","Completed",Table1[[#This Row],[Payment Status]]="Pending","Pending"),"Invalid Input")</f>
        <v>Completed</v>
      </c>
    </row>
    <row r="412" spans="1:21" x14ac:dyDescent="0.25">
      <c r="A412" s="4" t="s">
        <v>847</v>
      </c>
      <c r="B412" s="5">
        <v>45546</v>
      </c>
      <c r="C412" t="s">
        <v>73</v>
      </c>
      <c r="D412" t="s">
        <v>3269</v>
      </c>
      <c r="E412" t="s">
        <v>47</v>
      </c>
      <c r="F412" t="s">
        <v>3209</v>
      </c>
      <c r="G412" t="s">
        <v>48</v>
      </c>
      <c r="H412" t="str">
        <f>VLOOKUP(Table1[[#This Row],[City]],Table6[#All],2,FALSE)</f>
        <v>North</v>
      </c>
      <c r="I412" t="s">
        <v>53</v>
      </c>
      <c r="J412" t="str">
        <f>_xlfn.XLOOKUP(Table1[[#This Row],[Tractor Model]],Table7[Product Model],Table7[Product Category],"Not Available",0)</f>
        <v>Farmtrac</v>
      </c>
      <c r="K412" s="4">
        <v>7</v>
      </c>
      <c r="L412" s="72">
        <v>251145</v>
      </c>
      <c r="M412" s="4">
        <f>INDEX('Master Sheet'!$C$4:$C$12,MATCH(Table1[[#This Row],[Quantity]],'Master Sheet'!$B$4:$B$12,0))</f>
        <v>9</v>
      </c>
      <c r="N412" s="71">
        <f>Table1[[#This Row],[Quantity]]*Table1[[#This Row],[Unit Price]]</f>
        <v>1758015</v>
      </c>
      <c r="O412" s="73">
        <v>0.1758015</v>
      </c>
      <c r="P412" s="70">
        <f>Table1[[#This Row],[Gross Amount]]*(1-(Table1[[#This Row],[Discount %]]/100))</f>
        <v>1599793.6500000001</v>
      </c>
      <c r="Q412" s="74">
        <f>(Table1[[#This Row],[Gross Amount]]*(1-(Table1[[#This Row],[Discount %]]/100)))/10000000</f>
        <v>0.15997936500000001</v>
      </c>
      <c r="R412" t="s">
        <v>25</v>
      </c>
      <c r="S412" t="str" cm="1">
        <f t="array" ref="S412">IFERROR(_xlfn.IFS(Table1[[#This Row],[Payment Status]]="Partial","In Transit",Table1[[#This Row],[Payment Status]]="Paid","Delivered",Table1[[#This Row],[Payment Status]]="Pending","Pending"),"Invalid Input")</f>
        <v>In Transit</v>
      </c>
      <c r="T412" t="s">
        <v>27</v>
      </c>
      <c r="U412" t="str" cm="1">
        <f t="array" ref="U412">IFERROR(_xlfn.IFS(Table1[[#This Row],[Payment Status]]="Partial","In Transit",Table1[[#This Row],[Payment Status]]="Paid","Completed",Table1[[#This Row],[Payment Status]]="Pending","Pending"),"Invalid Input")</f>
        <v>In Transit</v>
      </c>
    </row>
    <row r="413" spans="1:21" x14ac:dyDescent="0.25">
      <c r="A413" s="4" t="s">
        <v>849</v>
      </c>
      <c r="B413" s="5">
        <v>45487</v>
      </c>
      <c r="C413" t="s">
        <v>52</v>
      </c>
      <c r="D413" t="s">
        <v>3270</v>
      </c>
      <c r="E413" t="s">
        <v>38</v>
      </c>
      <c r="F413" t="s">
        <v>3218</v>
      </c>
      <c r="G413" t="s">
        <v>39</v>
      </c>
      <c r="H413" t="str">
        <f>VLOOKUP(Table1[[#This Row],[City]],Table6[#All],2,FALSE)</f>
        <v>West</v>
      </c>
      <c r="I413" t="s">
        <v>24</v>
      </c>
      <c r="J413" t="str">
        <f>_xlfn.XLOOKUP(Table1[[#This Row],[Tractor Model]],Table7[Product Model],Table7[Product Category],"Not Available",0)</f>
        <v>Farmtrac</v>
      </c>
      <c r="K413" s="4">
        <v>5</v>
      </c>
      <c r="L413" s="72">
        <v>874226</v>
      </c>
      <c r="M413" s="4">
        <f>INDEX('Master Sheet'!$C$4:$C$12,MATCH(Table1[[#This Row],[Quantity]],'Master Sheet'!$B$4:$B$12,0))</f>
        <v>7</v>
      </c>
      <c r="N413" s="71">
        <f>Table1[[#This Row],[Quantity]]*Table1[[#This Row],[Unit Price]]</f>
        <v>4371130</v>
      </c>
      <c r="O413" s="73">
        <v>0.43711299999999997</v>
      </c>
      <c r="P413" s="70">
        <f>Table1[[#This Row],[Gross Amount]]*(1-(Table1[[#This Row],[Discount %]]/100))</f>
        <v>4065150.9</v>
      </c>
      <c r="Q413" s="74">
        <f>(Table1[[#This Row],[Gross Amount]]*(1-(Table1[[#This Row],[Discount %]]/100)))/10000000</f>
        <v>0.40651508999999997</v>
      </c>
      <c r="R413" t="s">
        <v>25</v>
      </c>
      <c r="S413" t="str" cm="1">
        <f t="array" ref="S413">IFERROR(_xlfn.IFS(Table1[[#This Row],[Payment Status]]="Partial","In Transit",Table1[[#This Row],[Payment Status]]="Paid","Delivered",Table1[[#This Row],[Payment Status]]="Pending","Pending"),"Invalid Input")</f>
        <v>In Transit</v>
      </c>
      <c r="T413" t="s">
        <v>27</v>
      </c>
      <c r="U413" t="str" cm="1">
        <f t="array" ref="U413">IFERROR(_xlfn.IFS(Table1[[#This Row],[Payment Status]]="Partial","In Transit",Table1[[#This Row],[Payment Status]]="Paid","Completed",Table1[[#This Row],[Payment Status]]="Pending","Pending"),"Invalid Input")</f>
        <v>In Transit</v>
      </c>
    </row>
    <row r="414" spans="1:21" x14ac:dyDescent="0.25">
      <c r="A414" s="4" t="s">
        <v>851</v>
      </c>
      <c r="B414" s="5">
        <v>45622</v>
      </c>
      <c r="C414" t="s">
        <v>52</v>
      </c>
      <c r="D414" t="s">
        <v>3270</v>
      </c>
      <c r="E414" t="s">
        <v>38</v>
      </c>
      <c r="F414" t="s">
        <v>3218</v>
      </c>
      <c r="G414" t="s">
        <v>39</v>
      </c>
      <c r="H414" t="str">
        <f>VLOOKUP(Table1[[#This Row],[City]],Table6[#All],2,FALSE)</f>
        <v>West</v>
      </c>
      <c r="I414" t="s">
        <v>24</v>
      </c>
      <c r="J414" t="str">
        <f>_xlfn.XLOOKUP(Table1[[#This Row],[Tractor Model]],Table7[Product Model],Table7[Product Category],"Not Available",0)</f>
        <v>Farmtrac</v>
      </c>
      <c r="K414" s="4">
        <v>1</v>
      </c>
      <c r="L414" s="72">
        <v>270182</v>
      </c>
      <c r="M414" s="4">
        <f>INDEX('Master Sheet'!$C$4:$C$12,MATCH(Table1[[#This Row],[Quantity]],'Master Sheet'!$B$4:$B$12,0))</f>
        <v>3</v>
      </c>
      <c r="N414" s="71">
        <f>Table1[[#This Row],[Quantity]]*Table1[[#This Row],[Unit Price]]</f>
        <v>270182</v>
      </c>
      <c r="O414" s="73">
        <v>2.7018199999999999E-2</v>
      </c>
      <c r="P414" s="70">
        <f>Table1[[#This Row],[Gross Amount]]*(1-(Table1[[#This Row],[Discount %]]/100))</f>
        <v>262076.53999999998</v>
      </c>
      <c r="Q414" s="74">
        <f>(Table1[[#This Row],[Gross Amount]]*(1-(Table1[[#This Row],[Discount %]]/100)))/10000000</f>
        <v>2.6207653999999997E-2</v>
      </c>
      <c r="R414" t="s">
        <v>42</v>
      </c>
      <c r="S414" t="str" cm="1">
        <f t="array" ref="S414">IFERROR(_xlfn.IFS(Table1[[#This Row],[Payment Status]]="Partial","In Transit",Table1[[#This Row],[Payment Status]]="Paid","Delivered",Table1[[#This Row],[Payment Status]]="Pending","Pending"),"Invalid Input")</f>
        <v>Pending</v>
      </c>
      <c r="T414" t="s">
        <v>27</v>
      </c>
      <c r="U414" t="str" cm="1">
        <f t="array" ref="U414">IFERROR(_xlfn.IFS(Table1[[#This Row],[Payment Status]]="Partial","In Transit",Table1[[#This Row],[Payment Status]]="Paid","Completed",Table1[[#This Row],[Payment Status]]="Pending","Pending"),"Invalid Input")</f>
        <v>Pending</v>
      </c>
    </row>
    <row r="415" spans="1:21" x14ac:dyDescent="0.25">
      <c r="A415" s="4" t="s">
        <v>853</v>
      </c>
      <c r="B415" s="5">
        <v>45813</v>
      </c>
      <c r="C415" t="s">
        <v>73</v>
      </c>
      <c r="D415" t="s">
        <v>3271</v>
      </c>
      <c r="E415" t="s">
        <v>30</v>
      </c>
      <c r="F415" t="s">
        <v>3217</v>
      </c>
      <c r="G415" t="s">
        <v>31</v>
      </c>
      <c r="H415" t="str">
        <f>VLOOKUP(Table1[[#This Row],[City]],Table6[#All],2,FALSE)</f>
        <v>South</v>
      </c>
      <c r="I415" t="s">
        <v>58</v>
      </c>
      <c r="J415" t="str">
        <f>_xlfn.XLOOKUP(Table1[[#This Row],[Tractor Model]],Table7[Product Model],Table7[Product Category],"Not Available",0)</f>
        <v>Powertrac</v>
      </c>
      <c r="K415" s="4">
        <v>1</v>
      </c>
      <c r="L415" s="72">
        <v>305277</v>
      </c>
      <c r="M415" s="4">
        <f>INDEX('Master Sheet'!$C$4:$C$12,MATCH(Table1[[#This Row],[Quantity]],'Master Sheet'!$B$4:$B$12,0))</f>
        <v>3</v>
      </c>
      <c r="N415" s="71">
        <f>Table1[[#This Row],[Quantity]]*Table1[[#This Row],[Unit Price]]</f>
        <v>305277</v>
      </c>
      <c r="O415" s="73">
        <v>3.0527700000000001E-2</v>
      </c>
      <c r="P415" s="70">
        <f>Table1[[#This Row],[Gross Amount]]*(1-(Table1[[#This Row],[Discount %]]/100))</f>
        <v>296118.69</v>
      </c>
      <c r="Q415" s="74">
        <f>(Table1[[#This Row],[Gross Amount]]*(1-(Table1[[#This Row],[Discount %]]/100)))/10000000</f>
        <v>2.9611868999999999E-2</v>
      </c>
      <c r="R415" t="s">
        <v>25</v>
      </c>
      <c r="S415" t="str" cm="1">
        <f t="array" ref="S415">IFERROR(_xlfn.IFS(Table1[[#This Row],[Payment Status]]="Partial","In Transit",Table1[[#This Row],[Payment Status]]="Paid","Delivered",Table1[[#This Row],[Payment Status]]="Pending","Pending"),"Invalid Input")</f>
        <v>In Transit</v>
      </c>
      <c r="T415" t="s">
        <v>27</v>
      </c>
      <c r="U415" t="str" cm="1">
        <f t="array" ref="U415">IFERROR(_xlfn.IFS(Table1[[#This Row],[Payment Status]]="Partial","In Transit",Table1[[#This Row],[Payment Status]]="Paid","Completed",Table1[[#This Row],[Payment Status]]="Pending","Pending"),"Invalid Input")</f>
        <v>In Transit</v>
      </c>
    </row>
    <row r="416" spans="1:21" x14ac:dyDescent="0.25">
      <c r="A416" s="4" t="s">
        <v>855</v>
      </c>
      <c r="B416" s="5">
        <v>45626</v>
      </c>
      <c r="C416" t="s">
        <v>73</v>
      </c>
      <c r="D416" t="s">
        <v>3270</v>
      </c>
      <c r="E416" t="s">
        <v>119</v>
      </c>
      <c r="F416" t="s">
        <v>3212</v>
      </c>
      <c r="G416" t="s">
        <v>21</v>
      </c>
      <c r="H416" t="str">
        <f>VLOOKUP(Table1[[#This Row],[City]],Table6[#All],2,FALSE)</f>
        <v>North</v>
      </c>
      <c r="I416" t="s">
        <v>53</v>
      </c>
      <c r="J416" t="str">
        <f>_xlfn.XLOOKUP(Table1[[#This Row],[Tractor Model]],Table7[Product Model],Table7[Product Category],"Not Available",0)</f>
        <v>Farmtrac</v>
      </c>
      <c r="K416" s="4">
        <v>3</v>
      </c>
      <c r="L416" s="72">
        <v>301403</v>
      </c>
      <c r="M416" s="4">
        <f>INDEX('Master Sheet'!$C$4:$C$12,MATCH(Table1[[#This Row],[Quantity]],'Master Sheet'!$B$4:$B$12,0))</f>
        <v>6</v>
      </c>
      <c r="N416" s="71">
        <f>Table1[[#This Row],[Quantity]]*Table1[[#This Row],[Unit Price]]</f>
        <v>904209</v>
      </c>
      <c r="O416" s="73">
        <v>9.0420899999999998E-2</v>
      </c>
      <c r="P416" s="70">
        <f>Table1[[#This Row],[Gross Amount]]*(1-(Table1[[#This Row],[Discount %]]/100))</f>
        <v>849956.46</v>
      </c>
      <c r="Q416" s="74">
        <f>(Table1[[#This Row],[Gross Amount]]*(1-(Table1[[#This Row],[Discount %]]/100)))/10000000</f>
        <v>8.4995645999999994E-2</v>
      </c>
      <c r="R416" t="s">
        <v>25</v>
      </c>
      <c r="S416" t="str" cm="1">
        <f t="array" ref="S416">IFERROR(_xlfn.IFS(Table1[[#This Row],[Payment Status]]="Partial","In Transit",Table1[[#This Row],[Payment Status]]="Paid","Delivered",Table1[[#This Row],[Payment Status]]="Pending","Pending"),"Invalid Input")</f>
        <v>In Transit</v>
      </c>
      <c r="T416" t="s">
        <v>27</v>
      </c>
      <c r="U416" t="str" cm="1">
        <f t="array" ref="U416">IFERROR(_xlfn.IFS(Table1[[#This Row],[Payment Status]]="Partial","In Transit",Table1[[#This Row],[Payment Status]]="Paid","Completed",Table1[[#This Row],[Payment Status]]="Pending","Pending"),"Invalid Input")</f>
        <v>In Transit</v>
      </c>
    </row>
    <row r="417" spans="1:21" x14ac:dyDescent="0.25">
      <c r="A417" s="4" t="s">
        <v>857</v>
      </c>
      <c r="B417" s="5">
        <v>45424</v>
      </c>
      <c r="C417" t="s">
        <v>41</v>
      </c>
      <c r="D417" t="s">
        <v>37</v>
      </c>
      <c r="E417" t="s">
        <v>119</v>
      </c>
      <c r="F417" t="s">
        <v>3224</v>
      </c>
      <c r="G417" t="s">
        <v>21</v>
      </c>
      <c r="H417" t="str">
        <f>VLOOKUP(Table1[[#This Row],[City]],Table6[#All],2,FALSE)</f>
        <v>North</v>
      </c>
      <c r="I417" t="s">
        <v>3203</v>
      </c>
      <c r="J417" t="str">
        <f>_xlfn.XLOOKUP(Table1[[#This Row],[Tractor Model]],Table7[Product Model],Table7[Product Category],"Not Available",0)</f>
        <v>Kubota</v>
      </c>
      <c r="K417" s="4">
        <v>2</v>
      </c>
      <c r="L417" s="72">
        <v>407833</v>
      </c>
      <c r="M417" s="4">
        <f>INDEX('Master Sheet'!$C$4:$C$12,MATCH(Table1[[#This Row],[Quantity]],'Master Sheet'!$B$4:$B$12,0))</f>
        <v>5</v>
      </c>
      <c r="N417" s="71">
        <f>Table1[[#This Row],[Quantity]]*Table1[[#This Row],[Unit Price]]</f>
        <v>815666</v>
      </c>
      <c r="O417" s="73">
        <v>8.1566600000000003E-2</v>
      </c>
      <c r="P417" s="70">
        <f>Table1[[#This Row],[Gross Amount]]*(1-(Table1[[#This Row],[Discount %]]/100))</f>
        <v>774882.7</v>
      </c>
      <c r="Q417" s="74">
        <f>(Table1[[#This Row],[Gross Amount]]*(1-(Table1[[#This Row],[Discount %]]/100)))/10000000</f>
        <v>7.7488269999999998E-2</v>
      </c>
      <c r="R417" t="s">
        <v>54</v>
      </c>
      <c r="S417" t="str" cm="1">
        <f t="array" ref="S417">IFERROR(_xlfn.IFS(Table1[[#This Row],[Payment Status]]="Partial","In Transit",Table1[[#This Row],[Payment Status]]="Paid","Delivered",Table1[[#This Row],[Payment Status]]="Pending","Pending"),"Invalid Input")</f>
        <v>Delivered</v>
      </c>
      <c r="T417" t="s">
        <v>27</v>
      </c>
      <c r="U417" t="str" cm="1">
        <f t="array" ref="U417">IFERROR(_xlfn.IFS(Table1[[#This Row],[Payment Status]]="Partial","In Transit",Table1[[#This Row],[Payment Status]]="Paid","Completed",Table1[[#This Row],[Payment Status]]="Pending","Pending"),"Invalid Input")</f>
        <v>Completed</v>
      </c>
    </row>
    <row r="418" spans="1:21" x14ac:dyDescent="0.25">
      <c r="A418" s="4" t="s">
        <v>859</v>
      </c>
      <c r="B418" s="5">
        <v>45355</v>
      </c>
      <c r="C418" t="s">
        <v>62</v>
      </c>
      <c r="D418" t="s">
        <v>3270</v>
      </c>
      <c r="E418" t="s">
        <v>30</v>
      </c>
      <c r="F418" t="s">
        <v>3223</v>
      </c>
      <c r="G418" t="s">
        <v>31</v>
      </c>
      <c r="H418" t="str">
        <f>VLOOKUP(Table1[[#This Row],[City]],Table6[#All],2,FALSE)</f>
        <v>South</v>
      </c>
      <c r="I418" t="s">
        <v>3203</v>
      </c>
      <c r="J418" t="str">
        <f>_xlfn.XLOOKUP(Table1[[#This Row],[Tractor Model]],Table7[Product Model],Table7[Product Category],"Not Available",0)</f>
        <v>Kubota</v>
      </c>
      <c r="K418" s="4">
        <v>3</v>
      </c>
      <c r="L418" s="72">
        <v>858064</v>
      </c>
      <c r="M418" s="4">
        <f>INDEX('Master Sheet'!$C$4:$C$12,MATCH(Table1[[#This Row],[Quantity]],'Master Sheet'!$B$4:$B$12,0))</f>
        <v>6</v>
      </c>
      <c r="N418" s="71">
        <f>Table1[[#This Row],[Quantity]]*Table1[[#This Row],[Unit Price]]</f>
        <v>2574192</v>
      </c>
      <c r="O418" s="73">
        <v>0.25741920000000001</v>
      </c>
      <c r="P418" s="70">
        <f>Table1[[#This Row],[Gross Amount]]*(1-(Table1[[#This Row],[Discount %]]/100))</f>
        <v>2419740.48</v>
      </c>
      <c r="Q418" s="74">
        <f>(Table1[[#This Row],[Gross Amount]]*(1-(Table1[[#This Row],[Discount %]]/100)))/10000000</f>
        <v>0.241974048</v>
      </c>
      <c r="R418" t="s">
        <v>54</v>
      </c>
      <c r="S418" t="str" cm="1">
        <f t="array" ref="S418">IFERROR(_xlfn.IFS(Table1[[#This Row],[Payment Status]]="Partial","In Transit",Table1[[#This Row],[Payment Status]]="Paid","Delivered",Table1[[#This Row],[Payment Status]]="Pending","Pending"),"Invalid Input")</f>
        <v>Delivered</v>
      </c>
      <c r="T418" t="s">
        <v>44</v>
      </c>
      <c r="U418" t="str" cm="1">
        <f t="array" ref="U418">IFERROR(_xlfn.IFS(Table1[[#This Row],[Payment Status]]="Partial","In Transit",Table1[[#This Row],[Payment Status]]="Paid","Completed",Table1[[#This Row],[Payment Status]]="Pending","Pending"),"Invalid Input")</f>
        <v>Completed</v>
      </c>
    </row>
    <row r="419" spans="1:21" x14ac:dyDescent="0.25">
      <c r="A419" s="4" t="s">
        <v>861</v>
      </c>
      <c r="B419" s="5">
        <v>45488</v>
      </c>
      <c r="C419" t="s">
        <v>73</v>
      </c>
      <c r="D419" t="s">
        <v>3270</v>
      </c>
      <c r="E419" t="s">
        <v>47</v>
      </c>
      <c r="F419" t="s">
        <v>3205</v>
      </c>
      <c r="G419" t="s">
        <v>48</v>
      </c>
      <c r="H419" t="str">
        <f>VLOOKUP(Table1[[#This Row],[City]],Table6[#All],2,FALSE)</f>
        <v>North</v>
      </c>
      <c r="I419" t="s">
        <v>58</v>
      </c>
      <c r="J419" t="str">
        <f>_xlfn.XLOOKUP(Table1[[#This Row],[Tractor Model]],Table7[Product Model],Table7[Product Category],"Not Available",0)</f>
        <v>Powertrac</v>
      </c>
      <c r="K419" s="4">
        <v>8</v>
      </c>
      <c r="L419" s="72">
        <v>552535</v>
      </c>
      <c r="M419" s="4">
        <f>INDEX('Master Sheet'!$C$4:$C$12,MATCH(Table1[[#This Row],[Quantity]],'Master Sheet'!$B$4:$B$12,0))</f>
        <v>9</v>
      </c>
      <c r="N419" s="71">
        <f>Table1[[#This Row],[Quantity]]*Table1[[#This Row],[Unit Price]]</f>
        <v>4420280</v>
      </c>
      <c r="O419" s="73">
        <v>0.44202799999999998</v>
      </c>
      <c r="P419" s="70">
        <f>Table1[[#This Row],[Gross Amount]]*(1-(Table1[[#This Row],[Discount %]]/100))</f>
        <v>4022454.8000000003</v>
      </c>
      <c r="Q419" s="74">
        <f>(Table1[[#This Row],[Gross Amount]]*(1-(Table1[[#This Row],[Discount %]]/100)))/10000000</f>
        <v>0.40224548000000004</v>
      </c>
      <c r="R419" t="s">
        <v>42</v>
      </c>
      <c r="S419" t="str" cm="1">
        <f t="array" ref="S419">IFERROR(_xlfn.IFS(Table1[[#This Row],[Payment Status]]="Partial","In Transit",Table1[[#This Row],[Payment Status]]="Paid","Delivered",Table1[[#This Row],[Payment Status]]="Pending","Pending"),"Invalid Input")</f>
        <v>Pending</v>
      </c>
      <c r="T419" t="s">
        <v>27</v>
      </c>
      <c r="U419" t="str" cm="1">
        <f t="array" ref="U419">IFERROR(_xlfn.IFS(Table1[[#This Row],[Payment Status]]="Partial","In Transit",Table1[[#This Row],[Payment Status]]="Paid","Completed",Table1[[#This Row],[Payment Status]]="Pending","Pending"),"Invalid Input")</f>
        <v>Pending</v>
      </c>
    </row>
    <row r="420" spans="1:21" x14ac:dyDescent="0.25">
      <c r="A420" s="4" t="s">
        <v>862</v>
      </c>
      <c r="B420" s="5">
        <v>45454</v>
      </c>
      <c r="C420" t="s">
        <v>73</v>
      </c>
      <c r="D420" t="s">
        <v>3270</v>
      </c>
      <c r="E420" t="s">
        <v>30</v>
      </c>
      <c r="F420" t="s">
        <v>3223</v>
      </c>
      <c r="G420" t="s">
        <v>31</v>
      </c>
      <c r="H420" t="str">
        <f>VLOOKUP(Table1[[#This Row],[City]],Table6[#All],2,FALSE)</f>
        <v>South</v>
      </c>
      <c r="I420" t="s">
        <v>58</v>
      </c>
      <c r="J420" t="str">
        <f>_xlfn.XLOOKUP(Table1[[#This Row],[Tractor Model]],Table7[Product Model],Table7[Product Category],"Not Available",0)</f>
        <v>Powertrac</v>
      </c>
      <c r="K420" s="4">
        <v>5</v>
      </c>
      <c r="L420" s="72">
        <v>353509</v>
      </c>
      <c r="M420" s="4">
        <f>INDEX('Master Sheet'!$C$4:$C$12,MATCH(Table1[[#This Row],[Quantity]],'Master Sheet'!$B$4:$B$12,0))</f>
        <v>7</v>
      </c>
      <c r="N420" s="71">
        <f>Table1[[#This Row],[Quantity]]*Table1[[#This Row],[Unit Price]]</f>
        <v>1767545</v>
      </c>
      <c r="O420" s="73">
        <v>0.17675450000000001</v>
      </c>
      <c r="P420" s="70">
        <f>Table1[[#This Row],[Gross Amount]]*(1-(Table1[[#This Row],[Discount %]]/100))</f>
        <v>1643816.8499999999</v>
      </c>
      <c r="Q420" s="74">
        <f>(Table1[[#This Row],[Gross Amount]]*(1-(Table1[[#This Row],[Discount %]]/100)))/10000000</f>
        <v>0.164381685</v>
      </c>
      <c r="R420" t="s">
        <v>42</v>
      </c>
      <c r="S420" t="str" cm="1">
        <f t="array" ref="S420">IFERROR(_xlfn.IFS(Table1[[#This Row],[Payment Status]]="Partial","In Transit",Table1[[#This Row],[Payment Status]]="Paid","Delivered",Table1[[#This Row],[Payment Status]]="Pending","Pending"),"Invalid Input")</f>
        <v>Pending</v>
      </c>
      <c r="T420" t="s">
        <v>27</v>
      </c>
      <c r="U420" t="str" cm="1">
        <f t="array" ref="U420">IFERROR(_xlfn.IFS(Table1[[#This Row],[Payment Status]]="Partial","In Transit",Table1[[#This Row],[Payment Status]]="Paid","Completed",Table1[[#This Row],[Payment Status]]="Pending","Pending"),"Invalid Input")</f>
        <v>Pending</v>
      </c>
    </row>
    <row r="421" spans="1:21" x14ac:dyDescent="0.25">
      <c r="A421" s="4" t="s">
        <v>864</v>
      </c>
      <c r="B421" s="5">
        <v>45508</v>
      </c>
      <c r="C421" t="s">
        <v>33</v>
      </c>
      <c r="D421" t="s">
        <v>3268</v>
      </c>
      <c r="E421" t="s">
        <v>119</v>
      </c>
      <c r="F421" t="s">
        <v>3227</v>
      </c>
      <c r="G421" t="s">
        <v>21</v>
      </c>
      <c r="H421" t="str">
        <f>VLOOKUP(Table1[[#This Row],[City]],Table6[#All],2,FALSE)</f>
        <v>North</v>
      </c>
      <c r="I421" t="s">
        <v>24</v>
      </c>
      <c r="J421" t="str">
        <f>_xlfn.XLOOKUP(Table1[[#This Row],[Tractor Model]],Table7[Product Model],Table7[Product Category],"Not Available",0)</f>
        <v>Farmtrac</v>
      </c>
      <c r="K421" s="4">
        <v>5</v>
      </c>
      <c r="L421" s="72">
        <v>717410</v>
      </c>
      <c r="M421" s="4">
        <f>INDEX('Master Sheet'!$C$4:$C$12,MATCH(Table1[[#This Row],[Quantity]],'Master Sheet'!$B$4:$B$12,0))</f>
        <v>7</v>
      </c>
      <c r="N421" s="71">
        <f>Table1[[#This Row],[Quantity]]*Table1[[#This Row],[Unit Price]]</f>
        <v>3587050</v>
      </c>
      <c r="O421" s="73">
        <v>0.358705</v>
      </c>
      <c r="P421" s="70">
        <f>Table1[[#This Row],[Gross Amount]]*(1-(Table1[[#This Row],[Discount %]]/100))</f>
        <v>3335956.5</v>
      </c>
      <c r="Q421" s="74">
        <f>(Table1[[#This Row],[Gross Amount]]*(1-(Table1[[#This Row],[Discount %]]/100)))/10000000</f>
        <v>0.33359565000000002</v>
      </c>
      <c r="R421" t="s">
        <v>42</v>
      </c>
      <c r="S421" t="str" cm="1">
        <f t="array" ref="S421">IFERROR(_xlfn.IFS(Table1[[#This Row],[Payment Status]]="Partial","In Transit",Table1[[#This Row],[Payment Status]]="Paid","Delivered",Table1[[#This Row],[Payment Status]]="Pending","Pending"),"Invalid Input")</f>
        <v>Pending</v>
      </c>
      <c r="T421" t="s">
        <v>44</v>
      </c>
      <c r="U421" t="str" cm="1">
        <f t="array" ref="U421">IFERROR(_xlfn.IFS(Table1[[#This Row],[Payment Status]]="Partial","In Transit",Table1[[#This Row],[Payment Status]]="Paid","Completed",Table1[[#This Row],[Payment Status]]="Pending","Pending"),"Invalid Input")</f>
        <v>Pending</v>
      </c>
    </row>
    <row r="422" spans="1:21" x14ac:dyDescent="0.25">
      <c r="A422" s="4" t="s">
        <v>866</v>
      </c>
      <c r="B422" s="5">
        <v>45657</v>
      </c>
      <c r="C422" t="s">
        <v>52</v>
      </c>
      <c r="D422" t="s">
        <v>3271</v>
      </c>
      <c r="E422" t="s">
        <v>66</v>
      </c>
      <c r="F422" t="s">
        <v>3207</v>
      </c>
      <c r="G422" t="s">
        <v>67</v>
      </c>
      <c r="H422" t="str">
        <f>VLOOKUP(Table1[[#This Row],[City]],Table6[#All],2,FALSE)</f>
        <v>East</v>
      </c>
      <c r="I422" t="s">
        <v>58</v>
      </c>
      <c r="J422" t="str">
        <f>_xlfn.XLOOKUP(Table1[[#This Row],[Tractor Model]],Table7[Product Model],Table7[Product Category],"Not Available",0)</f>
        <v>Powertrac</v>
      </c>
      <c r="K422" s="4">
        <v>7</v>
      </c>
      <c r="L422" s="72">
        <v>229631</v>
      </c>
      <c r="M422" s="4">
        <f>INDEX('Master Sheet'!$C$4:$C$12,MATCH(Table1[[#This Row],[Quantity]],'Master Sheet'!$B$4:$B$12,0))</f>
        <v>9</v>
      </c>
      <c r="N422" s="71">
        <f>Table1[[#This Row],[Quantity]]*Table1[[#This Row],[Unit Price]]</f>
        <v>1607417</v>
      </c>
      <c r="O422" s="73">
        <v>0.16074169999999999</v>
      </c>
      <c r="P422" s="70">
        <f>Table1[[#This Row],[Gross Amount]]*(1-(Table1[[#This Row],[Discount %]]/100))</f>
        <v>1462749.47</v>
      </c>
      <c r="Q422" s="74">
        <f>(Table1[[#This Row],[Gross Amount]]*(1-(Table1[[#This Row],[Discount %]]/100)))/10000000</f>
        <v>0.14627494699999999</v>
      </c>
      <c r="R422" t="s">
        <v>25</v>
      </c>
      <c r="S422" t="str" cm="1">
        <f t="array" ref="S422">IFERROR(_xlfn.IFS(Table1[[#This Row],[Payment Status]]="Partial","In Transit",Table1[[#This Row],[Payment Status]]="Paid","Delivered",Table1[[#This Row],[Payment Status]]="Pending","Pending"),"Invalid Input")</f>
        <v>In Transit</v>
      </c>
      <c r="T422" t="s">
        <v>27</v>
      </c>
      <c r="U422" t="str" cm="1">
        <f t="array" ref="U422">IFERROR(_xlfn.IFS(Table1[[#This Row],[Payment Status]]="Partial","In Transit",Table1[[#This Row],[Payment Status]]="Paid","Completed",Table1[[#This Row],[Payment Status]]="Pending","Pending"),"Invalid Input")</f>
        <v>In Transit</v>
      </c>
    </row>
    <row r="423" spans="1:21" x14ac:dyDescent="0.25">
      <c r="A423" s="4" t="s">
        <v>867</v>
      </c>
      <c r="B423" s="5">
        <v>45460</v>
      </c>
      <c r="C423" t="s">
        <v>52</v>
      </c>
      <c r="D423" t="s">
        <v>3269</v>
      </c>
      <c r="E423" t="s">
        <v>30</v>
      </c>
      <c r="F423" t="s">
        <v>3225</v>
      </c>
      <c r="G423" t="s">
        <v>31</v>
      </c>
      <c r="H423" t="str">
        <f>VLOOKUP(Table1[[#This Row],[City]],Table6[#All],2,FALSE)</f>
        <v>South</v>
      </c>
      <c r="I423" t="s">
        <v>58</v>
      </c>
      <c r="J423" t="str">
        <f>_xlfn.XLOOKUP(Table1[[#This Row],[Tractor Model]],Table7[Product Model],Table7[Product Category],"Not Available",0)</f>
        <v>Powertrac</v>
      </c>
      <c r="K423" s="4">
        <v>1</v>
      </c>
      <c r="L423" s="72">
        <v>640970</v>
      </c>
      <c r="M423" s="4">
        <f>INDEX('Master Sheet'!$C$4:$C$12,MATCH(Table1[[#This Row],[Quantity]],'Master Sheet'!$B$4:$B$12,0))</f>
        <v>3</v>
      </c>
      <c r="N423" s="71">
        <f>Table1[[#This Row],[Quantity]]*Table1[[#This Row],[Unit Price]]</f>
        <v>640970</v>
      </c>
      <c r="O423" s="73">
        <v>6.4097000000000001E-2</v>
      </c>
      <c r="P423" s="70">
        <f>Table1[[#This Row],[Gross Amount]]*(1-(Table1[[#This Row],[Discount %]]/100))</f>
        <v>621740.9</v>
      </c>
      <c r="Q423" s="74">
        <f>(Table1[[#This Row],[Gross Amount]]*(1-(Table1[[#This Row],[Discount %]]/100)))/10000000</f>
        <v>6.2174090000000001E-2</v>
      </c>
      <c r="R423" t="s">
        <v>25</v>
      </c>
      <c r="S423" t="str" cm="1">
        <f t="array" ref="S423">IFERROR(_xlfn.IFS(Table1[[#This Row],[Payment Status]]="Partial","In Transit",Table1[[#This Row],[Payment Status]]="Paid","Delivered",Table1[[#This Row],[Payment Status]]="Pending","Pending"),"Invalid Input")</f>
        <v>In Transit</v>
      </c>
      <c r="T423" t="s">
        <v>27</v>
      </c>
      <c r="U423" t="str" cm="1">
        <f t="array" ref="U423">IFERROR(_xlfn.IFS(Table1[[#This Row],[Payment Status]]="Partial","In Transit",Table1[[#This Row],[Payment Status]]="Paid","Completed",Table1[[#This Row],[Payment Status]]="Pending","Pending"),"Invalid Input")</f>
        <v>In Transit</v>
      </c>
    </row>
    <row r="424" spans="1:21" x14ac:dyDescent="0.25">
      <c r="A424" s="4" t="s">
        <v>869</v>
      </c>
      <c r="B424" s="5">
        <v>45384</v>
      </c>
      <c r="C424" t="s">
        <v>52</v>
      </c>
      <c r="D424" t="s">
        <v>3271</v>
      </c>
      <c r="E424" t="s">
        <v>38</v>
      </c>
      <c r="F424" t="s">
        <v>3210</v>
      </c>
      <c r="G424" t="s">
        <v>39</v>
      </c>
      <c r="H424" t="str">
        <f>VLOOKUP(Table1[[#This Row],[City]],Table6[#All],2,FALSE)</f>
        <v>West</v>
      </c>
      <c r="I424" t="s">
        <v>3204</v>
      </c>
      <c r="J424" t="str">
        <f>_xlfn.XLOOKUP(Table1[[#This Row],[Tractor Model]],Table7[Product Model],Table7[Product Category],"Not Available",0)</f>
        <v>Kubota</v>
      </c>
      <c r="K424" s="4">
        <v>2</v>
      </c>
      <c r="L424" s="72">
        <v>307955</v>
      </c>
      <c r="M424" s="4">
        <f>INDEX('Master Sheet'!$C$4:$C$12,MATCH(Table1[[#This Row],[Quantity]],'Master Sheet'!$B$4:$B$12,0))</f>
        <v>5</v>
      </c>
      <c r="N424" s="71">
        <f>Table1[[#This Row],[Quantity]]*Table1[[#This Row],[Unit Price]]</f>
        <v>615910</v>
      </c>
      <c r="O424" s="73">
        <v>6.1591E-2</v>
      </c>
      <c r="P424" s="70">
        <f>Table1[[#This Row],[Gross Amount]]*(1-(Table1[[#This Row],[Discount %]]/100))</f>
        <v>585114.5</v>
      </c>
      <c r="Q424" s="74">
        <f>(Table1[[#This Row],[Gross Amount]]*(1-(Table1[[#This Row],[Discount %]]/100)))/10000000</f>
        <v>5.851145E-2</v>
      </c>
      <c r="R424" t="s">
        <v>54</v>
      </c>
      <c r="S424" t="str" cm="1">
        <f t="array" ref="S424">IFERROR(_xlfn.IFS(Table1[[#This Row],[Payment Status]]="Partial","In Transit",Table1[[#This Row],[Payment Status]]="Paid","Delivered",Table1[[#This Row],[Payment Status]]="Pending","Pending"),"Invalid Input")</f>
        <v>Delivered</v>
      </c>
      <c r="T424" t="s">
        <v>27</v>
      </c>
      <c r="U424" t="str" cm="1">
        <f t="array" ref="U424">IFERROR(_xlfn.IFS(Table1[[#This Row],[Payment Status]]="Partial","In Transit",Table1[[#This Row],[Payment Status]]="Paid","Completed",Table1[[#This Row],[Payment Status]]="Pending","Pending"),"Invalid Input")</f>
        <v>Completed</v>
      </c>
    </row>
    <row r="425" spans="1:21" x14ac:dyDescent="0.25">
      <c r="A425" s="4" t="s">
        <v>870</v>
      </c>
      <c r="B425" s="5">
        <v>45682</v>
      </c>
      <c r="C425" t="s">
        <v>52</v>
      </c>
      <c r="D425" t="s">
        <v>3268</v>
      </c>
      <c r="E425" t="s">
        <v>38</v>
      </c>
      <c r="F425" t="s">
        <v>3219</v>
      </c>
      <c r="G425" t="s">
        <v>39</v>
      </c>
      <c r="H425" t="str">
        <f>VLOOKUP(Table1[[#This Row],[City]],Table6[#All],2,FALSE)</f>
        <v>West</v>
      </c>
      <c r="I425" t="s">
        <v>53</v>
      </c>
      <c r="J425" t="str">
        <f>_xlfn.XLOOKUP(Table1[[#This Row],[Tractor Model]],Table7[Product Model],Table7[Product Category],"Not Available",0)</f>
        <v>Farmtrac</v>
      </c>
      <c r="K425" s="4">
        <v>2</v>
      </c>
      <c r="L425" s="72">
        <v>268267</v>
      </c>
      <c r="M425" s="4">
        <f>INDEX('Master Sheet'!$C$4:$C$12,MATCH(Table1[[#This Row],[Quantity]],'Master Sheet'!$B$4:$B$12,0))</f>
        <v>5</v>
      </c>
      <c r="N425" s="71">
        <f>Table1[[#This Row],[Quantity]]*Table1[[#This Row],[Unit Price]]</f>
        <v>536534</v>
      </c>
      <c r="O425" s="73">
        <v>5.3653399999999997E-2</v>
      </c>
      <c r="P425" s="70">
        <f>Table1[[#This Row],[Gross Amount]]*(1-(Table1[[#This Row],[Discount %]]/100))</f>
        <v>509707.3</v>
      </c>
      <c r="Q425" s="74">
        <f>(Table1[[#This Row],[Gross Amount]]*(1-(Table1[[#This Row],[Discount %]]/100)))/10000000</f>
        <v>5.0970729999999999E-2</v>
      </c>
      <c r="R425" t="s">
        <v>25</v>
      </c>
      <c r="S425" t="str" cm="1">
        <f t="array" ref="S425">IFERROR(_xlfn.IFS(Table1[[#This Row],[Payment Status]]="Partial","In Transit",Table1[[#This Row],[Payment Status]]="Paid","Delivered",Table1[[#This Row],[Payment Status]]="Pending","Pending"),"Invalid Input")</f>
        <v>In Transit</v>
      </c>
      <c r="T425" t="s">
        <v>27</v>
      </c>
      <c r="U425" t="str" cm="1">
        <f t="array" ref="U425">IFERROR(_xlfn.IFS(Table1[[#This Row],[Payment Status]]="Partial","In Transit",Table1[[#This Row],[Payment Status]]="Paid","Completed",Table1[[#This Row],[Payment Status]]="Pending","Pending"),"Invalid Input")</f>
        <v>In Transit</v>
      </c>
    </row>
    <row r="426" spans="1:21" x14ac:dyDescent="0.25">
      <c r="A426" s="4" t="s">
        <v>872</v>
      </c>
      <c r="B426" s="5">
        <v>45821</v>
      </c>
      <c r="C426" t="s">
        <v>62</v>
      </c>
      <c r="D426" t="s">
        <v>3271</v>
      </c>
      <c r="E426" t="s">
        <v>30</v>
      </c>
      <c r="F426" t="s">
        <v>3217</v>
      </c>
      <c r="G426" t="s">
        <v>31</v>
      </c>
      <c r="H426" t="str">
        <f>VLOOKUP(Table1[[#This Row],[City]],Table6[#All],2,FALSE)</f>
        <v>South</v>
      </c>
      <c r="I426" t="s">
        <v>24</v>
      </c>
      <c r="J426" t="str">
        <f>_xlfn.XLOOKUP(Table1[[#This Row],[Tractor Model]],Table7[Product Model],Table7[Product Category],"Not Available",0)</f>
        <v>Farmtrac</v>
      </c>
      <c r="K426" s="4">
        <v>6</v>
      </c>
      <c r="L426" s="72">
        <v>755092</v>
      </c>
      <c r="M426" s="4">
        <f>INDEX('Master Sheet'!$C$4:$C$12,MATCH(Table1[[#This Row],[Quantity]],'Master Sheet'!$B$4:$B$12,0))</f>
        <v>8</v>
      </c>
      <c r="N426" s="71">
        <f>Table1[[#This Row],[Quantity]]*Table1[[#This Row],[Unit Price]]</f>
        <v>4530552</v>
      </c>
      <c r="O426" s="73">
        <v>0.45305519999999999</v>
      </c>
      <c r="P426" s="70">
        <f>Table1[[#This Row],[Gross Amount]]*(1-(Table1[[#This Row],[Discount %]]/100))</f>
        <v>4168107.8400000003</v>
      </c>
      <c r="Q426" s="74">
        <f>(Table1[[#This Row],[Gross Amount]]*(1-(Table1[[#This Row],[Discount %]]/100)))/10000000</f>
        <v>0.41681078400000005</v>
      </c>
      <c r="R426" t="s">
        <v>54</v>
      </c>
      <c r="S426" t="str" cm="1">
        <f t="array" ref="S426">IFERROR(_xlfn.IFS(Table1[[#This Row],[Payment Status]]="Partial","In Transit",Table1[[#This Row],[Payment Status]]="Paid","Delivered",Table1[[#This Row],[Payment Status]]="Pending","Pending"),"Invalid Input")</f>
        <v>Delivered</v>
      </c>
      <c r="T426" t="s">
        <v>44</v>
      </c>
      <c r="U426" t="str" cm="1">
        <f t="array" ref="U426">IFERROR(_xlfn.IFS(Table1[[#This Row],[Payment Status]]="Partial","In Transit",Table1[[#This Row],[Payment Status]]="Paid","Completed",Table1[[#This Row],[Payment Status]]="Pending","Pending"),"Invalid Input")</f>
        <v>Completed</v>
      </c>
    </row>
    <row r="427" spans="1:21" x14ac:dyDescent="0.25">
      <c r="A427" s="4" t="s">
        <v>874</v>
      </c>
      <c r="B427" s="5">
        <v>45707</v>
      </c>
      <c r="C427" t="s">
        <v>73</v>
      </c>
      <c r="D427" t="s">
        <v>3269</v>
      </c>
      <c r="E427" t="s">
        <v>47</v>
      </c>
      <c r="F427" t="s">
        <v>3209</v>
      </c>
      <c r="G427" t="s">
        <v>48</v>
      </c>
      <c r="H427" t="str">
        <f>VLOOKUP(Table1[[#This Row],[City]],Table6[#All],2,FALSE)</f>
        <v>North</v>
      </c>
      <c r="I427" t="s">
        <v>3204</v>
      </c>
      <c r="J427" t="str">
        <f>_xlfn.XLOOKUP(Table1[[#This Row],[Tractor Model]],Table7[Product Model],Table7[Product Category],"Not Available",0)</f>
        <v>Kubota</v>
      </c>
      <c r="K427" s="4">
        <v>7</v>
      </c>
      <c r="L427" s="72">
        <v>534998</v>
      </c>
      <c r="M427" s="4">
        <f>INDEX('Master Sheet'!$C$4:$C$12,MATCH(Table1[[#This Row],[Quantity]],'Master Sheet'!$B$4:$B$12,0))</f>
        <v>9</v>
      </c>
      <c r="N427" s="71">
        <f>Table1[[#This Row],[Quantity]]*Table1[[#This Row],[Unit Price]]</f>
        <v>3744986</v>
      </c>
      <c r="O427" s="73">
        <v>0.37449860000000001</v>
      </c>
      <c r="P427" s="70">
        <f>Table1[[#This Row],[Gross Amount]]*(1-(Table1[[#This Row],[Discount %]]/100))</f>
        <v>3407937.2600000002</v>
      </c>
      <c r="Q427" s="74">
        <f>(Table1[[#This Row],[Gross Amount]]*(1-(Table1[[#This Row],[Discount %]]/100)))/10000000</f>
        <v>0.34079372600000002</v>
      </c>
      <c r="R427" t="s">
        <v>42</v>
      </c>
      <c r="S427" t="str" cm="1">
        <f t="array" ref="S427">IFERROR(_xlfn.IFS(Table1[[#This Row],[Payment Status]]="Partial","In Transit",Table1[[#This Row],[Payment Status]]="Paid","Delivered",Table1[[#This Row],[Payment Status]]="Pending","Pending"),"Invalid Input")</f>
        <v>Pending</v>
      </c>
      <c r="T427" t="s">
        <v>27</v>
      </c>
      <c r="U427" t="str" cm="1">
        <f t="array" ref="U427">IFERROR(_xlfn.IFS(Table1[[#This Row],[Payment Status]]="Partial","In Transit",Table1[[#This Row],[Payment Status]]="Paid","Completed",Table1[[#This Row],[Payment Status]]="Pending","Pending"),"Invalid Input")</f>
        <v>Pending</v>
      </c>
    </row>
    <row r="428" spans="1:21" x14ac:dyDescent="0.25">
      <c r="A428" s="4" t="s">
        <v>876</v>
      </c>
      <c r="B428" s="5">
        <v>45819</v>
      </c>
      <c r="C428" t="s">
        <v>41</v>
      </c>
      <c r="D428" t="s">
        <v>3271</v>
      </c>
      <c r="E428" t="s">
        <v>119</v>
      </c>
      <c r="F428" t="s">
        <v>3228</v>
      </c>
      <c r="G428" t="s">
        <v>21</v>
      </c>
      <c r="H428" t="str">
        <f>VLOOKUP(Table1[[#This Row],[City]],Table6[#All],2,FALSE)</f>
        <v>North</v>
      </c>
      <c r="I428" t="s">
        <v>58</v>
      </c>
      <c r="J428" t="str">
        <f>_xlfn.XLOOKUP(Table1[[#This Row],[Tractor Model]],Table7[Product Model],Table7[Product Category],"Not Available",0)</f>
        <v>Powertrac</v>
      </c>
      <c r="K428" s="4">
        <v>2</v>
      </c>
      <c r="L428" s="72">
        <v>201163</v>
      </c>
      <c r="M428" s="4">
        <f>INDEX('Master Sheet'!$C$4:$C$12,MATCH(Table1[[#This Row],[Quantity]],'Master Sheet'!$B$4:$B$12,0))</f>
        <v>5</v>
      </c>
      <c r="N428" s="71">
        <f>Table1[[#This Row],[Quantity]]*Table1[[#This Row],[Unit Price]]</f>
        <v>402326</v>
      </c>
      <c r="O428" s="73">
        <v>4.02326E-2</v>
      </c>
      <c r="P428" s="70">
        <f>Table1[[#This Row],[Gross Amount]]*(1-(Table1[[#This Row],[Discount %]]/100))</f>
        <v>382209.69999999995</v>
      </c>
      <c r="Q428" s="74">
        <f>(Table1[[#This Row],[Gross Amount]]*(1-(Table1[[#This Row],[Discount %]]/100)))/10000000</f>
        <v>3.8220969999999993E-2</v>
      </c>
      <c r="R428" t="s">
        <v>54</v>
      </c>
      <c r="S428" t="str" cm="1">
        <f t="array" ref="S428">IFERROR(_xlfn.IFS(Table1[[#This Row],[Payment Status]]="Partial","In Transit",Table1[[#This Row],[Payment Status]]="Paid","Delivered",Table1[[#This Row],[Payment Status]]="Pending","Pending"),"Invalid Input")</f>
        <v>Delivered</v>
      </c>
      <c r="T428" t="s">
        <v>27</v>
      </c>
      <c r="U428" t="str" cm="1">
        <f t="array" ref="U428">IFERROR(_xlfn.IFS(Table1[[#This Row],[Payment Status]]="Partial","In Transit",Table1[[#This Row],[Payment Status]]="Paid","Completed",Table1[[#This Row],[Payment Status]]="Pending","Pending"),"Invalid Input")</f>
        <v>Completed</v>
      </c>
    </row>
    <row r="429" spans="1:21" x14ac:dyDescent="0.25">
      <c r="A429" s="4" t="s">
        <v>878</v>
      </c>
      <c r="B429" s="5">
        <v>45479</v>
      </c>
      <c r="C429" t="s">
        <v>52</v>
      </c>
      <c r="D429" t="s">
        <v>37</v>
      </c>
      <c r="E429" t="s">
        <v>47</v>
      </c>
      <c r="F429" t="s">
        <v>3215</v>
      </c>
      <c r="G429" t="s">
        <v>48</v>
      </c>
      <c r="H429" t="str">
        <f>VLOOKUP(Table1[[#This Row],[City]],Table6[#All],2,FALSE)</f>
        <v>North</v>
      </c>
      <c r="I429" t="s">
        <v>24</v>
      </c>
      <c r="J429" t="str">
        <f>_xlfn.XLOOKUP(Table1[[#This Row],[Tractor Model]],Table7[Product Model],Table7[Product Category],"Not Available",0)</f>
        <v>Farmtrac</v>
      </c>
      <c r="K429" s="4">
        <v>5</v>
      </c>
      <c r="L429" s="72">
        <v>540370</v>
      </c>
      <c r="M429" s="4">
        <f>INDEX('Master Sheet'!$C$4:$C$12,MATCH(Table1[[#This Row],[Quantity]],'Master Sheet'!$B$4:$B$12,0))</f>
        <v>7</v>
      </c>
      <c r="N429" s="71">
        <f>Table1[[#This Row],[Quantity]]*Table1[[#This Row],[Unit Price]]</f>
        <v>2701850</v>
      </c>
      <c r="O429" s="73">
        <v>0.27018500000000001</v>
      </c>
      <c r="P429" s="70">
        <f>Table1[[#This Row],[Gross Amount]]*(1-(Table1[[#This Row],[Discount %]]/100))</f>
        <v>2512720.5</v>
      </c>
      <c r="Q429" s="74">
        <f>(Table1[[#This Row],[Gross Amount]]*(1-(Table1[[#This Row],[Discount %]]/100)))/10000000</f>
        <v>0.25127205000000002</v>
      </c>
      <c r="R429" t="s">
        <v>54</v>
      </c>
      <c r="S429" t="str" cm="1">
        <f t="array" ref="S429">IFERROR(_xlfn.IFS(Table1[[#This Row],[Payment Status]]="Partial","In Transit",Table1[[#This Row],[Payment Status]]="Paid","Delivered",Table1[[#This Row],[Payment Status]]="Pending","Pending"),"Invalid Input")</f>
        <v>Delivered</v>
      </c>
      <c r="T429" t="s">
        <v>27</v>
      </c>
      <c r="U429" t="str" cm="1">
        <f t="array" ref="U429">IFERROR(_xlfn.IFS(Table1[[#This Row],[Payment Status]]="Partial","In Transit",Table1[[#This Row],[Payment Status]]="Paid","Completed",Table1[[#This Row],[Payment Status]]="Pending","Pending"),"Invalid Input")</f>
        <v>Completed</v>
      </c>
    </row>
    <row r="430" spans="1:21" x14ac:dyDescent="0.25">
      <c r="A430" s="4" t="s">
        <v>880</v>
      </c>
      <c r="B430" s="5">
        <v>45516</v>
      </c>
      <c r="C430" t="s">
        <v>73</v>
      </c>
      <c r="D430" t="s">
        <v>3269</v>
      </c>
      <c r="E430" t="s">
        <v>38</v>
      </c>
      <c r="F430" t="s">
        <v>3206</v>
      </c>
      <c r="G430" t="s">
        <v>39</v>
      </c>
      <c r="H430" t="str">
        <f>VLOOKUP(Table1[[#This Row],[City]],Table6[#All],2,FALSE)</f>
        <v>West</v>
      </c>
      <c r="I430" t="s">
        <v>53</v>
      </c>
      <c r="J430" t="str">
        <f>_xlfn.XLOOKUP(Table1[[#This Row],[Tractor Model]],Table7[Product Model],Table7[Product Category],"Not Available",0)</f>
        <v>Farmtrac</v>
      </c>
      <c r="K430" s="4">
        <v>7</v>
      </c>
      <c r="L430" s="72">
        <v>412820</v>
      </c>
      <c r="M430" s="4">
        <f>INDEX('Master Sheet'!$C$4:$C$12,MATCH(Table1[[#This Row],[Quantity]],'Master Sheet'!$B$4:$B$12,0))</f>
        <v>9</v>
      </c>
      <c r="N430" s="71">
        <f>Table1[[#This Row],[Quantity]]*Table1[[#This Row],[Unit Price]]</f>
        <v>2889740</v>
      </c>
      <c r="O430" s="73">
        <v>0.28897400000000001</v>
      </c>
      <c r="P430" s="70">
        <f>Table1[[#This Row],[Gross Amount]]*(1-(Table1[[#This Row],[Discount %]]/100))</f>
        <v>2629663.4</v>
      </c>
      <c r="Q430" s="74">
        <f>(Table1[[#This Row],[Gross Amount]]*(1-(Table1[[#This Row],[Discount %]]/100)))/10000000</f>
        <v>0.26296633999999997</v>
      </c>
      <c r="R430" t="s">
        <v>54</v>
      </c>
      <c r="S430" t="str" cm="1">
        <f t="array" ref="S430">IFERROR(_xlfn.IFS(Table1[[#This Row],[Payment Status]]="Partial","In Transit",Table1[[#This Row],[Payment Status]]="Paid","Delivered",Table1[[#This Row],[Payment Status]]="Pending","Pending"),"Invalid Input")</f>
        <v>Delivered</v>
      </c>
      <c r="T430" t="s">
        <v>27</v>
      </c>
      <c r="U430" t="str" cm="1">
        <f t="array" ref="U430">IFERROR(_xlfn.IFS(Table1[[#This Row],[Payment Status]]="Partial","In Transit",Table1[[#This Row],[Payment Status]]="Paid","Completed",Table1[[#This Row],[Payment Status]]="Pending","Pending"),"Invalid Input")</f>
        <v>Completed</v>
      </c>
    </row>
    <row r="431" spans="1:21" x14ac:dyDescent="0.25">
      <c r="A431" s="4" t="s">
        <v>882</v>
      </c>
      <c r="B431" s="5">
        <v>45770</v>
      </c>
      <c r="C431" t="s">
        <v>33</v>
      </c>
      <c r="D431" t="s">
        <v>37</v>
      </c>
      <c r="E431" t="s">
        <v>47</v>
      </c>
      <c r="F431" t="s">
        <v>3215</v>
      </c>
      <c r="G431" t="s">
        <v>48</v>
      </c>
      <c r="H431" t="str">
        <f>VLOOKUP(Table1[[#This Row],[City]],Table6[#All],2,FALSE)</f>
        <v>North</v>
      </c>
      <c r="I431" t="s">
        <v>58</v>
      </c>
      <c r="J431" t="str">
        <f>_xlfn.XLOOKUP(Table1[[#This Row],[Tractor Model]],Table7[Product Model],Table7[Product Category],"Not Available",0)</f>
        <v>Powertrac</v>
      </c>
      <c r="K431" s="4">
        <v>6</v>
      </c>
      <c r="L431" s="72">
        <v>867867</v>
      </c>
      <c r="M431" s="4">
        <f>INDEX('Master Sheet'!$C$4:$C$12,MATCH(Table1[[#This Row],[Quantity]],'Master Sheet'!$B$4:$B$12,0))</f>
        <v>8</v>
      </c>
      <c r="N431" s="71">
        <f>Table1[[#This Row],[Quantity]]*Table1[[#This Row],[Unit Price]]</f>
        <v>5207202</v>
      </c>
      <c r="O431" s="73">
        <v>0.52072019999999997</v>
      </c>
      <c r="P431" s="70">
        <f>Table1[[#This Row],[Gross Amount]]*(1-(Table1[[#This Row],[Discount %]]/100))</f>
        <v>4790625.84</v>
      </c>
      <c r="Q431" s="74">
        <f>(Table1[[#This Row],[Gross Amount]]*(1-(Table1[[#This Row],[Discount %]]/100)))/10000000</f>
        <v>0.47906258399999996</v>
      </c>
      <c r="R431" t="s">
        <v>25</v>
      </c>
      <c r="S431" t="str" cm="1">
        <f t="array" ref="S431">IFERROR(_xlfn.IFS(Table1[[#This Row],[Payment Status]]="Partial","In Transit",Table1[[#This Row],[Payment Status]]="Paid","Delivered",Table1[[#This Row],[Payment Status]]="Pending","Pending"),"Invalid Input")</f>
        <v>In Transit</v>
      </c>
      <c r="T431" t="s">
        <v>44</v>
      </c>
      <c r="U431" t="str" cm="1">
        <f t="array" ref="U431">IFERROR(_xlfn.IFS(Table1[[#This Row],[Payment Status]]="Partial","In Transit",Table1[[#This Row],[Payment Status]]="Paid","Completed",Table1[[#This Row],[Payment Status]]="Pending","Pending"),"Invalid Input")</f>
        <v>In Transit</v>
      </c>
    </row>
    <row r="432" spans="1:21" x14ac:dyDescent="0.25">
      <c r="A432" s="4" t="s">
        <v>883</v>
      </c>
      <c r="B432" s="5">
        <v>45560</v>
      </c>
      <c r="C432" t="s">
        <v>73</v>
      </c>
      <c r="D432" t="s">
        <v>3271</v>
      </c>
      <c r="E432" t="s">
        <v>47</v>
      </c>
      <c r="F432" t="s">
        <v>3221</v>
      </c>
      <c r="G432" t="s">
        <v>48</v>
      </c>
      <c r="H432" t="str">
        <f>VLOOKUP(Table1[[#This Row],[City]],Table6[#All],2,FALSE)</f>
        <v>North</v>
      </c>
      <c r="I432" t="s">
        <v>24</v>
      </c>
      <c r="J432" t="str">
        <f>_xlfn.XLOOKUP(Table1[[#This Row],[Tractor Model]],Table7[Product Model],Table7[Product Category],"Not Available",0)</f>
        <v>Farmtrac</v>
      </c>
      <c r="K432" s="4">
        <v>5</v>
      </c>
      <c r="L432" s="72">
        <v>139560</v>
      </c>
      <c r="M432" s="4">
        <f>INDEX('Master Sheet'!$C$4:$C$12,MATCH(Table1[[#This Row],[Quantity]],'Master Sheet'!$B$4:$B$12,0))</f>
        <v>7</v>
      </c>
      <c r="N432" s="71">
        <f>Table1[[#This Row],[Quantity]]*Table1[[#This Row],[Unit Price]]</f>
        <v>697800</v>
      </c>
      <c r="O432" s="73">
        <v>6.9779999999999995E-2</v>
      </c>
      <c r="P432" s="70">
        <f>Table1[[#This Row],[Gross Amount]]*(1-(Table1[[#This Row],[Discount %]]/100))</f>
        <v>648954</v>
      </c>
      <c r="Q432" s="74">
        <f>(Table1[[#This Row],[Gross Amount]]*(1-(Table1[[#This Row],[Discount %]]/100)))/10000000</f>
        <v>6.4895400000000006E-2</v>
      </c>
      <c r="R432" t="s">
        <v>25</v>
      </c>
      <c r="S432" t="str" cm="1">
        <f t="array" ref="S432">IFERROR(_xlfn.IFS(Table1[[#This Row],[Payment Status]]="Partial","In Transit",Table1[[#This Row],[Payment Status]]="Paid","Delivered",Table1[[#This Row],[Payment Status]]="Pending","Pending"),"Invalid Input")</f>
        <v>In Transit</v>
      </c>
      <c r="T432" t="s">
        <v>27</v>
      </c>
      <c r="U432" t="str" cm="1">
        <f t="array" ref="U432">IFERROR(_xlfn.IFS(Table1[[#This Row],[Payment Status]]="Partial","In Transit",Table1[[#This Row],[Payment Status]]="Paid","Completed",Table1[[#This Row],[Payment Status]]="Pending","Pending"),"Invalid Input")</f>
        <v>In Transit</v>
      </c>
    </row>
    <row r="433" spans="1:21" x14ac:dyDescent="0.25">
      <c r="A433" s="4" t="s">
        <v>885</v>
      </c>
      <c r="B433" s="5">
        <v>45733</v>
      </c>
      <c r="C433" t="s">
        <v>33</v>
      </c>
      <c r="D433" t="s">
        <v>3270</v>
      </c>
      <c r="E433" t="s">
        <v>47</v>
      </c>
      <c r="F433" t="s">
        <v>3205</v>
      </c>
      <c r="G433" t="s">
        <v>48</v>
      </c>
      <c r="H433" t="str">
        <f>VLOOKUP(Table1[[#This Row],[City]],Table6[#All],2,FALSE)</f>
        <v>North</v>
      </c>
      <c r="I433" t="s">
        <v>3203</v>
      </c>
      <c r="J433" t="str">
        <f>_xlfn.XLOOKUP(Table1[[#This Row],[Tractor Model]],Table7[Product Model],Table7[Product Category],"Not Available",0)</f>
        <v>Kubota</v>
      </c>
      <c r="K433" s="4">
        <v>6</v>
      </c>
      <c r="L433" s="72">
        <v>831245</v>
      </c>
      <c r="M433" s="4">
        <f>INDEX('Master Sheet'!$C$4:$C$12,MATCH(Table1[[#This Row],[Quantity]],'Master Sheet'!$B$4:$B$12,0))</f>
        <v>8</v>
      </c>
      <c r="N433" s="71">
        <f>Table1[[#This Row],[Quantity]]*Table1[[#This Row],[Unit Price]]</f>
        <v>4987470</v>
      </c>
      <c r="O433" s="73">
        <v>0.498747</v>
      </c>
      <c r="P433" s="70">
        <f>Table1[[#This Row],[Gross Amount]]*(1-(Table1[[#This Row],[Discount %]]/100))</f>
        <v>4588472.4000000004</v>
      </c>
      <c r="Q433" s="74">
        <f>(Table1[[#This Row],[Gross Amount]]*(1-(Table1[[#This Row],[Discount %]]/100)))/10000000</f>
        <v>0.45884724000000005</v>
      </c>
      <c r="R433" t="s">
        <v>54</v>
      </c>
      <c r="S433" t="str" cm="1">
        <f t="array" ref="S433">IFERROR(_xlfn.IFS(Table1[[#This Row],[Payment Status]]="Partial","In Transit",Table1[[#This Row],[Payment Status]]="Paid","Delivered",Table1[[#This Row],[Payment Status]]="Pending","Pending"),"Invalid Input")</f>
        <v>Delivered</v>
      </c>
      <c r="T433" t="s">
        <v>44</v>
      </c>
      <c r="U433" t="str" cm="1">
        <f t="array" ref="U433">IFERROR(_xlfn.IFS(Table1[[#This Row],[Payment Status]]="Partial","In Transit",Table1[[#This Row],[Payment Status]]="Paid","Completed",Table1[[#This Row],[Payment Status]]="Pending","Pending"),"Invalid Input")</f>
        <v>Completed</v>
      </c>
    </row>
    <row r="434" spans="1:21" x14ac:dyDescent="0.25">
      <c r="A434" s="4" t="s">
        <v>887</v>
      </c>
      <c r="B434" s="5">
        <v>45489</v>
      </c>
      <c r="C434" t="s">
        <v>73</v>
      </c>
      <c r="D434" t="s">
        <v>3270</v>
      </c>
      <c r="E434" t="s">
        <v>30</v>
      </c>
      <c r="F434" t="s">
        <v>3223</v>
      </c>
      <c r="G434" t="s">
        <v>31</v>
      </c>
      <c r="H434" t="str">
        <f>VLOOKUP(Table1[[#This Row],[City]],Table6[#All],2,FALSE)</f>
        <v>South</v>
      </c>
      <c r="I434" t="s">
        <v>53</v>
      </c>
      <c r="J434" t="str">
        <f>_xlfn.XLOOKUP(Table1[[#This Row],[Tractor Model]],Table7[Product Model],Table7[Product Category],"Not Available",0)</f>
        <v>Farmtrac</v>
      </c>
      <c r="K434" s="4">
        <v>2</v>
      </c>
      <c r="L434" s="72">
        <v>838592</v>
      </c>
      <c r="M434" s="4">
        <f>INDEX('Master Sheet'!$C$4:$C$12,MATCH(Table1[[#This Row],[Quantity]],'Master Sheet'!$B$4:$B$12,0))</f>
        <v>5</v>
      </c>
      <c r="N434" s="71">
        <f>Table1[[#This Row],[Quantity]]*Table1[[#This Row],[Unit Price]]</f>
        <v>1677184</v>
      </c>
      <c r="O434" s="73">
        <v>0.16771839999999999</v>
      </c>
      <c r="P434" s="70">
        <f>Table1[[#This Row],[Gross Amount]]*(1-(Table1[[#This Row],[Discount %]]/100))</f>
        <v>1593324.7999999998</v>
      </c>
      <c r="Q434" s="74">
        <f>(Table1[[#This Row],[Gross Amount]]*(1-(Table1[[#This Row],[Discount %]]/100)))/10000000</f>
        <v>0.15933247999999997</v>
      </c>
      <c r="R434" t="s">
        <v>54</v>
      </c>
      <c r="S434" t="str" cm="1">
        <f t="array" ref="S434">IFERROR(_xlfn.IFS(Table1[[#This Row],[Payment Status]]="Partial","In Transit",Table1[[#This Row],[Payment Status]]="Paid","Delivered",Table1[[#This Row],[Payment Status]]="Pending","Pending"),"Invalid Input")</f>
        <v>Delivered</v>
      </c>
      <c r="T434" t="s">
        <v>27</v>
      </c>
      <c r="U434" t="str" cm="1">
        <f t="array" ref="U434">IFERROR(_xlfn.IFS(Table1[[#This Row],[Payment Status]]="Partial","In Transit",Table1[[#This Row],[Payment Status]]="Paid","Completed",Table1[[#This Row],[Payment Status]]="Pending","Pending"),"Invalid Input")</f>
        <v>Completed</v>
      </c>
    </row>
    <row r="435" spans="1:21" x14ac:dyDescent="0.25">
      <c r="A435" s="4" t="s">
        <v>889</v>
      </c>
      <c r="B435" s="5">
        <v>45659</v>
      </c>
      <c r="C435" t="s">
        <v>52</v>
      </c>
      <c r="D435" t="s">
        <v>37</v>
      </c>
      <c r="E435" t="s">
        <v>38</v>
      </c>
      <c r="F435" t="s">
        <v>3214</v>
      </c>
      <c r="G435" t="s">
        <v>39</v>
      </c>
      <c r="H435" t="str">
        <f>VLOOKUP(Table1[[#This Row],[City]],Table6[#All],2,FALSE)</f>
        <v>West</v>
      </c>
      <c r="I435" t="s">
        <v>3203</v>
      </c>
      <c r="J435" t="str">
        <f>_xlfn.XLOOKUP(Table1[[#This Row],[Tractor Model]],Table7[Product Model],Table7[Product Category],"Not Available",0)</f>
        <v>Kubota</v>
      </c>
      <c r="K435" s="4">
        <v>5</v>
      </c>
      <c r="L435" s="72">
        <v>590984</v>
      </c>
      <c r="M435" s="4">
        <f>INDEX('Master Sheet'!$C$4:$C$12,MATCH(Table1[[#This Row],[Quantity]],'Master Sheet'!$B$4:$B$12,0))</f>
        <v>7</v>
      </c>
      <c r="N435" s="71">
        <f>Table1[[#This Row],[Quantity]]*Table1[[#This Row],[Unit Price]]</f>
        <v>2954920</v>
      </c>
      <c r="O435" s="73">
        <v>0.29549199999999998</v>
      </c>
      <c r="P435" s="70">
        <f>Table1[[#This Row],[Gross Amount]]*(1-(Table1[[#This Row],[Discount %]]/100))</f>
        <v>2748075.5999999996</v>
      </c>
      <c r="Q435" s="74">
        <f>(Table1[[#This Row],[Gross Amount]]*(1-(Table1[[#This Row],[Discount %]]/100)))/10000000</f>
        <v>0.27480755999999995</v>
      </c>
      <c r="R435" t="s">
        <v>25</v>
      </c>
      <c r="S435" t="str" cm="1">
        <f t="array" ref="S435">IFERROR(_xlfn.IFS(Table1[[#This Row],[Payment Status]]="Partial","In Transit",Table1[[#This Row],[Payment Status]]="Paid","Delivered",Table1[[#This Row],[Payment Status]]="Pending","Pending"),"Invalid Input")</f>
        <v>In Transit</v>
      </c>
      <c r="T435" t="s">
        <v>27</v>
      </c>
      <c r="U435" t="str" cm="1">
        <f t="array" ref="U435">IFERROR(_xlfn.IFS(Table1[[#This Row],[Payment Status]]="Partial","In Transit",Table1[[#This Row],[Payment Status]]="Paid","Completed",Table1[[#This Row],[Payment Status]]="Pending","Pending"),"Invalid Input")</f>
        <v>In Transit</v>
      </c>
    </row>
    <row r="436" spans="1:21" x14ac:dyDescent="0.25">
      <c r="A436" s="4" t="s">
        <v>890</v>
      </c>
      <c r="B436" s="5">
        <v>45618</v>
      </c>
      <c r="C436" t="s">
        <v>41</v>
      </c>
      <c r="D436" t="s">
        <v>3270</v>
      </c>
      <c r="E436" t="s">
        <v>38</v>
      </c>
      <c r="F436" t="s">
        <v>3218</v>
      </c>
      <c r="G436" t="s">
        <v>39</v>
      </c>
      <c r="H436" t="str">
        <f>VLOOKUP(Table1[[#This Row],[City]],Table6[#All],2,FALSE)</f>
        <v>West</v>
      </c>
      <c r="I436" t="s">
        <v>3203</v>
      </c>
      <c r="J436" t="str">
        <f>_xlfn.XLOOKUP(Table1[[#This Row],[Tractor Model]],Table7[Product Model],Table7[Product Category],"Not Available",0)</f>
        <v>Kubota</v>
      </c>
      <c r="K436" s="4">
        <v>7</v>
      </c>
      <c r="L436" s="72">
        <v>523967</v>
      </c>
      <c r="M436" s="4">
        <f>INDEX('Master Sheet'!$C$4:$C$12,MATCH(Table1[[#This Row],[Quantity]],'Master Sheet'!$B$4:$B$12,0))</f>
        <v>9</v>
      </c>
      <c r="N436" s="71">
        <f>Table1[[#This Row],[Quantity]]*Table1[[#This Row],[Unit Price]]</f>
        <v>3667769</v>
      </c>
      <c r="O436" s="73">
        <v>0.36677690000000002</v>
      </c>
      <c r="P436" s="70">
        <f>Table1[[#This Row],[Gross Amount]]*(1-(Table1[[#This Row],[Discount %]]/100))</f>
        <v>3337669.79</v>
      </c>
      <c r="Q436" s="74">
        <f>(Table1[[#This Row],[Gross Amount]]*(1-(Table1[[#This Row],[Discount %]]/100)))/10000000</f>
        <v>0.33376697900000002</v>
      </c>
      <c r="R436" t="s">
        <v>42</v>
      </c>
      <c r="S436" t="str" cm="1">
        <f t="array" ref="S436">IFERROR(_xlfn.IFS(Table1[[#This Row],[Payment Status]]="Partial","In Transit",Table1[[#This Row],[Payment Status]]="Paid","Delivered",Table1[[#This Row],[Payment Status]]="Pending","Pending"),"Invalid Input")</f>
        <v>Pending</v>
      </c>
      <c r="T436" t="s">
        <v>27</v>
      </c>
      <c r="U436" t="str" cm="1">
        <f t="array" ref="U436">IFERROR(_xlfn.IFS(Table1[[#This Row],[Payment Status]]="Partial","In Transit",Table1[[#This Row],[Payment Status]]="Paid","Completed",Table1[[#This Row],[Payment Status]]="Pending","Pending"),"Invalid Input")</f>
        <v>Pending</v>
      </c>
    </row>
    <row r="437" spans="1:21" x14ac:dyDescent="0.25">
      <c r="A437" s="4" t="s">
        <v>892</v>
      </c>
      <c r="B437" s="5">
        <v>45573</v>
      </c>
      <c r="C437" t="s">
        <v>73</v>
      </c>
      <c r="D437" t="s">
        <v>3268</v>
      </c>
      <c r="E437" t="s">
        <v>119</v>
      </c>
      <c r="F437" t="s">
        <v>3227</v>
      </c>
      <c r="G437" t="s">
        <v>21</v>
      </c>
      <c r="H437" t="str">
        <f>VLOOKUP(Table1[[#This Row],[City]],Table6[#All],2,FALSE)</f>
        <v>North</v>
      </c>
      <c r="I437" t="s">
        <v>24</v>
      </c>
      <c r="J437" t="str">
        <f>_xlfn.XLOOKUP(Table1[[#This Row],[Tractor Model]],Table7[Product Model],Table7[Product Category],"Not Available",0)</f>
        <v>Farmtrac</v>
      </c>
      <c r="K437" s="4">
        <v>1</v>
      </c>
      <c r="L437" s="72">
        <v>770331</v>
      </c>
      <c r="M437" s="4">
        <f>INDEX('Master Sheet'!$C$4:$C$12,MATCH(Table1[[#This Row],[Quantity]],'Master Sheet'!$B$4:$B$12,0))</f>
        <v>3</v>
      </c>
      <c r="N437" s="71">
        <f>Table1[[#This Row],[Quantity]]*Table1[[#This Row],[Unit Price]]</f>
        <v>770331</v>
      </c>
      <c r="O437" s="73">
        <v>7.7033099999999993E-2</v>
      </c>
      <c r="P437" s="70">
        <f>Table1[[#This Row],[Gross Amount]]*(1-(Table1[[#This Row],[Discount %]]/100))</f>
        <v>747221.07</v>
      </c>
      <c r="Q437" s="74">
        <f>(Table1[[#This Row],[Gross Amount]]*(1-(Table1[[#This Row],[Discount %]]/100)))/10000000</f>
        <v>7.4722106999999996E-2</v>
      </c>
      <c r="R437" t="s">
        <v>42</v>
      </c>
      <c r="S437" t="str" cm="1">
        <f t="array" ref="S437">IFERROR(_xlfn.IFS(Table1[[#This Row],[Payment Status]]="Partial","In Transit",Table1[[#This Row],[Payment Status]]="Paid","Delivered",Table1[[#This Row],[Payment Status]]="Pending","Pending"),"Invalid Input")</f>
        <v>Pending</v>
      </c>
      <c r="T437" t="s">
        <v>27</v>
      </c>
      <c r="U437" t="str" cm="1">
        <f t="array" ref="U437">IFERROR(_xlfn.IFS(Table1[[#This Row],[Payment Status]]="Partial","In Transit",Table1[[#This Row],[Payment Status]]="Paid","Completed",Table1[[#This Row],[Payment Status]]="Pending","Pending"),"Invalid Input")</f>
        <v>Pending</v>
      </c>
    </row>
    <row r="438" spans="1:21" x14ac:dyDescent="0.25">
      <c r="A438" s="4" t="s">
        <v>893</v>
      </c>
      <c r="B438" s="5">
        <v>45321</v>
      </c>
      <c r="C438" t="s">
        <v>73</v>
      </c>
      <c r="D438" t="s">
        <v>3270</v>
      </c>
      <c r="E438" t="s">
        <v>38</v>
      </c>
      <c r="F438" t="s">
        <v>3218</v>
      </c>
      <c r="G438" t="s">
        <v>39</v>
      </c>
      <c r="H438" t="str">
        <f>VLOOKUP(Table1[[#This Row],[City]],Table6[#All],2,FALSE)</f>
        <v>West</v>
      </c>
      <c r="I438" t="s">
        <v>53</v>
      </c>
      <c r="J438" t="str">
        <f>_xlfn.XLOOKUP(Table1[[#This Row],[Tractor Model]],Table7[Product Model],Table7[Product Category],"Not Available",0)</f>
        <v>Farmtrac</v>
      </c>
      <c r="K438" s="4">
        <v>7</v>
      </c>
      <c r="L438" s="72">
        <v>298636</v>
      </c>
      <c r="M438" s="4">
        <f>INDEX('Master Sheet'!$C$4:$C$12,MATCH(Table1[[#This Row],[Quantity]],'Master Sheet'!$B$4:$B$12,0))</f>
        <v>9</v>
      </c>
      <c r="N438" s="71">
        <f>Table1[[#This Row],[Quantity]]*Table1[[#This Row],[Unit Price]]</f>
        <v>2090452</v>
      </c>
      <c r="O438" s="73">
        <v>0.20904519999999999</v>
      </c>
      <c r="P438" s="70">
        <f>Table1[[#This Row],[Gross Amount]]*(1-(Table1[[#This Row],[Discount %]]/100))</f>
        <v>1902311.32</v>
      </c>
      <c r="Q438" s="74">
        <f>(Table1[[#This Row],[Gross Amount]]*(1-(Table1[[#This Row],[Discount %]]/100)))/10000000</f>
        <v>0.190231132</v>
      </c>
      <c r="R438" t="s">
        <v>42</v>
      </c>
      <c r="S438" t="str" cm="1">
        <f t="array" ref="S438">IFERROR(_xlfn.IFS(Table1[[#This Row],[Payment Status]]="Partial","In Transit",Table1[[#This Row],[Payment Status]]="Paid","Delivered",Table1[[#This Row],[Payment Status]]="Pending","Pending"),"Invalid Input")</f>
        <v>Pending</v>
      </c>
      <c r="T438" t="s">
        <v>44</v>
      </c>
      <c r="U438" t="str" cm="1">
        <f t="array" ref="U438">IFERROR(_xlfn.IFS(Table1[[#This Row],[Payment Status]]="Partial","In Transit",Table1[[#This Row],[Payment Status]]="Paid","Completed",Table1[[#This Row],[Payment Status]]="Pending","Pending"),"Invalid Input")</f>
        <v>Pending</v>
      </c>
    </row>
    <row r="439" spans="1:21" x14ac:dyDescent="0.25">
      <c r="A439" s="4" t="s">
        <v>895</v>
      </c>
      <c r="B439" s="5">
        <v>45533</v>
      </c>
      <c r="C439" t="s">
        <v>33</v>
      </c>
      <c r="D439" t="s">
        <v>37</v>
      </c>
      <c r="E439" t="s">
        <v>30</v>
      </c>
      <c r="F439" t="s">
        <v>3222</v>
      </c>
      <c r="G439" t="s">
        <v>31</v>
      </c>
      <c r="H439" t="str">
        <f>VLOOKUP(Table1[[#This Row],[City]],Table6[#All],2,FALSE)</f>
        <v>South</v>
      </c>
      <c r="I439" t="s">
        <v>24</v>
      </c>
      <c r="J439" t="str">
        <f>_xlfn.XLOOKUP(Table1[[#This Row],[Tractor Model]],Table7[Product Model],Table7[Product Category],"Not Available",0)</f>
        <v>Farmtrac</v>
      </c>
      <c r="K439" s="4">
        <v>4</v>
      </c>
      <c r="L439" s="72">
        <v>53426</v>
      </c>
      <c r="M439" s="4">
        <f>INDEX('Master Sheet'!$C$4:$C$12,MATCH(Table1[[#This Row],[Quantity]],'Master Sheet'!$B$4:$B$12,0))</f>
        <v>6</v>
      </c>
      <c r="N439" s="71">
        <f>Table1[[#This Row],[Quantity]]*Table1[[#This Row],[Unit Price]]</f>
        <v>213704</v>
      </c>
      <c r="O439" s="73">
        <v>2.1370400000000001E-2</v>
      </c>
      <c r="P439" s="70">
        <f>Table1[[#This Row],[Gross Amount]]*(1-(Table1[[#This Row],[Discount %]]/100))</f>
        <v>200881.75999999998</v>
      </c>
      <c r="Q439" s="74">
        <f>(Table1[[#This Row],[Gross Amount]]*(1-(Table1[[#This Row],[Discount %]]/100)))/10000000</f>
        <v>2.0088175999999999E-2</v>
      </c>
      <c r="R439" t="s">
        <v>42</v>
      </c>
      <c r="S439" t="str" cm="1">
        <f t="array" ref="S439">IFERROR(_xlfn.IFS(Table1[[#This Row],[Payment Status]]="Partial","In Transit",Table1[[#This Row],[Payment Status]]="Paid","Delivered",Table1[[#This Row],[Payment Status]]="Pending","Pending"),"Invalid Input")</f>
        <v>Pending</v>
      </c>
      <c r="T439" t="s">
        <v>27</v>
      </c>
      <c r="U439" t="str" cm="1">
        <f t="array" ref="U439">IFERROR(_xlfn.IFS(Table1[[#This Row],[Payment Status]]="Partial","In Transit",Table1[[#This Row],[Payment Status]]="Paid","Completed",Table1[[#This Row],[Payment Status]]="Pending","Pending"),"Invalid Input")</f>
        <v>Pending</v>
      </c>
    </row>
    <row r="440" spans="1:21" x14ac:dyDescent="0.25">
      <c r="A440" s="4" t="s">
        <v>897</v>
      </c>
      <c r="B440" s="5">
        <v>45523</v>
      </c>
      <c r="C440" t="s">
        <v>33</v>
      </c>
      <c r="D440" t="s">
        <v>37</v>
      </c>
      <c r="E440" t="s">
        <v>119</v>
      </c>
      <c r="F440" t="s">
        <v>3224</v>
      </c>
      <c r="G440" t="s">
        <v>21</v>
      </c>
      <c r="H440" t="str">
        <f>VLOOKUP(Table1[[#This Row],[City]],Table6[#All],2,FALSE)</f>
        <v>North</v>
      </c>
      <c r="I440" t="s">
        <v>3204</v>
      </c>
      <c r="J440" t="str">
        <f>_xlfn.XLOOKUP(Table1[[#This Row],[Tractor Model]],Table7[Product Model],Table7[Product Category],"Not Available",0)</f>
        <v>Kubota</v>
      </c>
      <c r="K440" s="4">
        <v>6</v>
      </c>
      <c r="L440" s="72">
        <v>802919</v>
      </c>
      <c r="M440" s="4">
        <f>INDEX('Master Sheet'!$C$4:$C$12,MATCH(Table1[[#This Row],[Quantity]],'Master Sheet'!$B$4:$B$12,0))</f>
        <v>8</v>
      </c>
      <c r="N440" s="71">
        <f>Table1[[#This Row],[Quantity]]*Table1[[#This Row],[Unit Price]]</f>
        <v>4817514</v>
      </c>
      <c r="O440" s="73">
        <v>0.4817514</v>
      </c>
      <c r="P440" s="70">
        <f>Table1[[#This Row],[Gross Amount]]*(1-(Table1[[#This Row],[Discount %]]/100))</f>
        <v>4432112.88</v>
      </c>
      <c r="Q440" s="74">
        <f>(Table1[[#This Row],[Gross Amount]]*(1-(Table1[[#This Row],[Discount %]]/100)))/10000000</f>
        <v>0.44321128799999998</v>
      </c>
      <c r="R440" t="s">
        <v>54</v>
      </c>
      <c r="S440" t="str" cm="1">
        <f t="array" ref="S440">IFERROR(_xlfn.IFS(Table1[[#This Row],[Payment Status]]="Partial","In Transit",Table1[[#This Row],[Payment Status]]="Paid","Delivered",Table1[[#This Row],[Payment Status]]="Pending","Pending"),"Invalid Input")</f>
        <v>Delivered</v>
      </c>
      <c r="T440" t="s">
        <v>44</v>
      </c>
      <c r="U440" t="str" cm="1">
        <f t="array" ref="U440">IFERROR(_xlfn.IFS(Table1[[#This Row],[Payment Status]]="Partial","In Transit",Table1[[#This Row],[Payment Status]]="Paid","Completed",Table1[[#This Row],[Payment Status]]="Pending","Pending"),"Invalid Input")</f>
        <v>Completed</v>
      </c>
    </row>
    <row r="441" spans="1:21" x14ac:dyDescent="0.25">
      <c r="A441" s="4" t="s">
        <v>899</v>
      </c>
      <c r="B441" s="5">
        <v>45332</v>
      </c>
      <c r="C441" t="s">
        <v>73</v>
      </c>
      <c r="D441" t="s">
        <v>3271</v>
      </c>
      <c r="E441" t="s">
        <v>30</v>
      </c>
      <c r="F441" t="s">
        <v>3217</v>
      </c>
      <c r="G441" t="s">
        <v>31</v>
      </c>
      <c r="H441" t="str">
        <f>VLOOKUP(Table1[[#This Row],[City]],Table6[#All],2,FALSE)</f>
        <v>South</v>
      </c>
      <c r="I441" t="s">
        <v>3203</v>
      </c>
      <c r="J441" t="str">
        <f>_xlfn.XLOOKUP(Table1[[#This Row],[Tractor Model]],Table7[Product Model],Table7[Product Category],"Not Available",0)</f>
        <v>Kubota</v>
      </c>
      <c r="K441" s="4">
        <v>6</v>
      </c>
      <c r="L441" s="72">
        <v>426940</v>
      </c>
      <c r="M441" s="4">
        <f>INDEX('Master Sheet'!$C$4:$C$12,MATCH(Table1[[#This Row],[Quantity]],'Master Sheet'!$B$4:$B$12,0))</f>
        <v>8</v>
      </c>
      <c r="N441" s="71">
        <f>Table1[[#This Row],[Quantity]]*Table1[[#This Row],[Unit Price]]</f>
        <v>2561640</v>
      </c>
      <c r="O441" s="73">
        <v>0.256164</v>
      </c>
      <c r="P441" s="70">
        <f>Table1[[#This Row],[Gross Amount]]*(1-(Table1[[#This Row],[Discount %]]/100))</f>
        <v>2356708.8000000003</v>
      </c>
      <c r="Q441" s="74">
        <f>(Table1[[#This Row],[Gross Amount]]*(1-(Table1[[#This Row],[Discount %]]/100)))/10000000</f>
        <v>0.23567088000000003</v>
      </c>
      <c r="R441" t="s">
        <v>42</v>
      </c>
      <c r="S441" t="str" cm="1">
        <f t="array" ref="S441">IFERROR(_xlfn.IFS(Table1[[#This Row],[Payment Status]]="Partial","In Transit",Table1[[#This Row],[Payment Status]]="Paid","Delivered",Table1[[#This Row],[Payment Status]]="Pending","Pending"),"Invalid Input")</f>
        <v>Pending</v>
      </c>
      <c r="T441" t="s">
        <v>27</v>
      </c>
      <c r="U441" t="str" cm="1">
        <f t="array" ref="U441">IFERROR(_xlfn.IFS(Table1[[#This Row],[Payment Status]]="Partial","In Transit",Table1[[#This Row],[Payment Status]]="Paid","Completed",Table1[[#This Row],[Payment Status]]="Pending","Pending"),"Invalid Input")</f>
        <v>Pending</v>
      </c>
    </row>
    <row r="442" spans="1:21" x14ac:dyDescent="0.25">
      <c r="A442" s="4" t="s">
        <v>901</v>
      </c>
      <c r="B442" s="5">
        <v>45645</v>
      </c>
      <c r="C442" t="s">
        <v>73</v>
      </c>
      <c r="D442" t="s">
        <v>3269</v>
      </c>
      <c r="E442" t="s">
        <v>30</v>
      </c>
      <c r="F442" t="s">
        <v>3225</v>
      </c>
      <c r="G442" t="s">
        <v>31</v>
      </c>
      <c r="H442" t="str">
        <f>VLOOKUP(Table1[[#This Row],[City]],Table6[#All],2,FALSE)</f>
        <v>South</v>
      </c>
      <c r="I442" t="s">
        <v>3204</v>
      </c>
      <c r="J442" t="str">
        <f>_xlfn.XLOOKUP(Table1[[#This Row],[Tractor Model]],Table7[Product Model],Table7[Product Category],"Not Available",0)</f>
        <v>Kubota</v>
      </c>
      <c r="K442" s="4">
        <v>5</v>
      </c>
      <c r="L442" s="72">
        <v>288241</v>
      </c>
      <c r="M442" s="4">
        <f>INDEX('Master Sheet'!$C$4:$C$12,MATCH(Table1[[#This Row],[Quantity]],'Master Sheet'!$B$4:$B$12,0))</f>
        <v>7</v>
      </c>
      <c r="N442" s="71">
        <f>Table1[[#This Row],[Quantity]]*Table1[[#This Row],[Unit Price]]</f>
        <v>1441205</v>
      </c>
      <c r="O442" s="73">
        <v>0.14412050000000001</v>
      </c>
      <c r="P442" s="70">
        <f>Table1[[#This Row],[Gross Amount]]*(1-(Table1[[#This Row],[Discount %]]/100))</f>
        <v>1340320.6499999999</v>
      </c>
      <c r="Q442" s="74">
        <f>(Table1[[#This Row],[Gross Amount]]*(1-(Table1[[#This Row],[Discount %]]/100)))/10000000</f>
        <v>0.13403206499999998</v>
      </c>
      <c r="R442" t="s">
        <v>25</v>
      </c>
      <c r="S442" t="str" cm="1">
        <f t="array" ref="S442">IFERROR(_xlfn.IFS(Table1[[#This Row],[Payment Status]]="Partial","In Transit",Table1[[#This Row],[Payment Status]]="Paid","Delivered",Table1[[#This Row],[Payment Status]]="Pending","Pending"),"Invalid Input")</f>
        <v>In Transit</v>
      </c>
      <c r="T442" t="s">
        <v>44</v>
      </c>
      <c r="U442" t="str" cm="1">
        <f t="array" ref="U442">IFERROR(_xlfn.IFS(Table1[[#This Row],[Payment Status]]="Partial","In Transit",Table1[[#This Row],[Payment Status]]="Paid","Completed",Table1[[#This Row],[Payment Status]]="Pending","Pending"),"Invalid Input")</f>
        <v>In Transit</v>
      </c>
    </row>
    <row r="443" spans="1:21" x14ac:dyDescent="0.25">
      <c r="A443" s="4" t="s">
        <v>903</v>
      </c>
      <c r="B443" s="5">
        <v>45445</v>
      </c>
      <c r="C443" t="s">
        <v>41</v>
      </c>
      <c r="D443" t="s">
        <v>3270</v>
      </c>
      <c r="E443" t="s">
        <v>38</v>
      </c>
      <c r="F443" t="s">
        <v>3218</v>
      </c>
      <c r="G443" t="s">
        <v>39</v>
      </c>
      <c r="H443" t="str">
        <f>VLOOKUP(Table1[[#This Row],[City]],Table6[#All],2,FALSE)</f>
        <v>West</v>
      </c>
      <c r="I443" t="s">
        <v>53</v>
      </c>
      <c r="J443" t="str">
        <f>_xlfn.XLOOKUP(Table1[[#This Row],[Tractor Model]],Table7[Product Model],Table7[Product Category],"Not Available",0)</f>
        <v>Farmtrac</v>
      </c>
      <c r="K443" s="4">
        <v>0</v>
      </c>
      <c r="L443" s="72">
        <v>821405</v>
      </c>
      <c r="M443" s="4">
        <f>INDEX('Master Sheet'!$C$4:$C$12,MATCH(Table1[[#This Row],[Quantity]],'Master Sheet'!$B$4:$B$12,0))</f>
        <v>0</v>
      </c>
      <c r="N443" s="71">
        <f>Table1[[#This Row],[Quantity]]*Table1[[#This Row],[Unit Price]]</f>
        <v>0</v>
      </c>
      <c r="O443" s="73">
        <v>0</v>
      </c>
      <c r="P443" s="70">
        <f>Table1[[#This Row],[Gross Amount]]*(1-(Table1[[#This Row],[Discount %]]/100))</f>
        <v>0</v>
      </c>
      <c r="Q443" s="74">
        <f>(Table1[[#This Row],[Gross Amount]]*(1-(Table1[[#This Row],[Discount %]]/100)))/10000000</f>
        <v>0</v>
      </c>
      <c r="R443" t="s">
        <v>42</v>
      </c>
      <c r="S443" t="str" cm="1">
        <f t="array" ref="S443">IFERROR(_xlfn.IFS(Table1[[#This Row],[Payment Status]]="Partial","In Transit",Table1[[#This Row],[Payment Status]]="Paid","Delivered",Table1[[#This Row],[Payment Status]]="Pending","Pending"),"Invalid Input")</f>
        <v>Pending</v>
      </c>
      <c r="T443" t="s">
        <v>27</v>
      </c>
      <c r="U443" t="str" cm="1">
        <f t="array" ref="U443">IFERROR(_xlfn.IFS(Table1[[#This Row],[Payment Status]]="Partial","In Transit",Table1[[#This Row],[Payment Status]]="Paid","Completed",Table1[[#This Row],[Payment Status]]="Pending","Pending"),"Invalid Input")</f>
        <v>Pending</v>
      </c>
    </row>
    <row r="444" spans="1:21" x14ac:dyDescent="0.25">
      <c r="A444" s="4" t="s">
        <v>905</v>
      </c>
      <c r="B444" s="5">
        <v>45454</v>
      </c>
      <c r="C444" t="s">
        <v>33</v>
      </c>
      <c r="D444" t="s">
        <v>37</v>
      </c>
      <c r="E444" t="s">
        <v>38</v>
      </c>
      <c r="F444" t="s">
        <v>3214</v>
      </c>
      <c r="G444" t="s">
        <v>39</v>
      </c>
      <c r="H444" t="str">
        <f>VLOOKUP(Table1[[#This Row],[City]],Table6[#All],2,FALSE)</f>
        <v>West</v>
      </c>
      <c r="I444" t="s">
        <v>3204</v>
      </c>
      <c r="J444" t="str">
        <f>_xlfn.XLOOKUP(Table1[[#This Row],[Tractor Model]],Table7[Product Model],Table7[Product Category],"Not Available",0)</f>
        <v>Kubota</v>
      </c>
      <c r="K444" s="4">
        <v>4</v>
      </c>
      <c r="L444" s="72">
        <v>430852</v>
      </c>
      <c r="M444" s="4">
        <f>INDEX('Master Sheet'!$C$4:$C$12,MATCH(Table1[[#This Row],[Quantity]],'Master Sheet'!$B$4:$B$12,0))</f>
        <v>6</v>
      </c>
      <c r="N444" s="71">
        <f>Table1[[#This Row],[Quantity]]*Table1[[#This Row],[Unit Price]]</f>
        <v>1723408</v>
      </c>
      <c r="O444" s="73">
        <v>0.17234079999999999</v>
      </c>
      <c r="P444" s="70">
        <f>Table1[[#This Row],[Gross Amount]]*(1-(Table1[[#This Row],[Discount %]]/100))</f>
        <v>1620003.52</v>
      </c>
      <c r="Q444" s="74">
        <f>(Table1[[#This Row],[Gross Amount]]*(1-(Table1[[#This Row],[Discount %]]/100)))/10000000</f>
        <v>0.16200035200000001</v>
      </c>
      <c r="R444" t="s">
        <v>54</v>
      </c>
      <c r="S444" t="str" cm="1">
        <f t="array" ref="S444">IFERROR(_xlfn.IFS(Table1[[#This Row],[Payment Status]]="Partial","In Transit",Table1[[#This Row],[Payment Status]]="Paid","Delivered",Table1[[#This Row],[Payment Status]]="Pending","Pending"),"Invalid Input")</f>
        <v>Delivered</v>
      </c>
      <c r="T444" t="s">
        <v>44</v>
      </c>
      <c r="U444" t="str" cm="1">
        <f t="array" ref="U444">IFERROR(_xlfn.IFS(Table1[[#This Row],[Payment Status]]="Partial","In Transit",Table1[[#This Row],[Payment Status]]="Paid","Completed",Table1[[#This Row],[Payment Status]]="Pending","Pending"),"Invalid Input")</f>
        <v>Completed</v>
      </c>
    </row>
    <row r="445" spans="1:21" x14ac:dyDescent="0.25">
      <c r="A445" s="4" t="s">
        <v>907</v>
      </c>
      <c r="B445" s="5">
        <v>45352</v>
      </c>
      <c r="C445" t="s">
        <v>41</v>
      </c>
      <c r="D445" t="s">
        <v>3271</v>
      </c>
      <c r="E445" t="s">
        <v>119</v>
      </c>
      <c r="F445" t="s">
        <v>3228</v>
      </c>
      <c r="G445" t="s">
        <v>21</v>
      </c>
      <c r="H445" t="str">
        <f>VLOOKUP(Table1[[#This Row],[City]],Table6[#All],2,FALSE)</f>
        <v>North</v>
      </c>
      <c r="I445" t="s">
        <v>24</v>
      </c>
      <c r="J445" t="str">
        <f>_xlfn.XLOOKUP(Table1[[#This Row],[Tractor Model]],Table7[Product Model],Table7[Product Category],"Not Available",0)</f>
        <v>Farmtrac</v>
      </c>
      <c r="K445" s="4">
        <v>2</v>
      </c>
      <c r="L445" s="72">
        <v>347042</v>
      </c>
      <c r="M445" s="4">
        <f>INDEX('Master Sheet'!$C$4:$C$12,MATCH(Table1[[#This Row],[Quantity]],'Master Sheet'!$B$4:$B$12,0))</f>
        <v>5</v>
      </c>
      <c r="N445" s="71">
        <f>Table1[[#This Row],[Quantity]]*Table1[[#This Row],[Unit Price]]</f>
        <v>694084</v>
      </c>
      <c r="O445" s="73">
        <v>6.9408399999999995E-2</v>
      </c>
      <c r="P445" s="70">
        <f>Table1[[#This Row],[Gross Amount]]*(1-(Table1[[#This Row],[Discount %]]/100))</f>
        <v>659379.79999999993</v>
      </c>
      <c r="Q445" s="74">
        <f>(Table1[[#This Row],[Gross Amount]]*(1-(Table1[[#This Row],[Discount %]]/100)))/10000000</f>
        <v>6.5937979999999993E-2</v>
      </c>
      <c r="R445" t="s">
        <v>54</v>
      </c>
      <c r="S445" t="str" cm="1">
        <f t="array" ref="S445">IFERROR(_xlfn.IFS(Table1[[#This Row],[Payment Status]]="Partial","In Transit",Table1[[#This Row],[Payment Status]]="Paid","Delivered",Table1[[#This Row],[Payment Status]]="Pending","Pending"),"Invalid Input")</f>
        <v>Delivered</v>
      </c>
      <c r="T445" t="s">
        <v>27</v>
      </c>
      <c r="U445" t="str" cm="1">
        <f t="array" ref="U445">IFERROR(_xlfn.IFS(Table1[[#This Row],[Payment Status]]="Partial","In Transit",Table1[[#This Row],[Payment Status]]="Paid","Completed",Table1[[#This Row],[Payment Status]]="Pending","Pending"),"Invalid Input")</f>
        <v>Completed</v>
      </c>
    </row>
    <row r="446" spans="1:21" x14ac:dyDescent="0.25">
      <c r="A446" s="4" t="s">
        <v>909</v>
      </c>
      <c r="B446" s="5">
        <v>45636</v>
      </c>
      <c r="C446" t="s">
        <v>62</v>
      </c>
      <c r="D446" t="s">
        <v>3270</v>
      </c>
      <c r="E446" t="s">
        <v>30</v>
      </c>
      <c r="F446" t="s">
        <v>3223</v>
      </c>
      <c r="G446" t="s">
        <v>31</v>
      </c>
      <c r="H446" t="str">
        <f>VLOOKUP(Table1[[#This Row],[City]],Table6[#All],2,FALSE)</f>
        <v>South</v>
      </c>
      <c r="I446" t="s">
        <v>53</v>
      </c>
      <c r="J446" t="str">
        <f>_xlfn.XLOOKUP(Table1[[#This Row],[Tractor Model]],Table7[Product Model],Table7[Product Category],"Not Available",0)</f>
        <v>Farmtrac</v>
      </c>
      <c r="K446" s="4">
        <v>7</v>
      </c>
      <c r="L446" s="72">
        <v>264705</v>
      </c>
      <c r="M446" s="4">
        <f>INDEX('Master Sheet'!$C$4:$C$12,MATCH(Table1[[#This Row],[Quantity]],'Master Sheet'!$B$4:$B$12,0))</f>
        <v>9</v>
      </c>
      <c r="N446" s="71">
        <f>Table1[[#This Row],[Quantity]]*Table1[[#This Row],[Unit Price]]</f>
        <v>1852935</v>
      </c>
      <c r="O446" s="73">
        <v>0.1852935</v>
      </c>
      <c r="P446" s="70">
        <f>Table1[[#This Row],[Gross Amount]]*(1-(Table1[[#This Row],[Discount %]]/100))</f>
        <v>1686170.85</v>
      </c>
      <c r="Q446" s="74">
        <f>(Table1[[#This Row],[Gross Amount]]*(1-(Table1[[#This Row],[Discount %]]/100)))/10000000</f>
        <v>0.168617085</v>
      </c>
      <c r="R446" t="s">
        <v>54</v>
      </c>
      <c r="S446" t="str" cm="1">
        <f t="array" ref="S446">IFERROR(_xlfn.IFS(Table1[[#This Row],[Payment Status]]="Partial","In Transit",Table1[[#This Row],[Payment Status]]="Paid","Delivered",Table1[[#This Row],[Payment Status]]="Pending","Pending"),"Invalid Input")</f>
        <v>Delivered</v>
      </c>
      <c r="T446" t="s">
        <v>44</v>
      </c>
      <c r="U446" t="str" cm="1">
        <f t="array" ref="U446">IFERROR(_xlfn.IFS(Table1[[#This Row],[Payment Status]]="Partial","In Transit",Table1[[#This Row],[Payment Status]]="Paid","Completed",Table1[[#This Row],[Payment Status]]="Pending","Pending"),"Invalid Input")</f>
        <v>Completed</v>
      </c>
    </row>
    <row r="447" spans="1:21" x14ac:dyDescent="0.25">
      <c r="A447" s="4" t="s">
        <v>911</v>
      </c>
      <c r="B447" s="5">
        <v>45458</v>
      </c>
      <c r="C447" t="s">
        <v>73</v>
      </c>
      <c r="D447" t="s">
        <v>3271</v>
      </c>
      <c r="E447" t="s">
        <v>47</v>
      </c>
      <c r="F447" t="s">
        <v>3221</v>
      </c>
      <c r="G447" t="s">
        <v>48</v>
      </c>
      <c r="H447" t="str">
        <f>VLOOKUP(Table1[[#This Row],[City]],Table6[#All],2,FALSE)</f>
        <v>North</v>
      </c>
      <c r="I447" t="s">
        <v>58</v>
      </c>
      <c r="J447" t="str">
        <f>_xlfn.XLOOKUP(Table1[[#This Row],[Tractor Model]],Table7[Product Model],Table7[Product Category],"Not Available",0)</f>
        <v>Powertrac</v>
      </c>
      <c r="K447" s="4">
        <v>8</v>
      </c>
      <c r="L447" s="72">
        <v>145011</v>
      </c>
      <c r="M447" s="4">
        <f>INDEX('Master Sheet'!$C$4:$C$12,MATCH(Table1[[#This Row],[Quantity]],'Master Sheet'!$B$4:$B$12,0))</f>
        <v>9</v>
      </c>
      <c r="N447" s="71">
        <f>Table1[[#This Row],[Quantity]]*Table1[[#This Row],[Unit Price]]</f>
        <v>1160088</v>
      </c>
      <c r="O447" s="73">
        <v>0.1160088</v>
      </c>
      <c r="P447" s="70">
        <f>Table1[[#This Row],[Gross Amount]]*(1-(Table1[[#This Row],[Discount %]]/100))</f>
        <v>1055680.08</v>
      </c>
      <c r="Q447" s="74">
        <f>(Table1[[#This Row],[Gross Amount]]*(1-(Table1[[#This Row],[Discount %]]/100)))/10000000</f>
        <v>0.105568008</v>
      </c>
      <c r="R447" t="s">
        <v>54</v>
      </c>
      <c r="S447" t="str" cm="1">
        <f t="array" ref="S447">IFERROR(_xlfn.IFS(Table1[[#This Row],[Payment Status]]="Partial","In Transit",Table1[[#This Row],[Payment Status]]="Paid","Delivered",Table1[[#This Row],[Payment Status]]="Pending","Pending"),"Invalid Input")</f>
        <v>Delivered</v>
      </c>
      <c r="T447" t="s">
        <v>27</v>
      </c>
      <c r="U447" t="str" cm="1">
        <f t="array" ref="U447">IFERROR(_xlfn.IFS(Table1[[#This Row],[Payment Status]]="Partial","In Transit",Table1[[#This Row],[Payment Status]]="Paid","Completed",Table1[[#This Row],[Payment Status]]="Pending","Pending"),"Invalid Input")</f>
        <v>Completed</v>
      </c>
    </row>
    <row r="448" spans="1:21" x14ac:dyDescent="0.25">
      <c r="A448" s="4" t="s">
        <v>912</v>
      </c>
      <c r="B448" s="5">
        <v>45292</v>
      </c>
      <c r="C448" t="s">
        <v>52</v>
      </c>
      <c r="D448" t="s">
        <v>3269</v>
      </c>
      <c r="E448" t="s">
        <v>66</v>
      </c>
      <c r="F448" t="s">
        <v>3213</v>
      </c>
      <c r="G448" t="s">
        <v>67</v>
      </c>
      <c r="H448" t="str">
        <f>VLOOKUP(Table1[[#This Row],[City]],Table6[#All],2,FALSE)</f>
        <v>East</v>
      </c>
      <c r="I448" t="s">
        <v>53</v>
      </c>
      <c r="J448" t="str">
        <f>_xlfn.XLOOKUP(Table1[[#This Row],[Tractor Model]],Table7[Product Model],Table7[Product Category],"Not Available",0)</f>
        <v>Farmtrac</v>
      </c>
      <c r="K448" s="4">
        <v>2</v>
      </c>
      <c r="L448" s="72">
        <v>96489</v>
      </c>
      <c r="M448" s="4">
        <f>INDEX('Master Sheet'!$C$4:$C$12,MATCH(Table1[[#This Row],[Quantity]],'Master Sheet'!$B$4:$B$12,0))</f>
        <v>5</v>
      </c>
      <c r="N448" s="71">
        <f>Table1[[#This Row],[Quantity]]*Table1[[#This Row],[Unit Price]]</f>
        <v>192978</v>
      </c>
      <c r="O448" s="73">
        <v>1.92978E-2</v>
      </c>
      <c r="P448" s="70">
        <f>Table1[[#This Row],[Gross Amount]]*(1-(Table1[[#This Row],[Discount %]]/100))</f>
        <v>183329.1</v>
      </c>
      <c r="Q448" s="74">
        <f>(Table1[[#This Row],[Gross Amount]]*(1-(Table1[[#This Row],[Discount %]]/100)))/10000000</f>
        <v>1.8332910000000001E-2</v>
      </c>
      <c r="R448" t="s">
        <v>42</v>
      </c>
      <c r="S448" t="str" cm="1">
        <f t="array" ref="S448">IFERROR(_xlfn.IFS(Table1[[#This Row],[Payment Status]]="Partial","In Transit",Table1[[#This Row],[Payment Status]]="Paid","Delivered",Table1[[#This Row],[Payment Status]]="Pending","Pending"),"Invalid Input")</f>
        <v>Pending</v>
      </c>
      <c r="T448" t="s">
        <v>27</v>
      </c>
      <c r="U448" t="str" cm="1">
        <f t="array" ref="U448">IFERROR(_xlfn.IFS(Table1[[#This Row],[Payment Status]]="Partial","In Transit",Table1[[#This Row],[Payment Status]]="Paid","Completed",Table1[[#This Row],[Payment Status]]="Pending","Pending"),"Invalid Input")</f>
        <v>Pending</v>
      </c>
    </row>
    <row r="449" spans="1:21" x14ac:dyDescent="0.25">
      <c r="A449" s="4" t="s">
        <v>914</v>
      </c>
      <c r="B449" s="5">
        <v>45750</v>
      </c>
      <c r="C449" t="s">
        <v>52</v>
      </c>
      <c r="D449" t="s">
        <v>3268</v>
      </c>
      <c r="E449" t="s">
        <v>119</v>
      </c>
      <c r="F449" t="s">
        <v>3227</v>
      </c>
      <c r="G449" t="s">
        <v>21</v>
      </c>
      <c r="H449" t="str">
        <f>VLOOKUP(Table1[[#This Row],[City]],Table6[#All],2,FALSE)</f>
        <v>North</v>
      </c>
      <c r="I449" t="s">
        <v>3204</v>
      </c>
      <c r="J449" t="str">
        <f>_xlfn.XLOOKUP(Table1[[#This Row],[Tractor Model]],Table7[Product Model],Table7[Product Category],"Not Available",0)</f>
        <v>Kubota</v>
      </c>
      <c r="K449" s="4">
        <v>7</v>
      </c>
      <c r="L449" s="72">
        <v>628780</v>
      </c>
      <c r="M449" s="4">
        <f>INDEX('Master Sheet'!$C$4:$C$12,MATCH(Table1[[#This Row],[Quantity]],'Master Sheet'!$B$4:$B$12,0))</f>
        <v>9</v>
      </c>
      <c r="N449" s="71">
        <f>Table1[[#This Row],[Quantity]]*Table1[[#This Row],[Unit Price]]</f>
        <v>4401460</v>
      </c>
      <c r="O449" s="73">
        <v>0.44014599999999998</v>
      </c>
      <c r="P449" s="70">
        <f>Table1[[#This Row],[Gross Amount]]*(1-(Table1[[#This Row],[Discount %]]/100))</f>
        <v>4005328.6</v>
      </c>
      <c r="Q449" s="74">
        <f>(Table1[[#This Row],[Gross Amount]]*(1-(Table1[[#This Row],[Discount %]]/100)))/10000000</f>
        <v>0.40053285999999999</v>
      </c>
      <c r="R449" t="s">
        <v>42</v>
      </c>
      <c r="S449" t="str" cm="1">
        <f t="array" ref="S449">IFERROR(_xlfn.IFS(Table1[[#This Row],[Payment Status]]="Partial","In Transit",Table1[[#This Row],[Payment Status]]="Paid","Delivered",Table1[[#This Row],[Payment Status]]="Pending","Pending"),"Invalid Input")</f>
        <v>Pending</v>
      </c>
      <c r="T449" t="s">
        <v>27</v>
      </c>
      <c r="U449" t="str" cm="1">
        <f t="array" ref="U449">IFERROR(_xlfn.IFS(Table1[[#This Row],[Payment Status]]="Partial","In Transit",Table1[[#This Row],[Payment Status]]="Paid","Completed",Table1[[#This Row],[Payment Status]]="Pending","Pending"),"Invalid Input")</f>
        <v>Pending</v>
      </c>
    </row>
    <row r="450" spans="1:21" x14ac:dyDescent="0.25">
      <c r="A450" s="4" t="s">
        <v>916</v>
      </c>
      <c r="B450" s="5">
        <v>45628</v>
      </c>
      <c r="C450" t="s">
        <v>62</v>
      </c>
      <c r="D450" t="s">
        <v>3269</v>
      </c>
      <c r="E450" t="s">
        <v>66</v>
      </c>
      <c r="F450" t="s">
        <v>3213</v>
      </c>
      <c r="G450" t="s">
        <v>67</v>
      </c>
      <c r="H450" t="str">
        <f>VLOOKUP(Table1[[#This Row],[City]],Table6[#All],2,FALSE)</f>
        <v>East</v>
      </c>
      <c r="I450" t="s">
        <v>58</v>
      </c>
      <c r="J450" t="str">
        <f>_xlfn.XLOOKUP(Table1[[#This Row],[Tractor Model]],Table7[Product Model],Table7[Product Category],"Not Available",0)</f>
        <v>Powertrac</v>
      </c>
      <c r="K450" s="4">
        <v>1</v>
      </c>
      <c r="L450" s="72">
        <v>213350</v>
      </c>
      <c r="M450" s="4">
        <f>INDEX('Master Sheet'!$C$4:$C$12,MATCH(Table1[[#This Row],[Quantity]],'Master Sheet'!$B$4:$B$12,0))</f>
        <v>3</v>
      </c>
      <c r="N450" s="71">
        <f>Table1[[#This Row],[Quantity]]*Table1[[#This Row],[Unit Price]]</f>
        <v>213350</v>
      </c>
      <c r="O450" s="73">
        <v>2.1335E-2</v>
      </c>
      <c r="P450" s="70">
        <f>Table1[[#This Row],[Gross Amount]]*(1-(Table1[[#This Row],[Discount %]]/100))</f>
        <v>206949.5</v>
      </c>
      <c r="Q450" s="74">
        <f>(Table1[[#This Row],[Gross Amount]]*(1-(Table1[[#This Row],[Discount %]]/100)))/10000000</f>
        <v>2.069495E-2</v>
      </c>
      <c r="R450" t="s">
        <v>54</v>
      </c>
      <c r="S450" t="str" cm="1">
        <f t="array" ref="S450">IFERROR(_xlfn.IFS(Table1[[#This Row],[Payment Status]]="Partial","In Transit",Table1[[#This Row],[Payment Status]]="Paid","Delivered",Table1[[#This Row],[Payment Status]]="Pending","Pending"),"Invalid Input")</f>
        <v>Delivered</v>
      </c>
      <c r="T450" t="s">
        <v>44</v>
      </c>
      <c r="U450" t="str" cm="1">
        <f t="array" ref="U450">IFERROR(_xlfn.IFS(Table1[[#This Row],[Payment Status]]="Partial","In Transit",Table1[[#This Row],[Payment Status]]="Paid","Completed",Table1[[#This Row],[Payment Status]]="Pending","Pending"),"Invalid Input")</f>
        <v>Completed</v>
      </c>
    </row>
    <row r="451" spans="1:21" x14ac:dyDescent="0.25">
      <c r="A451" s="4" t="s">
        <v>918</v>
      </c>
      <c r="B451" s="5">
        <v>45429</v>
      </c>
      <c r="C451" t="s">
        <v>33</v>
      </c>
      <c r="D451" t="s">
        <v>3269</v>
      </c>
      <c r="E451" t="s">
        <v>119</v>
      </c>
      <c r="F451" t="s">
        <v>3229</v>
      </c>
      <c r="G451" t="s">
        <v>21</v>
      </c>
      <c r="H451" t="str">
        <f>VLOOKUP(Table1[[#This Row],[City]],Table6[#All],2,FALSE)</f>
        <v>North</v>
      </c>
      <c r="I451" t="s">
        <v>58</v>
      </c>
      <c r="J451" t="str">
        <f>_xlfn.XLOOKUP(Table1[[#This Row],[Tractor Model]],Table7[Product Model],Table7[Product Category],"Not Available",0)</f>
        <v>Powertrac</v>
      </c>
      <c r="K451" s="4">
        <v>6</v>
      </c>
      <c r="L451" s="72">
        <v>56254</v>
      </c>
      <c r="M451" s="4">
        <f>INDEX('Master Sheet'!$C$4:$C$12,MATCH(Table1[[#This Row],[Quantity]],'Master Sheet'!$B$4:$B$12,0))</f>
        <v>8</v>
      </c>
      <c r="N451" s="71">
        <f>Table1[[#This Row],[Quantity]]*Table1[[#This Row],[Unit Price]]</f>
        <v>337524</v>
      </c>
      <c r="O451" s="73">
        <v>3.3752400000000002E-2</v>
      </c>
      <c r="P451" s="70">
        <f>Table1[[#This Row],[Gross Amount]]*(1-(Table1[[#This Row],[Discount %]]/100))</f>
        <v>310522.08</v>
      </c>
      <c r="Q451" s="74">
        <f>(Table1[[#This Row],[Gross Amount]]*(1-(Table1[[#This Row],[Discount %]]/100)))/10000000</f>
        <v>3.1052208000000001E-2</v>
      </c>
      <c r="R451" t="s">
        <v>54</v>
      </c>
      <c r="S451" t="str" cm="1">
        <f t="array" ref="S451">IFERROR(_xlfn.IFS(Table1[[#This Row],[Payment Status]]="Partial","In Transit",Table1[[#This Row],[Payment Status]]="Paid","Delivered",Table1[[#This Row],[Payment Status]]="Pending","Pending"),"Invalid Input")</f>
        <v>Delivered</v>
      </c>
      <c r="T451" t="s">
        <v>27</v>
      </c>
      <c r="U451" t="str" cm="1">
        <f t="array" ref="U451">IFERROR(_xlfn.IFS(Table1[[#This Row],[Payment Status]]="Partial","In Transit",Table1[[#This Row],[Payment Status]]="Paid","Completed",Table1[[#This Row],[Payment Status]]="Pending","Pending"),"Invalid Input")</f>
        <v>Completed</v>
      </c>
    </row>
    <row r="452" spans="1:21" x14ac:dyDescent="0.25">
      <c r="A452" s="4" t="s">
        <v>920</v>
      </c>
      <c r="B452" s="5">
        <v>45467</v>
      </c>
      <c r="C452" t="s">
        <v>33</v>
      </c>
      <c r="D452" t="s">
        <v>3269</v>
      </c>
      <c r="E452" t="s">
        <v>30</v>
      </c>
      <c r="F452" t="s">
        <v>3225</v>
      </c>
      <c r="G452" t="s">
        <v>31</v>
      </c>
      <c r="H452" t="str">
        <f>VLOOKUP(Table1[[#This Row],[City]],Table6[#All],2,FALSE)</f>
        <v>South</v>
      </c>
      <c r="I452" t="s">
        <v>3204</v>
      </c>
      <c r="J452" t="str">
        <f>_xlfn.XLOOKUP(Table1[[#This Row],[Tractor Model]],Table7[Product Model],Table7[Product Category],"Not Available",0)</f>
        <v>Kubota</v>
      </c>
      <c r="K452" s="4">
        <v>3</v>
      </c>
      <c r="L452" s="72">
        <v>862954</v>
      </c>
      <c r="M452" s="4">
        <f>INDEX('Master Sheet'!$C$4:$C$12,MATCH(Table1[[#This Row],[Quantity]],'Master Sheet'!$B$4:$B$12,0))</f>
        <v>6</v>
      </c>
      <c r="N452" s="71">
        <f>Table1[[#This Row],[Quantity]]*Table1[[#This Row],[Unit Price]]</f>
        <v>2588862</v>
      </c>
      <c r="O452" s="73">
        <v>0.25888620000000001</v>
      </c>
      <c r="P452" s="70">
        <f>Table1[[#This Row],[Gross Amount]]*(1-(Table1[[#This Row],[Discount %]]/100))</f>
        <v>2433530.2799999998</v>
      </c>
      <c r="Q452" s="74">
        <f>(Table1[[#This Row],[Gross Amount]]*(1-(Table1[[#This Row],[Discount %]]/100)))/10000000</f>
        <v>0.24335302799999997</v>
      </c>
      <c r="R452" t="s">
        <v>42</v>
      </c>
      <c r="S452" t="str" cm="1">
        <f t="array" ref="S452">IFERROR(_xlfn.IFS(Table1[[#This Row],[Payment Status]]="Partial","In Transit",Table1[[#This Row],[Payment Status]]="Paid","Delivered",Table1[[#This Row],[Payment Status]]="Pending","Pending"),"Invalid Input")</f>
        <v>Pending</v>
      </c>
      <c r="T452" t="s">
        <v>27</v>
      </c>
      <c r="U452" t="str" cm="1">
        <f t="array" ref="U452">IFERROR(_xlfn.IFS(Table1[[#This Row],[Payment Status]]="Partial","In Transit",Table1[[#This Row],[Payment Status]]="Paid","Completed",Table1[[#This Row],[Payment Status]]="Pending","Pending"),"Invalid Input")</f>
        <v>Pending</v>
      </c>
    </row>
    <row r="453" spans="1:21" x14ac:dyDescent="0.25">
      <c r="A453" s="4" t="s">
        <v>922</v>
      </c>
      <c r="B453" s="5">
        <v>45712</v>
      </c>
      <c r="C453" t="s">
        <v>41</v>
      </c>
      <c r="D453" t="s">
        <v>3271</v>
      </c>
      <c r="E453" t="s">
        <v>119</v>
      </c>
      <c r="F453" t="s">
        <v>3228</v>
      </c>
      <c r="G453" t="s">
        <v>21</v>
      </c>
      <c r="H453" t="str">
        <f>VLOOKUP(Table1[[#This Row],[City]],Table6[#All],2,FALSE)</f>
        <v>North</v>
      </c>
      <c r="I453" t="s">
        <v>58</v>
      </c>
      <c r="J453" t="str">
        <f>_xlfn.XLOOKUP(Table1[[#This Row],[Tractor Model]],Table7[Product Model],Table7[Product Category],"Not Available",0)</f>
        <v>Powertrac</v>
      </c>
      <c r="K453" s="4">
        <v>5</v>
      </c>
      <c r="L453" s="72">
        <v>788109</v>
      </c>
      <c r="M453" s="4">
        <f>INDEX('Master Sheet'!$C$4:$C$12,MATCH(Table1[[#This Row],[Quantity]],'Master Sheet'!$B$4:$B$12,0))</f>
        <v>7</v>
      </c>
      <c r="N453" s="71">
        <f>Table1[[#This Row],[Quantity]]*Table1[[#This Row],[Unit Price]]</f>
        <v>3940545</v>
      </c>
      <c r="O453" s="73">
        <v>0.39405449999999997</v>
      </c>
      <c r="P453" s="70">
        <f>Table1[[#This Row],[Gross Amount]]*(1-(Table1[[#This Row],[Discount %]]/100))</f>
        <v>3664706.8499999996</v>
      </c>
      <c r="Q453" s="74">
        <f>(Table1[[#This Row],[Gross Amount]]*(1-(Table1[[#This Row],[Discount %]]/100)))/10000000</f>
        <v>0.36647068499999996</v>
      </c>
      <c r="R453" t="s">
        <v>54</v>
      </c>
      <c r="S453" t="str" cm="1">
        <f t="array" ref="S453">IFERROR(_xlfn.IFS(Table1[[#This Row],[Payment Status]]="Partial","In Transit",Table1[[#This Row],[Payment Status]]="Paid","Delivered",Table1[[#This Row],[Payment Status]]="Pending","Pending"),"Invalid Input")</f>
        <v>Delivered</v>
      </c>
      <c r="T453" t="s">
        <v>27</v>
      </c>
      <c r="U453" t="str" cm="1">
        <f t="array" ref="U453">IFERROR(_xlfn.IFS(Table1[[#This Row],[Payment Status]]="Partial","In Transit",Table1[[#This Row],[Payment Status]]="Paid","Completed",Table1[[#This Row],[Payment Status]]="Pending","Pending"),"Invalid Input")</f>
        <v>Completed</v>
      </c>
    </row>
    <row r="454" spans="1:21" x14ac:dyDescent="0.25">
      <c r="A454" s="4" t="s">
        <v>924</v>
      </c>
      <c r="B454" s="5">
        <v>45312</v>
      </c>
      <c r="C454" t="s">
        <v>33</v>
      </c>
      <c r="D454" t="s">
        <v>3271</v>
      </c>
      <c r="E454" t="s">
        <v>30</v>
      </c>
      <c r="F454" t="s">
        <v>3217</v>
      </c>
      <c r="G454" t="s">
        <v>31</v>
      </c>
      <c r="H454" t="str">
        <f>VLOOKUP(Table1[[#This Row],[City]],Table6[#All],2,FALSE)</f>
        <v>South</v>
      </c>
      <c r="I454" t="s">
        <v>58</v>
      </c>
      <c r="J454" t="str">
        <f>_xlfn.XLOOKUP(Table1[[#This Row],[Tractor Model]],Table7[Product Model],Table7[Product Category],"Not Available",0)</f>
        <v>Powertrac</v>
      </c>
      <c r="K454" s="4">
        <v>3</v>
      </c>
      <c r="L454" s="72">
        <v>810472</v>
      </c>
      <c r="M454" s="4">
        <f>INDEX('Master Sheet'!$C$4:$C$12,MATCH(Table1[[#This Row],[Quantity]],'Master Sheet'!$B$4:$B$12,0))</f>
        <v>6</v>
      </c>
      <c r="N454" s="71">
        <f>Table1[[#This Row],[Quantity]]*Table1[[#This Row],[Unit Price]]</f>
        <v>2431416</v>
      </c>
      <c r="O454" s="73">
        <v>0.24314160000000001</v>
      </c>
      <c r="P454" s="70">
        <f>Table1[[#This Row],[Gross Amount]]*(1-(Table1[[#This Row],[Discount %]]/100))</f>
        <v>2285531.04</v>
      </c>
      <c r="Q454" s="74">
        <f>(Table1[[#This Row],[Gross Amount]]*(1-(Table1[[#This Row],[Discount %]]/100)))/10000000</f>
        <v>0.22855310400000001</v>
      </c>
      <c r="R454" t="s">
        <v>42</v>
      </c>
      <c r="S454" t="str" cm="1">
        <f t="array" ref="S454">IFERROR(_xlfn.IFS(Table1[[#This Row],[Payment Status]]="Partial","In Transit",Table1[[#This Row],[Payment Status]]="Paid","Delivered",Table1[[#This Row],[Payment Status]]="Pending","Pending"),"Invalid Input")</f>
        <v>Pending</v>
      </c>
      <c r="T454" t="s">
        <v>27</v>
      </c>
      <c r="U454" t="str" cm="1">
        <f t="array" ref="U454">IFERROR(_xlfn.IFS(Table1[[#This Row],[Payment Status]]="Partial","In Transit",Table1[[#This Row],[Payment Status]]="Paid","Completed",Table1[[#This Row],[Payment Status]]="Pending","Pending"),"Invalid Input")</f>
        <v>Pending</v>
      </c>
    </row>
    <row r="455" spans="1:21" x14ac:dyDescent="0.25">
      <c r="A455" s="4" t="s">
        <v>926</v>
      </c>
      <c r="B455" s="5">
        <v>45597</v>
      </c>
      <c r="C455" t="s">
        <v>33</v>
      </c>
      <c r="D455" t="s">
        <v>3268</v>
      </c>
      <c r="E455" t="s">
        <v>119</v>
      </c>
      <c r="F455" t="s">
        <v>3227</v>
      </c>
      <c r="G455" t="s">
        <v>21</v>
      </c>
      <c r="H455" t="str">
        <f>VLOOKUP(Table1[[#This Row],[City]],Table6[#All],2,FALSE)</f>
        <v>North</v>
      </c>
      <c r="I455" t="s">
        <v>58</v>
      </c>
      <c r="J455" t="str">
        <f>_xlfn.XLOOKUP(Table1[[#This Row],[Tractor Model]],Table7[Product Model],Table7[Product Category],"Not Available",0)</f>
        <v>Powertrac</v>
      </c>
      <c r="K455" s="4">
        <v>6</v>
      </c>
      <c r="L455" s="72">
        <v>869470</v>
      </c>
      <c r="M455" s="4">
        <f>INDEX('Master Sheet'!$C$4:$C$12,MATCH(Table1[[#This Row],[Quantity]],'Master Sheet'!$B$4:$B$12,0))</f>
        <v>8</v>
      </c>
      <c r="N455" s="71">
        <f>Table1[[#This Row],[Quantity]]*Table1[[#This Row],[Unit Price]]</f>
        <v>5216820</v>
      </c>
      <c r="O455" s="73">
        <v>0.52168199999999998</v>
      </c>
      <c r="P455" s="70">
        <f>Table1[[#This Row],[Gross Amount]]*(1-(Table1[[#This Row],[Discount %]]/100))</f>
        <v>4799474.4000000004</v>
      </c>
      <c r="Q455" s="74">
        <f>(Table1[[#This Row],[Gross Amount]]*(1-(Table1[[#This Row],[Discount %]]/100)))/10000000</f>
        <v>0.47994744000000006</v>
      </c>
      <c r="R455" t="s">
        <v>25</v>
      </c>
      <c r="S455" t="str" cm="1">
        <f t="array" ref="S455">IFERROR(_xlfn.IFS(Table1[[#This Row],[Payment Status]]="Partial","In Transit",Table1[[#This Row],[Payment Status]]="Paid","Delivered",Table1[[#This Row],[Payment Status]]="Pending","Pending"),"Invalid Input")</f>
        <v>In Transit</v>
      </c>
      <c r="T455" t="s">
        <v>27</v>
      </c>
      <c r="U455" t="str" cm="1">
        <f t="array" ref="U455">IFERROR(_xlfn.IFS(Table1[[#This Row],[Payment Status]]="Partial","In Transit",Table1[[#This Row],[Payment Status]]="Paid","Completed",Table1[[#This Row],[Payment Status]]="Pending","Pending"),"Invalid Input")</f>
        <v>In Transit</v>
      </c>
    </row>
    <row r="456" spans="1:21" x14ac:dyDescent="0.25">
      <c r="A456" s="4" t="s">
        <v>928</v>
      </c>
      <c r="B456" s="5">
        <v>45636</v>
      </c>
      <c r="C456" t="s">
        <v>41</v>
      </c>
      <c r="D456" t="s">
        <v>3270</v>
      </c>
      <c r="E456" t="s">
        <v>47</v>
      </c>
      <c r="F456" t="s">
        <v>3205</v>
      </c>
      <c r="G456" t="s">
        <v>48</v>
      </c>
      <c r="H456" t="str">
        <f>VLOOKUP(Table1[[#This Row],[City]],Table6[#All],2,FALSE)</f>
        <v>North</v>
      </c>
      <c r="I456" t="s">
        <v>3203</v>
      </c>
      <c r="J456" t="str">
        <f>_xlfn.XLOOKUP(Table1[[#This Row],[Tractor Model]],Table7[Product Model],Table7[Product Category],"Not Available",0)</f>
        <v>Kubota</v>
      </c>
      <c r="K456" s="4">
        <v>7</v>
      </c>
      <c r="L456" s="72">
        <v>311295</v>
      </c>
      <c r="M456" s="4">
        <f>INDEX('Master Sheet'!$C$4:$C$12,MATCH(Table1[[#This Row],[Quantity]],'Master Sheet'!$B$4:$B$12,0))</f>
        <v>9</v>
      </c>
      <c r="N456" s="71">
        <f>Table1[[#This Row],[Quantity]]*Table1[[#This Row],[Unit Price]]</f>
        <v>2179065</v>
      </c>
      <c r="O456" s="73">
        <v>0.2179065</v>
      </c>
      <c r="P456" s="70">
        <f>Table1[[#This Row],[Gross Amount]]*(1-(Table1[[#This Row],[Discount %]]/100))</f>
        <v>1982949.1500000001</v>
      </c>
      <c r="Q456" s="74">
        <f>(Table1[[#This Row],[Gross Amount]]*(1-(Table1[[#This Row],[Discount %]]/100)))/10000000</f>
        <v>0.19829491500000002</v>
      </c>
      <c r="R456" t="s">
        <v>25</v>
      </c>
      <c r="S456" t="str" cm="1">
        <f t="array" ref="S456">IFERROR(_xlfn.IFS(Table1[[#This Row],[Payment Status]]="Partial","In Transit",Table1[[#This Row],[Payment Status]]="Paid","Delivered",Table1[[#This Row],[Payment Status]]="Pending","Pending"),"Invalid Input")</f>
        <v>In Transit</v>
      </c>
      <c r="T456" t="s">
        <v>44</v>
      </c>
      <c r="U456" t="str" cm="1">
        <f t="array" ref="U456">IFERROR(_xlfn.IFS(Table1[[#This Row],[Payment Status]]="Partial","In Transit",Table1[[#This Row],[Payment Status]]="Paid","Completed",Table1[[#This Row],[Payment Status]]="Pending","Pending"),"Invalid Input")</f>
        <v>In Transit</v>
      </c>
    </row>
    <row r="457" spans="1:21" x14ac:dyDescent="0.25">
      <c r="A457" s="4" t="s">
        <v>930</v>
      </c>
      <c r="B457" s="5">
        <v>45321</v>
      </c>
      <c r="C457" t="s">
        <v>52</v>
      </c>
      <c r="D457" t="s">
        <v>37</v>
      </c>
      <c r="E457" t="s">
        <v>119</v>
      </c>
      <c r="F457" t="s">
        <v>3224</v>
      </c>
      <c r="G457" t="s">
        <v>21</v>
      </c>
      <c r="H457" t="str">
        <f>VLOOKUP(Table1[[#This Row],[City]],Table6[#All],2,FALSE)</f>
        <v>North</v>
      </c>
      <c r="I457" t="s">
        <v>58</v>
      </c>
      <c r="J457" t="str">
        <f>_xlfn.XLOOKUP(Table1[[#This Row],[Tractor Model]],Table7[Product Model],Table7[Product Category],"Not Available",0)</f>
        <v>Powertrac</v>
      </c>
      <c r="K457" s="4">
        <v>1</v>
      </c>
      <c r="L457" s="72">
        <v>151624</v>
      </c>
      <c r="M457" s="4">
        <f>INDEX('Master Sheet'!$C$4:$C$12,MATCH(Table1[[#This Row],[Quantity]],'Master Sheet'!$B$4:$B$12,0))</f>
        <v>3</v>
      </c>
      <c r="N457" s="71">
        <f>Table1[[#This Row],[Quantity]]*Table1[[#This Row],[Unit Price]]</f>
        <v>151624</v>
      </c>
      <c r="O457" s="73">
        <v>1.5162399999999999E-2</v>
      </c>
      <c r="P457" s="70">
        <f>Table1[[#This Row],[Gross Amount]]*(1-(Table1[[#This Row],[Discount %]]/100))</f>
        <v>147075.28</v>
      </c>
      <c r="Q457" s="74">
        <f>(Table1[[#This Row],[Gross Amount]]*(1-(Table1[[#This Row],[Discount %]]/100)))/10000000</f>
        <v>1.4707527999999999E-2</v>
      </c>
      <c r="R457" t="s">
        <v>42</v>
      </c>
      <c r="S457" t="str" cm="1">
        <f t="array" ref="S457">IFERROR(_xlfn.IFS(Table1[[#This Row],[Payment Status]]="Partial","In Transit",Table1[[#This Row],[Payment Status]]="Paid","Delivered",Table1[[#This Row],[Payment Status]]="Pending","Pending"),"Invalid Input")</f>
        <v>Pending</v>
      </c>
      <c r="T457" t="s">
        <v>44</v>
      </c>
      <c r="U457" t="str" cm="1">
        <f t="array" ref="U457">IFERROR(_xlfn.IFS(Table1[[#This Row],[Payment Status]]="Partial","In Transit",Table1[[#This Row],[Payment Status]]="Paid","Completed",Table1[[#This Row],[Payment Status]]="Pending","Pending"),"Invalid Input")</f>
        <v>Pending</v>
      </c>
    </row>
    <row r="458" spans="1:21" x14ac:dyDescent="0.25">
      <c r="A458" s="4" t="s">
        <v>932</v>
      </c>
      <c r="B458" s="5">
        <v>45561</v>
      </c>
      <c r="C458" t="s">
        <v>52</v>
      </c>
      <c r="D458" t="s">
        <v>3271</v>
      </c>
      <c r="E458" t="s">
        <v>119</v>
      </c>
      <c r="F458" t="s">
        <v>3228</v>
      </c>
      <c r="G458" t="s">
        <v>21</v>
      </c>
      <c r="H458" t="str">
        <f>VLOOKUP(Table1[[#This Row],[City]],Table6[#All],2,FALSE)</f>
        <v>North</v>
      </c>
      <c r="I458" t="s">
        <v>53</v>
      </c>
      <c r="J458" t="str">
        <f>_xlfn.XLOOKUP(Table1[[#This Row],[Tractor Model]],Table7[Product Model],Table7[Product Category],"Not Available",0)</f>
        <v>Farmtrac</v>
      </c>
      <c r="K458" s="4">
        <v>5</v>
      </c>
      <c r="L458" s="72">
        <v>318972</v>
      </c>
      <c r="M458" s="4">
        <f>INDEX('Master Sheet'!$C$4:$C$12,MATCH(Table1[[#This Row],[Quantity]],'Master Sheet'!$B$4:$B$12,0))</f>
        <v>7</v>
      </c>
      <c r="N458" s="71">
        <f>Table1[[#This Row],[Quantity]]*Table1[[#This Row],[Unit Price]]</f>
        <v>1594860</v>
      </c>
      <c r="O458" s="73">
        <v>0.15948599999999999</v>
      </c>
      <c r="P458" s="70">
        <f>Table1[[#This Row],[Gross Amount]]*(1-(Table1[[#This Row],[Discount %]]/100))</f>
        <v>1483219.7999999998</v>
      </c>
      <c r="Q458" s="74">
        <f>(Table1[[#This Row],[Gross Amount]]*(1-(Table1[[#This Row],[Discount %]]/100)))/10000000</f>
        <v>0.14832197999999999</v>
      </c>
      <c r="R458" t="s">
        <v>42</v>
      </c>
      <c r="S458" t="str" cm="1">
        <f t="array" ref="S458">IFERROR(_xlfn.IFS(Table1[[#This Row],[Payment Status]]="Partial","In Transit",Table1[[#This Row],[Payment Status]]="Paid","Delivered",Table1[[#This Row],[Payment Status]]="Pending","Pending"),"Invalid Input")</f>
        <v>Pending</v>
      </c>
      <c r="T458" t="s">
        <v>27</v>
      </c>
      <c r="U458" t="str" cm="1">
        <f t="array" ref="U458">IFERROR(_xlfn.IFS(Table1[[#This Row],[Payment Status]]="Partial","In Transit",Table1[[#This Row],[Payment Status]]="Paid","Completed",Table1[[#This Row],[Payment Status]]="Pending","Pending"),"Invalid Input")</f>
        <v>Pending</v>
      </c>
    </row>
    <row r="459" spans="1:21" x14ac:dyDescent="0.25">
      <c r="A459" s="4" t="s">
        <v>934</v>
      </c>
      <c r="B459" s="5">
        <v>45548</v>
      </c>
      <c r="C459" t="s">
        <v>73</v>
      </c>
      <c r="D459" t="s">
        <v>3270</v>
      </c>
      <c r="E459" t="s">
        <v>47</v>
      </c>
      <c r="F459" t="s">
        <v>3205</v>
      </c>
      <c r="G459" t="s">
        <v>48</v>
      </c>
      <c r="H459" t="str">
        <f>VLOOKUP(Table1[[#This Row],[City]],Table6[#All],2,FALSE)</f>
        <v>North</v>
      </c>
      <c r="I459" t="s">
        <v>24</v>
      </c>
      <c r="J459" t="str">
        <f>_xlfn.XLOOKUP(Table1[[#This Row],[Tractor Model]],Table7[Product Model],Table7[Product Category],"Not Available",0)</f>
        <v>Farmtrac</v>
      </c>
      <c r="K459" s="4">
        <v>6</v>
      </c>
      <c r="L459" s="72">
        <v>383952</v>
      </c>
      <c r="M459" s="4">
        <f>INDEX('Master Sheet'!$C$4:$C$12,MATCH(Table1[[#This Row],[Quantity]],'Master Sheet'!$B$4:$B$12,0))</f>
        <v>8</v>
      </c>
      <c r="N459" s="71">
        <f>Table1[[#This Row],[Quantity]]*Table1[[#This Row],[Unit Price]]</f>
        <v>2303712</v>
      </c>
      <c r="O459" s="73">
        <v>0.2303712</v>
      </c>
      <c r="P459" s="70">
        <f>Table1[[#This Row],[Gross Amount]]*(1-(Table1[[#This Row],[Discount %]]/100))</f>
        <v>2119415.04</v>
      </c>
      <c r="Q459" s="74">
        <f>(Table1[[#This Row],[Gross Amount]]*(1-(Table1[[#This Row],[Discount %]]/100)))/10000000</f>
        <v>0.211941504</v>
      </c>
      <c r="R459" t="s">
        <v>54</v>
      </c>
      <c r="S459" t="str" cm="1">
        <f t="array" ref="S459">IFERROR(_xlfn.IFS(Table1[[#This Row],[Payment Status]]="Partial","In Transit",Table1[[#This Row],[Payment Status]]="Paid","Delivered",Table1[[#This Row],[Payment Status]]="Pending","Pending"),"Invalid Input")</f>
        <v>Delivered</v>
      </c>
      <c r="T459" t="s">
        <v>44</v>
      </c>
      <c r="U459" t="str" cm="1">
        <f t="array" ref="U459">IFERROR(_xlfn.IFS(Table1[[#This Row],[Payment Status]]="Partial","In Transit",Table1[[#This Row],[Payment Status]]="Paid","Completed",Table1[[#This Row],[Payment Status]]="Pending","Pending"),"Invalid Input")</f>
        <v>Completed</v>
      </c>
    </row>
    <row r="460" spans="1:21" x14ac:dyDescent="0.25">
      <c r="A460" s="4" t="s">
        <v>936</v>
      </c>
      <c r="B460" s="5">
        <v>45591</v>
      </c>
      <c r="C460" t="s">
        <v>73</v>
      </c>
      <c r="D460" t="s">
        <v>3270</v>
      </c>
      <c r="E460" t="s">
        <v>38</v>
      </c>
      <c r="F460" t="s">
        <v>3218</v>
      </c>
      <c r="G460" t="s">
        <v>39</v>
      </c>
      <c r="H460" t="str">
        <f>VLOOKUP(Table1[[#This Row],[City]],Table6[#All],2,FALSE)</f>
        <v>West</v>
      </c>
      <c r="I460" t="s">
        <v>3203</v>
      </c>
      <c r="J460" t="str">
        <f>_xlfn.XLOOKUP(Table1[[#This Row],[Tractor Model]],Table7[Product Model],Table7[Product Category],"Not Available",0)</f>
        <v>Kubota</v>
      </c>
      <c r="K460" s="4">
        <v>1</v>
      </c>
      <c r="L460" s="72">
        <v>746341</v>
      </c>
      <c r="M460" s="4">
        <f>INDEX('Master Sheet'!$C$4:$C$12,MATCH(Table1[[#This Row],[Quantity]],'Master Sheet'!$B$4:$B$12,0))</f>
        <v>3</v>
      </c>
      <c r="N460" s="71">
        <f>Table1[[#This Row],[Quantity]]*Table1[[#This Row],[Unit Price]]</f>
        <v>746341</v>
      </c>
      <c r="O460" s="73">
        <v>7.4634099999999995E-2</v>
      </c>
      <c r="P460" s="70">
        <f>Table1[[#This Row],[Gross Amount]]*(1-(Table1[[#This Row],[Discount %]]/100))</f>
        <v>723950.77</v>
      </c>
      <c r="Q460" s="74">
        <f>(Table1[[#This Row],[Gross Amount]]*(1-(Table1[[#This Row],[Discount %]]/100)))/10000000</f>
        <v>7.2395077000000002E-2</v>
      </c>
      <c r="R460" t="s">
        <v>25</v>
      </c>
      <c r="S460" t="str" cm="1">
        <f t="array" ref="S460">IFERROR(_xlfn.IFS(Table1[[#This Row],[Payment Status]]="Partial","In Transit",Table1[[#This Row],[Payment Status]]="Paid","Delivered",Table1[[#This Row],[Payment Status]]="Pending","Pending"),"Invalid Input")</f>
        <v>In Transit</v>
      </c>
      <c r="T460" t="s">
        <v>27</v>
      </c>
      <c r="U460" t="str" cm="1">
        <f t="array" ref="U460">IFERROR(_xlfn.IFS(Table1[[#This Row],[Payment Status]]="Partial","In Transit",Table1[[#This Row],[Payment Status]]="Paid","Completed",Table1[[#This Row],[Payment Status]]="Pending","Pending"),"Invalid Input")</f>
        <v>In Transit</v>
      </c>
    </row>
    <row r="461" spans="1:21" x14ac:dyDescent="0.25">
      <c r="A461" s="4" t="s">
        <v>937</v>
      </c>
      <c r="B461" s="5">
        <v>45399</v>
      </c>
      <c r="C461" t="s">
        <v>33</v>
      </c>
      <c r="D461" t="s">
        <v>37</v>
      </c>
      <c r="E461" t="s">
        <v>47</v>
      </c>
      <c r="F461" t="s">
        <v>3215</v>
      </c>
      <c r="G461" t="s">
        <v>48</v>
      </c>
      <c r="H461" t="str">
        <f>VLOOKUP(Table1[[#This Row],[City]],Table6[#All],2,FALSE)</f>
        <v>North</v>
      </c>
      <c r="I461" t="s">
        <v>24</v>
      </c>
      <c r="J461" t="str">
        <f>_xlfn.XLOOKUP(Table1[[#This Row],[Tractor Model]],Table7[Product Model],Table7[Product Category],"Not Available",0)</f>
        <v>Farmtrac</v>
      </c>
      <c r="K461" s="4">
        <v>2</v>
      </c>
      <c r="L461" s="72">
        <v>298827</v>
      </c>
      <c r="M461" s="4">
        <f>INDEX('Master Sheet'!$C$4:$C$12,MATCH(Table1[[#This Row],[Quantity]],'Master Sheet'!$B$4:$B$12,0))</f>
        <v>5</v>
      </c>
      <c r="N461" s="71">
        <f>Table1[[#This Row],[Quantity]]*Table1[[#This Row],[Unit Price]]</f>
        <v>597654</v>
      </c>
      <c r="O461" s="73">
        <v>5.9765400000000003E-2</v>
      </c>
      <c r="P461" s="70">
        <f>Table1[[#This Row],[Gross Amount]]*(1-(Table1[[#This Row],[Discount %]]/100))</f>
        <v>567771.29999999993</v>
      </c>
      <c r="Q461" s="74">
        <f>(Table1[[#This Row],[Gross Amount]]*(1-(Table1[[#This Row],[Discount %]]/100)))/10000000</f>
        <v>5.6777129999999995E-2</v>
      </c>
      <c r="R461" t="s">
        <v>25</v>
      </c>
      <c r="S461" t="str" cm="1">
        <f t="array" ref="S461">IFERROR(_xlfn.IFS(Table1[[#This Row],[Payment Status]]="Partial","In Transit",Table1[[#This Row],[Payment Status]]="Paid","Delivered",Table1[[#This Row],[Payment Status]]="Pending","Pending"),"Invalid Input")</f>
        <v>In Transit</v>
      </c>
      <c r="T461" t="s">
        <v>27</v>
      </c>
      <c r="U461" t="str" cm="1">
        <f t="array" ref="U461">IFERROR(_xlfn.IFS(Table1[[#This Row],[Payment Status]]="Partial","In Transit",Table1[[#This Row],[Payment Status]]="Paid","Completed",Table1[[#This Row],[Payment Status]]="Pending","Pending"),"Invalid Input")</f>
        <v>In Transit</v>
      </c>
    </row>
    <row r="462" spans="1:21" x14ac:dyDescent="0.25">
      <c r="A462" s="4" t="s">
        <v>938</v>
      </c>
      <c r="B462" s="5">
        <v>45573</v>
      </c>
      <c r="C462" t="s">
        <v>73</v>
      </c>
      <c r="D462" t="s">
        <v>3268</v>
      </c>
      <c r="E462" t="s">
        <v>119</v>
      </c>
      <c r="F462" t="s">
        <v>3227</v>
      </c>
      <c r="G462" t="s">
        <v>21</v>
      </c>
      <c r="H462" t="str">
        <f>VLOOKUP(Table1[[#This Row],[City]],Table6[#All],2,FALSE)</f>
        <v>North</v>
      </c>
      <c r="I462" t="s">
        <v>24</v>
      </c>
      <c r="J462" t="str">
        <f>_xlfn.XLOOKUP(Table1[[#This Row],[Tractor Model]],Table7[Product Model],Table7[Product Category],"Not Available",0)</f>
        <v>Farmtrac</v>
      </c>
      <c r="K462" s="4">
        <v>8</v>
      </c>
      <c r="L462" s="72">
        <v>196286</v>
      </c>
      <c r="M462" s="4">
        <f>INDEX('Master Sheet'!$C$4:$C$12,MATCH(Table1[[#This Row],[Quantity]],'Master Sheet'!$B$4:$B$12,0))</f>
        <v>9</v>
      </c>
      <c r="N462" s="71">
        <f>Table1[[#This Row],[Quantity]]*Table1[[#This Row],[Unit Price]]</f>
        <v>1570288</v>
      </c>
      <c r="O462" s="73">
        <v>0.1570288</v>
      </c>
      <c r="P462" s="70">
        <f>Table1[[#This Row],[Gross Amount]]*(1-(Table1[[#This Row],[Discount %]]/100))</f>
        <v>1428962.08</v>
      </c>
      <c r="Q462" s="74">
        <f>(Table1[[#This Row],[Gross Amount]]*(1-(Table1[[#This Row],[Discount %]]/100)))/10000000</f>
        <v>0.142896208</v>
      </c>
      <c r="R462" t="s">
        <v>25</v>
      </c>
      <c r="S462" t="str" cm="1">
        <f t="array" ref="S462">IFERROR(_xlfn.IFS(Table1[[#This Row],[Payment Status]]="Partial","In Transit",Table1[[#This Row],[Payment Status]]="Paid","Delivered",Table1[[#This Row],[Payment Status]]="Pending","Pending"),"Invalid Input")</f>
        <v>In Transit</v>
      </c>
      <c r="T462" t="s">
        <v>27</v>
      </c>
      <c r="U462" t="str" cm="1">
        <f t="array" ref="U462">IFERROR(_xlfn.IFS(Table1[[#This Row],[Payment Status]]="Partial","In Transit",Table1[[#This Row],[Payment Status]]="Paid","Completed",Table1[[#This Row],[Payment Status]]="Pending","Pending"),"Invalid Input")</f>
        <v>In Transit</v>
      </c>
    </row>
    <row r="463" spans="1:21" x14ac:dyDescent="0.25">
      <c r="A463" s="4" t="s">
        <v>940</v>
      </c>
      <c r="B463" s="5">
        <v>45766</v>
      </c>
      <c r="C463" t="s">
        <v>62</v>
      </c>
      <c r="D463" t="s">
        <v>37</v>
      </c>
      <c r="E463" t="s">
        <v>66</v>
      </c>
      <c r="F463" t="s">
        <v>3226</v>
      </c>
      <c r="G463" t="s">
        <v>67</v>
      </c>
      <c r="H463" t="str">
        <f>VLOOKUP(Table1[[#This Row],[City]],Table6[#All],2,FALSE)</f>
        <v>East</v>
      </c>
      <c r="I463" t="s">
        <v>24</v>
      </c>
      <c r="J463" t="str">
        <f>_xlfn.XLOOKUP(Table1[[#This Row],[Tractor Model]],Table7[Product Model],Table7[Product Category],"Not Available",0)</f>
        <v>Farmtrac</v>
      </c>
      <c r="K463" s="4">
        <v>4</v>
      </c>
      <c r="L463" s="72">
        <v>481997</v>
      </c>
      <c r="M463" s="4">
        <f>INDEX('Master Sheet'!$C$4:$C$12,MATCH(Table1[[#This Row],[Quantity]],'Master Sheet'!$B$4:$B$12,0))</f>
        <v>6</v>
      </c>
      <c r="N463" s="71">
        <f>Table1[[#This Row],[Quantity]]*Table1[[#This Row],[Unit Price]]</f>
        <v>1927988</v>
      </c>
      <c r="O463" s="73">
        <v>0.19279879999999999</v>
      </c>
      <c r="P463" s="70">
        <f>Table1[[#This Row],[Gross Amount]]*(1-(Table1[[#This Row],[Discount %]]/100))</f>
        <v>1812308.72</v>
      </c>
      <c r="Q463" s="74">
        <f>(Table1[[#This Row],[Gross Amount]]*(1-(Table1[[#This Row],[Discount %]]/100)))/10000000</f>
        <v>0.18123087199999999</v>
      </c>
      <c r="R463" t="s">
        <v>25</v>
      </c>
      <c r="S463" t="str" cm="1">
        <f t="array" ref="S463">IFERROR(_xlfn.IFS(Table1[[#This Row],[Payment Status]]="Partial","In Transit",Table1[[#This Row],[Payment Status]]="Paid","Delivered",Table1[[#This Row],[Payment Status]]="Pending","Pending"),"Invalid Input")</f>
        <v>In Transit</v>
      </c>
      <c r="T463" t="s">
        <v>27</v>
      </c>
      <c r="U463" t="str" cm="1">
        <f t="array" ref="U463">IFERROR(_xlfn.IFS(Table1[[#This Row],[Payment Status]]="Partial","In Transit",Table1[[#This Row],[Payment Status]]="Paid","Completed",Table1[[#This Row],[Payment Status]]="Pending","Pending"),"Invalid Input")</f>
        <v>In Transit</v>
      </c>
    </row>
    <row r="464" spans="1:21" x14ac:dyDescent="0.25">
      <c r="A464" s="4" t="s">
        <v>942</v>
      </c>
      <c r="B464" s="5">
        <v>45420</v>
      </c>
      <c r="C464" t="s">
        <v>41</v>
      </c>
      <c r="D464" t="s">
        <v>3268</v>
      </c>
      <c r="E464" t="s">
        <v>119</v>
      </c>
      <c r="F464" t="s">
        <v>3227</v>
      </c>
      <c r="G464" t="s">
        <v>21</v>
      </c>
      <c r="H464" t="str">
        <f>VLOOKUP(Table1[[#This Row],[City]],Table6[#All],2,FALSE)</f>
        <v>North</v>
      </c>
      <c r="I464" t="s">
        <v>58</v>
      </c>
      <c r="J464" t="str">
        <f>_xlfn.XLOOKUP(Table1[[#This Row],[Tractor Model]],Table7[Product Model],Table7[Product Category],"Not Available",0)</f>
        <v>Powertrac</v>
      </c>
      <c r="K464" s="4">
        <v>6</v>
      </c>
      <c r="L464" s="72">
        <v>89238</v>
      </c>
      <c r="M464" s="4">
        <f>INDEX('Master Sheet'!$C$4:$C$12,MATCH(Table1[[#This Row],[Quantity]],'Master Sheet'!$B$4:$B$12,0))</f>
        <v>8</v>
      </c>
      <c r="N464" s="71">
        <f>Table1[[#This Row],[Quantity]]*Table1[[#This Row],[Unit Price]]</f>
        <v>535428</v>
      </c>
      <c r="O464" s="73">
        <v>5.3542800000000002E-2</v>
      </c>
      <c r="P464" s="70">
        <f>Table1[[#This Row],[Gross Amount]]*(1-(Table1[[#This Row],[Discount %]]/100))</f>
        <v>492593.76</v>
      </c>
      <c r="Q464" s="74">
        <f>(Table1[[#This Row],[Gross Amount]]*(1-(Table1[[#This Row],[Discount %]]/100)))/10000000</f>
        <v>4.9259376000000001E-2</v>
      </c>
      <c r="R464" t="s">
        <v>25</v>
      </c>
      <c r="S464" t="str" cm="1">
        <f t="array" ref="S464">IFERROR(_xlfn.IFS(Table1[[#This Row],[Payment Status]]="Partial","In Transit",Table1[[#This Row],[Payment Status]]="Paid","Delivered",Table1[[#This Row],[Payment Status]]="Pending","Pending"),"Invalid Input")</f>
        <v>In Transit</v>
      </c>
      <c r="T464" t="s">
        <v>27</v>
      </c>
      <c r="U464" t="str" cm="1">
        <f t="array" ref="U464">IFERROR(_xlfn.IFS(Table1[[#This Row],[Payment Status]]="Partial","In Transit",Table1[[#This Row],[Payment Status]]="Paid","Completed",Table1[[#This Row],[Payment Status]]="Pending","Pending"),"Invalid Input")</f>
        <v>In Transit</v>
      </c>
    </row>
    <row r="465" spans="1:21" x14ac:dyDescent="0.25">
      <c r="A465" s="4" t="s">
        <v>944</v>
      </c>
      <c r="B465" s="5">
        <v>45830</v>
      </c>
      <c r="C465" t="s">
        <v>41</v>
      </c>
      <c r="D465" t="s">
        <v>37</v>
      </c>
      <c r="E465" t="s">
        <v>30</v>
      </c>
      <c r="F465" t="s">
        <v>3222</v>
      </c>
      <c r="G465" t="s">
        <v>31</v>
      </c>
      <c r="H465" t="str">
        <f>VLOOKUP(Table1[[#This Row],[City]],Table6[#All],2,FALSE)</f>
        <v>South</v>
      </c>
      <c r="I465" t="s">
        <v>58</v>
      </c>
      <c r="J465" t="str">
        <f>_xlfn.XLOOKUP(Table1[[#This Row],[Tractor Model]],Table7[Product Model],Table7[Product Category],"Not Available",0)</f>
        <v>Powertrac</v>
      </c>
      <c r="K465" s="4">
        <v>5</v>
      </c>
      <c r="L465" s="72">
        <v>288123</v>
      </c>
      <c r="M465" s="4">
        <f>INDEX('Master Sheet'!$C$4:$C$12,MATCH(Table1[[#This Row],[Quantity]],'Master Sheet'!$B$4:$B$12,0))</f>
        <v>7</v>
      </c>
      <c r="N465" s="71">
        <f>Table1[[#This Row],[Quantity]]*Table1[[#This Row],[Unit Price]]</f>
        <v>1440615</v>
      </c>
      <c r="O465" s="73">
        <v>0.14406150000000001</v>
      </c>
      <c r="P465" s="70">
        <f>Table1[[#This Row],[Gross Amount]]*(1-(Table1[[#This Row],[Discount %]]/100))</f>
        <v>1339771.95</v>
      </c>
      <c r="Q465" s="74">
        <f>(Table1[[#This Row],[Gross Amount]]*(1-(Table1[[#This Row],[Discount %]]/100)))/10000000</f>
        <v>0.13397719499999999</v>
      </c>
      <c r="R465" t="s">
        <v>25</v>
      </c>
      <c r="S465" t="str" cm="1">
        <f t="array" ref="S465">IFERROR(_xlfn.IFS(Table1[[#This Row],[Payment Status]]="Partial","In Transit",Table1[[#This Row],[Payment Status]]="Paid","Delivered",Table1[[#This Row],[Payment Status]]="Pending","Pending"),"Invalid Input")</f>
        <v>In Transit</v>
      </c>
      <c r="T465" t="s">
        <v>27</v>
      </c>
      <c r="U465" t="str" cm="1">
        <f t="array" ref="U465">IFERROR(_xlfn.IFS(Table1[[#This Row],[Payment Status]]="Partial","In Transit",Table1[[#This Row],[Payment Status]]="Paid","Completed",Table1[[#This Row],[Payment Status]]="Pending","Pending"),"Invalid Input")</f>
        <v>In Transit</v>
      </c>
    </row>
    <row r="466" spans="1:21" x14ac:dyDescent="0.25">
      <c r="A466" s="4" t="s">
        <v>946</v>
      </c>
      <c r="B466" s="5">
        <v>45413</v>
      </c>
      <c r="C466" t="s">
        <v>52</v>
      </c>
      <c r="D466" t="s">
        <v>37</v>
      </c>
      <c r="E466" t="s">
        <v>119</v>
      </c>
      <c r="F466" t="s">
        <v>3224</v>
      </c>
      <c r="G466" t="s">
        <v>21</v>
      </c>
      <c r="H466" t="str">
        <f>VLOOKUP(Table1[[#This Row],[City]],Table6[#All],2,FALSE)</f>
        <v>North</v>
      </c>
      <c r="I466" t="s">
        <v>58</v>
      </c>
      <c r="J466" t="str">
        <f>_xlfn.XLOOKUP(Table1[[#This Row],[Tractor Model]],Table7[Product Model],Table7[Product Category],"Not Available",0)</f>
        <v>Powertrac</v>
      </c>
      <c r="K466" s="4">
        <v>7</v>
      </c>
      <c r="L466" s="72">
        <v>808270</v>
      </c>
      <c r="M466" s="4">
        <f>INDEX('Master Sheet'!$C$4:$C$12,MATCH(Table1[[#This Row],[Quantity]],'Master Sheet'!$B$4:$B$12,0))</f>
        <v>9</v>
      </c>
      <c r="N466" s="71">
        <f>Table1[[#This Row],[Quantity]]*Table1[[#This Row],[Unit Price]]</f>
        <v>5657890</v>
      </c>
      <c r="O466" s="73">
        <v>0.56578899999999999</v>
      </c>
      <c r="P466" s="70">
        <f>Table1[[#This Row],[Gross Amount]]*(1-(Table1[[#This Row],[Discount %]]/100))</f>
        <v>5148679.9000000004</v>
      </c>
      <c r="Q466" s="74">
        <f>(Table1[[#This Row],[Gross Amount]]*(1-(Table1[[#This Row],[Discount %]]/100)))/10000000</f>
        <v>0.51486799000000005</v>
      </c>
      <c r="R466" t="s">
        <v>54</v>
      </c>
      <c r="S466" t="str" cm="1">
        <f t="array" ref="S466">IFERROR(_xlfn.IFS(Table1[[#This Row],[Payment Status]]="Partial","In Transit",Table1[[#This Row],[Payment Status]]="Paid","Delivered",Table1[[#This Row],[Payment Status]]="Pending","Pending"),"Invalid Input")</f>
        <v>Delivered</v>
      </c>
      <c r="T466" t="s">
        <v>27</v>
      </c>
      <c r="U466" t="str" cm="1">
        <f t="array" ref="U466">IFERROR(_xlfn.IFS(Table1[[#This Row],[Payment Status]]="Partial","In Transit",Table1[[#This Row],[Payment Status]]="Paid","Completed",Table1[[#This Row],[Payment Status]]="Pending","Pending"),"Invalid Input")</f>
        <v>Completed</v>
      </c>
    </row>
    <row r="467" spans="1:21" x14ac:dyDescent="0.25">
      <c r="A467" s="4" t="s">
        <v>948</v>
      </c>
      <c r="B467" s="5">
        <v>45389</v>
      </c>
      <c r="C467" t="s">
        <v>33</v>
      </c>
      <c r="D467" t="s">
        <v>3268</v>
      </c>
      <c r="E467" t="s">
        <v>38</v>
      </c>
      <c r="F467" t="s">
        <v>3219</v>
      </c>
      <c r="G467" t="s">
        <v>39</v>
      </c>
      <c r="H467" t="str">
        <f>VLOOKUP(Table1[[#This Row],[City]],Table6[#All],2,FALSE)</f>
        <v>West</v>
      </c>
      <c r="I467" t="s">
        <v>24</v>
      </c>
      <c r="J467" t="str">
        <f>_xlfn.XLOOKUP(Table1[[#This Row],[Tractor Model]],Table7[Product Model],Table7[Product Category],"Not Available",0)</f>
        <v>Farmtrac</v>
      </c>
      <c r="K467" s="4">
        <v>2</v>
      </c>
      <c r="L467" s="72">
        <v>88695</v>
      </c>
      <c r="M467" s="4">
        <f>INDEX('Master Sheet'!$C$4:$C$12,MATCH(Table1[[#This Row],[Quantity]],'Master Sheet'!$B$4:$B$12,0))</f>
        <v>5</v>
      </c>
      <c r="N467" s="71">
        <f>Table1[[#This Row],[Quantity]]*Table1[[#This Row],[Unit Price]]</f>
        <v>177390</v>
      </c>
      <c r="O467" s="73">
        <v>1.7739000000000001E-2</v>
      </c>
      <c r="P467" s="70">
        <f>Table1[[#This Row],[Gross Amount]]*(1-(Table1[[#This Row],[Discount %]]/100))</f>
        <v>168520.5</v>
      </c>
      <c r="Q467" s="74">
        <f>(Table1[[#This Row],[Gross Amount]]*(1-(Table1[[#This Row],[Discount %]]/100)))/10000000</f>
        <v>1.685205E-2</v>
      </c>
      <c r="R467" t="s">
        <v>42</v>
      </c>
      <c r="S467" t="str" cm="1">
        <f t="array" ref="S467">IFERROR(_xlfn.IFS(Table1[[#This Row],[Payment Status]]="Partial","In Transit",Table1[[#This Row],[Payment Status]]="Paid","Delivered",Table1[[#This Row],[Payment Status]]="Pending","Pending"),"Invalid Input")</f>
        <v>Pending</v>
      </c>
      <c r="T467" t="s">
        <v>44</v>
      </c>
      <c r="U467" t="str" cm="1">
        <f t="array" ref="U467">IFERROR(_xlfn.IFS(Table1[[#This Row],[Payment Status]]="Partial","In Transit",Table1[[#This Row],[Payment Status]]="Paid","Completed",Table1[[#This Row],[Payment Status]]="Pending","Pending"),"Invalid Input")</f>
        <v>Pending</v>
      </c>
    </row>
    <row r="468" spans="1:21" x14ac:dyDescent="0.25">
      <c r="A468" s="4" t="s">
        <v>949</v>
      </c>
      <c r="B468" s="5">
        <v>45699</v>
      </c>
      <c r="C468" t="s">
        <v>62</v>
      </c>
      <c r="D468" t="s">
        <v>3268</v>
      </c>
      <c r="E468" t="s">
        <v>38</v>
      </c>
      <c r="F468" t="s">
        <v>3219</v>
      </c>
      <c r="G468" t="s">
        <v>39</v>
      </c>
      <c r="H468" t="str">
        <f>VLOOKUP(Table1[[#This Row],[City]],Table6[#All],2,FALSE)</f>
        <v>West</v>
      </c>
      <c r="I468" t="s">
        <v>3204</v>
      </c>
      <c r="J468" t="str">
        <f>_xlfn.XLOOKUP(Table1[[#This Row],[Tractor Model]],Table7[Product Model],Table7[Product Category],"Not Available",0)</f>
        <v>Kubota</v>
      </c>
      <c r="K468" s="4">
        <v>4</v>
      </c>
      <c r="L468" s="72">
        <v>569409</v>
      </c>
      <c r="M468" s="4">
        <f>INDEX('Master Sheet'!$C$4:$C$12,MATCH(Table1[[#This Row],[Quantity]],'Master Sheet'!$B$4:$B$12,0))</f>
        <v>6</v>
      </c>
      <c r="N468" s="71">
        <f>Table1[[#This Row],[Quantity]]*Table1[[#This Row],[Unit Price]]</f>
        <v>2277636</v>
      </c>
      <c r="O468" s="73">
        <v>0.22776360000000001</v>
      </c>
      <c r="P468" s="70">
        <f>Table1[[#This Row],[Gross Amount]]*(1-(Table1[[#This Row],[Discount %]]/100))</f>
        <v>2140977.84</v>
      </c>
      <c r="Q468" s="74">
        <f>(Table1[[#This Row],[Gross Amount]]*(1-(Table1[[#This Row],[Discount %]]/100)))/10000000</f>
        <v>0.21409778399999999</v>
      </c>
      <c r="R468" t="s">
        <v>25</v>
      </c>
      <c r="S468" t="str" cm="1">
        <f t="array" ref="S468">IFERROR(_xlfn.IFS(Table1[[#This Row],[Payment Status]]="Partial","In Transit",Table1[[#This Row],[Payment Status]]="Paid","Delivered",Table1[[#This Row],[Payment Status]]="Pending","Pending"),"Invalid Input")</f>
        <v>In Transit</v>
      </c>
      <c r="T468" t="s">
        <v>44</v>
      </c>
      <c r="U468" t="str" cm="1">
        <f t="array" ref="U468">IFERROR(_xlfn.IFS(Table1[[#This Row],[Payment Status]]="Partial","In Transit",Table1[[#This Row],[Payment Status]]="Paid","Completed",Table1[[#This Row],[Payment Status]]="Pending","Pending"),"Invalid Input")</f>
        <v>In Transit</v>
      </c>
    </row>
    <row r="469" spans="1:21" x14ac:dyDescent="0.25">
      <c r="A469" s="4" t="s">
        <v>951</v>
      </c>
      <c r="B469" s="5">
        <v>45572</v>
      </c>
      <c r="C469" t="s">
        <v>52</v>
      </c>
      <c r="D469" t="s">
        <v>3268</v>
      </c>
      <c r="E469" t="s">
        <v>119</v>
      </c>
      <c r="F469" t="s">
        <v>3227</v>
      </c>
      <c r="G469" t="s">
        <v>21</v>
      </c>
      <c r="H469" t="str">
        <f>VLOOKUP(Table1[[#This Row],[City]],Table6[#All],2,FALSE)</f>
        <v>North</v>
      </c>
      <c r="I469" t="s">
        <v>58</v>
      </c>
      <c r="J469" t="str">
        <f>_xlfn.XLOOKUP(Table1[[#This Row],[Tractor Model]],Table7[Product Model],Table7[Product Category],"Not Available",0)</f>
        <v>Powertrac</v>
      </c>
      <c r="K469" s="4">
        <v>2</v>
      </c>
      <c r="L469" s="72">
        <v>737767</v>
      </c>
      <c r="M469" s="4">
        <f>INDEX('Master Sheet'!$C$4:$C$12,MATCH(Table1[[#This Row],[Quantity]],'Master Sheet'!$B$4:$B$12,0))</f>
        <v>5</v>
      </c>
      <c r="N469" s="71">
        <f>Table1[[#This Row],[Quantity]]*Table1[[#This Row],[Unit Price]]</f>
        <v>1475534</v>
      </c>
      <c r="O469" s="73">
        <v>0.1475534</v>
      </c>
      <c r="P469" s="70">
        <f>Table1[[#This Row],[Gross Amount]]*(1-(Table1[[#This Row],[Discount %]]/100))</f>
        <v>1401757.3</v>
      </c>
      <c r="Q469" s="74">
        <f>(Table1[[#This Row],[Gross Amount]]*(1-(Table1[[#This Row],[Discount %]]/100)))/10000000</f>
        <v>0.14017573</v>
      </c>
      <c r="R469" t="s">
        <v>25</v>
      </c>
      <c r="S469" t="str" cm="1">
        <f t="array" ref="S469">IFERROR(_xlfn.IFS(Table1[[#This Row],[Payment Status]]="Partial","In Transit",Table1[[#This Row],[Payment Status]]="Paid","Delivered",Table1[[#This Row],[Payment Status]]="Pending","Pending"),"Invalid Input")</f>
        <v>In Transit</v>
      </c>
      <c r="T469" t="s">
        <v>27</v>
      </c>
      <c r="U469" t="str" cm="1">
        <f t="array" ref="U469">IFERROR(_xlfn.IFS(Table1[[#This Row],[Payment Status]]="Partial","In Transit",Table1[[#This Row],[Payment Status]]="Paid","Completed",Table1[[#This Row],[Payment Status]]="Pending","Pending"),"Invalid Input")</f>
        <v>In Transit</v>
      </c>
    </row>
    <row r="470" spans="1:21" x14ac:dyDescent="0.25">
      <c r="A470" s="4" t="s">
        <v>953</v>
      </c>
      <c r="B470" s="5">
        <v>45768</v>
      </c>
      <c r="C470" t="s">
        <v>52</v>
      </c>
      <c r="D470" t="s">
        <v>3270</v>
      </c>
      <c r="E470" t="s">
        <v>30</v>
      </c>
      <c r="F470" t="s">
        <v>3223</v>
      </c>
      <c r="G470" t="s">
        <v>31</v>
      </c>
      <c r="H470" t="str">
        <f>VLOOKUP(Table1[[#This Row],[City]],Table6[#All],2,FALSE)</f>
        <v>South</v>
      </c>
      <c r="I470" t="s">
        <v>58</v>
      </c>
      <c r="J470" t="str">
        <f>_xlfn.XLOOKUP(Table1[[#This Row],[Tractor Model]],Table7[Product Model],Table7[Product Category],"Not Available",0)</f>
        <v>Powertrac</v>
      </c>
      <c r="K470" s="4">
        <v>7</v>
      </c>
      <c r="L470" s="72">
        <v>541731</v>
      </c>
      <c r="M470" s="4">
        <f>INDEX('Master Sheet'!$C$4:$C$12,MATCH(Table1[[#This Row],[Quantity]],'Master Sheet'!$B$4:$B$12,0))</f>
        <v>9</v>
      </c>
      <c r="N470" s="71">
        <f>Table1[[#This Row],[Quantity]]*Table1[[#This Row],[Unit Price]]</f>
        <v>3792117</v>
      </c>
      <c r="O470" s="73">
        <v>0.37921169999999998</v>
      </c>
      <c r="P470" s="70">
        <f>Table1[[#This Row],[Gross Amount]]*(1-(Table1[[#This Row],[Discount %]]/100))</f>
        <v>3450826.47</v>
      </c>
      <c r="Q470" s="74">
        <f>(Table1[[#This Row],[Gross Amount]]*(1-(Table1[[#This Row],[Discount %]]/100)))/10000000</f>
        <v>0.34508264700000002</v>
      </c>
      <c r="R470" t="s">
        <v>42</v>
      </c>
      <c r="S470" t="str" cm="1">
        <f t="array" ref="S470">IFERROR(_xlfn.IFS(Table1[[#This Row],[Payment Status]]="Partial","In Transit",Table1[[#This Row],[Payment Status]]="Paid","Delivered",Table1[[#This Row],[Payment Status]]="Pending","Pending"),"Invalid Input")</f>
        <v>Pending</v>
      </c>
      <c r="T470" t="s">
        <v>44</v>
      </c>
      <c r="U470" t="str" cm="1">
        <f t="array" ref="U470">IFERROR(_xlfn.IFS(Table1[[#This Row],[Payment Status]]="Partial","In Transit",Table1[[#This Row],[Payment Status]]="Paid","Completed",Table1[[#This Row],[Payment Status]]="Pending","Pending"),"Invalid Input")</f>
        <v>Pending</v>
      </c>
    </row>
    <row r="471" spans="1:21" x14ac:dyDescent="0.25">
      <c r="A471" s="4" t="s">
        <v>955</v>
      </c>
      <c r="B471" s="5">
        <v>45772</v>
      </c>
      <c r="C471" t="s">
        <v>52</v>
      </c>
      <c r="D471" t="s">
        <v>3271</v>
      </c>
      <c r="E471" t="s">
        <v>119</v>
      </c>
      <c r="F471" t="s">
        <v>3228</v>
      </c>
      <c r="G471" t="s">
        <v>21</v>
      </c>
      <c r="H471" t="str">
        <f>VLOOKUP(Table1[[#This Row],[City]],Table6[#All],2,FALSE)</f>
        <v>North</v>
      </c>
      <c r="I471" t="s">
        <v>24</v>
      </c>
      <c r="J471" t="str">
        <f>_xlfn.XLOOKUP(Table1[[#This Row],[Tractor Model]],Table7[Product Model],Table7[Product Category],"Not Available",0)</f>
        <v>Farmtrac</v>
      </c>
      <c r="K471" s="4">
        <v>1</v>
      </c>
      <c r="L471" s="72">
        <v>703073</v>
      </c>
      <c r="M471" s="4">
        <f>INDEX('Master Sheet'!$C$4:$C$12,MATCH(Table1[[#This Row],[Quantity]],'Master Sheet'!$B$4:$B$12,0))</f>
        <v>3</v>
      </c>
      <c r="N471" s="71">
        <f>Table1[[#This Row],[Quantity]]*Table1[[#This Row],[Unit Price]]</f>
        <v>703073</v>
      </c>
      <c r="O471" s="73">
        <v>7.0307300000000003E-2</v>
      </c>
      <c r="P471" s="70">
        <f>Table1[[#This Row],[Gross Amount]]*(1-(Table1[[#This Row],[Discount %]]/100))</f>
        <v>681980.80999999994</v>
      </c>
      <c r="Q471" s="74">
        <f>(Table1[[#This Row],[Gross Amount]]*(1-(Table1[[#This Row],[Discount %]]/100)))/10000000</f>
        <v>6.8198080999999994E-2</v>
      </c>
      <c r="R471" t="s">
        <v>25</v>
      </c>
      <c r="S471" t="str" cm="1">
        <f t="array" ref="S471">IFERROR(_xlfn.IFS(Table1[[#This Row],[Payment Status]]="Partial","In Transit",Table1[[#This Row],[Payment Status]]="Paid","Delivered",Table1[[#This Row],[Payment Status]]="Pending","Pending"),"Invalid Input")</f>
        <v>In Transit</v>
      </c>
      <c r="T471" t="s">
        <v>44</v>
      </c>
      <c r="U471" t="str" cm="1">
        <f t="array" ref="U471">IFERROR(_xlfn.IFS(Table1[[#This Row],[Payment Status]]="Partial","In Transit",Table1[[#This Row],[Payment Status]]="Paid","Completed",Table1[[#This Row],[Payment Status]]="Pending","Pending"),"Invalid Input")</f>
        <v>In Transit</v>
      </c>
    </row>
    <row r="472" spans="1:21" x14ac:dyDescent="0.25">
      <c r="A472" s="4" t="s">
        <v>956</v>
      </c>
      <c r="B472" s="5">
        <v>45633</v>
      </c>
      <c r="C472" t="s">
        <v>62</v>
      </c>
      <c r="D472" t="s">
        <v>3269</v>
      </c>
      <c r="E472" t="s">
        <v>38</v>
      </c>
      <c r="F472" t="s">
        <v>3206</v>
      </c>
      <c r="G472" t="s">
        <v>39</v>
      </c>
      <c r="H472" t="str">
        <f>VLOOKUP(Table1[[#This Row],[City]],Table6[#All],2,FALSE)</f>
        <v>West</v>
      </c>
      <c r="I472" t="s">
        <v>3203</v>
      </c>
      <c r="J472" t="str">
        <f>_xlfn.XLOOKUP(Table1[[#This Row],[Tractor Model]],Table7[Product Model],Table7[Product Category],"Not Available",0)</f>
        <v>Kubota</v>
      </c>
      <c r="K472" s="4">
        <v>4</v>
      </c>
      <c r="L472" s="72">
        <v>253411</v>
      </c>
      <c r="M472" s="4">
        <f>INDEX('Master Sheet'!$C$4:$C$12,MATCH(Table1[[#This Row],[Quantity]],'Master Sheet'!$B$4:$B$12,0))</f>
        <v>6</v>
      </c>
      <c r="N472" s="71">
        <f>Table1[[#This Row],[Quantity]]*Table1[[#This Row],[Unit Price]]</f>
        <v>1013644</v>
      </c>
      <c r="O472" s="73">
        <v>0.10136439999999999</v>
      </c>
      <c r="P472" s="70">
        <f>Table1[[#This Row],[Gross Amount]]*(1-(Table1[[#This Row],[Discount %]]/100))</f>
        <v>952825.36</v>
      </c>
      <c r="Q472" s="74">
        <f>(Table1[[#This Row],[Gross Amount]]*(1-(Table1[[#This Row],[Discount %]]/100)))/10000000</f>
        <v>9.5282536000000001E-2</v>
      </c>
      <c r="R472" t="s">
        <v>54</v>
      </c>
      <c r="S472" t="str" cm="1">
        <f t="array" ref="S472">IFERROR(_xlfn.IFS(Table1[[#This Row],[Payment Status]]="Partial","In Transit",Table1[[#This Row],[Payment Status]]="Paid","Delivered",Table1[[#This Row],[Payment Status]]="Pending","Pending"),"Invalid Input")</f>
        <v>Delivered</v>
      </c>
      <c r="T472" t="s">
        <v>44</v>
      </c>
      <c r="U472" t="str" cm="1">
        <f t="array" ref="U472">IFERROR(_xlfn.IFS(Table1[[#This Row],[Payment Status]]="Partial","In Transit",Table1[[#This Row],[Payment Status]]="Paid","Completed",Table1[[#This Row],[Payment Status]]="Pending","Pending"),"Invalid Input")</f>
        <v>Completed</v>
      </c>
    </row>
    <row r="473" spans="1:21" x14ac:dyDescent="0.25">
      <c r="A473" s="4" t="s">
        <v>958</v>
      </c>
      <c r="B473" s="5">
        <v>45355</v>
      </c>
      <c r="C473" t="s">
        <v>52</v>
      </c>
      <c r="D473" t="s">
        <v>3269</v>
      </c>
      <c r="E473" t="s">
        <v>66</v>
      </c>
      <c r="F473" t="s">
        <v>3213</v>
      </c>
      <c r="G473" t="s">
        <v>67</v>
      </c>
      <c r="H473" t="str">
        <f>VLOOKUP(Table1[[#This Row],[City]],Table6[#All],2,FALSE)</f>
        <v>East</v>
      </c>
      <c r="I473" t="s">
        <v>53</v>
      </c>
      <c r="J473" t="str">
        <f>_xlfn.XLOOKUP(Table1[[#This Row],[Tractor Model]],Table7[Product Model],Table7[Product Category],"Not Available",0)</f>
        <v>Farmtrac</v>
      </c>
      <c r="K473" s="4">
        <v>1</v>
      </c>
      <c r="L473" s="72">
        <v>74797</v>
      </c>
      <c r="M473" s="4">
        <f>INDEX('Master Sheet'!$C$4:$C$12,MATCH(Table1[[#This Row],[Quantity]],'Master Sheet'!$B$4:$B$12,0))</f>
        <v>3</v>
      </c>
      <c r="N473" s="71">
        <f>Table1[[#This Row],[Quantity]]*Table1[[#This Row],[Unit Price]]</f>
        <v>74797</v>
      </c>
      <c r="O473" s="73">
        <v>7.4796999999999997E-3</v>
      </c>
      <c r="P473" s="70">
        <f>Table1[[#This Row],[Gross Amount]]*(1-(Table1[[#This Row],[Discount %]]/100))</f>
        <v>72553.09</v>
      </c>
      <c r="Q473" s="74">
        <f>(Table1[[#This Row],[Gross Amount]]*(1-(Table1[[#This Row],[Discount %]]/100)))/10000000</f>
        <v>7.2553089999999997E-3</v>
      </c>
      <c r="R473" t="s">
        <v>25</v>
      </c>
      <c r="S473" t="str" cm="1">
        <f t="array" ref="S473">IFERROR(_xlfn.IFS(Table1[[#This Row],[Payment Status]]="Partial","In Transit",Table1[[#This Row],[Payment Status]]="Paid","Delivered",Table1[[#This Row],[Payment Status]]="Pending","Pending"),"Invalid Input")</f>
        <v>In Transit</v>
      </c>
      <c r="T473" t="s">
        <v>27</v>
      </c>
      <c r="U473" t="str" cm="1">
        <f t="array" ref="U473">IFERROR(_xlfn.IFS(Table1[[#This Row],[Payment Status]]="Partial","In Transit",Table1[[#This Row],[Payment Status]]="Paid","Completed",Table1[[#This Row],[Payment Status]]="Pending","Pending"),"Invalid Input")</f>
        <v>In Transit</v>
      </c>
    </row>
    <row r="474" spans="1:21" x14ac:dyDescent="0.25">
      <c r="A474" s="4" t="s">
        <v>960</v>
      </c>
      <c r="B474" s="5">
        <v>45815</v>
      </c>
      <c r="C474" t="s">
        <v>62</v>
      </c>
      <c r="D474" t="s">
        <v>3268</v>
      </c>
      <c r="E474" t="s">
        <v>119</v>
      </c>
      <c r="F474" t="s">
        <v>3227</v>
      </c>
      <c r="G474" t="s">
        <v>21</v>
      </c>
      <c r="H474" t="str">
        <f>VLOOKUP(Table1[[#This Row],[City]],Table6[#All],2,FALSE)</f>
        <v>North</v>
      </c>
      <c r="I474" t="s">
        <v>58</v>
      </c>
      <c r="J474" t="str">
        <f>_xlfn.XLOOKUP(Table1[[#This Row],[Tractor Model]],Table7[Product Model],Table7[Product Category],"Not Available",0)</f>
        <v>Powertrac</v>
      </c>
      <c r="K474" s="4">
        <v>6</v>
      </c>
      <c r="L474" s="72">
        <v>227295</v>
      </c>
      <c r="M474" s="4">
        <f>INDEX('Master Sheet'!$C$4:$C$12,MATCH(Table1[[#This Row],[Quantity]],'Master Sheet'!$B$4:$B$12,0))</f>
        <v>8</v>
      </c>
      <c r="N474" s="71">
        <f>Table1[[#This Row],[Quantity]]*Table1[[#This Row],[Unit Price]]</f>
        <v>1363770</v>
      </c>
      <c r="O474" s="73">
        <v>0.136377</v>
      </c>
      <c r="P474" s="70">
        <f>Table1[[#This Row],[Gross Amount]]*(1-(Table1[[#This Row],[Discount %]]/100))</f>
        <v>1254668.4000000001</v>
      </c>
      <c r="Q474" s="74">
        <f>(Table1[[#This Row],[Gross Amount]]*(1-(Table1[[#This Row],[Discount %]]/100)))/10000000</f>
        <v>0.12546684000000002</v>
      </c>
      <c r="R474" t="s">
        <v>25</v>
      </c>
      <c r="S474" t="str" cm="1">
        <f t="array" ref="S474">IFERROR(_xlfn.IFS(Table1[[#This Row],[Payment Status]]="Partial","In Transit",Table1[[#This Row],[Payment Status]]="Paid","Delivered",Table1[[#This Row],[Payment Status]]="Pending","Pending"),"Invalid Input")</f>
        <v>In Transit</v>
      </c>
      <c r="T474" t="s">
        <v>27</v>
      </c>
      <c r="U474" t="str" cm="1">
        <f t="array" ref="U474">IFERROR(_xlfn.IFS(Table1[[#This Row],[Payment Status]]="Partial","In Transit",Table1[[#This Row],[Payment Status]]="Paid","Completed",Table1[[#This Row],[Payment Status]]="Pending","Pending"),"Invalid Input")</f>
        <v>In Transit</v>
      </c>
    </row>
    <row r="475" spans="1:21" x14ac:dyDescent="0.25">
      <c r="A475" s="4" t="s">
        <v>962</v>
      </c>
      <c r="B475" s="5">
        <v>45367</v>
      </c>
      <c r="C475" t="s">
        <v>73</v>
      </c>
      <c r="D475" t="s">
        <v>37</v>
      </c>
      <c r="E475" t="s">
        <v>119</v>
      </c>
      <c r="F475" t="s">
        <v>3224</v>
      </c>
      <c r="G475" t="s">
        <v>21</v>
      </c>
      <c r="H475" t="str">
        <f>VLOOKUP(Table1[[#This Row],[City]],Table6[#All],2,FALSE)</f>
        <v>North</v>
      </c>
      <c r="I475" t="s">
        <v>24</v>
      </c>
      <c r="J475" t="str">
        <f>_xlfn.XLOOKUP(Table1[[#This Row],[Tractor Model]],Table7[Product Model],Table7[Product Category],"Not Available",0)</f>
        <v>Farmtrac</v>
      </c>
      <c r="K475" s="4">
        <v>1</v>
      </c>
      <c r="L475" s="72">
        <v>670230</v>
      </c>
      <c r="M475" s="4">
        <f>INDEX('Master Sheet'!$C$4:$C$12,MATCH(Table1[[#This Row],[Quantity]],'Master Sheet'!$B$4:$B$12,0))</f>
        <v>3</v>
      </c>
      <c r="N475" s="71">
        <f>Table1[[#This Row],[Quantity]]*Table1[[#This Row],[Unit Price]]</f>
        <v>670230</v>
      </c>
      <c r="O475" s="73">
        <v>6.7022999999999999E-2</v>
      </c>
      <c r="P475" s="70">
        <f>Table1[[#This Row],[Gross Amount]]*(1-(Table1[[#This Row],[Discount %]]/100))</f>
        <v>650123.1</v>
      </c>
      <c r="Q475" s="74">
        <f>(Table1[[#This Row],[Gross Amount]]*(1-(Table1[[#This Row],[Discount %]]/100)))/10000000</f>
        <v>6.5012310000000004E-2</v>
      </c>
      <c r="R475" t="s">
        <v>54</v>
      </c>
      <c r="S475" t="str" cm="1">
        <f t="array" ref="S475">IFERROR(_xlfn.IFS(Table1[[#This Row],[Payment Status]]="Partial","In Transit",Table1[[#This Row],[Payment Status]]="Paid","Delivered",Table1[[#This Row],[Payment Status]]="Pending","Pending"),"Invalid Input")</f>
        <v>Delivered</v>
      </c>
      <c r="T475" t="s">
        <v>27</v>
      </c>
      <c r="U475" t="str" cm="1">
        <f t="array" ref="U475">IFERROR(_xlfn.IFS(Table1[[#This Row],[Payment Status]]="Partial","In Transit",Table1[[#This Row],[Payment Status]]="Paid","Completed",Table1[[#This Row],[Payment Status]]="Pending","Pending"),"Invalid Input")</f>
        <v>Completed</v>
      </c>
    </row>
    <row r="476" spans="1:21" x14ac:dyDescent="0.25">
      <c r="A476" s="4" t="s">
        <v>964</v>
      </c>
      <c r="B476" s="5">
        <v>45753</v>
      </c>
      <c r="C476" t="s">
        <v>62</v>
      </c>
      <c r="D476" t="s">
        <v>3268</v>
      </c>
      <c r="E476" t="s">
        <v>119</v>
      </c>
      <c r="F476" t="s">
        <v>3227</v>
      </c>
      <c r="G476" t="s">
        <v>21</v>
      </c>
      <c r="H476" t="str">
        <f>VLOOKUP(Table1[[#This Row],[City]],Table6[#All],2,FALSE)</f>
        <v>North</v>
      </c>
      <c r="I476" t="s">
        <v>58</v>
      </c>
      <c r="J476" t="str">
        <f>_xlfn.XLOOKUP(Table1[[#This Row],[Tractor Model]],Table7[Product Model],Table7[Product Category],"Not Available",0)</f>
        <v>Powertrac</v>
      </c>
      <c r="K476" s="4">
        <v>2</v>
      </c>
      <c r="L476" s="72">
        <v>103121</v>
      </c>
      <c r="M476" s="4">
        <f>INDEX('Master Sheet'!$C$4:$C$12,MATCH(Table1[[#This Row],[Quantity]],'Master Sheet'!$B$4:$B$12,0))</f>
        <v>5</v>
      </c>
      <c r="N476" s="71">
        <f>Table1[[#This Row],[Quantity]]*Table1[[#This Row],[Unit Price]]</f>
        <v>206242</v>
      </c>
      <c r="O476" s="73">
        <v>2.0624199999999999E-2</v>
      </c>
      <c r="P476" s="70">
        <f>Table1[[#This Row],[Gross Amount]]*(1-(Table1[[#This Row],[Discount %]]/100))</f>
        <v>195929.9</v>
      </c>
      <c r="Q476" s="74">
        <f>(Table1[[#This Row],[Gross Amount]]*(1-(Table1[[#This Row],[Discount %]]/100)))/10000000</f>
        <v>1.9592990000000001E-2</v>
      </c>
      <c r="R476" t="s">
        <v>54</v>
      </c>
      <c r="S476" t="str" cm="1">
        <f t="array" ref="S476">IFERROR(_xlfn.IFS(Table1[[#This Row],[Payment Status]]="Partial","In Transit",Table1[[#This Row],[Payment Status]]="Paid","Delivered",Table1[[#This Row],[Payment Status]]="Pending","Pending"),"Invalid Input")</f>
        <v>Delivered</v>
      </c>
      <c r="T476" t="s">
        <v>27</v>
      </c>
      <c r="U476" t="str" cm="1">
        <f t="array" ref="U476">IFERROR(_xlfn.IFS(Table1[[#This Row],[Payment Status]]="Partial","In Transit",Table1[[#This Row],[Payment Status]]="Paid","Completed",Table1[[#This Row],[Payment Status]]="Pending","Pending"),"Invalid Input")</f>
        <v>Completed</v>
      </c>
    </row>
    <row r="477" spans="1:21" x14ac:dyDescent="0.25">
      <c r="A477" s="4" t="s">
        <v>966</v>
      </c>
      <c r="B477" s="5">
        <v>45326</v>
      </c>
      <c r="C477" t="s">
        <v>62</v>
      </c>
      <c r="D477" t="s">
        <v>37</v>
      </c>
      <c r="E477" t="s">
        <v>66</v>
      </c>
      <c r="F477" t="s">
        <v>3226</v>
      </c>
      <c r="G477" t="s">
        <v>67</v>
      </c>
      <c r="H477" t="str">
        <f>VLOOKUP(Table1[[#This Row],[City]],Table6[#All],2,FALSE)</f>
        <v>East</v>
      </c>
      <c r="I477" t="s">
        <v>53</v>
      </c>
      <c r="J477" t="str">
        <f>_xlfn.XLOOKUP(Table1[[#This Row],[Tractor Model]],Table7[Product Model],Table7[Product Category],"Not Available",0)</f>
        <v>Farmtrac</v>
      </c>
      <c r="K477" s="4">
        <v>8</v>
      </c>
      <c r="L477" s="72">
        <v>814848</v>
      </c>
      <c r="M477" s="4">
        <f>INDEX('Master Sheet'!$C$4:$C$12,MATCH(Table1[[#This Row],[Quantity]],'Master Sheet'!$B$4:$B$12,0))</f>
        <v>9</v>
      </c>
      <c r="N477" s="71">
        <f>Table1[[#This Row],[Quantity]]*Table1[[#This Row],[Unit Price]]</f>
        <v>6518784</v>
      </c>
      <c r="O477" s="73">
        <v>0.65187839999999997</v>
      </c>
      <c r="P477" s="70">
        <f>Table1[[#This Row],[Gross Amount]]*(1-(Table1[[#This Row],[Discount %]]/100))</f>
        <v>5932093.4400000004</v>
      </c>
      <c r="Q477" s="74">
        <f>(Table1[[#This Row],[Gross Amount]]*(1-(Table1[[#This Row],[Discount %]]/100)))/10000000</f>
        <v>0.59320934400000003</v>
      </c>
      <c r="R477" t="s">
        <v>42</v>
      </c>
      <c r="S477" t="str" cm="1">
        <f t="array" ref="S477">IFERROR(_xlfn.IFS(Table1[[#This Row],[Payment Status]]="Partial","In Transit",Table1[[#This Row],[Payment Status]]="Paid","Delivered",Table1[[#This Row],[Payment Status]]="Pending","Pending"),"Invalid Input")</f>
        <v>Pending</v>
      </c>
      <c r="T477" t="s">
        <v>27</v>
      </c>
      <c r="U477" t="str" cm="1">
        <f t="array" ref="U477">IFERROR(_xlfn.IFS(Table1[[#This Row],[Payment Status]]="Partial","In Transit",Table1[[#This Row],[Payment Status]]="Paid","Completed",Table1[[#This Row],[Payment Status]]="Pending","Pending"),"Invalid Input")</f>
        <v>Pending</v>
      </c>
    </row>
    <row r="478" spans="1:21" x14ac:dyDescent="0.25">
      <c r="A478" s="4" t="s">
        <v>968</v>
      </c>
      <c r="B478" s="5">
        <v>45567</v>
      </c>
      <c r="C478" t="s">
        <v>41</v>
      </c>
      <c r="D478" t="s">
        <v>3268</v>
      </c>
      <c r="E478" t="s">
        <v>38</v>
      </c>
      <c r="F478" t="s">
        <v>3219</v>
      </c>
      <c r="G478" t="s">
        <v>39</v>
      </c>
      <c r="H478" t="str">
        <f>VLOOKUP(Table1[[#This Row],[City]],Table6[#All],2,FALSE)</f>
        <v>West</v>
      </c>
      <c r="I478" t="s">
        <v>53</v>
      </c>
      <c r="J478" t="str">
        <f>_xlfn.XLOOKUP(Table1[[#This Row],[Tractor Model]],Table7[Product Model],Table7[Product Category],"Not Available",0)</f>
        <v>Farmtrac</v>
      </c>
      <c r="K478" s="4">
        <v>5</v>
      </c>
      <c r="L478" s="72">
        <v>561001</v>
      </c>
      <c r="M478" s="4">
        <f>INDEX('Master Sheet'!$C$4:$C$12,MATCH(Table1[[#This Row],[Quantity]],'Master Sheet'!$B$4:$B$12,0))</f>
        <v>7</v>
      </c>
      <c r="N478" s="71">
        <f>Table1[[#This Row],[Quantity]]*Table1[[#This Row],[Unit Price]]</f>
        <v>2805005</v>
      </c>
      <c r="O478" s="73">
        <v>0.28050049999999999</v>
      </c>
      <c r="P478" s="70">
        <f>Table1[[#This Row],[Gross Amount]]*(1-(Table1[[#This Row],[Discount %]]/100))</f>
        <v>2608654.65</v>
      </c>
      <c r="Q478" s="74">
        <f>(Table1[[#This Row],[Gross Amount]]*(1-(Table1[[#This Row],[Discount %]]/100)))/10000000</f>
        <v>0.26086546499999996</v>
      </c>
      <c r="R478" t="s">
        <v>54</v>
      </c>
      <c r="S478" t="str" cm="1">
        <f t="array" ref="S478">IFERROR(_xlfn.IFS(Table1[[#This Row],[Payment Status]]="Partial","In Transit",Table1[[#This Row],[Payment Status]]="Paid","Delivered",Table1[[#This Row],[Payment Status]]="Pending","Pending"),"Invalid Input")</f>
        <v>Delivered</v>
      </c>
      <c r="T478" t="s">
        <v>27</v>
      </c>
      <c r="U478" t="str" cm="1">
        <f t="array" ref="U478">IFERROR(_xlfn.IFS(Table1[[#This Row],[Payment Status]]="Partial","In Transit",Table1[[#This Row],[Payment Status]]="Paid","Completed",Table1[[#This Row],[Payment Status]]="Pending","Pending"),"Invalid Input")</f>
        <v>Completed</v>
      </c>
    </row>
    <row r="479" spans="1:21" x14ac:dyDescent="0.25">
      <c r="A479" s="4" t="s">
        <v>969</v>
      </c>
      <c r="B479" s="5">
        <v>45475</v>
      </c>
      <c r="C479" t="s">
        <v>41</v>
      </c>
      <c r="D479" t="s">
        <v>3269</v>
      </c>
      <c r="E479" t="s">
        <v>66</v>
      </c>
      <c r="F479" t="s">
        <v>3213</v>
      </c>
      <c r="G479" t="s">
        <v>67</v>
      </c>
      <c r="H479" t="str">
        <f>VLOOKUP(Table1[[#This Row],[City]],Table6[#All],2,FALSE)</f>
        <v>East</v>
      </c>
      <c r="I479" t="s">
        <v>58</v>
      </c>
      <c r="J479" t="str">
        <f>_xlfn.XLOOKUP(Table1[[#This Row],[Tractor Model]],Table7[Product Model],Table7[Product Category],"Not Available",0)</f>
        <v>Powertrac</v>
      </c>
      <c r="K479" s="4">
        <v>7</v>
      </c>
      <c r="L479" s="72">
        <v>316096</v>
      </c>
      <c r="M479" s="4">
        <f>INDEX('Master Sheet'!$C$4:$C$12,MATCH(Table1[[#This Row],[Quantity]],'Master Sheet'!$B$4:$B$12,0))</f>
        <v>9</v>
      </c>
      <c r="N479" s="71">
        <f>Table1[[#This Row],[Quantity]]*Table1[[#This Row],[Unit Price]]</f>
        <v>2212672</v>
      </c>
      <c r="O479" s="73">
        <v>0.2212672</v>
      </c>
      <c r="P479" s="70">
        <f>Table1[[#This Row],[Gross Amount]]*(1-(Table1[[#This Row],[Discount %]]/100))</f>
        <v>2013531.52</v>
      </c>
      <c r="Q479" s="74">
        <f>(Table1[[#This Row],[Gross Amount]]*(1-(Table1[[#This Row],[Discount %]]/100)))/10000000</f>
        <v>0.20135315200000001</v>
      </c>
      <c r="R479" t="s">
        <v>54</v>
      </c>
      <c r="S479" t="str" cm="1">
        <f t="array" ref="S479">IFERROR(_xlfn.IFS(Table1[[#This Row],[Payment Status]]="Partial","In Transit",Table1[[#This Row],[Payment Status]]="Paid","Delivered",Table1[[#This Row],[Payment Status]]="Pending","Pending"),"Invalid Input")</f>
        <v>Delivered</v>
      </c>
      <c r="T479" t="s">
        <v>27</v>
      </c>
      <c r="U479" t="str" cm="1">
        <f t="array" ref="U479">IFERROR(_xlfn.IFS(Table1[[#This Row],[Payment Status]]="Partial","In Transit",Table1[[#This Row],[Payment Status]]="Paid","Completed",Table1[[#This Row],[Payment Status]]="Pending","Pending"),"Invalid Input")</f>
        <v>Completed</v>
      </c>
    </row>
    <row r="480" spans="1:21" x14ac:dyDescent="0.25">
      <c r="A480" s="4" t="s">
        <v>970</v>
      </c>
      <c r="B480" s="5">
        <v>45348</v>
      </c>
      <c r="C480" t="s">
        <v>52</v>
      </c>
      <c r="D480" t="s">
        <v>3271</v>
      </c>
      <c r="E480" t="s">
        <v>119</v>
      </c>
      <c r="F480" t="s">
        <v>3228</v>
      </c>
      <c r="G480" t="s">
        <v>21</v>
      </c>
      <c r="H480" t="str">
        <f>VLOOKUP(Table1[[#This Row],[City]],Table6[#All],2,FALSE)</f>
        <v>North</v>
      </c>
      <c r="I480" t="s">
        <v>53</v>
      </c>
      <c r="J480" t="str">
        <f>_xlfn.XLOOKUP(Table1[[#This Row],[Tractor Model]],Table7[Product Model],Table7[Product Category],"Not Available",0)</f>
        <v>Farmtrac</v>
      </c>
      <c r="K480" s="4">
        <v>2</v>
      </c>
      <c r="L480" s="72">
        <v>649333</v>
      </c>
      <c r="M480" s="4">
        <f>INDEX('Master Sheet'!$C$4:$C$12,MATCH(Table1[[#This Row],[Quantity]],'Master Sheet'!$B$4:$B$12,0))</f>
        <v>5</v>
      </c>
      <c r="N480" s="71">
        <f>Table1[[#This Row],[Quantity]]*Table1[[#This Row],[Unit Price]]</f>
        <v>1298666</v>
      </c>
      <c r="O480" s="73">
        <v>0.1298666</v>
      </c>
      <c r="P480" s="70">
        <f>Table1[[#This Row],[Gross Amount]]*(1-(Table1[[#This Row],[Discount %]]/100))</f>
        <v>1233732.7</v>
      </c>
      <c r="Q480" s="74">
        <f>(Table1[[#This Row],[Gross Amount]]*(1-(Table1[[#This Row],[Discount %]]/100)))/10000000</f>
        <v>0.12337326999999999</v>
      </c>
      <c r="R480" t="s">
        <v>54</v>
      </c>
      <c r="S480" t="str" cm="1">
        <f t="array" ref="S480">IFERROR(_xlfn.IFS(Table1[[#This Row],[Payment Status]]="Partial","In Transit",Table1[[#This Row],[Payment Status]]="Paid","Delivered",Table1[[#This Row],[Payment Status]]="Pending","Pending"),"Invalid Input")</f>
        <v>Delivered</v>
      </c>
      <c r="T480" t="s">
        <v>44</v>
      </c>
      <c r="U480" t="str" cm="1">
        <f t="array" ref="U480">IFERROR(_xlfn.IFS(Table1[[#This Row],[Payment Status]]="Partial","In Transit",Table1[[#This Row],[Payment Status]]="Paid","Completed",Table1[[#This Row],[Payment Status]]="Pending","Pending"),"Invalid Input")</f>
        <v>Completed</v>
      </c>
    </row>
    <row r="481" spans="1:21" x14ac:dyDescent="0.25">
      <c r="A481" s="4" t="s">
        <v>972</v>
      </c>
      <c r="B481" s="5">
        <v>45713</v>
      </c>
      <c r="C481" t="s">
        <v>62</v>
      </c>
      <c r="D481" t="s">
        <v>3268</v>
      </c>
      <c r="E481" t="s">
        <v>30</v>
      </c>
      <c r="F481" t="s">
        <v>3208</v>
      </c>
      <c r="G481" t="s">
        <v>31</v>
      </c>
      <c r="H481" t="str">
        <f>VLOOKUP(Table1[[#This Row],[City]],Table6[#All],2,FALSE)</f>
        <v>South</v>
      </c>
      <c r="I481" t="s">
        <v>24</v>
      </c>
      <c r="J481" t="str">
        <f>_xlfn.XLOOKUP(Table1[[#This Row],[Tractor Model]],Table7[Product Model],Table7[Product Category],"Not Available",0)</f>
        <v>Farmtrac</v>
      </c>
      <c r="K481" s="4">
        <v>8</v>
      </c>
      <c r="L481" s="72">
        <v>576963</v>
      </c>
      <c r="M481" s="4">
        <f>INDEX('Master Sheet'!$C$4:$C$12,MATCH(Table1[[#This Row],[Quantity]],'Master Sheet'!$B$4:$B$12,0))</f>
        <v>9</v>
      </c>
      <c r="N481" s="71">
        <f>Table1[[#This Row],[Quantity]]*Table1[[#This Row],[Unit Price]]</f>
        <v>4615704</v>
      </c>
      <c r="O481" s="73">
        <v>0.46157039999999999</v>
      </c>
      <c r="P481" s="70">
        <f>Table1[[#This Row],[Gross Amount]]*(1-(Table1[[#This Row],[Discount %]]/100))</f>
        <v>4200290.6400000006</v>
      </c>
      <c r="Q481" s="74">
        <f>(Table1[[#This Row],[Gross Amount]]*(1-(Table1[[#This Row],[Discount %]]/100)))/10000000</f>
        <v>0.42002906400000006</v>
      </c>
      <c r="R481" t="s">
        <v>25</v>
      </c>
      <c r="S481" t="str" cm="1">
        <f t="array" ref="S481">IFERROR(_xlfn.IFS(Table1[[#This Row],[Payment Status]]="Partial","In Transit",Table1[[#This Row],[Payment Status]]="Paid","Delivered",Table1[[#This Row],[Payment Status]]="Pending","Pending"),"Invalid Input")</f>
        <v>In Transit</v>
      </c>
      <c r="T481" t="s">
        <v>27</v>
      </c>
      <c r="U481" t="str" cm="1">
        <f t="array" ref="U481">IFERROR(_xlfn.IFS(Table1[[#This Row],[Payment Status]]="Partial","In Transit",Table1[[#This Row],[Payment Status]]="Paid","Completed",Table1[[#This Row],[Payment Status]]="Pending","Pending"),"Invalid Input")</f>
        <v>In Transit</v>
      </c>
    </row>
    <row r="482" spans="1:21" x14ac:dyDescent="0.25">
      <c r="A482" s="4" t="s">
        <v>973</v>
      </c>
      <c r="B482" s="5">
        <v>45473</v>
      </c>
      <c r="C482" t="s">
        <v>62</v>
      </c>
      <c r="D482" t="s">
        <v>3268</v>
      </c>
      <c r="E482" t="s">
        <v>66</v>
      </c>
      <c r="F482" t="s">
        <v>3211</v>
      </c>
      <c r="G482" t="s">
        <v>67</v>
      </c>
      <c r="H482" t="str">
        <f>VLOOKUP(Table1[[#This Row],[City]],Table6[#All],2,FALSE)</f>
        <v>East</v>
      </c>
      <c r="I482" t="s">
        <v>58</v>
      </c>
      <c r="J482" t="str">
        <f>_xlfn.XLOOKUP(Table1[[#This Row],[Tractor Model]],Table7[Product Model],Table7[Product Category],"Not Available",0)</f>
        <v>Powertrac</v>
      </c>
      <c r="K482" s="4">
        <v>3</v>
      </c>
      <c r="L482" s="72">
        <v>244917</v>
      </c>
      <c r="M482" s="4">
        <f>INDEX('Master Sheet'!$C$4:$C$12,MATCH(Table1[[#This Row],[Quantity]],'Master Sheet'!$B$4:$B$12,0))</f>
        <v>6</v>
      </c>
      <c r="N482" s="71">
        <f>Table1[[#This Row],[Quantity]]*Table1[[#This Row],[Unit Price]]</f>
        <v>734751</v>
      </c>
      <c r="O482" s="73">
        <v>7.3475100000000002E-2</v>
      </c>
      <c r="P482" s="70">
        <f>Table1[[#This Row],[Gross Amount]]*(1-(Table1[[#This Row],[Discount %]]/100))</f>
        <v>690665.94</v>
      </c>
      <c r="Q482" s="74">
        <f>(Table1[[#This Row],[Gross Amount]]*(1-(Table1[[#This Row],[Discount %]]/100)))/10000000</f>
        <v>6.9066593999999995E-2</v>
      </c>
      <c r="R482" t="s">
        <v>42</v>
      </c>
      <c r="S482" t="str" cm="1">
        <f t="array" ref="S482">IFERROR(_xlfn.IFS(Table1[[#This Row],[Payment Status]]="Partial","In Transit",Table1[[#This Row],[Payment Status]]="Paid","Delivered",Table1[[#This Row],[Payment Status]]="Pending","Pending"),"Invalid Input")</f>
        <v>Pending</v>
      </c>
      <c r="T482" t="s">
        <v>27</v>
      </c>
      <c r="U482" t="str" cm="1">
        <f t="array" ref="U482">IFERROR(_xlfn.IFS(Table1[[#This Row],[Payment Status]]="Partial","In Transit",Table1[[#This Row],[Payment Status]]="Paid","Completed",Table1[[#This Row],[Payment Status]]="Pending","Pending"),"Invalid Input")</f>
        <v>Pending</v>
      </c>
    </row>
    <row r="483" spans="1:21" x14ac:dyDescent="0.25">
      <c r="A483" s="4" t="s">
        <v>975</v>
      </c>
      <c r="B483" s="5">
        <v>45426</v>
      </c>
      <c r="C483" t="s">
        <v>62</v>
      </c>
      <c r="D483" t="s">
        <v>3271</v>
      </c>
      <c r="E483" t="s">
        <v>119</v>
      </c>
      <c r="F483" t="s">
        <v>3228</v>
      </c>
      <c r="G483" t="s">
        <v>21</v>
      </c>
      <c r="H483" t="str">
        <f>VLOOKUP(Table1[[#This Row],[City]],Table6[#All],2,FALSE)</f>
        <v>North</v>
      </c>
      <c r="I483" t="s">
        <v>24</v>
      </c>
      <c r="J483" t="str">
        <f>_xlfn.XLOOKUP(Table1[[#This Row],[Tractor Model]],Table7[Product Model],Table7[Product Category],"Not Available",0)</f>
        <v>Farmtrac</v>
      </c>
      <c r="K483" s="4">
        <v>1</v>
      </c>
      <c r="L483" s="72">
        <v>352203</v>
      </c>
      <c r="M483" s="4">
        <f>INDEX('Master Sheet'!$C$4:$C$12,MATCH(Table1[[#This Row],[Quantity]],'Master Sheet'!$B$4:$B$12,0))</f>
        <v>3</v>
      </c>
      <c r="N483" s="71">
        <f>Table1[[#This Row],[Quantity]]*Table1[[#This Row],[Unit Price]]</f>
        <v>352203</v>
      </c>
      <c r="O483" s="73">
        <v>3.5220300000000003E-2</v>
      </c>
      <c r="P483" s="70">
        <f>Table1[[#This Row],[Gross Amount]]*(1-(Table1[[#This Row],[Discount %]]/100))</f>
        <v>341636.91</v>
      </c>
      <c r="Q483" s="74">
        <f>(Table1[[#This Row],[Gross Amount]]*(1-(Table1[[#This Row],[Discount %]]/100)))/10000000</f>
        <v>3.4163690999999996E-2</v>
      </c>
      <c r="R483" t="s">
        <v>42</v>
      </c>
      <c r="S483" t="str" cm="1">
        <f t="array" ref="S483">IFERROR(_xlfn.IFS(Table1[[#This Row],[Payment Status]]="Partial","In Transit",Table1[[#This Row],[Payment Status]]="Paid","Delivered",Table1[[#This Row],[Payment Status]]="Pending","Pending"),"Invalid Input")</f>
        <v>Pending</v>
      </c>
      <c r="T483" t="s">
        <v>27</v>
      </c>
      <c r="U483" t="str" cm="1">
        <f t="array" ref="U483">IFERROR(_xlfn.IFS(Table1[[#This Row],[Payment Status]]="Partial","In Transit",Table1[[#This Row],[Payment Status]]="Paid","Completed",Table1[[#This Row],[Payment Status]]="Pending","Pending"),"Invalid Input")</f>
        <v>Pending</v>
      </c>
    </row>
    <row r="484" spans="1:21" x14ac:dyDescent="0.25">
      <c r="A484" s="4" t="s">
        <v>976</v>
      </c>
      <c r="B484" s="5">
        <v>45455</v>
      </c>
      <c r="C484" t="s">
        <v>33</v>
      </c>
      <c r="D484" t="s">
        <v>3269</v>
      </c>
      <c r="E484" t="s">
        <v>47</v>
      </c>
      <c r="F484" t="s">
        <v>3209</v>
      </c>
      <c r="G484" t="s">
        <v>48</v>
      </c>
      <c r="H484" t="str">
        <f>VLOOKUP(Table1[[#This Row],[City]],Table6[#All],2,FALSE)</f>
        <v>North</v>
      </c>
      <c r="I484" t="s">
        <v>24</v>
      </c>
      <c r="J484" t="str">
        <f>_xlfn.XLOOKUP(Table1[[#This Row],[Tractor Model]],Table7[Product Model],Table7[Product Category],"Not Available",0)</f>
        <v>Farmtrac</v>
      </c>
      <c r="K484" s="4">
        <v>1</v>
      </c>
      <c r="L484" s="72">
        <v>92558</v>
      </c>
      <c r="M484" s="4">
        <f>INDEX('Master Sheet'!$C$4:$C$12,MATCH(Table1[[#This Row],[Quantity]],'Master Sheet'!$B$4:$B$12,0))</f>
        <v>3</v>
      </c>
      <c r="N484" s="71">
        <f>Table1[[#This Row],[Quantity]]*Table1[[#This Row],[Unit Price]]</f>
        <v>92558</v>
      </c>
      <c r="O484" s="73">
        <v>9.2557999999999998E-3</v>
      </c>
      <c r="P484" s="70">
        <f>Table1[[#This Row],[Gross Amount]]*(1-(Table1[[#This Row],[Discount %]]/100))</f>
        <v>89781.26</v>
      </c>
      <c r="Q484" s="74">
        <f>(Table1[[#This Row],[Gross Amount]]*(1-(Table1[[#This Row],[Discount %]]/100)))/10000000</f>
        <v>8.9781259999999995E-3</v>
      </c>
      <c r="R484" t="s">
        <v>54</v>
      </c>
      <c r="S484" t="str" cm="1">
        <f t="array" ref="S484">IFERROR(_xlfn.IFS(Table1[[#This Row],[Payment Status]]="Partial","In Transit",Table1[[#This Row],[Payment Status]]="Paid","Delivered",Table1[[#This Row],[Payment Status]]="Pending","Pending"),"Invalid Input")</f>
        <v>Delivered</v>
      </c>
      <c r="T484" t="s">
        <v>44</v>
      </c>
      <c r="U484" t="str" cm="1">
        <f t="array" ref="U484">IFERROR(_xlfn.IFS(Table1[[#This Row],[Payment Status]]="Partial","In Transit",Table1[[#This Row],[Payment Status]]="Paid","Completed",Table1[[#This Row],[Payment Status]]="Pending","Pending"),"Invalid Input")</f>
        <v>Completed</v>
      </c>
    </row>
    <row r="485" spans="1:21" x14ac:dyDescent="0.25">
      <c r="A485" s="4" t="s">
        <v>978</v>
      </c>
      <c r="B485" s="5">
        <v>45431</v>
      </c>
      <c r="C485" t="s">
        <v>52</v>
      </c>
      <c r="D485" t="s">
        <v>3270</v>
      </c>
      <c r="E485" t="s">
        <v>38</v>
      </c>
      <c r="F485" t="s">
        <v>3218</v>
      </c>
      <c r="G485" t="s">
        <v>39</v>
      </c>
      <c r="H485" t="str">
        <f>VLOOKUP(Table1[[#This Row],[City]],Table6[#All],2,FALSE)</f>
        <v>West</v>
      </c>
      <c r="I485" t="s">
        <v>58</v>
      </c>
      <c r="J485" t="str">
        <f>_xlfn.XLOOKUP(Table1[[#This Row],[Tractor Model]],Table7[Product Model],Table7[Product Category],"Not Available",0)</f>
        <v>Powertrac</v>
      </c>
      <c r="K485" s="4">
        <v>1</v>
      </c>
      <c r="L485" s="72">
        <v>704399</v>
      </c>
      <c r="M485" s="4">
        <f>INDEX('Master Sheet'!$C$4:$C$12,MATCH(Table1[[#This Row],[Quantity]],'Master Sheet'!$B$4:$B$12,0))</f>
        <v>3</v>
      </c>
      <c r="N485" s="71">
        <f>Table1[[#This Row],[Quantity]]*Table1[[#This Row],[Unit Price]]</f>
        <v>704399</v>
      </c>
      <c r="O485" s="73">
        <v>7.04399E-2</v>
      </c>
      <c r="P485" s="70">
        <f>Table1[[#This Row],[Gross Amount]]*(1-(Table1[[#This Row],[Discount %]]/100))</f>
        <v>683267.03</v>
      </c>
      <c r="Q485" s="74">
        <f>(Table1[[#This Row],[Gross Amount]]*(1-(Table1[[#This Row],[Discount %]]/100)))/10000000</f>
        <v>6.8326703000000003E-2</v>
      </c>
      <c r="R485" t="s">
        <v>25</v>
      </c>
      <c r="S485" t="str" cm="1">
        <f t="array" ref="S485">IFERROR(_xlfn.IFS(Table1[[#This Row],[Payment Status]]="Partial","In Transit",Table1[[#This Row],[Payment Status]]="Paid","Delivered",Table1[[#This Row],[Payment Status]]="Pending","Pending"),"Invalid Input")</f>
        <v>In Transit</v>
      </c>
      <c r="T485" t="s">
        <v>44</v>
      </c>
      <c r="U485" t="str" cm="1">
        <f t="array" ref="U485">IFERROR(_xlfn.IFS(Table1[[#This Row],[Payment Status]]="Partial","In Transit",Table1[[#This Row],[Payment Status]]="Paid","Completed",Table1[[#This Row],[Payment Status]]="Pending","Pending"),"Invalid Input")</f>
        <v>In Transit</v>
      </c>
    </row>
    <row r="486" spans="1:21" x14ac:dyDescent="0.25">
      <c r="A486" s="4" t="s">
        <v>980</v>
      </c>
      <c r="B486" s="5">
        <v>45776</v>
      </c>
      <c r="C486" t="s">
        <v>62</v>
      </c>
      <c r="D486" t="s">
        <v>37</v>
      </c>
      <c r="E486" t="s">
        <v>66</v>
      </c>
      <c r="F486" t="s">
        <v>3226</v>
      </c>
      <c r="G486" t="s">
        <v>67</v>
      </c>
      <c r="H486" t="str">
        <f>VLOOKUP(Table1[[#This Row],[City]],Table6[#All],2,FALSE)</f>
        <v>East</v>
      </c>
      <c r="I486" t="s">
        <v>3203</v>
      </c>
      <c r="J486" t="str">
        <f>_xlfn.XLOOKUP(Table1[[#This Row],[Tractor Model]],Table7[Product Model],Table7[Product Category],"Not Available",0)</f>
        <v>Kubota</v>
      </c>
      <c r="K486" s="4">
        <v>7</v>
      </c>
      <c r="L486" s="72">
        <v>248882</v>
      </c>
      <c r="M486" s="4">
        <f>INDEX('Master Sheet'!$C$4:$C$12,MATCH(Table1[[#This Row],[Quantity]],'Master Sheet'!$B$4:$B$12,0))</f>
        <v>9</v>
      </c>
      <c r="N486" s="71">
        <f>Table1[[#This Row],[Quantity]]*Table1[[#This Row],[Unit Price]]</f>
        <v>1742174</v>
      </c>
      <c r="O486" s="73">
        <v>0.17421739999999999</v>
      </c>
      <c r="P486" s="70">
        <f>Table1[[#This Row],[Gross Amount]]*(1-(Table1[[#This Row],[Discount %]]/100))</f>
        <v>1585378.34</v>
      </c>
      <c r="Q486" s="74">
        <f>(Table1[[#This Row],[Gross Amount]]*(1-(Table1[[#This Row],[Discount %]]/100)))/10000000</f>
        <v>0.15853783400000002</v>
      </c>
      <c r="R486" t="s">
        <v>42</v>
      </c>
      <c r="S486" t="str" cm="1">
        <f t="array" ref="S486">IFERROR(_xlfn.IFS(Table1[[#This Row],[Payment Status]]="Partial","In Transit",Table1[[#This Row],[Payment Status]]="Paid","Delivered",Table1[[#This Row],[Payment Status]]="Pending","Pending"),"Invalid Input")</f>
        <v>Pending</v>
      </c>
      <c r="T486" t="s">
        <v>27</v>
      </c>
      <c r="U486" t="str" cm="1">
        <f t="array" ref="U486">IFERROR(_xlfn.IFS(Table1[[#This Row],[Payment Status]]="Partial","In Transit",Table1[[#This Row],[Payment Status]]="Paid","Completed",Table1[[#This Row],[Payment Status]]="Pending","Pending"),"Invalid Input")</f>
        <v>Pending</v>
      </c>
    </row>
    <row r="487" spans="1:21" x14ac:dyDescent="0.25">
      <c r="A487" s="4" t="s">
        <v>982</v>
      </c>
      <c r="B487" s="5">
        <v>45449</v>
      </c>
      <c r="C487" t="s">
        <v>41</v>
      </c>
      <c r="D487" t="s">
        <v>37</v>
      </c>
      <c r="E487" t="s">
        <v>66</v>
      </c>
      <c r="F487" t="s">
        <v>3226</v>
      </c>
      <c r="G487" t="s">
        <v>67</v>
      </c>
      <c r="H487" t="str">
        <f>VLOOKUP(Table1[[#This Row],[City]],Table6[#All],2,FALSE)</f>
        <v>East</v>
      </c>
      <c r="I487" t="s">
        <v>24</v>
      </c>
      <c r="J487" t="str">
        <f>_xlfn.XLOOKUP(Table1[[#This Row],[Tractor Model]],Table7[Product Model],Table7[Product Category],"Not Available",0)</f>
        <v>Farmtrac</v>
      </c>
      <c r="K487" s="4">
        <v>7</v>
      </c>
      <c r="L487" s="72">
        <v>160083</v>
      </c>
      <c r="M487" s="4">
        <f>INDEX('Master Sheet'!$C$4:$C$12,MATCH(Table1[[#This Row],[Quantity]],'Master Sheet'!$B$4:$B$12,0))</f>
        <v>9</v>
      </c>
      <c r="N487" s="71">
        <f>Table1[[#This Row],[Quantity]]*Table1[[#This Row],[Unit Price]]</f>
        <v>1120581</v>
      </c>
      <c r="O487" s="73">
        <v>0.11205809999999999</v>
      </c>
      <c r="P487" s="70">
        <f>Table1[[#This Row],[Gross Amount]]*(1-(Table1[[#This Row],[Discount %]]/100))</f>
        <v>1019728.7100000001</v>
      </c>
      <c r="Q487" s="74">
        <f>(Table1[[#This Row],[Gross Amount]]*(1-(Table1[[#This Row],[Discount %]]/100)))/10000000</f>
        <v>0.10197287100000001</v>
      </c>
      <c r="R487" t="s">
        <v>54</v>
      </c>
      <c r="S487" t="str" cm="1">
        <f t="array" ref="S487">IFERROR(_xlfn.IFS(Table1[[#This Row],[Payment Status]]="Partial","In Transit",Table1[[#This Row],[Payment Status]]="Paid","Delivered",Table1[[#This Row],[Payment Status]]="Pending","Pending"),"Invalid Input")</f>
        <v>Delivered</v>
      </c>
      <c r="T487" t="s">
        <v>27</v>
      </c>
      <c r="U487" t="str" cm="1">
        <f t="array" ref="U487">IFERROR(_xlfn.IFS(Table1[[#This Row],[Payment Status]]="Partial","In Transit",Table1[[#This Row],[Payment Status]]="Paid","Completed",Table1[[#This Row],[Payment Status]]="Pending","Pending"),"Invalid Input")</f>
        <v>Completed</v>
      </c>
    </row>
    <row r="488" spans="1:21" x14ac:dyDescent="0.25">
      <c r="A488" s="4" t="s">
        <v>984</v>
      </c>
      <c r="B488" s="5">
        <v>45465</v>
      </c>
      <c r="C488" t="s">
        <v>52</v>
      </c>
      <c r="D488" t="s">
        <v>3268</v>
      </c>
      <c r="E488" t="s">
        <v>47</v>
      </c>
      <c r="F488" t="s">
        <v>3216</v>
      </c>
      <c r="G488" t="s">
        <v>48</v>
      </c>
      <c r="H488" t="str">
        <f>VLOOKUP(Table1[[#This Row],[City]],Table6[#All],2,FALSE)</f>
        <v>North</v>
      </c>
      <c r="I488" t="s">
        <v>53</v>
      </c>
      <c r="J488" t="str">
        <f>_xlfn.XLOOKUP(Table1[[#This Row],[Tractor Model]],Table7[Product Model],Table7[Product Category],"Not Available",0)</f>
        <v>Farmtrac</v>
      </c>
      <c r="K488" s="4">
        <v>6</v>
      </c>
      <c r="L488" s="72">
        <v>89734</v>
      </c>
      <c r="M488" s="4">
        <f>INDEX('Master Sheet'!$C$4:$C$12,MATCH(Table1[[#This Row],[Quantity]],'Master Sheet'!$B$4:$B$12,0))</f>
        <v>8</v>
      </c>
      <c r="N488" s="71">
        <f>Table1[[#This Row],[Quantity]]*Table1[[#This Row],[Unit Price]]</f>
        <v>538404</v>
      </c>
      <c r="O488" s="73">
        <v>5.3840399999999997E-2</v>
      </c>
      <c r="P488" s="70">
        <f>Table1[[#This Row],[Gross Amount]]*(1-(Table1[[#This Row],[Discount %]]/100))</f>
        <v>495331.68</v>
      </c>
      <c r="Q488" s="74">
        <f>(Table1[[#This Row],[Gross Amount]]*(1-(Table1[[#This Row],[Discount %]]/100)))/10000000</f>
        <v>4.9533168000000002E-2</v>
      </c>
      <c r="R488" t="s">
        <v>42</v>
      </c>
      <c r="S488" t="str" cm="1">
        <f t="array" ref="S488">IFERROR(_xlfn.IFS(Table1[[#This Row],[Payment Status]]="Partial","In Transit",Table1[[#This Row],[Payment Status]]="Paid","Delivered",Table1[[#This Row],[Payment Status]]="Pending","Pending"),"Invalid Input")</f>
        <v>Pending</v>
      </c>
      <c r="T488" t="s">
        <v>27</v>
      </c>
      <c r="U488" t="str" cm="1">
        <f t="array" ref="U488">IFERROR(_xlfn.IFS(Table1[[#This Row],[Payment Status]]="Partial","In Transit",Table1[[#This Row],[Payment Status]]="Paid","Completed",Table1[[#This Row],[Payment Status]]="Pending","Pending"),"Invalid Input")</f>
        <v>Pending</v>
      </c>
    </row>
    <row r="489" spans="1:21" x14ac:dyDescent="0.25">
      <c r="A489" s="4" t="s">
        <v>986</v>
      </c>
      <c r="B489" s="5">
        <v>45649</v>
      </c>
      <c r="C489" t="s">
        <v>33</v>
      </c>
      <c r="D489" t="s">
        <v>3271</v>
      </c>
      <c r="E489" t="s">
        <v>38</v>
      </c>
      <c r="F489" t="s">
        <v>3210</v>
      </c>
      <c r="G489" t="s">
        <v>39</v>
      </c>
      <c r="H489" t="str">
        <f>VLOOKUP(Table1[[#This Row],[City]],Table6[#All],2,FALSE)</f>
        <v>West</v>
      </c>
      <c r="I489" t="s">
        <v>24</v>
      </c>
      <c r="J489" t="str">
        <f>_xlfn.XLOOKUP(Table1[[#This Row],[Tractor Model]],Table7[Product Model],Table7[Product Category],"Not Available",0)</f>
        <v>Farmtrac</v>
      </c>
      <c r="K489" s="4">
        <v>5</v>
      </c>
      <c r="L489" s="72">
        <v>884996</v>
      </c>
      <c r="M489" s="4">
        <f>INDEX('Master Sheet'!$C$4:$C$12,MATCH(Table1[[#This Row],[Quantity]],'Master Sheet'!$B$4:$B$12,0))</f>
        <v>7</v>
      </c>
      <c r="N489" s="71">
        <f>Table1[[#This Row],[Quantity]]*Table1[[#This Row],[Unit Price]]</f>
        <v>4424980</v>
      </c>
      <c r="O489" s="73">
        <v>0.442498</v>
      </c>
      <c r="P489" s="70">
        <f>Table1[[#This Row],[Gross Amount]]*(1-(Table1[[#This Row],[Discount %]]/100))</f>
        <v>4115231.4</v>
      </c>
      <c r="Q489" s="74">
        <f>(Table1[[#This Row],[Gross Amount]]*(1-(Table1[[#This Row],[Discount %]]/100)))/10000000</f>
        <v>0.41152314000000001</v>
      </c>
      <c r="R489" t="s">
        <v>54</v>
      </c>
      <c r="S489" t="str" cm="1">
        <f t="array" ref="S489">IFERROR(_xlfn.IFS(Table1[[#This Row],[Payment Status]]="Partial","In Transit",Table1[[#This Row],[Payment Status]]="Paid","Delivered",Table1[[#This Row],[Payment Status]]="Pending","Pending"),"Invalid Input")</f>
        <v>Delivered</v>
      </c>
      <c r="T489" t="s">
        <v>27</v>
      </c>
      <c r="U489" t="str" cm="1">
        <f t="array" ref="U489">IFERROR(_xlfn.IFS(Table1[[#This Row],[Payment Status]]="Partial","In Transit",Table1[[#This Row],[Payment Status]]="Paid","Completed",Table1[[#This Row],[Payment Status]]="Pending","Pending"),"Invalid Input")</f>
        <v>Completed</v>
      </c>
    </row>
    <row r="490" spans="1:21" x14ac:dyDescent="0.25">
      <c r="A490" s="4" t="s">
        <v>988</v>
      </c>
      <c r="B490" s="5">
        <v>45817</v>
      </c>
      <c r="C490" t="s">
        <v>62</v>
      </c>
      <c r="D490" t="s">
        <v>3268</v>
      </c>
      <c r="E490" t="s">
        <v>66</v>
      </c>
      <c r="F490" t="s">
        <v>3211</v>
      </c>
      <c r="G490" t="s">
        <v>67</v>
      </c>
      <c r="H490" t="str">
        <f>VLOOKUP(Table1[[#This Row],[City]],Table6[#All],2,FALSE)</f>
        <v>East</v>
      </c>
      <c r="I490" t="s">
        <v>3203</v>
      </c>
      <c r="J490" t="str">
        <f>_xlfn.XLOOKUP(Table1[[#This Row],[Tractor Model]],Table7[Product Model],Table7[Product Category],"Not Available",0)</f>
        <v>Kubota</v>
      </c>
      <c r="K490" s="4">
        <v>6</v>
      </c>
      <c r="L490" s="72">
        <v>298062</v>
      </c>
      <c r="M490" s="4">
        <f>INDEX('Master Sheet'!$C$4:$C$12,MATCH(Table1[[#This Row],[Quantity]],'Master Sheet'!$B$4:$B$12,0))</f>
        <v>8</v>
      </c>
      <c r="N490" s="71">
        <f>Table1[[#This Row],[Quantity]]*Table1[[#This Row],[Unit Price]]</f>
        <v>1788372</v>
      </c>
      <c r="O490" s="73">
        <v>0.1788372</v>
      </c>
      <c r="P490" s="70">
        <f>Table1[[#This Row],[Gross Amount]]*(1-(Table1[[#This Row],[Discount %]]/100))</f>
        <v>1645302.24</v>
      </c>
      <c r="Q490" s="74">
        <f>(Table1[[#This Row],[Gross Amount]]*(1-(Table1[[#This Row],[Discount %]]/100)))/10000000</f>
        <v>0.164530224</v>
      </c>
      <c r="R490" t="s">
        <v>54</v>
      </c>
      <c r="S490" t="str" cm="1">
        <f t="array" ref="S490">IFERROR(_xlfn.IFS(Table1[[#This Row],[Payment Status]]="Partial","In Transit",Table1[[#This Row],[Payment Status]]="Paid","Delivered",Table1[[#This Row],[Payment Status]]="Pending","Pending"),"Invalid Input")</f>
        <v>Delivered</v>
      </c>
      <c r="T490" t="s">
        <v>44</v>
      </c>
      <c r="U490" t="str" cm="1">
        <f t="array" ref="U490">IFERROR(_xlfn.IFS(Table1[[#This Row],[Payment Status]]="Partial","In Transit",Table1[[#This Row],[Payment Status]]="Paid","Completed",Table1[[#This Row],[Payment Status]]="Pending","Pending"),"Invalid Input")</f>
        <v>Completed</v>
      </c>
    </row>
    <row r="491" spans="1:21" x14ac:dyDescent="0.25">
      <c r="A491" s="4" t="s">
        <v>990</v>
      </c>
      <c r="B491" s="5">
        <v>45816</v>
      </c>
      <c r="C491" t="s">
        <v>33</v>
      </c>
      <c r="D491" t="s">
        <v>3268</v>
      </c>
      <c r="E491" t="s">
        <v>66</v>
      </c>
      <c r="F491" t="s">
        <v>3211</v>
      </c>
      <c r="G491" t="s">
        <v>67</v>
      </c>
      <c r="H491" t="str">
        <f>VLOOKUP(Table1[[#This Row],[City]],Table6[#All],2,FALSE)</f>
        <v>East</v>
      </c>
      <c r="I491" t="s">
        <v>58</v>
      </c>
      <c r="J491" t="str">
        <f>_xlfn.XLOOKUP(Table1[[#This Row],[Tractor Model]],Table7[Product Model],Table7[Product Category],"Not Available",0)</f>
        <v>Powertrac</v>
      </c>
      <c r="K491" s="4">
        <v>5</v>
      </c>
      <c r="L491" s="72">
        <v>314814</v>
      </c>
      <c r="M491" s="4">
        <f>INDEX('Master Sheet'!$C$4:$C$12,MATCH(Table1[[#This Row],[Quantity]],'Master Sheet'!$B$4:$B$12,0))</f>
        <v>7</v>
      </c>
      <c r="N491" s="71">
        <f>Table1[[#This Row],[Quantity]]*Table1[[#This Row],[Unit Price]]</f>
        <v>1574070</v>
      </c>
      <c r="O491" s="73">
        <v>0.15740699999999999</v>
      </c>
      <c r="P491" s="70">
        <f>Table1[[#This Row],[Gross Amount]]*(1-(Table1[[#This Row],[Discount %]]/100))</f>
        <v>1463885.0999999999</v>
      </c>
      <c r="Q491" s="74">
        <f>(Table1[[#This Row],[Gross Amount]]*(1-(Table1[[#This Row],[Discount %]]/100)))/10000000</f>
        <v>0.14638851</v>
      </c>
      <c r="R491" t="s">
        <v>25</v>
      </c>
      <c r="S491" t="str" cm="1">
        <f t="array" ref="S491">IFERROR(_xlfn.IFS(Table1[[#This Row],[Payment Status]]="Partial","In Transit",Table1[[#This Row],[Payment Status]]="Paid","Delivered",Table1[[#This Row],[Payment Status]]="Pending","Pending"),"Invalid Input")</f>
        <v>In Transit</v>
      </c>
      <c r="T491" t="s">
        <v>27</v>
      </c>
      <c r="U491" t="str" cm="1">
        <f t="array" ref="U491">IFERROR(_xlfn.IFS(Table1[[#This Row],[Payment Status]]="Partial","In Transit",Table1[[#This Row],[Payment Status]]="Paid","Completed",Table1[[#This Row],[Payment Status]]="Pending","Pending"),"Invalid Input")</f>
        <v>In Transit</v>
      </c>
    </row>
    <row r="492" spans="1:21" x14ac:dyDescent="0.25">
      <c r="A492" s="4" t="s">
        <v>992</v>
      </c>
      <c r="B492" s="5">
        <v>45310</v>
      </c>
      <c r="C492" t="s">
        <v>52</v>
      </c>
      <c r="D492" t="s">
        <v>3268</v>
      </c>
      <c r="E492" t="s">
        <v>66</v>
      </c>
      <c r="F492" t="s">
        <v>3211</v>
      </c>
      <c r="G492" t="s">
        <v>67</v>
      </c>
      <c r="H492" t="str">
        <f>VLOOKUP(Table1[[#This Row],[City]],Table6[#All],2,FALSE)</f>
        <v>East</v>
      </c>
      <c r="I492" t="s">
        <v>24</v>
      </c>
      <c r="J492" t="str">
        <f>_xlfn.XLOOKUP(Table1[[#This Row],[Tractor Model]],Table7[Product Model],Table7[Product Category],"Not Available",0)</f>
        <v>Farmtrac</v>
      </c>
      <c r="K492" s="4">
        <v>8</v>
      </c>
      <c r="L492" s="72">
        <v>182530</v>
      </c>
      <c r="M492" s="4">
        <f>INDEX('Master Sheet'!$C$4:$C$12,MATCH(Table1[[#This Row],[Quantity]],'Master Sheet'!$B$4:$B$12,0))</f>
        <v>9</v>
      </c>
      <c r="N492" s="71">
        <f>Table1[[#This Row],[Quantity]]*Table1[[#This Row],[Unit Price]]</f>
        <v>1460240</v>
      </c>
      <c r="O492" s="73">
        <v>0.14602399999999999</v>
      </c>
      <c r="P492" s="70">
        <f>Table1[[#This Row],[Gross Amount]]*(1-(Table1[[#This Row],[Discount %]]/100))</f>
        <v>1328818.4000000001</v>
      </c>
      <c r="Q492" s="74">
        <f>(Table1[[#This Row],[Gross Amount]]*(1-(Table1[[#This Row],[Discount %]]/100)))/10000000</f>
        <v>0.13288184</v>
      </c>
      <c r="R492" t="s">
        <v>25</v>
      </c>
      <c r="S492" t="str" cm="1">
        <f t="array" ref="S492">IFERROR(_xlfn.IFS(Table1[[#This Row],[Payment Status]]="Partial","In Transit",Table1[[#This Row],[Payment Status]]="Paid","Delivered",Table1[[#This Row],[Payment Status]]="Pending","Pending"),"Invalid Input")</f>
        <v>In Transit</v>
      </c>
      <c r="T492" t="s">
        <v>27</v>
      </c>
      <c r="U492" t="str" cm="1">
        <f t="array" ref="U492">IFERROR(_xlfn.IFS(Table1[[#This Row],[Payment Status]]="Partial","In Transit",Table1[[#This Row],[Payment Status]]="Paid","Completed",Table1[[#This Row],[Payment Status]]="Pending","Pending"),"Invalid Input")</f>
        <v>In Transit</v>
      </c>
    </row>
    <row r="493" spans="1:21" x14ac:dyDescent="0.25">
      <c r="A493" s="4" t="s">
        <v>994</v>
      </c>
      <c r="B493" s="5">
        <v>45576</v>
      </c>
      <c r="C493" t="s">
        <v>33</v>
      </c>
      <c r="D493" t="s">
        <v>37</v>
      </c>
      <c r="E493" t="s">
        <v>30</v>
      </c>
      <c r="F493" t="s">
        <v>3222</v>
      </c>
      <c r="G493" t="s">
        <v>31</v>
      </c>
      <c r="H493" t="str">
        <f>VLOOKUP(Table1[[#This Row],[City]],Table6[#All],2,FALSE)</f>
        <v>South</v>
      </c>
      <c r="I493" t="s">
        <v>53</v>
      </c>
      <c r="J493" t="str">
        <f>_xlfn.XLOOKUP(Table1[[#This Row],[Tractor Model]],Table7[Product Model],Table7[Product Category],"Not Available",0)</f>
        <v>Farmtrac</v>
      </c>
      <c r="K493" s="4">
        <v>4</v>
      </c>
      <c r="L493" s="72">
        <v>224659</v>
      </c>
      <c r="M493" s="4">
        <f>INDEX('Master Sheet'!$C$4:$C$12,MATCH(Table1[[#This Row],[Quantity]],'Master Sheet'!$B$4:$B$12,0))</f>
        <v>6</v>
      </c>
      <c r="N493" s="71">
        <f>Table1[[#This Row],[Quantity]]*Table1[[#This Row],[Unit Price]]</f>
        <v>898636</v>
      </c>
      <c r="O493" s="73">
        <v>8.9863600000000002E-2</v>
      </c>
      <c r="P493" s="70">
        <f>Table1[[#This Row],[Gross Amount]]*(1-(Table1[[#This Row],[Discount %]]/100))</f>
        <v>844717.84</v>
      </c>
      <c r="Q493" s="74">
        <f>(Table1[[#This Row],[Gross Amount]]*(1-(Table1[[#This Row],[Discount %]]/100)))/10000000</f>
        <v>8.4471783999999994E-2</v>
      </c>
      <c r="R493" t="s">
        <v>42</v>
      </c>
      <c r="S493" t="str" cm="1">
        <f t="array" ref="S493">IFERROR(_xlfn.IFS(Table1[[#This Row],[Payment Status]]="Partial","In Transit",Table1[[#This Row],[Payment Status]]="Paid","Delivered",Table1[[#This Row],[Payment Status]]="Pending","Pending"),"Invalid Input")</f>
        <v>Pending</v>
      </c>
      <c r="T493" t="s">
        <v>44</v>
      </c>
      <c r="U493" t="str" cm="1">
        <f t="array" ref="U493">IFERROR(_xlfn.IFS(Table1[[#This Row],[Payment Status]]="Partial","In Transit",Table1[[#This Row],[Payment Status]]="Paid","Completed",Table1[[#This Row],[Payment Status]]="Pending","Pending"),"Invalid Input")</f>
        <v>Pending</v>
      </c>
    </row>
    <row r="494" spans="1:21" x14ac:dyDescent="0.25">
      <c r="A494" s="4" t="s">
        <v>996</v>
      </c>
      <c r="B494" s="5">
        <v>45430</v>
      </c>
      <c r="C494" t="s">
        <v>41</v>
      </c>
      <c r="D494" t="s">
        <v>3268</v>
      </c>
      <c r="E494" t="s">
        <v>47</v>
      </c>
      <c r="F494" t="s">
        <v>3216</v>
      </c>
      <c r="G494" t="s">
        <v>48</v>
      </c>
      <c r="H494" t="str">
        <f>VLOOKUP(Table1[[#This Row],[City]],Table6[#All],2,FALSE)</f>
        <v>North</v>
      </c>
      <c r="I494" t="s">
        <v>3204</v>
      </c>
      <c r="J494" t="str">
        <f>_xlfn.XLOOKUP(Table1[[#This Row],[Tractor Model]],Table7[Product Model],Table7[Product Category],"Not Available",0)</f>
        <v>Kubota</v>
      </c>
      <c r="K494" s="4">
        <v>6</v>
      </c>
      <c r="L494" s="72">
        <v>629744</v>
      </c>
      <c r="M494" s="4">
        <f>INDEX('Master Sheet'!$C$4:$C$12,MATCH(Table1[[#This Row],[Quantity]],'Master Sheet'!$B$4:$B$12,0))</f>
        <v>8</v>
      </c>
      <c r="N494" s="71">
        <f>Table1[[#This Row],[Quantity]]*Table1[[#This Row],[Unit Price]]</f>
        <v>3778464</v>
      </c>
      <c r="O494" s="73">
        <v>0.37784640000000003</v>
      </c>
      <c r="P494" s="70">
        <f>Table1[[#This Row],[Gross Amount]]*(1-(Table1[[#This Row],[Discount %]]/100))</f>
        <v>3476186.8800000004</v>
      </c>
      <c r="Q494" s="74">
        <f>(Table1[[#This Row],[Gross Amount]]*(1-(Table1[[#This Row],[Discount %]]/100)))/10000000</f>
        <v>0.34761868800000001</v>
      </c>
      <c r="R494" t="s">
        <v>54</v>
      </c>
      <c r="S494" t="str" cm="1">
        <f t="array" ref="S494">IFERROR(_xlfn.IFS(Table1[[#This Row],[Payment Status]]="Partial","In Transit",Table1[[#This Row],[Payment Status]]="Paid","Delivered",Table1[[#This Row],[Payment Status]]="Pending","Pending"),"Invalid Input")</f>
        <v>Delivered</v>
      </c>
      <c r="T494" t="s">
        <v>27</v>
      </c>
      <c r="U494" t="str" cm="1">
        <f t="array" ref="U494">IFERROR(_xlfn.IFS(Table1[[#This Row],[Payment Status]]="Partial","In Transit",Table1[[#This Row],[Payment Status]]="Paid","Completed",Table1[[#This Row],[Payment Status]]="Pending","Pending"),"Invalid Input")</f>
        <v>Completed</v>
      </c>
    </row>
    <row r="495" spans="1:21" x14ac:dyDescent="0.25">
      <c r="A495" s="4" t="s">
        <v>998</v>
      </c>
      <c r="B495" s="5">
        <v>45523</v>
      </c>
      <c r="C495" t="s">
        <v>52</v>
      </c>
      <c r="D495" t="s">
        <v>3270</v>
      </c>
      <c r="E495" t="s">
        <v>47</v>
      </c>
      <c r="F495" t="s">
        <v>3205</v>
      </c>
      <c r="G495" t="s">
        <v>48</v>
      </c>
      <c r="H495" t="str">
        <f>VLOOKUP(Table1[[#This Row],[City]],Table6[#All],2,FALSE)</f>
        <v>North</v>
      </c>
      <c r="I495" t="s">
        <v>58</v>
      </c>
      <c r="J495" t="str">
        <f>_xlfn.XLOOKUP(Table1[[#This Row],[Tractor Model]],Table7[Product Model],Table7[Product Category],"Not Available",0)</f>
        <v>Powertrac</v>
      </c>
      <c r="K495" s="4">
        <v>2</v>
      </c>
      <c r="L495" s="72">
        <v>616190</v>
      </c>
      <c r="M495" s="4">
        <f>INDEX('Master Sheet'!$C$4:$C$12,MATCH(Table1[[#This Row],[Quantity]],'Master Sheet'!$B$4:$B$12,0))</f>
        <v>5</v>
      </c>
      <c r="N495" s="71">
        <f>Table1[[#This Row],[Quantity]]*Table1[[#This Row],[Unit Price]]</f>
        <v>1232380</v>
      </c>
      <c r="O495" s="73">
        <v>0.123238</v>
      </c>
      <c r="P495" s="70">
        <f>Table1[[#This Row],[Gross Amount]]*(1-(Table1[[#This Row],[Discount %]]/100))</f>
        <v>1170761</v>
      </c>
      <c r="Q495" s="74">
        <f>(Table1[[#This Row],[Gross Amount]]*(1-(Table1[[#This Row],[Discount %]]/100)))/10000000</f>
        <v>0.1170761</v>
      </c>
      <c r="R495" t="s">
        <v>42</v>
      </c>
      <c r="S495" t="str" cm="1">
        <f t="array" ref="S495">IFERROR(_xlfn.IFS(Table1[[#This Row],[Payment Status]]="Partial","In Transit",Table1[[#This Row],[Payment Status]]="Paid","Delivered",Table1[[#This Row],[Payment Status]]="Pending","Pending"),"Invalid Input")</f>
        <v>Pending</v>
      </c>
      <c r="T495" t="s">
        <v>27</v>
      </c>
      <c r="U495" t="str" cm="1">
        <f t="array" ref="U495">IFERROR(_xlfn.IFS(Table1[[#This Row],[Payment Status]]="Partial","In Transit",Table1[[#This Row],[Payment Status]]="Paid","Completed",Table1[[#This Row],[Payment Status]]="Pending","Pending"),"Invalid Input")</f>
        <v>Pending</v>
      </c>
    </row>
    <row r="496" spans="1:21" x14ac:dyDescent="0.25">
      <c r="A496" s="4" t="s">
        <v>999</v>
      </c>
      <c r="B496" s="5">
        <v>45570</v>
      </c>
      <c r="C496" t="s">
        <v>41</v>
      </c>
      <c r="D496" t="s">
        <v>3270</v>
      </c>
      <c r="E496" t="s">
        <v>30</v>
      </c>
      <c r="F496" t="s">
        <v>3223</v>
      </c>
      <c r="G496" t="s">
        <v>31</v>
      </c>
      <c r="H496" t="str">
        <f>VLOOKUP(Table1[[#This Row],[City]],Table6[#All],2,FALSE)</f>
        <v>South</v>
      </c>
      <c r="I496" t="s">
        <v>3203</v>
      </c>
      <c r="J496" t="str">
        <f>_xlfn.XLOOKUP(Table1[[#This Row],[Tractor Model]],Table7[Product Model],Table7[Product Category],"Not Available",0)</f>
        <v>Kubota</v>
      </c>
      <c r="K496" s="4">
        <v>5</v>
      </c>
      <c r="L496" s="72">
        <v>670557</v>
      </c>
      <c r="M496" s="4">
        <f>INDEX('Master Sheet'!$C$4:$C$12,MATCH(Table1[[#This Row],[Quantity]],'Master Sheet'!$B$4:$B$12,0))</f>
        <v>7</v>
      </c>
      <c r="N496" s="71">
        <f>Table1[[#This Row],[Quantity]]*Table1[[#This Row],[Unit Price]]</f>
        <v>3352785</v>
      </c>
      <c r="O496" s="73">
        <v>0.33527849999999998</v>
      </c>
      <c r="P496" s="70">
        <f>Table1[[#This Row],[Gross Amount]]*(1-(Table1[[#This Row],[Discount %]]/100))</f>
        <v>3118090.05</v>
      </c>
      <c r="Q496" s="74">
        <f>(Table1[[#This Row],[Gross Amount]]*(1-(Table1[[#This Row],[Discount %]]/100)))/10000000</f>
        <v>0.31180900499999997</v>
      </c>
      <c r="R496" t="s">
        <v>25</v>
      </c>
      <c r="S496" t="str" cm="1">
        <f t="array" ref="S496">IFERROR(_xlfn.IFS(Table1[[#This Row],[Payment Status]]="Partial","In Transit",Table1[[#This Row],[Payment Status]]="Paid","Delivered",Table1[[#This Row],[Payment Status]]="Pending","Pending"),"Invalid Input")</f>
        <v>In Transit</v>
      </c>
      <c r="T496" t="s">
        <v>27</v>
      </c>
      <c r="U496" t="str" cm="1">
        <f t="array" ref="U496">IFERROR(_xlfn.IFS(Table1[[#This Row],[Payment Status]]="Partial","In Transit",Table1[[#This Row],[Payment Status]]="Paid","Completed",Table1[[#This Row],[Payment Status]]="Pending","Pending"),"Invalid Input")</f>
        <v>In Transit</v>
      </c>
    </row>
    <row r="497" spans="1:21" x14ac:dyDescent="0.25">
      <c r="A497" s="4" t="s">
        <v>1001</v>
      </c>
      <c r="B497" s="5">
        <v>45440</v>
      </c>
      <c r="C497" t="s">
        <v>33</v>
      </c>
      <c r="D497" t="s">
        <v>3269</v>
      </c>
      <c r="E497" t="s">
        <v>66</v>
      </c>
      <c r="F497" t="s">
        <v>3213</v>
      </c>
      <c r="G497" t="s">
        <v>67</v>
      </c>
      <c r="H497" t="str">
        <f>VLOOKUP(Table1[[#This Row],[City]],Table6[#All],2,FALSE)</f>
        <v>East</v>
      </c>
      <c r="I497" t="s">
        <v>58</v>
      </c>
      <c r="J497" t="str">
        <f>_xlfn.XLOOKUP(Table1[[#This Row],[Tractor Model]],Table7[Product Model],Table7[Product Category],"Not Available",0)</f>
        <v>Powertrac</v>
      </c>
      <c r="K497" s="4">
        <v>6</v>
      </c>
      <c r="L497" s="72">
        <v>348137</v>
      </c>
      <c r="M497" s="4">
        <f>INDEX('Master Sheet'!$C$4:$C$12,MATCH(Table1[[#This Row],[Quantity]],'Master Sheet'!$B$4:$B$12,0))</f>
        <v>8</v>
      </c>
      <c r="N497" s="71">
        <f>Table1[[#This Row],[Quantity]]*Table1[[#This Row],[Unit Price]]</f>
        <v>2088822</v>
      </c>
      <c r="O497" s="73">
        <v>0.20888219999999999</v>
      </c>
      <c r="P497" s="70">
        <f>Table1[[#This Row],[Gross Amount]]*(1-(Table1[[#This Row],[Discount %]]/100))</f>
        <v>1921716.24</v>
      </c>
      <c r="Q497" s="74">
        <f>(Table1[[#This Row],[Gross Amount]]*(1-(Table1[[#This Row],[Discount %]]/100)))/10000000</f>
        <v>0.19217162399999999</v>
      </c>
      <c r="R497" t="s">
        <v>25</v>
      </c>
      <c r="S497" t="str" cm="1">
        <f t="array" ref="S497">IFERROR(_xlfn.IFS(Table1[[#This Row],[Payment Status]]="Partial","In Transit",Table1[[#This Row],[Payment Status]]="Paid","Delivered",Table1[[#This Row],[Payment Status]]="Pending","Pending"),"Invalid Input")</f>
        <v>In Transit</v>
      </c>
      <c r="T497" t="s">
        <v>27</v>
      </c>
      <c r="U497" t="str" cm="1">
        <f t="array" ref="U497">IFERROR(_xlfn.IFS(Table1[[#This Row],[Payment Status]]="Partial","In Transit",Table1[[#This Row],[Payment Status]]="Paid","Completed",Table1[[#This Row],[Payment Status]]="Pending","Pending"),"Invalid Input")</f>
        <v>In Transit</v>
      </c>
    </row>
    <row r="498" spans="1:21" x14ac:dyDescent="0.25">
      <c r="A498" s="4" t="s">
        <v>1003</v>
      </c>
      <c r="B498" s="5">
        <v>45683</v>
      </c>
      <c r="C498" t="s">
        <v>52</v>
      </c>
      <c r="D498" t="s">
        <v>3269</v>
      </c>
      <c r="E498" t="s">
        <v>66</v>
      </c>
      <c r="F498" t="s">
        <v>3213</v>
      </c>
      <c r="G498" t="s">
        <v>67</v>
      </c>
      <c r="H498" t="str">
        <f>VLOOKUP(Table1[[#This Row],[City]],Table6[#All],2,FALSE)</f>
        <v>East</v>
      </c>
      <c r="I498" t="s">
        <v>58</v>
      </c>
      <c r="J498" t="str">
        <f>_xlfn.XLOOKUP(Table1[[#This Row],[Tractor Model]],Table7[Product Model],Table7[Product Category],"Not Available",0)</f>
        <v>Powertrac</v>
      </c>
      <c r="K498" s="4">
        <v>8</v>
      </c>
      <c r="L498" s="72">
        <v>263341</v>
      </c>
      <c r="M498" s="4">
        <f>INDEX('Master Sheet'!$C$4:$C$12,MATCH(Table1[[#This Row],[Quantity]],'Master Sheet'!$B$4:$B$12,0))</f>
        <v>9</v>
      </c>
      <c r="N498" s="71">
        <f>Table1[[#This Row],[Quantity]]*Table1[[#This Row],[Unit Price]]</f>
        <v>2106728</v>
      </c>
      <c r="O498" s="73">
        <v>0.21067279999999999</v>
      </c>
      <c r="P498" s="70">
        <f>Table1[[#This Row],[Gross Amount]]*(1-(Table1[[#This Row],[Discount %]]/100))</f>
        <v>1917122.48</v>
      </c>
      <c r="Q498" s="74">
        <f>(Table1[[#This Row],[Gross Amount]]*(1-(Table1[[#This Row],[Discount %]]/100)))/10000000</f>
        <v>0.191712248</v>
      </c>
      <c r="R498" t="s">
        <v>42</v>
      </c>
      <c r="S498" t="str" cm="1">
        <f t="array" ref="S498">IFERROR(_xlfn.IFS(Table1[[#This Row],[Payment Status]]="Partial","In Transit",Table1[[#This Row],[Payment Status]]="Paid","Delivered",Table1[[#This Row],[Payment Status]]="Pending","Pending"),"Invalid Input")</f>
        <v>Pending</v>
      </c>
      <c r="T498" t="s">
        <v>27</v>
      </c>
      <c r="U498" t="str" cm="1">
        <f t="array" ref="U498">IFERROR(_xlfn.IFS(Table1[[#This Row],[Payment Status]]="Partial","In Transit",Table1[[#This Row],[Payment Status]]="Paid","Completed",Table1[[#This Row],[Payment Status]]="Pending","Pending"),"Invalid Input")</f>
        <v>Pending</v>
      </c>
    </row>
    <row r="499" spans="1:21" x14ac:dyDescent="0.25">
      <c r="A499" s="4" t="s">
        <v>1005</v>
      </c>
      <c r="B499" s="5">
        <v>45318</v>
      </c>
      <c r="C499" t="s">
        <v>62</v>
      </c>
      <c r="D499" t="s">
        <v>3271</v>
      </c>
      <c r="E499" t="s">
        <v>66</v>
      </c>
      <c r="F499" t="s">
        <v>3207</v>
      </c>
      <c r="G499" t="s">
        <v>67</v>
      </c>
      <c r="H499" t="str">
        <f>VLOOKUP(Table1[[#This Row],[City]],Table6[#All],2,FALSE)</f>
        <v>East</v>
      </c>
      <c r="I499" t="s">
        <v>58</v>
      </c>
      <c r="J499" t="str">
        <f>_xlfn.XLOOKUP(Table1[[#This Row],[Tractor Model]],Table7[Product Model],Table7[Product Category],"Not Available",0)</f>
        <v>Powertrac</v>
      </c>
      <c r="K499" s="4">
        <v>3</v>
      </c>
      <c r="L499" s="72">
        <v>60901</v>
      </c>
      <c r="M499" s="4">
        <f>INDEX('Master Sheet'!$C$4:$C$12,MATCH(Table1[[#This Row],[Quantity]],'Master Sheet'!$B$4:$B$12,0))</f>
        <v>6</v>
      </c>
      <c r="N499" s="71">
        <f>Table1[[#This Row],[Quantity]]*Table1[[#This Row],[Unit Price]]</f>
        <v>182703</v>
      </c>
      <c r="O499" s="73">
        <v>1.82703E-2</v>
      </c>
      <c r="P499" s="70">
        <f>Table1[[#This Row],[Gross Amount]]*(1-(Table1[[#This Row],[Discount %]]/100))</f>
        <v>171740.81999999998</v>
      </c>
      <c r="Q499" s="74">
        <f>(Table1[[#This Row],[Gross Amount]]*(1-(Table1[[#This Row],[Discount %]]/100)))/10000000</f>
        <v>1.7174081999999997E-2</v>
      </c>
      <c r="R499" t="s">
        <v>42</v>
      </c>
      <c r="S499" t="str" cm="1">
        <f t="array" ref="S499">IFERROR(_xlfn.IFS(Table1[[#This Row],[Payment Status]]="Partial","In Transit",Table1[[#This Row],[Payment Status]]="Paid","Delivered",Table1[[#This Row],[Payment Status]]="Pending","Pending"),"Invalid Input")</f>
        <v>Pending</v>
      </c>
      <c r="T499" t="s">
        <v>44</v>
      </c>
      <c r="U499" t="str" cm="1">
        <f t="array" ref="U499">IFERROR(_xlfn.IFS(Table1[[#This Row],[Payment Status]]="Partial","In Transit",Table1[[#This Row],[Payment Status]]="Paid","Completed",Table1[[#This Row],[Payment Status]]="Pending","Pending"),"Invalid Input")</f>
        <v>Pending</v>
      </c>
    </row>
    <row r="500" spans="1:21" x14ac:dyDescent="0.25">
      <c r="A500" s="4" t="s">
        <v>1006</v>
      </c>
      <c r="B500" s="5">
        <v>45802</v>
      </c>
      <c r="C500" t="s">
        <v>52</v>
      </c>
      <c r="D500" t="s">
        <v>3270</v>
      </c>
      <c r="E500" t="s">
        <v>38</v>
      </c>
      <c r="F500" t="s">
        <v>3218</v>
      </c>
      <c r="G500" t="s">
        <v>39</v>
      </c>
      <c r="H500" t="str">
        <f>VLOOKUP(Table1[[#This Row],[City]],Table6[#All],2,FALSE)</f>
        <v>West</v>
      </c>
      <c r="I500" t="s">
        <v>3204</v>
      </c>
      <c r="J500" t="str">
        <f>_xlfn.XLOOKUP(Table1[[#This Row],[Tractor Model]],Table7[Product Model],Table7[Product Category],"Not Available",0)</f>
        <v>Kubota</v>
      </c>
      <c r="K500" s="4">
        <v>2</v>
      </c>
      <c r="L500" s="72">
        <v>332735</v>
      </c>
      <c r="M500" s="4">
        <f>INDEX('Master Sheet'!$C$4:$C$12,MATCH(Table1[[#This Row],[Quantity]],'Master Sheet'!$B$4:$B$12,0))</f>
        <v>5</v>
      </c>
      <c r="N500" s="71">
        <f>Table1[[#This Row],[Quantity]]*Table1[[#This Row],[Unit Price]]</f>
        <v>665470</v>
      </c>
      <c r="O500" s="73">
        <v>6.6546999999999995E-2</v>
      </c>
      <c r="P500" s="70">
        <f>Table1[[#This Row],[Gross Amount]]*(1-(Table1[[#This Row],[Discount %]]/100))</f>
        <v>632196.5</v>
      </c>
      <c r="Q500" s="74">
        <f>(Table1[[#This Row],[Gross Amount]]*(1-(Table1[[#This Row],[Discount %]]/100)))/10000000</f>
        <v>6.3219650000000002E-2</v>
      </c>
      <c r="R500" t="s">
        <v>42</v>
      </c>
      <c r="S500" t="str" cm="1">
        <f t="array" ref="S500">IFERROR(_xlfn.IFS(Table1[[#This Row],[Payment Status]]="Partial","In Transit",Table1[[#This Row],[Payment Status]]="Paid","Delivered",Table1[[#This Row],[Payment Status]]="Pending","Pending"),"Invalid Input")</f>
        <v>Pending</v>
      </c>
      <c r="T500" t="s">
        <v>27</v>
      </c>
      <c r="U500" t="str" cm="1">
        <f t="array" ref="U500">IFERROR(_xlfn.IFS(Table1[[#This Row],[Payment Status]]="Partial","In Transit",Table1[[#This Row],[Payment Status]]="Paid","Completed",Table1[[#This Row],[Payment Status]]="Pending","Pending"),"Invalid Input")</f>
        <v>Pending</v>
      </c>
    </row>
    <row r="501" spans="1:21" x14ac:dyDescent="0.25">
      <c r="A501" s="4" t="s">
        <v>1008</v>
      </c>
      <c r="B501" s="5">
        <v>45832</v>
      </c>
      <c r="C501" t="s">
        <v>33</v>
      </c>
      <c r="D501" t="s">
        <v>3269</v>
      </c>
      <c r="E501" t="s">
        <v>38</v>
      </c>
      <c r="F501" t="s">
        <v>3206</v>
      </c>
      <c r="G501" t="s">
        <v>39</v>
      </c>
      <c r="H501" t="str">
        <f>VLOOKUP(Table1[[#This Row],[City]],Table6[#All],2,FALSE)</f>
        <v>West</v>
      </c>
      <c r="I501" t="s">
        <v>24</v>
      </c>
      <c r="J501" t="str">
        <f>_xlfn.XLOOKUP(Table1[[#This Row],[Tractor Model]],Table7[Product Model],Table7[Product Category],"Not Available",0)</f>
        <v>Farmtrac</v>
      </c>
      <c r="K501" s="4">
        <v>1</v>
      </c>
      <c r="L501" s="72">
        <v>595381</v>
      </c>
      <c r="M501" s="4">
        <f>INDEX('Master Sheet'!$C$4:$C$12,MATCH(Table1[[#This Row],[Quantity]],'Master Sheet'!$B$4:$B$12,0))</f>
        <v>3</v>
      </c>
      <c r="N501" s="71">
        <f>Table1[[#This Row],[Quantity]]*Table1[[#This Row],[Unit Price]]</f>
        <v>595381</v>
      </c>
      <c r="O501" s="73">
        <v>5.9538099999999997E-2</v>
      </c>
      <c r="P501" s="70">
        <f>Table1[[#This Row],[Gross Amount]]*(1-(Table1[[#This Row],[Discount %]]/100))</f>
        <v>577519.56999999995</v>
      </c>
      <c r="Q501" s="74">
        <f>(Table1[[#This Row],[Gross Amount]]*(1-(Table1[[#This Row],[Discount %]]/100)))/10000000</f>
        <v>5.7751956999999993E-2</v>
      </c>
      <c r="R501" t="s">
        <v>42</v>
      </c>
      <c r="S501" t="str" cm="1">
        <f t="array" ref="S501">IFERROR(_xlfn.IFS(Table1[[#This Row],[Payment Status]]="Partial","In Transit",Table1[[#This Row],[Payment Status]]="Paid","Delivered",Table1[[#This Row],[Payment Status]]="Pending","Pending"),"Invalid Input")</f>
        <v>Pending</v>
      </c>
      <c r="T501" t="s">
        <v>44</v>
      </c>
      <c r="U501" t="str" cm="1">
        <f t="array" ref="U501">IFERROR(_xlfn.IFS(Table1[[#This Row],[Payment Status]]="Partial","In Transit",Table1[[#This Row],[Payment Status]]="Paid","Completed",Table1[[#This Row],[Payment Status]]="Pending","Pending"),"Invalid Input")</f>
        <v>Pending</v>
      </c>
    </row>
    <row r="502" spans="1:21" x14ac:dyDescent="0.25">
      <c r="A502" s="4" t="s">
        <v>1010</v>
      </c>
      <c r="B502" s="5">
        <v>45497</v>
      </c>
      <c r="C502" t="s">
        <v>52</v>
      </c>
      <c r="D502" t="s">
        <v>3271</v>
      </c>
      <c r="E502" t="s">
        <v>38</v>
      </c>
      <c r="F502" t="s">
        <v>3210</v>
      </c>
      <c r="G502" t="s">
        <v>39</v>
      </c>
      <c r="H502" t="str">
        <f>VLOOKUP(Table1[[#This Row],[City]],Table6[#All],2,FALSE)</f>
        <v>West</v>
      </c>
      <c r="I502" t="s">
        <v>58</v>
      </c>
      <c r="J502" t="str">
        <f>_xlfn.XLOOKUP(Table1[[#This Row],[Tractor Model]],Table7[Product Model],Table7[Product Category],"Not Available",0)</f>
        <v>Powertrac</v>
      </c>
      <c r="K502" s="4">
        <v>8</v>
      </c>
      <c r="L502" s="72">
        <v>671742</v>
      </c>
      <c r="M502" s="4">
        <f>INDEX('Master Sheet'!$C$4:$C$12,MATCH(Table1[[#This Row],[Quantity]],'Master Sheet'!$B$4:$B$12,0))</f>
        <v>9</v>
      </c>
      <c r="N502" s="71">
        <f>Table1[[#This Row],[Quantity]]*Table1[[#This Row],[Unit Price]]</f>
        <v>5373936</v>
      </c>
      <c r="O502" s="73">
        <v>0.53739360000000003</v>
      </c>
      <c r="P502" s="70">
        <f>Table1[[#This Row],[Gross Amount]]*(1-(Table1[[#This Row],[Discount %]]/100))</f>
        <v>4890281.76</v>
      </c>
      <c r="Q502" s="74">
        <f>(Table1[[#This Row],[Gross Amount]]*(1-(Table1[[#This Row],[Discount %]]/100)))/10000000</f>
        <v>0.48902817599999998</v>
      </c>
      <c r="R502" t="s">
        <v>54</v>
      </c>
      <c r="S502" t="str" cm="1">
        <f t="array" ref="S502">IFERROR(_xlfn.IFS(Table1[[#This Row],[Payment Status]]="Partial","In Transit",Table1[[#This Row],[Payment Status]]="Paid","Delivered",Table1[[#This Row],[Payment Status]]="Pending","Pending"),"Invalid Input")</f>
        <v>Delivered</v>
      </c>
      <c r="T502" t="s">
        <v>27</v>
      </c>
      <c r="U502" t="str" cm="1">
        <f t="array" ref="U502">IFERROR(_xlfn.IFS(Table1[[#This Row],[Payment Status]]="Partial","In Transit",Table1[[#This Row],[Payment Status]]="Paid","Completed",Table1[[#This Row],[Payment Status]]="Pending","Pending"),"Invalid Input")</f>
        <v>Completed</v>
      </c>
    </row>
    <row r="503" spans="1:21" x14ac:dyDescent="0.25">
      <c r="A503" s="4" t="s">
        <v>1012</v>
      </c>
      <c r="B503" s="5">
        <v>45317</v>
      </c>
      <c r="C503" t="s">
        <v>52</v>
      </c>
      <c r="D503" t="s">
        <v>3268</v>
      </c>
      <c r="E503" t="s">
        <v>47</v>
      </c>
      <c r="F503" t="s">
        <v>3216</v>
      </c>
      <c r="G503" t="s">
        <v>48</v>
      </c>
      <c r="H503" t="str">
        <f>VLOOKUP(Table1[[#This Row],[City]],Table6[#All],2,FALSE)</f>
        <v>North</v>
      </c>
      <c r="I503" t="s">
        <v>53</v>
      </c>
      <c r="J503" t="str">
        <f>_xlfn.XLOOKUP(Table1[[#This Row],[Tractor Model]],Table7[Product Model],Table7[Product Category],"Not Available",0)</f>
        <v>Farmtrac</v>
      </c>
      <c r="K503" s="4">
        <v>7</v>
      </c>
      <c r="L503" s="72">
        <v>491563</v>
      </c>
      <c r="M503" s="4">
        <f>INDEX('Master Sheet'!$C$4:$C$12,MATCH(Table1[[#This Row],[Quantity]],'Master Sheet'!$B$4:$B$12,0))</f>
        <v>9</v>
      </c>
      <c r="N503" s="71">
        <f>Table1[[#This Row],[Quantity]]*Table1[[#This Row],[Unit Price]]</f>
        <v>3440941</v>
      </c>
      <c r="O503" s="73">
        <v>0.34409410000000001</v>
      </c>
      <c r="P503" s="70">
        <f>Table1[[#This Row],[Gross Amount]]*(1-(Table1[[#This Row],[Discount %]]/100))</f>
        <v>3131256.31</v>
      </c>
      <c r="Q503" s="74">
        <f>(Table1[[#This Row],[Gross Amount]]*(1-(Table1[[#This Row],[Discount %]]/100)))/10000000</f>
        <v>0.31312563100000002</v>
      </c>
      <c r="R503" t="s">
        <v>54</v>
      </c>
      <c r="S503" t="str" cm="1">
        <f t="array" ref="S503">IFERROR(_xlfn.IFS(Table1[[#This Row],[Payment Status]]="Partial","In Transit",Table1[[#This Row],[Payment Status]]="Paid","Delivered",Table1[[#This Row],[Payment Status]]="Pending","Pending"),"Invalid Input")</f>
        <v>Delivered</v>
      </c>
      <c r="T503" t="s">
        <v>44</v>
      </c>
      <c r="U503" t="str" cm="1">
        <f t="array" ref="U503">IFERROR(_xlfn.IFS(Table1[[#This Row],[Payment Status]]="Partial","In Transit",Table1[[#This Row],[Payment Status]]="Paid","Completed",Table1[[#This Row],[Payment Status]]="Pending","Pending"),"Invalid Input")</f>
        <v>Completed</v>
      </c>
    </row>
    <row r="504" spans="1:21" x14ac:dyDescent="0.25">
      <c r="A504" s="4" t="s">
        <v>1014</v>
      </c>
      <c r="B504" s="5">
        <v>45809</v>
      </c>
      <c r="C504" t="s">
        <v>73</v>
      </c>
      <c r="D504" t="s">
        <v>3271</v>
      </c>
      <c r="E504" t="s">
        <v>38</v>
      </c>
      <c r="F504" t="s">
        <v>3210</v>
      </c>
      <c r="G504" t="s">
        <v>39</v>
      </c>
      <c r="H504" t="str">
        <f>VLOOKUP(Table1[[#This Row],[City]],Table6[#All],2,FALSE)</f>
        <v>West</v>
      </c>
      <c r="I504" t="s">
        <v>24</v>
      </c>
      <c r="J504" t="str">
        <f>_xlfn.XLOOKUP(Table1[[#This Row],[Tractor Model]],Table7[Product Model],Table7[Product Category],"Not Available",0)</f>
        <v>Farmtrac</v>
      </c>
      <c r="K504" s="4">
        <v>8</v>
      </c>
      <c r="L504" s="72">
        <v>180808</v>
      </c>
      <c r="M504" s="4">
        <f>INDEX('Master Sheet'!$C$4:$C$12,MATCH(Table1[[#This Row],[Quantity]],'Master Sheet'!$B$4:$B$12,0))</f>
        <v>9</v>
      </c>
      <c r="N504" s="71">
        <f>Table1[[#This Row],[Quantity]]*Table1[[#This Row],[Unit Price]]</f>
        <v>1446464</v>
      </c>
      <c r="O504" s="73">
        <v>0.14464640000000001</v>
      </c>
      <c r="P504" s="70">
        <f>Table1[[#This Row],[Gross Amount]]*(1-(Table1[[#This Row],[Discount %]]/100))</f>
        <v>1316282.24</v>
      </c>
      <c r="Q504" s="74">
        <f>(Table1[[#This Row],[Gross Amount]]*(1-(Table1[[#This Row],[Discount %]]/100)))/10000000</f>
        <v>0.13162822399999999</v>
      </c>
      <c r="R504" t="s">
        <v>42</v>
      </c>
      <c r="S504" t="str" cm="1">
        <f t="array" ref="S504">IFERROR(_xlfn.IFS(Table1[[#This Row],[Payment Status]]="Partial","In Transit",Table1[[#This Row],[Payment Status]]="Paid","Delivered",Table1[[#This Row],[Payment Status]]="Pending","Pending"),"Invalid Input")</f>
        <v>Pending</v>
      </c>
      <c r="T504" t="s">
        <v>27</v>
      </c>
      <c r="U504" t="str" cm="1">
        <f t="array" ref="U504">IFERROR(_xlfn.IFS(Table1[[#This Row],[Payment Status]]="Partial","In Transit",Table1[[#This Row],[Payment Status]]="Paid","Completed",Table1[[#This Row],[Payment Status]]="Pending","Pending"),"Invalid Input")</f>
        <v>Pending</v>
      </c>
    </row>
    <row r="505" spans="1:21" x14ac:dyDescent="0.25">
      <c r="A505" s="4" t="s">
        <v>1017</v>
      </c>
      <c r="B505" s="5">
        <v>45381</v>
      </c>
      <c r="C505" t="s">
        <v>33</v>
      </c>
      <c r="D505" t="s">
        <v>3268</v>
      </c>
      <c r="E505" t="s">
        <v>38</v>
      </c>
      <c r="F505" t="s">
        <v>3219</v>
      </c>
      <c r="G505" t="s">
        <v>39</v>
      </c>
      <c r="H505" t="str">
        <f>VLOOKUP(Table1[[#This Row],[City]],Table6[#All],2,FALSE)</f>
        <v>West</v>
      </c>
      <c r="I505" t="s">
        <v>24</v>
      </c>
      <c r="J505" t="str">
        <f>_xlfn.XLOOKUP(Table1[[#This Row],[Tractor Model]],Table7[Product Model],Table7[Product Category],"Not Available",0)</f>
        <v>Farmtrac</v>
      </c>
      <c r="K505" s="4">
        <v>8</v>
      </c>
      <c r="L505" s="72">
        <v>274821</v>
      </c>
      <c r="M505" s="4">
        <f>INDEX('Master Sheet'!$C$4:$C$12,MATCH(Table1[[#This Row],[Quantity]],'Master Sheet'!$B$4:$B$12,0))</f>
        <v>9</v>
      </c>
      <c r="N505" s="71">
        <f>Table1[[#This Row],[Quantity]]*Table1[[#This Row],[Unit Price]]</f>
        <v>2198568</v>
      </c>
      <c r="O505" s="73">
        <v>0.21985679999999999</v>
      </c>
      <c r="P505" s="70">
        <f>Table1[[#This Row],[Gross Amount]]*(1-(Table1[[#This Row],[Discount %]]/100))</f>
        <v>2000696.8800000001</v>
      </c>
      <c r="Q505" s="74">
        <f>(Table1[[#This Row],[Gross Amount]]*(1-(Table1[[#This Row],[Discount %]]/100)))/10000000</f>
        <v>0.20006968800000002</v>
      </c>
      <c r="R505" t="s">
        <v>54</v>
      </c>
      <c r="S505" t="str" cm="1">
        <f t="array" ref="S505">IFERROR(_xlfn.IFS(Table1[[#This Row],[Payment Status]]="Partial","In Transit",Table1[[#This Row],[Payment Status]]="Paid","Delivered",Table1[[#This Row],[Payment Status]]="Pending","Pending"),"Invalid Input")</f>
        <v>Delivered</v>
      </c>
      <c r="T505" t="s">
        <v>27</v>
      </c>
      <c r="U505" t="str" cm="1">
        <f t="array" ref="U505">IFERROR(_xlfn.IFS(Table1[[#This Row],[Payment Status]]="Partial","In Transit",Table1[[#This Row],[Payment Status]]="Paid","Completed",Table1[[#This Row],[Payment Status]]="Pending","Pending"),"Invalid Input")</f>
        <v>Completed</v>
      </c>
    </row>
    <row r="506" spans="1:21" x14ac:dyDescent="0.25">
      <c r="A506" s="4" t="s">
        <v>1019</v>
      </c>
      <c r="B506" s="5">
        <v>45384</v>
      </c>
      <c r="C506" t="s">
        <v>62</v>
      </c>
      <c r="D506" t="s">
        <v>3270</v>
      </c>
      <c r="E506" t="s">
        <v>47</v>
      </c>
      <c r="F506" t="s">
        <v>3205</v>
      </c>
      <c r="G506" t="s">
        <v>48</v>
      </c>
      <c r="H506" t="str">
        <f>VLOOKUP(Table1[[#This Row],[City]],Table6[#All],2,FALSE)</f>
        <v>North</v>
      </c>
      <c r="I506" t="s">
        <v>3204</v>
      </c>
      <c r="J506" t="str">
        <f>_xlfn.XLOOKUP(Table1[[#This Row],[Tractor Model]],Table7[Product Model],Table7[Product Category],"Not Available",0)</f>
        <v>Kubota</v>
      </c>
      <c r="K506" s="4">
        <v>5</v>
      </c>
      <c r="L506" s="72">
        <v>245660</v>
      </c>
      <c r="M506" s="4">
        <f>INDEX('Master Sheet'!$C$4:$C$12,MATCH(Table1[[#This Row],[Quantity]],'Master Sheet'!$B$4:$B$12,0))</f>
        <v>7</v>
      </c>
      <c r="N506" s="71">
        <f>Table1[[#This Row],[Quantity]]*Table1[[#This Row],[Unit Price]]</f>
        <v>1228300</v>
      </c>
      <c r="O506" s="73">
        <v>0.12282999999999999</v>
      </c>
      <c r="P506" s="70">
        <f>Table1[[#This Row],[Gross Amount]]*(1-(Table1[[#This Row],[Discount %]]/100))</f>
        <v>1142319</v>
      </c>
      <c r="Q506" s="74">
        <f>(Table1[[#This Row],[Gross Amount]]*(1-(Table1[[#This Row],[Discount %]]/100)))/10000000</f>
        <v>0.1142319</v>
      </c>
      <c r="R506" t="s">
        <v>42</v>
      </c>
      <c r="S506" t="str" cm="1">
        <f t="array" ref="S506">IFERROR(_xlfn.IFS(Table1[[#This Row],[Payment Status]]="Partial","In Transit",Table1[[#This Row],[Payment Status]]="Paid","Delivered",Table1[[#This Row],[Payment Status]]="Pending","Pending"),"Invalid Input")</f>
        <v>Pending</v>
      </c>
      <c r="T506" t="s">
        <v>27</v>
      </c>
      <c r="U506" t="str" cm="1">
        <f t="array" ref="U506">IFERROR(_xlfn.IFS(Table1[[#This Row],[Payment Status]]="Partial","In Transit",Table1[[#This Row],[Payment Status]]="Paid","Completed",Table1[[#This Row],[Payment Status]]="Pending","Pending"),"Invalid Input")</f>
        <v>Pending</v>
      </c>
    </row>
    <row r="507" spans="1:21" x14ac:dyDescent="0.25">
      <c r="A507" s="4" t="s">
        <v>1021</v>
      </c>
      <c r="B507" s="5">
        <v>45706</v>
      </c>
      <c r="C507" t="s">
        <v>52</v>
      </c>
      <c r="D507" t="s">
        <v>3268</v>
      </c>
      <c r="E507" t="s">
        <v>38</v>
      </c>
      <c r="F507" t="s">
        <v>3219</v>
      </c>
      <c r="G507" t="s">
        <v>39</v>
      </c>
      <c r="H507" t="str">
        <f>VLOOKUP(Table1[[#This Row],[City]],Table6[#All],2,FALSE)</f>
        <v>West</v>
      </c>
      <c r="I507" t="s">
        <v>24</v>
      </c>
      <c r="J507" t="str">
        <f>_xlfn.XLOOKUP(Table1[[#This Row],[Tractor Model]],Table7[Product Model],Table7[Product Category],"Not Available",0)</f>
        <v>Farmtrac</v>
      </c>
      <c r="K507" s="4">
        <v>3</v>
      </c>
      <c r="L507" s="72">
        <v>894402</v>
      </c>
      <c r="M507" s="4">
        <f>INDEX('Master Sheet'!$C$4:$C$12,MATCH(Table1[[#This Row],[Quantity]],'Master Sheet'!$B$4:$B$12,0))</f>
        <v>6</v>
      </c>
      <c r="N507" s="71">
        <f>Table1[[#This Row],[Quantity]]*Table1[[#This Row],[Unit Price]]</f>
        <v>2683206</v>
      </c>
      <c r="O507" s="73">
        <v>0.26832060000000002</v>
      </c>
      <c r="P507" s="70">
        <f>Table1[[#This Row],[Gross Amount]]*(1-(Table1[[#This Row],[Discount %]]/100))</f>
        <v>2522213.6399999997</v>
      </c>
      <c r="Q507" s="74">
        <f>(Table1[[#This Row],[Gross Amount]]*(1-(Table1[[#This Row],[Discount %]]/100)))/10000000</f>
        <v>0.25222136399999995</v>
      </c>
      <c r="R507" t="s">
        <v>25</v>
      </c>
      <c r="S507" t="str" cm="1">
        <f t="array" ref="S507">IFERROR(_xlfn.IFS(Table1[[#This Row],[Payment Status]]="Partial","In Transit",Table1[[#This Row],[Payment Status]]="Paid","Delivered",Table1[[#This Row],[Payment Status]]="Pending","Pending"),"Invalid Input")</f>
        <v>In Transit</v>
      </c>
      <c r="T507" t="s">
        <v>27</v>
      </c>
      <c r="U507" t="str" cm="1">
        <f t="array" ref="U507">IFERROR(_xlfn.IFS(Table1[[#This Row],[Payment Status]]="Partial","In Transit",Table1[[#This Row],[Payment Status]]="Paid","Completed",Table1[[#This Row],[Payment Status]]="Pending","Pending"),"Invalid Input")</f>
        <v>In Transit</v>
      </c>
    </row>
    <row r="508" spans="1:21" x14ac:dyDescent="0.25">
      <c r="A508" s="4" t="s">
        <v>1023</v>
      </c>
      <c r="B508" s="5">
        <v>45611</v>
      </c>
      <c r="C508" t="s">
        <v>41</v>
      </c>
      <c r="D508" t="s">
        <v>37</v>
      </c>
      <c r="E508" t="s">
        <v>38</v>
      </c>
      <c r="F508" t="s">
        <v>3214</v>
      </c>
      <c r="G508" t="s">
        <v>39</v>
      </c>
      <c r="H508" t="str">
        <f>VLOOKUP(Table1[[#This Row],[City]],Table6[#All],2,FALSE)</f>
        <v>West</v>
      </c>
      <c r="I508" t="s">
        <v>58</v>
      </c>
      <c r="J508" t="str">
        <f>_xlfn.XLOOKUP(Table1[[#This Row],[Tractor Model]],Table7[Product Model],Table7[Product Category],"Not Available",0)</f>
        <v>Powertrac</v>
      </c>
      <c r="K508" s="4">
        <v>5</v>
      </c>
      <c r="L508" s="72">
        <v>839598</v>
      </c>
      <c r="M508" s="4">
        <f>INDEX('Master Sheet'!$C$4:$C$12,MATCH(Table1[[#This Row],[Quantity]],'Master Sheet'!$B$4:$B$12,0))</f>
        <v>7</v>
      </c>
      <c r="N508" s="71">
        <f>Table1[[#This Row],[Quantity]]*Table1[[#This Row],[Unit Price]]</f>
        <v>4197990</v>
      </c>
      <c r="O508" s="73">
        <v>0.41979899999999998</v>
      </c>
      <c r="P508" s="70">
        <f>Table1[[#This Row],[Gross Amount]]*(1-(Table1[[#This Row],[Discount %]]/100))</f>
        <v>3904130.6999999997</v>
      </c>
      <c r="Q508" s="74">
        <f>(Table1[[#This Row],[Gross Amount]]*(1-(Table1[[#This Row],[Discount %]]/100)))/10000000</f>
        <v>0.39041306999999997</v>
      </c>
      <c r="R508" t="s">
        <v>25</v>
      </c>
      <c r="S508" t="str" cm="1">
        <f t="array" ref="S508">IFERROR(_xlfn.IFS(Table1[[#This Row],[Payment Status]]="Partial","In Transit",Table1[[#This Row],[Payment Status]]="Paid","Delivered",Table1[[#This Row],[Payment Status]]="Pending","Pending"),"Invalid Input")</f>
        <v>In Transit</v>
      </c>
      <c r="T508" t="s">
        <v>27</v>
      </c>
      <c r="U508" t="str" cm="1">
        <f t="array" ref="U508">IFERROR(_xlfn.IFS(Table1[[#This Row],[Payment Status]]="Partial","In Transit",Table1[[#This Row],[Payment Status]]="Paid","Completed",Table1[[#This Row],[Payment Status]]="Pending","Pending"),"Invalid Input")</f>
        <v>In Transit</v>
      </c>
    </row>
    <row r="509" spans="1:21" x14ac:dyDescent="0.25">
      <c r="A509" s="4" t="s">
        <v>1025</v>
      </c>
      <c r="B509" s="5">
        <v>45741</v>
      </c>
      <c r="C509" t="s">
        <v>52</v>
      </c>
      <c r="D509" t="s">
        <v>3271</v>
      </c>
      <c r="E509" t="s">
        <v>119</v>
      </c>
      <c r="F509" t="s">
        <v>3228</v>
      </c>
      <c r="G509" t="s">
        <v>21</v>
      </c>
      <c r="H509" t="str">
        <f>VLOOKUP(Table1[[#This Row],[City]],Table6[#All],2,FALSE)</f>
        <v>North</v>
      </c>
      <c r="I509" t="s">
        <v>3203</v>
      </c>
      <c r="J509" t="str">
        <f>_xlfn.XLOOKUP(Table1[[#This Row],[Tractor Model]],Table7[Product Model],Table7[Product Category],"Not Available",0)</f>
        <v>Kubota</v>
      </c>
      <c r="K509" s="4">
        <v>6</v>
      </c>
      <c r="L509" s="72">
        <v>885190</v>
      </c>
      <c r="M509" s="4">
        <f>INDEX('Master Sheet'!$C$4:$C$12,MATCH(Table1[[#This Row],[Quantity]],'Master Sheet'!$B$4:$B$12,0))</f>
        <v>8</v>
      </c>
      <c r="N509" s="71">
        <f>Table1[[#This Row],[Quantity]]*Table1[[#This Row],[Unit Price]]</f>
        <v>5311140</v>
      </c>
      <c r="O509" s="73">
        <v>0.53111399999999998</v>
      </c>
      <c r="P509" s="70">
        <f>Table1[[#This Row],[Gross Amount]]*(1-(Table1[[#This Row],[Discount %]]/100))</f>
        <v>4886248.8</v>
      </c>
      <c r="Q509" s="74">
        <f>(Table1[[#This Row],[Gross Amount]]*(1-(Table1[[#This Row],[Discount %]]/100)))/10000000</f>
        <v>0.48862487999999998</v>
      </c>
      <c r="R509" t="s">
        <v>42</v>
      </c>
      <c r="S509" t="str" cm="1">
        <f t="array" ref="S509">IFERROR(_xlfn.IFS(Table1[[#This Row],[Payment Status]]="Partial","In Transit",Table1[[#This Row],[Payment Status]]="Paid","Delivered",Table1[[#This Row],[Payment Status]]="Pending","Pending"),"Invalid Input")</f>
        <v>Pending</v>
      </c>
      <c r="T509" t="s">
        <v>27</v>
      </c>
      <c r="U509" t="str" cm="1">
        <f t="array" ref="U509">IFERROR(_xlfn.IFS(Table1[[#This Row],[Payment Status]]="Partial","In Transit",Table1[[#This Row],[Payment Status]]="Paid","Completed",Table1[[#This Row],[Payment Status]]="Pending","Pending"),"Invalid Input")</f>
        <v>Pending</v>
      </c>
    </row>
    <row r="510" spans="1:21" x14ac:dyDescent="0.25">
      <c r="A510" s="4" t="s">
        <v>1027</v>
      </c>
      <c r="B510" s="5">
        <v>45661</v>
      </c>
      <c r="C510" t="s">
        <v>62</v>
      </c>
      <c r="D510" t="s">
        <v>37</v>
      </c>
      <c r="E510" t="s">
        <v>30</v>
      </c>
      <c r="F510" t="s">
        <v>3222</v>
      </c>
      <c r="G510" t="s">
        <v>31</v>
      </c>
      <c r="H510" t="str">
        <f>VLOOKUP(Table1[[#This Row],[City]],Table6[#All],2,FALSE)</f>
        <v>South</v>
      </c>
      <c r="I510" t="s">
        <v>3204</v>
      </c>
      <c r="J510" t="str">
        <f>_xlfn.XLOOKUP(Table1[[#This Row],[Tractor Model]],Table7[Product Model],Table7[Product Category],"Not Available",0)</f>
        <v>Kubota</v>
      </c>
      <c r="K510" s="4">
        <v>7</v>
      </c>
      <c r="L510" s="72">
        <v>329519</v>
      </c>
      <c r="M510" s="4">
        <f>INDEX('Master Sheet'!$C$4:$C$12,MATCH(Table1[[#This Row],[Quantity]],'Master Sheet'!$B$4:$B$12,0))</f>
        <v>9</v>
      </c>
      <c r="N510" s="71">
        <f>Table1[[#This Row],[Quantity]]*Table1[[#This Row],[Unit Price]]</f>
        <v>2306633</v>
      </c>
      <c r="O510" s="73">
        <v>0.23066329999999999</v>
      </c>
      <c r="P510" s="70">
        <f>Table1[[#This Row],[Gross Amount]]*(1-(Table1[[#This Row],[Discount %]]/100))</f>
        <v>2099036.0300000003</v>
      </c>
      <c r="Q510" s="74">
        <f>(Table1[[#This Row],[Gross Amount]]*(1-(Table1[[#This Row],[Discount %]]/100)))/10000000</f>
        <v>0.20990360300000002</v>
      </c>
      <c r="R510" t="s">
        <v>54</v>
      </c>
      <c r="S510" t="str" cm="1">
        <f t="array" ref="S510">IFERROR(_xlfn.IFS(Table1[[#This Row],[Payment Status]]="Partial","In Transit",Table1[[#This Row],[Payment Status]]="Paid","Delivered",Table1[[#This Row],[Payment Status]]="Pending","Pending"),"Invalid Input")</f>
        <v>Delivered</v>
      </c>
      <c r="T510" t="s">
        <v>27</v>
      </c>
      <c r="U510" t="str" cm="1">
        <f t="array" ref="U510">IFERROR(_xlfn.IFS(Table1[[#This Row],[Payment Status]]="Partial","In Transit",Table1[[#This Row],[Payment Status]]="Paid","Completed",Table1[[#This Row],[Payment Status]]="Pending","Pending"),"Invalid Input")</f>
        <v>Completed</v>
      </c>
    </row>
    <row r="511" spans="1:21" x14ac:dyDescent="0.25">
      <c r="A511" s="4" t="s">
        <v>1028</v>
      </c>
      <c r="B511" s="5">
        <v>45787</v>
      </c>
      <c r="C511" t="s">
        <v>62</v>
      </c>
      <c r="D511" t="s">
        <v>3268</v>
      </c>
      <c r="E511" t="s">
        <v>66</v>
      </c>
      <c r="F511" t="s">
        <v>3211</v>
      </c>
      <c r="G511" t="s">
        <v>67</v>
      </c>
      <c r="H511" t="str">
        <f>VLOOKUP(Table1[[#This Row],[City]],Table6[#All],2,FALSE)</f>
        <v>East</v>
      </c>
      <c r="I511" t="s">
        <v>58</v>
      </c>
      <c r="J511" t="str">
        <f>_xlfn.XLOOKUP(Table1[[#This Row],[Tractor Model]],Table7[Product Model],Table7[Product Category],"Not Available",0)</f>
        <v>Powertrac</v>
      </c>
      <c r="K511" s="4">
        <v>7</v>
      </c>
      <c r="L511" s="72">
        <v>122089</v>
      </c>
      <c r="M511" s="4">
        <f>INDEX('Master Sheet'!$C$4:$C$12,MATCH(Table1[[#This Row],[Quantity]],'Master Sheet'!$B$4:$B$12,0))</f>
        <v>9</v>
      </c>
      <c r="N511" s="71">
        <f>Table1[[#This Row],[Quantity]]*Table1[[#This Row],[Unit Price]]</f>
        <v>854623</v>
      </c>
      <c r="O511" s="73">
        <v>8.5462300000000005E-2</v>
      </c>
      <c r="P511" s="70">
        <f>Table1[[#This Row],[Gross Amount]]*(1-(Table1[[#This Row],[Discount %]]/100))</f>
        <v>777706.93</v>
      </c>
      <c r="Q511" s="74">
        <f>(Table1[[#This Row],[Gross Amount]]*(1-(Table1[[#This Row],[Discount %]]/100)))/10000000</f>
        <v>7.7770693000000002E-2</v>
      </c>
      <c r="R511" t="s">
        <v>42</v>
      </c>
      <c r="S511" t="str" cm="1">
        <f t="array" ref="S511">IFERROR(_xlfn.IFS(Table1[[#This Row],[Payment Status]]="Partial","In Transit",Table1[[#This Row],[Payment Status]]="Paid","Delivered",Table1[[#This Row],[Payment Status]]="Pending","Pending"),"Invalid Input")</f>
        <v>Pending</v>
      </c>
      <c r="T511" t="s">
        <v>44</v>
      </c>
      <c r="U511" t="str" cm="1">
        <f t="array" ref="U511">IFERROR(_xlfn.IFS(Table1[[#This Row],[Payment Status]]="Partial","In Transit",Table1[[#This Row],[Payment Status]]="Paid","Completed",Table1[[#This Row],[Payment Status]]="Pending","Pending"),"Invalid Input")</f>
        <v>Pending</v>
      </c>
    </row>
    <row r="512" spans="1:21" x14ac:dyDescent="0.25">
      <c r="A512" s="4" t="s">
        <v>1030</v>
      </c>
      <c r="B512" s="5">
        <v>45530</v>
      </c>
      <c r="C512" t="s">
        <v>33</v>
      </c>
      <c r="D512" t="s">
        <v>3269</v>
      </c>
      <c r="E512" t="s">
        <v>47</v>
      </c>
      <c r="F512" t="s">
        <v>3209</v>
      </c>
      <c r="G512" t="s">
        <v>48</v>
      </c>
      <c r="H512" t="str">
        <f>VLOOKUP(Table1[[#This Row],[City]],Table6[#All],2,FALSE)</f>
        <v>North</v>
      </c>
      <c r="I512" t="s">
        <v>53</v>
      </c>
      <c r="J512" t="str">
        <f>_xlfn.XLOOKUP(Table1[[#This Row],[Tractor Model]],Table7[Product Model],Table7[Product Category],"Not Available",0)</f>
        <v>Farmtrac</v>
      </c>
      <c r="K512" s="4">
        <v>4</v>
      </c>
      <c r="L512" s="72">
        <v>312291</v>
      </c>
      <c r="M512" s="4">
        <f>INDEX('Master Sheet'!$C$4:$C$12,MATCH(Table1[[#This Row],[Quantity]],'Master Sheet'!$B$4:$B$12,0))</f>
        <v>6</v>
      </c>
      <c r="N512" s="71">
        <f>Table1[[#This Row],[Quantity]]*Table1[[#This Row],[Unit Price]]</f>
        <v>1249164</v>
      </c>
      <c r="O512" s="73">
        <v>0.1249164</v>
      </c>
      <c r="P512" s="70">
        <f>Table1[[#This Row],[Gross Amount]]*(1-(Table1[[#This Row],[Discount %]]/100))</f>
        <v>1174214.1599999999</v>
      </c>
      <c r="Q512" s="74">
        <f>(Table1[[#This Row],[Gross Amount]]*(1-(Table1[[#This Row],[Discount %]]/100)))/10000000</f>
        <v>0.11742141599999999</v>
      </c>
      <c r="R512" t="s">
        <v>25</v>
      </c>
      <c r="S512" t="str" cm="1">
        <f t="array" ref="S512">IFERROR(_xlfn.IFS(Table1[[#This Row],[Payment Status]]="Partial","In Transit",Table1[[#This Row],[Payment Status]]="Paid","Delivered",Table1[[#This Row],[Payment Status]]="Pending","Pending"),"Invalid Input")</f>
        <v>In Transit</v>
      </c>
      <c r="T512" t="s">
        <v>27</v>
      </c>
      <c r="U512" t="str" cm="1">
        <f t="array" ref="U512">IFERROR(_xlfn.IFS(Table1[[#This Row],[Payment Status]]="Partial","In Transit",Table1[[#This Row],[Payment Status]]="Paid","Completed",Table1[[#This Row],[Payment Status]]="Pending","Pending"),"Invalid Input")</f>
        <v>In Transit</v>
      </c>
    </row>
    <row r="513" spans="1:21" x14ac:dyDescent="0.25">
      <c r="A513" s="4" t="s">
        <v>1032</v>
      </c>
      <c r="B513" s="5">
        <v>45615</v>
      </c>
      <c r="C513" t="s">
        <v>41</v>
      </c>
      <c r="D513" t="s">
        <v>3270</v>
      </c>
      <c r="E513" t="s">
        <v>30</v>
      </c>
      <c r="F513" t="s">
        <v>3223</v>
      </c>
      <c r="G513" t="s">
        <v>31</v>
      </c>
      <c r="H513" t="str">
        <f>VLOOKUP(Table1[[#This Row],[City]],Table6[#All],2,FALSE)</f>
        <v>South</v>
      </c>
      <c r="I513" t="s">
        <v>3203</v>
      </c>
      <c r="J513" t="str">
        <f>_xlfn.XLOOKUP(Table1[[#This Row],[Tractor Model]],Table7[Product Model],Table7[Product Category],"Not Available",0)</f>
        <v>Kubota</v>
      </c>
      <c r="K513" s="4">
        <v>5</v>
      </c>
      <c r="L513" s="72">
        <v>69333</v>
      </c>
      <c r="M513" s="4">
        <f>INDEX('Master Sheet'!$C$4:$C$12,MATCH(Table1[[#This Row],[Quantity]],'Master Sheet'!$B$4:$B$12,0))</f>
        <v>7</v>
      </c>
      <c r="N513" s="71">
        <f>Table1[[#This Row],[Quantity]]*Table1[[#This Row],[Unit Price]]</f>
        <v>346665</v>
      </c>
      <c r="O513" s="73">
        <v>3.4666500000000003E-2</v>
      </c>
      <c r="P513" s="70">
        <f>Table1[[#This Row],[Gross Amount]]*(1-(Table1[[#This Row],[Discount %]]/100))</f>
        <v>322398.44999999995</v>
      </c>
      <c r="Q513" s="74">
        <f>(Table1[[#This Row],[Gross Amount]]*(1-(Table1[[#This Row],[Discount %]]/100)))/10000000</f>
        <v>3.2239844999999996E-2</v>
      </c>
      <c r="R513" t="s">
        <v>54</v>
      </c>
      <c r="S513" t="str" cm="1">
        <f t="array" ref="S513">IFERROR(_xlfn.IFS(Table1[[#This Row],[Payment Status]]="Partial","In Transit",Table1[[#This Row],[Payment Status]]="Paid","Delivered",Table1[[#This Row],[Payment Status]]="Pending","Pending"),"Invalid Input")</f>
        <v>Delivered</v>
      </c>
      <c r="T513" t="s">
        <v>27</v>
      </c>
      <c r="U513" t="str" cm="1">
        <f t="array" ref="U513">IFERROR(_xlfn.IFS(Table1[[#This Row],[Payment Status]]="Partial","In Transit",Table1[[#This Row],[Payment Status]]="Paid","Completed",Table1[[#This Row],[Payment Status]]="Pending","Pending"),"Invalid Input")</f>
        <v>Completed</v>
      </c>
    </row>
    <row r="514" spans="1:21" x14ac:dyDescent="0.25">
      <c r="A514" s="4" t="s">
        <v>1033</v>
      </c>
      <c r="B514" s="5">
        <v>45435</v>
      </c>
      <c r="C514" t="s">
        <v>73</v>
      </c>
      <c r="D514" t="s">
        <v>3271</v>
      </c>
      <c r="E514" t="s">
        <v>38</v>
      </c>
      <c r="F514" t="s">
        <v>3210</v>
      </c>
      <c r="G514" t="s">
        <v>39</v>
      </c>
      <c r="H514" t="str">
        <f>VLOOKUP(Table1[[#This Row],[City]],Table6[#All],2,FALSE)</f>
        <v>West</v>
      </c>
      <c r="I514" t="s">
        <v>24</v>
      </c>
      <c r="J514" t="str">
        <f>_xlfn.XLOOKUP(Table1[[#This Row],[Tractor Model]],Table7[Product Model],Table7[Product Category],"Not Available",0)</f>
        <v>Farmtrac</v>
      </c>
      <c r="K514" s="4">
        <v>5</v>
      </c>
      <c r="L514" s="72">
        <v>603055</v>
      </c>
      <c r="M514" s="4">
        <f>INDEX('Master Sheet'!$C$4:$C$12,MATCH(Table1[[#This Row],[Quantity]],'Master Sheet'!$B$4:$B$12,0))</f>
        <v>7</v>
      </c>
      <c r="N514" s="71">
        <f>Table1[[#This Row],[Quantity]]*Table1[[#This Row],[Unit Price]]</f>
        <v>3015275</v>
      </c>
      <c r="O514" s="73">
        <v>0.3015275</v>
      </c>
      <c r="P514" s="70">
        <f>Table1[[#This Row],[Gross Amount]]*(1-(Table1[[#This Row],[Discount %]]/100))</f>
        <v>2804205.75</v>
      </c>
      <c r="Q514" s="74">
        <f>(Table1[[#This Row],[Gross Amount]]*(1-(Table1[[#This Row],[Discount %]]/100)))/10000000</f>
        <v>0.28042057500000001</v>
      </c>
      <c r="R514" t="s">
        <v>42</v>
      </c>
      <c r="S514" t="str" cm="1">
        <f t="array" ref="S514">IFERROR(_xlfn.IFS(Table1[[#This Row],[Payment Status]]="Partial","In Transit",Table1[[#This Row],[Payment Status]]="Paid","Delivered",Table1[[#This Row],[Payment Status]]="Pending","Pending"),"Invalid Input")</f>
        <v>Pending</v>
      </c>
      <c r="T514" t="s">
        <v>27</v>
      </c>
      <c r="U514" t="str" cm="1">
        <f t="array" ref="U514">IFERROR(_xlfn.IFS(Table1[[#This Row],[Payment Status]]="Partial","In Transit",Table1[[#This Row],[Payment Status]]="Paid","Completed",Table1[[#This Row],[Payment Status]]="Pending","Pending"),"Invalid Input")</f>
        <v>Pending</v>
      </c>
    </row>
    <row r="515" spans="1:21" x14ac:dyDescent="0.25">
      <c r="A515" s="4" t="s">
        <v>1035</v>
      </c>
      <c r="B515" s="5">
        <v>45783</v>
      </c>
      <c r="C515" t="s">
        <v>73</v>
      </c>
      <c r="D515" t="s">
        <v>3271</v>
      </c>
      <c r="E515" t="s">
        <v>119</v>
      </c>
      <c r="F515" t="s">
        <v>3228</v>
      </c>
      <c r="G515" t="s">
        <v>21</v>
      </c>
      <c r="H515" t="str">
        <f>VLOOKUP(Table1[[#This Row],[City]],Table6[#All],2,FALSE)</f>
        <v>North</v>
      </c>
      <c r="I515" t="s">
        <v>53</v>
      </c>
      <c r="J515" t="str">
        <f>_xlfn.XLOOKUP(Table1[[#This Row],[Tractor Model]],Table7[Product Model],Table7[Product Category],"Not Available",0)</f>
        <v>Farmtrac</v>
      </c>
      <c r="K515" s="4">
        <v>8</v>
      </c>
      <c r="L515" s="72">
        <v>824610</v>
      </c>
      <c r="M515" s="4">
        <f>INDEX('Master Sheet'!$C$4:$C$12,MATCH(Table1[[#This Row],[Quantity]],'Master Sheet'!$B$4:$B$12,0))</f>
        <v>9</v>
      </c>
      <c r="N515" s="71">
        <f>Table1[[#This Row],[Quantity]]*Table1[[#This Row],[Unit Price]]</f>
        <v>6596880</v>
      </c>
      <c r="O515" s="73">
        <v>0.65968800000000005</v>
      </c>
      <c r="P515" s="70">
        <f>Table1[[#This Row],[Gross Amount]]*(1-(Table1[[#This Row],[Discount %]]/100))</f>
        <v>6003160.7999999998</v>
      </c>
      <c r="Q515" s="74">
        <f>(Table1[[#This Row],[Gross Amount]]*(1-(Table1[[#This Row],[Discount %]]/100)))/10000000</f>
        <v>0.60031608000000003</v>
      </c>
      <c r="R515" t="s">
        <v>25</v>
      </c>
      <c r="S515" t="str" cm="1">
        <f t="array" ref="S515">IFERROR(_xlfn.IFS(Table1[[#This Row],[Payment Status]]="Partial","In Transit",Table1[[#This Row],[Payment Status]]="Paid","Delivered",Table1[[#This Row],[Payment Status]]="Pending","Pending"),"Invalid Input")</f>
        <v>In Transit</v>
      </c>
      <c r="T515" t="s">
        <v>44</v>
      </c>
      <c r="U515" t="str" cm="1">
        <f t="array" ref="U515">IFERROR(_xlfn.IFS(Table1[[#This Row],[Payment Status]]="Partial","In Transit",Table1[[#This Row],[Payment Status]]="Paid","Completed",Table1[[#This Row],[Payment Status]]="Pending","Pending"),"Invalid Input")</f>
        <v>In Transit</v>
      </c>
    </row>
    <row r="516" spans="1:21" x14ac:dyDescent="0.25">
      <c r="A516" s="4" t="s">
        <v>1037</v>
      </c>
      <c r="B516" s="5">
        <v>45425</v>
      </c>
      <c r="C516" t="s">
        <v>52</v>
      </c>
      <c r="D516" t="s">
        <v>37</v>
      </c>
      <c r="E516" t="s">
        <v>47</v>
      </c>
      <c r="F516" t="s">
        <v>3215</v>
      </c>
      <c r="G516" t="s">
        <v>48</v>
      </c>
      <c r="H516" t="str">
        <f>VLOOKUP(Table1[[#This Row],[City]],Table6[#All],2,FALSE)</f>
        <v>North</v>
      </c>
      <c r="I516" t="s">
        <v>58</v>
      </c>
      <c r="J516" t="str">
        <f>_xlfn.XLOOKUP(Table1[[#This Row],[Tractor Model]],Table7[Product Model],Table7[Product Category],"Not Available",0)</f>
        <v>Powertrac</v>
      </c>
      <c r="K516" s="4">
        <v>6</v>
      </c>
      <c r="L516" s="72">
        <v>728531</v>
      </c>
      <c r="M516" s="4">
        <f>INDEX('Master Sheet'!$C$4:$C$12,MATCH(Table1[[#This Row],[Quantity]],'Master Sheet'!$B$4:$B$12,0))</f>
        <v>8</v>
      </c>
      <c r="N516" s="71">
        <f>Table1[[#This Row],[Quantity]]*Table1[[#This Row],[Unit Price]]</f>
        <v>4371186</v>
      </c>
      <c r="O516" s="73">
        <v>0.43711860000000002</v>
      </c>
      <c r="P516" s="70">
        <f>Table1[[#This Row],[Gross Amount]]*(1-(Table1[[#This Row],[Discount %]]/100))</f>
        <v>4021491.12</v>
      </c>
      <c r="Q516" s="74">
        <f>(Table1[[#This Row],[Gross Amount]]*(1-(Table1[[#This Row],[Discount %]]/100)))/10000000</f>
        <v>0.40214911200000003</v>
      </c>
      <c r="R516" t="s">
        <v>42</v>
      </c>
      <c r="S516" t="str" cm="1">
        <f t="array" ref="S516">IFERROR(_xlfn.IFS(Table1[[#This Row],[Payment Status]]="Partial","In Transit",Table1[[#This Row],[Payment Status]]="Paid","Delivered",Table1[[#This Row],[Payment Status]]="Pending","Pending"),"Invalid Input")</f>
        <v>Pending</v>
      </c>
      <c r="T516" t="s">
        <v>27</v>
      </c>
      <c r="U516" t="str" cm="1">
        <f t="array" ref="U516">IFERROR(_xlfn.IFS(Table1[[#This Row],[Payment Status]]="Partial","In Transit",Table1[[#This Row],[Payment Status]]="Paid","Completed",Table1[[#This Row],[Payment Status]]="Pending","Pending"),"Invalid Input")</f>
        <v>Pending</v>
      </c>
    </row>
    <row r="517" spans="1:21" x14ac:dyDescent="0.25">
      <c r="A517" s="4" t="s">
        <v>1039</v>
      </c>
      <c r="B517" s="5">
        <v>45602</v>
      </c>
      <c r="C517" t="s">
        <v>33</v>
      </c>
      <c r="D517" t="s">
        <v>37</v>
      </c>
      <c r="E517" t="s">
        <v>38</v>
      </c>
      <c r="F517" t="s">
        <v>3214</v>
      </c>
      <c r="G517" t="s">
        <v>39</v>
      </c>
      <c r="H517" t="str">
        <f>VLOOKUP(Table1[[#This Row],[City]],Table6[#All],2,FALSE)</f>
        <v>West</v>
      </c>
      <c r="I517" t="s">
        <v>3203</v>
      </c>
      <c r="J517" t="str">
        <f>_xlfn.XLOOKUP(Table1[[#This Row],[Tractor Model]],Table7[Product Model],Table7[Product Category],"Not Available",0)</f>
        <v>Kubota</v>
      </c>
      <c r="K517" s="4">
        <v>2</v>
      </c>
      <c r="L517" s="72">
        <v>373945</v>
      </c>
      <c r="M517" s="4">
        <f>INDEX('Master Sheet'!$C$4:$C$12,MATCH(Table1[[#This Row],[Quantity]],'Master Sheet'!$B$4:$B$12,0))</f>
        <v>5</v>
      </c>
      <c r="N517" s="71">
        <f>Table1[[#This Row],[Quantity]]*Table1[[#This Row],[Unit Price]]</f>
        <v>747890</v>
      </c>
      <c r="O517" s="73">
        <v>7.4788999999999994E-2</v>
      </c>
      <c r="P517" s="70">
        <f>Table1[[#This Row],[Gross Amount]]*(1-(Table1[[#This Row],[Discount %]]/100))</f>
        <v>710495.5</v>
      </c>
      <c r="Q517" s="74">
        <f>(Table1[[#This Row],[Gross Amount]]*(1-(Table1[[#This Row],[Discount %]]/100)))/10000000</f>
        <v>7.1049550000000003E-2</v>
      </c>
      <c r="R517" t="s">
        <v>42</v>
      </c>
      <c r="S517" t="str" cm="1">
        <f t="array" ref="S517">IFERROR(_xlfn.IFS(Table1[[#This Row],[Payment Status]]="Partial","In Transit",Table1[[#This Row],[Payment Status]]="Paid","Delivered",Table1[[#This Row],[Payment Status]]="Pending","Pending"),"Invalid Input")</f>
        <v>Pending</v>
      </c>
      <c r="T517" t="s">
        <v>44</v>
      </c>
      <c r="U517" t="str" cm="1">
        <f t="array" ref="U517">IFERROR(_xlfn.IFS(Table1[[#This Row],[Payment Status]]="Partial","In Transit",Table1[[#This Row],[Payment Status]]="Paid","Completed",Table1[[#This Row],[Payment Status]]="Pending","Pending"),"Invalid Input")</f>
        <v>Pending</v>
      </c>
    </row>
    <row r="518" spans="1:21" x14ac:dyDescent="0.25">
      <c r="A518" s="4" t="s">
        <v>1040</v>
      </c>
      <c r="B518" s="5">
        <v>45294</v>
      </c>
      <c r="C518" t="s">
        <v>33</v>
      </c>
      <c r="D518" t="s">
        <v>37</v>
      </c>
      <c r="E518" t="s">
        <v>47</v>
      </c>
      <c r="F518" t="s">
        <v>3215</v>
      </c>
      <c r="G518" t="s">
        <v>48</v>
      </c>
      <c r="H518" t="str">
        <f>VLOOKUP(Table1[[#This Row],[City]],Table6[#All],2,FALSE)</f>
        <v>North</v>
      </c>
      <c r="I518" t="s">
        <v>24</v>
      </c>
      <c r="J518" t="str">
        <f>_xlfn.XLOOKUP(Table1[[#This Row],[Tractor Model]],Table7[Product Model],Table7[Product Category],"Not Available",0)</f>
        <v>Farmtrac</v>
      </c>
      <c r="K518" s="4">
        <v>2</v>
      </c>
      <c r="L518" s="72">
        <v>208060</v>
      </c>
      <c r="M518" s="4">
        <f>INDEX('Master Sheet'!$C$4:$C$12,MATCH(Table1[[#This Row],[Quantity]],'Master Sheet'!$B$4:$B$12,0))</f>
        <v>5</v>
      </c>
      <c r="N518" s="71">
        <f>Table1[[#This Row],[Quantity]]*Table1[[#This Row],[Unit Price]]</f>
        <v>416120</v>
      </c>
      <c r="O518" s="73">
        <v>4.1612000000000003E-2</v>
      </c>
      <c r="P518" s="70">
        <f>Table1[[#This Row],[Gross Amount]]*(1-(Table1[[#This Row],[Discount %]]/100))</f>
        <v>395314</v>
      </c>
      <c r="Q518" s="74">
        <f>(Table1[[#This Row],[Gross Amount]]*(1-(Table1[[#This Row],[Discount %]]/100)))/10000000</f>
        <v>3.9531400000000001E-2</v>
      </c>
      <c r="R518" t="s">
        <v>25</v>
      </c>
      <c r="S518" t="str" cm="1">
        <f t="array" ref="S518">IFERROR(_xlfn.IFS(Table1[[#This Row],[Payment Status]]="Partial","In Transit",Table1[[#This Row],[Payment Status]]="Paid","Delivered",Table1[[#This Row],[Payment Status]]="Pending","Pending"),"Invalid Input")</f>
        <v>In Transit</v>
      </c>
      <c r="T518" t="s">
        <v>44</v>
      </c>
      <c r="U518" t="str" cm="1">
        <f t="array" ref="U518">IFERROR(_xlfn.IFS(Table1[[#This Row],[Payment Status]]="Partial","In Transit",Table1[[#This Row],[Payment Status]]="Paid","Completed",Table1[[#This Row],[Payment Status]]="Pending","Pending"),"Invalid Input")</f>
        <v>In Transit</v>
      </c>
    </row>
    <row r="519" spans="1:21" x14ac:dyDescent="0.25">
      <c r="A519" s="4" t="s">
        <v>1042</v>
      </c>
      <c r="B519" s="5">
        <v>45376</v>
      </c>
      <c r="C519" t="s">
        <v>73</v>
      </c>
      <c r="D519" t="s">
        <v>37</v>
      </c>
      <c r="E519" t="s">
        <v>66</v>
      </c>
      <c r="F519" t="s">
        <v>3226</v>
      </c>
      <c r="G519" t="s">
        <v>67</v>
      </c>
      <c r="H519" t="str">
        <f>VLOOKUP(Table1[[#This Row],[City]],Table6[#All],2,FALSE)</f>
        <v>East</v>
      </c>
      <c r="I519" t="s">
        <v>58</v>
      </c>
      <c r="J519" t="str">
        <f>_xlfn.XLOOKUP(Table1[[#This Row],[Tractor Model]],Table7[Product Model],Table7[Product Category],"Not Available",0)</f>
        <v>Powertrac</v>
      </c>
      <c r="K519" s="4">
        <v>2</v>
      </c>
      <c r="L519" s="72">
        <v>203861</v>
      </c>
      <c r="M519" s="4">
        <f>INDEX('Master Sheet'!$C$4:$C$12,MATCH(Table1[[#This Row],[Quantity]],'Master Sheet'!$B$4:$B$12,0))</f>
        <v>5</v>
      </c>
      <c r="N519" s="71">
        <f>Table1[[#This Row],[Quantity]]*Table1[[#This Row],[Unit Price]]</f>
        <v>407722</v>
      </c>
      <c r="O519" s="73">
        <v>4.0772200000000001E-2</v>
      </c>
      <c r="P519" s="70">
        <f>Table1[[#This Row],[Gross Amount]]*(1-(Table1[[#This Row],[Discount %]]/100))</f>
        <v>387335.89999999997</v>
      </c>
      <c r="Q519" s="74">
        <f>(Table1[[#This Row],[Gross Amount]]*(1-(Table1[[#This Row],[Discount %]]/100)))/10000000</f>
        <v>3.8733589999999998E-2</v>
      </c>
      <c r="R519" t="s">
        <v>54</v>
      </c>
      <c r="S519" t="str" cm="1">
        <f t="array" ref="S519">IFERROR(_xlfn.IFS(Table1[[#This Row],[Payment Status]]="Partial","In Transit",Table1[[#This Row],[Payment Status]]="Paid","Delivered",Table1[[#This Row],[Payment Status]]="Pending","Pending"),"Invalid Input")</f>
        <v>Delivered</v>
      </c>
      <c r="T519" t="s">
        <v>27</v>
      </c>
      <c r="U519" t="str" cm="1">
        <f t="array" ref="U519">IFERROR(_xlfn.IFS(Table1[[#This Row],[Payment Status]]="Partial","In Transit",Table1[[#This Row],[Payment Status]]="Paid","Completed",Table1[[#This Row],[Payment Status]]="Pending","Pending"),"Invalid Input")</f>
        <v>Completed</v>
      </c>
    </row>
    <row r="520" spans="1:21" x14ac:dyDescent="0.25">
      <c r="A520" s="4" t="s">
        <v>1043</v>
      </c>
      <c r="B520" s="5">
        <v>45451</v>
      </c>
      <c r="C520" t="s">
        <v>62</v>
      </c>
      <c r="D520" t="s">
        <v>3271</v>
      </c>
      <c r="E520" t="s">
        <v>119</v>
      </c>
      <c r="F520" t="s">
        <v>3228</v>
      </c>
      <c r="G520" t="s">
        <v>21</v>
      </c>
      <c r="H520" t="str">
        <f>VLOOKUP(Table1[[#This Row],[City]],Table6[#All],2,FALSE)</f>
        <v>North</v>
      </c>
      <c r="I520" t="s">
        <v>3203</v>
      </c>
      <c r="J520" t="str">
        <f>_xlfn.XLOOKUP(Table1[[#This Row],[Tractor Model]],Table7[Product Model],Table7[Product Category],"Not Available",0)</f>
        <v>Kubota</v>
      </c>
      <c r="K520" s="4">
        <v>4</v>
      </c>
      <c r="L520" s="72">
        <v>565966</v>
      </c>
      <c r="M520" s="4">
        <f>INDEX('Master Sheet'!$C$4:$C$12,MATCH(Table1[[#This Row],[Quantity]],'Master Sheet'!$B$4:$B$12,0))</f>
        <v>6</v>
      </c>
      <c r="N520" s="71">
        <f>Table1[[#This Row],[Quantity]]*Table1[[#This Row],[Unit Price]]</f>
        <v>2263864</v>
      </c>
      <c r="O520" s="73">
        <v>0.22638639999999999</v>
      </c>
      <c r="P520" s="70">
        <f>Table1[[#This Row],[Gross Amount]]*(1-(Table1[[#This Row],[Discount %]]/100))</f>
        <v>2128032.1599999997</v>
      </c>
      <c r="Q520" s="74">
        <f>(Table1[[#This Row],[Gross Amount]]*(1-(Table1[[#This Row],[Discount %]]/100)))/10000000</f>
        <v>0.21280321599999996</v>
      </c>
      <c r="R520" t="s">
        <v>42</v>
      </c>
      <c r="S520" t="str" cm="1">
        <f t="array" ref="S520">IFERROR(_xlfn.IFS(Table1[[#This Row],[Payment Status]]="Partial","In Transit",Table1[[#This Row],[Payment Status]]="Paid","Delivered",Table1[[#This Row],[Payment Status]]="Pending","Pending"),"Invalid Input")</f>
        <v>Pending</v>
      </c>
      <c r="T520" t="s">
        <v>27</v>
      </c>
      <c r="U520" t="str" cm="1">
        <f t="array" ref="U520">IFERROR(_xlfn.IFS(Table1[[#This Row],[Payment Status]]="Partial","In Transit",Table1[[#This Row],[Payment Status]]="Paid","Completed",Table1[[#This Row],[Payment Status]]="Pending","Pending"),"Invalid Input")</f>
        <v>Pending</v>
      </c>
    </row>
    <row r="521" spans="1:21" x14ac:dyDescent="0.25">
      <c r="A521" s="4" t="s">
        <v>1045</v>
      </c>
      <c r="B521" s="5">
        <v>45319</v>
      </c>
      <c r="C521" t="s">
        <v>41</v>
      </c>
      <c r="D521" t="s">
        <v>3271</v>
      </c>
      <c r="E521" t="s">
        <v>38</v>
      </c>
      <c r="F521" t="s">
        <v>3210</v>
      </c>
      <c r="G521" t="s">
        <v>39</v>
      </c>
      <c r="H521" t="str">
        <f>VLOOKUP(Table1[[#This Row],[City]],Table6[#All],2,FALSE)</f>
        <v>West</v>
      </c>
      <c r="I521" t="s">
        <v>3203</v>
      </c>
      <c r="J521" t="str">
        <f>_xlfn.XLOOKUP(Table1[[#This Row],[Tractor Model]],Table7[Product Model],Table7[Product Category],"Not Available",0)</f>
        <v>Kubota</v>
      </c>
      <c r="K521" s="4">
        <v>6</v>
      </c>
      <c r="L521" s="72">
        <v>861670</v>
      </c>
      <c r="M521" s="4">
        <f>INDEX('Master Sheet'!$C$4:$C$12,MATCH(Table1[[#This Row],[Quantity]],'Master Sheet'!$B$4:$B$12,0))</f>
        <v>8</v>
      </c>
      <c r="N521" s="71">
        <f>Table1[[#This Row],[Quantity]]*Table1[[#This Row],[Unit Price]]</f>
        <v>5170020</v>
      </c>
      <c r="O521" s="73">
        <v>0.51700199999999996</v>
      </c>
      <c r="P521" s="70">
        <f>Table1[[#This Row],[Gross Amount]]*(1-(Table1[[#This Row],[Discount %]]/100))</f>
        <v>4756418.4000000004</v>
      </c>
      <c r="Q521" s="74">
        <f>(Table1[[#This Row],[Gross Amount]]*(1-(Table1[[#This Row],[Discount %]]/100)))/10000000</f>
        <v>0.47564184000000004</v>
      </c>
      <c r="R521" t="s">
        <v>25</v>
      </c>
      <c r="S521" t="str" cm="1">
        <f t="array" ref="S521">IFERROR(_xlfn.IFS(Table1[[#This Row],[Payment Status]]="Partial","In Transit",Table1[[#This Row],[Payment Status]]="Paid","Delivered",Table1[[#This Row],[Payment Status]]="Pending","Pending"),"Invalid Input")</f>
        <v>In Transit</v>
      </c>
      <c r="T521" t="s">
        <v>27</v>
      </c>
      <c r="U521" t="str" cm="1">
        <f t="array" ref="U521">IFERROR(_xlfn.IFS(Table1[[#This Row],[Payment Status]]="Partial","In Transit",Table1[[#This Row],[Payment Status]]="Paid","Completed",Table1[[#This Row],[Payment Status]]="Pending","Pending"),"Invalid Input")</f>
        <v>In Transit</v>
      </c>
    </row>
    <row r="522" spans="1:21" x14ac:dyDescent="0.25">
      <c r="A522" s="4" t="s">
        <v>1046</v>
      </c>
      <c r="B522" s="5">
        <v>45362</v>
      </c>
      <c r="C522" t="s">
        <v>52</v>
      </c>
      <c r="D522" t="s">
        <v>3270</v>
      </c>
      <c r="E522" t="s">
        <v>30</v>
      </c>
      <c r="F522" t="s">
        <v>3223</v>
      </c>
      <c r="G522" t="s">
        <v>31</v>
      </c>
      <c r="H522" t="str">
        <f>VLOOKUP(Table1[[#This Row],[City]],Table6[#All],2,FALSE)</f>
        <v>South</v>
      </c>
      <c r="I522" t="s">
        <v>58</v>
      </c>
      <c r="J522" t="str">
        <f>_xlfn.XLOOKUP(Table1[[#This Row],[Tractor Model]],Table7[Product Model],Table7[Product Category],"Not Available",0)</f>
        <v>Powertrac</v>
      </c>
      <c r="K522" s="4">
        <v>1</v>
      </c>
      <c r="L522" s="72">
        <v>679712</v>
      </c>
      <c r="M522" s="4">
        <f>INDEX('Master Sheet'!$C$4:$C$12,MATCH(Table1[[#This Row],[Quantity]],'Master Sheet'!$B$4:$B$12,0))</f>
        <v>3</v>
      </c>
      <c r="N522" s="71">
        <f>Table1[[#This Row],[Quantity]]*Table1[[#This Row],[Unit Price]]</f>
        <v>679712</v>
      </c>
      <c r="O522" s="73">
        <v>6.7971199999999996E-2</v>
      </c>
      <c r="P522" s="70">
        <f>Table1[[#This Row],[Gross Amount]]*(1-(Table1[[#This Row],[Discount %]]/100))</f>
        <v>659320.64</v>
      </c>
      <c r="Q522" s="74">
        <f>(Table1[[#This Row],[Gross Amount]]*(1-(Table1[[#This Row],[Discount %]]/100)))/10000000</f>
        <v>6.5932063999999999E-2</v>
      </c>
      <c r="R522" t="s">
        <v>25</v>
      </c>
      <c r="S522" t="str" cm="1">
        <f t="array" ref="S522">IFERROR(_xlfn.IFS(Table1[[#This Row],[Payment Status]]="Partial","In Transit",Table1[[#This Row],[Payment Status]]="Paid","Delivered",Table1[[#This Row],[Payment Status]]="Pending","Pending"),"Invalid Input")</f>
        <v>In Transit</v>
      </c>
      <c r="T522" t="s">
        <v>27</v>
      </c>
      <c r="U522" t="str" cm="1">
        <f t="array" ref="U522">IFERROR(_xlfn.IFS(Table1[[#This Row],[Payment Status]]="Partial","In Transit",Table1[[#This Row],[Payment Status]]="Paid","Completed",Table1[[#This Row],[Payment Status]]="Pending","Pending"),"Invalid Input")</f>
        <v>In Transit</v>
      </c>
    </row>
    <row r="523" spans="1:21" x14ac:dyDescent="0.25">
      <c r="A523" s="4" t="s">
        <v>1047</v>
      </c>
      <c r="B523" s="5">
        <v>45828</v>
      </c>
      <c r="C523" t="s">
        <v>73</v>
      </c>
      <c r="D523" t="s">
        <v>37</v>
      </c>
      <c r="E523" t="s">
        <v>30</v>
      </c>
      <c r="F523" t="s">
        <v>3222</v>
      </c>
      <c r="G523" t="s">
        <v>31</v>
      </c>
      <c r="H523" t="str">
        <f>VLOOKUP(Table1[[#This Row],[City]],Table6[#All],2,FALSE)</f>
        <v>South</v>
      </c>
      <c r="I523" t="s">
        <v>3203</v>
      </c>
      <c r="J523" t="str">
        <f>_xlfn.XLOOKUP(Table1[[#This Row],[Tractor Model]],Table7[Product Model],Table7[Product Category],"Not Available",0)</f>
        <v>Kubota</v>
      </c>
      <c r="K523" s="4">
        <v>8</v>
      </c>
      <c r="L523" s="72">
        <v>422524</v>
      </c>
      <c r="M523" s="4">
        <f>INDEX('Master Sheet'!$C$4:$C$12,MATCH(Table1[[#This Row],[Quantity]],'Master Sheet'!$B$4:$B$12,0))</f>
        <v>9</v>
      </c>
      <c r="N523" s="71">
        <f>Table1[[#This Row],[Quantity]]*Table1[[#This Row],[Unit Price]]</f>
        <v>3380192</v>
      </c>
      <c r="O523" s="73">
        <v>0.33801920000000002</v>
      </c>
      <c r="P523" s="70">
        <f>Table1[[#This Row],[Gross Amount]]*(1-(Table1[[#This Row],[Discount %]]/100))</f>
        <v>3075974.72</v>
      </c>
      <c r="Q523" s="74">
        <f>(Table1[[#This Row],[Gross Amount]]*(1-(Table1[[#This Row],[Discount %]]/100)))/10000000</f>
        <v>0.30759747200000004</v>
      </c>
      <c r="R523" t="s">
        <v>42</v>
      </c>
      <c r="S523" t="str" cm="1">
        <f t="array" ref="S523">IFERROR(_xlfn.IFS(Table1[[#This Row],[Payment Status]]="Partial","In Transit",Table1[[#This Row],[Payment Status]]="Paid","Delivered",Table1[[#This Row],[Payment Status]]="Pending","Pending"),"Invalid Input")</f>
        <v>Pending</v>
      </c>
      <c r="T523" t="s">
        <v>27</v>
      </c>
      <c r="U523" t="str" cm="1">
        <f t="array" ref="U523">IFERROR(_xlfn.IFS(Table1[[#This Row],[Payment Status]]="Partial","In Transit",Table1[[#This Row],[Payment Status]]="Paid","Completed",Table1[[#This Row],[Payment Status]]="Pending","Pending"),"Invalid Input")</f>
        <v>Pending</v>
      </c>
    </row>
    <row r="524" spans="1:21" x14ac:dyDescent="0.25">
      <c r="A524" s="4" t="s">
        <v>1049</v>
      </c>
      <c r="B524" s="5">
        <v>45339</v>
      </c>
      <c r="C524" t="s">
        <v>41</v>
      </c>
      <c r="D524" t="s">
        <v>3270</v>
      </c>
      <c r="E524" t="s">
        <v>66</v>
      </c>
      <c r="F524" t="s">
        <v>3220</v>
      </c>
      <c r="G524" t="s">
        <v>67</v>
      </c>
      <c r="H524" t="str">
        <f>VLOOKUP(Table1[[#This Row],[City]],Table6[#All],2,FALSE)</f>
        <v>East</v>
      </c>
      <c r="I524" t="s">
        <v>3203</v>
      </c>
      <c r="J524" t="str">
        <f>_xlfn.XLOOKUP(Table1[[#This Row],[Tractor Model]],Table7[Product Model],Table7[Product Category],"Not Available",0)</f>
        <v>Kubota</v>
      </c>
      <c r="K524" s="4">
        <v>7</v>
      </c>
      <c r="L524" s="72">
        <v>834400</v>
      </c>
      <c r="M524" s="4">
        <f>INDEX('Master Sheet'!$C$4:$C$12,MATCH(Table1[[#This Row],[Quantity]],'Master Sheet'!$B$4:$B$12,0))</f>
        <v>9</v>
      </c>
      <c r="N524" s="71">
        <f>Table1[[#This Row],[Quantity]]*Table1[[#This Row],[Unit Price]]</f>
        <v>5840800</v>
      </c>
      <c r="O524" s="73">
        <v>0.58408000000000004</v>
      </c>
      <c r="P524" s="70">
        <f>Table1[[#This Row],[Gross Amount]]*(1-(Table1[[#This Row],[Discount %]]/100))</f>
        <v>5315128</v>
      </c>
      <c r="Q524" s="74">
        <f>(Table1[[#This Row],[Gross Amount]]*(1-(Table1[[#This Row],[Discount %]]/100)))/10000000</f>
        <v>0.53151280000000001</v>
      </c>
      <c r="R524" t="s">
        <v>54</v>
      </c>
      <c r="S524" t="str" cm="1">
        <f t="array" ref="S524">IFERROR(_xlfn.IFS(Table1[[#This Row],[Payment Status]]="Partial","In Transit",Table1[[#This Row],[Payment Status]]="Paid","Delivered",Table1[[#This Row],[Payment Status]]="Pending","Pending"),"Invalid Input")</f>
        <v>Delivered</v>
      </c>
      <c r="T524" t="s">
        <v>27</v>
      </c>
      <c r="U524" t="str" cm="1">
        <f t="array" ref="U524">IFERROR(_xlfn.IFS(Table1[[#This Row],[Payment Status]]="Partial","In Transit",Table1[[#This Row],[Payment Status]]="Paid","Completed",Table1[[#This Row],[Payment Status]]="Pending","Pending"),"Invalid Input")</f>
        <v>Completed</v>
      </c>
    </row>
    <row r="525" spans="1:21" x14ac:dyDescent="0.25">
      <c r="A525" s="4" t="s">
        <v>1051</v>
      </c>
      <c r="B525" s="5">
        <v>45630</v>
      </c>
      <c r="C525" t="s">
        <v>62</v>
      </c>
      <c r="D525" t="s">
        <v>3270</v>
      </c>
      <c r="E525" t="s">
        <v>47</v>
      </c>
      <c r="F525" t="s">
        <v>3205</v>
      </c>
      <c r="G525" t="s">
        <v>48</v>
      </c>
      <c r="H525" t="str">
        <f>VLOOKUP(Table1[[#This Row],[City]],Table6[#All],2,FALSE)</f>
        <v>North</v>
      </c>
      <c r="I525" t="s">
        <v>24</v>
      </c>
      <c r="J525" t="str">
        <f>_xlfn.XLOOKUP(Table1[[#This Row],[Tractor Model]],Table7[Product Model],Table7[Product Category],"Not Available",0)</f>
        <v>Farmtrac</v>
      </c>
      <c r="K525" s="4">
        <v>8</v>
      </c>
      <c r="L525" s="72">
        <v>734008</v>
      </c>
      <c r="M525" s="4">
        <f>INDEX('Master Sheet'!$C$4:$C$12,MATCH(Table1[[#This Row],[Quantity]],'Master Sheet'!$B$4:$B$12,0))</f>
        <v>9</v>
      </c>
      <c r="N525" s="71">
        <f>Table1[[#This Row],[Quantity]]*Table1[[#This Row],[Unit Price]]</f>
        <v>5872064</v>
      </c>
      <c r="O525" s="73">
        <v>0.58720640000000002</v>
      </c>
      <c r="P525" s="70">
        <f>Table1[[#This Row],[Gross Amount]]*(1-(Table1[[#This Row],[Discount %]]/100))</f>
        <v>5343578.24</v>
      </c>
      <c r="Q525" s="74">
        <f>(Table1[[#This Row],[Gross Amount]]*(1-(Table1[[#This Row],[Discount %]]/100)))/10000000</f>
        <v>0.53435782399999998</v>
      </c>
      <c r="R525" t="s">
        <v>42</v>
      </c>
      <c r="S525" t="str" cm="1">
        <f t="array" ref="S525">IFERROR(_xlfn.IFS(Table1[[#This Row],[Payment Status]]="Partial","In Transit",Table1[[#This Row],[Payment Status]]="Paid","Delivered",Table1[[#This Row],[Payment Status]]="Pending","Pending"),"Invalid Input")</f>
        <v>Pending</v>
      </c>
      <c r="T525" t="s">
        <v>27</v>
      </c>
      <c r="U525" t="str" cm="1">
        <f t="array" ref="U525">IFERROR(_xlfn.IFS(Table1[[#This Row],[Payment Status]]="Partial","In Transit",Table1[[#This Row],[Payment Status]]="Paid","Completed",Table1[[#This Row],[Payment Status]]="Pending","Pending"),"Invalid Input")</f>
        <v>Pending</v>
      </c>
    </row>
    <row r="526" spans="1:21" x14ac:dyDescent="0.25">
      <c r="A526" s="4" t="s">
        <v>1053</v>
      </c>
      <c r="B526" s="5">
        <v>45344</v>
      </c>
      <c r="C526" t="s">
        <v>41</v>
      </c>
      <c r="D526" t="s">
        <v>3269</v>
      </c>
      <c r="E526" t="s">
        <v>119</v>
      </c>
      <c r="F526" t="s">
        <v>3229</v>
      </c>
      <c r="G526" t="s">
        <v>21</v>
      </c>
      <c r="H526" t="str">
        <f>VLOOKUP(Table1[[#This Row],[City]],Table6[#All],2,FALSE)</f>
        <v>North</v>
      </c>
      <c r="I526" t="s">
        <v>24</v>
      </c>
      <c r="J526" t="str">
        <f>_xlfn.XLOOKUP(Table1[[#This Row],[Tractor Model]],Table7[Product Model],Table7[Product Category],"Not Available",0)</f>
        <v>Farmtrac</v>
      </c>
      <c r="K526" s="4">
        <v>4</v>
      </c>
      <c r="L526" s="72">
        <v>368284</v>
      </c>
      <c r="M526" s="4">
        <f>INDEX('Master Sheet'!$C$4:$C$12,MATCH(Table1[[#This Row],[Quantity]],'Master Sheet'!$B$4:$B$12,0))</f>
        <v>6</v>
      </c>
      <c r="N526" s="71">
        <f>Table1[[#This Row],[Quantity]]*Table1[[#This Row],[Unit Price]]</f>
        <v>1473136</v>
      </c>
      <c r="O526" s="73">
        <v>0.14731359999999999</v>
      </c>
      <c r="P526" s="70">
        <f>Table1[[#This Row],[Gross Amount]]*(1-(Table1[[#This Row],[Discount %]]/100))</f>
        <v>1384747.8399999999</v>
      </c>
      <c r="Q526" s="74">
        <f>(Table1[[#This Row],[Gross Amount]]*(1-(Table1[[#This Row],[Discount %]]/100)))/10000000</f>
        <v>0.13847478399999999</v>
      </c>
      <c r="R526" t="s">
        <v>54</v>
      </c>
      <c r="S526" t="str" cm="1">
        <f t="array" ref="S526">IFERROR(_xlfn.IFS(Table1[[#This Row],[Payment Status]]="Partial","In Transit",Table1[[#This Row],[Payment Status]]="Paid","Delivered",Table1[[#This Row],[Payment Status]]="Pending","Pending"),"Invalid Input")</f>
        <v>Delivered</v>
      </c>
      <c r="T526" t="s">
        <v>27</v>
      </c>
      <c r="U526" t="str" cm="1">
        <f t="array" ref="U526">IFERROR(_xlfn.IFS(Table1[[#This Row],[Payment Status]]="Partial","In Transit",Table1[[#This Row],[Payment Status]]="Paid","Completed",Table1[[#This Row],[Payment Status]]="Pending","Pending"),"Invalid Input")</f>
        <v>Completed</v>
      </c>
    </row>
    <row r="527" spans="1:21" x14ac:dyDescent="0.25">
      <c r="A527" s="4" t="s">
        <v>1054</v>
      </c>
      <c r="B527" s="5">
        <v>45791</v>
      </c>
      <c r="C527" t="s">
        <v>41</v>
      </c>
      <c r="D527" t="s">
        <v>3271</v>
      </c>
      <c r="E527" t="s">
        <v>47</v>
      </c>
      <c r="F527" t="s">
        <v>3221</v>
      </c>
      <c r="G527" t="s">
        <v>48</v>
      </c>
      <c r="H527" t="str">
        <f>VLOOKUP(Table1[[#This Row],[City]],Table6[#All],2,FALSE)</f>
        <v>North</v>
      </c>
      <c r="I527" t="s">
        <v>58</v>
      </c>
      <c r="J527" t="str">
        <f>_xlfn.XLOOKUP(Table1[[#This Row],[Tractor Model]],Table7[Product Model],Table7[Product Category],"Not Available",0)</f>
        <v>Powertrac</v>
      </c>
      <c r="K527" s="4">
        <v>2</v>
      </c>
      <c r="L527" s="72">
        <v>362436</v>
      </c>
      <c r="M527" s="4">
        <f>INDEX('Master Sheet'!$C$4:$C$12,MATCH(Table1[[#This Row],[Quantity]],'Master Sheet'!$B$4:$B$12,0))</f>
        <v>5</v>
      </c>
      <c r="N527" s="71">
        <f>Table1[[#This Row],[Quantity]]*Table1[[#This Row],[Unit Price]]</f>
        <v>724872</v>
      </c>
      <c r="O527" s="73">
        <v>7.2487200000000002E-2</v>
      </c>
      <c r="P527" s="70">
        <f>Table1[[#This Row],[Gross Amount]]*(1-(Table1[[#This Row],[Discount %]]/100))</f>
        <v>688628.4</v>
      </c>
      <c r="Q527" s="74">
        <f>(Table1[[#This Row],[Gross Amount]]*(1-(Table1[[#This Row],[Discount %]]/100)))/10000000</f>
        <v>6.8862840000000008E-2</v>
      </c>
      <c r="R527" t="s">
        <v>42</v>
      </c>
      <c r="S527" t="str" cm="1">
        <f t="array" ref="S527">IFERROR(_xlfn.IFS(Table1[[#This Row],[Payment Status]]="Partial","In Transit",Table1[[#This Row],[Payment Status]]="Paid","Delivered",Table1[[#This Row],[Payment Status]]="Pending","Pending"),"Invalid Input")</f>
        <v>Pending</v>
      </c>
      <c r="T527" t="s">
        <v>27</v>
      </c>
      <c r="U527" t="str" cm="1">
        <f t="array" ref="U527">IFERROR(_xlfn.IFS(Table1[[#This Row],[Payment Status]]="Partial","In Transit",Table1[[#This Row],[Payment Status]]="Paid","Completed",Table1[[#This Row],[Payment Status]]="Pending","Pending"),"Invalid Input")</f>
        <v>Pending</v>
      </c>
    </row>
    <row r="528" spans="1:21" x14ac:dyDescent="0.25">
      <c r="A528" s="4" t="s">
        <v>1056</v>
      </c>
      <c r="B528" s="5">
        <v>45467</v>
      </c>
      <c r="C528" t="s">
        <v>33</v>
      </c>
      <c r="D528" t="s">
        <v>3271</v>
      </c>
      <c r="E528" t="s">
        <v>30</v>
      </c>
      <c r="F528" t="s">
        <v>3217</v>
      </c>
      <c r="G528" t="s">
        <v>31</v>
      </c>
      <c r="H528" t="str">
        <f>VLOOKUP(Table1[[#This Row],[City]],Table6[#All],2,FALSE)</f>
        <v>South</v>
      </c>
      <c r="I528" t="s">
        <v>53</v>
      </c>
      <c r="J528" t="str">
        <f>_xlfn.XLOOKUP(Table1[[#This Row],[Tractor Model]],Table7[Product Model],Table7[Product Category],"Not Available",0)</f>
        <v>Farmtrac</v>
      </c>
      <c r="K528" s="4">
        <v>6</v>
      </c>
      <c r="L528" s="72">
        <v>227635</v>
      </c>
      <c r="M528" s="4">
        <f>INDEX('Master Sheet'!$C$4:$C$12,MATCH(Table1[[#This Row],[Quantity]],'Master Sheet'!$B$4:$B$12,0))</f>
        <v>8</v>
      </c>
      <c r="N528" s="71">
        <f>Table1[[#This Row],[Quantity]]*Table1[[#This Row],[Unit Price]]</f>
        <v>1365810</v>
      </c>
      <c r="O528" s="73">
        <v>0.13658100000000001</v>
      </c>
      <c r="P528" s="70">
        <f>Table1[[#This Row],[Gross Amount]]*(1-(Table1[[#This Row],[Discount %]]/100))</f>
        <v>1256545.2</v>
      </c>
      <c r="Q528" s="74">
        <f>(Table1[[#This Row],[Gross Amount]]*(1-(Table1[[#This Row],[Discount %]]/100)))/10000000</f>
        <v>0.12565451999999999</v>
      </c>
      <c r="R528" t="s">
        <v>54</v>
      </c>
      <c r="S528" t="str" cm="1">
        <f t="array" ref="S528">IFERROR(_xlfn.IFS(Table1[[#This Row],[Payment Status]]="Partial","In Transit",Table1[[#This Row],[Payment Status]]="Paid","Delivered",Table1[[#This Row],[Payment Status]]="Pending","Pending"),"Invalid Input")</f>
        <v>Delivered</v>
      </c>
      <c r="T528" t="s">
        <v>27</v>
      </c>
      <c r="U528" t="str" cm="1">
        <f t="array" ref="U528">IFERROR(_xlfn.IFS(Table1[[#This Row],[Payment Status]]="Partial","In Transit",Table1[[#This Row],[Payment Status]]="Paid","Completed",Table1[[#This Row],[Payment Status]]="Pending","Pending"),"Invalid Input")</f>
        <v>Completed</v>
      </c>
    </row>
    <row r="529" spans="1:21" x14ac:dyDescent="0.25">
      <c r="A529" s="4" t="s">
        <v>1057</v>
      </c>
      <c r="B529" s="5">
        <v>45621</v>
      </c>
      <c r="C529" t="s">
        <v>52</v>
      </c>
      <c r="D529" t="s">
        <v>3268</v>
      </c>
      <c r="E529" t="s">
        <v>30</v>
      </c>
      <c r="F529" t="s">
        <v>3208</v>
      </c>
      <c r="G529" t="s">
        <v>31</v>
      </c>
      <c r="H529" t="str">
        <f>VLOOKUP(Table1[[#This Row],[City]],Table6[#All],2,FALSE)</f>
        <v>South</v>
      </c>
      <c r="I529" t="s">
        <v>3204</v>
      </c>
      <c r="J529" t="str">
        <f>_xlfn.XLOOKUP(Table1[[#This Row],[Tractor Model]],Table7[Product Model],Table7[Product Category],"Not Available",0)</f>
        <v>Kubota</v>
      </c>
      <c r="K529" s="4">
        <v>6</v>
      </c>
      <c r="L529" s="72">
        <v>527755</v>
      </c>
      <c r="M529" s="4">
        <f>INDEX('Master Sheet'!$C$4:$C$12,MATCH(Table1[[#This Row],[Quantity]],'Master Sheet'!$B$4:$B$12,0))</f>
        <v>8</v>
      </c>
      <c r="N529" s="71">
        <f>Table1[[#This Row],[Quantity]]*Table1[[#This Row],[Unit Price]]</f>
        <v>3166530</v>
      </c>
      <c r="O529" s="73">
        <v>0.31665300000000002</v>
      </c>
      <c r="P529" s="70">
        <f>Table1[[#This Row],[Gross Amount]]*(1-(Table1[[#This Row],[Discount %]]/100))</f>
        <v>2913207.6</v>
      </c>
      <c r="Q529" s="74">
        <f>(Table1[[#This Row],[Gross Amount]]*(1-(Table1[[#This Row],[Discount %]]/100)))/10000000</f>
        <v>0.29132076000000001</v>
      </c>
      <c r="R529" t="s">
        <v>42</v>
      </c>
      <c r="S529" t="str" cm="1">
        <f t="array" ref="S529">IFERROR(_xlfn.IFS(Table1[[#This Row],[Payment Status]]="Partial","In Transit",Table1[[#This Row],[Payment Status]]="Paid","Delivered",Table1[[#This Row],[Payment Status]]="Pending","Pending"),"Invalid Input")</f>
        <v>Pending</v>
      </c>
      <c r="T529" t="s">
        <v>44</v>
      </c>
      <c r="U529" t="str" cm="1">
        <f t="array" ref="U529">IFERROR(_xlfn.IFS(Table1[[#This Row],[Payment Status]]="Partial","In Transit",Table1[[#This Row],[Payment Status]]="Paid","Completed",Table1[[#This Row],[Payment Status]]="Pending","Pending"),"Invalid Input")</f>
        <v>Pending</v>
      </c>
    </row>
    <row r="530" spans="1:21" x14ac:dyDescent="0.25">
      <c r="A530" s="4" t="s">
        <v>1059</v>
      </c>
      <c r="B530" s="5">
        <v>45652</v>
      </c>
      <c r="C530" t="s">
        <v>73</v>
      </c>
      <c r="D530" t="s">
        <v>3268</v>
      </c>
      <c r="E530" t="s">
        <v>47</v>
      </c>
      <c r="F530" t="s">
        <v>3216</v>
      </c>
      <c r="G530" t="s">
        <v>48</v>
      </c>
      <c r="H530" t="str">
        <f>VLOOKUP(Table1[[#This Row],[City]],Table6[#All],2,FALSE)</f>
        <v>North</v>
      </c>
      <c r="I530" t="s">
        <v>58</v>
      </c>
      <c r="J530" t="str">
        <f>_xlfn.XLOOKUP(Table1[[#This Row],[Tractor Model]],Table7[Product Model],Table7[Product Category],"Not Available",0)</f>
        <v>Powertrac</v>
      </c>
      <c r="K530" s="4">
        <v>6</v>
      </c>
      <c r="L530" s="72">
        <v>329220</v>
      </c>
      <c r="M530" s="4">
        <f>INDEX('Master Sheet'!$C$4:$C$12,MATCH(Table1[[#This Row],[Quantity]],'Master Sheet'!$B$4:$B$12,0))</f>
        <v>8</v>
      </c>
      <c r="N530" s="71">
        <f>Table1[[#This Row],[Quantity]]*Table1[[#This Row],[Unit Price]]</f>
        <v>1975320</v>
      </c>
      <c r="O530" s="73">
        <v>0.19753200000000001</v>
      </c>
      <c r="P530" s="70">
        <f>Table1[[#This Row],[Gross Amount]]*(1-(Table1[[#This Row],[Discount %]]/100))</f>
        <v>1817294.4000000001</v>
      </c>
      <c r="Q530" s="74">
        <f>(Table1[[#This Row],[Gross Amount]]*(1-(Table1[[#This Row],[Discount %]]/100)))/10000000</f>
        <v>0.18172944000000002</v>
      </c>
      <c r="R530" t="s">
        <v>54</v>
      </c>
      <c r="S530" t="str" cm="1">
        <f t="array" ref="S530">IFERROR(_xlfn.IFS(Table1[[#This Row],[Payment Status]]="Partial","In Transit",Table1[[#This Row],[Payment Status]]="Paid","Delivered",Table1[[#This Row],[Payment Status]]="Pending","Pending"),"Invalid Input")</f>
        <v>Delivered</v>
      </c>
      <c r="T530" t="s">
        <v>27</v>
      </c>
      <c r="U530" t="str" cm="1">
        <f t="array" ref="U530">IFERROR(_xlfn.IFS(Table1[[#This Row],[Payment Status]]="Partial","In Transit",Table1[[#This Row],[Payment Status]]="Paid","Completed",Table1[[#This Row],[Payment Status]]="Pending","Pending"),"Invalid Input")</f>
        <v>Completed</v>
      </c>
    </row>
    <row r="531" spans="1:21" x14ac:dyDescent="0.25">
      <c r="A531" s="4" t="s">
        <v>1060</v>
      </c>
      <c r="B531" s="5">
        <v>45355</v>
      </c>
      <c r="C531" t="s">
        <v>62</v>
      </c>
      <c r="D531" t="s">
        <v>3269</v>
      </c>
      <c r="E531" t="s">
        <v>30</v>
      </c>
      <c r="F531" t="s">
        <v>3225</v>
      </c>
      <c r="G531" t="s">
        <v>31</v>
      </c>
      <c r="H531" t="str">
        <f>VLOOKUP(Table1[[#This Row],[City]],Table6[#All],2,FALSE)</f>
        <v>South</v>
      </c>
      <c r="I531" t="s">
        <v>58</v>
      </c>
      <c r="J531" t="str">
        <f>_xlfn.XLOOKUP(Table1[[#This Row],[Tractor Model]],Table7[Product Model],Table7[Product Category],"Not Available",0)</f>
        <v>Powertrac</v>
      </c>
      <c r="K531" s="4">
        <v>5</v>
      </c>
      <c r="L531" s="72">
        <v>406770</v>
      </c>
      <c r="M531" s="4">
        <f>INDEX('Master Sheet'!$C$4:$C$12,MATCH(Table1[[#This Row],[Quantity]],'Master Sheet'!$B$4:$B$12,0))</f>
        <v>7</v>
      </c>
      <c r="N531" s="71">
        <f>Table1[[#This Row],[Quantity]]*Table1[[#This Row],[Unit Price]]</f>
        <v>2033850</v>
      </c>
      <c r="O531" s="73">
        <v>0.20338500000000001</v>
      </c>
      <c r="P531" s="70">
        <f>Table1[[#This Row],[Gross Amount]]*(1-(Table1[[#This Row],[Discount %]]/100))</f>
        <v>1891480.4999999998</v>
      </c>
      <c r="Q531" s="74">
        <f>(Table1[[#This Row],[Gross Amount]]*(1-(Table1[[#This Row],[Discount %]]/100)))/10000000</f>
        <v>0.18914804999999998</v>
      </c>
      <c r="R531" t="s">
        <v>54</v>
      </c>
      <c r="S531" t="str" cm="1">
        <f t="array" ref="S531">IFERROR(_xlfn.IFS(Table1[[#This Row],[Payment Status]]="Partial","In Transit",Table1[[#This Row],[Payment Status]]="Paid","Delivered",Table1[[#This Row],[Payment Status]]="Pending","Pending"),"Invalid Input")</f>
        <v>Delivered</v>
      </c>
      <c r="T531" t="s">
        <v>27</v>
      </c>
      <c r="U531" t="str" cm="1">
        <f t="array" ref="U531">IFERROR(_xlfn.IFS(Table1[[#This Row],[Payment Status]]="Partial","In Transit",Table1[[#This Row],[Payment Status]]="Paid","Completed",Table1[[#This Row],[Payment Status]]="Pending","Pending"),"Invalid Input")</f>
        <v>Completed</v>
      </c>
    </row>
    <row r="532" spans="1:21" x14ac:dyDescent="0.25">
      <c r="A532" s="4" t="s">
        <v>1061</v>
      </c>
      <c r="B532" s="5">
        <v>45605</v>
      </c>
      <c r="C532" t="s">
        <v>41</v>
      </c>
      <c r="D532" t="s">
        <v>3269</v>
      </c>
      <c r="E532" t="s">
        <v>119</v>
      </c>
      <c r="F532" t="s">
        <v>3229</v>
      </c>
      <c r="G532" t="s">
        <v>21</v>
      </c>
      <c r="H532" t="str">
        <f>VLOOKUP(Table1[[#This Row],[City]],Table6[#All],2,FALSE)</f>
        <v>North</v>
      </c>
      <c r="I532" t="s">
        <v>53</v>
      </c>
      <c r="J532" t="str">
        <f>_xlfn.XLOOKUP(Table1[[#This Row],[Tractor Model]],Table7[Product Model],Table7[Product Category],"Not Available",0)</f>
        <v>Farmtrac</v>
      </c>
      <c r="K532" s="4">
        <v>3</v>
      </c>
      <c r="L532" s="72">
        <v>439793</v>
      </c>
      <c r="M532" s="4">
        <f>INDEX('Master Sheet'!$C$4:$C$12,MATCH(Table1[[#This Row],[Quantity]],'Master Sheet'!$B$4:$B$12,0))</f>
        <v>6</v>
      </c>
      <c r="N532" s="71">
        <f>Table1[[#This Row],[Quantity]]*Table1[[#This Row],[Unit Price]]</f>
        <v>1319379</v>
      </c>
      <c r="O532" s="73">
        <v>0.1319379</v>
      </c>
      <c r="P532" s="70">
        <f>Table1[[#This Row],[Gross Amount]]*(1-(Table1[[#This Row],[Discount %]]/100))</f>
        <v>1240216.26</v>
      </c>
      <c r="Q532" s="74">
        <f>(Table1[[#This Row],[Gross Amount]]*(1-(Table1[[#This Row],[Discount %]]/100)))/10000000</f>
        <v>0.124021626</v>
      </c>
      <c r="R532" t="s">
        <v>25</v>
      </c>
      <c r="S532" t="str" cm="1">
        <f t="array" ref="S532">IFERROR(_xlfn.IFS(Table1[[#This Row],[Payment Status]]="Partial","In Transit",Table1[[#This Row],[Payment Status]]="Paid","Delivered",Table1[[#This Row],[Payment Status]]="Pending","Pending"),"Invalid Input")</f>
        <v>In Transit</v>
      </c>
      <c r="T532" t="s">
        <v>27</v>
      </c>
      <c r="U532" t="str" cm="1">
        <f t="array" ref="U532">IFERROR(_xlfn.IFS(Table1[[#This Row],[Payment Status]]="Partial","In Transit",Table1[[#This Row],[Payment Status]]="Paid","Completed",Table1[[#This Row],[Payment Status]]="Pending","Pending"),"Invalid Input")</f>
        <v>In Transit</v>
      </c>
    </row>
    <row r="533" spans="1:21" x14ac:dyDescent="0.25">
      <c r="A533" s="4" t="s">
        <v>1063</v>
      </c>
      <c r="B533" s="5">
        <v>45334</v>
      </c>
      <c r="C533" t="s">
        <v>33</v>
      </c>
      <c r="D533" t="s">
        <v>3269</v>
      </c>
      <c r="E533" t="s">
        <v>38</v>
      </c>
      <c r="F533" t="s">
        <v>3206</v>
      </c>
      <c r="G533" t="s">
        <v>39</v>
      </c>
      <c r="H533" t="str">
        <f>VLOOKUP(Table1[[#This Row],[City]],Table6[#All],2,FALSE)</f>
        <v>West</v>
      </c>
      <c r="I533" t="s">
        <v>3204</v>
      </c>
      <c r="J533" t="str">
        <f>_xlfn.XLOOKUP(Table1[[#This Row],[Tractor Model]],Table7[Product Model],Table7[Product Category],"Not Available",0)</f>
        <v>Kubota</v>
      </c>
      <c r="K533" s="4">
        <v>6</v>
      </c>
      <c r="L533" s="72">
        <v>66207</v>
      </c>
      <c r="M533" s="4">
        <f>INDEX('Master Sheet'!$C$4:$C$12,MATCH(Table1[[#This Row],[Quantity]],'Master Sheet'!$B$4:$B$12,0))</f>
        <v>8</v>
      </c>
      <c r="N533" s="71">
        <f>Table1[[#This Row],[Quantity]]*Table1[[#This Row],[Unit Price]]</f>
        <v>397242</v>
      </c>
      <c r="O533" s="73">
        <v>3.9724200000000001E-2</v>
      </c>
      <c r="P533" s="70">
        <f>Table1[[#This Row],[Gross Amount]]*(1-(Table1[[#This Row],[Discount %]]/100))</f>
        <v>365462.64</v>
      </c>
      <c r="Q533" s="74">
        <f>(Table1[[#This Row],[Gross Amount]]*(1-(Table1[[#This Row],[Discount %]]/100)))/10000000</f>
        <v>3.6546264000000002E-2</v>
      </c>
      <c r="R533" t="s">
        <v>25</v>
      </c>
      <c r="S533" t="str" cm="1">
        <f t="array" ref="S533">IFERROR(_xlfn.IFS(Table1[[#This Row],[Payment Status]]="Partial","In Transit",Table1[[#This Row],[Payment Status]]="Paid","Delivered",Table1[[#This Row],[Payment Status]]="Pending","Pending"),"Invalid Input")</f>
        <v>In Transit</v>
      </c>
      <c r="T533" t="s">
        <v>44</v>
      </c>
      <c r="U533" t="str" cm="1">
        <f t="array" ref="U533">IFERROR(_xlfn.IFS(Table1[[#This Row],[Payment Status]]="Partial","In Transit",Table1[[#This Row],[Payment Status]]="Paid","Completed",Table1[[#This Row],[Payment Status]]="Pending","Pending"),"Invalid Input")</f>
        <v>In Transit</v>
      </c>
    </row>
    <row r="534" spans="1:21" x14ac:dyDescent="0.25">
      <c r="A534" s="4" t="s">
        <v>1065</v>
      </c>
      <c r="B534" s="5">
        <v>45331</v>
      </c>
      <c r="C534" t="s">
        <v>33</v>
      </c>
      <c r="D534" t="s">
        <v>3271</v>
      </c>
      <c r="E534" t="s">
        <v>38</v>
      </c>
      <c r="F534" t="s">
        <v>3210</v>
      </c>
      <c r="G534" t="s">
        <v>39</v>
      </c>
      <c r="H534" t="str">
        <f>VLOOKUP(Table1[[#This Row],[City]],Table6[#All],2,FALSE)</f>
        <v>West</v>
      </c>
      <c r="I534" t="s">
        <v>58</v>
      </c>
      <c r="J534" t="str">
        <f>_xlfn.XLOOKUP(Table1[[#This Row],[Tractor Model]],Table7[Product Model],Table7[Product Category],"Not Available",0)</f>
        <v>Powertrac</v>
      </c>
      <c r="K534" s="4">
        <v>2</v>
      </c>
      <c r="L534" s="72">
        <v>680802</v>
      </c>
      <c r="M534" s="4">
        <f>INDEX('Master Sheet'!$C$4:$C$12,MATCH(Table1[[#This Row],[Quantity]],'Master Sheet'!$B$4:$B$12,0))</f>
        <v>5</v>
      </c>
      <c r="N534" s="71">
        <f>Table1[[#This Row],[Quantity]]*Table1[[#This Row],[Unit Price]]</f>
        <v>1361604</v>
      </c>
      <c r="O534" s="73">
        <v>0.13616039999999999</v>
      </c>
      <c r="P534" s="70">
        <f>Table1[[#This Row],[Gross Amount]]*(1-(Table1[[#This Row],[Discount %]]/100))</f>
        <v>1293523.8</v>
      </c>
      <c r="Q534" s="74">
        <f>(Table1[[#This Row],[Gross Amount]]*(1-(Table1[[#This Row],[Discount %]]/100)))/10000000</f>
        <v>0.12935238000000002</v>
      </c>
      <c r="R534" t="s">
        <v>25</v>
      </c>
      <c r="S534" t="str" cm="1">
        <f t="array" ref="S534">IFERROR(_xlfn.IFS(Table1[[#This Row],[Payment Status]]="Partial","In Transit",Table1[[#This Row],[Payment Status]]="Paid","Delivered",Table1[[#This Row],[Payment Status]]="Pending","Pending"),"Invalid Input")</f>
        <v>In Transit</v>
      </c>
      <c r="T534" t="s">
        <v>27</v>
      </c>
      <c r="U534" t="str" cm="1">
        <f t="array" ref="U534">IFERROR(_xlfn.IFS(Table1[[#This Row],[Payment Status]]="Partial","In Transit",Table1[[#This Row],[Payment Status]]="Paid","Completed",Table1[[#This Row],[Payment Status]]="Pending","Pending"),"Invalid Input")</f>
        <v>In Transit</v>
      </c>
    </row>
    <row r="535" spans="1:21" x14ac:dyDescent="0.25">
      <c r="A535" s="4" t="s">
        <v>1067</v>
      </c>
      <c r="B535" s="5">
        <v>45313</v>
      </c>
      <c r="C535" t="s">
        <v>33</v>
      </c>
      <c r="D535" t="s">
        <v>3271</v>
      </c>
      <c r="E535" t="s">
        <v>38</v>
      </c>
      <c r="F535" t="s">
        <v>3210</v>
      </c>
      <c r="G535" t="s">
        <v>39</v>
      </c>
      <c r="H535" t="str">
        <f>VLOOKUP(Table1[[#This Row],[City]],Table6[#All],2,FALSE)</f>
        <v>West</v>
      </c>
      <c r="I535" t="s">
        <v>3204</v>
      </c>
      <c r="J535" t="str">
        <f>_xlfn.XLOOKUP(Table1[[#This Row],[Tractor Model]],Table7[Product Model],Table7[Product Category],"Not Available",0)</f>
        <v>Kubota</v>
      </c>
      <c r="K535" s="4">
        <v>2</v>
      </c>
      <c r="L535" s="72">
        <v>322720</v>
      </c>
      <c r="M535" s="4">
        <f>INDEX('Master Sheet'!$C$4:$C$12,MATCH(Table1[[#This Row],[Quantity]],'Master Sheet'!$B$4:$B$12,0))</f>
        <v>5</v>
      </c>
      <c r="N535" s="71">
        <f>Table1[[#This Row],[Quantity]]*Table1[[#This Row],[Unit Price]]</f>
        <v>645440</v>
      </c>
      <c r="O535" s="73">
        <v>6.4544000000000004E-2</v>
      </c>
      <c r="P535" s="70">
        <f>Table1[[#This Row],[Gross Amount]]*(1-(Table1[[#This Row],[Discount %]]/100))</f>
        <v>613168</v>
      </c>
      <c r="Q535" s="74">
        <f>(Table1[[#This Row],[Gross Amount]]*(1-(Table1[[#This Row],[Discount %]]/100)))/10000000</f>
        <v>6.1316799999999998E-2</v>
      </c>
      <c r="R535" t="s">
        <v>25</v>
      </c>
      <c r="S535" t="str" cm="1">
        <f t="array" ref="S535">IFERROR(_xlfn.IFS(Table1[[#This Row],[Payment Status]]="Partial","In Transit",Table1[[#This Row],[Payment Status]]="Paid","Delivered",Table1[[#This Row],[Payment Status]]="Pending","Pending"),"Invalid Input")</f>
        <v>In Transit</v>
      </c>
      <c r="T535" t="s">
        <v>44</v>
      </c>
      <c r="U535" t="str" cm="1">
        <f t="array" ref="U535">IFERROR(_xlfn.IFS(Table1[[#This Row],[Payment Status]]="Partial","In Transit",Table1[[#This Row],[Payment Status]]="Paid","Completed",Table1[[#This Row],[Payment Status]]="Pending","Pending"),"Invalid Input")</f>
        <v>In Transit</v>
      </c>
    </row>
    <row r="536" spans="1:21" x14ac:dyDescent="0.25">
      <c r="A536" s="4" t="s">
        <v>1068</v>
      </c>
      <c r="B536" s="5">
        <v>45630</v>
      </c>
      <c r="C536" t="s">
        <v>41</v>
      </c>
      <c r="D536" t="s">
        <v>3270</v>
      </c>
      <c r="E536" t="s">
        <v>47</v>
      </c>
      <c r="F536" t="s">
        <v>3205</v>
      </c>
      <c r="G536" t="s">
        <v>48</v>
      </c>
      <c r="H536" t="str">
        <f>VLOOKUP(Table1[[#This Row],[City]],Table6[#All],2,FALSE)</f>
        <v>North</v>
      </c>
      <c r="I536" t="s">
        <v>53</v>
      </c>
      <c r="J536" t="str">
        <f>_xlfn.XLOOKUP(Table1[[#This Row],[Tractor Model]],Table7[Product Model],Table7[Product Category],"Not Available",0)</f>
        <v>Farmtrac</v>
      </c>
      <c r="K536" s="4">
        <v>3</v>
      </c>
      <c r="L536" s="72">
        <v>849359</v>
      </c>
      <c r="M536" s="4">
        <f>INDEX('Master Sheet'!$C$4:$C$12,MATCH(Table1[[#This Row],[Quantity]],'Master Sheet'!$B$4:$B$12,0))</f>
        <v>6</v>
      </c>
      <c r="N536" s="71">
        <f>Table1[[#This Row],[Quantity]]*Table1[[#This Row],[Unit Price]]</f>
        <v>2548077</v>
      </c>
      <c r="O536" s="73">
        <v>0.25480770000000003</v>
      </c>
      <c r="P536" s="70">
        <f>Table1[[#This Row],[Gross Amount]]*(1-(Table1[[#This Row],[Discount %]]/100))</f>
        <v>2395192.38</v>
      </c>
      <c r="Q536" s="74">
        <f>(Table1[[#This Row],[Gross Amount]]*(1-(Table1[[#This Row],[Discount %]]/100)))/10000000</f>
        <v>0.239519238</v>
      </c>
      <c r="R536" t="s">
        <v>54</v>
      </c>
      <c r="S536" t="str" cm="1">
        <f t="array" ref="S536">IFERROR(_xlfn.IFS(Table1[[#This Row],[Payment Status]]="Partial","In Transit",Table1[[#This Row],[Payment Status]]="Paid","Delivered",Table1[[#This Row],[Payment Status]]="Pending","Pending"),"Invalid Input")</f>
        <v>Delivered</v>
      </c>
      <c r="T536" t="s">
        <v>27</v>
      </c>
      <c r="U536" t="str" cm="1">
        <f t="array" ref="U536">IFERROR(_xlfn.IFS(Table1[[#This Row],[Payment Status]]="Partial","In Transit",Table1[[#This Row],[Payment Status]]="Paid","Completed",Table1[[#This Row],[Payment Status]]="Pending","Pending"),"Invalid Input")</f>
        <v>Completed</v>
      </c>
    </row>
    <row r="537" spans="1:21" x14ac:dyDescent="0.25">
      <c r="A537" s="4" t="s">
        <v>1069</v>
      </c>
      <c r="B537" s="5">
        <v>45594</v>
      </c>
      <c r="C537" t="s">
        <v>41</v>
      </c>
      <c r="D537" t="s">
        <v>37</v>
      </c>
      <c r="E537" t="s">
        <v>66</v>
      </c>
      <c r="F537" t="s">
        <v>3226</v>
      </c>
      <c r="G537" t="s">
        <v>67</v>
      </c>
      <c r="H537" t="str">
        <f>VLOOKUP(Table1[[#This Row],[City]],Table6[#All],2,FALSE)</f>
        <v>East</v>
      </c>
      <c r="I537" t="s">
        <v>3204</v>
      </c>
      <c r="J537" t="str">
        <f>_xlfn.XLOOKUP(Table1[[#This Row],[Tractor Model]],Table7[Product Model],Table7[Product Category],"Not Available",0)</f>
        <v>Kubota</v>
      </c>
      <c r="K537" s="4">
        <v>8</v>
      </c>
      <c r="L537" s="72">
        <v>822964</v>
      </c>
      <c r="M537" s="4">
        <f>INDEX('Master Sheet'!$C$4:$C$12,MATCH(Table1[[#This Row],[Quantity]],'Master Sheet'!$B$4:$B$12,0))</f>
        <v>9</v>
      </c>
      <c r="N537" s="71">
        <f>Table1[[#This Row],[Quantity]]*Table1[[#This Row],[Unit Price]]</f>
        <v>6583712</v>
      </c>
      <c r="O537" s="73">
        <v>0.65837120000000005</v>
      </c>
      <c r="P537" s="70">
        <f>Table1[[#This Row],[Gross Amount]]*(1-(Table1[[#This Row],[Discount %]]/100))</f>
        <v>5991177.9199999999</v>
      </c>
      <c r="Q537" s="74">
        <f>(Table1[[#This Row],[Gross Amount]]*(1-(Table1[[#This Row],[Discount %]]/100)))/10000000</f>
        <v>0.59911779200000004</v>
      </c>
      <c r="R537" t="s">
        <v>25</v>
      </c>
      <c r="S537" t="str" cm="1">
        <f t="array" ref="S537">IFERROR(_xlfn.IFS(Table1[[#This Row],[Payment Status]]="Partial","In Transit",Table1[[#This Row],[Payment Status]]="Paid","Delivered",Table1[[#This Row],[Payment Status]]="Pending","Pending"),"Invalid Input")</f>
        <v>In Transit</v>
      </c>
      <c r="T537" t="s">
        <v>27</v>
      </c>
      <c r="U537" t="str" cm="1">
        <f t="array" ref="U537">IFERROR(_xlfn.IFS(Table1[[#This Row],[Payment Status]]="Partial","In Transit",Table1[[#This Row],[Payment Status]]="Paid","Completed",Table1[[#This Row],[Payment Status]]="Pending","Pending"),"Invalid Input")</f>
        <v>In Transit</v>
      </c>
    </row>
    <row r="538" spans="1:21" x14ac:dyDescent="0.25">
      <c r="A538" s="4" t="s">
        <v>1070</v>
      </c>
      <c r="B538" s="5">
        <v>45693</v>
      </c>
      <c r="C538" t="s">
        <v>33</v>
      </c>
      <c r="D538" t="s">
        <v>3268</v>
      </c>
      <c r="E538" t="s">
        <v>66</v>
      </c>
      <c r="F538" t="s">
        <v>3211</v>
      </c>
      <c r="G538" t="s">
        <v>67</v>
      </c>
      <c r="H538" t="str">
        <f>VLOOKUP(Table1[[#This Row],[City]],Table6[#All],2,FALSE)</f>
        <v>East</v>
      </c>
      <c r="I538" t="s">
        <v>3204</v>
      </c>
      <c r="J538" t="str">
        <f>_xlfn.XLOOKUP(Table1[[#This Row],[Tractor Model]],Table7[Product Model],Table7[Product Category],"Not Available",0)</f>
        <v>Kubota</v>
      </c>
      <c r="K538" s="4">
        <v>3</v>
      </c>
      <c r="L538" s="72">
        <v>376804</v>
      </c>
      <c r="M538" s="4">
        <f>INDEX('Master Sheet'!$C$4:$C$12,MATCH(Table1[[#This Row],[Quantity]],'Master Sheet'!$B$4:$B$12,0))</f>
        <v>6</v>
      </c>
      <c r="N538" s="71">
        <f>Table1[[#This Row],[Quantity]]*Table1[[#This Row],[Unit Price]]</f>
        <v>1130412</v>
      </c>
      <c r="O538" s="73">
        <v>0.11304119999999999</v>
      </c>
      <c r="P538" s="70">
        <f>Table1[[#This Row],[Gross Amount]]*(1-(Table1[[#This Row],[Discount %]]/100))</f>
        <v>1062587.28</v>
      </c>
      <c r="Q538" s="74">
        <f>(Table1[[#This Row],[Gross Amount]]*(1-(Table1[[#This Row],[Discount %]]/100)))/10000000</f>
        <v>0.106258728</v>
      </c>
      <c r="R538" t="s">
        <v>42</v>
      </c>
      <c r="S538" t="str" cm="1">
        <f t="array" ref="S538">IFERROR(_xlfn.IFS(Table1[[#This Row],[Payment Status]]="Partial","In Transit",Table1[[#This Row],[Payment Status]]="Paid","Delivered",Table1[[#This Row],[Payment Status]]="Pending","Pending"),"Invalid Input")</f>
        <v>Pending</v>
      </c>
      <c r="T538" t="s">
        <v>44</v>
      </c>
      <c r="U538" t="str" cm="1">
        <f t="array" ref="U538">IFERROR(_xlfn.IFS(Table1[[#This Row],[Payment Status]]="Partial","In Transit",Table1[[#This Row],[Payment Status]]="Paid","Completed",Table1[[#This Row],[Payment Status]]="Pending","Pending"),"Invalid Input")</f>
        <v>Pending</v>
      </c>
    </row>
    <row r="539" spans="1:21" x14ac:dyDescent="0.25">
      <c r="A539" s="4" t="s">
        <v>1072</v>
      </c>
      <c r="B539" s="5">
        <v>45901</v>
      </c>
      <c r="C539" t="s">
        <v>41</v>
      </c>
      <c r="D539" t="s">
        <v>3268</v>
      </c>
      <c r="E539" t="s">
        <v>38</v>
      </c>
      <c r="F539" t="s">
        <v>3219</v>
      </c>
      <c r="G539" t="s">
        <v>39</v>
      </c>
      <c r="H539" t="str">
        <f>VLOOKUP(Table1[[#This Row],[City]],Table6[#All],2,FALSE)</f>
        <v>West</v>
      </c>
      <c r="I539" t="s">
        <v>3203</v>
      </c>
      <c r="J539" t="str">
        <f>_xlfn.XLOOKUP(Table1[[#This Row],[Tractor Model]],Table7[Product Model],Table7[Product Category],"Not Available",0)</f>
        <v>Kubota</v>
      </c>
      <c r="K539" s="4">
        <v>1</v>
      </c>
      <c r="L539" s="72">
        <v>454599</v>
      </c>
      <c r="M539" s="4">
        <f>INDEX('Master Sheet'!$C$4:$C$12,MATCH(Table1[[#This Row],[Quantity]],'Master Sheet'!$B$4:$B$12,0))</f>
        <v>3</v>
      </c>
      <c r="N539" s="71">
        <f>Table1[[#This Row],[Quantity]]*Table1[[#This Row],[Unit Price]]</f>
        <v>454599</v>
      </c>
      <c r="O539" s="73">
        <v>4.5459899999999998E-2</v>
      </c>
      <c r="P539" s="70">
        <f>Table1[[#This Row],[Gross Amount]]*(1-(Table1[[#This Row],[Discount %]]/100))</f>
        <v>440961.02999999997</v>
      </c>
      <c r="Q539" s="74">
        <f>(Table1[[#This Row],[Gross Amount]]*(1-(Table1[[#This Row],[Discount %]]/100)))/10000000</f>
        <v>4.4096102999999998E-2</v>
      </c>
      <c r="R539" t="s">
        <v>42</v>
      </c>
      <c r="S539" t="str" cm="1">
        <f t="array" ref="S539">IFERROR(_xlfn.IFS(Table1[[#This Row],[Payment Status]]="Partial","In Transit",Table1[[#This Row],[Payment Status]]="Paid","Delivered",Table1[[#This Row],[Payment Status]]="Pending","Pending"),"Invalid Input")</f>
        <v>Pending</v>
      </c>
      <c r="T539" t="s">
        <v>27</v>
      </c>
      <c r="U539" t="str" cm="1">
        <f t="array" ref="U539">IFERROR(_xlfn.IFS(Table1[[#This Row],[Payment Status]]="Partial","In Transit",Table1[[#This Row],[Payment Status]]="Paid","Completed",Table1[[#This Row],[Payment Status]]="Pending","Pending"),"Invalid Input")</f>
        <v>Pending</v>
      </c>
    </row>
    <row r="540" spans="1:21" x14ac:dyDescent="0.25">
      <c r="A540" s="4" t="s">
        <v>1073</v>
      </c>
      <c r="B540" s="5">
        <v>45566</v>
      </c>
      <c r="C540" t="s">
        <v>52</v>
      </c>
      <c r="D540" t="s">
        <v>3269</v>
      </c>
      <c r="E540" t="s">
        <v>119</v>
      </c>
      <c r="F540" t="s">
        <v>3229</v>
      </c>
      <c r="G540" t="s">
        <v>21</v>
      </c>
      <c r="H540" t="str">
        <f>VLOOKUP(Table1[[#This Row],[City]],Table6[#All],2,FALSE)</f>
        <v>North</v>
      </c>
      <c r="I540" t="s">
        <v>24</v>
      </c>
      <c r="J540" t="str">
        <f>_xlfn.XLOOKUP(Table1[[#This Row],[Tractor Model]],Table7[Product Model],Table7[Product Category],"Not Available",0)</f>
        <v>Farmtrac</v>
      </c>
      <c r="K540" s="4">
        <v>5</v>
      </c>
      <c r="L540" s="72">
        <v>139366</v>
      </c>
      <c r="M540" s="4">
        <f>INDEX('Master Sheet'!$C$4:$C$12,MATCH(Table1[[#This Row],[Quantity]],'Master Sheet'!$B$4:$B$12,0))</f>
        <v>7</v>
      </c>
      <c r="N540" s="71">
        <f>Table1[[#This Row],[Quantity]]*Table1[[#This Row],[Unit Price]]</f>
        <v>696830</v>
      </c>
      <c r="O540" s="73">
        <v>6.9682999999999995E-2</v>
      </c>
      <c r="P540" s="70">
        <f>Table1[[#This Row],[Gross Amount]]*(1-(Table1[[#This Row],[Discount %]]/100))</f>
        <v>648051.89999999991</v>
      </c>
      <c r="Q540" s="74">
        <f>(Table1[[#This Row],[Gross Amount]]*(1-(Table1[[#This Row],[Discount %]]/100)))/10000000</f>
        <v>6.4805189999999985E-2</v>
      </c>
      <c r="R540" t="s">
        <v>54</v>
      </c>
      <c r="S540" t="str" cm="1">
        <f t="array" ref="S540">IFERROR(_xlfn.IFS(Table1[[#This Row],[Payment Status]]="Partial","In Transit",Table1[[#This Row],[Payment Status]]="Paid","Delivered",Table1[[#This Row],[Payment Status]]="Pending","Pending"),"Invalid Input")</f>
        <v>Delivered</v>
      </c>
      <c r="T540" t="s">
        <v>27</v>
      </c>
      <c r="U540" t="str" cm="1">
        <f t="array" ref="U540">IFERROR(_xlfn.IFS(Table1[[#This Row],[Payment Status]]="Partial","In Transit",Table1[[#This Row],[Payment Status]]="Paid","Completed",Table1[[#This Row],[Payment Status]]="Pending","Pending"),"Invalid Input")</f>
        <v>Completed</v>
      </c>
    </row>
    <row r="541" spans="1:21" x14ac:dyDescent="0.25">
      <c r="A541" s="4" t="s">
        <v>1074</v>
      </c>
      <c r="B541" s="5">
        <v>45538</v>
      </c>
      <c r="C541" t="s">
        <v>33</v>
      </c>
      <c r="D541" t="s">
        <v>3270</v>
      </c>
      <c r="E541" t="s">
        <v>38</v>
      </c>
      <c r="F541" t="s">
        <v>3218</v>
      </c>
      <c r="G541" t="s">
        <v>39</v>
      </c>
      <c r="H541" t="str">
        <f>VLOOKUP(Table1[[#This Row],[City]],Table6[#All],2,FALSE)</f>
        <v>West</v>
      </c>
      <c r="I541" t="s">
        <v>3204</v>
      </c>
      <c r="J541" t="str">
        <f>_xlfn.XLOOKUP(Table1[[#This Row],[Tractor Model]],Table7[Product Model],Table7[Product Category],"Not Available",0)</f>
        <v>Kubota</v>
      </c>
      <c r="K541" s="4">
        <v>7</v>
      </c>
      <c r="L541" s="72">
        <v>692359</v>
      </c>
      <c r="M541" s="4">
        <f>INDEX('Master Sheet'!$C$4:$C$12,MATCH(Table1[[#This Row],[Quantity]],'Master Sheet'!$B$4:$B$12,0))</f>
        <v>9</v>
      </c>
      <c r="N541" s="71">
        <f>Table1[[#This Row],[Quantity]]*Table1[[#This Row],[Unit Price]]</f>
        <v>4846513</v>
      </c>
      <c r="O541" s="73">
        <v>0.48465130000000001</v>
      </c>
      <c r="P541" s="70">
        <f>Table1[[#This Row],[Gross Amount]]*(1-(Table1[[#This Row],[Discount %]]/100))</f>
        <v>4410326.83</v>
      </c>
      <c r="Q541" s="74">
        <f>(Table1[[#This Row],[Gross Amount]]*(1-(Table1[[#This Row],[Discount %]]/100)))/10000000</f>
        <v>0.44103268299999998</v>
      </c>
      <c r="R541" t="s">
        <v>42</v>
      </c>
      <c r="S541" t="str" cm="1">
        <f t="array" ref="S541">IFERROR(_xlfn.IFS(Table1[[#This Row],[Payment Status]]="Partial","In Transit",Table1[[#This Row],[Payment Status]]="Paid","Delivered",Table1[[#This Row],[Payment Status]]="Pending","Pending"),"Invalid Input")</f>
        <v>Pending</v>
      </c>
      <c r="T541" t="s">
        <v>27</v>
      </c>
      <c r="U541" t="str" cm="1">
        <f t="array" ref="U541">IFERROR(_xlfn.IFS(Table1[[#This Row],[Payment Status]]="Partial","In Transit",Table1[[#This Row],[Payment Status]]="Paid","Completed",Table1[[#This Row],[Payment Status]]="Pending","Pending"),"Invalid Input")</f>
        <v>Pending</v>
      </c>
    </row>
    <row r="542" spans="1:21" x14ac:dyDescent="0.25">
      <c r="A542" s="4" t="s">
        <v>1075</v>
      </c>
      <c r="B542" s="5">
        <v>45530</v>
      </c>
      <c r="C542" t="s">
        <v>33</v>
      </c>
      <c r="D542" t="s">
        <v>37</v>
      </c>
      <c r="E542" t="s">
        <v>38</v>
      </c>
      <c r="F542" t="s">
        <v>3214</v>
      </c>
      <c r="G542" t="s">
        <v>39</v>
      </c>
      <c r="H542" t="str">
        <f>VLOOKUP(Table1[[#This Row],[City]],Table6[#All],2,FALSE)</f>
        <v>West</v>
      </c>
      <c r="I542" t="s">
        <v>53</v>
      </c>
      <c r="J542" t="str">
        <f>_xlfn.XLOOKUP(Table1[[#This Row],[Tractor Model]],Table7[Product Model],Table7[Product Category],"Not Available",0)</f>
        <v>Farmtrac</v>
      </c>
      <c r="K542" s="4">
        <v>5</v>
      </c>
      <c r="L542" s="72">
        <v>569989</v>
      </c>
      <c r="M542" s="4">
        <f>INDEX('Master Sheet'!$C$4:$C$12,MATCH(Table1[[#This Row],[Quantity]],'Master Sheet'!$B$4:$B$12,0))</f>
        <v>7</v>
      </c>
      <c r="N542" s="71">
        <f>Table1[[#This Row],[Quantity]]*Table1[[#This Row],[Unit Price]]</f>
        <v>2849945</v>
      </c>
      <c r="O542" s="73">
        <v>0.28499449999999998</v>
      </c>
      <c r="P542" s="70">
        <f>Table1[[#This Row],[Gross Amount]]*(1-(Table1[[#This Row],[Discount %]]/100))</f>
        <v>2650448.8499999996</v>
      </c>
      <c r="Q542" s="74">
        <f>(Table1[[#This Row],[Gross Amount]]*(1-(Table1[[#This Row],[Discount %]]/100)))/10000000</f>
        <v>0.26504488499999995</v>
      </c>
      <c r="R542" t="s">
        <v>25</v>
      </c>
      <c r="S542" t="str" cm="1">
        <f t="array" ref="S542">IFERROR(_xlfn.IFS(Table1[[#This Row],[Payment Status]]="Partial","In Transit",Table1[[#This Row],[Payment Status]]="Paid","Delivered",Table1[[#This Row],[Payment Status]]="Pending","Pending"),"Invalid Input")</f>
        <v>In Transit</v>
      </c>
      <c r="T542" t="s">
        <v>27</v>
      </c>
      <c r="U542" t="str" cm="1">
        <f t="array" ref="U542">IFERROR(_xlfn.IFS(Table1[[#This Row],[Payment Status]]="Partial","In Transit",Table1[[#This Row],[Payment Status]]="Paid","Completed",Table1[[#This Row],[Payment Status]]="Pending","Pending"),"Invalid Input")</f>
        <v>In Transit</v>
      </c>
    </row>
    <row r="543" spans="1:21" x14ac:dyDescent="0.25">
      <c r="A543" s="4" t="s">
        <v>1076</v>
      </c>
      <c r="B543" s="5">
        <v>45822</v>
      </c>
      <c r="C543" t="s">
        <v>62</v>
      </c>
      <c r="D543" t="s">
        <v>3271</v>
      </c>
      <c r="E543" t="s">
        <v>47</v>
      </c>
      <c r="F543" t="s">
        <v>3221</v>
      </c>
      <c r="G543" t="s">
        <v>48</v>
      </c>
      <c r="H543" t="str">
        <f>VLOOKUP(Table1[[#This Row],[City]],Table6[#All],2,FALSE)</f>
        <v>North</v>
      </c>
      <c r="I543" t="s">
        <v>3204</v>
      </c>
      <c r="J543" t="str">
        <f>_xlfn.XLOOKUP(Table1[[#This Row],[Tractor Model]],Table7[Product Model],Table7[Product Category],"Not Available",0)</f>
        <v>Kubota</v>
      </c>
      <c r="K543" s="4">
        <v>6</v>
      </c>
      <c r="L543" s="72">
        <v>425526</v>
      </c>
      <c r="M543" s="4">
        <f>INDEX('Master Sheet'!$C$4:$C$12,MATCH(Table1[[#This Row],[Quantity]],'Master Sheet'!$B$4:$B$12,0))</f>
        <v>8</v>
      </c>
      <c r="N543" s="71">
        <f>Table1[[#This Row],[Quantity]]*Table1[[#This Row],[Unit Price]]</f>
        <v>2553156</v>
      </c>
      <c r="O543" s="73">
        <v>0.25531559999999998</v>
      </c>
      <c r="P543" s="70">
        <f>Table1[[#This Row],[Gross Amount]]*(1-(Table1[[#This Row],[Discount %]]/100))</f>
        <v>2348903.52</v>
      </c>
      <c r="Q543" s="74">
        <f>(Table1[[#This Row],[Gross Amount]]*(1-(Table1[[#This Row],[Discount %]]/100)))/10000000</f>
        <v>0.234890352</v>
      </c>
      <c r="R543" t="s">
        <v>25</v>
      </c>
      <c r="S543" t="str" cm="1">
        <f t="array" ref="S543">IFERROR(_xlfn.IFS(Table1[[#This Row],[Payment Status]]="Partial","In Transit",Table1[[#This Row],[Payment Status]]="Paid","Delivered",Table1[[#This Row],[Payment Status]]="Pending","Pending"),"Invalid Input")</f>
        <v>In Transit</v>
      </c>
      <c r="T543" t="s">
        <v>27</v>
      </c>
      <c r="U543" t="str" cm="1">
        <f t="array" ref="U543">IFERROR(_xlfn.IFS(Table1[[#This Row],[Payment Status]]="Partial","In Transit",Table1[[#This Row],[Payment Status]]="Paid","Completed",Table1[[#This Row],[Payment Status]]="Pending","Pending"),"Invalid Input")</f>
        <v>In Transit</v>
      </c>
    </row>
    <row r="544" spans="1:21" x14ac:dyDescent="0.25">
      <c r="A544" s="4" t="s">
        <v>1077</v>
      </c>
      <c r="B544" s="5">
        <v>45321</v>
      </c>
      <c r="C544" t="s">
        <v>62</v>
      </c>
      <c r="D544" t="s">
        <v>37</v>
      </c>
      <c r="E544" t="s">
        <v>66</v>
      </c>
      <c r="F544" t="s">
        <v>3226</v>
      </c>
      <c r="G544" t="s">
        <v>67</v>
      </c>
      <c r="H544" t="str">
        <f>VLOOKUP(Table1[[#This Row],[City]],Table6[#All],2,FALSE)</f>
        <v>East</v>
      </c>
      <c r="I544" t="s">
        <v>58</v>
      </c>
      <c r="J544" t="str">
        <f>_xlfn.XLOOKUP(Table1[[#This Row],[Tractor Model]],Table7[Product Model],Table7[Product Category],"Not Available",0)</f>
        <v>Powertrac</v>
      </c>
      <c r="K544" s="4">
        <v>2</v>
      </c>
      <c r="L544" s="72">
        <v>235733</v>
      </c>
      <c r="M544" s="4">
        <f>INDEX('Master Sheet'!$C$4:$C$12,MATCH(Table1[[#This Row],[Quantity]],'Master Sheet'!$B$4:$B$12,0))</f>
        <v>5</v>
      </c>
      <c r="N544" s="71">
        <f>Table1[[#This Row],[Quantity]]*Table1[[#This Row],[Unit Price]]</f>
        <v>471466</v>
      </c>
      <c r="O544" s="73">
        <v>4.7146599999999997E-2</v>
      </c>
      <c r="P544" s="70">
        <f>Table1[[#This Row],[Gross Amount]]*(1-(Table1[[#This Row],[Discount %]]/100))</f>
        <v>447892.69999999995</v>
      </c>
      <c r="Q544" s="74">
        <f>(Table1[[#This Row],[Gross Amount]]*(1-(Table1[[#This Row],[Discount %]]/100)))/10000000</f>
        <v>4.4789269999999992E-2</v>
      </c>
      <c r="R544" t="s">
        <v>25</v>
      </c>
      <c r="S544" t="str" cm="1">
        <f t="array" ref="S544">IFERROR(_xlfn.IFS(Table1[[#This Row],[Payment Status]]="Partial","In Transit",Table1[[#This Row],[Payment Status]]="Paid","Delivered",Table1[[#This Row],[Payment Status]]="Pending","Pending"),"Invalid Input")</f>
        <v>In Transit</v>
      </c>
      <c r="T544" t="s">
        <v>27</v>
      </c>
      <c r="U544" t="str" cm="1">
        <f t="array" ref="U544">IFERROR(_xlfn.IFS(Table1[[#This Row],[Payment Status]]="Partial","In Transit",Table1[[#This Row],[Payment Status]]="Paid","Completed",Table1[[#This Row],[Payment Status]]="Pending","Pending"),"Invalid Input")</f>
        <v>In Transit</v>
      </c>
    </row>
    <row r="545" spans="1:21" x14ac:dyDescent="0.25">
      <c r="A545" s="4" t="s">
        <v>1078</v>
      </c>
      <c r="B545" s="5">
        <v>45661</v>
      </c>
      <c r="C545" t="s">
        <v>41</v>
      </c>
      <c r="D545" t="s">
        <v>3270</v>
      </c>
      <c r="E545" t="s">
        <v>38</v>
      </c>
      <c r="F545" t="s">
        <v>3218</v>
      </c>
      <c r="G545" t="s">
        <v>39</v>
      </c>
      <c r="H545" t="str">
        <f>VLOOKUP(Table1[[#This Row],[City]],Table6[#All],2,FALSE)</f>
        <v>West</v>
      </c>
      <c r="I545" t="s">
        <v>58</v>
      </c>
      <c r="J545" t="str">
        <f>_xlfn.XLOOKUP(Table1[[#This Row],[Tractor Model]],Table7[Product Model],Table7[Product Category],"Not Available",0)</f>
        <v>Powertrac</v>
      </c>
      <c r="K545" s="4">
        <v>1</v>
      </c>
      <c r="L545" s="72">
        <v>854757</v>
      </c>
      <c r="M545" s="4">
        <f>INDEX('Master Sheet'!$C$4:$C$12,MATCH(Table1[[#This Row],[Quantity]],'Master Sheet'!$B$4:$B$12,0))</f>
        <v>3</v>
      </c>
      <c r="N545" s="71">
        <f>Table1[[#This Row],[Quantity]]*Table1[[#This Row],[Unit Price]]</f>
        <v>854757</v>
      </c>
      <c r="O545" s="73">
        <v>8.5475700000000002E-2</v>
      </c>
      <c r="P545" s="70">
        <f>Table1[[#This Row],[Gross Amount]]*(1-(Table1[[#This Row],[Discount %]]/100))</f>
        <v>829114.28999999992</v>
      </c>
      <c r="Q545" s="74">
        <f>(Table1[[#This Row],[Gross Amount]]*(1-(Table1[[#This Row],[Discount %]]/100)))/10000000</f>
        <v>8.2911428999999995E-2</v>
      </c>
      <c r="R545" t="s">
        <v>42</v>
      </c>
      <c r="S545" t="str" cm="1">
        <f t="array" ref="S545">IFERROR(_xlfn.IFS(Table1[[#This Row],[Payment Status]]="Partial","In Transit",Table1[[#This Row],[Payment Status]]="Paid","Delivered",Table1[[#This Row],[Payment Status]]="Pending","Pending"),"Invalid Input")</f>
        <v>Pending</v>
      </c>
      <c r="T545" t="s">
        <v>27</v>
      </c>
      <c r="U545" t="str" cm="1">
        <f t="array" ref="U545">IFERROR(_xlfn.IFS(Table1[[#This Row],[Payment Status]]="Partial","In Transit",Table1[[#This Row],[Payment Status]]="Paid","Completed",Table1[[#This Row],[Payment Status]]="Pending","Pending"),"Invalid Input")</f>
        <v>Pending</v>
      </c>
    </row>
    <row r="546" spans="1:21" x14ac:dyDescent="0.25">
      <c r="A546" s="4" t="s">
        <v>1080</v>
      </c>
      <c r="B546" s="5">
        <v>45298</v>
      </c>
      <c r="C546" t="s">
        <v>73</v>
      </c>
      <c r="D546" t="s">
        <v>3269</v>
      </c>
      <c r="E546" t="s">
        <v>30</v>
      </c>
      <c r="F546" t="s">
        <v>3225</v>
      </c>
      <c r="G546" t="s">
        <v>31</v>
      </c>
      <c r="H546" t="str">
        <f>VLOOKUP(Table1[[#This Row],[City]],Table6[#All],2,FALSE)</f>
        <v>South</v>
      </c>
      <c r="I546" t="s">
        <v>3204</v>
      </c>
      <c r="J546" t="str">
        <f>_xlfn.XLOOKUP(Table1[[#This Row],[Tractor Model]],Table7[Product Model],Table7[Product Category],"Not Available",0)</f>
        <v>Kubota</v>
      </c>
      <c r="K546" s="4">
        <v>8</v>
      </c>
      <c r="L546" s="72">
        <v>506225</v>
      </c>
      <c r="M546" s="4">
        <f>INDEX('Master Sheet'!$C$4:$C$12,MATCH(Table1[[#This Row],[Quantity]],'Master Sheet'!$B$4:$B$12,0))</f>
        <v>9</v>
      </c>
      <c r="N546" s="71">
        <f>Table1[[#This Row],[Quantity]]*Table1[[#This Row],[Unit Price]]</f>
        <v>4049800</v>
      </c>
      <c r="O546" s="73">
        <v>0.40498000000000001</v>
      </c>
      <c r="P546" s="70">
        <f>Table1[[#This Row],[Gross Amount]]*(1-(Table1[[#This Row],[Discount %]]/100))</f>
        <v>3685318</v>
      </c>
      <c r="Q546" s="74">
        <f>(Table1[[#This Row],[Gross Amount]]*(1-(Table1[[#This Row],[Discount %]]/100)))/10000000</f>
        <v>0.36853180000000002</v>
      </c>
      <c r="R546" t="s">
        <v>54</v>
      </c>
      <c r="S546" t="str" cm="1">
        <f t="array" ref="S546">IFERROR(_xlfn.IFS(Table1[[#This Row],[Payment Status]]="Partial","In Transit",Table1[[#This Row],[Payment Status]]="Paid","Delivered",Table1[[#This Row],[Payment Status]]="Pending","Pending"),"Invalid Input")</f>
        <v>Delivered</v>
      </c>
      <c r="T546" t="s">
        <v>44</v>
      </c>
      <c r="U546" t="str" cm="1">
        <f t="array" ref="U546">IFERROR(_xlfn.IFS(Table1[[#This Row],[Payment Status]]="Partial","In Transit",Table1[[#This Row],[Payment Status]]="Paid","Completed",Table1[[#This Row],[Payment Status]]="Pending","Pending"),"Invalid Input")</f>
        <v>Completed</v>
      </c>
    </row>
    <row r="547" spans="1:21" x14ac:dyDescent="0.25">
      <c r="A547" s="4" t="s">
        <v>1082</v>
      </c>
      <c r="B547" s="5">
        <v>45623</v>
      </c>
      <c r="C547" t="s">
        <v>62</v>
      </c>
      <c r="D547" t="s">
        <v>3271</v>
      </c>
      <c r="E547" t="s">
        <v>38</v>
      </c>
      <c r="F547" t="s">
        <v>3210</v>
      </c>
      <c r="G547" t="s">
        <v>39</v>
      </c>
      <c r="H547" t="str">
        <f>VLOOKUP(Table1[[#This Row],[City]],Table6[#All],2,FALSE)</f>
        <v>West</v>
      </c>
      <c r="I547" t="s">
        <v>58</v>
      </c>
      <c r="J547" t="str">
        <f>_xlfn.XLOOKUP(Table1[[#This Row],[Tractor Model]],Table7[Product Model],Table7[Product Category],"Not Available",0)</f>
        <v>Powertrac</v>
      </c>
      <c r="K547" s="4">
        <v>2</v>
      </c>
      <c r="L547" s="72">
        <v>611309</v>
      </c>
      <c r="M547" s="4">
        <f>INDEX('Master Sheet'!$C$4:$C$12,MATCH(Table1[[#This Row],[Quantity]],'Master Sheet'!$B$4:$B$12,0))</f>
        <v>5</v>
      </c>
      <c r="N547" s="71">
        <f>Table1[[#This Row],[Quantity]]*Table1[[#This Row],[Unit Price]]</f>
        <v>1222618</v>
      </c>
      <c r="O547" s="73">
        <v>0.1222618</v>
      </c>
      <c r="P547" s="70">
        <f>Table1[[#This Row],[Gross Amount]]*(1-(Table1[[#This Row],[Discount %]]/100))</f>
        <v>1161487.0999999999</v>
      </c>
      <c r="Q547" s="74">
        <f>(Table1[[#This Row],[Gross Amount]]*(1-(Table1[[#This Row],[Discount %]]/100)))/10000000</f>
        <v>0.11614870999999999</v>
      </c>
      <c r="R547" t="s">
        <v>25</v>
      </c>
      <c r="S547" t="str" cm="1">
        <f t="array" ref="S547">IFERROR(_xlfn.IFS(Table1[[#This Row],[Payment Status]]="Partial","In Transit",Table1[[#This Row],[Payment Status]]="Paid","Delivered",Table1[[#This Row],[Payment Status]]="Pending","Pending"),"Invalid Input")</f>
        <v>In Transit</v>
      </c>
      <c r="T547" t="s">
        <v>27</v>
      </c>
      <c r="U547" t="str" cm="1">
        <f t="array" ref="U547">IFERROR(_xlfn.IFS(Table1[[#This Row],[Payment Status]]="Partial","In Transit",Table1[[#This Row],[Payment Status]]="Paid","Completed",Table1[[#This Row],[Payment Status]]="Pending","Pending"),"Invalid Input")</f>
        <v>In Transit</v>
      </c>
    </row>
    <row r="548" spans="1:21" x14ac:dyDescent="0.25">
      <c r="A548" s="4" t="s">
        <v>1084</v>
      </c>
      <c r="B548" s="5">
        <v>45664</v>
      </c>
      <c r="C548" t="s">
        <v>33</v>
      </c>
      <c r="D548" t="s">
        <v>3270</v>
      </c>
      <c r="E548" t="s">
        <v>30</v>
      </c>
      <c r="F548" t="s">
        <v>3223</v>
      </c>
      <c r="G548" t="s">
        <v>31</v>
      </c>
      <c r="H548" t="str">
        <f>VLOOKUP(Table1[[#This Row],[City]],Table6[#All],2,FALSE)</f>
        <v>South</v>
      </c>
      <c r="I548" t="s">
        <v>53</v>
      </c>
      <c r="J548" t="str">
        <f>_xlfn.XLOOKUP(Table1[[#This Row],[Tractor Model]],Table7[Product Model],Table7[Product Category],"Not Available",0)</f>
        <v>Farmtrac</v>
      </c>
      <c r="K548" s="4">
        <v>0</v>
      </c>
      <c r="L548" s="72">
        <v>865433</v>
      </c>
      <c r="M548" s="4">
        <f>INDEX('Master Sheet'!$C$4:$C$12,MATCH(Table1[[#This Row],[Quantity]],'Master Sheet'!$B$4:$B$12,0))</f>
        <v>0</v>
      </c>
      <c r="N548" s="71">
        <f>Table1[[#This Row],[Quantity]]*Table1[[#This Row],[Unit Price]]</f>
        <v>0</v>
      </c>
      <c r="O548" s="73">
        <v>0</v>
      </c>
      <c r="P548" s="70">
        <f>Table1[[#This Row],[Gross Amount]]*(1-(Table1[[#This Row],[Discount %]]/100))</f>
        <v>0</v>
      </c>
      <c r="Q548" s="74">
        <f>(Table1[[#This Row],[Gross Amount]]*(1-(Table1[[#This Row],[Discount %]]/100)))/10000000</f>
        <v>0</v>
      </c>
      <c r="R548" t="s">
        <v>25</v>
      </c>
      <c r="S548" t="str" cm="1">
        <f t="array" ref="S548">IFERROR(_xlfn.IFS(Table1[[#This Row],[Payment Status]]="Partial","In Transit",Table1[[#This Row],[Payment Status]]="Paid","Delivered",Table1[[#This Row],[Payment Status]]="Pending","Pending"),"Invalid Input")</f>
        <v>In Transit</v>
      </c>
      <c r="T548" t="s">
        <v>27</v>
      </c>
      <c r="U548" t="str" cm="1">
        <f t="array" ref="U548">IFERROR(_xlfn.IFS(Table1[[#This Row],[Payment Status]]="Partial","In Transit",Table1[[#This Row],[Payment Status]]="Paid","Completed",Table1[[#This Row],[Payment Status]]="Pending","Pending"),"Invalid Input")</f>
        <v>In Transit</v>
      </c>
    </row>
    <row r="549" spans="1:21" x14ac:dyDescent="0.25">
      <c r="A549" s="4" t="s">
        <v>1086</v>
      </c>
      <c r="B549" s="5">
        <v>45513</v>
      </c>
      <c r="C549" t="s">
        <v>62</v>
      </c>
      <c r="D549" t="s">
        <v>37</v>
      </c>
      <c r="E549" t="s">
        <v>66</v>
      </c>
      <c r="F549" t="s">
        <v>3226</v>
      </c>
      <c r="G549" t="s">
        <v>67</v>
      </c>
      <c r="H549" t="str">
        <f>VLOOKUP(Table1[[#This Row],[City]],Table6[#All],2,FALSE)</f>
        <v>East</v>
      </c>
      <c r="I549" t="s">
        <v>3204</v>
      </c>
      <c r="J549" t="str">
        <f>_xlfn.XLOOKUP(Table1[[#This Row],[Tractor Model]],Table7[Product Model],Table7[Product Category],"Not Available",0)</f>
        <v>Kubota</v>
      </c>
      <c r="K549" s="4">
        <v>5</v>
      </c>
      <c r="L549" s="72">
        <v>621337</v>
      </c>
      <c r="M549" s="4">
        <f>INDEX('Master Sheet'!$C$4:$C$12,MATCH(Table1[[#This Row],[Quantity]],'Master Sheet'!$B$4:$B$12,0))</f>
        <v>7</v>
      </c>
      <c r="N549" s="71">
        <f>Table1[[#This Row],[Quantity]]*Table1[[#This Row],[Unit Price]]</f>
        <v>3106685</v>
      </c>
      <c r="O549" s="73">
        <v>0.31066850000000001</v>
      </c>
      <c r="P549" s="70">
        <f>Table1[[#This Row],[Gross Amount]]*(1-(Table1[[#This Row],[Discount %]]/100))</f>
        <v>2889217.05</v>
      </c>
      <c r="Q549" s="74">
        <f>(Table1[[#This Row],[Gross Amount]]*(1-(Table1[[#This Row],[Discount %]]/100)))/10000000</f>
        <v>0.28892170499999997</v>
      </c>
      <c r="R549" t="s">
        <v>54</v>
      </c>
      <c r="S549" t="str" cm="1">
        <f t="array" ref="S549">IFERROR(_xlfn.IFS(Table1[[#This Row],[Payment Status]]="Partial","In Transit",Table1[[#This Row],[Payment Status]]="Paid","Delivered",Table1[[#This Row],[Payment Status]]="Pending","Pending"),"Invalid Input")</f>
        <v>Delivered</v>
      </c>
      <c r="T549" t="s">
        <v>44</v>
      </c>
      <c r="U549" t="str" cm="1">
        <f t="array" ref="U549">IFERROR(_xlfn.IFS(Table1[[#This Row],[Payment Status]]="Partial","In Transit",Table1[[#This Row],[Payment Status]]="Paid","Completed",Table1[[#This Row],[Payment Status]]="Pending","Pending"),"Invalid Input")</f>
        <v>Completed</v>
      </c>
    </row>
    <row r="550" spans="1:21" x14ac:dyDescent="0.25">
      <c r="A550" s="4" t="s">
        <v>1088</v>
      </c>
      <c r="B550" s="5">
        <v>45438</v>
      </c>
      <c r="C550" t="s">
        <v>62</v>
      </c>
      <c r="D550" t="s">
        <v>3269</v>
      </c>
      <c r="E550" t="s">
        <v>30</v>
      </c>
      <c r="F550" t="s">
        <v>3225</v>
      </c>
      <c r="G550" t="s">
        <v>31</v>
      </c>
      <c r="H550" t="str">
        <f>VLOOKUP(Table1[[#This Row],[City]],Table6[#All],2,FALSE)</f>
        <v>South</v>
      </c>
      <c r="I550" t="s">
        <v>24</v>
      </c>
      <c r="J550" t="str">
        <f>_xlfn.XLOOKUP(Table1[[#This Row],[Tractor Model]],Table7[Product Model],Table7[Product Category],"Not Available",0)</f>
        <v>Farmtrac</v>
      </c>
      <c r="K550" s="4">
        <v>5</v>
      </c>
      <c r="L550" s="72">
        <v>825129</v>
      </c>
      <c r="M550" s="4">
        <f>INDEX('Master Sheet'!$C$4:$C$12,MATCH(Table1[[#This Row],[Quantity]],'Master Sheet'!$B$4:$B$12,0))</f>
        <v>7</v>
      </c>
      <c r="N550" s="71">
        <f>Table1[[#This Row],[Quantity]]*Table1[[#This Row],[Unit Price]]</f>
        <v>4125645</v>
      </c>
      <c r="O550" s="73">
        <v>0.4125645</v>
      </c>
      <c r="P550" s="70">
        <f>Table1[[#This Row],[Gross Amount]]*(1-(Table1[[#This Row],[Discount %]]/100))</f>
        <v>3836849.8499999996</v>
      </c>
      <c r="Q550" s="74">
        <f>(Table1[[#This Row],[Gross Amount]]*(1-(Table1[[#This Row],[Discount %]]/100)))/10000000</f>
        <v>0.38368498499999998</v>
      </c>
      <c r="R550" t="s">
        <v>25</v>
      </c>
      <c r="S550" t="str" cm="1">
        <f t="array" ref="S550">IFERROR(_xlfn.IFS(Table1[[#This Row],[Payment Status]]="Partial","In Transit",Table1[[#This Row],[Payment Status]]="Paid","Delivered",Table1[[#This Row],[Payment Status]]="Pending","Pending"),"Invalid Input")</f>
        <v>In Transit</v>
      </c>
      <c r="T550" t="s">
        <v>44</v>
      </c>
      <c r="U550" t="str" cm="1">
        <f t="array" ref="U550">IFERROR(_xlfn.IFS(Table1[[#This Row],[Payment Status]]="Partial","In Transit",Table1[[#This Row],[Payment Status]]="Paid","Completed",Table1[[#This Row],[Payment Status]]="Pending","Pending"),"Invalid Input")</f>
        <v>In Transit</v>
      </c>
    </row>
    <row r="551" spans="1:21" x14ac:dyDescent="0.25">
      <c r="A551" s="4" t="s">
        <v>1090</v>
      </c>
      <c r="B551" s="5">
        <v>45721</v>
      </c>
      <c r="C551" t="s">
        <v>33</v>
      </c>
      <c r="D551" t="s">
        <v>3270</v>
      </c>
      <c r="E551" t="s">
        <v>119</v>
      </c>
      <c r="F551" t="s">
        <v>3212</v>
      </c>
      <c r="G551" t="s">
        <v>21</v>
      </c>
      <c r="H551" t="str">
        <f>VLOOKUP(Table1[[#This Row],[City]],Table6[#All],2,FALSE)</f>
        <v>North</v>
      </c>
      <c r="I551" t="s">
        <v>3203</v>
      </c>
      <c r="J551" t="str">
        <f>_xlfn.XLOOKUP(Table1[[#This Row],[Tractor Model]],Table7[Product Model],Table7[Product Category],"Not Available",0)</f>
        <v>Kubota</v>
      </c>
      <c r="K551" s="4">
        <v>4</v>
      </c>
      <c r="L551" s="72">
        <v>74815</v>
      </c>
      <c r="M551" s="4">
        <f>INDEX('Master Sheet'!$C$4:$C$12,MATCH(Table1[[#This Row],[Quantity]],'Master Sheet'!$B$4:$B$12,0))</f>
        <v>6</v>
      </c>
      <c r="N551" s="71">
        <f>Table1[[#This Row],[Quantity]]*Table1[[#This Row],[Unit Price]]</f>
        <v>299260</v>
      </c>
      <c r="O551" s="73">
        <v>2.9926000000000001E-2</v>
      </c>
      <c r="P551" s="70">
        <f>Table1[[#This Row],[Gross Amount]]*(1-(Table1[[#This Row],[Discount %]]/100))</f>
        <v>281304.39999999997</v>
      </c>
      <c r="Q551" s="74">
        <f>(Table1[[#This Row],[Gross Amount]]*(1-(Table1[[#This Row],[Discount %]]/100)))/10000000</f>
        <v>2.8130439999999996E-2</v>
      </c>
      <c r="R551" t="s">
        <v>54</v>
      </c>
      <c r="S551" t="str" cm="1">
        <f t="array" ref="S551">IFERROR(_xlfn.IFS(Table1[[#This Row],[Payment Status]]="Partial","In Transit",Table1[[#This Row],[Payment Status]]="Paid","Delivered",Table1[[#This Row],[Payment Status]]="Pending","Pending"),"Invalid Input")</f>
        <v>Delivered</v>
      </c>
      <c r="T551" t="s">
        <v>44</v>
      </c>
      <c r="U551" t="str" cm="1">
        <f t="array" ref="U551">IFERROR(_xlfn.IFS(Table1[[#This Row],[Payment Status]]="Partial","In Transit",Table1[[#This Row],[Payment Status]]="Paid","Completed",Table1[[#This Row],[Payment Status]]="Pending","Pending"),"Invalid Input")</f>
        <v>Completed</v>
      </c>
    </row>
    <row r="552" spans="1:21" x14ac:dyDescent="0.25">
      <c r="A552" s="4" t="s">
        <v>1092</v>
      </c>
      <c r="B552" s="5">
        <v>45650</v>
      </c>
      <c r="C552" t="s">
        <v>62</v>
      </c>
      <c r="D552" t="s">
        <v>3271</v>
      </c>
      <c r="E552" t="s">
        <v>47</v>
      </c>
      <c r="F552" t="s">
        <v>3221</v>
      </c>
      <c r="G552" t="s">
        <v>48</v>
      </c>
      <c r="H552" t="str">
        <f>VLOOKUP(Table1[[#This Row],[City]],Table6[#All],2,FALSE)</f>
        <v>North</v>
      </c>
      <c r="I552" t="s">
        <v>3204</v>
      </c>
      <c r="J552" t="str">
        <f>_xlfn.XLOOKUP(Table1[[#This Row],[Tractor Model]],Table7[Product Model],Table7[Product Category],"Not Available",0)</f>
        <v>Kubota</v>
      </c>
      <c r="K552" s="4">
        <v>8</v>
      </c>
      <c r="L552" s="72">
        <v>521715</v>
      </c>
      <c r="M552" s="4">
        <f>INDEX('Master Sheet'!$C$4:$C$12,MATCH(Table1[[#This Row],[Quantity]],'Master Sheet'!$B$4:$B$12,0))</f>
        <v>9</v>
      </c>
      <c r="N552" s="71">
        <f>Table1[[#This Row],[Quantity]]*Table1[[#This Row],[Unit Price]]</f>
        <v>4173720</v>
      </c>
      <c r="O552" s="73">
        <v>0.41737200000000002</v>
      </c>
      <c r="P552" s="70">
        <f>Table1[[#This Row],[Gross Amount]]*(1-(Table1[[#This Row],[Discount %]]/100))</f>
        <v>3798085.2</v>
      </c>
      <c r="Q552" s="74">
        <f>(Table1[[#This Row],[Gross Amount]]*(1-(Table1[[#This Row],[Discount %]]/100)))/10000000</f>
        <v>0.37980852000000004</v>
      </c>
      <c r="R552" t="s">
        <v>42</v>
      </c>
      <c r="S552" t="str" cm="1">
        <f t="array" ref="S552">IFERROR(_xlfn.IFS(Table1[[#This Row],[Payment Status]]="Partial","In Transit",Table1[[#This Row],[Payment Status]]="Paid","Delivered",Table1[[#This Row],[Payment Status]]="Pending","Pending"),"Invalid Input")</f>
        <v>Pending</v>
      </c>
      <c r="T552" t="s">
        <v>44</v>
      </c>
      <c r="U552" t="str" cm="1">
        <f t="array" ref="U552">IFERROR(_xlfn.IFS(Table1[[#This Row],[Payment Status]]="Partial","In Transit",Table1[[#This Row],[Payment Status]]="Paid","Completed",Table1[[#This Row],[Payment Status]]="Pending","Pending"),"Invalid Input")</f>
        <v>Pending</v>
      </c>
    </row>
    <row r="553" spans="1:21" x14ac:dyDescent="0.25">
      <c r="A553" s="4" t="s">
        <v>1094</v>
      </c>
      <c r="B553" s="5">
        <v>45505</v>
      </c>
      <c r="C553" t="s">
        <v>33</v>
      </c>
      <c r="D553" t="s">
        <v>3269</v>
      </c>
      <c r="E553" t="s">
        <v>119</v>
      </c>
      <c r="F553" t="s">
        <v>3229</v>
      </c>
      <c r="G553" t="s">
        <v>21</v>
      </c>
      <c r="H553" t="str">
        <f>VLOOKUP(Table1[[#This Row],[City]],Table6[#All],2,FALSE)</f>
        <v>North</v>
      </c>
      <c r="I553" t="s">
        <v>24</v>
      </c>
      <c r="J553" t="str">
        <f>_xlfn.XLOOKUP(Table1[[#This Row],[Tractor Model]],Table7[Product Model],Table7[Product Category],"Not Available",0)</f>
        <v>Farmtrac</v>
      </c>
      <c r="K553" s="4">
        <v>3</v>
      </c>
      <c r="L553" s="72">
        <v>727124</v>
      </c>
      <c r="M553" s="4">
        <f>INDEX('Master Sheet'!$C$4:$C$12,MATCH(Table1[[#This Row],[Quantity]],'Master Sheet'!$B$4:$B$12,0))</f>
        <v>6</v>
      </c>
      <c r="N553" s="71">
        <f>Table1[[#This Row],[Quantity]]*Table1[[#This Row],[Unit Price]]</f>
        <v>2181372</v>
      </c>
      <c r="O553" s="73">
        <v>0.2181372</v>
      </c>
      <c r="P553" s="70">
        <f>Table1[[#This Row],[Gross Amount]]*(1-(Table1[[#This Row],[Discount %]]/100))</f>
        <v>2050489.68</v>
      </c>
      <c r="Q553" s="74">
        <f>(Table1[[#This Row],[Gross Amount]]*(1-(Table1[[#This Row],[Discount %]]/100)))/10000000</f>
        <v>0.205048968</v>
      </c>
      <c r="R553" t="s">
        <v>54</v>
      </c>
      <c r="S553" t="str" cm="1">
        <f t="array" ref="S553">IFERROR(_xlfn.IFS(Table1[[#This Row],[Payment Status]]="Partial","In Transit",Table1[[#This Row],[Payment Status]]="Paid","Delivered",Table1[[#This Row],[Payment Status]]="Pending","Pending"),"Invalid Input")</f>
        <v>Delivered</v>
      </c>
      <c r="T553" t="s">
        <v>27</v>
      </c>
      <c r="U553" t="str" cm="1">
        <f t="array" ref="U553">IFERROR(_xlfn.IFS(Table1[[#This Row],[Payment Status]]="Partial","In Transit",Table1[[#This Row],[Payment Status]]="Paid","Completed",Table1[[#This Row],[Payment Status]]="Pending","Pending"),"Invalid Input")</f>
        <v>Completed</v>
      </c>
    </row>
    <row r="554" spans="1:21" x14ac:dyDescent="0.25">
      <c r="A554" s="4" t="s">
        <v>1096</v>
      </c>
      <c r="B554" s="5">
        <v>45785</v>
      </c>
      <c r="C554" t="s">
        <v>62</v>
      </c>
      <c r="D554" t="s">
        <v>3271</v>
      </c>
      <c r="E554" t="s">
        <v>119</v>
      </c>
      <c r="F554" t="s">
        <v>3228</v>
      </c>
      <c r="G554" t="s">
        <v>21</v>
      </c>
      <c r="H554" t="str">
        <f>VLOOKUP(Table1[[#This Row],[City]],Table6[#All],2,FALSE)</f>
        <v>North</v>
      </c>
      <c r="I554" t="s">
        <v>53</v>
      </c>
      <c r="J554" t="str">
        <f>_xlfn.XLOOKUP(Table1[[#This Row],[Tractor Model]],Table7[Product Model],Table7[Product Category],"Not Available",0)</f>
        <v>Farmtrac</v>
      </c>
      <c r="K554" s="4">
        <v>6</v>
      </c>
      <c r="L554" s="72">
        <v>201106</v>
      </c>
      <c r="M554" s="4">
        <f>INDEX('Master Sheet'!$C$4:$C$12,MATCH(Table1[[#This Row],[Quantity]],'Master Sheet'!$B$4:$B$12,0))</f>
        <v>8</v>
      </c>
      <c r="N554" s="71">
        <f>Table1[[#This Row],[Quantity]]*Table1[[#This Row],[Unit Price]]</f>
        <v>1206636</v>
      </c>
      <c r="O554" s="73">
        <v>0.1206636</v>
      </c>
      <c r="P554" s="70">
        <f>Table1[[#This Row],[Gross Amount]]*(1-(Table1[[#This Row],[Discount %]]/100))</f>
        <v>1110105.1200000001</v>
      </c>
      <c r="Q554" s="74">
        <f>(Table1[[#This Row],[Gross Amount]]*(1-(Table1[[#This Row],[Discount %]]/100)))/10000000</f>
        <v>0.11101051200000001</v>
      </c>
      <c r="R554" t="s">
        <v>25</v>
      </c>
      <c r="S554" t="str" cm="1">
        <f t="array" ref="S554">IFERROR(_xlfn.IFS(Table1[[#This Row],[Payment Status]]="Partial","In Transit",Table1[[#This Row],[Payment Status]]="Paid","Delivered",Table1[[#This Row],[Payment Status]]="Pending","Pending"),"Invalid Input")</f>
        <v>In Transit</v>
      </c>
      <c r="T554" t="s">
        <v>44</v>
      </c>
      <c r="U554" t="str" cm="1">
        <f t="array" ref="U554">IFERROR(_xlfn.IFS(Table1[[#This Row],[Payment Status]]="Partial","In Transit",Table1[[#This Row],[Payment Status]]="Paid","Completed",Table1[[#This Row],[Payment Status]]="Pending","Pending"),"Invalid Input")</f>
        <v>In Transit</v>
      </c>
    </row>
    <row r="555" spans="1:21" x14ac:dyDescent="0.25">
      <c r="A555" s="4" t="s">
        <v>1098</v>
      </c>
      <c r="B555" s="5">
        <v>45745</v>
      </c>
      <c r="C555" t="s">
        <v>73</v>
      </c>
      <c r="D555" t="s">
        <v>3271</v>
      </c>
      <c r="E555" t="s">
        <v>47</v>
      </c>
      <c r="F555" t="s">
        <v>3221</v>
      </c>
      <c r="G555" t="s">
        <v>48</v>
      </c>
      <c r="H555" t="str">
        <f>VLOOKUP(Table1[[#This Row],[City]],Table6[#All],2,FALSE)</f>
        <v>North</v>
      </c>
      <c r="I555" t="s">
        <v>24</v>
      </c>
      <c r="J555" t="str">
        <f>_xlfn.XLOOKUP(Table1[[#This Row],[Tractor Model]],Table7[Product Model],Table7[Product Category],"Not Available",0)</f>
        <v>Farmtrac</v>
      </c>
      <c r="K555" s="4">
        <v>4</v>
      </c>
      <c r="L555" s="72">
        <v>564337</v>
      </c>
      <c r="M555" s="4">
        <f>INDEX('Master Sheet'!$C$4:$C$12,MATCH(Table1[[#This Row],[Quantity]],'Master Sheet'!$B$4:$B$12,0))</f>
        <v>6</v>
      </c>
      <c r="N555" s="71">
        <f>Table1[[#This Row],[Quantity]]*Table1[[#This Row],[Unit Price]]</f>
        <v>2257348</v>
      </c>
      <c r="O555" s="73">
        <v>0.22573480000000001</v>
      </c>
      <c r="P555" s="70">
        <f>Table1[[#This Row],[Gross Amount]]*(1-(Table1[[#This Row],[Discount %]]/100))</f>
        <v>2121907.12</v>
      </c>
      <c r="Q555" s="74">
        <f>(Table1[[#This Row],[Gross Amount]]*(1-(Table1[[#This Row],[Discount %]]/100)))/10000000</f>
        <v>0.212190712</v>
      </c>
      <c r="R555" t="s">
        <v>42</v>
      </c>
      <c r="S555" t="str" cm="1">
        <f t="array" ref="S555">IFERROR(_xlfn.IFS(Table1[[#This Row],[Payment Status]]="Partial","In Transit",Table1[[#This Row],[Payment Status]]="Paid","Delivered",Table1[[#This Row],[Payment Status]]="Pending","Pending"),"Invalid Input")</f>
        <v>Pending</v>
      </c>
      <c r="T555" t="s">
        <v>27</v>
      </c>
      <c r="U555" t="str" cm="1">
        <f t="array" ref="U555">IFERROR(_xlfn.IFS(Table1[[#This Row],[Payment Status]]="Partial","In Transit",Table1[[#This Row],[Payment Status]]="Paid","Completed",Table1[[#This Row],[Payment Status]]="Pending","Pending"),"Invalid Input")</f>
        <v>Pending</v>
      </c>
    </row>
    <row r="556" spans="1:21" x14ac:dyDescent="0.25">
      <c r="A556" s="4" t="s">
        <v>1101</v>
      </c>
      <c r="B556" s="5">
        <v>45439</v>
      </c>
      <c r="C556" t="s">
        <v>73</v>
      </c>
      <c r="D556" t="s">
        <v>3268</v>
      </c>
      <c r="E556" t="s">
        <v>66</v>
      </c>
      <c r="F556" t="s">
        <v>3211</v>
      </c>
      <c r="G556" t="s">
        <v>67</v>
      </c>
      <c r="H556" t="str">
        <f>VLOOKUP(Table1[[#This Row],[City]],Table6[#All],2,FALSE)</f>
        <v>East</v>
      </c>
      <c r="I556" t="s">
        <v>53</v>
      </c>
      <c r="J556" t="str">
        <f>_xlfn.XLOOKUP(Table1[[#This Row],[Tractor Model]],Table7[Product Model],Table7[Product Category],"Not Available",0)</f>
        <v>Farmtrac</v>
      </c>
      <c r="K556" s="4">
        <v>2</v>
      </c>
      <c r="L556" s="72">
        <v>107307</v>
      </c>
      <c r="M556" s="4">
        <f>INDEX('Master Sheet'!$C$4:$C$12,MATCH(Table1[[#This Row],[Quantity]],'Master Sheet'!$B$4:$B$12,0))</f>
        <v>5</v>
      </c>
      <c r="N556" s="71">
        <f>Table1[[#This Row],[Quantity]]*Table1[[#This Row],[Unit Price]]</f>
        <v>214614</v>
      </c>
      <c r="O556" s="73">
        <v>2.1461399999999999E-2</v>
      </c>
      <c r="P556" s="70">
        <f>Table1[[#This Row],[Gross Amount]]*(1-(Table1[[#This Row],[Discount %]]/100))</f>
        <v>203883.3</v>
      </c>
      <c r="Q556" s="74">
        <f>(Table1[[#This Row],[Gross Amount]]*(1-(Table1[[#This Row],[Discount %]]/100)))/10000000</f>
        <v>2.038833E-2</v>
      </c>
      <c r="R556" t="s">
        <v>54</v>
      </c>
      <c r="S556" t="str" cm="1">
        <f t="array" ref="S556">IFERROR(_xlfn.IFS(Table1[[#This Row],[Payment Status]]="Partial","In Transit",Table1[[#This Row],[Payment Status]]="Paid","Delivered",Table1[[#This Row],[Payment Status]]="Pending","Pending"),"Invalid Input")</f>
        <v>Delivered</v>
      </c>
      <c r="T556" t="s">
        <v>27</v>
      </c>
      <c r="U556" t="str" cm="1">
        <f t="array" ref="U556">IFERROR(_xlfn.IFS(Table1[[#This Row],[Payment Status]]="Partial","In Transit",Table1[[#This Row],[Payment Status]]="Paid","Completed",Table1[[#This Row],[Payment Status]]="Pending","Pending"),"Invalid Input")</f>
        <v>Completed</v>
      </c>
    </row>
    <row r="557" spans="1:21" x14ac:dyDescent="0.25">
      <c r="A557" s="4" t="s">
        <v>1103</v>
      </c>
      <c r="B557" s="5">
        <v>45522</v>
      </c>
      <c r="C557" t="s">
        <v>73</v>
      </c>
      <c r="D557" t="s">
        <v>37</v>
      </c>
      <c r="E557" t="s">
        <v>47</v>
      </c>
      <c r="F557" t="s">
        <v>3215</v>
      </c>
      <c r="G557" t="s">
        <v>48</v>
      </c>
      <c r="H557" t="str">
        <f>VLOOKUP(Table1[[#This Row],[City]],Table6[#All],2,FALSE)</f>
        <v>North</v>
      </c>
      <c r="I557" t="s">
        <v>53</v>
      </c>
      <c r="J557" t="str">
        <f>_xlfn.XLOOKUP(Table1[[#This Row],[Tractor Model]],Table7[Product Model],Table7[Product Category],"Not Available",0)</f>
        <v>Farmtrac</v>
      </c>
      <c r="K557" s="4">
        <v>1</v>
      </c>
      <c r="L557" s="72">
        <v>800724</v>
      </c>
      <c r="M557" s="4">
        <f>INDEX('Master Sheet'!$C$4:$C$12,MATCH(Table1[[#This Row],[Quantity]],'Master Sheet'!$B$4:$B$12,0))</f>
        <v>3</v>
      </c>
      <c r="N557" s="71">
        <f>Table1[[#This Row],[Quantity]]*Table1[[#This Row],[Unit Price]]</f>
        <v>800724</v>
      </c>
      <c r="O557" s="73">
        <v>8.0072400000000002E-2</v>
      </c>
      <c r="P557" s="70">
        <f>Table1[[#This Row],[Gross Amount]]*(1-(Table1[[#This Row],[Discount %]]/100))</f>
        <v>776702.28</v>
      </c>
      <c r="Q557" s="74">
        <f>(Table1[[#This Row],[Gross Amount]]*(1-(Table1[[#This Row],[Discount %]]/100)))/10000000</f>
        <v>7.7670228000000008E-2</v>
      </c>
      <c r="R557" t="s">
        <v>25</v>
      </c>
      <c r="S557" t="str" cm="1">
        <f t="array" ref="S557">IFERROR(_xlfn.IFS(Table1[[#This Row],[Payment Status]]="Partial","In Transit",Table1[[#This Row],[Payment Status]]="Paid","Delivered",Table1[[#This Row],[Payment Status]]="Pending","Pending"),"Invalid Input")</f>
        <v>In Transit</v>
      </c>
      <c r="T557" t="s">
        <v>44</v>
      </c>
      <c r="U557" t="str" cm="1">
        <f t="array" ref="U557">IFERROR(_xlfn.IFS(Table1[[#This Row],[Payment Status]]="Partial","In Transit",Table1[[#This Row],[Payment Status]]="Paid","Completed",Table1[[#This Row],[Payment Status]]="Pending","Pending"),"Invalid Input")</f>
        <v>In Transit</v>
      </c>
    </row>
    <row r="558" spans="1:21" x14ac:dyDescent="0.25">
      <c r="A558" s="4" t="s">
        <v>1105</v>
      </c>
      <c r="B558" s="5">
        <v>45681</v>
      </c>
      <c r="C558" t="s">
        <v>52</v>
      </c>
      <c r="D558" t="s">
        <v>3271</v>
      </c>
      <c r="E558" t="s">
        <v>47</v>
      </c>
      <c r="F558" t="s">
        <v>3221</v>
      </c>
      <c r="G558" t="s">
        <v>48</v>
      </c>
      <c r="H558" t="str">
        <f>VLOOKUP(Table1[[#This Row],[City]],Table6[#All],2,FALSE)</f>
        <v>North</v>
      </c>
      <c r="I558" t="s">
        <v>24</v>
      </c>
      <c r="J558" t="str">
        <f>_xlfn.XLOOKUP(Table1[[#This Row],[Tractor Model]],Table7[Product Model],Table7[Product Category],"Not Available",0)</f>
        <v>Farmtrac</v>
      </c>
      <c r="K558" s="4">
        <v>8</v>
      </c>
      <c r="L558" s="72">
        <v>63832</v>
      </c>
      <c r="M558" s="4">
        <f>INDEX('Master Sheet'!$C$4:$C$12,MATCH(Table1[[#This Row],[Quantity]],'Master Sheet'!$B$4:$B$12,0))</f>
        <v>9</v>
      </c>
      <c r="N558" s="71">
        <f>Table1[[#This Row],[Quantity]]*Table1[[#This Row],[Unit Price]]</f>
        <v>510656</v>
      </c>
      <c r="O558" s="73">
        <v>5.1065600000000003E-2</v>
      </c>
      <c r="P558" s="70">
        <f>Table1[[#This Row],[Gross Amount]]*(1-(Table1[[#This Row],[Discount %]]/100))</f>
        <v>464696.96</v>
      </c>
      <c r="Q558" s="74">
        <f>(Table1[[#This Row],[Gross Amount]]*(1-(Table1[[#This Row],[Discount %]]/100)))/10000000</f>
        <v>4.6469696000000005E-2</v>
      </c>
      <c r="R558" t="s">
        <v>54</v>
      </c>
      <c r="S558" t="str" cm="1">
        <f t="array" ref="S558">IFERROR(_xlfn.IFS(Table1[[#This Row],[Payment Status]]="Partial","In Transit",Table1[[#This Row],[Payment Status]]="Paid","Delivered",Table1[[#This Row],[Payment Status]]="Pending","Pending"),"Invalid Input")</f>
        <v>Delivered</v>
      </c>
      <c r="T558" t="s">
        <v>27</v>
      </c>
      <c r="U558" t="str" cm="1">
        <f t="array" ref="U558">IFERROR(_xlfn.IFS(Table1[[#This Row],[Payment Status]]="Partial","In Transit",Table1[[#This Row],[Payment Status]]="Paid","Completed",Table1[[#This Row],[Payment Status]]="Pending","Pending"),"Invalid Input")</f>
        <v>Completed</v>
      </c>
    </row>
    <row r="559" spans="1:21" x14ac:dyDescent="0.25">
      <c r="A559" s="4" t="s">
        <v>1107</v>
      </c>
      <c r="B559" s="5">
        <v>45496</v>
      </c>
      <c r="C559" t="s">
        <v>62</v>
      </c>
      <c r="D559" t="s">
        <v>3269</v>
      </c>
      <c r="E559" t="s">
        <v>119</v>
      </c>
      <c r="F559" t="s">
        <v>3229</v>
      </c>
      <c r="G559" t="s">
        <v>21</v>
      </c>
      <c r="H559" t="str">
        <f>VLOOKUP(Table1[[#This Row],[City]],Table6[#All],2,FALSE)</f>
        <v>North</v>
      </c>
      <c r="I559" t="s">
        <v>24</v>
      </c>
      <c r="J559" t="str">
        <f>_xlfn.XLOOKUP(Table1[[#This Row],[Tractor Model]],Table7[Product Model],Table7[Product Category],"Not Available",0)</f>
        <v>Farmtrac</v>
      </c>
      <c r="K559" s="4">
        <v>6</v>
      </c>
      <c r="L559" s="72">
        <v>853205</v>
      </c>
      <c r="M559" s="4">
        <f>INDEX('Master Sheet'!$C$4:$C$12,MATCH(Table1[[#This Row],[Quantity]],'Master Sheet'!$B$4:$B$12,0))</f>
        <v>8</v>
      </c>
      <c r="N559" s="71">
        <f>Table1[[#This Row],[Quantity]]*Table1[[#This Row],[Unit Price]]</f>
        <v>5119230</v>
      </c>
      <c r="O559" s="73">
        <v>0.51192300000000002</v>
      </c>
      <c r="P559" s="70">
        <f>Table1[[#This Row],[Gross Amount]]*(1-(Table1[[#This Row],[Discount %]]/100))</f>
        <v>4709691.6000000006</v>
      </c>
      <c r="Q559" s="74">
        <f>(Table1[[#This Row],[Gross Amount]]*(1-(Table1[[#This Row],[Discount %]]/100)))/10000000</f>
        <v>0.47096916000000005</v>
      </c>
      <c r="R559" t="s">
        <v>42</v>
      </c>
      <c r="S559" t="str" cm="1">
        <f t="array" ref="S559">IFERROR(_xlfn.IFS(Table1[[#This Row],[Payment Status]]="Partial","In Transit",Table1[[#This Row],[Payment Status]]="Paid","Delivered",Table1[[#This Row],[Payment Status]]="Pending","Pending"),"Invalid Input")</f>
        <v>Pending</v>
      </c>
      <c r="T559" t="s">
        <v>27</v>
      </c>
      <c r="U559" t="str" cm="1">
        <f t="array" ref="U559">IFERROR(_xlfn.IFS(Table1[[#This Row],[Payment Status]]="Partial","In Transit",Table1[[#This Row],[Payment Status]]="Paid","Completed",Table1[[#This Row],[Payment Status]]="Pending","Pending"),"Invalid Input")</f>
        <v>Pending</v>
      </c>
    </row>
    <row r="560" spans="1:21" x14ac:dyDescent="0.25">
      <c r="A560" s="4" t="s">
        <v>1109</v>
      </c>
      <c r="B560" s="5">
        <v>45342</v>
      </c>
      <c r="C560" t="s">
        <v>52</v>
      </c>
      <c r="D560" t="s">
        <v>3271</v>
      </c>
      <c r="E560" t="s">
        <v>38</v>
      </c>
      <c r="F560" t="s">
        <v>3210</v>
      </c>
      <c r="G560" t="s">
        <v>39</v>
      </c>
      <c r="H560" t="str">
        <f>VLOOKUP(Table1[[#This Row],[City]],Table6[#All],2,FALSE)</f>
        <v>West</v>
      </c>
      <c r="I560" t="s">
        <v>24</v>
      </c>
      <c r="J560" t="str">
        <f>_xlfn.XLOOKUP(Table1[[#This Row],[Tractor Model]],Table7[Product Model],Table7[Product Category],"Not Available",0)</f>
        <v>Farmtrac</v>
      </c>
      <c r="K560" s="4">
        <v>4</v>
      </c>
      <c r="L560" s="72">
        <v>337690</v>
      </c>
      <c r="M560" s="4">
        <f>INDEX('Master Sheet'!$C$4:$C$12,MATCH(Table1[[#This Row],[Quantity]],'Master Sheet'!$B$4:$B$12,0))</f>
        <v>6</v>
      </c>
      <c r="N560" s="71">
        <f>Table1[[#This Row],[Quantity]]*Table1[[#This Row],[Unit Price]]</f>
        <v>1350760</v>
      </c>
      <c r="O560" s="73">
        <v>0.135076</v>
      </c>
      <c r="P560" s="70">
        <f>Table1[[#This Row],[Gross Amount]]*(1-(Table1[[#This Row],[Discount %]]/100))</f>
        <v>1269714.3999999999</v>
      </c>
      <c r="Q560" s="74">
        <f>(Table1[[#This Row],[Gross Amount]]*(1-(Table1[[#This Row],[Discount %]]/100)))/10000000</f>
        <v>0.12697143999999999</v>
      </c>
      <c r="R560" t="s">
        <v>54</v>
      </c>
      <c r="S560" t="str" cm="1">
        <f t="array" ref="S560">IFERROR(_xlfn.IFS(Table1[[#This Row],[Payment Status]]="Partial","In Transit",Table1[[#This Row],[Payment Status]]="Paid","Delivered",Table1[[#This Row],[Payment Status]]="Pending","Pending"),"Invalid Input")</f>
        <v>Delivered</v>
      </c>
      <c r="T560" t="s">
        <v>27</v>
      </c>
      <c r="U560" t="str" cm="1">
        <f t="array" ref="U560">IFERROR(_xlfn.IFS(Table1[[#This Row],[Payment Status]]="Partial","In Transit",Table1[[#This Row],[Payment Status]]="Paid","Completed",Table1[[#This Row],[Payment Status]]="Pending","Pending"),"Invalid Input")</f>
        <v>Completed</v>
      </c>
    </row>
    <row r="561" spans="1:21" x14ac:dyDescent="0.25">
      <c r="A561" s="4" t="s">
        <v>1111</v>
      </c>
      <c r="B561" s="5">
        <v>45463</v>
      </c>
      <c r="C561" t="s">
        <v>33</v>
      </c>
      <c r="D561" t="s">
        <v>3271</v>
      </c>
      <c r="E561" t="s">
        <v>66</v>
      </c>
      <c r="F561" t="s">
        <v>3207</v>
      </c>
      <c r="G561" t="s">
        <v>67</v>
      </c>
      <c r="H561" t="str">
        <f>VLOOKUP(Table1[[#This Row],[City]],Table6[#All],2,FALSE)</f>
        <v>East</v>
      </c>
      <c r="I561" t="s">
        <v>3203</v>
      </c>
      <c r="J561" t="str">
        <f>_xlfn.XLOOKUP(Table1[[#This Row],[Tractor Model]],Table7[Product Model],Table7[Product Category],"Not Available",0)</f>
        <v>Kubota</v>
      </c>
      <c r="K561" s="4">
        <v>7</v>
      </c>
      <c r="L561" s="72">
        <v>455620</v>
      </c>
      <c r="M561" s="4">
        <f>INDEX('Master Sheet'!$C$4:$C$12,MATCH(Table1[[#This Row],[Quantity]],'Master Sheet'!$B$4:$B$12,0))</f>
        <v>9</v>
      </c>
      <c r="N561" s="71">
        <f>Table1[[#This Row],[Quantity]]*Table1[[#This Row],[Unit Price]]</f>
        <v>3189340</v>
      </c>
      <c r="O561" s="73">
        <v>0.318934</v>
      </c>
      <c r="P561" s="70">
        <f>Table1[[#This Row],[Gross Amount]]*(1-(Table1[[#This Row],[Discount %]]/100))</f>
        <v>2902299.4</v>
      </c>
      <c r="Q561" s="74">
        <f>(Table1[[#This Row],[Gross Amount]]*(1-(Table1[[#This Row],[Discount %]]/100)))/10000000</f>
        <v>0.29022993999999996</v>
      </c>
      <c r="R561" t="s">
        <v>54</v>
      </c>
      <c r="S561" t="str" cm="1">
        <f t="array" ref="S561">IFERROR(_xlfn.IFS(Table1[[#This Row],[Payment Status]]="Partial","In Transit",Table1[[#This Row],[Payment Status]]="Paid","Delivered",Table1[[#This Row],[Payment Status]]="Pending","Pending"),"Invalid Input")</f>
        <v>Delivered</v>
      </c>
      <c r="T561" t="s">
        <v>27</v>
      </c>
      <c r="U561" t="str" cm="1">
        <f t="array" ref="U561">IFERROR(_xlfn.IFS(Table1[[#This Row],[Payment Status]]="Partial","In Transit",Table1[[#This Row],[Payment Status]]="Paid","Completed",Table1[[#This Row],[Payment Status]]="Pending","Pending"),"Invalid Input")</f>
        <v>Completed</v>
      </c>
    </row>
    <row r="562" spans="1:21" x14ac:dyDescent="0.25">
      <c r="A562" s="4" t="s">
        <v>1112</v>
      </c>
      <c r="B562" s="5">
        <v>45694</v>
      </c>
      <c r="C562" t="s">
        <v>41</v>
      </c>
      <c r="D562" t="s">
        <v>3271</v>
      </c>
      <c r="E562" t="s">
        <v>66</v>
      </c>
      <c r="F562" t="s">
        <v>3207</v>
      </c>
      <c r="G562" t="s">
        <v>67</v>
      </c>
      <c r="H562" t="str">
        <f>VLOOKUP(Table1[[#This Row],[City]],Table6[#All],2,FALSE)</f>
        <v>East</v>
      </c>
      <c r="I562" t="s">
        <v>3203</v>
      </c>
      <c r="J562" t="str">
        <f>_xlfn.XLOOKUP(Table1[[#This Row],[Tractor Model]],Table7[Product Model],Table7[Product Category],"Not Available",0)</f>
        <v>Kubota</v>
      </c>
      <c r="K562" s="4">
        <v>7</v>
      </c>
      <c r="L562" s="72">
        <v>739171</v>
      </c>
      <c r="M562" s="4">
        <f>INDEX('Master Sheet'!$C$4:$C$12,MATCH(Table1[[#This Row],[Quantity]],'Master Sheet'!$B$4:$B$12,0))</f>
        <v>9</v>
      </c>
      <c r="N562" s="71">
        <f>Table1[[#This Row],[Quantity]]*Table1[[#This Row],[Unit Price]]</f>
        <v>5174197</v>
      </c>
      <c r="O562" s="73">
        <v>0.51741970000000004</v>
      </c>
      <c r="P562" s="70">
        <f>Table1[[#This Row],[Gross Amount]]*(1-(Table1[[#This Row],[Discount %]]/100))</f>
        <v>4708519.2700000005</v>
      </c>
      <c r="Q562" s="74">
        <f>(Table1[[#This Row],[Gross Amount]]*(1-(Table1[[#This Row],[Discount %]]/100)))/10000000</f>
        <v>0.47085192700000006</v>
      </c>
      <c r="R562" t="s">
        <v>54</v>
      </c>
      <c r="S562" t="str" cm="1">
        <f t="array" ref="S562">IFERROR(_xlfn.IFS(Table1[[#This Row],[Payment Status]]="Partial","In Transit",Table1[[#This Row],[Payment Status]]="Paid","Delivered",Table1[[#This Row],[Payment Status]]="Pending","Pending"),"Invalid Input")</f>
        <v>Delivered</v>
      </c>
      <c r="T562" t="s">
        <v>27</v>
      </c>
      <c r="U562" t="str" cm="1">
        <f t="array" ref="U562">IFERROR(_xlfn.IFS(Table1[[#This Row],[Payment Status]]="Partial","In Transit",Table1[[#This Row],[Payment Status]]="Paid","Completed",Table1[[#This Row],[Payment Status]]="Pending","Pending"),"Invalid Input")</f>
        <v>Completed</v>
      </c>
    </row>
    <row r="563" spans="1:21" x14ac:dyDescent="0.25">
      <c r="A563" s="4" t="s">
        <v>1114</v>
      </c>
      <c r="B563" s="5">
        <v>45725</v>
      </c>
      <c r="C563" t="s">
        <v>41</v>
      </c>
      <c r="D563" t="s">
        <v>3269</v>
      </c>
      <c r="E563" t="s">
        <v>30</v>
      </c>
      <c r="F563" t="s">
        <v>3225</v>
      </c>
      <c r="G563" t="s">
        <v>31</v>
      </c>
      <c r="H563" t="str">
        <f>VLOOKUP(Table1[[#This Row],[City]],Table6[#All],2,FALSE)</f>
        <v>South</v>
      </c>
      <c r="I563" t="s">
        <v>58</v>
      </c>
      <c r="J563" t="str">
        <f>_xlfn.XLOOKUP(Table1[[#This Row],[Tractor Model]],Table7[Product Model],Table7[Product Category],"Not Available",0)</f>
        <v>Powertrac</v>
      </c>
      <c r="K563" s="4">
        <v>3</v>
      </c>
      <c r="L563" s="72">
        <v>885586</v>
      </c>
      <c r="M563" s="4">
        <f>INDEX('Master Sheet'!$C$4:$C$12,MATCH(Table1[[#This Row],[Quantity]],'Master Sheet'!$B$4:$B$12,0))</f>
        <v>6</v>
      </c>
      <c r="N563" s="71">
        <f>Table1[[#This Row],[Quantity]]*Table1[[#This Row],[Unit Price]]</f>
        <v>2656758</v>
      </c>
      <c r="O563" s="73">
        <v>0.26567580000000002</v>
      </c>
      <c r="P563" s="70">
        <f>Table1[[#This Row],[Gross Amount]]*(1-(Table1[[#This Row],[Discount %]]/100))</f>
        <v>2497352.52</v>
      </c>
      <c r="Q563" s="74">
        <f>(Table1[[#This Row],[Gross Amount]]*(1-(Table1[[#This Row],[Discount %]]/100)))/10000000</f>
        <v>0.24973525199999999</v>
      </c>
      <c r="R563" t="s">
        <v>25</v>
      </c>
      <c r="S563" t="str" cm="1">
        <f t="array" ref="S563">IFERROR(_xlfn.IFS(Table1[[#This Row],[Payment Status]]="Partial","In Transit",Table1[[#This Row],[Payment Status]]="Paid","Delivered",Table1[[#This Row],[Payment Status]]="Pending","Pending"),"Invalid Input")</f>
        <v>In Transit</v>
      </c>
      <c r="T563" t="s">
        <v>27</v>
      </c>
      <c r="U563" t="str" cm="1">
        <f t="array" ref="U563">IFERROR(_xlfn.IFS(Table1[[#This Row],[Payment Status]]="Partial","In Transit",Table1[[#This Row],[Payment Status]]="Paid","Completed",Table1[[#This Row],[Payment Status]]="Pending","Pending"),"Invalid Input")</f>
        <v>In Transit</v>
      </c>
    </row>
    <row r="564" spans="1:21" x14ac:dyDescent="0.25">
      <c r="A564" s="4" t="s">
        <v>1116</v>
      </c>
      <c r="B564" s="5">
        <v>45689</v>
      </c>
      <c r="C564" t="s">
        <v>41</v>
      </c>
      <c r="D564" t="s">
        <v>3271</v>
      </c>
      <c r="E564" t="s">
        <v>38</v>
      </c>
      <c r="F564" t="s">
        <v>3210</v>
      </c>
      <c r="G564" t="s">
        <v>39</v>
      </c>
      <c r="H564" t="str">
        <f>VLOOKUP(Table1[[#This Row],[City]],Table6[#All],2,FALSE)</f>
        <v>West</v>
      </c>
      <c r="I564" t="s">
        <v>3203</v>
      </c>
      <c r="J564" t="str">
        <f>_xlfn.XLOOKUP(Table1[[#This Row],[Tractor Model]],Table7[Product Model],Table7[Product Category],"Not Available",0)</f>
        <v>Kubota</v>
      </c>
      <c r="K564" s="4">
        <v>7</v>
      </c>
      <c r="L564" s="72">
        <v>336646</v>
      </c>
      <c r="M564" s="4">
        <f>INDEX('Master Sheet'!$C$4:$C$12,MATCH(Table1[[#This Row],[Quantity]],'Master Sheet'!$B$4:$B$12,0))</f>
        <v>9</v>
      </c>
      <c r="N564" s="71">
        <f>Table1[[#This Row],[Quantity]]*Table1[[#This Row],[Unit Price]]</f>
        <v>2356522</v>
      </c>
      <c r="O564" s="73">
        <v>0.23565220000000001</v>
      </c>
      <c r="P564" s="70">
        <f>Table1[[#This Row],[Gross Amount]]*(1-(Table1[[#This Row],[Discount %]]/100))</f>
        <v>2144435.02</v>
      </c>
      <c r="Q564" s="74">
        <f>(Table1[[#This Row],[Gross Amount]]*(1-(Table1[[#This Row],[Discount %]]/100)))/10000000</f>
        <v>0.21444350200000001</v>
      </c>
      <c r="R564" t="s">
        <v>42</v>
      </c>
      <c r="S564" t="str" cm="1">
        <f t="array" ref="S564">IFERROR(_xlfn.IFS(Table1[[#This Row],[Payment Status]]="Partial","In Transit",Table1[[#This Row],[Payment Status]]="Paid","Delivered",Table1[[#This Row],[Payment Status]]="Pending","Pending"),"Invalid Input")</f>
        <v>Pending</v>
      </c>
      <c r="T564" t="s">
        <v>27</v>
      </c>
      <c r="U564" t="str" cm="1">
        <f t="array" ref="U564">IFERROR(_xlfn.IFS(Table1[[#This Row],[Payment Status]]="Partial","In Transit",Table1[[#This Row],[Payment Status]]="Paid","Completed",Table1[[#This Row],[Payment Status]]="Pending","Pending"),"Invalid Input")</f>
        <v>Pending</v>
      </c>
    </row>
    <row r="565" spans="1:21" x14ac:dyDescent="0.25">
      <c r="A565" s="4" t="s">
        <v>1118</v>
      </c>
      <c r="B565" s="5">
        <v>45511</v>
      </c>
      <c r="C565" t="s">
        <v>73</v>
      </c>
      <c r="D565" t="s">
        <v>3270</v>
      </c>
      <c r="E565" t="s">
        <v>30</v>
      </c>
      <c r="F565" t="s">
        <v>3223</v>
      </c>
      <c r="G565" t="s">
        <v>31</v>
      </c>
      <c r="H565" t="str">
        <f>VLOOKUP(Table1[[#This Row],[City]],Table6[#All],2,FALSE)</f>
        <v>South</v>
      </c>
      <c r="I565" t="s">
        <v>53</v>
      </c>
      <c r="J565" t="str">
        <f>_xlfn.XLOOKUP(Table1[[#This Row],[Tractor Model]],Table7[Product Model],Table7[Product Category],"Not Available",0)</f>
        <v>Farmtrac</v>
      </c>
      <c r="K565" s="4">
        <v>6</v>
      </c>
      <c r="L565" s="72">
        <v>318456</v>
      </c>
      <c r="M565" s="4">
        <f>INDEX('Master Sheet'!$C$4:$C$12,MATCH(Table1[[#This Row],[Quantity]],'Master Sheet'!$B$4:$B$12,0))</f>
        <v>8</v>
      </c>
      <c r="N565" s="71">
        <f>Table1[[#This Row],[Quantity]]*Table1[[#This Row],[Unit Price]]</f>
        <v>1910736</v>
      </c>
      <c r="O565" s="73">
        <v>0.19107360000000001</v>
      </c>
      <c r="P565" s="70">
        <f>Table1[[#This Row],[Gross Amount]]*(1-(Table1[[#This Row],[Discount %]]/100))</f>
        <v>1757877.12</v>
      </c>
      <c r="Q565" s="74">
        <f>(Table1[[#This Row],[Gross Amount]]*(1-(Table1[[#This Row],[Discount %]]/100)))/10000000</f>
        <v>0.17578771200000001</v>
      </c>
      <c r="R565" t="s">
        <v>54</v>
      </c>
      <c r="S565" t="str" cm="1">
        <f t="array" ref="S565">IFERROR(_xlfn.IFS(Table1[[#This Row],[Payment Status]]="Partial","In Transit",Table1[[#This Row],[Payment Status]]="Paid","Delivered",Table1[[#This Row],[Payment Status]]="Pending","Pending"),"Invalid Input")</f>
        <v>Delivered</v>
      </c>
      <c r="T565" t="s">
        <v>44</v>
      </c>
      <c r="U565" t="str" cm="1">
        <f t="array" ref="U565">IFERROR(_xlfn.IFS(Table1[[#This Row],[Payment Status]]="Partial","In Transit",Table1[[#This Row],[Payment Status]]="Paid","Completed",Table1[[#This Row],[Payment Status]]="Pending","Pending"),"Invalid Input")</f>
        <v>Completed</v>
      </c>
    </row>
    <row r="566" spans="1:21" x14ac:dyDescent="0.25">
      <c r="A566" s="4" t="s">
        <v>1120</v>
      </c>
      <c r="B566" s="5">
        <v>45502</v>
      </c>
      <c r="C566" t="s">
        <v>62</v>
      </c>
      <c r="D566" t="s">
        <v>37</v>
      </c>
      <c r="E566" t="s">
        <v>66</v>
      </c>
      <c r="F566" t="s">
        <v>3226</v>
      </c>
      <c r="G566" t="s">
        <v>67</v>
      </c>
      <c r="H566" t="str">
        <f>VLOOKUP(Table1[[#This Row],[City]],Table6[#All],2,FALSE)</f>
        <v>East</v>
      </c>
      <c r="I566" t="s">
        <v>3204</v>
      </c>
      <c r="J566" t="str">
        <f>_xlfn.XLOOKUP(Table1[[#This Row],[Tractor Model]],Table7[Product Model],Table7[Product Category],"Not Available",0)</f>
        <v>Kubota</v>
      </c>
      <c r="K566" s="4">
        <v>6</v>
      </c>
      <c r="L566" s="72">
        <v>300400</v>
      </c>
      <c r="M566" s="4">
        <f>INDEX('Master Sheet'!$C$4:$C$12,MATCH(Table1[[#This Row],[Quantity]],'Master Sheet'!$B$4:$B$12,0))</f>
        <v>8</v>
      </c>
      <c r="N566" s="71">
        <f>Table1[[#This Row],[Quantity]]*Table1[[#This Row],[Unit Price]]</f>
        <v>1802400</v>
      </c>
      <c r="O566" s="73">
        <v>0.18024000000000001</v>
      </c>
      <c r="P566" s="70">
        <f>Table1[[#This Row],[Gross Amount]]*(1-(Table1[[#This Row],[Discount %]]/100))</f>
        <v>1658208</v>
      </c>
      <c r="Q566" s="74">
        <f>(Table1[[#This Row],[Gross Amount]]*(1-(Table1[[#This Row],[Discount %]]/100)))/10000000</f>
        <v>0.16582079999999999</v>
      </c>
      <c r="R566" t="s">
        <v>42</v>
      </c>
      <c r="S566" t="str" cm="1">
        <f t="array" ref="S566">IFERROR(_xlfn.IFS(Table1[[#This Row],[Payment Status]]="Partial","In Transit",Table1[[#This Row],[Payment Status]]="Paid","Delivered",Table1[[#This Row],[Payment Status]]="Pending","Pending"),"Invalid Input")</f>
        <v>Pending</v>
      </c>
      <c r="T566" t="s">
        <v>27</v>
      </c>
      <c r="U566" t="str" cm="1">
        <f t="array" ref="U566">IFERROR(_xlfn.IFS(Table1[[#This Row],[Payment Status]]="Partial","In Transit",Table1[[#This Row],[Payment Status]]="Paid","Completed",Table1[[#This Row],[Payment Status]]="Pending","Pending"),"Invalid Input")</f>
        <v>Pending</v>
      </c>
    </row>
    <row r="567" spans="1:21" x14ac:dyDescent="0.25">
      <c r="A567" s="4" t="s">
        <v>1122</v>
      </c>
      <c r="B567" s="5">
        <v>45503</v>
      </c>
      <c r="C567" t="s">
        <v>62</v>
      </c>
      <c r="D567" t="s">
        <v>3268</v>
      </c>
      <c r="E567" t="s">
        <v>47</v>
      </c>
      <c r="F567" t="s">
        <v>3216</v>
      </c>
      <c r="G567" t="s">
        <v>48</v>
      </c>
      <c r="H567" t="str">
        <f>VLOOKUP(Table1[[#This Row],[City]],Table6[#All],2,FALSE)</f>
        <v>North</v>
      </c>
      <c r="I567" t="s">
        <v>58</v>
      </c>
      <c r="J567" t="str">
        <f>_xlfn.XLOOKUP(Table1[[#This Row],[Tractor Model]],Table7[Product Model],Table7[Product Category],"Not Available",0)</f>
        <v>Powertrac</v>
      </c>
      <c r="K567" s="4">
        <v>6</v>
      </c>
      <c r="L567" s="72">
        <v>91530</v>
      </c>
      <c r="M567" s="4">
        <f>INDEX('Master Sheet'!$C$4:$C$12,MATCH(Table1[[#This Row],[Quantity]],'Master Sheet'!$B$4:$B$12,0))</f>
        <v>8</v>
      </c>
      <c r="N567" s="71">
        <f>Table1[[#This Row],[Quantity]]*Table1[[#This Row],[Unit Price]]</f>
        <v>549180</v>
      </c>
      <c r="O567" s="73">
        <v>5.4918000000000002E-2</v>
      </c>
      <c r="P567" s="70">
        <f>Table1[[#This Row],[Gross Amount]]*(1-(Table1[[#This Row],[Discount %]]/100))</f>
        <v>505245.60000000003</v>
      </c>
      <c r="Q567" s="74">
        <f>(Table1[[#This Row],[Gross Amount]]*(1-(Table1[[#This Row],[Discount %]]/100)))/10000000</f>
        <v>5.0524560000000003E-2</v>
      </c>
      <c r="R567" t="s">
        <v>25</v>
      </c>
      <c r="S567" t="str" cm="1">
        <f t="array" ref="S567">IFERROR(_xlfn.IFS(Table1[[#This Row],[Payment Status]]="Partial","In Transit",Table1[[#This Row],[Payment Status]]="Paid","Delivered",Table1[[#This Row],[Payment Status]]="Pending","Pending"),"Invalid Input")</f>
        <v>In Transit</v>
      </c>
      <c r="T567" t="s">
        <v>27</v>
      </c>
      <c r="U567" t="str" cm="1">
        <f t="array" ref="U567">IFERROR(_xlfn.IFS(Table1[[#This Row],[Payment Status]]="Partial","In Transit",Table1[[#This Row],[Payment Status]]="Paid","Completed",Table1[[#This Row],[Payment Status]]="Pending","Pending"),"Invalid Input")</f>
        <v>In Transit</v>
      </c>
    </row>
    <row r="568" spans="1:21" x14ac:dyDescent="0.25">
      <c r="A568" s="4" t="s">
        <v>1124</v>
      </c>
      <c r="B568" s="5">
        <v>45704</v>
      </c>
      <c r="C568" t="s">
        <v>41</v>
      </c>
      <c r="D568" t="s">
        <v>37</v>
      </c>
      <c r="E568" t="s">
        <v>30</v>
      </c>
      <c r="F568" t="s">
        <v>3222</v>
      </c>
      <c r="G568" t="s">
        <v>31</v>
      </c>
      <c r="H568" t="str">
        <f>VLOOKUP(Table1[[#This Row],[City]],Table6[#All],2,FALSE)</f>
        <v>South</v>
      </c>
      <c r="I568" t="s">
        <v>3204</v>
      </c>
      <c r="J568" t="str">
        <f>_xlfn.XLOOKUP(Table1[[#This Row],[Tractor Model]],Table7[Product Model],Table7[Product Category],"Not Available",0)</f>
        <v>Kubota</v>
      </c>
      <c r="K568" s="4">
        <v>4</v>
      </c>
      <c r="L568" s="72">
        <v>327255</v>
      </c>
      <c r="M568" s="4">
        <f>INDEX('Master Sheet'!$C$4:$C$12,MATCH(Table1[[#This Row],[Quantity]],'Master Sheet'!$B$4:$B$12,0))</f>
        <v>6</v>
      </c>
      <c r="N568" s="71">
        <f>Table1[[#This Row],[Quantity]]*Table1[[#This Row],[Unit Price]]</f>
        <v>1309020</v>
      </c>
      <c r="O568" s="73">
        <v>0.13090199999999999</v>
      </c>
      <c r="P568" s="70">
        <f>Table1[[#This Row],[Gross Amount]]*(1-(Table1[[#This Row],[Discount %]]/100))</f>
        <v>1230478.8</v>
      </c>
      <c r="Q568" s="74">
        <f>(Table1[[#This Row],[Gross Amount]]*(1-(Table1[[#This Row],[Discount %]]/100)))/10000000</f>
        <v>0.12304788</v>
      </c>
      <c r="R568" t="s">
        <v>25</v>
      </c>
      <c r="S568" t="str" cm="1">
        <f t="array" ref="S568">IFERROR(_xlfn.IFS(Table1[[#This Row],[Payment Status]]="Partial","In Transit",Table1[[#This Row],[Payment Status]]="Paid","Delivered",Table1[[#This Row],[Payment Status]]="Pending","Pending"),"Invalid Input")</f>
        <v>In Transit</v>
      </c>
      <c r="T568" t="s">
        <v>27</v>
      </c>
      <c r="U568" t="str" cm="1">
        <f t="array" ref="U568">IFERROR(_xlfn.IFS(Table1[[#This Row],[Payment Status]]="Partial","In Transit",Table1[[#This Row],[Payment Status]]="Paid","Completed",Table1[[#This Row],[Payment Status]]="Pending","Pending"),"Invalid Input")</f>
        <v>In Transit</v>
      </c>
    </row>
    <row r="569" spans="1:21" x14ac:dyDescent="0.25">
      <c r="A569" s="4" t="s">
        <v>1126</v>
      </c>
      <c r="B569" s="5">
        <v>45408</v>
      </c>
      <c r="C569" t="s">
        <v>41</v>
      </c>
      <c r="D569" t="s">
        <v>3268</v>
      </c>
      <c r="E569" t="s">
        <v>30</v>
      </c>
      <c r="F569" t="s">
        <v>3208</v>
      </c>
      <c r="G569" t="s">
        <v>31</v>
      </c>
      <c r="H569" t="str">
        <f>VLOOKUP(Table1[[#This Row],[City]],Table6[#All],2,FALSE)</f>
        <v>South</v>
      </c>
      <c r="I569" t="s">
        <v>53</v>
      </c>
      <c r="J569" t="str">
        <f>_xlfn.XLOOKUP(Table1[[#This Row],[Tractor Model]],Table7[Product Model],Table7[Product Category],"Not Available",0)</f>
        <v>Farmtrac</v>
      </c>
      <c r="K569" s="4">
        <v>7</v>
      </c>
      <c r="L569" s="72">
        <v>461932</v>
      </c>
      <c r="M569" s="4">
        <f>INDEX('Master Sheet'!$C$4:$C$12,MATCH(Table1[[#This Row],[Quantity]],'Master Sheet'!$B$4:$B$12,0))</f>
        <v>9</v>
      </c>
      <c r="N569" s="71">
        <f>Table1[[#This Row],[Quantity]]*Table1[[#This Row],[Unit Price]]</f>
        <v>3233524</v>
      </c>
      <c r="O569" s="73">
        <v>0.32335239999999998</v>
      </c>
      <c r="P569" s="70">
        <f>Table1[[#This Row],[Gross Amount]]*(1-(Table1[[#This Row],[Discount %]]/100))</f>
        <v>2942506.8400000003</v>
      </c>
      <c r="Q569" s="74">
        <f>(Table1[[#This Row],[Gross Amount]]*(1-(Table1[[#This Row],[Discount %]]/100)))/10000000</f>
        <v>0.29425068400000004</v>
      </c>
      <c r="R569" t="s">
        <v>25</v>
      </c>
      <c r="S569" t="str" cm="1">
        <f t="array" ref="S569">IFERROR(_xlfn.IFS(Table1[[#This Row],[Payment Status]]="Partial","In Transit",Table1[[#This Row],[Payment Status]]="Paid","Delivered",Table1[[#This Row],[Payment Status]]="Pending","Pending"),"Invalid Input")</f>
        <v>In Transit</v>
      </c>
      <c r="T569" t="s">
        <v>27</v>
      </c>
      <c r="U569" t="str" cm="1">
        <f t="array" ref="U569">IFERROR(_xlfn.IFS(Table1[[#This Row],[Payment Status]]="Partial","In Transit",Table1[[#This Row],[Payment Status]]="Paid","Completed",Table1[[#This Row],[Payment Status]]="Pending","Pending"),"Invalid Input")</f>
        <v>In Transit</v>
      </c>
    </row>
    <row r="570" spans="1:21" x14ac:dyDescent="0.25">
      <c r="A570" s="4" t="s">
        <v>1128</v>
      </c>
      <c r="B570" s="5">
        <v>45317</v>
      </c>
      <c r="C570" t="s">
        <v>33</v>
      </c>
      <c r="D570" t="s">
        <v>3269</v>
      </c>
      <c r="E570" t="s">
        <v>47</v>
      </c>
      <c r="F570" t="s">
        <v>3209</v>
      </c>
      <c r="G570" t="s">
        <v>48</v>
      </c>
      <c r="H570" t="str">
        <f>VLOOKUP(Table1[[#This Row],[City]],Table6[#All],2,FALSE)</f>
        <v>North</v>
      </c>
      <c r="I570" t="s">
        <v>3204</v>
      </c>
      <c r="J570" t="str">
        <f>_xlfn.XLOOKUP(Table1[[#This Row],[Tractor Model]],Table7[Product Model],Table7[Product Category],"Not Available",0)</f>
        <v>Kubota</v>
      </c>
      <c r="K570" s="4">
        <v>4</v>
      </c>
      <c r="L570" s="72">
        <v>704092</v>
      </c>
      <c r="M570" s="4">
        <f>INDEX('Master Sheet'!$C$4:$C$12,MATCH(Table1[[#This Row],[Quantity]],'Master Sheet'!$B$4:$B$12,0))</f>
        <v>6</v>
      </c>
      <c r="N570" s="71">
        <f>Table1[[#This Row],[Quantity]]*Table1[[#This Row],[Unit Price]]</f>
        <v>2816368</v>
      </c>
      <c r="O570" s="73">
        <v>0.28163680000000002</v>
      </c>
      <c r="P570" s="70">
        <f>Table1[[#This Row],[Gross Amount]]*(1-(Table1[[#This Row],[Discount %]]/100))</f>
        <v>2647385.92</v>
      </c>
      <c r="Q570" s="74">
        <f>(Table1[[#This Row],[Gross Amount]]*(1-(Table1[[#This Row],[Discount %]]/100)))/10000000</f>
        <v>0.26473859199999999</v>
      </c>
      <c r="R570" t="s">
        <v>54</v>
      </c>
      <c r="S570" t="str" cm="1">
        <f t="array" ref="S570">IFERROR(_xlfn.IFS(Table1[[#This Row],[Payment Status]]="Partial","In Transit",Table1[[#This Row],[Payment Status]]="Paid","Delivered",Table1[[#This Row],[Payment Status]]="Pending","Pending"),"Invalid Input")</f>
        <v>Delivered</v>
      </c>
      <c r="T570" t="s">
        <v>27</v>
      </c>
      <c r="U570" t="str" cm="1">
        <f t="array" ref="U570">IFERROR(_xlfn.IFS(Table1[[#This Row],[Payment Status]]="Partial","In Transit",Table1[[#This Row],[Payment Status]]="Paid","Completed",Table1[[#This Row],[Payment Status]]="Pending","Pending"),"Invalid Input")</f>
        <v>Completed</v>
      </c>
    </row>
    <row r="571" spans="1:21" x14ac:dyDescent="0.25">
      <c r="A571" s="4" t="s">
        <v>1130</v>
      </c>
      <c r="B571" s="5">
        <v>45522</v>
      </c>
      <c r="C571" t="s">
        <v>73</v>
      </c>
      <c r="D571" t="s">
        <v>37</v>
      </c>
      <c r="E571" t="s">
        <v>38</v>
      </c>
      <c r="F571" t="s">
        <v>3214</v>
      </c>
      <c r="G571" t="s">
        <v>39</v>
      </c>
      <c r="H571" t="str">
        <f>VLOOKUP(Table1[[#This Row],[City]],Table6[#All],2,FALSE)</f>
        <v>West</v>
      </c>
      <c r="I571" t="s">
        <v>53</v>
      </c>
      <c r="J571" t="str">
        <f>_xlfn.XLOOKUP(Table1[[#This Row],[Tractor Model]],Table7[Product Model],Table7[Product Category],"Not Available",0)</f>
        <v>Farmtrac</v>
      </c>
      <c r="K571" s="4">
        <v>2</v>
      </c>
      <c r="L571" s="72">
        <v>336625</v>
      </c>
      <c r="M571" s="4">
        <f>INDEX('Master Sheet'!$C$4:$C$12,MATCH(Table1[[#This Row],[Quantity]],'Master Sheet'!$B$4:$B$12,0))</f>
        <v>5</v>
      </c>
      <c r="N571" s="71">
        <f>Table1[[#This Row],[Quantity]]*Table1[[#This Row],[Unit Price]]</f>
        <v>673250</v>
      </c>
      <c r="O571" s="73">
        <v>6.7324999999999996E-2</v>
      </c>
      <c r="P571" s="70">
        <f>Table1[[#This Row],[Gross Amount]]*(1-(Table1[[#This Row],[Discount %]]/100))</f>
        <v>639587.5</v>
      </c>
      <c r="Q571" s="74">
        <f>(Table1[[#This Row],[Gross Amount]]*(1-(Table1[[#This Row],[Discount %]]/100)))/10000000</f>
        <v>6.3958749999999995E-2</v>
      </c>
      <c r="R571" t="s">
        <v>42</v>
      </c>
      <c r="S571" t="str" cm="1">
        <f t="array" ref="S571">IFERROR(_xlfn.IFS(Table1[[#This Row],[Payment Status]]="Partial","In Transit",Table1[[#This Row],[Payment Status]]="Paid","Delivered",Table1[[#This Row],[Payment Status]]="Pending","Pending"),"Invalid Input")</f>
        <v>Pending</v>
      </c>
      <c r="T571" t="s">
        <v>44</v>
      </c>
      <c r="U571" t="str" cm="1">
        <f t="array" ref="U571">IFERROR(_xlfn.IFS(Table1[[#This Row],[Payment Status]]="Partial","In Transit",Table1[[#This Row],[Payment Status]]="Paid","Completed",Table1[[#This Row],[Payment Status]]="Pending","Pending"),"Invalid Input")</f>
        <v>Pending</v>
      </c>
    </row>
    <row r="572" spans="1:21" x14ac:dyDescent="0.25">
      <c r="A572" s="4" t="s">
        <v>1132</v>
      </c>
      <c r="B572" s="5">
        <v>45407</v>
      </c>
      <c r="C572" t="s">
        <v>52</v>
      </c>
      <c r="D572" t="s">
        <v>3269</v>
      </c>
      <c r="E572" t="s">
        <v>119</v>
      </c>
      <c r="F572" t="s">
        <v>3229</v>
      </c>
      <c r="G572" t="s">
        <v>21</v>
      </c>
      <c r="H572" t="str">
        <f>VLOOKUP(Table1[[#This Row],[City]],Table6[#All],2,FALSE)</f>
        <v>North</v>
      </c>
      <c r="I572" t="s">
        <v>53</v>
      </c>
      <c r="J572" t="str">
        <f>_xlfn.XLOOKUP(Table1[[#This Row],[Tractor Model]],Table7[Product Model],Table7[Product Category],"Not Available",0)</f>
        <v>Farmtrac</v>
      </c>
      <c r="K572" s="4">
        <v>6</v>
      </c>
      <c r="L572" s="72">
        <v>758500</v>
      </c>
      <c r="M572" s="4">
        <f>INDEX('Master Sheet'!$C$4:$C$12,MATCH(Table1[[#This Row],[Quantity]],'Master Sheet'!$B$4:$B$12,0))</f>
        <v>8</v>
      </c>
      <c r="N572" s="71">
        <f>Table1[[#This Row],[Quantity]]*Table1[[#This Row],[Unit Price]]</f>
        <v>4551000</v>
      </c>
      <c r="O572" s="73">
        <v>0.4551</v>
      </c>
      <c r="P572" s="70">
        <f>Table1[[#This Row],[Gross Amount]]*(1-(Table1[[#This Row],[Discount %]]/100))</f>
        <v>4186920</v>
      </c>
      <c r="Q572" s="74">
        <f>(Table1[[#This Row],[Gross Amount]]*(1-(Table1[[#This Row],[Discount %]]/100)))/10000000</f>
        <v>0.41869200000000001</v>
      </c>
      <c r="R572" t="s">
        <v>25</v>
      </c>
      <c r="S572" t="str" cm="1">
        <f t="array" ref="S572">IFERROR(_xlfn.IFS(Table1[[#This Row],[Payment Status]]="Partial","In Transit",Table1[[#This Row],[Payment Status]]="Paid","Delivered",Table1[[#This Row],[Payment Status]]="Pending","Pending"),"Invalid Input")</f>
        <v>In Transit</v>
      </c>
      <c r="T572" t="s">
        <v>44</v>
      </c>
      <c r="U572" t="str" cm="1">
        <f t="array" ref="U572">IFERROR(_xlfn.IFS(Table1[[#This Row],[Payment Status]]="Partial","In Transit",Table1[[#This Row],[Payment Status]]="Paid","Completed",Table1[[#This Row],[Payment Status]]="Pending","Pending"),"Invalid Input")</f>
        <v>In Transit</v>
      </c>
    </row>
    <row r="573" spans="1:21" x14ac:dyDescent="0.25">
      <c r="A573" s="4" t="s">
        <v>1134</v>
      </c>
      <c r="B573" s="5">
        <v>45817</v>
      </c>
      <c r="C573" t="s">
        <v>62</v>
      </c>
      <c r="D573" t="s">
        <v>3271</v>
      </c>
      <c r="E573" t="s">
        <v>38</v>
      </c>
      <c r="F573" t="s">
        <v>3210</v>
      </c>
      <c r="G573" t="s">
        <v>39</v>
      </c>
      <c r="H573" t="str">
        <f>VLOOKUP(Table1[[#This Row],[City]],Table6[#All],2,FALSE)</f>
        <v>West</v>
      </c>
      <c r="I573" t="s">
        <v>53</v>
      </c>
      <c r="J573" t="str">
        <f>_xlfn.XLOOKUP(Table1[[#This Row],[Tractor Model]],Table7[Product Model],Table7[Product Category],"Not Available",0)</f>
        <v>Farmtrac</v>
      </c>
      <c r="K573" s="4">
        <v>2</v>
      </c>
      <c r="L573" s="72">
        <v>670889</v>
      </c>
      <c r="M573" s="4">
        <f>INDEX('Master Sheet'!$C$4:$C$12,MATCH(Table1[[#This Row],[Quantity]],'Master Sheet'!$B$4:$B$12,0))</f>
        <v>5</v>
      </c>
      <c r="N573" s="71">
        <f>Table1[[#This Row],[Quantity]]*Table1[[#This Row],[Unit Price]]</f>
        <v>1341778</v>
      </c>
      <c r="O573" s="73">
        <v>0.13417780000000001</v>
      </c>
      <c r="P573" s="70">
        <f>Table1[[#This Row],[Gross Amount]]*(1-(Table1[[#This Row],[Discount %]]/100))</f>
        <v>1274689.0999999999</v>
      </c>
      <c r="Q573" s="74">
        <f>(Table1[[#This Row],[Gross Amount]]*(1-(Table1[[#This Row],[Discount %]]/100)))/10000000</f>
        <v>0.12746890999999999</v>
      </c>
      <c r="R573" t="s">
        <v>42</v>
      </c>
      <c r="S573" t="str" cm="1">
        <f t="array" ref="S573">IFERROR(_xlfn.IFS(Table1[[#This Row],[Payment Status]]="Partial","In Transit",Table1[[#This Row],[Payment Status]]="Paid","Delivered",Table1[[#This Row],[Payment Status]]="Pending","Pending"),"Invalid Input")</f>
        <v>Pending</v>
      </c>
      <c r="T573" t="s">
        <v>27</v>
      </c>
      <c r="U573" t="str" cm="1">
        <f t="array" ref="U573">IFERROR(_xlfn.IFS(Table1[[#This Row],[Payment Status]]="Partial","In Transit",Table1[[#This Row],[Payment Status]]="Paid","Completed",Table1[[#This Row],[Payment Status]]="Pending","Pending"),"Invalid Input")</f>
        <v>Pending</v>
      </c>
    </row>
    <row r="574" spans="1:21" x14ac:dyDescent="0.25">
      <c r="A574" s="4" t="s">
        <v>1136</v>
      </c>
      <c r="B574" s="5">
        <v>45634</v>
      </c>
      <c r="C574" t="s">
        <v>73</v>
      </c>
      <c r="D574" t="s">
        <v>3269</v>
      </c>
      <c r="E574" t="s">
        <v>119</v>
      </c>
      <c r="F574" t="s">
        <v>3229</v>
      </c>
      <c r="G574" t="s">
        <v>21</v>
      </c>
      <c r="H574" t="str">
        <f>VLOOKUP(Table1[[#This Row],[City]],Table6[#All],2,FALSE)</f>
        <v>North</v>
      </c>
      <c r="I574" t="s">
        <v>3203</v>
      </c>
      <c r="J574" t="str">
        <f>_xlfn.XLOOKUP(Table1[[#This Row],[Tractor Model]],Table7[Product Model],Table7[Product Category],"Not Available",0)</f>
        <v>Kubota</v>
      </c>
      <c r="K574" s="4">
        <v>8</v>
      </c>
      <c r="L574" s="72">
        <v>802676</v>
      </c>
      <c r="M574" s="4">
        <f>INDEX('Master Sheet'!$C$4:$C$12,MATCH(Table1[[#This Row],[Quantity]],'Master Sheet'!$B$4:$B$12,0))</f>
        <v>9</v>
      </c>
      <c r="N574" s="71">
        <f>Table1[[#This Row],[Quantity]]*Table1[[#This Row],[Unit Price]]</f>
        <v>6421408</v>
      </c>
      <c r="O574" s="73">
        <v>0.64214079999999996</v>
      </c>
      <c r="P574" s="70">
        <f>Table1[[#This Row],[Gross Amount]]*(1-(Table1[[#This Row],[Discount %]]/100))</f>
        <v>5843481.2800000003</v>
      </c>
      <c r="Q574" s="74">
        <f>(Table1[[#This Row],[Gross Amount]]*(1-(Table1[[#This Row],[Discount %]]/100)))/10000000</f>
        <v>0.58434812800000002</v>
      </c>
      <c r="R574" t="s">
        <v>42</v>
      </c>
      <c r="S574" t="str" cm="1">
        <f t="array" ref="S574">IFERROR(_xlfn.IFS(Table1[[#This Row],[Payment Status]]="Partial","In Transit",Table1[[#This Row],[Payment Status]]="Paid","Delivered",Table1[[#This Row],[Payment Status]]="Pending","Pending"),"Invalid Input")</f>
        <v>Pending</v>
      </c>
      <c r="T574" t="s">
        <v>27</v>
      </c>
      <c r="U574" t="str" cm="1">
        <f t="array" ref="U574">IFERROR(_xlfn.IFS(Table1[[#This Row],[Payment Status]]="Partial","In Transit",Table1[[#This Row],[Payment Status]]="Paid","Completed",Table1[[#This Row],[Payment Status]]="Pending","Pending"),"Invalid Input")</f>
        <v>Pending</v>
      </c>
    </row>
    <row r="575" spans="1:21" x14ac:dyDescent="0.25">
      <c r="A575" s="4" t="s">
        <v>1138</v>
      </c>
      <c r="B575" s="5">
        <v>45425</v>
      </c>
      <c r="C575" t="s">
        <v>73</v>
      </c>
      <c r="D575" t="s">
        <v>3270</v>
      </c>
      <c r="E575" t="s">
        <v>66</v>
      </c>
      <c r="F575" t="s">
        <v>3220</v>
      </c>
      <c r="G575" t="s">
        <v>67</v>
      </c>
      <c r="H575" t="str">
        <f>VLOOKUP(Table1[[#This Row],[City]],Table6[#All],2,FALSE)</f>
        <v>East</v>
      </c>
      <c r="I575" t="s">
        <v>24</v>
      </c>
      <c r="J575" t="str">
        <f>_xlfn.XLOOKUP(Table1[[#This Row],[Tractor Model]],Table7[Product Model],Table7[Product Category],"Not Available",0)</f>
        <v>Farmtrac</v>
      </c>
      <c r="K575" s="4">
        <v>4</v>
      </c>
      <c r="L575" s="72">
        <v>879961</v>
      </c>
      <c r="M575" s="4">
        <f>INDEX('Master Sheet'!$C$4:$C$12,MATCH(Table1[[#This Row],[Quantity]],'Master Sheet'!$B$4:$B$12,0))</f>
        <v>6</v>
      </c>
      <c r="N575" s="71">
        <f>Table1[[#This Row],[Quantity]]*Table1[[#This Row],[Unit Price]]</f>
        <v>3519844</v>
      </c>
      <c r="O575" s="73">
        <v>0.35198439999999998</v>
      </c>
      <c r="P575" s="70">
        <f>Table1[[#This Row],[Gross Amount]]*(1-(Table1[[#This Row],[Discount %]]/100))</f>
        <v>3308653.36</v>
      </c>
      <c r="Q575" s="74">
        <f>(Table1[[#This Row],[Gross Amount]]*(1-(Table1[[#This Row],[Discount %]]/100)))/10000000</f>
        <v>0.33086533600000001</v>
      </c>
      <c r="R575" t="s">
        <v>25</v>
      </c>
      <c r="S575" t="str" cm="1">
        <f t="array" ref="S575">IFERROR(_xlfn.IFS(Table1[[#This Row],[Payment Status]]="Partial","In Transit",Table1[[#This Row],[Payment Status]]="Paid","Delivered",Table1[[#This Row],[Payment Status]]="Pending","Pending"),"Invalid Input")</f>
        <v>In Transit</v>
      </c>
      <c r="T575" t="s">
        <v>27</v>
      </c>
      <c r="U575" t="str" cm="1">
        <f t="array" ref="U575">IFERROR(_xlfn.IFS(Table1[[#This Row],[Payment Status]]="Partial","In Transit",Table1[[#This Row],[Payment Status]]="Paid","Completed",Table1[[#This Row],[Payment Status]]="Pending","Pending"),"Invalid Input")</f>
        <v>In Transit</v>
      </c>
    </row>
    <row r="576" spans="1:21" x14ac:dyDescent="0.25">
      <c r="A576" s="4" t="s">
        <v>1140</v>
      </c>
      <c r="B576" s="5">
        <v>45580</v>
      </c>
      <c r="C576" t="s">
        <v>41</v>
      </c>
      <c r="D576" t="s">
        <v>37</v>
      </c>
      <c r="E576" t="s">
        <v>119</v>
      </c>
      <c r="F576" t="s">
        <v>3224</v>
      </c>
      <c r="G576" t="s">
        <v>21</v>
      </c>
      <c r="H576" t="str">
        <f>VLOOKUP(Table1[[#This Row],[City]],Table6[#All],2,FALSE)</f>
        <v>North</v>
      </c>
      <c r="I576" t="s">
        <v>24</v>
      </c>
      <c r="J576" t="str">
        <f>_xlfn.XLOOKUP(Table1[[#This Row],[Tractor Model]],Table7[Product Model],Table7[Product Category],"Not Available",0)</f>
        <v>Farmtrac</v>
      </c>
      <c r="K576" s="4">
        <v>3</v>
      </c>
      <c r="L576" s="72">
        <v>101402</v>
      </c>
      <c r="M576" s="4">
        <f>INDEX('Master Sheet'!$C$4:$C$12,MATCH(Table1[[#This Row],[Quantity]],'Master Sheet'!$B$4:$B$12,0))</f>
        <v>6</v>
      </c>
      <c r="N576" s="71">
        <f>Table1[[#This Row],[Quantity]]*Table1[[#This Row],[Unit Price]]</f>
        <v>304206</v>
      </c>
      <c r="O576" s="73">
        <v>3.0420599999999999E-2</v>
      </c>
      <c r="P576" s="70">
        <f>Table1[[#This Row],[Gross Amount]]*(1-(Table1[[#This Row],[Discount %]]/100))</f>
        <v>285953.63999999996</v>
      </c>
      <c r="Q576" s="74">
        <f>(Table1[[#This Row],[Gross Amount]]*(1-(Table1[[#This Row],[Discount %]]/100)))/10000000</f>
        <v>2.8595363999999995E-2</v>
      </c>
      <c r="R576" t="s">
        <v>54</v>
      </c>
      <c r="S576" t="str" cm="1">
        <f t="array" ref="S576">IFERROR(_xlfn.IFS(Table1[[#This Row],[Payment Status]]="Partial","In Transit",Table1[[#This Row],[Payment Status]]="Paid","Delivered",Table1[[#This Row],[Payment Status]]="Pending","Pending"),"Invalid Input")</f>
        <v>Delivered</v>
      </c>
      <c r="T576" t="s">
        <v>27</v>
      </c>
      <c r="U576" t="str" cm="1">
        <f t="array" ref="U576">IFERROR(_xlfn.IFS(Table1[[#This Row],[Payment Status]]="Partial","In Transit",Table1[[#This Row],[Payment Status]]="Paid","Completed",Table1[[#This Row],[Payment Status]]="Pending","Pending"),"Invalid Input")</f>
        <v>Completed</v>
      </c>
    </row>
    <row r="577" spans="1:21" x14ac:dyDescent="0.25">
      <c r="A577" s="4" t="s">
        <v>1142</v>
      </c>
      <c r="B577" s="5">
        <v>45531</v>
      </c>
      <c r="C577" t="s">
        <v>33</v>
      </c>
      <c r="D577" t="s">
        <v>37</v>
      </c>
      <c r="E577" t="s">
        <v>47</v>
      </c>
      <c r="F577" t="s">
        <v>3215</v>
      </c>
      <c r="G577" t="s">
        <v>48</v>
      </c>
      <c r="H577" t="str">
        <f>VLOOKUP(Table1[[#This Row],[City]],Table6[#All],2,FALSE)</f>
        <v>North</v>
      </c>
      <c r="I577" t="s">
        <v>53</v>
      </c>
      <c r="J577" t="str">
        <f>_xlfn.XLOOKUP(Table1[[#This Row],[Tractor Model]],Table7[Product Model],Table7[Product Category],"Not Available",0)</f>
        <v>Farmtrac</v>
      </c>
      <c r="K577" s="4">
        <v>3</v>
      </c>
      <c r="L577" s="72">
        <v>79569</v>
      </c>
      <c r="M577" s="4">
        <f>INDEX('Master Sheet'!$C$4:$C$12,MATCH(Table1[[#This Row],[Quantity]],'Master Sheet'!$B$4:$B$12,0))</f>
        <v>6</v>
      </c>
      <c r="N577" s="71">
        <f>Table1[[#This Row],[Quantity]]*Table1[[#This Row],[Unit Price]]</f>
        <v>238707</v>
      </c>
      <c r="O577" s="73">
        <v>2.3870700000000002E-2</v>
      </c>
      <c r="P577" s="70">
        <f>Table1[[#This Row],[Gross Amount]]*(1-(Table1[[#This Row],[Discount %]]/100))</f>
        <v>224384.58</v>
      </c>
      <c r="Q577" s="74">
        <f>(Table1[[#This Row],[Gross Amount]]*(1-(Table1[[#This Row],[Discount %]]/100)))/10000000</f>
        <v>2.2438457999999998E-2</v>
      </c>
      <c r="R577" t="s">
        <v>54</v>
      </c>
      <c r="S577" t="str" cm="1">
        <f t="array" ref="S577">IFERROR(_xlfn.IFS(Table1[[#This Row],[Payment Status]]="Partial","In Transit",Table1[[#This Row],[Payment Status]]="Paid","Delivered",Table1[[#This Row],[Payment Status]]="Pending","Pending"),"Invalid Input")</f>
        <v>Delivered</v>
      </c>
      <c r="T577" t="s">
        <v>27</v>
      </c>
      <c r="U577" t="str" cm="1">
        <f t="array" ref="U577">IFERROR(_xlfn.IFS(Table1[[#This Row],[Payment Status]]="Partial","In Transit",Table1[[#This Row],[Payment Status]]="Paid","Completed",Table1[[#This Row],[Payment Status]]="Pending","Pending"),"Invalid Input")</f>
        <v>Completed</v>
      </c>
    </row>
    <row r="578" spans="1:21" x14ac:dyDescent="0.25">
      <c r="A578" s="4" t="s">
        <v>1144</v>
      </c>
      <c r="B578" s="5">
        <v>45559</v>
      </c>
      <c r="C578" t="s">
        <v>73</v>
      </c>
      <c r="D578" t="s">
        <v>3271</v>
      </c>
      <c r="E578" t="s">
        <v>47</v>
      </c>
      <c r="F578" t="s">
        <v>3221</v>
      </c>
      <c r="G578" t="s">
        <v>48</v>
      </c>
      <c r="H578" t="str">
        <f>VLOOKUP(Table1[[#This Row],[City]],Table6[#All],2,FALSE)</f>
        <v>North</v>
      </c>
      <c r="I578" t="s">
        <v>3203</v>
      </c>
      <c r="J578" t="str">
        <f>_xlfn.XLOOKUP(Table1[[#This Row],[Tractor Model]],Table7[Product Model],Table7[Product Category],"Not Available",0)</f>
        <v>Kubota</v>
      </c>
      <c r="K578" s="4">
        <v>1</v>
      </c>
      <c r="L578" s="72">
        <v>278439</v>
      </c>
      <c r="M578" s="4">
        <f>INDEX('Master Sheet'!$C$4:$C$12,MATCH(Table1[[#This Row],[Quantity]],'Master Sheet'!$B$4:$B$12,0))</f>
        <v>3</v>
      </c>
      <c r="N578" s="71">
        <f>Table1[[#This Row],[Quantity]]*Table1[[#This Row],[Unit Price]]</f>
        <v>278439</v>
      </c>
      <c r="O578" s="73">
        <v>2.7843900000000001E-2</v>
      </c>
      <c r="P578" s="70">
        <f>Table1[[#This Row],[Gross Amount]]*(1-(Table1[[#This Row],[Discount %]]/100))</f>
        <v>270085.83</v>
      </c>
      <c r="Q578" s="74">
        <f>(Table1[[#This Row],[Gross Amount]]*(1-(Table1[[#This Row],[Discount %]]/100)))/10000000</f>
        <v>2.7008583000000003E-2</v>
      </c>
      <c r="R578" t="s">
        <v>25</v>
      </c>
      <c r="S578" t="str" cm="1">
        <f t="array" ref="S578">IFERROR(_xlfn.IFS(Table1[[#This Row],[Payment Status]]="Partial","In Transit",Table1[[#This Row],[Payment Status]]="Paid","Delivered",Table1[[#This Row],[Payment Status]]="Pending","Pending"),"Invalid Input")</f>
        <v>In Transit</v>
      </c>
      <c r="T578" t="s">
        <v>44</v>
      </c>
      <c r="U578" t="str" cm="1">
        <f t="array" ref="U578">IFERROR(_xlfn.IFS(Table1[[#This Row],[Payment Status]]="Partial","In Transit",Table1[[#This Row],[Payment Status]]="Paid","Completed",Table1[[#This Row],[Payment Status]]="Pending","Pending"),"Invalid Input")</f>
        <v>In Transit</v>
      </c>
    </row>
    <row r="579" spans="1:21" x14ac:dyDescent="0.25">
      <c r="A579" s="4" t="s">
        <v>1146</v>
      </c>
      <c r="B579" s="5">
        <v>45333</v>
      </c>
      <c r="C579" t="s">
        <v>33</v>
      </c>
      <c r="D579" t="s">
        <v>3270</v>
      </c>
      <c r="E579" t="s">
        <v>30</v>
      </c>
      <c r="F579" t="s">
        <v>3223</v>
      </c>
      <c r="G579" t="s">
        <v>31</v>
      </c>
      <c r="H579" t="str">
        <f>VLOOKUP(Table1[[#This Row],[City]],Table6[#All],2,FALSE)</f>
        <v>South</v>
      </c>
      <c r="I579" t="s">
        <v>3204</v>
      </c>
      <c r="J579" t="str">
        <f>_xlfn.XLOOKUP(Table1[[#This Row],[Tractor Model]],Table7[Product Model],Table7[Product Category],"Not Available",0)</f>
        <v>Kubota</v>
      </c>
      <c r="K579" s="4">
        <v>7</v>
      </c>
      <c r="L579" s="72">
        <v>325158</v>
      </c>
      <c r="M579" s="4">
        <f>INDEX('Master Sheet'!$C$4:$C$12,MATCH(Table1[[#This Row],[Quantity]],'Master Sheet'!$B$4:$B$12,0))</f>
        <v>9</v>
      </c>
      <c r="N579" s="71">
        <f>Table1[[#This Row],[Quantity]]*Table1[[#This Row],[Unit Price]]</f>
        <v>2276106</v>
      </c>
      <c r="O579" s="73">
        <v>0.2276106</v>
      </c>
      <c r="P579" s="70">
        <f>Table1[[#This Row],[Gross Amount]]*(1-(Table1[[#This Row],[Discount %]]/100))</f>
        <v>2071256.46</v>
      </c>
      <c r="Q579" s="74">
        <f>(Table1[[#This Row],[Gross Amount]]*(1-(Table1[[#This Row],[Discount %]]/100)))/10000000</f>
        <v>0.207125646</v>
      </c>
      <c r="R579" t="s">
        <v>25</v>
      </c>
      <c r="S579" t="str" cm="1">
        <f t="array" ref="S579">IFERROR(_xlfn.IFS(Table1[[#This Row],[Payment Status]]="Partial","In Transit",Table1[[#This Row],[Payment Status]]="Paid","Delivered",Table1[[#This Row],[Payment Status]]="Pending","Pending"),"Invalid Input")</f>
        <v>In Transit</v>
      </c>
      <c r="T579" t="s">
        <v>27</v>
      </c>
      <c r="U579" t="str" cm="1">
        <f t="array" ref="U579">IFERROR(_xlfn.IFS(Table1[[#This Row],[Payment Status]]="Partial","In Transit",Table1[[#This Row],[Payment Status]]="Paid","Completed",Table1[[#This Row],[Payment Status]]="Pending","Pending"),"Invalid Input")</f>
        <v>In Transit</v>
      </c>
    </row>
    <row r="580" spans="1:21" x14ac:dyDescent="0.25">
      <c r="A580" s="4" t="s">
        <v>1148</v>
      </c>
      <c r="B580" s="5">
        <v>45541</v>
      </c>
      <c r="C580" t="s">
        <v>62</v>
      </c>
      <c r="D580" t="s">
        <v>3269</v>
      </c>
      <c r="E580" t="s">
        <v>66</v>
      </c>
      <c r="F580" t="s">
        <v>3213</v>
      </c>
      <c r="G580" t="s">
        <v>67</v>
      </c>
      <c r="H580" t="str">
        <f>VLOOKUP(Table1[[#This Row],[City]],Table6[#All],2,FALSE)</f>
        <v>East</v>
      </c>
      <c r="I580" t="s">
        <v>3204</v>
      </c>
      <c r="J580" t="str">
        <f>_xlfn.XLOOKUP(Table1[[#This Row],[Tractor Model]],Table7[Product Model],Table7[Product Category],"Not Available",0)</f>
        <v>Kubota</v>
      </c>
      <c r="K580" s="4">
        <v>7</v>
      </c>
      <c r="L580" s="72">
        <v>848157</v>
      </c>
      <c r="M580" s="4">
        <f>INDEX('Master Sheet'!$C$4:$C$12,MATCH(Table1[[#This Row],[Quantity]],'Master Sheet'!$B$4:$B$12,0))</f>
        <v>9</v>
      </c>
      <c r="N580" s="71">
        <f>Table1[[#This Row],[Quantity]]*Table1[[#This Row],[Unit Price]]</f>
        <v>5937099</v>
      </c>
      <c r="O580" s="73">
        <v>0.59370990000000001</v>
      </c>
      <c r="P580" s="70">
        <f>Table1[[#This Row],[Gross Amount]]*(1-(Table1[[#This Row],[Discount %]]/100))</f>
        <v>5402760.0899999999</v>
      </c>
      <c r="Q580" s="74">
        <f>(Table1[[#This Row],[Gross Amount]]*(1-(Table1[[#This Row],[Discount %]]/100)))/10000000</f>
        <v>0.54027600899999995</v>
      </c>
      <c r="R580" t="s">
        <v>42</v>
      </c>
      <c r="S580" t="str" cm="1">
        <f t="array" ref="S580">IFERROR(_xlfn.IFS(Table1[[#This Row],[Payment Status]]="Partial","In Transit",Table1[[#This Row],[Payment Status]]="Paid","Delivered",Table1[[#This Row],[Payment Status]]="Pending","Pending"),"Invalid Input")</f>
        <v>Pending</v>
      </c>
      <c r="T580" t="s">
        <v>27</v>
      </c>
      <c r="U580" t="str" cm="1">
        <f t="array" ref="U580">IFERROR(_xlfn.IFS(Table1[[#This Row],[Payment Status]]="Partial","In Transit",Table1[[#This Row],[Payment Status]]="Paid","Completed",Table1[[#This Row],[Payment Status]]="Pending","Pending"),"Invalid Input")</f>
        <v>Pending</v>
      </c>
    </row>
    <row r="581" spans="1:21" x14ac:dyDescent="0.25">
      <c r="A581" s="4" t="s">
        <v>1150</v>
      </c>
      <c r="B581" s="5">
        <v>45531</v>
      </c>
      <c r="C581" t="s">
        <v>52</v>
      </c>
      <c r="D581" t="s">
        <v>3268</v>
      </c>
      <c r="E581" t="s">
        <v>119</v>
      </c>
      <c r="F581" t="s">
        <v>3227</v>
      </c>
      <c r="G581" t="s">
        <v>21</v>
      </c>
      <c r="H581" t="str">
        <f>VLOOKUP(Table1[[#This Row],[City]],Table6[#All],2,FALSE)</f>
        <v>North</v>
      </c>
      <c r="I581" t="s">
        <v>3204</v>
      </c>
      <c r="J581" t="str">
        <f>_xlfn.XLOOKUP(Table1[[#This Row],[Tractor Model]],Table7[Product Model],Table7[Product Category],"Not Available",0)</f>
        <v>Kubota</v>
      </c>
      <c r="K581" s="4">
        <v>6</v>
      </c>
      <c r="L581" s="72">
        <v>136309</v>
      </c>
      <c r="M581" s="4">
        <f>INDEX('Master Sheet'!$C$4:$C$12,MATCH(Table1[[#This Row],[Quantity]],'Master Sheet'!$B$4:$B$12,0))</f>
        <v>8</v>
      </c>
      <c r="N581" s="71">
        <f>Table1[[#This Row],[Quantity]]*Table1[[#This Row],[Unit Price]]</f>
        <v>817854</v>
      </c>
      <c r="O581" s="73">
        <v>8.1785399999999994E-2</v>
      </c>
      <c r="P581" s="70">
        <f>Table1[[#This Row],[Gross Amount]]*(1-(Table1[[#This Row],[Discount %]]/100))</f>
        <v>752425.68</v>
      </c>
      <c r="Q581" s="74">
        <f>(Table1[[#This Row],[Gross Amount]]*(1-(Table1[[#This Row],[Discount %]]/100)))/10000000</f>
        <v>7.524256800000001E-2</v>
      </c>
      <c r="R581" t="s">
        <v>25</v>
      </c>
      <c r="S581" t="str" cm="1">
        <f t="array" ref="S581">IFERROR(_xlfn.IFS(Table1[[#This Row],[Payment Status]]="Partial","In Transit",Table1[[#This Row],[Payment Status]]="Paid","Delivered",Table1[[#This Row],[Payment Status]]="Pending","Pending"),"Invalid Input")</f>
        <v>In Transit</v>
      </c>
      <c r="T581" t="s">
        <v>44</v>
      </c>
      <c r="U581" t="str" cm="1">
        <f t="array" ref="U581">IFERROR(_xlfn.IFS(Table1[[#This Row],[Payment Status]]="Partial","In Transit",Table1[[#This Row],[Payment Status]]="Paid","Completed",Table1[[#This Row],[Payment Status]]="Pending","Pending"),"Invalid Input")</f>
        <v>In Transit</v>
      </c>
    </row>
    <row r="582" spans="1:21" x14ac:dyDescent="0.25">
      <c r="A582" s="4" t="s">
        <v>1151</v>
      </c>
      <c r="B582" s="5">
        <v>45477</v>
      </c>
      <c r="C582" t="s">
        <v>73</v>
      </c>
      <c r="D582" t="s">
        <v>3270</v>
      </c>
      <c r="E582" t="s">
        <v>66</v>
      </c>
      <c r="F582" t="s">
        <v>3220</v>
      </c>
      <c r="G582" t="s">
        <v>67</v>
      </c>
      <c r="H582" t="str">
        <f>VLOOKUP(Table1[[#This Row],[City]],Table6[#All],2,FALSE)</f>
        <v>East</v>
      </c>
      <c r="I582" t="s">
        <v>3203</v>
      </c>
      <c r="J582" t="str">
        <f>_xlfn.XLOOKUP(Table1[[#This Row],[Tractor Model]],Table7[Product Model],Table7[Product Category],"Not Available",0)</f>
        <v>Kubota</v>
      </c>
      <c r="K582" s="4">
        <v>5</v>
      </c>
      <c r="L582" s="72">
        <v>585668</v>
      </c>
      <c r="M582" s="4">
        <f>INDEX('Master Sheet'!$C$4:$C$12,MATCH(Table1[[#This Row],[Quantity]],'Master Sheet'!$B$4:$B$12,0))</f>
        <v>7</v>
      </c>
      <c r="N582" s="71">
        <f>Table1[[#This Row],[Quantity]]*Table1[[#This Row],[Unit Price]]</f>
        <v>2928340</v>
      </c>
      <c r="O582" s="73">
        <v>0.29283399999999998</v>
      </c>
      <c r="P582" s="70">
        <f>Table1[[#This Row],[Gross Amount]]*(1-(Table1[[#This Row],[Discount %]]/100))</f>
        <v>2723356.1999999997</v>
      </c>
      <c r="Q582" s="74">
        <f>(Table1[[#This Row],[Gross Amount]]*(1-(Table1[[#This Row],[Discount %]]/100)))/10000000</f>
        <v>0.27233561999999994</v>
      </c>
      <c r="R582" t="s">
        <v>54</v>
      </c>
      <c r="S582" t="str" cm="1">
        <f t="array" ref="S582">IFERROR(_xlfn.IFS(Table1[[#This Row],[Payment Status]]="Partial","In Transit",Table1[[#This Row],[Payment Status]]="Paid","Delivered",Table1[[#This Row],[Payment Status]]="Pending","Pending"),"Invalid Input")</f>
        <v>Delivered</v>
      </c>
      <c r="T582" t="s">
        <v>27</v>
      </c>
      <c r="U582" t="str" cm="1">
        <f t="array" ref="U582">IFERROR(_xlfn.IFS(Table1[[#This Row],[Payment Status]]="Partial","In Transit",Table1[[#This Row],[Payment Status]]="Paid","Completed",Table1[[#This Row],[Payment Status]]="Pending","Pending"),"Invalid Input")</f>
        <v>Completed</v>
      </c>
    </row>
    <row r="583" spans="1:21" x14ac:dyDescent="0.25">
      <c r="A583" s="4" t="s">
        <v>1153</v>
      </c>
      <c r="B583" s="5">
        <v>45359</v>
      </c>
      <c r="C583" t="s">
        <v>41</v>
      </c>
      <c r="D583" t="s">
        <v>37</v>
      </c>
      <c r="E583" t="s">
        <v>66</v>
      </c>
      <c r="F583" t="s">
        <v>3226</v>
      </c>
      <c r="G583" t="s">
        <v>67</v>
      </c>
      <c r="H583" t="str">
        <f>VLOOKUP(Table1[[#This Row],[City]],Table6[#All],2,FALSE)</f>
        <v>East</v>
      </c>
      <c r="I583" t="s">
        <v>24</v>
      </c>
      <c r="J583" t="str">
        <f>_xlfn.XLOOKUP(Table1[[#This Row],[Tractor Model]],Table7[Product Model],Table7[Product Category],"Not Available",0)</f>
        <v>Farmtrac</v>
      </c>
      <c r="K583" s="4">
        <v>7</v>
      </c>
      <c r="L583" s="72">
        <v>392575</v>
      </c>
      <c r="M583" s="4">
        <f>INDEX('Master Sheet'!$C$4:$C$12,MATCH(Table1[[#This Row],[Quantity]],'Master Sheet'!$B$4:$B$12,0))</f>
        <v>9</v>
      </c>
      <c r="N583" s="71">
        <f>Table1[[#This Row],[Quantity]]*Table1[[#This Row],[Unit Price]]</f>
        <v>2748025</v>
      </c>
      <c r="O583" s="73">
        <v>0.27480250000000001</v>
      </c>
      <c r="P583" s="70">
        <f>Table1[[#This Row],[Gross Amount]]*(1-(Table1[[#This Row],[Discount %]]/100))</f>
        <v>2500702.75</v>
      </c>
      <c r="Q583" s="74">
        <f>(Table1[[#This Row],[Gross Amount]]*(1-(Table1[[#This Row],[Discount %]]/100)))/10000000</f>
        <v>0.25007027500000001</v>
      </c>
      <c r="R583" t="s">
        <v>25</v>
      </c>
      <c r="S583" t="str" cm="1">
        <f t="array" ref="S583">IFERROR(_xlfn.IFS(Table1[[#This Row],[Payment Status]]="Partial","In Transit",Table1[[#This Row],[Payment Status]]="Paid","Delivered",Table1[[#This Row],[Payment Status]]="Pending","Pending"),"Invalid Input")</f>
        <v>In Transit</v>
      </c>
      <c r="T583" t="s">
        <v>44</v>
      </c>
      <c r="U583" t="str" cm="1">
        <f t="array" ref="U583">IFERROR(_xlfn.IFS(Table1[[#This Row],[Payment Status]]="Partial","In Transit",Table1[[#This Row],[Payment Status]]="Paid","Completed",Table1[[#This Row],[Payment Status]]="Pending","Pending"),"Invalid Input")</f>
        <v>In Transit</v>
      </c>
    </row>
    <row r="584" spans="1:21" x14ac:dyDescent="0.25">
      <c r="A584" s="4" t="s">
        <v>1155</v>
      </c>
      <c r="B584" s="5">
        <v>45808</v>
      </c>
      <c r="C584" t="s">
        <v>73</v>
      </c>
      <c r="D584" t="s">
        <v>3268</v>
      </c>
      <c r="E584" t="s">
        <v>30</v>
      </c>
      <c r="F584" t="s">
        <v>3208</v>
      </c>
      <c r="G584" t="s">
        <v>31</v>
      </c>
      <c r="H584" t="str">
        <f>VLOOKUP(Table1[[#This Row],[City]],Table6[#All],2,FALSE)</f>
        <v>South</v>
      </c>
      <c r="I584" t="s">
        <v>3203</v>
      </c>
      <c r="J584" t="str">
        <f>_xlfn.XLOOKUP(Table1[[#This Row],[Tractor Model]],Table7[Product Model],Table7[Product Category],"Not Available",0)</f>
        <v>Kubota</v>
      </c>
      <c r="K584" s="4">
        <v>1</v>
      </c>
      <c r="L584" s="72">
        <v>786564</v>
      </c>
      <c r="M584" s="4">
        <f>INDEX('Master Sheet'!$C$4:$C$12,MATCH(Table1[[#This Row],[Quantity]],'Master Sheet'!$B$4:$B$12,0))</f>
        <v>3</v>
      </c>
      <c r="N584" s="71">
        <f>Table1[[#This Row],[Quantity]]*Table1[[#This Row],[Unit Price]]</f>
        <v>786564</v>
      </c>
      <c r="O584" s="73">
        <v>7.8656400000000001E-2</v>
      </c>
      <c r="P584" s="70">
        <f>Table1[[#This Row],[Gross Amount]]*(1-(Table1[[#This Row],[Discount %]]/100))</f>
        <v>762967.08</v>
      </c>
      <c r="Q584" s="74">
        <f>(Table1[[#This Row],[Gross Amount]]*(1-(Table1[[#This Row],[Discount %]]/100)))/10000000</f>
        <v>7.6296707999999991E-2</v>
      </c>
      <c r="R584" t="s">
        <v>25</v>
      </c>
      <c r="S584" t="str" cm="1">
        <f t="array" ref="S584">IFERROR(_xlfn.IFS(Table1[[#This Row],[Payment Status]]="Partial","In Transit",Table1[[#This Row],[Payment Status]]="Paid","Delivered",Table1[[#This Row],[Payment Status]]="Pending","Pending"),"Invalid Input")</f>
        <v>In Transit</v>
      </c>
      <c r="T584" t="s">
        <v>44</v>
      </c>
      <c r="U584" t="str" cm="1">
        <f t="array" ref="U584">IFERROR(_xlfn.IFS(Table1[[#This Row],[Payment Status]]="Partial","In Transit",Table1[[#This Row],[Payment Status]]="Paid","Completed",Table1[[#This Row],[Payment Status]]="Pending","Pending"),"Invalid Input")</f>
        <v>In Transit</v>
      </c>
    </row>
    <row r="585" spans="1:21" x14ac:dyDescent="0.25">
      <c r="A585" s="4" t="s">
        <v>1157</v>
      </c>
      <c r="B585" s="5">
        <v>45582</v>
      </c>
      <c r="C585" t="s">
        <v>41</v>
      </c>
      <c r="D585" t="s">
        <v>3268</v>
      </c>
      <c r="E585" t="s">
        <v>119</v>
      </c>
      <c r="F585" t="s">
        <v>3227</v>
      </c>
      <c r="G585" t="s">
        <v>21</v>
      </c>
      <c r="H585" t="str">
        <f>VLOOKUP(Table1[[#This Row],[City]],Table6[#All],2,FALSE)</f>
        <v>North</v>
      </c>
      <c r="I585" t="s">
        <v>3203</v>
      </c>
      <c r="J585" t="str">
        <f>_xlfn.XLOOKUP(Table1[[#This Row],[Tractor Model]],Table7[Product Model],Table7[Product Category],"Not Available",0)</f>
        <v>Kubota</v>
      </c>
      <c r="K585" s="4">
        <v>7</v>
      </c>
      <c r="L585" s="72">
        <v>487369</v>
      </c>
      <c r="M585" s="4">
        <f>INDEX('Master Sheet'!$C$4:$C$12,MATCH(Table1[[#This Row],[Quantity]],'Master Sheet'!$B$4:$B$12,0))</f>
        <v>9</v>
      </c>
      <c r="N585" s="71">
        <f>Table1[[#This Row],[Quantity]]*Table1[[#This Row],[Unit Price]]</f>
        <v>3411583</v>
      </c>
      <c r="O585" s="73">
        <v>0.34115830000000003</v>
      </c>
      <c r="P585" s="70">
        <f>Table1[[#This Row],[Gross Amount]]*(1-(Table1[[#This Row],[Discount %]]/100))</f>
        <v>3104540.5300000003</v>
      </c>
      <c r="Q585" s="74">
        <f>(Table1[[#This Row],[Gross Amount]]*(1-(Table1[[#This Row],[Discount %]]/100)))/10000000</f>
        <v>0.31045405300000001</v>
      </c>
      <c r="R585" t="s">
        <v>25</v>
      </c>
      <c r="S585" t="str" cm="1">
        <f t="array" ref="S585">IFERROR(_xlfn.IFS(Table1[[#This Row],[Payment Status]]="Partial","In Transit",Table1[[#This Row],[Payment Status]]="Paid","Delivered",Table1[[#This Row],[Payment Status]]="Pending","Pending"),"Invalid Input")</f>
        <v>In Transit</v>
      </c>
      <c r="T585" t="s">
        <v>44</v>
      </c>
      <c r="U585" t="str" cm="1">
        <f t="array" ref="U585">IFERROR(_xlfn.IFS(Table1[[#This Row],[Payment Status]]="Partial","In Transit",Table1[[#This Row],[Payment Status]]="Paid","Completed",Table1[[#This Row],[Payment Status]]="Pending","Pending"),"Invalid Input")</f>
        <v>In Transit</v>
      </c>
    </row>
    <row r="586" spans="1:21" x14ac:dyDescent="0.25">
      <c r="A586" s="4" t="s">
        <v>1158</v>
      </c>
      <c r="B586" s="5">
        <v>45487</v>
      </c>
      <c r="C586" t="s">
        <v>73</v>
      </c>
      <c r="D586" t="s">
        <v>3268</v>
      </c>
      <c r="E586" t="s">
        <v>30</v>
      </c>
      <c r="F586" t="s">
        <v>3208</v>
      </c>
      <c r="G586" t="s">
        <v>31</v>
      </c>
      <c r="H586" t="str">
        <f>VLOOKUP(Table1[[#This Row],[City]],Table6[#All],2,FALSE)</f>
        <v>South</v>
      </c>
      <c r="I586" t="s">
        <v>3204</v>
      </c>
      <c r="J586" t="str">
        <f>_xlfn.XLOOKUP(Table1[[#This Row],[Tractor Model]],Table7[Product Model],Table7[Product Category],"Not Available",0)</f>
        <v>Kubota</v>
      </c>
      <c r="K586" s="4">
        <v>1</v>
      </c>
      <c r="L586" s="72">
        <v>698197</v>
      </c>
      <c r="M586" s="4">
        <f>INDEX('Master Sheet'!$C$4:$C$12,MATCH(Table1[[#This Row],[Quantity]],'Master Sheet'!$B$4:$B$12,0))</f>
        <v>3</v>
      </c>
      <c r="N586" s="71">
        <f>Table1[[#This Row],[Quantity]]*Table1[[#This Row],[Unit Price]]</f>
        <v>698197</v>
      </c>
      <c r="O586" s="73">
        <v>6.9819699999999998E-2</v>
      </c>
      <c r="P586" s="70">
        <f>Table1[[#This Row],[Gross Amount]]*(1-(Table1[[#This Row],[Discount %]]/100))</f>
        <v>677251.09</v>
      </c>
      <c r="Q586" s="74">
        <f>(Table1[[#This Row],[Gross Amount]]*(1-(Table1[[#This Row],[Discount %]]/100)))/10000000</f>
        <v>6.7725108999999992E-2</v>
      </c>
      <c r="R586" t="s">
        <v>54</v>
      </c>
      <c r="S586" t="str" cm="1">
        <f t="array" ref="S586">IFERROR(_xlfn.IFS(Table1[[#This Row],[Payment Status]]="Partial","In Transit",Table1[[#This Row],[Payment Status]]="Paid","Delivered",Table1[[#This Row],[Payment Status]]="Pending","Pending"),"Invalid Input")</f>
        <v>Delivered</v>
      </c>
      <c r="T586" t="s">
        <v>27</v>
      </c>
      <c r="U586" t="str" cm="1">
        <f t="array" ref="U586">IFERROR(_xlfn.IFS(Table1[[#This Row],[Payment Status]]="Partial","In Transit",Table1[[#This Row],[Payment Status]]="Paid","Completed",Table1[[#This Row],[Payment Status]]="Pending","Pending"),"Invalid Input")</f>
        <v>Completed</v>
      </c>
    </row>
    <row r="587" spans="1:21" x14ac:dyDescent="0.25">
      <c r="A587" s="4" t="s">
        <v>1160</v>
      </c>
      <c r="B587" s="5">
        <v>45332</v>
      </c>
      <c r="C587" t="s">
        <v>73</v>
      </c>
      <c r="D587" t="s">
        <v>3270</v>
      </c>
      <c r="E587" t="s">
        <v>47</v>
      </c>
      <c r="F587" t="s">
        <v>3205</v>
      </c>
      <c r="G587" t="s">
        <v>48</v>
      </c>
      <c r="H587" t="str">
        <f>VLOOKUP(Table1[[#This Row],[City]],Table6[#All],2,FALSE)</f>
        <v>North</v>
      </c>
      <c r="I587" t="s">
        <v>3204</v>
      </c>
      <c r="J587" t="str">
        <f>_xlfn.XLOOKUP(Table1[[#This Row],[Tractor Model]],Table7[Product Model],Table7[Product Category],"Not Available",0)</f>
        <v>Kubota</v>
      </c>
      <c r="K587" s="4">
        <v>4</v>
      </c>
      <c r="L587" s="72">
        <v>768147</v>
      </c>
      <c r="M587" s="4">
        <f>INDEX('Master Sheet'!$C$4:$C$12,MATCH(Table1[[#This Row],[Quantity]],'Master Sheet'!$B$4:$B$12,0))</f>
        <v>6</v>
      </c>
      <c r="N587" s="71">
        <f>Table1[[#This Row],[Quantity]]*Table1[[#This Row],[Unit Price]]</f>
        <v>3072588</v>
      </c>
      <c r="O587" s="73">
        <v>0.3072588</v>
      </c>
      <c r="P587" s="70">
        <f>Table1[[#This Row],[Gross Amount]]*(1-(Table1[[#This Row],[Discount %]]/100))</f>
        <v>2888232.7199999997</v>
      </c>
      <c r="Q587" s="74">
        <f>(Table1[[#This Row],[Gross Amount]]*(1-(Table1[[#This Row],[Discount %]]/100)))/10000000</f>
        <v>0.28882327199999996</v>
      </c>
      <c r="R587" t="s">
        <v>25</v>
      </c>
      <c r="S587" t="str" cm="1">
        <f t="array" ref="S587">IFERROR(_xlfn.IFS(Table1[[#This Row],[Payment Status]]="Partial","In Transit",Table1[[#This Row],[Payment Status]]="Paid","Delivered",Table1[[#This Row],[Payment Status]]="Pending","Pending"),"Invalid Input")</f>
        <v>In Transit</v>
      </c>
      <c r="T587" t="s">
        <v>44</v>
      </c>
      <c r="U587" t="str" cm="1">
        <f t="array" ref="U587">IFERROR(_xlfn.IFS(Table1[[#This Row],[Payment Status]]="Partial","In Transit",Table1[[#This Row],[Payment Status]]="Paid","Completed",Table1[[#This Row],[Payment Status]]="Pending","Pending"),"Invalid Input")</f>
        <v>In Transit</v>
      </c>
    </row>
    <row r="588" spans="1:21" x14ac:dyDescent="0.25">
      <c r="A588" s="4" t="s">
        <v>1161</v>
      </c>
      <c r="B588" s="5">
        <v>45635</v>
      </c>
      <c r="C588" t="s">
        <v>33</v>
      </c>
      <c r="D588" t="s">
        <v>3268</v>
      </c>
      <c r="E588" t="s">
        <v>66</v>
      </c>
      <c r="F588" t="s">
        <v>3211</v>
      </c>
      <c r="G588" t="s">
        <v>67</v>
      </c>
      <c r="H588" t="str">
        <f>VLOOKUP(Table1[[#This Row],[City]],Table6[#All],2,FALSE)</f>
        <v>East</v>
      </c>
      <c r="I588" t="s">
        <v>58</v>
      </c>
      <c r="J588" t="str">
        <f>_xlfn.XLOOKUP(Table1[[#This Row],[Tractor Model]],Table7[Product Model],Table7[Product Category],"Not Available",0)</f>
        <v>Powertrac</v>
      </c>
      <c r="K588" s="4">
        <v>6</v>
      </c>
      <c r="L588" s="72">
        <v>476582</v>
      </c>
      <c r="M588" s="4">
        <f>INDEX('Master Sheet'!$C$4:$C$12,MATCH(Table1[[#This Row],[Quantity]],'Master Sheet'!$B$4:$B$12,0))</f>
        <v>8</v>
      </c>
      <c r="N588" s="71">
        <f>Table1[[#This Row],[Quantity]]*Table1[[#This Row],[Unit Price]]</f>
        <v>2859492</v>
      </c>
      <c r="O588" s="73">
        <v>0.28594920000000001</v>
      </c>
      <c r="P588" s="70">
        <f>Table1[[#This Row],[Gross Amount]]*(1-(Table1[[#This Row],[Discount %]]/100))</f>
        <v>2630732.64</v>
      </c>
      <c r="Q588" s="74">
        <f>(Table1[[#This Row],[Gross Amount]]*(1-(Table1[[#This Row],[Discount %]]/100)))/10000000</f>
        <v>0.26307326400000003</v>
      </c>
      <c r="R588" t="s">
        <v>42</v>
      </c>
      <c r="S588" t="str" cm="1">
        <f t="array" ref="S588">IFERROR(_xlfn.IFS(Table1[[#This Row],[Payment Status]]="Partial","In Transit",Table1[[#This Row],[Payment Status]]="Paid","Delivered",Table1[[#This Row],[Payment Status]]="Pending","Pending"),"Invalid Input")</f>
        <v>Pending</v>
      </c>
      <c r="T588" t="s">
        <v>44</v>
      </c>
      <c r="U588" t="str" cm="1">
        <f t="array" ref="U588">IFERROR(_xlfn.IFS(Table1[[#This Row],[Payment Status]]="Partial","In Transit",Table1[[#This Row],[Payment Status]]="Paid","Completed",Table1[[#This Row],[Payment Status]]="Pending","Pending"),"Invalid Input")</f>
        <v>Pending</v>
      </c>
    </row>
    <row r="589" spans="1:21" x14ac:dyDescent="0.25">
      <c r="A589" s="4" t="s">
        <v>1162</v>
      </c>
      <c r="B589" s="5">
        <v>45629</v>
      </c>
      <c r="C589" t="s">
        <v>62</v>
      </c>
      <c r="D589" t="s">
        <v>3271</v>
      </c>
      <c r="E589" t="s">
        <v>38</v>
      </c>
      <c r="F589" t="s">
        <v>3210</v>
      </c>
      <c r="G589" t="s">
        <v>39</v>
      </c>
      <c r="H589" t="str">
        <f>VLOOKUP(Table1[[#This Row],[City]],Table6[#All],2,FALSE)</f>
        <v>West</v>
      </c>
      <c r="I589" t="s">
        <v>58</v>
      </c>
      <c r="J589" t="str">
        <f>_xlfn.XLOOKUP(Table1[[#This Row],[Tractor Model]],Table7[Product Model],Table7[Product Category],"Not Available",0)</f>
        <v>Powertrac</v>
      </c>
      <c r="K589" s="4">
        <v>2</v>
      </c>
      <c r="L589" s="72">
        <v>530301</v>
      </c>
      <c r="M589" s="4">
        <f>INDEX('Master Sheet'!$C$4:$C$12,MATCH(Table1[[#This Row],[Quantity]],'Master Sheet'!$B$4:$B$12,0))</f>
        <v>5</v>
      </c>
      <c r="N589" s="71">
        <f>Table1[[#This Row],[Quantity]]*Table1[[#This Row],[Unit Price]]</f>
        <v>1060602</v>
      </c>
      <c r="O589" s="73">
        <v>0.10606019999999999</v>
      </c>
      <c r="P589" s="70">
        <f>Table1[[#This Row],[Gross Amount]]*(1-(Table1[[#This Row],[Discount %]]/100))</f>
        <v>1007571.8999999999</v>
      </c>
      <c r="Q589" s="74">
        <f>(Table1[[#This Row],[Gross Amount]]*(1-(Table1[[#This Row],[Discount %]]/100)))/10000000</f>
        <v>0.10075719</v>
      </c>
      <c r="R589" t="s">
        <v>54</v>
      </c>
      <c r="S589" t="str" cm="1">
        <f t="array" ref="S589">IFERROR(_xlfn.IFS(Table1[[#This Row],[Payment Status]]="Partial","In Transit",Table1[[#This Row],[Payment Status]]="Paid","Delivered",Table1[[#This Row],[Payment Status]]="Pending","Pending"),"Invalid Input")</f>
        <v>Delivered</v>
      </c>
      <c r="T589" t="s">
        <v>27</v>
      </c>
      <c r="U589" t="str" cm="1">
        <f t="array" ref="U589">IFERROR(_xlfn.IFS(Table1[[#This Row],[Payment Status]]="Partial","In Transit",Table1[[#This Row],[Payment Status]]="Paid","Completed",Table1[[#This Row],[Payment Status]]="Pending","Pending"),"Invalid Input")</f>
        <v>Completed</v>
      </c>
    </row>
    <row r="590" spans="1:21" x14ac:dyDescent="0.25">
      <c r="A590" s="4" t="s">
        <v>1163</v>
      </c>
      <c r="B590" s="5">
        <v>45676</v>
      </c>
      <c r="C590" t="s">
        <v>52</v>
      </c>
      <c r="D590" t="s">
        <v>3270</v>
      </c>
      <c r="E590" t="s">
        <v>47</v>
      </c>
      <c r="F590" t="s">
        <v>3205</v>
      </c>
      <c r="G590" t="s">
        <v>48</v>
      </c>
      <c r="H590" t="str">
        <f>VLOOKUP(Table1[[#This Row],[City]],Table6[#All],2,FALSE)</f>
        <v>North</v>
      </c>
      <c r="I590" t="s">
        <v>3203</v>
      </c>
      <c r="J590" t="str">
        <f>_xlfn.XLOOKUP(Table1[[#This Row],[Tractor Model]],Table7[Product Model],Table7[Product Category],"Not Available",0)</f>
        <v>Kubota</v>
      </c>
      <c r="K590" s="4">
        <v>8</v>
      </c>
      <c r="L590" s="72">
        <v>126662</v>
      </c>
      <c r="M590" s="4">
        <f>INDEX('Master Sheet'!$C$4:$C$12,MATCH(Table1[[#This Row],[Quantity]],'Master Sheet'!$B$4:$B$12,0))</f>
        <v>9</v>
      </c>
      <c r="N590" s="71">
        <f>Table1[[#This Row],[Quantity]]*Table1[[#This Row],[Unit Price]]</f>
        <v>1013296</v>
      </c>
      <c r="O590" s="73">
        <v>0.10132960000000001</v>
      </c>
      <c r="P590" s="70">
        <f>Table1[[#This Row],[Gross Amount]]*(1-(Table1[[#This Row],[Discount %]]/100))</f>
        <v>922099.36</v>
      </c>
      <c r="Q590" s="74">
        <f>(Table1[[#This Row],[Gross Amount]]*(1-(Table1[[#This Row],[Discount %]]/100)))/10000000</f>
        <v>9.2209935999999992E-2</v>
      </c>
      <c r="R590" t="s">
        <v>42</v>
      </c>
      <c r="S590" t="str" cm="1">
        <f t="array" ref="S590">IFERROR(_xlfn.IFS(Table1[[#This Row],[Payment Status]]="Partial","In Transit",Table1[[#This Row],[Payment Status]]="Paid","Delivered",Table1[[#This Row],[Payment Status]]="Pending","Pending"),"Invalid Input")</f>
        <v>Pending</v>
      </c>
      <c r="T590" t="s">
        <v>27</v>
      </c>
      <c r="U590" t="str" cm="1">
        <f t="array" ref="U590">IFERROR(_xlfn.IFS(Table1[[#This Row],[Payment Status]]="Partial","In Transit",Table1[[#This Row],[Payment Status]]="Paid","Completed",Table1[[#This Row],[Payment Status]]="Pending","Pending"),"Invalid Input")</f>
        <v>Pending</v>
      </c>
    </row>
    <row r="591" spans="1:21" x14ac:dyDescent="0.25">
      <c r="A591" s="4" t="s">
        <v>1165</v>
      </c>
      <c r="B591" s="5">
        <v>45302</v>
      </c>
      <c r="C591" t="s">
        <v>52</v>
      </c>
      <c r="D591" t="s">
        <v>37</v>
      </c>
      <c r="E591" t="s">
        <v>66</v>
      </c>
      <c r="F591" t="s">
        <v>3226</v>
      </c>
      <c r="G591" t="s">
        <v>67</v>
      </c>
      <c r="H591" t="str">
        <f>VLOOKUP(Table1[[#This Row],[City]],Table6[#All],2,FALSE)</f>
        <v>East</v>
      </c>
      <c r="I591" t="s">
        <v>3203</v>
      </c>
      <c r="J591" t="str">
        <f>_xlfn.XLOOKUP(Table1[[#This Row],[Tractor Model]],Table7[Product Model],Table7[Product Category],"Not Available",0)</f>
        <v>Kubota</v>
      </c>
      <c r="K591" s="4">
        <v>5</v>
      </c>
      <c r="L591" s="72">
        <v>354894</v>
      </c>
      <c r="M591" s="4">
        <f>INDEX('Master Sheet'!$C$4:$C$12,MATCH(Table1[[#This Row],[Quantity]],'Master Sheet'!$B$4:$B$12,0))</f>
        <v>7</v>
      </c>
      <c r="N591" s="71">
        <f>Table1[[#This Row],[Quantity]]*Table1[[#This Row],[Unit Price]]</f>
        <v>1774470</v>
      </c>
      <c r="O591" s="73">
        <v>0.17744699999999999</v>
      </c>
      <c r="P591" s="70">
        <f>Table1[[#This Row],[Gross Amount]]*(1-(Table1[[#This Row],[Discount %]]/100))</f>
        <v>1650257.0999999999</v>
      </c>
      <c r="Q591" s="74">
        <f>(Table1[[#This Row],[Gross Amount]]*(1-(Table1[[#This Row],[Discount %]]/100)))/10000000</f>
        <v>0.16502570999999999</v>
      </c>
      <c r="R591" t="s">
        <v>54</v>
      </c>
      <c r="S591" t="str" cm="1">
        <f t="array" ref="S591">IFERROR(_xlfn.IFS(Table1[[#This Row],[Payment Status]]="Partial","In Transit",Table1[[#This Row],[Payment Status]]="Paid","Delivered",Table1[[#This Row],[Payment Status]]="Pending","Pending"),"Invalid Input")</f>
        <v>Delivered</v>
      </c>
      <c r="T591" t="s">
        <v>27</v>
      </c>
      <c r="U591" t="str" cm="1">
        <f t="array" ref="U591">IFERROR(_xlfn.IFS(Table1[[#This Row],[Payment Status]]="Partial","In Transit",Table1[[#This Row],[Payment Status]]="Paid","Completed",Table1[[#This Row],[Payment Status]]="Pending","Pending"),"Invalid Input")</f>
        <v>Completed</v>
      </c>
    </row>
    <row r="592" spans="1:21" x14ac:dyDescent="0.25">
      <c r="A592" s="4" t="s">
        <v>1167</v>
      </c>
      <c r="B592" s="5">
        <v>45814</v>
      </c>
      <c r="C592" t="s">
        <v>73</v>
      </c>
      <c r="D592" t="s">
        <v>37</v>
      </c>
      <c r="E592" t="s">
        <v>47</v>
      </c>
      <c r="F592" t="s">
        <v>3215</v>
      </c>
      <c r="G592" t="s">
        <v>48</v>
      </c>
      <c r="H592" t="str">
        <f>VLOOKUP(Table1[[#This Row],[City]],Table6[#All],2,FALSE)</f>
        <v>North</v>
      </c>
      <c r="I592" t="s">
        <v>24</v>
      </c>
      <c r="J592" t="str">
        <f>_xlfn.XLOOKUP(Table1[[#This Row],[Tractor Model]],Table7[Product Model],Table7[Product Category],"Not Available",0)</f>
        <v>Farmtrac</v>
      </c>
      <c r="K592" s="4">
        <v>4</v>
      </c>
      <c r="L592" s="72">
        <v>712726</v>
      </c>
      <c r="M592" s="4">
        <f>INDEX('Master Sheet'!$C$4:$C$12,MATCH(Table1[[#This Row],[Quantity]],'Master Sheet'!$B$4:$B$12,0))</f>
        <v>6</v>
      </c>
      <c r="N592" s="71">
        <f>Table1[[#This Row],[Quantity]]*Table1[[#This Row],[Unit Price]]</f>
        <v>2850904</v>
      </c>
      <c r="O592" s="73">
        <v>0.28509040000000002</v>
      </c>
      <c r="P592" s="70">
        <f>Table1[[#This Row],[Gross Amount]]*(1-(Table1[[#This Row],[Discount %]]/100))</f>
        <v>2679849.7599999998</v>
      </c>
      <c r="Q592" s="74">
        <f>(Table1[[#This Row],[Gross Amount]]*(1-(Table1[[#This Row],[Discount %]]/100)))/10000000</f>
        <v>0.26798497599999999</v>
      </c>
      <c r="R592" t="s">
        <v>54</v>
      </c>
      <c r="S592" t="str" cm="1">
        <f t="array" ref="S592">IFERROR(_xlfn.IFS(Table1[[#This Row],[Payment Status]]="Partial","In Transit",Table1[[#This Row],[Payment Status]]="Paid","Delivered",Table1[[#This Row],[Payment Status]]="Pending","Pending"),"Invalid Input")</f>
        <v>Delivered</v>
      </c>
      <c r="T592" t="s">
        <v>44</v>
      </c>
      <c r="U592" t="str" cm="1">
        <f t="array" ref="U592">IFERROR(_xlfn.IFS(Table1[[#This Row],[Payment Status]]="Partial","In Transit",Table1[[#This Row],[Payment Status]]="Paid","Completed",Table1[[#This Row],[Payment Status]]="Pending","Pending"),"Invalid Input")</f>
        <v>Completed</v>
      </c>
    </row>
    <row r="593" spans="1:21" x14ac:dyDescent="0.25">
      <c r="A593" s="4" t="s">
        <v>1169</v>
      </c>
      <c r="B593" s="5">
        <v>45597</v>
      </c>
      <c r="C593" t="s">
        <v>52</v>
      </c>
      <c r="D593" t="s">
        <v>3268</v>
      </c>
      <c r="E593" t="s">
        <v>38</v>
      </c>
      <c r="F593" t="s">
        <v>3219</v>
      </c>
      <c r="G593" t="s">
        <v>39</v>
      </c>
      <c r="H593" t="str">
        <f>VLOOKUP(Table1[[#This Row],[City]],Table6[#All],2,FALSE)</f>
        <v>West</v>
      </c>
      <c r="I593" t="s">
        <v>3204</v>
      </c>
      <c r="J593" t="str">
        <f>_xlfn.XLOOKUP(Table1[[#This Row],[Tractor Model]],Table7[Product Model],Table7[Product Category],"Not Available",0)</f>
        <v>Kubota</v>
      </c>
      <c r="K593" s="4">
        <v>2</v>
      </c>
      <c r="L593" s="72">
        <v>246600</v>
      </c>
      <c r="M593" s="4">
        <f>INDEX('Master Sheet'!$C$4:$C$12,MATCH(Table1[[#This Row],[Quantity]],'Master Sheet'!$B$4:$B$12,0))</f>
        <v>5</v>
      </c>
      <c r="N593" s="71">
        <f>Table1[[#This Row],[Quantity]]*Table1[[#This Row],[Unit Price]]</f>
        <v>493200</v>
      </c>
      <c r="O593" s="73">
        <v>4.9320000000000003E-2</v>
      </c>
      <c r="P593" s="70">
        <f>Table1[[#This Row],[Gross Amount]]*(1-(Table1[[#This Row],[Discount %]]/100))</f>
        <v>468540</v>
      </c>
      <c r="Q593" s="74">
        <f>(Table1[[#This Row],[Gross Amount]]*(1-(Table1[[#This Row],[Discount %]]/100)))/10000000</f>
        <v>4.6854E-2</v>
      </c>
      <c r="R593" t="s">
        <v>54</v>
      </c>
      <c r="S593" t="str" cm="1">
        <f t="array" ref="S593">IFERROR(_xlfn.IFS(Table1[[#This Row],[Payment Status]]="Partial","In Transit",Table1[[#This Row],[Payment Status]]="Paid","Delivered",Table1[[#This Row],[Payment Status]]="Pending","Pending"),"Invalid Input")</f>
        <v>Delivered</v>
      </c>
      <c r="T593" t="s">
        <v>27</v>
      </c>
      <c r="U593" t="str" cm="1">
        <f t="array" ref="U593">IFERROR(_xlfn.IFS(Table1[[#This Row],[Payment Status]]="Partial","In Transit",Table1[[#This Row],[Payment Status]]="Paid","Completed",Table1[[#This Row],[Payment Status]]="Pending","Pending"),"Invalid Input")</f>
        <v>Completed</v>
      </c>
    </row>
    <row r="594" spans="1:21" x14ac:dyDescent="0.25">
      <c r="A594" s="4" t="s">
        <v>1171</v>
      </c>
      <c r="B594" s="5">
        <v>45601</v>
      </c>
      <c r="C594" t="s">
        <v>41</v>
      </c>
      <c r="D594" t="s">
        <v>3269</v>
      </c>
      <c r="E594" t="s">
        <v>47</v>
      </c>
      <c r="F594" t="s">
        <v>3209</v>
      </c>
      <c r="G594" t="s">
        <v>48</v>
      </c>
      <c r="H594" t="str">
        <f>VLOOKUP(Table1[[#This Row],[City]],Table6[#All],2,FALSE)</f>
        <v>North</v>
      </c>
      <c r="I594" t="s">
        <v>53</v>
      </c>
      <c r="J594" t="str">
        <f>_xlfn.XLOOKUP(Table1[[#This Row],[Tractor Model]],Table7[Product Model],Table7[Product Category],"Not Available",0)</f>
        <v>Farmtrac</v>
      </c>
      <c r="K594" s="4">
        <v>2</v>
      </c>
      <c r="L594" s="72">
        <v>94588</v>
      </c>
      <c r="M594" s="4">
        <f>INDEX('Master Sheet'!$C$4:$C$12,MATCH(Table1[[#This Row],[Quantity]],'Master Sheet'!$B$4:$B$12,0))</f>
        <v>5</v>
      </c>
      <c r="N594" s="71">
        <f>Table1[[#This Row],[Quantity]]*Table1[[#This Row],[Unit Price]]</f>
        <v>189176</v>
      </c>
      <c r="O594" s="73">
        <v>1.89176E-2</v>
      </c>
      <c r="P594" s="70">
        <f>Table1[[#This Row],[Gross Amount]]*(1-(Table1[[#This Row],[Discount %]]/100))</f>
        <v>179717.19999999998</v>
      </c>
      <c r="Q594" s="74">
        <f>(Table1[[#This Row],[Gross Amount]]*(1-(Table1[[#This Row],[Discount %]]/100)))/10000000</f>
        <v>1.7971719999999997E-2</v>
      </c>
      <c r="R594" t="s">
        <v>42</v>
      </c>
      <c r="S594" t="str" cm="1">
        <f t="array" ref="S594">IFERROR(_xlfn.IFS(Table1[[#This Row],[Payment Status]]="Partial","In Transit",Table1[[#This Row],[Payment Status]]="Paid","Delivered",Table1[[#This Row],[Payment Status]]="Pending","Pending"),"Invalid Input")</f>
        <v>Pending</v>
      </c>
      <c r="T594" t="s">
        <v>27</v>
      </c>
      <c r="U594" t="str" cm="1">
        <f t="array" ref="U594">IFERROR(_xlfn.IFS(Table1[[#This Row],[Payment Status]]="Partial","In Transit",Table1[[#This Row],[Payment Status]]="Paid","Completed",Table1[[#This Row],[Payment Status]]="Pending","Pending"),"Invalid Input")</f>
        <v>Pending</v>
      </c>
    </row>
    <row r="595" spans="1:21" x14ac:dyDescent="0.25">
      <c r="A595" s="4" t="s">
        <v>1172</v>
      </c>
      <c r="B595" s="5">
        <v>45723</v>
      </c>
      <c r="C595" t="s">
        <v>33</v>
      </c>
      <c r="D595" t="s">
        <v>3270</v>
      </c>
      <c r="E595" t="s">
        <v>30</v>
      </c>
      <c r="F595" t="s">
        <v>3223</v>
      </c>
      <c r="G595" t="s">
        <v>31</v>
      </c>
      <c r="H595" t="str">
        <f>VLOOKUP(Table1[[#This Row],[City]],Table6[#All],2,FALSE)</f>
        <v>South</v>
      </c>
      <c r="I595" t="s">
        <v>3204</v>
      </c>
      <c r="J595" t="str">
        <f>_xlfn.XLOOKUP(Table1[[#This Row],[Tractor Model]],Table7[Product Model],Table7[Product Category],"Not Available",0)</f>
        <v>Kubota</v>
      </c>
      <c r="K595" s="4">
        <v>7</v>
      </c>
      <c r="L595" s="72">
        <v>437436</v>
      </c>
      <c r="M595" s="4">
        <f>INDEX('Master Sheet'!$C$4:$C$12,MATCH(Table1[[#This Row],[Quantity]],'Master Sheet'!$B$4:$B$12,0))</f>
        <v>9</v>
      </c>
      <c r="N595" s="71">
        <f>Table1[[#This Row],[Quantity]]*Table1[[#This Row],[Unit Price]]</f>
        <v>3062052</v>
      </c>
      <c r="O595" s="73">
        <v>0.30620520000000001</v>
      </c>
      <c r="P595" s="70">
        <f>Table1[[#This Row],[Gross Amount]]*(1-(Table1[[#This Row],[Discount %]]/100))</f>
        <v>2786467.3200000003</v>
      </c>
      <c r="Q595" s="74">
        <f>(Table1[[#This Row],[Gross Amount]]*(1-(Table1[[#This Row],[Discount %]]/100)))/10000000</f>
        <v>0.27864673200000001</v>
      </c>
      <c r="R595" t="s">
        <v>25</v>
      </c>
      <c r="S595" t="str" cm="1">
        <f t="array" ref="S595">IFERROR(_xlfn.IFS(Table1[[#This Row],[Payment Status]]="Partial","In Transit",Table1[[#This Row],[Payment Status]]="Paid","Delivered",Table1[[#This Row],[Payment Status]]="Pending","Pending"),"Invalid Input")</f>
        <v>In Transit</v>
      </c>
      <c r="T595" t="s">
        <v>44</v>
      </c>
      <c r="U595" t="str" cm="1">
        <f t="array" ref="U595">IFERROR(_xlfn.IFS(Table1[[#This Row],[Payment Status]]="Partial","In Transit",Table1[[#This Row],[Payment Status]]="Paid","Completed",Table1[[#This Row],[Payment Status]]="Pending","Pending"),"Invalid Input")</f>
        <v>In Transit</v>
      </c>
    </row>
    <row r="596" spans="1:21" x14ac:dyDescent="0.25">
      <c r="A596" s="4" t="s">
        <v>1174</v>
      </c>
      <c r="B596" s="5">
        <v>45743</v>
      </c>
      <c r="C596" t="s">
        <v>41</v>
      </c>
      <c r="D596" t="s">
        <v>37</v>
      </c>
      <c r="E596" t="s">
        <v>66</v>
      </c>
      <c r="F596" t="s">
        <v>3226</v>
      </c>
      <c r="G596" t="s">
        <v>67</v>
      </c>
      <c r="H596" t="str">
        <f>VLOOKUP(Table1[[#This Row],[City]],Table6[#All],2,FALSE)</f>
        <v>East</v>
      </c>
      <c r="I596" t="s">
        <v>58</v>
      </c>
      <c r="J596" t="str">
        <f>_xlfn.XLOOKUP(Table1[[#This Row],[Tractor Model]],Table7[Product Model],Table7[Product Category],"Not Available",0)</f>
        <v>Powertrac</v>
      </c>
      <c r="K596" s="4">
        <v>2</v>
      </c>
      <c r="L596" s="72">
        <v>525392</v>
      </c>
      <c r="M596" s="4">
        <f>INDEX('Master Sheet'!$C$4:$C$12,MATCH(Table1[[#This Row],[Quantity]],'Master Sheet'!$B$4:$B$12,0))</f>
        <v>5</v>
      </c>
      <c r="N596" s="71">
        <f>Table1[[#This Row],[Quantity]]*Table1[[#This Row],[Unit Price]]</f>
        <v>1050784</v>
      </c>
      <c r="O596" s="73">
        <v>0.1050784</v>
      </c>
      <c r="P596" s="70">
        <f>Table1[[#This Row],[Gross Amount]]*(1-(Table1[[#This Row],[Discount %]]/100))</f>
        <v>998244.79999999993</v>
      </c>
      <c r="Q596" s="74">
        <f>(Table1[[#This Row],[Gross Amount]]*(1-(Table1[[#This Row],[Discount %]]/100)))/10000000</f>
        <v>9.9824479999999993E-2</v>
      </c>
      <c r="R596" t="s">
        <v>25</v>
      </c>
      <c r="S596" t="str" cm="1">
        <f t="array" ref="S596">IFERROR(_xlfn.IFS(Table1[[#This Row],[Payment Status]]="Partial","In Transit",Table1[[#This Row],[Payment Status]]="Paid","Delivered",Table1[[#This Row],[Payment Status]]="Pending","Pending"),"Invalid Input")</f>
        <v>In Transit</v>
      </c>
      <c r="T596" t="s">
        <v>27</v>
      </c>
      <c r="U596" t="str" cm="1">
        <f t="array" ref="U596">IFERROR(_xlfn.IFS(Table1[[#This Row],[Payment Status]]="Partial","In Transit",Table1[[#This Row],[Payment Status]]="Paid","Completed",Table1[[#This Row],[Payment Status]]="Pending","Pending"),"Invalid Input")</f>
        <v>In Transit</v>
      </c>
    </row>
    <row r="597" spans="1:21" x14ac:dyDescent="0.25">
      <c r="A597" s="4" t="s">
        <v>1176</v>
      </c>
      <c r="B597" s="5">
        <v>45526</v>
      </c>
      <c r="C597" t="s">
        <v>41</v>
      </c>
      <c r="D597" t="s">
        <v>3271</v>
      </c>
      <c r="E597" t="s">
        <v>38</v>
      </c>
      <c r="F597" t="s">
        <v>3210</v>
      </c>
      <c r="G597" t="s">
        <v>39</v>
      </c>
      <c r="H597" t="str">
        <f>VLOOKUP(Table1[[#This Row],[City]],Table6[#All],2,FALSE)</f>
        <v>West</v>
      </c>
      <c r="I597" t="s">
        <v>3203</v>
      </c>
      <c r="J597" t="str">
        <f>_xlfn.XLOOKUP(Table1[[#This Row],[Tractor Model]],Table7[Product Model],Table7[Product Category],"Not Available",0)</f>
        <v>Kubota</v>
      </c>
      <c r="K597" s="4">
        <v>6</v>
      </c>
      <c r="L597" s="72">
        <v>485400</v>
      </c>
      <c r="M597" s="4">
        <f>INDEX('Master Sheet'!$C$4:$C$12,MATCH(Table1[[#This Row],[Quantity]],'Master Sheet'!$B$4:$B$12,0))</f>
        <v>8</v>
      </c>
      <c r="N597" s="71">
        <f>Table1[[#This Row],[Quantity]]*Table1[[#This Row],[Unit Price]]</f>
        <v>2912400</v>
      </c>
      <c r="O597" s="73">
        <v>0.29124</v>
      </c>
      <c r="P597" s="70">
        <f>Table1[[#This Row],[Gross Amount]]*(1-(Table1[[#This Row],[Discount %]]/100))</f>
        <v>2679408</v>
      </c>
      <c r="Q597" s="74">
        <f>(Table1[[#This Row],[Gross Amount]]*(1-(Table1[[#This Row],[Discount %]]/100)))/10000000</f>
        <v>0.26794079999999998</v>
      </c>
      <c r="R597" t="s">
        <v>25</v>
      </c>
      <c r="S597" t="str" cm="1">
        <f t="array" ref="S597">IFERROR(_xlfn.IFS(Table1[[#This Row],[Payment Status]]="Partial","In Transit",Table1[[#This Row],[Payment Status]]="Paid","Delivered",Table1[[#This Row],[Payment Status]]="Pending","Pending"),"Invalid Input")</f>
        <v>In Transit</v>
      </c>
      <c r="T597" t="s">
        <v>27</v>
      </c>
      <c r="U597" t="str" cm="1">
        <f t="array" ref="U597">IFERROR(_xlfn.IFS(Table1[[#This Row],[Payment Status]]="Partial","In Transit",Table1[[#This Row],[Payment Status]]="Paid","Completed",Table1[[#This Row],[Payment Status]]="Pending","Pending"),"Invalid Input")</f>
        <v>In Transit</v>
      </c>
    </row>
    <row r="598" spans="1:21" x14ac:dyDescent="0.25">
      <c r="A598" s="4" t="s">
        <v>1178</v>
      </c>
      <c r="B598" s="5">
        <v>45803</v>
      </c>
      <c r="C598" t="s">
        <v>73</v>
      </c>
      <c r="D598" t="s">
        <v>3268</v>
      </c>
      <c r="E598" t="s">
        <v>38</v>
      </c>
      <c r="F598" t="s">
        <v>3219</v>
      </c>
      <c r="G598" t="s">
        <v>39</v>
      </c>
      <c r="H598" t="str">
        <f>VLOOKUP(Table1[[#This Row],[City]],Table6[#All],2,FALSE)</f>
        <v>West</v>
      </c>
      <c r="I598" t="s">
        <v>58</v>
      </c>
      <c r="J598" t="str">
        <f>_xlfn.XLOOKUP(Table1[[#This Row],[Tractor Model]],Table7[Product Model],Table7[Product Category],"Not Available",0)</f>
        <v>Powertrac</v>
      </c>
      <c r="K598" s="4">
        <v>8</v>
      </c>
      <c r="L598" s="72">
        <v>202193</v>
      </c>
      <c r="M598" s="4">
        <f>INDEX('Master Sheet'!$C$4:$C$12,MATCH(Table1[[#This Row],[Quantity]],'Master Sheet'!$B$4:$B$12,0))</f>
        <v>9</v>
      </c>
      <c r="N598" s="71">
        <f>Table1[[#This Row],[Quantity]]*Table1[[#This Row],[Unit Price]]</f>
        <v>1617544</v>
      </c>
      <c r="O598" s="73">
        <v>0.16175439999999999</v>
      </c>
      <c r="P598" s="70">
        <f>Table1[[#This Row],[Gross Amount]]*(1-(Table1[[#This Row],[Discount %]]/100))</f>
        <v>1471965.04</v>
      </c>
      <c r="Q598" s="74">
        <f>(Table1[[#This Row],[Gross Amount]]*(1-(Table1[[#This Row],[Discount %]]/100)))/10000000</f>
        <v>0.14719650400000001</v>
      </c>
      <c r="R598" t="s">
        <v>42</v>
      </c>
      <c r="S598" t="str" cm="1">
        <f t="array" ref="S598">IFERROR(_xlfn.IFS(Table1[[#This Row],[Payment Status]]="Partial","In Transit",Table1[[#This Row],[Payment Status]]="Paid","Delivered",Table1[[#This Row],[Payment Status]]="Pending","Pending"),"Invalid Input")</f>
        <v>Pending</v>
      </c>
      <c r="T598" t="s">
        <v>27</v>
      </c>
      <c r="U598" t="str" cm="1">
        <f t="array" ref="U598">IFERROR(_xlfn.IFS(Table1[[#This Row],[Payment Status]]="Partial","In Transit",Table1[[#This Row],[Payment Status]]="Paid","Completed",Table1[[#This Row],[Payment Status]]="Pending","Pending"),"Invalid Input")</f>
        <v>Pending</v>
      </c>
    </row>
    <row r="599" spans="1:21" x14ac:dyDescent="0.25">
      <c r="A599" s="4" t="s">
        <v>1180</v>
      </c>
      <c r="B599" s="5">
        <v>45679</v>
      </c>
      <c r="C599" t="s">
        <v>33</v>
      </c>
      <c r="D599" t="s">
        <v>3271</v>
      </c>
      <c r="E599" t="s">
        <v>66</v>
      </c>
      <c r="F599" t="s">
        <v>3207</v>
      </c>
      <c r="G599" t="s">
        <v>67</v>
      </c>
      <c r="H599" t="str">
        <f>VLOOKUP(Table1[[#This Row],[City]],Table6[#All],2,FALSE)</f>
        <v>East</v>
      </c>
      <c r="I599" t="s">
        <v>3203</v>
      </c>
      <c r="J599" t="str">
        <f>_xlfn.XLOOKUP(Table1[[#This Row],[Tractor Model]],Table7[Product Model],Table7[Product Category],"Not Available",0)</f>
        <v>Kubota</v>
      </c>
      <c r="K599" s="4">
        <v>7</v>
      </c>
      <c r="L599" s="72">
        <v>72887</v>
      </c>
      <c r="M599" s="4">
        <f>INDEX('Master Sheet'!$C$4:$C$12,MATCH(Table1[[#This Row],[Quantity]],'Master Sheet'!$B$4:$B$12,0))</f>
        <v>9</v>
      </c>
      <c r="N599" s="71">
        <f>Table1[[#This Row],[Quantity]]*Table1[[#This Row],[Unit Price]]</f>
        <v>510209</v>
      </c>
      <c r="O599" s="73">
        <v>5.1020900000000001E-2</v>
      </c>
      <c r="P599" s="70">
        <f>Table1[[#This Row],[Gross Amount]]*(1-(Table1[[#This Row],[Discount %]]/100))</f>
        <v>464290.19</v>
      </c>
      <c r="Q599" s="74">
        <f>(Table1[[#This Row],[Gross Amount]]*(1-(Table1[[#This Row],[Discount %]]/100)))/10000000</f>
        <v>4.6429019000000002E-2</v>
      </c>
      <c r="R599" t="s">
        <v>25</v>
      </c>
      <c r="S599" t="str" cm="1">
        <f t="array" ref="S599">IFERROR(_xlfn.IFS(Table1[[#This Row],[Payment Status]]="Partial","In Transit",Table1[[#This Row],[Payment Status]]="Paid","Delivered",Table1[[#This Row],[Payment Status]]="Pending","Pending"),"Invalid Input")</f>
        <v>In Transit</v>
      </c>
      <c r="T599" t="s">
        <v>27</v>
      </c>
      <c r="U599" t="str" cm="1">
        <f t="array" ref="U599">IFERROR(_xlfn.IFS(Table1[[#This Row],[Payment Status]]="Partial","In Transit",Table1[[#This Row],[Payment Status]]="Paid","Completed",Table1[[#This Row],[Payment Status]]="Pending","Pending"),"Invalid Input")</f>
        <v>In Transit</v>
      </c>
    </row>
    <row r="600" spans="1:21" x14ac:dyDescent="0.25">
      <c r="A600" s="4" t="s">
        <v>1182</v>
      </c>
      <c r="B600" s="5">
        <v>45503</v>
      </c>
      <c r="C600" t="s">
        <v>41</v>
      </c>
      <c r="D600" t="s">
        <v>3268</v>
      </c>
      <c r="E600" t="s">
        <v>66</v>
      </c>
      <c r="F600" t="s">
        <v>3211</v>
      </c>
      <c r="G600" t="s">
        <v>67</v>
      </c>
      <c r="H600" t="str">
        <f>VLOOKUP(Table1[[#This Row],[City]],Table6[#All],2,FALSE)</f>
        <v>East</v>
      </c>
      <c r="I600" t="s">
        <v>58</v>
      </c>
      <c r="J600" t="str">
        <f>_xlfn.XLOOKUP(Table1[[#This Row],[Tractor Model]],Table7[Product Model],Table7[Product Category],"Not Available",0)</f>
        <v>Powertrac</v>
      </c>
      <c r="K600" s="4">
        <v>8</v>
      </c>
      <c r="L600" s="72">
        <v>107569</v>
      </c>
      <c r="M600" s="4">
        <f>INDEX('Master Sheet'!$C$4:$C$12,MATCH(Table1[[#This Row],[Quantity]],'Master Sheet'!$B$4:$B$12,0))</f>
        <v>9</v>
      </c>
      <c r="N600" s="71">
        <f>Table1[[#This Row],[Quantity]]*Table1[[#This Row],[Unit Price]]</f>
        <v>860552</v>
      </c>
      <c r="O600" s="73">
        <v>8.6055199999999998E-2</v>
      </c>
      <c r="P600" s="70">
        <f>Table1[[#This Row],[Gross Amount]]*(1-(Table1[[#This Row],[Discount %]]/100))</f>
        <v>783102.32000000007</v>
      </c>
      <c r="Q600" s="74">
        <f>(Table1[[#This Row],[Gross Amount]]*(1-(Table1[[#This Row],[Discount %]]/100)))/10000000</f>
        <v>7.8310232000000007E-2</v>
      </c>
      <c r="R600" t="s">
        <v>42</v>
      </c>
      <c r="S600" t="str" cm="1">
        <f t="array" ref="S600">IFERROR(_xlfn.IFS(Table1[[#This Row],[Payment Status]]="Partial","In Transit",Table1[[#This Row],[Payment Status]]="Paid","Delivered",Table1[[#This Row],[Payment Status]]="Pending","Pending"),"Invalid Input")</f>
        <v>Pending</v>
      </c>
      <c r="T600" t="s">
        <v>27</v>
      </c>
      <c r="U600" t="str" cm="1">
        <f t="array" ref="U600">IFERROR(_xlfn.IFS(Table1[[#This Row],[Payment Status]]="Partial","In Transit",Table1[[#This Row],[Payment Status]]="Paid","Completed",Table1[[#This Row],[Payment Status]]="Pending","Pending"),"Invalid Input")</f>
        <v>Pending</v>
      </c>
    </row>
    <row r="601" spans="1:21" x14ac:dyDescent="0.25">
      <c r="A601" s="4" t="s">
        <v>1183</v>
      </c>
      <c r="B601" s="5">
        <v>45825</v>
      </c>
      <c r="C601" t="s">
        <v>41</v>
      </c>
      <c r="D601" t="s">
        <v>3268</v>
      </c>
      <c r="E601" t="s">
        <v>30</v>
      </c>
      <c r="F601" t="s">
        <v>3208</v>
      </c>
      <c r="G601" t="s">
        <v>31</v>
      </c>
      <c r="H601" t="str">
        <f>VLOOKUP(Table1[[#This Row],[City]],Table6[#All],2,FALSE)</f>
        <v>South</v>
      </c>
      <c r="I601" t="s">
        <v>3204</v>
      </c>
      <c r="J601" t="str">
        <f>_xlfn.XLOOKUP(Table1[[#This Row],[Tractor Model]],Table7[Product Model],Table7[Product Category],"Not Available",0)</f>
        <v>Kubota</v>
      </c>
      <c r="K601" s="4">
        <v>6</v>
      </c>
      <c r="L601" s="72">
        <v>823664</v>
      </c>
      <c r="M601" s="4">
        <f>INDEX('Master Sheet'!$C$4:$C$12,MATCH(Table1[[#This Row],[Quantity]],'Master Sheet'!$B$4:$B$12,0))</f>
        <v>8</v>
      </c>
      <c r="N601" s="71">
        <f>Table1[[#This Row],[Quantity]]*Table1[[#This Row],[Unit Price]]</f>
        <v>4941984</v>
      </c>
      <c r="O601" s="73">
        <v>0.49419839999999998</v>
      </c>
      <c r="P601" s="70">
        <f>Table1[[#This Row],[Gross Amount]]*(1-(Table1[[#This Row],[Discount %]]/100))</f>
        <v>4546625.28</v>
      </c>
      <c r="Q601" s="74">
        <f>(Table1[[#This Row],[Gross Amount]]*(1-(Table1[[#This Row],[Discount %]]/100)))/10000000</f>
        <v>0.45466252800000001</v>
      </c>
      <c r="R601" t="s">
        <v>42</v>
      </c>
      <c r="S601" t="str" cm="1">
        <f t="array" ref="S601">IFERROR(_xlfn.IFS(Table1[[#This Row],[Payment Status]]="Partial","In Transit",Table1[[#This Row],[Payment Status]]="Paid","Delivered",Table1[[#This Row],[Payment Status]]="Pending","Pending"),"Invalid Input")</f>
        <v>Pending</v>
      </c>
      <c r="T601" t="s">
        <v>44</v>
      </c>
      <c r="U601" t="str" cm="1">
        <f t="array" ref="U601">IFERROR(_xlfn.IFS(Table1[[#This Row],[Payment Status]]="Partial","In Transit",Table1[[#This Row],[Payment Status]]="Paid","Completed",Table1[[#This Row],[Payment Status]]="Pending","Pending"),"Invalid Input")</f>
        <v>Pending</v>
      </c>
    </row>
    <row r="602" spans="1:21" x14ac:dyDescent="0.25">
      <c r="A602" s="4" t="s">
        <v>1185</v>
      </c>
      <c r="B602" s="5">
        <v>45695</v>
      </c>
      <c r="C602" t="s">
        <v>73</v>
      </c>
      <c r="D602" t="s">
        <v>3270</v>
      </c>
      <c r="E602" t="s">
        <v>47</v>
      </c>
      <c r="F602" t="s">
        <v>3205</v>
      </c>
      <c r="G602" t="s">
        <v>48</v>
      </c>
      <c r="H602" t="str">
        <f>VLOOKUP(Table1[[#This Row],[City]],Table6[#All],2,FALSE)</f>
        <v>North</v>
      </c>
      <c r="I602" t="s">
        <v>3204</v>
      </c>
      <c r="J602" t="str">
        <f>_xlfn.XLOOKUP(Table1[[#This Row],[Tractor Model]],Table7[Product Model],Table7[Product Category],"Not Available",0)</f>
        <v>Kubota</v>
      </c>
      <c r="K602" s="4">
        <v>5</v>
      </c>
      <c r="L602" s="72">
        <v>267405</v>
      </c>
      <c r="M602" s="4">
        <f>INDEX('Master Sheet'!$C$4:$C$12,MATCH(Table1[[#This Row],[Quantity]],'Master Sheet'!$B$4:$B$12,0))</f>
        <v>7</v>
      </c>
      <c r="N602" s="71">
        <f>Table1[[#This Row],[Quantity]]*Table1[[#This Row],[Unit Price]]</f>
        <v>1337025</v>
      </c>
      <c r="O602" s="73">
        <v>0.1337025</v>
      </c>
      <c r="P602" s="70">
        <f>Table1[[#This Row],[Gross Amount]]*(1-(Table1[[#This Row],[Discount %]]/100))</f>
        <v>1243433.25</v>
      </c>
      <c r="Q602" s="74">
        <f>(Table1[[#This Row],[Gross Amount]]*(1-(Table1[[#This Row],[Discount %]]/100)))/10000000</f>
        <v>0.124343325</v>
      </c>
      <c r="R602" t="s">
        <v>54</v>
      </c>
      <c r="S602" t="str" cm="1">
        <f t="array" ref="S602">IFERROR(_xlfn.IFS(Table1[[#This Row],[Payment Status]]="Partial","In Transit",Table1[[#This Row],[Payment Status]]="Paid","Delivered",Table1[[#This Row],[Payment Status]]="Pending","Pending"),"Invalid Input")</f>
        <v>Delivered</v>
      </c>
      <c r="T602" t="s">
        <v>27</v>
      </c>
      <c r="U602" t="str" cm="1">
        <f t="array" ref="U602">IFERROR(_xlfn.IFS(Table1[[#This Row],[Payment Status]]="Partial","In Transit",Table1[[#This Row],[Payment Status]]="Paid","Completed",Table1[[#This Row],[Payment Status]]="Pending","Pending"),"Invalid Input")</f>
        <v>Completed</v>
      </c>
    </row>
    <row r="603" spans="1:21" x14ac:dyDescent="0.25">
      <c r="A603" s="4" t="s">
        <v>1187</v>
      </c>
      <c r="B603" s="5">
        <v>45358</v>
      </c>
      <c r="C603" t="s">
        <v>33</v>
      </c>
      <c r="D603" t="s">
        <v>3269</v>
      </c>
      <c r="E603" t="s">
        <v>119</v>
      </c>
      <c r="F603" t="s">
        <v>3229</v>
      </c>
      <c r="G603" t="s">
        <v>21</v>
      </c>
      <c r="H603" t="str">
        <f>VLOOKUP(Table1[[#This Row],[City]],Table6[#All],2,FALSE)</f>
        <v>North</v>
      </c>
      <c r="I603" t="s">
        <v>53</v>
      </c>
      <c r="J603" t="str">
        <f>_xlfn.XLOOKUP(Table1[[#This Row],[Tractor Model]],Table7[Product Model],Table7[Product Category],"Not Available",0)</f>
        <v>Farmtrac</v>
      </c>
      <c r="K603" s="4">
        <v>6</v>
      </c>
      <c r="L603" s="72">
        <v>805869</v>
      </c>
      <c r="M603" s="4">
        <f>INDEX('Master Sheet'!$C$4:$C$12,MATCH(Table1[[#This Row],[Quantity]],'Master Sheet'!$B$4:$B$12,0))</f>
        <v>8</v>
      </c>
      <c r="N603" s="71">
        <f>Table1[[#This Row],[Quantity]]*Table1[[#This Row],[Unit Price]]</f>
        <v>4835214</v>
      </c>
      <c r="O603" s="73">
        <v>0.48352139999999999</v>
      </c>
      <c r="P603" s="70">
        <f>Table1[[#This Row],[Gross Amount]]*(1-(Table1[[#This Row],[Discount %]]/100))</f>
        <v>4448396.88</v>
      </c>
      <c r="Q603" s="74">
        <f>(Table1[[#This Row],[Gross Amount]]*(1-(Table1[[#This Row],[Discount %]]/100)))/10000000</f>
        <v>0.44483968800000001</v>
      </c>
      <c r="R603" t="s">
        <v>42</v>
      </c>
      <c r="S603" t="str" cm="1">
        <f t="array" ref="S603">IFERROR(_xlfn.IFS(Table1[[#This Row],[Payment Status]]="Partial","In Transit",Table1[[#This Row],[Payment Status]]="Paid","Delivered",Table1[[#This Row],[Payment Status]]="Pending","Pending"),"Invalid Input")</f>
        <v>Pending</v>
      </c>
      <c r="T603" t="s">
        <v>27</v>
      </c>
      <c r="U603" t="str" cm="1">
        <f t="array" ref="U603">IFERROR(_xlfn.IFS(Table1[[#This Row],[Payment Status]]="Partial","In Transit",Table1[[#This Row],[Payment Status]]="Paid","Completed",Table1[[#This Row],[Payment Status]]="Pending","Pending"),"Invalid Input")</f>
        <v>Pending</v>
      </c>
    </row>
    <row r="604" spans="1:21" x14ac:dyDescent="0.25">
      <c r="A604" s="4" t="s">
        <v>1189</v>
      </c>
      <c r="B604" s="5">
        <v>45642</v>
      </c>
      <c r="C604" t="s">
        <v>62</v>
      </c>
      <c r="D604" t="s">
        <v>37</v>
      </c>
      <c r="E604" t="s">
        <v>30</v>
      </c>
      <c r="F604" t="s">
        <v>3222</v>
      </c>
      <c r="G604" t="s">
        <v>31</v>
      </c>
      <c r="H604" t="str">
        <f>VLOOKUP(Table1[[#This Row],[City]],Table6[#All],2,FALSE)</f>
        <v>South</v>
      </c>
      <c r="I604" t="s">
        <v>3204</v>
      </c>
      <c r="J604" t="str">
        <f>_xlfn.XLOOKUP(Table1[[#This Row],[Tractor Model]],Table7[Product Model],Table7[Product Category],"Not Available",0)</f>
        <v>Kubota</v>
      </c>
      <c r="K604" s="4">
        <v>3</v>
      </c>
      <c r="L604" s="72">
        <v>434938</v>
      </c>
      <c r="M604" s="4">
        <f>INDEX('Master Sheet'!$C$4:$C$12,MATCH(Table1[[#This Row],[Quantity]],'Master Sheet'!$B$4:$B$12,0))</f>
        <v>6</v>
      </c>
      <c r="N604" s="71">
        <f>Table1[[#This Row],[Quantity]]*Table1[[#This Row],[Unit Price]]</f>
        <v>1304814</v>
      </c>
      <c r="O604" s="73">
        <v>0.1304814</v>
      </c>
      <c r="P604" s="70">
        <f>Table1[[#This Row],[Gross Amount]]*(1-(Table1[[#This Row],[Discount %]]/100))</f>
        <v>1226525.1599999999</v>
      </c>
      <c r="Q604" s="74">
        <f>(Table1[[#This Row],[Gross Amount]]*(1-(Table1[[#This Row],[Discount %]]/100)))/10000000</f>
        <v>0.12265251599999999</v>
      </c>
      <c r="R604" t="s">
        <v>42</v>
      </c>
      <c r="S604" t="str" cm="1">
        <f t="array" ref="S604">IFERROR(_xlfn.IFS(Table1[[#This Row],[Payment Status]]="Partial","In Transit",Table1[[#This Row],[Payment Status]]="Paid","Delivered",Table1[[#This Row],[Payment Status]]="Pending","Pending"),"Invalid Input")</f>
        <v>Pending</v>
      </c>
      <c r="T604" t="s">
        <v>27</v>
      </c>
      <c r="U604" t="str" cm="1">
        <f t="array" ref="U604">IFERROR(_xlfn.IFS(Table1[[#This Row],[Payment Status]]="Partial","In Transit",Table1[[#This Row],[Payment Status]]="Paid","Completed",Table1[[#This Row],[Payment Status]]="Pending","Pending"),"Invalid Input")</f>
        <v>Pending</v>
      </c>
    </row>
    <row r="605" spans="1:21" x14ac:dyDescent="0.25">
      <c r="A605" s="4" t="s">
        <v>1191</v>
      </c>
      <c r="B605" s="5">
        <v>45963</v>
      </c>
      <c r="C605" t="s">
        <v>73</v>
      </c>
      <c r="D605" t="s">
        <v>37</v>
      </c>
      <c r="E605" t="s">
        <v>30</v>
      </c>
      <c r="F605" t="s">
        <v>3222</v>
      </c>
      <c r="G605" t="s">
        <v>31</v>
      </c>
      <c r="H605" t="str">
        <f>VLOOKUP(Table1[[#This Row],[City]],Table6[#All],2,FALSE)</f>
        <v>South</v>
      </c>
      <c r="I605" t="s">
        <v>3204</v>
      </c>
      <c r="J605" t="str">
        <f>_xlfn.XLOOKUP(Table1[[#This Row],[Tractor Model]],Table7[Product Model],Table7[Product Category],"Not Available",0)</f>
        <v>Kubota</v>
      </c>
      <c r="K605" s="4">
        <v>3</v>
      </c>
      <c r="L605" s="72">
        <v>183106</v>
      </c>
      <c r="M605" s="4">
        <f>INDEX('Master Sheet'!$C$4:$C$12,MATCH(Table1[[#This Row],[Quantity]],'Master Sheet'!$B$4:$B$12,0))</f>
        <v>6</v>
      </c>
      <c r="N605" s="71">
        <f>Table1[[#This Row],[Quantity]]*Table1[[#This Row],[Unit Price]]</f>
        <v>549318</v>
      </c>
      <c r="O605" s="73">
        <v>5.4931800000000003E-2</v>
      </c>
      <c r="P605" s="70">
        <f>Table1[[#This Row],[Gross Amount]]*(1-(Table1[[#This Row],[Discount %]]/100))</f>
        <v>516358.92</v>
      </c>
      <c r="Q605" s="74">
        <f>(Table1[[#This Row],[Gross Amount]]*(1-(Table1[[#This Row],[Discount %]]/100)))/10000000</f>
        <v>5.1635891999999996E-2</v>
      </c>
      <c r="R605" t="s">
        <v>54</v>
      </c>
      <c r="S605" t="str" cm="1">
        <f t="array" ref="S605">IFERROR(_xlfn.IFS(Table1[[#This Row],[Payment Status]]="Partial","In Transit",Table1[[#This Row],[Payment Status]]="Paid","Delivered",Table1[[#This Row],[Payment Status]]="Pending","Pending"),"Invalid Input")</f>
        <v>Delivered</v>
      </c>
      <c r="T605" t="s">
        <v>27</v>
      </c>
      <c r="U605" t="str" cm="1">
        <f t="array" ref="U605">IFERROR(_xlfn.IFS(Table1[[#This Row],[Payment Status]]="Partial","In Transit",Table1[[#This Row],[Payment Status]]="Paid","Completed",Table1[[#This Row],[Payment Status]]="Pending","Pending"),"Invalid Input")</f>
        <v>Completed</v>
      </c>
    </row>
    <row r="606" spans="1:21" x14ac:dyDescent="0.25">
      <c r="A606" s="4" t="s">
        <v>1193</v>
      </c>
      <c r="B606" s="5">
        <v>45541</v>
      </c>
      <c r="C606" t="s">
        <v>73</v>
      </c>
      <c r="D606" t="s">
        <v>37</v>
      </c>
      <c r="E606" t="s">
        <v>119</v>
      </c>
      <c r="F606" t="s">
        <v>3224</v>
      </c>
      <c r="G606" t="s">
        <v>21</v>
      </c>
      <c r="H606" t="str">
        <f>VLOOKUP(Table1[[#This Row],[City]],Table6[#All],2,FALSE)</f>
        <v>North</v>
      </c>
      <c r="I606" t="s">
        <v>58</v>
      </c>
      <c r="J606" t="str">
        <f>_xlfn.XLOOKUP(Table1[[#This Row],[Tractor Model]],Table7[Product Model],Table7[Product Category],"Not Available",0)</f>
        <v>Powertrac</v>
      </c>
      <c r="K606" s="4">
        <v>8</v>
      </c>
      <c r="L606" s="72">
        <v>732398</v>
      </c>
      <c r="M606" s="4">
        <f>INDEX('Master Sheet'!$C$4:$C$12,MATCH(Table1[[#This Row],[Quantity]],'Master Sheet'!$B$4:$B$12,0))</f>
        <v>9</v>
      </c>
      <c r="N606" s="71">
        <f>Table1[[#This Row],[Quantity]]*Table1[[#This Row],[Unit Price]]</f>
        <v>5859184</v>
      </c>
      <c r="O606" s="73">
        <v>0.58591839999999995</v>
      </c>
      <c r="P606" s="70">
        <f>Table1[[#This Row],[Gross Amount]]*(1-(Table1[[#This Row],[Discount %]]/100))</f>
        <v>5331857.4400000004</v>
      </c>
      <c r="Q606" s="74">
        <f>(Table1[[#This Row],[Gross Amount]]*(1-(Table1[[#This Row],[Discount %]]/100)))/10000000</f>
        <v>0.53318574400000007</v>
      </c>
      <c r="R606" t="s">
        <v>25</v>
      </c>
      <c r="S606" t="str" cm="1">
        <f t="array" ref="S606">IFERROR(_xlfn.IFS(Table1[[#This Row],[Payment Status]]="Partial","In Transit",Table1[[#This Row],[Payment Status]]="Paid","Delivered",Table1[[#This Row],[Payment Status]]="Pending","Pending"),"Invalid Input")</f>
        <v>In Transit</v>
      </c>
      <c r="T606" t="s">
        <v>27</v>
      </c>
      <c r="U606" t="str" cm="1">
        <f t="array" ref="U606">IFERROR(_xlfn.IFS(Table1[[#This Row],[Payment Status]]="Partial","In Transit",Table1[[#This Row],[Payment Status]]="Paid","Completed",Table1[[#This Row],[Payment Status]]="Pending","Pending"),"Invalid Input")</f>
        <v>In Transit</v>
      </c>
    </row>
    <row r="607" spans="1:21" x14ac:dyDescent="0.25">
      <c r="A607" s="4" t="s">
        <v>1195</v>
      </c>
      <c r="B607" s="5">
        <v>45503</v>
      </c>
      <c r="C607" t="s">
        <v>41</v>
      </c>
      <c r="D607" t="s">
        <v>3271</v>
      </c>
      <c r="E607" t="s">
        <v>30</v>
      </c>
      <c r="F607" t="s">
        <v>3217</v>
      </c>
      <c r="G607" t="s">
        <v>31</v>
      </c>
      <c r="H607" t="str">
        <f>VLOOKUP(Table1[[#This Row],[City]],Table6[#All],2,FALSE)</f>
        <v>South</v>
      </c>
      <c r="I607" t="s">
        <v>3203</v>
      </c>
      <c r="J607" t="str">
        <f>_xlfn.XLOOKUP(Table1[[#This Row],[Tractor Model]],Table7[Product Model],Table7[Product Category],"Not Available",0)</f>
        <v>Kubota</v>
      </c>
      <c r="K607" s="4">
        <v>6</v>
      </c>
      <c r="L607" s="72">
        <v>146762</v>
      </c>
      <c r="M607" s="4">
        <f>INDEX('Master Sheet'!$C$4:$C$12,MATCH(Table1[[#This Row],[Quantity]],'Master Sheet'!$B$4:$B$12,0))</f>
        <v>8</v>
      </c>
      <c r="N607" s="71">
        <f>Table1[[#This Row],[Quantity]]*Table1[[#This Row],[Unit Price]]</f>
        <v>880572</v>
      </c>
      <c r="O607" s="73">
        <v>8.8057200000000002E-2</v>
      </c>
      <c r="P607" s="70">
        <f>Table1[[#This Row],[Gross Amount]]*(1-(Table1[[#This Row],[Discount %]]/100))</f>
        <v>810126.24</v>
      </c>
      <c r="Q607" s="74">
        <f>(Table1[[#This Row],[Gross Amount]]*(1-(Table1[[#This Row],[Discount %]]/100)))/10000000</f>
        <v>8.1012624000000005E-2</v>
      </c>
      <c r="R607" t="s">
        <v>42</v>
      </c>
      <c r="S607" t="str" cm="1">
        <f t="array" ref="S607">IFERROR(_xlfn.IFS(Table1[[#This Row],[Payment Status]]="Partial","In Transit",Table1[[#This Row],[Payment Status]]="Paid","Delivered",Table1[[#This Row],[Payment Status]]="Pending","Pending"),"Invalid Input")</f>
        <v>Pending</v>
      </c>
      <c r="T607" t="s">
        <v>27</v>
      </c>
      <c r="U607" t="str" cm="1">
        <f t="array" ref="U607">IFERROR(_xlfn.IFS(Table1[[#This Row],[Payment Status]]="Partial","In Transit",Table1[[#This Row],[Payment Status]]="Paid","Completed",Table1[[#This Row],[Payment Status]]="Pending","Pending"),"Invalid Input")</f>
        <v>Pending</v>
      </c>
    </row>
    <row r="608" spans="1:21" x14ac:dyDescent="0.25">
      <c r="A608" s="4" t="s">
        <v>1196</v>
      </c>
      <c r="B608" s="5">
        <v>45311</v>
      </c>
      <c r="C608" t="s">
        <v>62</v>
      </c>
      <c r="D608" t="s">
        <v>3270</v>
      </c>
      <c r="E608" t="s">
        <v>38</v>
      </c>
      <c r="F608" t="s">
        <v>3218</v>
      </c>
      <c r="G608" t="s">
        <v>39</v>
      </c>
      <c r="H608" t="str">
        <f>VLOOKUP(Table1[[#This Row],[City]],Table6[#All],2,FALSE)</f>
        <v>West</v>
      </c>
      <c r="I608" t="s">
        <v>58</v>
      </c>
      <c r="J608" t="str">
        <f>_xlfn.XLOOKUP(Table1[[#This Row],[Tractor Model]],Table7[Product Model],Table7[Product Category],"Not Available",0)</f>
        <v>Powertrac</v>
      </c>
      <c r="K608" s="4">
        <v>5</v>
      </c>
      <c r="L608" s="72">
        <v>192200</v>
      </c>
      <c r="M608" s="4">
        <f>INDEX('Master Sheet'!$C$4:$C$12,MATCH(Table1[[#This Row],[Quantity]],'Master Sheet'!$B$4:$B$12,0))</f>
        <v>7</v>
      </c>
      <c r="N608" s="71">
        <f>Table1[[#This Row],[Quantity]]*Table1[[#This Row],[Unit Price]]</f>
        <v>961000</v>
      </c>
      <c r="O608" s="73">
        <v>9.6100000000000005E-2</v>
      </c>
      <c r="P608" s="70">
        <f>Table1[[#This Row],[Gross Amount]]*(1-(Table1[[#This Row],[Discount %]]/100))</f>
        <v>893729.99999999988</v>
      </c>
      <c r="Q608" s="74">
        <f>(Table1[[#This Row],[Gross Amount]]*(1-(Table1[[#This Row],[Discount %]]/100)))/10000000</f>
        <v>8.9372999999999994E-2</v>
      </c>
      <c r="R608" t="s">
        <v>42</v>
      </c>
      <c r="S608" t="str" cm="1">
        <f t="array" ref="S608">IFERROR(_xlfn.IFS(Table1[[#This Row],[Payment Status]]="Partial","In Transit",Table1[[#This Row],[Payment Status]]="Paid","Delivered",Table1[[#This Row],[Payment Status]]="Pending","Pending"),"Invalid Input")</f>
        <v>Pending</v>
      </c>
      <c r="T608" t="s">
        <v>27</v>
      </c>
      <c r="U608" t="str" cm="1">
        <f t="array" ref="U608">IFERROR(_xlfn.IFS(Table1[[#This Row],[Payment Status]]="Partial","In Transit",Table1[[#This Row],[Payment Status]]="Paid","Completed",Table1[[#This Row],[Payment Status]]="Pending","Pending"),"Invalid Input")</f>
        <v>Pending</v>
      </c>
    </row>
    <row r="609" spans="1:21" x14ac:dyDescent="0.25">
      <c r="A609" s="4" t="s">
        <v>1198</v>
      </c>
      <c r="B609" s="5">
        <v>45630</v>
      </c>
      <c r="C609" t="s">
        <v>41</v>
      </c>
      <c r="D609" t="s">
        <v>3271</v>
      </c>
      <c r="E609" t="s">
        <v>66</v>
      </c>
      <c r="F609" t="s">
        <v>3207</v>
      </c>
      <c r="G609" t="s">
        <v>67</v>
      </c>
      <c r="H609" t="str">
        <f>VLOOKUP(Table1[[#This Row],[City]],Table6[#All],2,FALSE)</f>
        <v>East</v>
      </c>
      <c r="I609" t="s">
        <v>53</v>
      </c>
      <c r="J609" t="str">
        <f>_xlfn.XLOOKUP(Table1[[#This Row],[Tractor Model]],Table7[Product Model],Table7[Product Category],"Not Available",0)</f>
        <v>Farmtrac</v>
      </c>
      <c r="K609" s="4">
        <v>4</v>
      </c>
      <c r="L609" s="72">
        <v>163068</v>
      </c>
      <c r="M609" s="4">
        <f>INDEX('Master Sheet'!$C$4:$C$12,MATCH(Table1[[#This Row],[Quantity]],'Master Sheet'!$B$4:$B$12,0))</f>
        <v>6</v>
      </c>
      <c r="N609" s="71">
        <f>Table1[[#This Row],[Quantity]]*Table1[[#This Row],[Unit Price]]</f>
        <v>652272</v>
      </c>
      <c r="O609" s="73">
        <v>6.5227199999999999E-2</v>
      </c>
      <c r="P609" s="70">
        <f>Table1[[#This Row],[Gross Amount]]*(1-(Table1[[#This Row],[Discount %]]/100))</f>
        <v>613135.67999999993</v>
      </c>
      <c r="Q609" s="74">
        <f>(Table1[[#This Row],[Gross Amount]]*(1-(Table1[[#This Row],[Discount %]]/100)))/10000000</f>
        <v>6.1313567999999992E-2</v>
      </c>
      <c r="R609" t="s">
        <v>42</v>
      </c>
      <c r="S609" t="str" cm="1">
        <f t="array" ref="S609">IFERROR(_xlfn.IFS(Table1[[#This Row],[Payment Status]]="Partial","In Transit",Table1[[#This Row],[Payment Status]]="Paid","Delivered",Table1[[#This Row],[Payment Status]]="Pending","Pending"),"Invalid Input")</f>
        <v>Pending</v>
      </c>
      <c r="T609" t="s">
        <v>44</v>
      </c>
      <c r="U609" t="str" cm="1">
        <f t="array" ref="U609">IFERROR(_xlfn.IFS(Table1[[#This Row],[Payment Status]]="Partial","In Transit",Table1[[#This Row],[Payment Status]]="Paid","Completed",Table1[[#This Row],[Payment Status]]="Pending","Pending"),"Invalid Input")</f>
        <v>Pending</v>
      </c>
    </row>
    <row r="610" spans="1:21" x14ac:dyDescent="0.25">
      <c r="A610" s="4" t="s">
        <v>1199</v>
      </c>
      <c r="B610" s="5">
        <v>45447</v>
      </c>
      <c r="C610" t="s">
        <v>73</v>
      </c>
      <c r="D610" t="s">
        <v>3271</v>
      </c>
      <c r="E610" t="s">
        <v>47</v>
      </c>
      <c r="F610" t="s">
        <v>3221</v>
      </c>
      <c r="G610" t="s">
        <v>48</v>
      </c>
      <c r="H610" t="str">
        <f>VLOOKUP(Table1[[#This Row],[City]],Table6[#All],2,FALSE)</f>
        <v>North</v>
      </c>
      <c r="I610" t="s">
        <v>58</v>
      </c>
      <c r="J610" t="str">
        <f>_xlfn.XLOOKUP(Table1[[#This Row],[Tractor Model]],Table7[Product Model],Table7[Product Category],"Not Available",0)</f>
        <v>Powertrac</v>
      </c>
      <c r="K610" s="4">
        <v>2</v>
      </c>
      <c r="L610" s="72">
        <v>307948</v>
      </c>
      <c r="M610" s="4">
        <f>INDEX('Master Sheet'!$C$4:$C$12,MATCH(Table1[[#This Row],[Quantity]],'Master Sheet'!$B$4:$B$12,0))</f>
        <v>5</v>
      </c>
      <c r="N610" s="71">
        <f>Table1[[#This Row],[Quantity]]*Table1[[#This Row],[Unit Price]]</f>
        <v>615896</v>
      </c>
      <c r="O610" s="73">
        <v>6.1589600000000001E-2</v>
      </c>
      <c r="P610" s="70">
        <f>Table1[[#This Row],[Gross Amount]]*(1-(Table1[[#This Row],[Discount %]]/100))</f>
        <v>585101.19999999995</v>
      </c>
      <c r="Q610" s="74">
        <f>(Table1[[#This Row],[Gross Amount]]*(1-(Table1[[#This Row],[Discount %]]/100)))/10000000</f>
        <v>5.8510119999999999E-2</v>
      </c>
      <c r="R610" t="s">
        <v>42</v>
      </c>
      <c r="S610" t="str" cm="1">
        <f t="array" ref="S610">IFERROR(_xlfn.IFS(Table1[[#This Row],[Payment Status]]="Partial","In Transit",Table1[[#This Row],[Payment Status]]="Paid","Delivered",Table1[[#This Row],[Payment Status]]="Pending","Pending"),"Invalid Input")</f>
        <v>Pending</v>
      </c>
      <c r="T610" t="s">
        <v>27</v>
      </c>
      <c r="U610" t="str" cm="1">
        <f t="array" ref="U610">IFERROR(_xlfn.IFS(Table1[[#This Row],[Payment Status]]="Partial","In Transit",Table1[[#This Row],[Payment Status]]="Paid","Completed",Table1[[#This Row],[Payment Status]]="Pending","Pending"),"Invalid Input")</f>
        <v>Pending</v>
      </c>
    </row>
    <row r="611" spans="1:21" x14ac:dyDescent="0.25">
      <c r="A611" s="4" t="s">
        <v>1201</v>
      </c>
      <c r="B611" s="5">
        <v>45406</v>
      </c>
      <c r="C611" t="s">
        <v>33</v>
      </c>
      <c r="D611" t="s">
        <v>3271</v>
      </c>
      <c r="E611" t="s">
        <v>119</v>
      </c>
      <c r="F611" t="s">
        <v>3228</v>
      </c>
      <c r="G611" t="s">
        <v>21</v>
      </c>
      <c r="H611" t="str">
        <f>VLOOKUP(Table1[[#This Row],[City]],Table6[#All],2,FALSE)</f>
        <v>North</v>
      </c>
      <c r="I611" t="s">
        <v>24</v>
      </c>
      <c r="J611" t="str">
        <f>_xlfn.XLOOKUP(Table1[[#This Row],[Tractor Model]],Table7[Product Model],Table7[Product Category],"Not Available",0)</f>
        <v>Farmtrac</v>
      </c>
      <c r="K611" s="4">
        <v>1</v>
      </c>
      <c r="L611" s="72">
        <v>851895</v>
      </c>
      <c r="M611" s="4">
        <f>INDEX('Master Sheet'!$C$4:$C$12,MATCH(Table1[[#This Row],[Quantity]],'Master Sheet'!$B$4:$B$12,0))</f>
        <v>3</v>
      </c>
      <c r="N611" s="71">
        <f>Table1[[#This Row],[Quantity]]*Table1[[#This Row],[Unit Price]]</f>
        <v>851895</v>
      </c>
      <c r="O611" s="73">
        <v>8.5189500000000001E-2</v>
      </c>
      <c r="P611" s="70">
        <f>Table1[[#This Row],[Gross Amount]]*(1-(Table1[[#This Row],[Discount %]]/100))</f>
        <v>826338.15</v>
      </c>
      <c r="Q611" s="74">
        <f>(Table1[[#This Row],[Gross Amount]]*(1-(Table1[[#This Row],[Discount %]]/100)))/10000000</f>
        <v>8.2633814999999999E-2</v>
      </c>
      <c r="R611" t="s">
        <v>54</v>
      </c>
      <c r="S611" t="str" cm="1">
        <f t="array" ref="S611">IFERROR(_xlfn.IFS(Table1[[#This Row],[Payment Status]]="Partial","In Transit",Table1[[#This Row],[Payment Status]]="Paid","Delivered",Table1[[#This Row],[Payment Status]]="Pending","Pending"),"Invalid Input")</f>
        <v>Delivered</v>
      </c>
      <c r="T611" t="s">
        <v>27</v>
      </c>
      <c r="U611" t="str" cm="1">
        <f t="array" ref="U611">IFERROR(_xlfn.IFS(Table1[[#This Row],[Payment Status]]="Partial","In Transit",Table1[[#This Row],[Payment Status]]="Paid","Completed",Table1[[#This Row],[Payment Status]]="Pending","Pending"),"Invalid Input")</f>
        <v>Completed</v>
      </c>
    </row>
    <row r="612" spans="1:21" x14ac:dyDescent="0.25">
      <c r="A612" s="4" t="s">
        <v>1203</v>
      </c>
      <c r="B612" s="5">
        <v>45636</v>
      </c>
      <c r="C612" t="s">
        <v>73</v>
      </c>
      <c r="D612" t="s">
        <v>37</v>
      </c>
      <c r="E612" t="s">
        <v>119</v>
      </c>
      <c r="F612" t="s">
        <v>3224</v>
      </c>
      <c r="G612" t="s">
        <v>21</v>
      </c>
      <c r="H612" t="str">
        <f>VLOOKUP(Table1[[#This Row],[City]],Table6[#All],2,FALSE)</f>
        <v>North</v>
      </c>
      <c r="I612" t="s">
        <v>58</v>
      </c>
      <c r="J612" t="str">
        <f>_xlfn.XLOOKUP(Table1[[#This Row],[Tractor Model]],Table7[Product Model],Table7[Product Category],"Not Available",0)</f>
        <v>Powertrac</v>
      </c>
      <c r="K612" s="4">
        <v>2</v>
      </c>
      <c r="L612" s="72">
        <v>286575</v>
      </c>
      <c r="M612" s="4">
        <f>INDEX('Master Sheet'!$C$4:$C$12,MATCH(Table1[[#This Row],[Quantity]],'Master Sheet'!$B$4:$B$12,0))</f>
        <v>5</v>
      </c>
      <c r="N612" s="71">
        <f>Table1[[#This Row],[Quantity]]*Table1[[#This Row],[Unit Price]]</f>
        <v>573150</v>
      </c>
      <c r="O612" s="73">
        <v>5.7314999999999998E-2</v>
      </c>
      <c r="P612" s="70">
        <f>Table1[[#This Row],[Gross Amount]]*(1-(Table1[[#This Row],[Discount %]]/100))</f>
        <v>544492.5</v>
      </c>
      <c r="Q612" s="74">
        <f>(Table1[[#This Row],[Gross Amount]]*(1-(Table1[[#This Row],[Discount %]]/100)))/10000000</f>
        <v>5.4449249999999998E-2</v>
      </c>
      <c r="R612" t="s">
        <v>54</v>
      </c>
      <c r="S612" t="str" cm="1">
        <f t="array" ref="S612">IFERROR(_xlfn.IFS(Table1[[#This Row],[Payment Status]]="Partial","In Transit",Table1[[#This Row],[Payment Status]]="Paid","Delivered",Table1[[#This Row],[Payment Status]]="Pending","Pending"),"Invalid Input")</f>
        <v>Delivered</v>
      </c>
      <c r="T612" t="s">
        <v>27</v>
      </c>
      <c r="U612" t="str" cm="1">
        <f t="array" ref="U612">IFERROR(_xlfn.IFS(Table1[[#This Row],[Payment Status]]="Partial","In Transit",Table1[[#This Row],[Payment Status]]="Paid","Completed",Table1[[#This Row],[Payment Status]]="Pending","Pending"),"Invalid Input")</f>
        <v>Completed</v>
      </c>
    </row>
    <row r="613" spans="1:21" x14ac:dyDescent="0.25">
      <c r="A613" s="4" t="s">
        <v>1204</v>
      </c>
      <c r="B613" s="5">
        <v>45729</v>
      </c>
      <c r="C613" t="s">
        <v>52</v>
      </c>
      <c r="D613" t="s">
        <v>3270</v>
      </c>
      <c r="E613" t="s">
        <v>119</v>
      </c>
      <c r="F613" t="s">
        <v>3212</v>
      </c>
      <c r="G613" t="s">
        <v>21</v>
      </c>
      <c r="H613" t="str">
        <f>VLOOKUP(Table1[[#This Row],[City]],Table6[#All],2,FALSE)</f>
        <v>North</v>
      </c>
      <c r="I613" t="s">
        <v>58</v>
      </c>
      <c r="J613" t="str">
        <f>_xlfn.XLOOKUP(Table1[[#This Row],[Tractor Model]],Table7[Product Model],Table7[Product Category],"Not Available",0)</f>
        <v>Powertrac</v>
      </c>
      <c r="K613" s="4">
        <v>7</v>
      </c>
      <c r="L613" s="72">
        <v>582468</v>
      </c>
      <c r="M613" s="4">
        <f>INDEX('Master Sheet'!$C$4:$C$12,MATCH(Table1[[#This Row],[Quantity]],'Master Sheet'!$B$4:$B$12,0))</f>
        <v>9</v>
      </c>
      <c r="N613" s="71">
        <f>Table1[[#This Row],[Quantity]]*Table1[[#This Row],[Unit Price]]</f>
        <v>4077276</v>
      </c>
      <c r="O613" s="73">
        <v>0.40772760000000002</v>
      </c>
      <c r="P613" s="70">
        <f>Table1[[#This Row],[Gross Amount]]*(1-(Table1[[#This Row],[Discount %]]/100))</f>
        <v>3710321.16</v>
      </c>
      <c r="Q613" s="74">
        <f>(Table1[[#This Row],[Gross Amount]]*(1-(Table1[[#This Row],[Discount %]]/100)))/10000000</f>
        <v>0.37103211600000002</v>
      </c>
      <c r="R613" t="s">
        <v>42</v>
      </c>
      <c r="S613" t="str" cm="1">
        <f t="array" ref="S613">IFERROR(_xlfn.IFS(Table1[[#This Row],[Payment Status]]="Partial","In Transit",Table1[[#This Row],[Payment Status]]="Paid","Delivered",Table1[[#This Row],[Payment Status]]="Pending","Pending"),"Invalid Input")</f>
        <v>Pending</v>
      </c>
      <c r="T613" t="s">
        <v>27</v>
      </c>
      <c r="U613" t="str" cm="1">
        <f t="array" ref="U613">IFERROR(_xlfn.IFS(Table1[[#This Row],[Payment Status]]="Partial","In Transit",Table1[[#This Row],[Payment Status]]="Paid","Completed",Table1[[#This Row],[Payment Status]]="Pending","Pending"),"Invalid Input")</f>
        <v>Pending</v>
      </c>
    </row>
    <row r="614" spans="1:21" x14ac:dyDescent="0.25">
      <c r="A614" s="4" t="s">
        <v>1206</v>
      </c>
      <c r="B614" s="5">
        <v>45763</v>
      </c>
      <c r="C614" t="s">
        <v>33</v>
      </c>
      <c r="D614" t="s">
        <v>3269</v>
      </c>
      <c r="E614" t="s">
        <v>38</v>
      </c>
      <c r="F614" t="s">
        <v>3206</v>
      </c>
      <c r="G614" t="s">
        <v>39</v>
      </c>
      <c r="H614" t="str">
        <f>VLOOKUP(Table1[[#This Row],[City]],Table6[#All],2,FALSE)</f>
        <v>West</v>
      </c>
      <c r="I614" t="s">
        <v>3204</v>
      </c>
      <c r="J614" t="str">
        <f>_xlfn.XLOOKUP(Table1[[#This Row],[Tractor Model]],Table7[Product Model],Table7[Product Category],"Not Available",0)</f>
        <v>Kubota</v>
      </c>
      <c r="K614" s="4">
        <v>3</v>
      </c>
      <c r="L614" s="72">
        <v>60374</v>
      </c>
      <c r="M614" s="4">
        <f>INDEX('Master Sheet'!$C$4:$C$12,MATCH(Table1[[#This Row],[Quantity]],'Master Sheet'!$B$4:$B$12,0))</f>
        <v>6</v>
      </c>
      <c r="N614" s="71">
        <f>Table1[[#This Row],[Quantity]]*Table1[[#This Row],[Unit Price]]</f>
        <v>181122</v>
      </c>
      <c r="O614" s="73">
        <v>1.8112199999999998E-2</v>
      </c>
      <c r="P614" s="70">
        <f>Table1[[#This Row],[Gross Amount]]*(1-(Table1[[#This Row],[Discount %]]/100))</f>
        <v>170254.68</v>
      </c>
      <c r="Q614" s="74">
        <f>(Table1[[#This Row],[Gross Amount]]*(1-(Table1[[#This Row],[Discount %]]/100)))/10000000</f>
        <v>1.7025467999999998E-2</v>
      </c>
      <c r="R614" t="s">
        <v>42</v>
      </c>
      <c r="S614" t="str" cm="1">
        <f t="array" ref="S614">IFERROR(_xlfn.IFS(Table1[[#This Row],[Payment Status]]="Partial","In Transit",Table1[[#This Row],[Payment Status]]="Paid","Delivered",Table1[[#This Row],[Payment Status]]="Pending","Pending"),"Invalid Input")</f>
        <v>Pending</v>
      </c>
      <c r="T614" t="s">
        <v>27</v>
      </c>
      <c r="U614" t="str" cm="1">
        <f t="array" ref="U614">IFERROR(_xlfn.IFS(Table1[[#This Row],[Payment Status]]="Partial","In Transit",Table1[[#This Row],[Payment Status]]="Paid","Completed",Table1[[#This Row],[Payment Status]]="Pending","Pending"),"Invalid Input")</f>
        <v>Pending</v>
      </c>
    </row>
    <row r="615" spans="1:21" x14ac:dyDescent="0.25">
      <c r="A615" s="4" t="s">
        <v>1207</v>
      </c>
      <c r="B615" s="5">
        <v>45627</v>
      </c>
      <c r="C615" t="s">
        <v>73</v>
      </c>
      <c r="D615" t="s">
        <v>3269</v>
      </c>
      <c r="E615" t="s">
        <v>66</v>
      </c>
      <c r="F615" t="s">
        <v>3213</v>
      </c>
      <c r="G615" t="s">
        <v>67</v>
      </c>
      <c r="H615" t="str">
        <f>VLOOKUP(Table1[[#This Row],[City]],Table6[#All],2,FALSE)</f>
        <v>East</v>
      </c>
      <c r="I615" t="s">
        <v>3203</v>
      </c>
      <c r="J615" t="str">
        <f>_xlfn.XLOOKUP(Table1[[#This Row],[Tractor Model]],Table7[Product Model],Table7[Product Category],"Not Available",0)</f>
        <v>Kubota</v>
      </c>
      <c r="K615" s="4">
        <v>5</v>
      </c>
      <c r="L615" s="72">
        <v>761405</v>
      </c>
      <c r="M615" s="4">
        <f>INDEX('Master Sheet'!$C$4:$C$12,MATCH(Table1[[#This Row],[Quantity]],'Master Sheet'!$B$4:$B$12,0))</f>
        <v>7</v>
      </c>
      <c r="N615" s="71">
        <f>Table1[[#This Row],[Quantity]]*Table1[[#This Row],[Unit Price]]</f>
        <v>3807025</v>
      </c>
      <c r="O615" s="73">
        <v>0.3807025</v>
      </c>
      <c r="P615" s="70">
        <f>Table1[[#This Row],[Gross Amount]]*(1-(Table1[[#This Row],[Discount %]]/100))</f>
        <v>3540533.2499999995</v>
      </c>
      <c r="Q615" s="74">
        <f>(Table1[[#This Row],[Gross Amount]]*(1-(Table1[[#This Row],[Discount %]]/100)))/10000000</f>
        <v>0.35405332499999997</v>
      </c>
      <c r="R615" t="s">
        <v>42</v>
      </c>
      <c r="S615" t="str" cm="1">
        <f t="array" ref="S615">IFERROR(_xlfn.IFS(Table1[[#This Row],[Payment Status]]="Partial","In Transit",Table1[[#This Row],[Payment Status]]="Paid","Delivered",Table1[[#This Row],[Payment Status]]="Pending","Pending"),"Invalid Input")</f>
        <v>Pending</v>
      </c>
      <c r="T615" t="s">
        <v>27</v>
      </c>
      <c r="U615" t="str" cm="1">
        <f t="array" ref="U615">IFERROR(_xlfn.IFS(Table1[[#This Row],[Payment Status]]="Partial","In Transit",Table1[[#This Row],[Payment Status]]="Paid","Completed",Table1[[#This Row],[Payment Status]]="Pending","Pending"),"Invalid Input")</f>
        <v>Pending</v>
      </c>
    </row>
    <row r="616" spans="1:21" x14ac:dyDescent="0.25">
      <c r="A616" s="4" t="s">
        <v>1209</v>
      </c>
      <c r="B616" s="5">
        <v>45652</v>
      </c>
      <c r="C616" t="s">
        <v>62</v>
      </c>
      <c r="D616" t="s">
        <v>3270</v>
      </c>
      <c r="E616" t="s">
        <v>38</v>
      </c>
      <c r="F616" t="s">
        <v>3218</v>
      </c>
      <c r="G616" t="s">
        <v>39</v>
      </c>
      <c r="H616" t="str">
        <f>VLOOKUP(Table1[[#This Row],[City]],Table6[#All],2,FALSE)</f>
        <v>West</v>
      </c>
      <c r="I616" t="s">
        <v>3203</v>
      </c>
      <c r="J616" t="str">
        <f>_xlfn.XLOOKUP(Table1[[#This Row],[Tractor Model]],Table7[Product Model],Table7[Product Category],"Not Available",0)</f>
        <v>Kubota</v>
      </c>
      <c r="K616" s="4">
        <v>8</v>
      </c>
      <c r="L616" s="72">
        <v>422496</v>
      </c>
      <c r="M616" s="4">
        <f>INDEX('Master Sheet'!$C$4:$C$12,MATCH(Table1[[#This Row],[Quantity]],'Master Sheet'!$B$4:$B$12,0))</f>
        <v>9</v>
      </c>
      <c r="N616" s="71">
        <f>Table1[[#This Row],[Quantity]]*Table1[[#This Row],[Unit Price]]</f>
        <v>3379968</v>
      </c>
      <c r="O616" s="73">
        <v>0.33799679999999999</v>
      </c>
      <c r="P616" s="70">
        <f>Table1[[#This Row],[Gross Amount]]*(1-(Table1[[#This Row],[Discount %]]/100))</f>
        <v>3075770.88</v>
      </c>
      <c r="Q616" s="74">
        <f>(Table1[[#This Row],[Gross Amount]]*(1-(Table1[[#This Row],[Discount %]]/100)))/10000000</f>
        <v>0.307577088</v>
      </c>
      <c r="R616" t="s">
        <v>25</v>
      </c>
      <c r="S616" t="str" cm="1">
        <f t="array" ref="S616">IFERROR(_xlfn.IFS(Table1[[#This Row],[Payment Status]]="Partial","In Transit",Table1[[#This Row],[Payment Status]]="Paid","Delivered",Table1[[#This Row],[Payment Status]]="Pending","Pending"),"Invalid Input")</f>
        <v>In Transit</v>
      </c>
      <c r="T616" t="s">
        <v>27</v>
      </c>
      <c r="U616" t="str" cm="1">
        <f t="array" ref="U616">IFERROR(_xlfn.IFS(Table1[[#This Row],[Payment Status]]="Partial","In Transit",Table1[[#This Row],[Payment Status]]="Paid","Completed",Table1[[#This Row],[Payment Status]]="Pending","Pending"),"Invalid Input")</f>
        <v>In Transit</v>
      </c>
    </row>
    <row r="617" spans="1:21" x14ac:dyDescent="0.25">
      <c r="A617" s="4" t="s">
        <v>1210</v>
      </c>
      <c r="B617" s="5">
        <v>45439</v>
      </c>
      <c r="C617" t="s">
        <v>62</v>
      </c>
      <c r="D617" t="s">
        <v>3271</v>
      </c>
      <c r="E617" t="s">
        <v>47</v>
      </c>
      <c r="F617" t="s">
        <v>3221</v>
      </c>
      <c r="G617" t="s">
        <v>48</v>
      </c>
      <c r="H617" t="str">
        <f>VLOOKUP(Table1[[#This Row],[City]],Table6[#All],2,FALSE)</f>
        <v>North</v>
      </c>
      <c r="I617" t="s">
        <v>3203</v>
      </c>
      <c r="J617" t="str">
        <f>_xlfn.XLOOKUP(Table1[[#This Row],[Tractor Model]],Table7[Product Model],Table7[Product Category],"Not Available",0)</f>
        <v>Kubota</v>
      </c>
      <c r="K617" s="4">
        <v>2</v>
      </c>
      <c r="L617" s="72">
        <v>878357</v>
      </c>
      <c r="M617" s="4">
        <f>INDEX('Master Sheet'!$C$4:$C$12,MATCH(Table1[[#This Row],[Quantity]],'Master Sheet'!$B$4:$B$12,0))</f>
        <v>5</v>
      </c>
      <c r="N617" s="71">
        <f>Table1[[#This Row],[Quantity]]*Table1[[#This Row],[Unit Price]]</f>
        <v>1756714</v>
      </c>
      <c r="O617" s="73">
        <v>0.17567140000000001</v>
      </c>
      <c r="P617" s="70">
        <f>Table1[[#This Row],[Gross Amount]]*(1-(Table1[[#This Row],[Discount %]]/100))</f>
        <v>1668878.2999999998</v>
      </c>
      <c r="Q617" s="74">
        <f>(Table1[[#This Row],[Gross Amount]]*(1-(Table1[[#This Row],[Discount %]]/100)))/10000000</f>
        <v>0.16688782999999999</v>
      </c>
      <c r="R617" t="s">
        <v>42</v>
      </c>
      <c r="S617" t="str" cm="1">
        <f t="array" ref="S617">IFERROR(_xlfn.IFS(Table1[[#This Row],[Payment Status]]="Partial","In Transit",Table1[[#This Row],[Payment Status]]="Paid","Delivered",Table1[[#This Row],[Payment Status]]="Pending","Pending"),"Invalid Input")</f>
        <v>Pending</v>
      </c>
      <c r="T617" t="s">
        <v>27</v>
      </c>
      <c r="U617" t="str" cm="1">
        <f t="array" ref="U617">IFERROR(_xlfn.IFS(Table1[[#This Row],[Payment Status]]="Partial","In Transit",Table1[[#This Row],[Payment Status]]="Paid","Completed",Table1[[#This Row],[Payment Status]]="Pending","Pending"),"Invalid Input")</f>
        <v>Pending</v>
      </c>
    </row>
    <row r="618" spans="1:21" x14ac:dyDescent="0.25">
      <c r="A618" s="4" t="s">
        <v>1212</v>
      </c>
      <c r="B618" s="5">
        <v>45665</v>
      </c>
      <c r="C618" t="s">
        <v>52</v>
      </c>
      <c r="D618" t="s">
        <v>3268</v>
      </c>
      <c r="E618" t="s">
        <v>47</v>
      </c>
      <c r="F618" t="s">
        <v>3216</v>
      </c>
      <c r="G618" t="s">
        <v>48</v>
      </c>
      <c r="H618" t="str">
        <f>VLOOKUP(Table1[[#This Row],[City]],Table6[#All],2,FALSE)</f>
        <v>North</v>
      </c>
      <c r="I618" t="s">
        <v>3204</v>
      </c>
      <c r="J618" t="str">
        <f>_xlfn.XLOOKUP(Table1[[#This Row],[Tractor Model]],Table7[Product Model],Table7[Product Category],"Not Available",0)</f>
        <v>Kubota</v>
      </c>
      <c r="K618" s="4">
        <v>2</v>
      </c>
      <c r="L618" s="72">
        <v>109354</v>
      </c>
      <c r="M618" s="4">
        <f>INDEX('Master Sheet'!$C$4:$C$12,MATCH(Table1[[#This Row],[Quantity]],'Master Sheet'!$B$4:$B$12,0))</f>
        <v>5</v>
      </c>
      <c r="N618" s="71">
        <f>Table1[[#This Row],[Quantity]]*Table1[[#This Row],[Unit Price]]</f>
        <v>218708</v>
      </c>
      <c r="O618" s="73">
        <v>2.1870799999999999E-2</v>
      </c>
      <c r="P618" s="70">
        <f>Table1[[#This Row],[Gross Amount]]*(1-(Table1[[#This Row],[Discount %]]/100))</f>
        <v>207772.59999999998</v>
      </c>
      <c r="Q618" s="74">
        <f>(Table1[[#This Row],[Gross Amount]]*(1-(Table1[[#This Row],[Discount %]]/100)))/10000000</f>
        <v>2.0777259999999999E-2</v>
      </c>
      <c r="R618" t="s">
        <v>54</v>
      </c>
      <c r="S618" t="str" cm="1">
        <f t="array" ref="S618">IFERROR(_xlfn.IFS(Table1[[#This Row],[Payment Status]]="Partial","In Transit",Table1[[#This Row],[Payment Status]]="Paid","Delivered",Table1[[#This Row],[Payment Status]]="Pending","Pending"),"Invalid Input")</f>
        <v>Delivered</v>
      </c>
      <c r="T618" t="s">
        <v>27</v>
      </c>
      <c r="U618" t="str" cm="1">
        <f t="array" ref="U618">IFERROR(_xlfn.IFS(Table1[[#This Row],[Payment Status]]="Partial","In Transit",Table1[[#This Row],[Payment Status]]="Paid","Completed",Table1[[#This Row],[Payment Status]]="Pending","Pending"),"Invalid Input")</f>
        <v>Completed</v>
      </c>
    </row>
    <row r="619" spans="1:21" x14ac:dyDescent="0.25">
      <c r="A619" s="4" t="s">
        <v>1214</v>
      </c>
      <c r="B619" s="5">
        <v>45795</v>
      </c>
      <c r="C619" t="s">
        <v>73</v>
      </c>
      <c r="D619" t="s">
        <v>3270</v>
      </c>
      <c r="E619" t="s">
        <v>119</v>
      </c>
      <c r="F619" t="s">
        <v>3212</v>
      </c>
      <c r="G619" t="s">
        <v>21</v>
      </c>
      <c r="H619" t="str">
        <f>VLOOKUP(Table1[[#This Row],[City]],Table6[#All],2,FALSE)</f>
        <v>North</v>
      </c>
      <c r="I619" t="s">
        <v>53</v>
      </c>
      <c r="J619" t="str">
        <f>_xlfn.XLOOKUP(Table1[[#This Row],[Tractor Model]],Table7[Product Model],Table7[Product Category],"Not Available",0)</f>
        <v>Farmtrac</v>
      </c>
      <c r="K619" s="4">
        <v>1</v>
      </c>
      <c r="L619" s="72">
        <v>717146</v>
      </c>
      <c r="M619" s="4">
        <f>INDEX('Master Sheet'!$C$4:$C$12,MATCH(Table1[[#This Row],[Quantity]],'Master Sheet'!$B$4:$B$12,0))</f>
        <v>3</v>
      </c>
      <c r="N619" s="71">
        <f>Table1[[#This Row],[Quantity]]*Table1[[#This Row],[Unit Price]]</f>
        <v>717146</v>
      </c>
      <c r="O619" s="73">
        <v>7.1714600000000003E-2</v>
      </c>
      <c r="P619" s="70">
        <f>Table1[[#This Row],[Gross Amount]]*(1-(Table1[[#This Row],[Discount %]]/100))</f>
        <v>695631.62</v>
      </c>
      <c r="Q619" s="74">
        <f>(Table1[[#This Row],[Gross Amount]]*(1-(Table1[[#This Row],[Discount %]]/100)))/10000000</f>
        <v>6.9563161999999998E-2</v>
      </c>
      <c r="R619" t="s">
        <v>42</v>
      </c>
      <c r="S619" t="str" cm="1">
        <f t="array" ref="S619">IFERROR(_xlfn.IFS(Table1[[#This Row],[Payment Status]]="Partial","In Transit",Table1[[#This Row],[Payment Status]]="Paid","Delivered",Table1[[#This Row],[Payment Status]]="Pending","Pending"),"Invalid Input")</f>
        <v>Pending</v>
      </c>
      <c r="T619" t="s">
        <v>44</v>
      </c>
      <c r="U619" t="str" cm="1">
        <f t="array" ref="U619">IFERROR(_xlfn.IFS(Table1[[#This Row],[Payment Status]]="Partial","In Transit",Table1[[#This Row],[Payment Status]]="Paid","Completed",Table1[[#This Row],[Payment Status]]="Pending","Pending"),"Invalid Input")</f>
        <v>Pending</v>
      </c>
    </row>
    <row r="620" spans="1:21" x14ac:dyDescent="0.25">
      <c r="A620" s="4" t="s">
        <v>1216</v>
      </c>
      <c r="B620" s="5">
        <v>45714</v>
      </c>
      <c r="C620" t="s">
        <v>41</v>
      </c>
      <c r="D620" t="s">
        <v>3268</v>
      </c>
      <c r="E620" t="s">
        <v>47</v>
      </c>
      <c r="F620" t="s">
        <v>3216</v>
      </c>
      <c r="G620" t="s">
        <v>48</v>
      </c>
      <c r="H620" t="str">
        <f>VLOOKUP(Table1[[#This Row],[City]],Table6[#All],2,FALSE)</f>
        <v>North</v>
      </c>
      <c r="I620" t="s">
        <v>3203</v>
      </c>
      <c r="J620" t="str">
        <f>_xlfn.XLOOKUP(Table1[[#This Row],[Tractor Model]],Table7[Product Model],Table7[Product Category],"Not Available",0)</f>
        <v>Kubota</v>
      </c>
      <c r="K620" s="4">
        <v>2</v>
      </c>
      <c r="L620" s="72">
        <v>581904</v>
      </c>
      <c r="M620" s="4">
        <f>INDEX('Master Sheet'!$C$4:$C$12,MATCH(Table1[[#This Row],[Quantity]],'Master Sheet'!$B$4:$B$12,0))</f>
        <v>5</v>
      </c>
      <c r="N620" s="71">
        <f>Table1[[#This Row],[Quantity]]*Table1[[#This Row],[Unit Price]]</f>
        <v>1163808</v>
      </c>
      <c r="O620" s="73">
        <v>0.11638080000000001</v>
      </c>
      <c r="P620" s="70">
        <f>Table1[[#This Row],[Gross Amount]]*(1-(Table1[[#This Row],[Discount %]]/100))</f>
        <v>1105617.5999999999</v>
      </c>
      <c r="Q620" s="74">
        <f>(Table1[[#This Row],[Gross Amount]]*(1-(Table1[[#This Row],[Discount %]]/100)))/10000000</f>
        <v>0.11056175999999998</v>
      </c>
      <c r="R620" t="s">
        <v>25</v>
      </c>
      <c r="S620" t="str" cm="1">
        <f t="array" ref="S620">IFERROR(_xlfn.IFS(Table1[[#This Row],[Payment Status]]="Partial","In Transit",Table1[[#This Row],[Payment Status]]="Paid","Delivered",Table1[[#This Row],[Payment Status]]="Pending","Pending"),"Invalid Input")</f>
        <v>In Transit</v>
      </c>
      <c r="T620" t="s">
        <v>27</v>
      </c>
      <c r="U620" t="str" cm="1">
        <f t="array" ref="U620">IFERROR(_xlfn.IFS(Table1[[#This Row],[Payment Status]]="Partial","In Transit",Table1[[#This Row],[Payment Status]]="Paid","Completed",Table1[[#This Row],[Payment Status]]="Pending","Pending"),"Invalid Input")</f>
        <v>In Transit</v>
      </c>
    </row>
    <row r="621" spans="1:21" x14ac:dyDescent="0.25">
      <c r="A621" s="4" t="s">
        <v>1217</v>
      </c>
      <c r="B621" s="5">
        <v>45704</v>
      </c>
      <c r="C621" t="s">
        <v>62</v>
      </c>
      <c r="D621" t="s">
        <v>3270</v>
      </c>
      <c r="E621" t="s">
        <v>30</v>
      </c>
      <c r="F621" t="s">
        <v>3223</v>
      </c>
      <c r="G621" t="s">
        <v>31</v>
      </c>
      <c r="H621" t="str">
        <f>VLOOKUP(Table1[[#This Row],[City]],Table6[#All],2,FALSE)</f>
        <v>South</v>
      </c>
      <c r="I621" t="s">
        <v>53</v>
      </c>
      <c r="J621" t="str">
        <f>_xlfn.XLOOKUP(Table1[[#This Row],[Tractor Model]],Table7[Product Model],Table7[Product Category],"Not Available",0)</f>
        <v>Farmtrac</v>
      </c>
      <c r="K621" s="4">
        <v>7</v>
      </c>
      <c r="L621" s="72">
        <v>96654</v>
      </c>
      <c r="M621" s="4">
        <f>INDEX('Master Sheet'!$C$4:$C$12,MATCH(Table1[[#This Row],[Quantity]],'Master Sheet'!$B$4:$B$12,0))</f>
        <v>9</v>
      </c>
      <c r="N621" s="71">
        <f>Table1[[#This Row],[Quantity]]*Table1[[#This Row],[Unit Price]]</f>
        <v>676578</v>
      </c>
      <c r="O621" s="73">
        <v>6.7657800000000004E-2</v>
      </c>
      <c r="P621" s="70">
        <f>Table1[[#This Row],[Gross Amount]]*(1-(Table1[[#This Row],[Discount %]]/100))</f>
        <v>615685.98</v>
      </c>
      <c r="Q621" s="74">
        <f>(Table1[[#This Row],[Gross Amount]]*(1-(Table1[[#This Row],[Discount %]]/100)))/10000000</f>
        <v>6.1568597999999995E-2</v>
      </c>
      <c r="R621" t="s">
        <v>54</v>
      </c>
      <c r="S621" t="str" cm="1">
        <f t="array" ref="S621">IFERROR(_xlfn.IFS(Table1[[#This Row],[Payment Status]]="Partial","In Transit",Table1[[#This Row],[Payment Status]]="Paid","Delivered",Table1[[#This Row],[Payment Status]]="Pending","Pending"),"Invalid Input")</f>
        <v>Delivered</v>
      </c>
      <c r="T621" t="s">
        <v>27</v>
      </c>
      <c r="U621" t="str" cm="1">
        <f t="array" ref="U621">IFERROR(_xlfn.IFS(Table1[[#This Row],[Payment Status]]="Partial","In Transit",Table1[[#This Row],[Payment Status]]="Paid","Completed",Table1[[#This Row],[Payment Status]]="Pending","Pending"),"Invalid Input")</f>
        <v>Completed</v>
      </c>
    </row>
    <row r="622" spans="1:21" x14ac:dyDescent="0.25">
      <c r="A622" s="4" t="s">
        <v>1219</v>
      </c>
      <c r="B622" s="5">
        <v>45745</v>
      </c>
      <c r="C622" t="s">
        <v>33</v>
      </c>
      <c r="D622" t="s">
        <v>3269</v>
      </c>
      <c r="E622" t="s">
        <v>119</v>
      </c>
      <c r="F622" t="s">
        <v>3229</v>
      </c>
      <c r="G622" t="s">
        <v>21</v>
      </c>
      <c r="H622" t="str">
        <f>VLOOKUP(Table1[[#This Row],[City]],Table6[#All],2,FALSE)</f>
        <v>North</v>
      </c>
      <c r="I622" t="s">
        <v>53</v>
      </c>
      <c r="J622" t="str">
        <f>_xlfn.XLOOKUP(Table1[[#This Row],[Tractor Model]],Table7[Product Model],Table7[Product Category],"Not Available",0)</f>
        <v>Farmtrac</v>
      </c>
      <c r="K622" s="4">
        <v>7</v>
      </c>
      <c r="L622" s="72">
        <v>354469</v>
      </c>
      <c r="M622" s="4">
        <f>INDEX('Master Sheet'!$C$4:$C$12,MATCH(Table1[[#This Row],[Quantity]],'Master Sheet'!$B$4:$B$12,0))</f>
        <v>9</v>
      </c>
      <c r="N622" s="71">
        <f>Table1[[#This Row],[Quantity]]*Table1[[#This Row],[Unit Price]]</f>
        <v>2481283</v>
      </c>
      <c r="O622" s="73">
        <v>0.2481283</v>
      </c>
      <c r="P622" s="70">
        <f>Table1[[#This Row],[Gross Amount]]*(1-(Table1[[#This Row],[Discount %]]/100))</f>
        <v>2257967.5300000003</v>
      </c>
      <c r="Q622" s="74">
        <f>(Table1[[#This Row],[Gross Amount]]*(1-(Table1[[#This Row],[Discount %]]/100)))/10000000</f>
        <v>0.22579675300000002</v>
      </c>
      <c r="R622" t="s">
        <v>54</v>
      </c>
      <c r="S622" t="str" cm="1">
        <f t="array" ref="S622">IFERROR(_xlfn.IFS(Table1[[#This Row],[Payment Status]]="Partial","In Transit",Table1[[#This Row],[Payment Status]]="Paid","Delivered",Table1[[#This Row],[Payment Status]]="Pending","Pending"),"Invalid Input")</f>
        <v>Delivered</v>
      </c>
      <c r="T622" t="s">
        <v>27</v>
      </c>
      <c r="U622" t="str" cm="1">
        <f t="array" ref="U622">IFERROR(_xlfn.IFS(Table1[[#This Row],[Payment Status]]="Partial","In Transit",Table1[[#This Row],[Payment Status]]="Paid","Completed",Table1[[#This Row],[Payment Status]]="Pending","Pending"),"Invalid Input")</f>
        <v>Completed</v>
      </c>
    </row>
    <row r="623" spans="1:21" x14ac:dyDescent="0.25">
      <c r="A623" s="4" t="s">
        <v>1221</v>
      </c>
      <c r="B623" s="5">
        <v>45375</v>
      </c>
      <c r="C623" t="s">
        <v>73</v>
      </c>
      <c r="D623" t="s">
        <v>3271</v>
      </c>
      <c r="E623" t="s">
        <v>30</v>
      </c>
      <c r="F623" t="s">
        <v>3217</v>
      </c>
      <c r="G623" t="s">
        <v>31</v>
      </c>
      <c r="H623" t="str">
        <f>VLOOKUP(Table1[[#This Row],[City]],Table6[#All],2,FALSE)</f>
        <v>South</v>
      </c>
      <c r="I623" t="s">
        <v>3203</v>
      </c>
      <c r="J623" t="str">
        <f>_xlfn.XLOOKUP(Table1[[#This Row],[Tractor Model]],Table7[Product Model],Table7[Product Category],"Not Available",0)</f>
        <v>Kubota</v>
      </c>
      <c r="K623" s="4">
        <v>6</v>
      </c>
      <c r="L623" s="72">
        <v>576005</v>
      </c>
      <c r="M623" s="4">
        <f>INDEX('Master Sheet'!$C$4:$C$12,MATCH(Table1[[#This Row],[Quantity]],'Master Sheet'!$B$4:$B$12,0))</f>
        <v>8</v>
      </c>
      <c r="N623" s="71">
        <f>Table1[[#This Row],[Quantity]]*Table1[[#This Row],[Unit Price]]</f>
        <v>3456030</v>
      </c>
      <c r="O623" s="73">
        <v>0.34560299999999999</v>
      </c>
      <c r="P623" s="70">
        <f>Table1[[#This Row],[Gross Amount]]*(1-(Table1[[#This Row],[Discount %]]/100))</f>
        <v>3179547.6</v>
      </c>
      <c r="Q623" s="74">
        <f>(Table1[[#This Row],[Gross Amount]]*(1-(Table1[[#This Row],[Discount %]]/100)))/10000000</f>
        <v>0.31795476</v>
      </c>
      <c r="R623" t="s">
        <v>54</v>
      </c>
      <c r="S623" t="str" cm="1">
        <f t="array" ref="S623">IFERROR(_xlfn.IFS(Table1[[#This Row],[Payment Status]]="Partial","In Transit",Table1[[#This Row],[Payment Status]]="Paid","Delivered",Table1[[#This Row],[Payment Status]]="Pending","Pending"),"Invalid Input")</f>
        <v>Delivered</v>
      </c>
      <c r="T623" t="s">
        <v>44</v>
      </c>
      <c r="U623" t="str" cm="1">
        <f t="array" ref="U623">IFERROR(_xlfn.IFS(Table1[[#This Row],[Payment Status]]="Partial","In Transit",Table1[[#This Row],[Payment Status]]="Paid","Completed",Table1[[#This Row],[Payment Status]]="Pending","Pending"),"Invalid Input")</f>
        <v>Completed</v>
      </c>
    </row>
    <row r="624" spans="1:21" x14ac:dyDescent="0.25">
      <c r="A624" s="4" t="s">
        <v>1223</v>
      </c>
      <c r="B624" s="5">
        <v>45454</v>
      </c>
      <c r="C624" t="s">
        <v>73</v>
      </c>
      <c r="D624" t="s">
        <v>3269</v>
      </c>
      <c r="E624" t="s">
        <v>66</v>
      </c>
      <c r="F624" t="s">
        <v>3213</v>
      </c>
      <c r="G624" t="s">
        <v>67</v>
      </c>
      <c r="H624" t="str">
        <f>VLOOKUP(Table1[[#This Row],[City]],Table6[#All],2,FALSE)</f>
        <v>East</v>
      </c>
      <c r="I624" t="s">
        <v>3203</v>
      </c>
      <c r="J624" t="str">
        <f>_xlfn.XLOOKUP(Table1[[#This Row],[Tractor Model]],Table7[Product Model],Table7[Product Category],"Not Available",0)</f>
        <v>Kubota</v>
      </c>
      <c r="K624" s="4">
        <v>7</v>
      </c>
      <c r="L624" s="72">
        <v>289206</v>
      </c>
      <c r="M624" s="4">
        <f>INDEX('Master Sheet'!$C$4:$C$12,MATCH(Table1[[#This Row],[Quantity]],'Master Sheet'!$B$4:$B$12,0))</f>
        <v>9</v>
      </c>
      <c r="N624" s="71">
        <f>Table1[[#This Row],[Quantity]]*Table1[[#This Row],[Unit Price]]</f>
        <v>2024442</v>
      </c>
      <c r="O624" s="73">
        <v>0.20244419999999999</v>
      </c>
      <c r="P624" s="70">
        <f>Table1[[#This Row],[Gross Amount]]*(1-(Table1[[#This Row],[Discount %]]/100))</f>
        <v>1842242.22</v>
      </c>
      <c r="Q624" s="74">
        <f>(Table1[[#This Row],[Gross Amount]]*(1-(Table1[[#This Row],[Discount %]]/100)))/10000000</f>
        <v>0.18422422199999999</v>
      </c>
      <c r="R624" t="s">
        <v>54</v>
      </c>
      <c r="S624" t="str" cm="1">
        <f t="array" ref="S624">IFERROR(_xlfn.IFS(Table1[[#This Row],[Payment Status]]="Partial","In Transit",Table1[[#This Row],[Payment Status]]="Paid","Delivered",Table1[[#This Row],[Payment Status]]="Pending","Pending"),"Invalid Input")</f>
        <v>Delivered</v>
      </c>
      <c r="T624" t="s">
        <v>27</v>
      </c>
      <c r="U624" t="str" cm="1">
        <f t="array" ref="U624">IFERROR(_xlfn.IFS(Table1[[#This Row],[Payment Status]]="Partial","In Transit",Table1[[#This Row],[Payment Status]]="Paid","Completed",Table1[[#This Row],[Payment Status]]="Pending","Pending"),"Invalid Input")</f>
        <v>Completed</v>
      </c>
    </row>
    <row r="625" spans="1:21" x14ac:dyDescent="0.25">
      <c r="A625" s="4" t="s">
        <v>1224</v>
      </c>
      <c r="B625" s="5">
        <v>45653</v>
      </c>
      <c r="C625" t="s">
        <v>52</v>
      </c>
      <c r="D625" t="s">
        <v>37</v>
      </c>
      <c r="E625" t="s">
        <v>47</v>
      </c>
      <c r="F625" t="s">
        <v>3215</v>
      </c>
      <c r="G625" t="s">
        <v>48</v>
      </c>
      <c r="H625" t="str">
        <f>VLOOKUP(Table1[[#This Row],[City]],Table6[#All],2,FALSE)</f>
        <v>North</v>
      </c>
      <c r="I625" t="s">
        <v>53</v>
      </c>
      <c r="J625" t="str">
        <f>_xlfn.XLOOKUP(Table1[[#This Row],[Tractor Model]],Table7[Product Model],Table7[Product Category],"Not Available",0)</f>
        <v>Farmtrac</v>
      </c>
      <c r="K625" s="4">
        <v>5</v>
      </c>
      <c r="L625" s="72">
        <v>657948</v>
      </c>
      <c r="M625" s="4">
        <f>INDEX('Master Sheet'!$C$4:$C$12,MATCH(Table1[[#This Row],[Quantity]],'Master Sheet'!$B$4:$B$12,0))</f>
        <v>7</v>
      </c>
      <c r="N625" s="71">
        <f>Table1[[#This Row],[Quantity]]*Table1[[#This Row],[Unit Price]]</f>
        <v>3289740</v>
      </c>
      <c r="O625" s="73">
        <v>0.32897399999999999</v>
      </c>
      <c r="P625" s="70">
        <f>Table1[[#This Row],[Gross Amount]]*(1-(Table1[[#This Row],[Discount %]]/100))</f>
        <v>3059458.1999999997</v>
      </c>
      <c r="Q625" s="74">
        <f>(Table1[[#This Row],[Gross Amount]]*(1-(Table1[[#This Row],[Discount %]]/100)))/10000000</f>
        <v>0.30594581999999998</v>
      </c>
      <c r="R625" t="s">
        <v>54</v>
      </c>
      <c r="S625" t="str" cm="1">
        <f t="array" ref="S625">IFERROR(_xlfn.IFS(Table1[[#This Row],[Payment Status]]="Partial","In Transit",Table1[[#This Row],[Payment Status]]="Paid","Delivered",Table1[[#This Row],[Payment Status]]="Pending","Pending"),"Invalid Input")</f>
        <v>Delivered</v>
      </c>
      <c r="T625" t="s">
        <v>27</v>
      </c>
      <c r="U625" t="str" cm="1">
        <f t="array" ref="U625">IFERROR(_xlfn.IFS(Table1[[#This Row],[Payment Status]]="Partial","In Transit",Table1[[#This Row],[Payment Status]]="Paid","Completed",Table1[[#This Row],[Payment Status]]="Pending","Pending"),"Invalid Input")</f>
        <v>Completed</v>
      </c>
    </row>
    <row r="626" spans="1:21" x14ac:dyDescent="0.25">
      <c r="A626" s="4" t="s">
        <v>1225</v>
      </c>
      <c r="B626" s="5">
        <v>45362</v>
      </c>
      <c r="C626" t="s">
        <v>52</v>
      </c>
      <c r="D626" t="s">
        <v>3269</v>
      </c>
      <c r="E626" t="s">
        <v>30</v>
      </c>
      <c r="F626" t="s">
        <v>3225</v>
      </c>
      <c r="G626" t="s">
        <v>31</v>
      </c>
      <c r="H626" t="str">
        <f>VLOOKUP(Table1[[#This Row],[City]],Table6[#All],2,FALSE)</f>
        <v>South</v>
      </c>
      <c r="I626" t="s">
        <v>24</v>
      </c>
      <c r="J626" t="str">
        <f>_xlfn.XLOOKUP(Table1[[#This Row],[Tractor Model]],Table7[Product Model],Table7[Product Category],"Not Available",0)</f>
        <v>Farmtrac</v>
      </c>
      <c r="K626" s="4">
        <v>1</v>
      </c>
      <c r="L626" s="72">
        <v>273792</v>
      </c>
      <c r="M626" s="4">
        <f>INDEX('Master Sheet'!$C$4:$C$12,MATCH(Table1[[#This Row],[Quantity]],'Master Sheet'!$B$4:$B$12,0))</f>
        <v>3</v>
      </c>
      <c r="N626" s="71">
        <f>Table1[[#This Row],[Quantity]]*Table1[[#This Row],[Unit Price]]</f>
        <v>273792</v>
      </c>
      <c r="O626" s="73">
        <v>2.7379199999999999E-2</v>
      </c>
      <c r="P626" s="70">
        <f>Table1[[#This Row],[Gross Amount]]*(1-(Table1[[#This Row],[Discount %]]/100))</f>
        <v>265578.23999999999</v>
      </c>
      <c r="Q626" s="74">
        <f>(Table1[[#This Row],[Gross Amount]]*(1-(Table1[[#This Row],[Discount %]]/100)))/10000000</f>
        <v>2.6557824000000001E-2</v>
      </c>
      <c r="R626" t="s">
        <v>54</v>
      </c>
      <c r="S626" t="str" cm="1">
        <f t="array" ref="S626">IFERROR(_xlfn.IFS(Table1[[#This Row],[Payment Status]]="Partial","In Transit",Table1[[#This Row],[Payment Status]]="Paid","Delivered",Table1[[#This Row],[Payment Status]]="Pending","Pending"),"Invalid Input")</f>
        <v>Delivered</v>
      </c>
      <c r="T626" t="s">
        <v>44</v>
      </c>
      <c r="U626" t="str" cm="1">
        <f t="array" ref="U626">IFERROR(_xlfn.IFS(Table1[[#This Row],[Payment Status]]="Partial","In Transit",Table1[[#This Row],[Payment Status]]="Paid","Completed",Table1[[#This Row],[Payment Status]]="Pending","Pending"),"Invalid Input")</f>
        <v>Completed</v>
      </c>
    </row>
    <row r="627" spans="1:21" x14ac:dyDescent="0.25">
      <c r="A627" s="4" t="s">
        <v>1226</v>
      </c>
      <c r="B627" s="5">
        <v>45503</v>
      </c>
      <c r="C627" t="s">
        <v>62</v>
      </c>
      <c r="D627" t="s">
        <v>3271</v>
      </c>
      <c r="E627" t="s">
        <v>119</v>
      </c>
      <c r="F627" t="s">
        <v>3228</v>
      </c>
      <c r="G627" t="s">
        <v>21</v>
      </c>
      <c r="H627" t="str">
        <f>VLOOKUP(Table1[[#This Row],[City]],Table6[#All],2,FALSE)</f>
        <v>North</v>
      </c>
      <c r="I627" t="s">
        <v>3204</v>
      </c>
      <c r="J627" t="str">
        <f>_xlfn.XLOOKUP(Table1[[#This Row],[Tractor Model]],Table7[Product Model],Table7[Product Category],"Not Available",0)</f>
        <v>Kubota</v>
      </c>
      <c r="K627" s="4">
        <v>2</v>
      </c>
      <c r="L627" s="72">
        <v>387531</v>
      </c>
      <c r="M627" s="4">
        <f>INDEX('Master Sheet'!$C$4:$C$12,MATCH(Table1[[#This Row],[Quantity]],'Master Sheet'!$B$4:$B$12,0))</f>
        <v>5</v>
      </c>
      <c r="N627" s="71">
        <f>Table1[[#This Row],[Quantity]]*Table1[[#This Row],[Unit Price]]</f>
        <v>775062</v>
      </c>
      <c r="O627" s="73">
        <v>7.7506199999999997E-2</v>
      </c>
      <c r="P627" s="70">
        <f>Table1[[#This Row],[Gross Amount]]*(1-(Table1[[#This Row],[Discount %]]/100))</f>
        <v>736308.9</v>
      </c>
      <c r="Q627" s="74">
        <f>(Table1[[#This Row],[Gross Amount]]*(1-(Table1[[#This Row],[Discount %]]/100)))/10000000</f>
        <v>7.3630890000000004E-2</v>
      </c>
      <c r="R627" t="s">
        <v>25</v>
      </c>
      <c r="S627" t="str" cm="1">
        <f t="array" ref="S627">IFERROR(_xlfn.IFS(Table1[[#This Row],[Payment Status]]="Partial","In Transit",Table1[[#This Row],[Payment Status]]="Paid","Delivered",Table1[[#This Row],[Payment Status]]="Pending","Pending"),"Invalid Input")</f>
        <v>In Transit</v>
      </c>
      <c r="T627" t="s">
        <v>27</v>
      </c>
      <c r="U627" t="str" cm="1">
        <f t="array" ref="U627">IFERROR(_xlfn.IFS(Table1[[#This Row],[Payment Status]]="Partial","In Transit",Table1[[#This Row],[Payment Status]]="Paid","Completed",Table1[[#This Row],[Payment Status]]="Pending","Pending"),"Invalid Input")</f>
        <v>In Transit</v>
      </c>
    </row>
    <row r="628" spans="1:21" x14ac:dyDescent="0.25">
      <c r="A628" s="4" t="s">
        <v>1227</v>
      </c>
      <c r="B628" s="5">
        <v>45829</v>
      </c>
      <c r="C628" t="s">
        <v>41</v>
      </c>
      <c r="D628" t="s">
        <v>3268</v>
      </c>
      <c r="E628" t="s">
        <v>38</v>
      </c>
      <c r="F628" t="s">
        <v>3219</v>
      </c>
      <c r="G628" t="s">
        <v>39</v>
      </c>
      <c r="H628" t="str">
        <f>VLOOKUP(Table1[[#This Row],[City]],Table6[#All],2,FALSE)</f>
        <v>West</v>
      </c>
      <c r="I628" t="s">
        <v>3203</v>
      </c>
      <c r="J628" t="str">
        <f>_xlfn.XLOOKUP(Table1[[#This Row],[Tractor Model]],Table7[Product Model],Table7[Product Category],"Not Available",0)</f>
        <v>Kubota</v>
      </c>
      <c r="K628" s="4">
        <v>4</v>
      </c>
      <c r="L628" s="72">
        <v>734034</v>
      </c>
      <c r="M628" s="4">
        <f>INDEX('Master Sheet'!$C$4:$C$12,MATCH(Table1[[#This Row],[Quantity]],'Master Sheet'!$B$4:$B$12,0))</f>
        <v>6</v>
      </c>
      <c r="N628" s="71">
        <f>Table1[[#This Row],[Quantity]]*Table1[[#This Row],[Unit Price]]</f>
        <v>2936136</v>
      </c>
      <c r="O628" s="73">
        <v>0.29361359999999997</v>
      </c>
      <c r="P628" s="70">
        <f>Table1[[#This Row],[Gross Amount]]*(1-(Table1[[#This Row],[Discount %]]/100))</f>
        <v>2759967.84</v>
      </c>
      <c r="Q628" s="74">
        <f>(Table1[[#This Row],[Gross Amount]]*(1-(Table1[[#This Row],[Discount %]]/100)))/10000000</f>
        <v>0.275996784</v>
      </c>
      <c r="R628" t="s">
        <v>54</v>
      </c>
      <c r="S628" t="str" cm="1">
        <f t="array" ref="S628">IFERROR(_xlfn.IFS(Table1[[#This Row],[Payment Status]]="Partial","In Transit",Table1[[#This Row],[Payment Status]]="Paid","Delivered",Table1[[#This Row],[Payment Status]]="Pending","Pending"),"Invalid Input")</f>
        <v>Delivered</v>
      </c>
      <c r="T628" t="s">
        <v>27</v>
      </c>
      <c r="U628" t="str" cm="1">
        <f t="array" ref="U628">IFERROR(_xlfn.IFS(Table1[[#This Row],[Payment Status]]="Partial","In Transit",Table1[[#This Row],[Payment Status]]="Paid","Completed",Table1[[#This Row],[Payment Status]]="Pending","Pending"),"Invalid Input")</f>
        <v>Completed</v>
      </c>
    </row>
    <row r="629" spans="1:21" x14ac:dyDescent="0.25">
      <c r="A629" s="4" t="s">
        <v>1229</v>
      </c>
      <c r="B629" s="5">
        <v>45427</v>
      </c>
      <c r="C629" t="s">
        <v>52</v>
      </c>
      <c r="D629" t="s">
        <v>3268</v>
      </c>
      <c r="E629" t="s">
        <v>119</v>
      </c>
      <c r="F629" t="s">
        <v>3227</v>
      </c>
      <c r="G629" t="s">
        <v>21</v>
      </c>
      <c r="H629" t="str">
        <f>VLOOKUP(Table1[[#This Row],[City]],Table6[#All],2,FALSE)</f>
        <v>North</v>
      </c>
      <c r="I629" t="s">
        <v>3204</v>
      </c>
      <c r="J629" t="str">
        <f>_xlfn.XLOOKUP(Table1[[#This Row],[Tractor Model]],Table7[Product Model],Table7[Product Category],"Not Available",0)</f>
        <v>Kubota</v>
      </c>
      <c r="K629" s="4">
        <v>5</v>
      </c>
      <c r="L629" s="72">
        <v>554548</v>
      </c>
      <c r="M629" s="4">
        <f>INDEX('Master Sheet'!$C$4:$C$12,MATCH(Table1[[#This Row],[Quantity]],'Master Sheet'!$B$4:$B$12,0))</f>
        <v>7</v>
      </c>
      <c r="N629" s="71">
        <f>Table1[[#This Row],[Quantity]]*Table1[[#This Row],[Unit Price]]</f>
        <v>2772740</v>
      </c>
      <c r="O629" s="73">
        <v>0.27727400000000002</v>
      </c>
      <c r="P629" s="70">
        <f>Table1[[#This Row],[Gross Amount]]*(1-(Table1[[#This Row],[Discount %]]/100))</f>
        <v>2578648.1999999997</v>
      </c>
      <c r="Q629" s="74">
        <f>(Table1[[#This Row],[Gross Amount]]*(1-(Table1[[#This Row],[Discount %]]/100)))/10000000</f>
        <v>0.25786481999999999</v>
      </c>
      <c r="R629" t="s">
        <v>25</v>
      </c>
      <c r="S629" t="str" cm="1">
        <f t="array" ref="S629">IFERROR(_xlfn.IFS(Table1[[#This Row],[Payment Status]]="Partial","In Transit",Table1[[#This Row],[Payment Status]]="Paid","Delivered",Table1[[#This Row],[Payment Status]]="Pending","Pending"),"Invalid Input")</f>
        <v>In Transit</v>
      </c>
      <c r="T629" t="s">
        <v>27</v>
      </c>
      <c r="U629" t="str" cm="1">
        <f t="array" ref="U629">IFERROR(_xlfn.IFS(Table1[[#This Row],[Payment Status]]="Partial","In Transit",Table1[[#This Row],[Payment Status]]="Paid","Completed",Table1[[#This Row],[Payment Status]]="Pending","Pending"),"Invalid Input")</f>
        <v>In Transit</v>
      </c>
    </row>
    <row r="630" spans="1:21" x14ac:dyDescent="0.25">
      <c r="A630" s="4" t="s">
        <v>1231</v>
      </c>
      <c r="B630" s="5">
        <v>45731</v>
      </c>
      <c r="C630" t="s">
        <v>73</v>
      </c>
      <c r="D630" t="s">
        <v>3271</v>
      </c>
      <c r="E630" t="s">
        <v>66</v>
      </c>
      <c r="F630" t="s">
        <v>3207</v>
      </c>
      <c r="G630" t="s">
        <v>67</v>
      </c>
      <c r="H630" t="str">
        <f>VLOOKUP(Table1[[#This Row],[City]],Table6[#All],2,FALSE)</f>
        <v>East</v>
      </c>
      <c r="I630" t="s">
        <v>53</v>
      </c>
      <c r="J630" t="str">
        <f>_xlfn.XLOOKUP(Table1[[#This Row],[Tractor Model]],Table7[Product Model],Table7[Product Category],"Not Available",0)</f>
        <v>Farmtrac</v>
      </c>
      <c r="K630" s="4">
        <v>0</v>
      </c>
      <c r="L630" s="72">
        <v>623179</v>
      </c>
      <c r="M630" s="4">
        <f>INDEX('Master Sheet'!$C$4:$C$12,MATCH(Table1[[#This Row],[Quantity]],'Master Sheet'!$B$4:$B$12,0))</f>
        <v>0</v>
      </c>
      <c r="N630" s="71">
        <f>Table1[[#This Row],[Quantity]]*Table1[[#This Row],[Unit Price]]</f>
        <v>0</v>
      </c>
      <c r="O630" s="73">
        <v>0</v>
      </c>
      <c r="P630" s="70">
        <f>Table1[[#This Row],[Gross Amount]]*(1-(Table1[[#This Row],[Discount %]]/100))</f>
        <v>0</v>
      </c>
      <c r="Q630" s="74">
        <f>(Table1[[#This Row],[Gross Amount]]*(1-(Table1[[#This Row],[Discount %]]/100)))/10000000</f>
        <v>0</v>
      </c>
      <c r="R630" t="s">
        <v>54</v>
      </c>
      <c r="S630" t="str" cm="1">
        <f t="array" ref="S630">IFERROR(_xlfn.IFS(Table1[[#This Row],[Payment Status]]="Partial","In Transit",Table1[[#This Row],[Payment Status]]="Paid","Delivered",Table1[[#This Row],[Payment Status]]="Pending","Pending"),"Invalid Input")</f>
        <v>Delivered</v>
      </c>
      <c r="T630" t="s">
        <v>27</v>
      </c>
      <c r="U630" t="str" cm="1">
        <f t="array" ref="U630">IFERROR(_xlfn.IFS(Table1[[#This Row],[Payment Status]]="Partial","In Transit",Table1[[#This Row],[Payment Status]]="Paid","Completed",Table1[[#This Row],[Payment Status]]="Pending","Pending"),"Invalid Input")</f>
        <v>Completed</v>
      </c>
    </row>
    <row r="631" spans="1:21" x14ac:dyDescent="0.25">
      <c r="A631" s="4" t="s">
        <v>1233</v>
      </c>
      <c r="B631" s="5">
        <v>45462</v>
      </c>
      <c r="C631" t="s">
        <v>73</v>
      </c>
      <c r="D631" t="s">
        <v>3270</v>
      </c>
      <c r="E631" t="s">
        <v>30</v>
      </c>
      <c r="F631" t="s">
        <v>3223</v>
      </c>
      <c r="G631" t="s">
        <v>31</v>
      </c>
      <c r="H631" t="str">
        <f>VLOOKUP(Table1[[#This Row],[City]],Table6[#All],2,FALSE)</f>
        <v>South</v>
      </c>
      <c r="I631" t="s">
        <v>24</v>
      </c>
      <c r="J631" t="str">
        <f>_xlfn.XLOOKUP(Table1[[#This Row],[Tractor Model]],Table7[Product Model],Table7[Product Category],"Not Available",0)</f>
        <v>Farmtrac</v>
      </c>
      <c r="K631" s="4">
        <v>5</v>
      </c>
      <c r="L631" s="72">
        <v>856212</v>
      </c>
      <c r="M631" s="4">
        <f>INDEX('Master Sheet'!$C$4:$C$12,MATCH(Table1[[#This Row],[Quantity]],'Master Sheet'!$B$4:$B$12,0))</f>
        <v>7</v>
      </c>
      <c r="N631" s="71">
        <f>Table1[[#This Row],[Quantity]]*Table1[[#This Row],[Unit Price]]</f>
        <v>4281060</v>
      </c>
      <c r="O631" s="73">
        <v>0.42810599999999999</v>
      </c>
      <c r="P631" s="70">
        <f>Table1[[#This Row],[Gross Amount]]*(1-(Table1[[#This Row],[Discount %]]/100))</f>
        <v>3981385.8</v>
      </c>
      <c r="Q631" s="74">
        <f>(Table1[[#This Row],[Gross Amount]]*(1-(Table1[[#This Row],[Discount %]]/100)))/10000000</f>
        <v>0.39813857999999996</v>
      </c>
      <c r="R631" t="s">
        <v>54</v>
      </c>
      <c r="S631" t="str" cm="1">
        <f t="array" ref="S631">IFERROR(_xlfn.IFS(Table1[[#This Row],[Payment Status]]="Partial","In Transit",Table1[[#This Row],[Payment Status]]="Paid","Delivered",Table1[[#This Row],[Payment Status]]="Pending","Pending"),"Invalid Input")</f>
        <v>Delivered</v>
      </c>
      <c r="T631" t="s">
        <v>27</v>
      </c>
      <c r="U631" t="str" cm="1">
        <f t="array" ref="U631">IFERROR(_xlfn.IFS(Table1[[#This Row],[Payment Status]]="Partial","In Transit",Table1[[#This Row],[Payment Status]]="Paid","Completed",Table1[[#This Row],[Payment Status]]="Pending","Pending"),"Invalid Input")</f>
        <v>Completed</v>
      </c>
    </row>
    <row r="632" spans="1:21" x14ac:dyDescent="0.25">
      <c r="A632" s="4" t="s">
        <v>1234</v>
      </c>
      <c r="B632" s="5">
        <v>45454</v>
      </c>
      <c r="C632" t="s">
        <v>73</v>
      </c>
      <c r="D632" t="s">
        <v>37</v>
      </c>
      <c r="E632" t="s">
        <v>66</v>
      </c>
      <c r="F632" t="s">
        <v>3226</v>
      </c>
      <c r="G632" t="s">
        <v>67</v>
      </c>
      <c r="H632" t="str">
        <f>VLOOKUP(Table1[[#This Row],[City]],Table6[#All],2,FALSE)</f>
        <v>East</v>
      </c>
      <c r="I632" t="s">
        <v>53</v>
      </c>
      <c r="J632" t="str">
        <f>_xlfn.XLOOKUP(Table1[[#This Row],[Tractor Model]],Table7[Product Model],Table7[Product Category],"Not Available",0)</f>
        <v>Farmtrac</v>
      </c>
      <c r="K632" s="4">
        <v>6</v>
      </c>
      <c r="L632" s="72">
        <v>458279</v>
      </c>
      <c r="M632" s="4">
        <f>INDEX('Master Sheet'!$C$4:$C$12,MATCH(Table1[[#This Row],[Quantity]],'Master Sheet'!$B$4:$B$12,0))</f>
        <v>8</v>
      </c>
      <c r="N632" s="71">
        <f>Table1[[#This Row],[Quantity]]*Table1[[#This Row],[Unit Price]]</f>
        <v>2749674</v>
      </c>
      <c r="O632" s="73">
        <v>0.27496739999999997</v>
      </c>
      <c r="P632" s="70">
        <f>Table1[[#This Row],[Gross Amount]]*(1-(Table1[[#This Row],[Discount %]]/100))</f>
        <v>2529700.08</v>
      </c>
      <c r="Q632" s="74">
        <f>(Table1[[#This Row],[Gross Amount]]*(1-(Table1[[#This Row],[Discount %]]/100)))/10000000</f>
        <v>0.25297000800000002</v>
      </c>
      <c r="R632" t="s">
        <v>54</v>
      </c>
      <c r="S632" t="str" cm="1">
        <f t="array" ref="S632">IFERROR(_xlfn.IFS(Table1[[#This Row],[Payment Status]]="Partial","In Transit",Table1[[#This Row],[Payment Status]]="Paid","Delivered",Table1[[#This Row],[Payment Status]]="Pending","Pending"),"Invalid Input")</f>
        <v>Delivered</v>
      </c>
      <c r="T632" t="s">
        <v>27</v>
      </c>
      <c r="U632" t="str" cm="1">
        <f t="array" ref="U632">IFERROR(_xlfn.IFS(Table1[[#This Row],[Payment Status]]="Partial","In Transit",Table1[[#This Row],[Payment Status]]="Paid","Completed",Table1[[#This Row],[Payment Status]]="Pending","Pending"),"Invalid Input")</f>
        <v>Completed</v>
      </c>
    </row>
    <row r="633" spans="1:21" x14ac:dyDescent="0.25">
      <c r="A633" s="4" t="s">
        <v>1235</v>
      </c>
      <c r="B633" s="5">
        <v>45459</v>
      </c>
      <c r="C633" t="s">
        <v>73</v>
      </c>
      <c r="D633" t="s">
        <v>3269</v>
      </c>
      <c r="E633" t="s">
        <v>30</v>
      </c>
      <c r="F633" t="s">
        <v>3225</v>
      </c>
      <c r="G633" t="s">
        <v>31</v>
      </c>
      <c r="H633" t="str">
        <f>VLOOKUP(Table1[[#This Row],[City]],Table6[#All],2,FALSE)</f>
        <v>South</v>
      </c>
      <c r="I633" t="s">
        <v>3203</v>
      </c>
      <c r="J633" t="str">
        <f>_xlfn.XLOOKUP(Table1[[#This Row],[Tractor Model]],Table7[Product Model],Table7[Product Category],"Not Available",0)</f>
        <v>Kubota</v>
      </c>
      <c r="K633" s="4">
        <v>5</v>
      </c>
      <c r="L633" s="72">
        <v>239600</v>
      </c>
      <c r="M633" s="4">
        <f>INDEX('Master Sheet'!$C$4:$C$12,MATCH(Table1[[#This Row],[Quantity]],'Master Sheet'!$B$4:$B$12,0))</f>
        <v>7</v>
      </c>
      <c r="N633" s="71">
        <f>Table1[[#This Row],[Quantity]]*Table1[[#This Row],[Unit Price]]</f>
        <v>1198000</v>
      </c>
      <c r="O633" s="73">
        <v>0.1198</v>
      </c>
      <c r="P633" s="70">
        <f>Table1[[#This Row],[Gross Amount]]*(1-(Table1[[#This Row],[Discount %]]/100))</f>
        <v>1114140</v>
      </c>
      <c r="Q633" s="74">
        <f>(Table1[[#This Row],[Gross Amount]]*(1-(Table1[[#This Row],[Discount %]]/100)))/10000000</f>
        <v>0.111414</v>
      </c>
      <c r="R633" t="s">
        <v>25</v>
      </c>
      <c r="S633" t="str" cm="1">
        <f t="array" ref="S633">IFERROR(_xlfn.IFS(Table1[[#This Row],[Payment Status]]="Partial","In Transit",Table1[[#This Row],[Payment Status]]="Paid","Delivered",Table1[[#This Row],[Payment Status]]="Pending","Pending"),"Invalid Input")</f>
        <v>In Transit</v>
      </c>
      <c r="T633" t="s">
        <v>44</v>
      </c>
      <c r="U633" t="str" cm="1">
        <f t="array" ref="U633">IFERROR(_xlfn.IFS(Table1[[#This Row],[Payment Status]]="Partial","In Transit",Table1[[#This Row],[Payment Status]]="Paid","Completed",Table1[[#This Row],[Payment Status]]="Pending","Pending"),"Invalid Input")</f>
        <v>In Transit</v>
      </c>
    </row>
    <row r="634" spans="1:21" x14ac:dyDescent="0.25">
      <c r="A634" s="4" t="s">
        <v>1237</v>
      </c>
      <c r="B634" s="5">
        <v>45539</v>
      </c>
      <c r="C634" t="s">
        <v>52</v>
      </c>
      <c r="D634" t="s">
        <v>3271</v>
      </c>
      <c r="E634" t="s">
        <v>66</v>
      </c>
      <c r="F634" t="s">
        <v>3207</v>
      </c>
      <c r="G634" t="s">
        <v>67</v>
      </c>
      <c r="H634" t="str">
        <f>VLOOKUP(Table1[[#This Row],[City]],Table6[#All],2,FALSE)</f>
        <v>East</v>
      </c>
      <c r="I634" t="s">
        <v>24</v>
      </c>
      <c r="J634" t="str">
        <f>_xlfn.XLOOKUP(Table1[[#This Row],[Tractor Model]],Table7[Product Model],Table7[Product Category],"Not Available",0)</f>
        <v>Farmtrac</v>
      </c>
      <c r="K634" s="4">
        <v>2</v>
      </c>
      <c r="L634" s="72">
        <v>612480</v>
      </c>
      <c r="M634" s="4">
        <f>INDEX('Master Sheet'!$C$4:$C$12,MATCH(Table1[[#This Row],[Quantity]],'Master Sheet'!$B$4:$B$12,0))</f>
        <v>5</v>
      </c>
      <c r="N634" s="71">
        <f>Table1[[#This Row],[Quantity]]*Table1[[#This Row],[Unit Price]]</f>
        <v>1224960</v>
      </c>
      <c r="O634" s="73">
        <v>0.12249599999999999</v>
      </c>
      <c r="P634" s="70">
        <f>Table1[[#This Row],[Gross Amount]]*(1-(Table1[[#This Row],[Discount %]]/100))</f>
        <v>1163712</v>
      </c>
      <c r="Q634" s="74">
        <f>(Table1[[#This Row],[Gross Amount]]*(1-(Table1[[#This Row],[Discount %]]/100)))/10000000</f>
        <v>0.11637119999999999</v>
      </c>
      <c r="R634" t="s">
        <v>25</v>
      </c>
      <c r="S634" t="str" cm="1">
        <f t="array" ref="S634">IFERROR(_xlfn.IFS(Table1[[#This Row],[Payment Status]]="Partial","In Transit",Table1[[#This Row],[Payment Status]]="Paid","Delivered",Table1[[#This Row],[Payment Status]]="Pending","Pending"),"Invalid Input")</f>
        <v>In Transit</v>
      </c>
      <c r="T634" t="s">
        <v>27</v>
      </c>
      <c r="U634" t="str" cm="1">
        <f t="array" ref="U634">IFERROR(_xlfn.IFS(Table1[[#This Row],[Payment Status]]="Partial","In Transit",Table1[[#This Row],[Payment Status]]="Paid","Completed",Table1[[#This Row],[Payment Status]]="Pending","Pending"),"Invalid Input")</f>
        <v>In Transit</v>
      </c>
    </row>
    <row r="635" spans="1:21" x14ac:dyDescent="0.25">
      <c r="A635" s="4" t="s">
        <v>1239</v>
      </c>
      <c r="B635" s="5">
        <v>45365</v>
      </c>
      <c r="C635" t="s">
        <v>73</v>
      </c>
      <c r="D635" t="s">
        <v>3270</v>
      </c>
      <c r="E635" t="s">
        <v>30</v>
      </c>
      <c r="F635" t="s">
        <v>3223</v>
      </c>
      <c r="G635" t="s">
        <v>31</v>
      </c>
      <c r="H635" t="str">
        <f>VLOOKUP(Table1[[#This Row],[City]],Table6[#All],2,FALSE)</f>
        <v>South</v>
      </c>
      <c r="I635" t="s">
        <v>3204</v>
      </c>
      <c r="J635" t="str">
        <f>_xlfn.XLOOKUP(Table1[[#This Row],[Tractor Model]],Table7[Product Model],Table7[Product Category],"Not Available",0)</f>
        <v>Kubota</v>
      </c>
      <c r="K635" s="4">
        <v>2</v>
      </c>
      <c r="L635" s="72">
        <v>187509</v>
      </c>
      <c r="M635" s="4">
        <f>INDEX('Master Sheet'!$C$4:$C$12,MATCH(Table1[[#This Row],[Quantity]],'Master Sheet'!$B$4:$B$12,0))</f>
        <v>5</v>
      </c>
      <c r="N635" s="71">
        <f>Table1[[#This Row],[Quantity]]*Table1[[#This Row],[Unit Price]]</f>
        <v>375018</v>
      </c>
      <c r="O635" s="73">
        <v>3.7501800000000002E-2</v>
      </c>
      <c r="P635" s="70">
        <f>Table1[[#This Row],[Gross Amount]]*(1-(Table1[[#This Row],[Discount %]]/100))</f>
        <v>356267.1</v>
      </c>
      <c r="Q635" s="74">
        <f>(Table1[[#This Row],[Gross Amount]]*(1-(Table1[[#This Row],[Discount %]]/100)))/10000000</f>
        <v>3.5626709999999999E-2</v>
      </c>
      <c r="R635" t="s">
        <v>54</v>
      </c>
      <c r="S635" t="str" cm="1">
        <f t="array" ref="S635">IFERROR(_xlfn.IFS(Table1[[#This Row],[Payment Status]]="Partial","In Transit",Table1[[#This Row],[Payment Status]]="Paid","Delivered",Table1[[#This Row],[Payment Status]]="Pending","Pending"),"Invalid Input")</f>
        <v>Delivered</v>
      </c>
      <c r="T635" t="s">
        <v>44</v>
      </c>
      <c r="U635" t="str" cm="1">
        <f t="array" ref="U635">IFERROR(_xlfn.IFS(Table1[[#This Row],[Payment Status]]="Partial","In Transit",Table1[[#This Row],[Payment Status]]="Paid","Completed",Table1[[#This Row],[Payment Status]]="Pending","Pending"),"Invalid Input")</f>
        <v>Completed</v>
      </c>
    </row>
    <row r="636" spans="1:21" x14ac:dyDescent="0.25">
      <c r="A636" s="4" t="s">
        <v>1241</v>
      </c>
      <c r="B636" s="5">
        <v>45633</v>
      </c>
      <c r="C636" t="s">
        <v>41</v>
      </c>
      <c r="D636" t="s">
        <v>3271</v>
      </c>
      <c r="E636" t="s">
        <v>47</v>
      </c>
      <c r="F636" t="s">
        <v>3221</v>
      </c>
      <c r="G636" t="s">
        <v>48</v>
      </c>
      <c r="H636" t="str">
        <f>VLOOKUP(Table1[[#This Row],[City]],Table6[#All],2,FALSE)</f>
        <v>North</v>
      </c>
      <c r="I636" t="s">
        <v>53</v>
      </c>
      <c r="J636" t="str">
        <f>_xlfn.XLOOKUP(Table1[[#This Row],[Tractor Model]],Table7[Product Model],Table7[Product Category],"Not Available",0)</f>
        <v>Farmtrac</v>
      </c>
      <c r="K636" s="4">
        <v>4</v>
      </c>
      <c r="L636" s="72">
        <v>352901</v>
      </c>
      <c r="M636" s="4">
        <f>INDEX('Master Sheet'!$C$4:$C$12,MATCH(Table1[[#This Row],[Quantity]],'Master Sheet'!$B$4:$B$12,0))</f>
        <v>6</v>
      </c>
      <c r="N636" s="71">
        <f>Table1[[#This Row],[Quantity]]*Table1[[#This Row],[Unit Price]]</f>
        <v>1411604</v>
      </c>
      <c r="O636" s="73">
        <v>0.14116039999999999</v>
      </c>
      <c r="P636" s="70">
        <f>Table1[[#This Row],[Gross Amount]]*(1-(Table1[[#This Row],[Discount %]]/100))</f>
        <v>1326907.76</v>
      </c>
      <c r="Q636" s="74">
        <f>(Table1[[#This Row],[Gross Amount]]*(1-(Table1[[#This Row],[Discount %]]/100)))/10000000</f>
        <v>0.13269077600000001</v>
      </c>
      <c r="R636" t="s">
        <v>54</v>
      </c>
      <c r="S636" t="str" cm="1">
        <f t="array" ref="S636">IFERROR(_xlfn.IFS(Table1[[#This Row],[Payment Status]]="Partial","In Transit",Table1[[#This Row],[Payment Status]]="Paid","Delivered",Table1[[#This Row],[Payment Status]]="Pending","Pending"),"Invalid Input")</f>
        <v>Delivered</v>
      </c>
      <c r="T636" t="s">
        <v>27</v>
      </c>
      <c r="U636" t="str" cm="1">
        <f t="array" ref="U636">IFERROR(_xlfn.IFS(Table1[[#This Row],[Payment Status]]="Partial","In Transit",Table1[[#This Row],[Payment Status]]="Paid","Completed",Table1[[#This Row],[Payment Status]]="Pending","Pending"),"Invalid Input")</f>
        <v>Completed</v>
      </c>
    </row>
    <row r="637" spans="1:21" x14ac:dyDescent="0.25">
      <c r="A637" s="4" t="s">
        <v>1243</v>
      </c>
      <c r="B637" s="5">
        <v>45564</v>
      </c>
      <c r="C637" t="s">
        <v>62</v>
      </c>
      <c r="D637" t="s">
        <v>3270</v>
      </c>
      <c r="E637" t="s">
        <v>119</v>
      </c>
      <c r="F637" t="s">
        <v>3212</v>
      </c>
      <c r="G637" t="s">
        <v>21</v>
      </c>
      <c r="H637" t="str">
        <f>VLOOKUP(Table1[[#This Row],[City]],Table6[#All],2,FALSE)</f>
        <v>North</v>
      </c>
      <c r="I637" t="s">
        <v>58</v>
      </c>
      <c r="J637" t="str">
        <f>_xlfn.XLOOKUP(Table1[[#This Row],[Tractor Model]],Table7[Product Model],Table7[Product Category],"Not Available",0)</f>
        <v>Powertrac</v>
      </c>
      <c r="K637" s="4">
        <v>5</v>
      </c>
      <c r="L637" s="72">
        <v>712329</v>
      </c>
      <c r="M637" s="4">
        <f>INDEX('Master Sheet'!$C$4:$C$12,MATCH(Table1[[#This Row],[Quantity]],'Master Sheet'!$B$4:$B$12,0))</f>
        <v>7</v>
      </c>
      <c r="N637" s="71">
        <f>Table1[[#This Row],[Quantity]]*Table1[[#This Row],[Unit Price]]</f>
        <v>3561645</v>
      </c>
      <c r="O637" s="73">
        <v>0.35616449999999999</v>
      </c>
      <c r="P637" s="70">
        <f>Table1[[#This Row],[Gross Amount]]*(1-(Table1[[#This Row],[Discount %]]/100))</f>
        <v>3312329.8499999996</v>
      </c>
      <c r="Q637" s="74">
        <f>(Table1[[#This Row],[Gross Amount]]*(1-(Table1[[#This Row],[Discount %]]/100)))/10000000</f>
        <v>0.33123298499999998</v>
      </c>
      <c r="R637" t="s">
        <v>42</v>
      </c>
      <c r="S637" t="str" cm="1">
        <f t="array" ref="S637">IFERROR(_xlfn.IFS(Table1[[#This Row],[Payment Status]]="Partial","In Transit",Table1[[#This Row],[Payment Status]]="Paid","Delivered",Table1[[#This Row],[Payment Status]]="Pending","Pending"),"Invalid Input")</f>
        <v>Pending</v>
      </c>
      <c r="T637" t="s">
        <v>27</v>
      </c>
      <c r="U637" t="str" cm="1">
        <f t="array" ref="U637">IFERROR(_xlfn.IFS(Table1[[#This Row],[Payment Status]]="Partial","In Transit",Table1[[#This Row],[Payment Status]]="Paid","Completed",Table1[[#This Row],[Payment Status]]="Pending","Pending"),"Invalid Input")</f>
        <v>Pending</v>
      </c>
    </row>
    <row r="638" spans="1:21" x14ac:dyDescent="0.25">
      <c r="A638" s="4" t="s">
        <v>1245</v>
      </c>
      <c r="B638" s="5">
        <v>45613</v>
      </c>
      <c r="C638" t="s">
        <v>52</v>
      </c>
      <c r="D638" t="s">
        <v>3269</v>
      </c>
      <c r="E638" t="s">
        <v>66</v>
      </c>
      <c r="F638" t="s">
        <v>3213</v>
      </c>
      <c r="G638" t="s">
        <v>67</v>
      </c>
      <c r="H638" t="str">
        <f>VLOOKUP(Table1[[#This Row],[City]],Table6[#All],2,FALSE)</f>
        <v>East</v>
      </c>
      <c r="I638" t="s">
        <v>3204</v>
      </c>
      <c r="J638" t="str">
        <f>_xlfn.XLOOKUP(Table1[[#This Row],[Tractor Model]],Table7[Product Model],Table7[Product Category],"Not Available",0)</f>
        <v>Kubota</v>
      </c>
      <c r="K638" s="4">
        <v>8</v>
      </c>
      <c r="L638" s="72">
        <v>428946</v>
      </c>
      <c r="M638" s="4">
        <f>INDEX('Master Sheet'!$C$4:$C$12,MATCH(Table1[[#This Row],[Quantity]],'Master Sheet'!$B$4:$B$12,0))</f>
        <v>9</v>
      </c>
      <c r="N638" s="71">
        <f>Table1[[#This Row],[Quantity]]*Table1[[#This Row],[Unit Price]]</f>
        <v>3431568</v>
      </c>
      <c r="O638" s="73">
        <v>0.34315679999999998</v>
      </c>
      <c r="P638" s="70">
        <f>Table1[[#This Row],[Gross Amount]]*(1-(Table1[[#This Row],[Discount %]]/100))</f>
        <v>3122726.88</v>
      </c>
      <c r="Q638" s="74">
        <f>(Table1[[#This Row],[Gross Amount]]*(1-(Table1[[#This Row],[Discount %]]/100)))/10000000</f>
        <v>0.31227268799999996</v>
      </c>
      <c r="R638" t="s">
        <v>25</v>
      </c>
      <c r="S638" t="str" cm="1">
        <f t="array" ref="S638">IFERROR(_xlfn.IFS(Table1[[#This Row],[Payment Status]]="Partial","In Transit",Table1[[#This Row],[Payment Status]]="Paid","Delivered",Table1[[#This Row],[Payment Status]]="Pending","Pending"),"Invalid Input")</f>
        <v>In Transit</v>
      </c>
      <c r="T638" t="s">
        <v>44</v>
      </c>
      <c r="U638" t="str" cm="1">
        <f t="array" ref="U638">IFERROR(_xlfn.IFS(Table1[[#This Row],[Payment Status]]="Partial","In Transit",Table1[[#This Row],[Payment Status]]="Paid","Completed",Table1[[#This Row],[Payment Status]]="Pending","Pending"),"Invalid Input")</f>
        <v>In Transit</v>
      </c>
    </row>
    <row r="639" spans="1:21" x14ac:dyDescent="0.25">
      <c r="A639" s="4" t="s">
        <v>1247</v>
      </c>
      <c r="B639" s="5">
        <v>45327</v>
      </c>
      <c r="C639" t="s">
        <v>73</v>
      </c>
      <c r="D639" t="s">
        <v>37</v>
      </c>
      <c r="E639" t="s">
        <v>66</v>
      </c>
      <c r="F639" t="s">
        <v>3226</v>
      </c>
      <c r="G639" t="s">
        <v>67</v>
      </c>
      <c r="H639" t="str">
        <f>VLOOKUP(Table1[[#This Row],[City]],Table6[#All],2,FALSE)</f>
        <v>East</v>
      </c>
      <c r="I639" t="s">
        <v>24</v>
      </c>
      <c r="J639" t="str">
        <f>_xlfn.XLOOKUP(Table1[[#This Row],[Tractor Model]],Table7[Product Model],Table7[Product Category],"Not Available",0)</f>
        <v>Farmtrac</v>
      </c>
      <c r="K639" s="4">
        <v>3</v>
      </c>
      <c r="L639" s="72">
        <v>410280</v>
      </c>
      <c r="M639" s="4">
        <f>INDEX('Master Sheet'!$C$4:$C$12,MATCH(Table1[[#This Row],[Quantity]],'Master Sheet'!$B$4:$B$12,0))</f>
        <v>6</v>
      </c>
      <c r="N639" s="71">
        <f>Table1[[#This Row],[Quantity]]*Table1[[#This Row],[Unit Price]]</f>
        <v>1230840</v>
      </c>
      <c r="O639" s="73">
        <v>0.123084</v>
      </c>
      <c r="P639" s="70">
        <f>Table1[[#This Row],[Gross Amount]]*(1-(Table1[[#This Row],[Discount %]]/100))</f>
        <v>1156989.5999999999</v>
      </c>
      <c r="Q639" s="74">
        <f>(Table1[[#This Row],[Gross Amount]]*(1-(Table1[[#This Row],[Discount %]]/100)))/10000000</f>
        <v>0.11569895999999999</v>
      </c>
      <c r="R639" t="s">
        <v>54</v>
      </c>
      <c r="S639" t="str" cm="1">
        <f t="array" ref="S639">IFERROR(_xlfn.IFS(Table1[[#This Row],[Payment Status]]="Partial","In Transit",Table1[[#This Row],[Payment Status]]="Paid","Delivered",Table1[[#This Row],[Payment Status]]="Pending","Pending"),"Invalid Input")</f>
        <v>Delivered</v>
      </c>
      <c r="T639" t="s">
        <v>27</v>
      </c>
      <c r="U639" t="str" cm="1">
        <f t="array" ref="U639">IFERROR(_xlfn.IFS(Table1[[#This Row],[Payment Status]]="Partial","In Transit",Table1[[#This Row],[Payment Status]]="Paid","Completed",Table1[[#This Row],[Payment Status]]="Pending","Pending"),"Invalid Input")</f>
        <v>Completed</v>
      </c>
    </row>
    <row r="640" spans="1:21" x14ac:dyDescent="0.25">
      <c r="A640" s="4" t="s">
        <v>1249</v>
      </c>
      <c r="B640" s="5">
        <v>45780</v>
      </c>
      <c r="C640" t="s">
        <v>52</v>
      </c>
      <c r="D640" t="s">
        <v>3270</v>
      </c>
      <c r="E640" t="s">
        <v>38</v>
      </c>
      <c r="F640" t="s">
        <v>3218</v>
      </c>
      <c r="G640" t="s">
        <v>39</v>
      </c>
      <c r="H640" t="str">
        <f>VLOOKUP(Table1[[#This Row],[City]],Table6[#All],2,FALSE)</f>
        <v>West</v>
      </c>
      <c r="I640" t="s">
        <v>3204</v>
      </c>
      <c r="J640" t="str">
        <f>_xlfn.XLOOKUP(Table1[[#This Row],[Tractor Model]],Table7[Product Model],Table7[Product Category],"Not Available",0)</f>
        <v>Kubota</v>
      </c>
      <c r="K640" s="4">
        <v>3</v>
      </c>
      <c r="L640" s="72">
        <v>459493</v>
      </c>
      <c r="M640" s="4">
        <f>INDEX('Master Sheet'!$C$4:$C$12,MATCH(Table1[[#This Row],[Quantity]],'Master Sheet'!$B$4:$B$12,0))</f>
        <v>6</v>
      </c>
      <c r="N640" s="71">
        <f>Table1[[#This Row],[Quantity]]*Table1[[#This Row],[Unit Price]]</f>
        <v>1378479</v>
      </c>
      <c r="O640" s="73">
        <v>0.1378479</v>
      </c>
      <c r="P640" s="70">
        <f>Table1[[#This Row],[Gross Amount]]*(1-(Table1[[#This Row],[Discount %]]/100))</f>
        <v>1295770.26</v>
      </c>
      <c r="Q640" s="74">
        <f>(Table1[[#This Row],[Gross Amount]]*(1-(Table1[[#This Row],[Discount %]]/100)))/10000000</f>
        <v>0.12957702600000001</v>
      </c>
      <c r="R640" t="s">
        <v>54</v>
      </c>
      <c r="S640" t="str" cm="1">
        <f t="array" ref="S640">IFERROR(_xlfn.IFS(Table1[[#This Row],[Payment Status]]="Partial","In Transit",Table1[[#This Row],[Payment Status]]="Paid","Delivered",Table1[[#This Row],[Payment Status]]="Pending","Pending"),"Invalid Input")</f>
        <v>Delivered</v>
      </c>
      <c r="T640" t="s">
        <v>44</v>
      </c>
      <c r="U640" t="str" cm="1">
        <f t="array" ref="U640">IFERROR(_xlfn.IFS(Table1[[#This Row],[Payment Status]]="Partial","In Transit",Table1[[#This Row],[Payment Status]]="Paid","Completed",Table1[[#This Row],[Payment Status]]="Pending","Pending"),"Invalid Input")</f>
        <v>Completed</v>
      </c>
    </row>
    <row r="641" spans="1:21" x14ac:dyDescent="0.25">
      <c r="A641" s="4" t="s">
        <v>1251</v>
      </c>
      <c r="B641" s="5">
        <v>45712</v>
      </c>
      <c r="C641" t="s">
        <v>52</v>
      </c>
      <c r="D641" t="s">
        <v>37</v>
      </c>
      <c r="E641" t="s">
        <v>47</v>
      </c>
      <c r="F641" t="s">
        <v>3215</v>
      </c>
      <c r="G641" t="s">
        <v>48</v>
      </c>
      <c r="H641" t="str">
        <f>VLOOKUP(Table1[[#This Row],[City]],Table6[#All],2,FALSE)</f>
        <v>North</v>
      </c>
      <c r="I641" t="s">
        <v>3204</v>
      </c>
      <c r="J641" t="str">
        <f>_xlfn.XLOOKUP(Table1[[#This Row],[Tractor Model]],Table7[Product Model],Table7[Product Category],"Not Available",0)</f>
        <v>Kubota</v>
      </c>
      <c r="K641" s="4">
        <v>5</v>
      </c>
      <c r="L641" s="72">
        <v>140263</v>
      </c>
      <c r="M641" s="4">
        <f>INDEX('Master Sheet'!$C$4:$C$12,MATCH(Table1[[#This Row],[Quantity]],'Master Sheet'!$B$4:$B$12,0))</f>
        <v>7</v>
      </c>
      <c r="N641" s="71">
        <f>Table1[[#This Row],[Quantity]]*Table1[[#This Row],[Unit Price]]</f>
        <v>701315</v>
      </c>
      <c r="O641" s="73">
        <v>7.0131499999999999E-2</v>
      </c>
      <c r="P641" s="70">
        <f>Table1[[#This Row],[Gross Amount]]*(1-(Table1[[#This Row],[Discount %]]/100))</f>
        <v>652222.94999999995</v>
      </c>
      <c r="Q641" s="74">
        <f>(Table1[[#This Row],[Gross Amount]]*(1-(Table1[[#This Row],[Discount %]]/100)))/10000000</f>
        <v>6.5222295E-2</v>
      </c>
      <c r="R641" t="s">
        <v>25</v>
      </c>
      <c r="S641" t="str" cm="1">
        <f t="array" ref="S641">IFERROR(_xlfn.IFS(Table1[[#This Row],[Payment Status]]="Partial","In Transit",Table1[[#This Row],[Payment Status]]="Paid","Delivered",Table1[[#This Row],[Payment Status]]="Pending","Pending"),"Invalid Input")</f>
        <v>In Transit</v>
      </c>
      <c r="T641" t="s">
        <v>44</v>
      </c>
      <c r="U641" t="str" cm="1">
        <f t="array" ref="U641">IFERROR(_xlfn.IFS(Table1[[#This Row],[Payment Status]]="Partial","In Transit",Table1[[#This Row],[Payment Status]]="Paid","Completed",Table1[[#This Row],[Payment Status]]="Pending","Pending"),"Invalid Input")</f>
        <v>In Transit</v>
      </c>
    </row>
    <row r="642" spans="1:21" x14ac:dyDescent="0.25">
      <c r="A642" s="4" t="s">
        <v>1253</v>
      </c>
      <c r="B642" s="5">
        <v>45643</v>
      </c>
      <c r="C642" t="s">
        <v>33</v>
      </c>
      <c r="D642" t="s">
        <v>37</v>
      </c>
      <c r="E642" t="s">
        <v>119</v>
      </c>
      <c r="F642" t="s">
        <v>3224</v>
      </c>
      <c r="G642" t="s">
        <v>21</v>
      </c>
      <c r="H642" t="str">
        <f>VLOOKUP(Table1[[#This Row],[City]],Table6[#All],2,FALSE)</f>
        <v>North</v>
      </c>
      <c r="I642" t="s">
        <v>3204</v>
      </c>
      <c r="J642" t="str">
        <f>_xlfn.XLOOKUP(Table1[[#This Row],[Tractor Model]],Table7[Product Model],Table7[Product Category],"Not Available",0)</f>
        <v>Kubota</v>
      </c>
      <c r="K642" s="4">
        <v>6</v>
      </c>
      <c r="L642" s="72">
        <v>857063</v>
      </c>
      <c r="M642" s="4">
        <f>INDEX('Master Sheet'!$C$4:$C$12,MATCH(Table1[[#This Row],[Quantity]],'Master Sheet'!$B$4:$B$12,0))</f>
        <v>8</v>
      </c>
      <c r="N642" s="71">
        <f>Table1[[#This Row],[Quantity]]*Table1[[#This Row],[Unit Price]]</f>
        <v>5142378</v>
      </c>
      <c r="O642" s="73">
        <v>0.51423779999999997</v>
      </c>
      <c r="P642" s="70">
        <f>Table1[[#This Row],[Gross Amount]]*(1-(Table1[[#This Row],[Discount %]]/100))</f>
        <v>4730987.76</v>
      </c>
      <c r="Q642" s="74">
        <f>(Table1[[#This Row],[Gross Amount]]*(1-(Table1[[#This Row],[Discount %]]/100)))/10000000</f>
        <v>0.473098776</v>
      </c>
      <c r="R642" t="s">
        <v>54</v>
      </c>
      <c r="S642" t="str" cm="1">
        <f t="array" ref="S642">IFERROR(_xlfn.IFS(Table1[[#This Row],[Payment Status]]="Partial","In Transit",Table1[[#This Row],[Payment Status]]="Paid","Delivered",Table1[[#This Row],[Payment Status]]="Pending","Pending"),"Invalid Input")</f>
        <v>Delivered</v>
      </c>
      <c r="T642" t="s">
        <v>27</v>
      </c>
      <c r="U642" t="str" cm="1">
        <f t="array" ref="U642">IFERROR(_xlfn.IFS(Table1[[#This Row],[Payment Status]]="Partial","In Transit",Table1[[#This Row],[Payment Status]]="Paid","Completed",Table1[[#This Row],[Payment Status]]="Pending","Pending"),"Invalid Input")</f>
        <v>Completed</v>
      </c>
    </row>
    <row r="643" spans="1:21" x14ac:dyDescent="0.25">
      <c r="A643" s="4" t="s">
        <v>1255</v>
      </c>
      <c r="B643" s="5">
        <v>45571</v>
      </c>
      <c r="C643" t="s">
        <v>52</v>
      </c>
      <c r="D643" t="s">
        <v>3270</v>
      </c>
      <c r="E643" t="s">
        <v>47</v>
      </c>
      <c r="F643" t="s">
        <v>3205</v>
      </c>
      <c r="G643" t="s">
        <v>48</v>
      </c>
      <c r="H643" t="str">
        <f>VLOOKUP(Table1[[#This Row],[City]],Table6[#All],2,FALSE)</f>
        <v>North</v>
      </c>
      <c r="I643" t="s">
        <v>58</v>
      </c>
      <c r="J643" t="str">
        <f>_xlfn.XLOOKUP(Table1[[#This Row],[Tractor Model]],Table7[Product Model],Table7[Product Category],"Not Available",0)</f>
        <v>Powertrac</v>
      </c>
      <c r="K643" s="4">
        <v>6</v>
      </c>
      <c r="L643" s="72">
        <v>303642</v>
      </c>
      <c r="M643" s="4">
        <f>INDEX('Master Sheet'!$C$4:$C$12,MATCH(Table1[[#This Row],[Quantity]],'Master Sheet'!$B$4:$B$12,0))</f>
        <v>8</v>
      </c>
      <c r="N643" s="71">
        <f>Table1[[#This Row],[Quantity]]*Table1[[#This Row],[Unit Price]]</f>
        <v>1821852</v>
      </c>
      <c r="O643" s="73">
        <v>0.18218519999999999</v>
      </c>
      <c r="P643" s="70">
        <f>Table1[[#This Row],[Gross Amount]]*(1-(Table1[[#This Row],[Discount %]]/100))</f>
        <v>1676103.84</v>
      </c>
      <c r="Q643" s="74">
        <f>(Table1[[#This Row],[Gross Amount]]*(1-(Table1[[#This Row],[Discount %]]/100)))/10000000</f>
        <v>0.167610384</v>
      </c>
      <c r="R643" t="s">
        <v>42</v>
      </c>
      <c r="S643" t="str" cm="1">
        <f t="array" ref="S643">IFERROR(_xlfn.IFS(Table1[[#This Row],[Payment Status]]="Partial","In Transit",Table1[[#This Row],[Payment Status]]="Paid","Delivered",Table1[[#This Row],[Payment Status]]="Pending","Pending"),"Invalid Input")</f>
        <v>Pending</v>
      </c>
      <c r="T643" t="s">
        <v>27</v>
      </c>
      <c r="U643" t="str" cm="1">
        <f t="array" ref="U643">IFERROR(_xlfn.IFS(Table1[[#This Row],[Payment Status]]="Partial","In Transit",Table1[[#This Row],[Payment Status]]="Paid","Completed",Table1[[#This Row],[Payment Status]]="Pending","Pending"),"Invalid Input")</f>
        <v>Pending</v>
      </c>
    </row>
    <row r="644" spans="1:21" x14ac:dyDescent="0.25">
      <c r="A644" s="4" t="s">
        <v>1257</v>
      </c>
      <c r="B644" s="5">
        <v>45337</v>
      </c>
      <c r="C644" t="s">
        <v>33</v>
      </c>
      <c r="D644" t="s">
        <v>37</v>
      </c>
      <c r="E644" t="s">
        <v>119</v>
      </c>
      <c r="F644" t="s">
        <v>3224</v>
      </c>
      <c r="G644" t="s">
        <v>21</v>
      </c>
      <c r="H644" t="str">
        <f>VLOOKUP(Table1[[#This Row],[City]],Table6[#All],2,FALSE)</f>
        <v>North</v>
      </c>
      <c r="I644" t="s">
        <v>58</v>
      </c>
      <c r="J644" t="str">
        <f>_xlfn.XLOOKUP(Table1[[#This Row],[Tractor Model]],Table7[Product Model],Table7[Product Category],"Not Available",0)</f>
        <v>Powertrac</v>
      </c>
      <c r="K644" s="4">
        <v>2</v>
      </c>
      <c r="L644" s="72">
        <v>200141</v>
      </c>
      <c r="M644" s="4">
        <f>INDEX('Master Sheet'!$C$4:$C$12,MATCH(Table1[[#This Row],[Quantity]],'Master Sheet'!$B$4:$B$12,0))</f>
        <v>5</v>
      </c>
      <c r="N644" s="71">
        <f>Table1[[#This Row],[Quantity]]*Table1[[#This Row],[Unit Price]]</f>
        <v>400282</v>
      </c>
      <c r="O644" s="73">
        <v>4.00282E-2</v>
      </c>
      <c r="P644" s="70">
        <f>Table1[[#This Row],[Gross Amount]]*(1-(Table1[[#This Row],[Discount %]]/100))</f>
        <v>380267.89999999997</v>
      </c>
      <c r="Q644" s="74">
        <f>(Table1[[#This Row],[Gross Amount]]*(1-(Table1[[#This Row],[Discount %]]/100)))/10000000</f>
        <v>3.8026789999999998E-2</v>
      </c>
      <c r="R644" t="s">
        <v>54</v>
      </c>
      <c r="S644" t="str" cm="1">
        <f t="array" ref="S644">IFERROR(_xlfn.IFS(Table1[[#This Row],[Payment Status]]="Partial","In Transit",Table1[[#This Row],[Payment Status]]="Paid","Delivered",Table1[[#This Row],[Payment Status]]="Pending","Pending"),"Invalid Input")</f>
        <v>Delivered</v>
      </c>
      <c r="T644" t="s">
        <v>27</v>
      </c>
      <c r="U644" t="str" cm="1">
        <f t="array" ref="U644">IFERROR(_xlfn.IFS(Table1[[#This Row],[Payment Status]]="Partial","In Transit",Table1[[#This Row],[Payment Status]]="Paid","Completed",Table1[[#This Row],[Payment Status]]="Pending","Pending"),"Invalid Input")</f>
        <v>Completed</v>
      </c>
    </row>
    <row r="645" spans="1:21" x14ac:dyDescent="0.25">
      <c r="A645" s="4" t="s">
        <v>1259</v>
      </c>
      <c r="B645" s="5">
        <v>45644</v>
      </c>
      <c r="C645" t="s">
        <v>73</v>
      </c>
      <c r="D645" t="s">
        <v>37</v>
      </c>
      <c r="E645" t="s">
        <v>38</v>
      </c>
      <c r="F645" t="s">
        <v>3214</v>
      </c>
      <c r="G645" t="s">
        <v>39</v>
      </c>
      <c r="H645" t="str">
        <f>VLOOKUP(Table1[[#This Row],[City]],Table6[#All],2,FALSE)</f>
        <v>West</v>
      </c>
      <c r="I645" t="s">
        <v>53</v>
      </c>
      <c r="J645" t="str">
        <f>_xlfn.XLOOKUP(Table1[[#This Row],[Tractor Model]],Table7[Product Model],Table7[Product Category],"Not Available",0)</f>
        <v>Farmtrac</v>
      </c>
      <c r="K645" s="4">
        <v>4</v>
      </c>
      <c r="L645" s="72">
        <v>592977</v>
      </c>
      <c r="M645" s="4">
        <f>INDEX('Master Sheet'!$C$4:$C$12,MATCH(Table1[[#This Row],[Quantity]],'Master Sheet'!$B$4:$B$12,0))</f>
        <v>6</v>
      </c>
      <c r="N645" s="71">
        <f>Table1[[#This Row],[Quantity]]*Table1[[#This Row],[Unit Price]]</f>
        <v>2371908</v>
      </c>
      <c r="O645" s="73">
        <v>0.23719080000000001</v>
      </c>
      <c r="P645" s="70">
        <f>Table1[[#This Row],[Gross Amount]]*(1-(Table1[[#This Row],[Discount %]]/100))</f>
        <v>2229593.52</v>
      </c>
      <c r="Q645" s="74">
        <f>(Table1[[#This Row],[Gross Amount]]*(1-(Table1[[#This Row],[Discount %]]/100)))/10000000</f>
        <v>0.222959352</v>
      </c>
      <c r="R645" t="s">
        <v>25</v>
      </c>
      <c r="S645" t="str" cm="1">
        <f t="array" ref="S645">IFERROR(_xlfn.IFS(Table1[[#This Row],[Payment Status]]="Partial","In Transit",Table1[[#This Row],[Payment Status]]="Paid","Delivered",Table1[[#This Row],[Payment Status]]="Pending","Pending"),"Invalid Input")</f>
        <v>In Transit</v>
      </c>
      <c r="T645" t="s">
        <v>27</v>
      </c>
      <c r="U645" t="str" cm="1">
        <f t="array" ref="U645">IFERROR(_xlfn.IFS(Table1[[#This Row],[Payment Status]]="Partial","In Transit",Table1[[#This Row],[Payment Status]]="Paid","Completed",Table1[[#This Row],[Payment Status]]="Pending","Pending"),"Invalid Input")</f>
        <v>In Transit</v>
      </c>
    </row>
    <row r="646" spans="1:21" x14ac:dyDescent="0.25">
      <c r="A646" s="4" t="s">
        <v>1260</v>
      </c>
      <c r="B646" s="5">
        <v>45327</v>
      </c>
      <c r="C646" t="s">
        <v>73</v>
      </c>
      <c r="D646" t="s">
        <v>3270</v>
      </c>
      <c r="E646" t="s">
        <v>119</v>
      </c>
      <c r="F646" t="s">
        <v>3212</v>
      </c>
      <c r="G646" t="s">
        <v>21</v>
      </c>
      <c r="H646" t="str">
        <f>VLOOKUP(Table1[[#This Row],[City]],Table6[#All],2,FALSE)</f>
        <v>North</v>
      </c>
      <c r="I646" t="s">
        <v>3203</v>
      </c>
      <c r="J646" t="str">
        <f>_xlfn.XLOOKUP(Table1[[#This Row],[Tractor Model]],Table7[Product Model],Table7[Product Category],"Not Available",0)</f>
        <v>Kubota</v>
      </c>
      <c r="K646" s="4">
        <v>6</v>
      </c>
      <c r="L646" s="72">
        <v>150253</v>
      </c>
      <c r="M646" s="4">
        <f>INDEX('Master Sheet'!$C$4:$C$12,MATCH(Table1[[#This Row],[Quantity]],'Master Sheet'!$B$4:$B$12,0))</f>
        <v>8</v>
      </c>
      <c r="N646" s="71">
        <f>Table1[[#This Row],[Quantity]]*Table1[[#This Row],[Unit Price]]</f>
        <v>901518</v>
      </c>
      <c r="O646" s="73">
        <v>9.0151800000000004E-2</v>
      </c>
      <c r="P646" s="70">
        <f>Table1[[#This Row],[Gross Amount]]*(1-(Table1[[#This Row],[Discount %]]/100))</f>
        <v>829396.56</v>
      </c>
      <c r="Q646" s="74">
        <f>(Table1[[#This Row],[Gross Amount]]*(1-(Table1[[#This Row],[Discount %]]/100)))/10000000</f>
        <v>8.2939656E-2</v>
      </c>
      <c r="R646" t="s">
        <v>42</v>
      </c>
      <c r="S646" t="str" cm="1">
        <f t="array" ref="S646">IFERROR(_xlfn.IFS(Table1[[#This Row],[Payment Status]]="Partial","In Transit",Table1[[#This Row],[Payment Status]]="Paid","Delivered",Table1[[#This Row],[Payment Status]]="Pending","Pending"),"Invalid Input")</f>
        <v>Pending</v>
      </c>
      <c r="T646" t="s">
        <v>27</v>
      </c>
      <c r="U646" t="str" cm="1">
        <f t="array" ref="U646">IFERROR(_xlfn.IFS(Table1[[#This Row],[Payment Status]]="Partial","In Transit",Table1[[#This Row],[Payment Status]]="Paid","Completed",Table1[[#This Row],[Payment Status]]="Pending","Pending"),"Invalid Input")</f>
        <v>Pending</v>
      </c>
    </row>
    <row r="647" spans="1:21" x14ac:dyDescent="0.25">
      <c r="A647" s="4" t="s">
        <v>1261</v>
      </c>
      <c r="B647" s="5">
        <v>45764</v>
      </c>
      <c r="C647" t="s">
        <v>52</v>
      </c>
      <c r="D647" t="s">
        <v>3270</v>
      </c>
      <c r="E647" t="s">
        <v>47</v>
      </c>
      <c r="F647" t="s">
        <v>3205</v>
      </c>
      <c r="G647" t="s">
        <v>48</v>
      </c>
      <c r="H647" t="str">
        <f>VLOOKUP(Table1[[#This Row],[City]],Table6[#All],2,FALSE)</f>
        <v>North</v>
      </c>
      <c r="I647" t="s">
        <v>58</v>
      </c>
      <c r="J647" t="str">
        <f>_xlfn.XLOOKUP(Table1[[#This Row],[Tractor Model]],Table7[Product Model],Table7[Product Category],"Not Available",0)</f>
        <v>Powertrac</v>
      </c>
      <c r="K647" s="4">
        <v>3</v>
      </c>
      <c r="L647" s="72">
        <v>735427</v>
      </c>
      <c r="M647" s="4">
        <f>INDEX('Master Sheet'!$C$4:$C$12,MATCH(Table1[[#This Row],[Quantity]],'Master Sheet'!$B$4:$B$12,0))</f>
        <v>6</v>
      </c>
      <c r="N647" s="71">
        <f>Table1[[#This Row],[Quantity]]*Table1[[#This Row],[Unit Price]]</f>
        <v>2206281</v>
      </c>
      <c r="O647" s="73">
        <v>0.22062809999999999</v>
      </c>
      <c r="P647" s="70">
        <f>Table1[[#This Row],[Gross Amount]]*(1-(Table1[[#This Row],[Discount %]]/100))</f>
        <v>2073904.14</v>
      </c>
      <c r="Q647" s="74">
        <f>(Table1[[#This Row],[Gross Amount]]*(1-(Table1[[#This Row],[Discount %]]/100)))/10000000</f>
        <v>0.207390414</v>
      </c>
      <c r="R647" t="s">
        <v>42</v>
      </c>
      <c r="S647" t="str" cm="1">
        <f t="array" ref="S647">IFERROR(_xlfn.IFS(Table1[[#This Row],[Payment Status]]="Partial","In Transit",Table1[[#This Row],[Payment Status]]="Paid","Delivered",Table1[[#This Row],[Payment Status]]="Pending","Pending"),"Invalid Input")</f>
        <v>Pending</v>
      </c>
      <c r="T647" t="s">
        <v>44</v>
      </c>
      <c r="U647" t="str" cm="1">
        <f t="array" ref="U647">IFERROR(_xlfn.IFS(Table1[[#This Row],[Payment Status]]="Partial","In Transit",Table1[[#This Row],[Payment Status]]="Paid","Completed",Table1[[#This Row],[Payment Status]]="Pending","Pending"),"Invalid Input")</f>
        <v>Pending</v>
      </c>
    </row>
    <row r="648" spans="1:21" x14ac:dyDescent="0.25">
      <c r="A648" s="4" t="s">
        <v>1263</v>
      </c>
      <c r="B648" s="5">
        <v>45832</v>
      </c>
      <c r="C648" t="s">
        <v>41</v>
      </c>
      <c r="D648" t="s">
        <v>3271</v>
      </c>
      <c r="E648" t="s">
        <v>47</v>
      </c>
      <c r="F648" t="s">
        <v>3221</v>
      </c>
      <c r="G648" t="s">
        <v>48</v>
      </c>
      <c r="H648" t="str">
        <f>VLOOKUP(Table1[[#This Row],[City]],Table6[#All],2,FALSE)</f>
        <v>North</v>
      </c>
      <c r="I648" t="s">
        <v>3204</v>
      </c>
      <c r="J648" t="str">
        <f>_xlfn.XLOOKUP(Table1[[#This Row],[Tractor Model]],Table7[Product Model],Table7[Product Category],"Not Available",0)</f>
        <v>Kubota</v>
      </c>
      <c r="K648" s="4">
        <v>8</v>
      </c>
      <c r="L648" s="72">
        <v>559556</v>
      </c>
      <c r="M648" s="4">
        <f>INDEX('Master Sheet'!$C$4:$C$12,MATCH(Table1[[#This Row],[Quantity]],'Master Sheet'!$B$4:$B$12,0))</f>
        <v>9</v>
      </c>
      <c r="N648" s="71">
        <f>Table1[[#This Row],[Quantity]]*Table1[[#This Row],[Unit Price]]</f>
        <v>4476448</v>
      </c>
      <c r="O648" s="73">
        <v>0.44764480000000001</v>
      </c>
      <c r="P648" s="70">
        <f>Table1[[#This Row],[Gross Amount]]*(1-(Table1[[#This Row],[Discount %]]/100))</f>
        <v>4073567.68</v>
      </c>
      <c r="Q648" s="74">
        <f>(Table1[[#This Row],[Gross Amount]]*(1-(Table1[[#This Row],[Discount %]]/100)))/10000000</f>
        <v>0.40735676800000004</v>
      </c>
      <c r="R648" t="s">
        <v>42</v>
      </c>
      <c r="S648" t="str" cm="1">
        <f t="array" ref="S648">IFERROR(_xlfn.IFS(Table1[[#This Row],[Payment Status]]="Partial","In Transit",Table1[[#This Row],[Payment Status]]="Paid","Delivered",Table1[[#This Row],[Payment Status]]="Pending","Pending"),"Invalid Input")</f>
        <v>Pending</v>
      </c>
      <c r="T648" t="s">
        <v>27</v>
      </c>
      <c r="U648" t="str" cm="1">
        <f t="array" ref="U648">IFERROR(_xlfn.IFS(Table1[[#This Row],[Payment Status]]="Partial","In Transit",Table1[[#This Row],[Payment Status]]="Paid","Completed",Table1[[#This Row],[Payment Status]]="Pending","Pending"),"Invalid Input")</f>
        <v>Pending</v>
      </c>
    </row>
    <row r="649" spans="1:21" x14ac:dyDescent="0.25">
      <c r="A649" s="4" t="s">
        <v>1264</v>
      </c>
      <c r="B649" s="5">
        <v>45345</v>
      </c>
      <c r="C649" t="s">
        <v>52</v>
      </c>
      <c r="D649" t="s">
        <v>3269</v>
      </c>
      <c r="E649" t="s">
        <v>119</v>
      </c>
      <c r="F649" t="s">
        <v>3229</v>
      </c>
      <c r="G649" t="s">
        <v>21</v>
      </c>
      <c r="H649" t="str">
        <f>VLOOKUP(Table1[[#This Row],[City]],Table6[#All],2,FALSE)</f>
        <v>North</v>
      </c>
      <c r="I649" t="s">
        <v>24</v>
      </c>
      <c r="J649" t="str">
        <f>_xlfn.XLOOKUP(Table1[[#This Row],[Tractor Model]],Table7[Product Model],Table7[Product Category],"Not Available",0)</f>
        <v>Farmtrac</v>
      </c>
      <c r="K649" s="4">
        <v>3</v>
      </c>
      <c r="L649" s="72">
        <v>843349</v>
      </c>
      <c r="M649" s="4">
        <f>INDEX('Master Sheet'!$C$4:$C$12,MATCH(Table1[[#This Row],[Quantity]],'Master Sheet'!$B$4:$B$12,0))</f>
        <v>6</v>
      </c>
      <c r="N649" s="71">
        <f>Table1[[#This Row],[Quantity]]*Table1[[#This Row],[Unit Price]]</f>
        <v>2530047</v>
      </c>
      <c r="O649" s="73">
        <v>0.25300470000000003</v>
      </c>
      <c r="P649" s="70">
        <f>Table1[[#This Row],[Gross Amount]]*(1-(Table1[[#This Row],[Discount %]]/100))</f>
        <v>2378244.1799999997</v>
      </c>
      <c r="Q649" s="74">
        <f>(Table1[[#This Row],[Gross Amount]]*(1-(Table1[[#This Row],[Discount %]]/100)))/10000000</f>
        <v>0.23782441799999998</v>
      </c>
      <c r="R649" t="s">
        <v>42</v>
      </c>
      <c r="S649" t="str" cm="1">
        <f t="array" ref="S649">IFERROR(_xlfn.IFS(Table1[[#This Row],[Payment Status]]="Partial","In Transit",Table1[[#This Row],[Payment Status]]="Paid","Delivered",Table1[[#This Row],[Payment Status]]="Pending","Pending"),"Invalid Input")</f>
        <v>Pending</v>
      </c>
      <c r="T649" t="s">
        <v>44</v>
      </c>
      <c r="U649" t="str" cm="1">
        <f t="array" ref="U649">IFERROR(_xlfn.IFS(Table1[[#This Row],[Payment Status]]="Partial","In Transit",Table1[[#This Row],[Payment Status]]="Paid","Completed",Table1[[#This Row],[Payment Status]]="Pending","Pending"),"Invalid Input")</f>
        <v>Pending</v>
      </c>
    </row>
    <row r="650" spans="1:21" x14ac:dyDescent="0.25">
      <c r="A650" s="4" t="s">
        <v>1266</v>
      </c>
      <c r="B650" s="5">
        <v>45346</v>
      </c>
      <c r="C650" t="s">
        <v>52</v>
      </c>
      <c r="D650" t="s">
        <v>3270</v>
      </c>
      <c r="E650" t="s">
        <v>30</v>
      </c>
      <c r="F650" t="s">
        <v>3223</v>
      </c>
      <c r="G650" t="s">
        <v>31</v>
      </c>
      <c r="H650" t="str">
        <f>VLOOKUP(Table1[[#This Row],[City]],Table6[#All],2,FALSE)</f>
        <v>South</v>
      </c>
      <c r="I650" t="s">
        <v>3204</v>
      </c>
      <c r="J650" t="str">
        <f>_xlfn.XLOOKUP(Table1[[#This Row],[Tractor Model]],Table7[Product Model],Table7[Product Category],"Not Available",0)</f>
        <v>Kubota</v>
      </c>
      <c r="K650" s="4">
        <v>5</v>
      </c>
      <c r="L650" s="72">
        <v>486667</v>
      </c>
      <c r="M650" s="4">
        <f>INDEX('Master Sheet'!$C$4:$C$12,MATCH(Table1[[#This Row],[Quantity]],'Master Sheet'!$B$4:$B$12,0))</f>
        <v>7</v>
      </c>
      <c r="N650" s="71">
        <f>Table1[[#This Row],[Quantity]]*Table1[[#This Row],[Unit Price]]</f>
        <v>2433335</v>
      </c>
      <c r="O650" s="73">
        <v>0.24333350000000001</v>
      </c>
      <c r="P650" s="70">
        <f>Table1[[#This Row],[Gross Amount]]*(1-(Table1[[#This Row],[Discount %]]/100))</f>
        <v>2263001.5499999998</v>
      </c>
      <c r="Q650" s="74">
        <f>(Table1[[#This Row],[Gross Amount]]*(1-(Table1[[#This Row],[Discount %]]/100)))/10000000</f>
        <v>0.22630015499999998</v>
      </c>
      <c r="R650" t="s">
        <v>42</v>
      </c>
      <c r="S650" t="str" cm="1">
        <f t="array" ref="S650">IFERROR(_xlfn.IFS(Table1[[#This Row],[Payment Status]]="Partial","In Transit",Table1[[#This Row],[Payment Status]]="Paid","Delivered",Table1[[#This Row],[Payment Status]]="Pending","Pending"),"Invalid Input")</f>
        <v>Pending</v>
      </c>
      <c r="T650" t="s">
        <v>27</v>
      </c>
      <c r="U650" t="str" cm="1">
        <f t="array" ref="U650">IFERROR(_xlfn.IFS(Table1[[#This Row],[Payment Status]]="Partial","In Transit",Table1[[#This Row],[Payment Status]]="Paid","Completed",Table1[[#This Row],[Payment Status]]="Pending","Pending"),"Invalid Input")</f>
        <v>Pending</v>
      </c>
    </row>
    <row r="651" spans="1:21" x14ac:dyDescent="0.25">
      <c r="A651" s="4" t="s">
        <v>1268</v>
      </c>
      <c r="B651" s="5">
        <v>45528</v>
      </c>
      <c r="C651" t="s">
        <v>52</v>
      </c>
      <c r="D651" t="s">
        <v>3270</v>
      </c>
      <c r="E651" t="s">
        <v>38</v>
      </c>
      <c r="F651" t="s">
        <v>3218</v>
      </c>
      <c r="G651" t="s">
        <v>39</v>
      </c>
      <c r="H651" t="str">
        <f>VLOOKUP(Table1[[#This Row],[City]],Table6[#All],2,FALSE)</f>
        <v>West</v>
      </c>
      <c r="I651" t="s">
        <v>3203</v>
      </c>
      <c r="J651" t="str">
        <f>_xlfn.XLOOKUP(Table1[[#This Row],[Tractor Model]],Table7[Product Model],Table7[Product Category],"Not Available",0)</f>
        <v>Kubota</v>
      </c>
      <c r="K651" s="4">
        <v>4</v>
      </c>
      <c r="L651" s="72">
        <v>136959</v>
      </c>
      <c r="M651" s="4">
        <f>INDEX('Master Sheet'!$C$4:$C$12,MATCH(Table1[[#This Row],[Quantity]],'Master Sheet'!$B$4:$B$12,0))</f>
        <v>6</v>
      </c>
      <c r="N651" s="71">
        <f>Table1[[#This Row],[Quantity]]*Table1[[#This Row],[Unit Price]]</f>
        <v>547836</v>
      </c>
      <c r="O651" s="73">
        <v>5.4783600000000002E-2</v>
      </c>
      <c r="P651" s="70">
        <f>Table1[[#This Row],[Gross Amount]]*(1-(Table1[[#This Row],[Discount %]]/100))</f>
        <v>514965.83999999997</v>
      </c>
      <c r="Q651" s="74">
        <f>(Table1[[#This Row],[Gross Amount]]*(1-(Table1[[#This Row],[Discount %]]/100)))/10000000</f>
        <v>5.1496583999999998E-2</v>
      </c>
      <c r="R651" t="s">
        <v>42</v>
      </c>
      <c r="S651" t="str" cm="1">
        <f t="array" ref="S651">IFERROR(_xlfn.IFS(Table1[[#This Row],[Payment Status]]="Partial","In Transit",Table1[[#This Row],[Payment Status]]="Paid","Delivered",Table1[[#This Row],[Payment Status]]="Pending","Pending"),"Invalid Input")</f>
        <v>Pending</v>
      </c>
      <c r="T651" t="s">
        <v>27</v>
      </c>
      <c r="U651" t="str" cm="1">
        <f t="array" ref="U651">IFERROR(_xlfn.IFS(Table1[[#This Row],[Payment Status]]="Partial","In Transit",Table1[[#This Row],[Payment Status]]="Paid","Completed",Table1[[#This Row],[Payment Status]]="Pending","Pending"),"Invalid Input")</f>
        <v>Pending</v>
      </c>
    </row>
    <row r="652" spans="1:21" x14ac:dyDescent="0.25">
      <c r="A652" s="4" t="s">
        <v>1270</v>
      </c>
      <c r="B652" s="5">
        <v>45492</v>
      </c>
      <c r="C652" t="s">
        <v>62</v>
      </c>
      <c r="D652" t="s">
        <v>3271</v>
      </c>
      <c r="E652" t="s">
        <v>119</v>
      </c>
      <c r="F652" t="s">
        <v>3228</v>
      </c>
      <c r="G652" t="s">
        <v>21</v>
      </c>
      <c r="H652" t="str">
        <f>VLOOKUP(Table1[[#This Row],[City]],Table6[#All],2,FALSE)</f>
        <v>North</v>
      </c>
      <c r="I652" t="s">
        <v>53</v>
      </c>
      <c r="J652" t="str">
        <f>_xlfn.XLOOKUP(Table1[[#This Row],[Tractor Model]],Table7[Product Model],Table7[Product Category],"Not Available",0)</f>
        <v>Farmtrac</v>
      </c>
      <c r="K652" s="4">
        <v>5</v>
      </c>
      <c r="L652" s="72">
        <v>252919</v>
      </c>
      <c r="M652" s="4">
        <f>INDEX('Master Sheet'!$C$4:$C$12,MATCH(Table1[[#This Row],[Quantity]],'Master Sheet'!$B$4:$B$12,0))</f>
        <v>7</v>
      </c>
      <c r="N652" s="71">
        <f>Table1[[#This Row],[Quantity]]*Table1[[#This Row],[Unit Price]]</f>
        <v>1264595</v>
      </c>
      <c r="O652" s="73">
        <v>0.1264595</v>
      </c>
      <c r="P652" s="70">
        <f>Table1[[#This Row],[Gross Amount]]*(1-(Table1[[#This Row],[Discount %]]/100))</f>
        <v>1176073.3499999999</v>
      </c>
      <c r="Q652" s="74">
        <f>(Table1[[#This Row],[Gross Amount]]*(1-(Table1[[#This Row],[Discount %]]/100)))/10000000</f>
        <v>0.11760733499999998</v>
      </c>
      <c r="R652" t="s">
        <v>25</v>
      </c>
      <c r="S652" t="str" cm="1">
        <f t="array" ref="S652">IFERROR(_xlfn.IFS(Table1[[#This Row],[Payment Status]]="Partial","In Transit",Table1[[#This Row],[Payment Status]]="Paid","Delivered",Table1[[#This Row],[Payment Status]]="Pending","Pending"),"Invalid Input")</f>
        <v>In Transit</v>
      </c>
      <c r="T652" t="s">
        <v>27</v>
      </c>
      <c r="U652" t="str" cm="1">
        <f t="array" ref="U652">IFERROR(_xlfn.IFS(Table1[[#This Row],[Payment Status]]="Partial","In Transit",Table1[[#This Row],[Payment Status]]="Paid","Completed",Table1[[#This Row],[Payment Status]]="Pending","Pending"),"Invalid Input")</f>
        <v>In Transit</v>
      </c>
    </row>
    <row r="653" spans="1:21" x14ac:dyDescent="0.25">
      <c r="A653" s="4" t="s">
        <v>1272</v>
      </c>
      <c r="B653" s="5">
        <v>45705</v>
      </c>
      <c r="C653" t="s">
        <v>52</v>
      </c>
      <c r="D653" t="s">
        <v>3268</v>
      </c>
      <c r="E653" t="s">
        <v>38</v>
      </c>
      <c r="F653" t="s">
        <v>3219</v>
      </c>
      <c r="G653" t="s">
        <v>39</v>
      </c>
      <c r="H653" t="str">
        <f>VLOOKUP(Table1[[#This Row],[City]],Table6[#All],2,FALSE)</f>
        <v>West</v>
      </c>
      <c r="I653" t="s">
        <v>24</v>
      </c>
      <c r="J653" t="str">
        <f>_xlfn.XLOOKUP(Table1[[#This Row],[Tractor Model]],Table7[Product Model],Table7[Product Category],"Not Available",0)</f>
        <v>Farmtrac</v>
      </c>
      <c r="K653" s="4">
        <v>5</v>
      </c>
      <c r="L653" s="72">
        <v>688430</v>
      </c>
      <c r="M653" s="4">
        <f>INDEX('Master Sheet'!$C$4:$C$12,MATCH(Table1[[#This Row],[Quantity]],'Master Sheet'!$B$4:$B$12,0))</f>
        <v>7</v>
      </c>
      <c r="N653" s="71">
        <f>Table1[[#This Row],[Quantity]]*Table1[[#This Row],[Unit Price]]</f>
        <v>3442150</v>
      </c>
      <c r="O653" s="73">
        <v>0.34421499999999999</v>
      </c>
      <c r="P653" s="70">
        <f>Table1[[#This Row],[Gross Amount]]*(1-(Table1[[#This Row],[Discount %]]/100))</f>
        <v>3201199.5</v>
      </c>
      <c r="Q653" s="74">
        <f>(Table1[[#This Row],[Gross Amount]]*(1-(Table1[[#This Row],[Discount %]]/100)))/10000000</f>
        <v>0.32011994999999999</v>
      </c>
      <c r="R653" t="s">
        <v>54</v>
      </c>
      <c r="S653" t="str" cm="1">
        <f t="array" ref="S653">IFERROR(_xlfn.IFS(Table1[[#This Row],[Payment Status]]="Partial","In Transit",Table1[[#This Row],[Payment Status]]="Paid","Delivered",Table1[[#This Row],[Payment Status]]="Pending","Pending"),"Invalid Input")</f>
        <v>Delivered</v>
      </c>
      <c r="T653" t="s">
        <v>27</v>
      </c>
      <c r="U653" t="str" cm="1">
        <f t="array" ref="U653">IFERROR(_xlfn.IFS(Table1[[#This Row],[Payment Status]]="Partial","In Transit",Table1[[#This Row],[Payment Status]]="Paid","Completed",Table1[[#This Row],[Payment Status]]="Pending","Pending"),"Invalid Input")</f>
        <v>Completed</v>
      </c>
    </row>
    <row r="654" spans="1:21" x14ac:dyDescent="0.25">
      <c r="A654" s="4" t="s">
        <v>1274</v>
      </c>
      <c r="B654" s="5">
        <v>45617</v>
      </c>
      <c r="C654" t="s">
        <v>73</v>
      </c>
      <c r="D654" t="s">
        <v>3271</v>
      </c>
      <c r="E654" t="s">
        <v>30</v>
      </c>
      <c r="F654" t="s">
        <v>3217</v>
      </c>
      <c r="G654" t="s">
        <v>31</v>
      </c>
      <c r="H654" t="str">
        <f>VLOOKUP(Table1[[#This Row],[City]],Table6[#All],2,FALSE)</f>
        <v>South</v>
      </c>
      <c r="I654" t="s">
        <v>53</v>
      </c>
      <c r="J654" t="str">
        <f>_xlfn.XLOOKUP(Table1[[#This Row],[Tractor Model]],Table7[Product Model],Table7[Product Category],"Not Available",0)</f>
        <v>Farmtrac</v>
      </c>
      <c r="K654" s="4">
        <v>4</v>
      </c>
      <c r="L654" s="72">
        <v>879916</v>
      </c>
      <c r="M654" s="4">
        <f>INDEX('Master Sheet'!$C$4:$C$12,MATCH(Table1[[#This Row],[Quantity]],'Master Sheet'!$B$4:$B$12,0))</f>
        <v>6</v>
      </c>
      <c r="N654" s="71">
        <f>Table1[[#This Row],[Quantity]]*Table1[[#This Row],[Unit Price]]</f>
        <v>3519664</v>
      </c>
      <c r="O654" s="73">
        <v>0.35196640000000001</v>
      </c>
      <c r="P654" s="70">
        <f>Table1[[#This Row],[Gross Amount]]*(1-(Table1[[#This Row],[Discount %]]/100))</f>
        <v>3308484.1599999997</v>
      </c>
      <c r="Q654" s="74">
        <f>(Table1[[#This Row],[Gross Amount]]*(1-(Table1[[#This Row],[Discount %]]/100)))/10000000</f>
        <v>0.33084841599999998</v>
      </c>
      <c r="R654" t="s">
        <v>54</v>
      </c>
      <c r="S654" t="str" cm="1">
        <f t="array" ref="S654">IFERROR(_xlfn.IFS(Table1[[#This Row],[Payment Status]]="Partial","In Transit",Table1[[#This Row],[Payment Status]]="Paid","Delivered",Table1[[#This Row],[Payment Status]]="Pending","Pending"),"Invalid Input")</f>
        <v>Delivered</v>
      </c>
      <c r="T654" t="s">
        <v>27</v>
      </c>
      <c r="U654" t="str" cm="1">
        <f t="array" ref="U654">IFERROR(_xlfn.IFS(Table1[[#This Row],[Payment Status]]="Partial","In Transit",Table1[[#This Row],[Payment Status]]="Paid","Completed",Table1[[#This Row],[Payment Status]]="Pending","Pending"),"Invalid Input")</f>
        <v>Completed</v>
      </c>
    </row>
    <row r="655" spans="1:21" x14ac:dyDescent="0.25">
      <c r="A655" s="4" t="s">
        <v>1276</v>
      </c>
      <c r="B655" s="5">
        <v>45366</v>
      </c>
      <c r="C655" t="s">
        <v>33</v>
      </c>
      <c r="D655" t="s">
        <v>37</v>
      </c>
      <c r="E655" t="s">
        <v>119</v>
      </c>
      <c r="F655" t="s">
        <v>3224</v>
      </c>
      <c r="G655" t="s">
        <v>21</v>
      </c>
      <c r="H655" t="str">
        <f>VLOOKUP(Table1[[#This Row],[City]],Table6[#All],2,FALSE)</f>
        <v>North</v>
      </c>
      <c r="I655" t="s">
        <v>24</v>
      </c>
      <c r="J655" t="str">
        <f>_xlfn.XLOOKUP(Table1[[#This Row],[Tractor Model]],Table7[Product Model],Table7[Product Category],"Not Available",0)</f>
        <v>Farmtrac</v>
      </c>
      <c r="K655" s="4">
        <v>2</v>
      </c>
      <c r="L655" s="72">
        <v>760758</v>
      </c>
      <c r="M655" s="4">
        <f>INDEX('Master Sheet'!$C$4:$C$12,MATCH(Table1[[#This Row],[Quantity]],'Master Sheet'!$B$4:$B$12,0))</f>
        <v>5</v>
      </c>
      <c r="N655" s="71">
        <f>Table1[[#This Row],[Quantity]]*Table1[[#This Row],[Unit Price]]</f>
        <v>1521516</v>
      </c>
      <c r="O655" s="73">
        <v>0.1521516</v>
      </c>
      <c r="P655" s="70">
        <f>Table1[[#This Row],[Gross Amount]]*(1-(Table1[[#This Row],[Discount %]]/100))</f>
        <v>1445440.2</v>
      </c>
      <c r="Q655" s="74">
        <f>(Table1[[#This Row],[Gross Amount]]*(1-(Table1[[#This Row],[Discount %]]/100)))/10000000</f>
        <v>0.14454402</v>
      </c>
      <c r="R655" t="s">
        <v>25</v>
      </c>
      <c r="S655" t="str" cm="1">
        <f t="array" ref="S655">IFERROR(_xlfn.IFS(Table1[[#This Row],[Payment Status]]="Partial","In Transit",Table1[[#This Row],[Payment Status]]="Paid","Delivered",Table1[[#This Row],[Payment Status]]="Pending","Pending"),"Invalid Input")</f>
        <v>In Transit</v>
      </c>
      <c r="T655" t="s">
        <v>27</v>
      </c>
      <c r="U655" t="str" cm="1">
        <f t="array" ref="U655">IFERROR(_xlfn.IFS(Table1[[#This Row],[Payment Status]]="Partial","In Transit",Table1[[#This Row],[Payment Status]]="Paid","Completed",Table1[[#This Row],[Payment Status]]="Pending","Pending"),"Invalid Input")</f>
        <v>In Transit</v>
      </c>
    </row>
    <row r="656" spans="1:21" x14ac:dyDescent="0.25">
      <c r="A656" s="4" t="s">
        <v>1279</v>
      </c>
      <c r="B656" s="5">
        <v>45603</v>
      </c>
      <c r="C656" t="s">
        <v>52</v>
      </c>
      <c r="D656" t="s">
        <v>37</v>
      </c>
      <c r="E656" t="s">
        <v>119</v>
      </c>
      <c r="F656" t="s">
        <v>3224</v>
      </c>
      <c r="G656" t="s">
        <v>21</v>
      </c>
      <c r="H656" t="str">
        <f>VLOOKUP(Table1[[#This Row],[City]],Table6[#All],2,FALSE)</f>
        <v>North</v>
      </c>
      <c r="I656" t="s">
        <v>3203</v>
      </c>
      <c r="J656" t="str">
        <f>_xlfn.XLOOKUP(Table1[[#This Row],[Tractor Model]],Table7[Product Model],Table7[Product Category],"Not Available",0)</f>
        <v>Kubota</v>
      </c>
      <c r="K656" s="4">
        <v>6</v>
      </c>
      <c r="L656" s="72">
        <v>342824</v>
      </c>
      <c r="M656" s="4">
        <f>INDEX('Master Sheet'!$C$4:$C$12,MATCH(Table1[[#This Row],[Quantity]],'Master Sheet'!$B$4:$B$12,0))</f>
        <v>8</v>
      </c>
      <c r="N656" s="71">
        <f>Table1[[#This Row],[Quantity]]*Table1[[#This Row],[Unit Price]]</f>
        <v>2056944</v>
      </c>
      <c r="O656" s="73">
        <v>0.2056944</v>
      </c>
      <c r="P656" s="70">
        <f>Table1[[#This Row],[Gross Amount]]*(1-(Table1[[#This Row],[Discount %]]/100))</f>
        <v>1892388.48</v>
      </c>
      <c r="Q656" s="74">
        <f>(Table1[[#This Row],[Gross Amount]]*(1-(Table1[[#This Row],[Discount %]]/100)))/10000000</f>
        <v>0.18923884799999999</v>
      </c>
      <c r="R656" t="s">
        <v>25</v>
      </c>
      <c r="S656" t="str" cm="1">
        <f t="array" ref="S656">IFERROR(_xlfn.IFS(Table1[[#This Row],[Payment Status]]="Partial","In Transit",Table1[[#This Row],[Payment Status]]="Paid","Delivered",Table1[[#This Row],[Payment Status]]="Pending","Pending"),"Invalid Input")</f>
        <v>In Transit</v>
      </c>
      <c r="T656" t="s">
        <v>44</v>
      </c>
      <c r="U656" t="str" cm="1">
        <f t="array" ref="U656">IFERROR(_xlfn.IFS(Table1[[#This Row],[Payment Status]]="Partial","In Transit",Table1[[#This Row],[Payment Status]]="Paid","Completed",Table1[[#This Row],[Payment Status]]="Pending","Pending"),"Invalid Input")</f>
        <v>In Transit</v>
      </c>
    </row>
    <row r="657" spans="1:21" x14ac:dyDescent="0.25">
      <c r="A657" s="4" t="s">
        <v>1281</v>
      </c>
      <c r="B657" s="5">
        <v>45519</v>
      </c>
      <c r="C657" t="s">
        <v>62</v>
      </c>
      <c r="D657" t="s">
        <v>3270</v>
      </c>
      <c r="E657" t="s">
        <v>119</v>
      </c>
      <c r="F657" t="s">
        <v>3212</v>
      </c>
      <c r="G657" t="s">
        <v>21</v>
      </c>
      <c r="H657" t="str">
        <f>VLOOKUP(Table1[[#This Row],[City]],Table6[#All],2,FALSE)</f>
        <v>North</v>
      </c>
      <c r="I657" t="s">
        <v>58</v>
      </c>
      <c r="J657" t="str">
        <f>_xlfn.XLOOKUP(Table1[[#This Row],[Tractor Model]],Table7[Product Model],Table7[Product Category],"Not Available",0)</f>
        <v>Powertrac</v>
      </c>
      <c r="K657" s="4">
        <v>3</v>
      </c>
      <c r="L657" s="72">
        <v>646350</v>
      </c>
      <c r="M657" s="4">
        <f>INDEX('Master Sheet'!$C$4:$C$12,MATCH(Table1[[#This Row],[Quantity]],'Master Sheet'!$B$4:$B$12,0))</f>
        <v>6</v>
      </c>
      <c r="N657" s="71">
        <f>Table1[[#This Row],[Quantity]]*Table1[[#This Row],[Unit Price]]</f>
        <v>1939050</v>
      </c>
      <c r="O657" s="73">
        <v>0.19390499999999999</v>
      </c>
      <c r="P657" s="70">
        <f>Table1[[#This Row],[Gross Amount]]*(1-(Table1[[#This Row],[Discount %]]/100))</f>
        <v>1822707</v>
      </c>
      <c r="Q657" s="74">
        <f>(Table1[[#This Row],[Gross Amount]]*(1-(Table1[[#This Row],[Discount %]]/100)))/10000000</f>
        <v>0.18227070000000001</v>
      </c>
      <c r="R657" t="s">
        <v>25</v>
      </c>
      <c r="S657" t="str" cm="1">
        <f t="array" ref="S657">IFERROR(_xlfn.IFS(Table1[[#This Row],[Payment Status]]="Partial","In Transit",Table1[[#This Row],[Payment Status]]="Paid","Delivered",Table1[[#This Row],[Payment Status]]="Pending","Pending"),"Invalid Input")</f>
        <v>In Transit</v>
      </c>
      <c r="T657" t="s">
        <v>27</v>
      </c>
      <c r="U657" t="str" cm="1">
        <f t="array" ref="U657">IFERROR(_xlfn.IFS(Table1[[#This Row],[Payment Status]]="Partial","In Transit",Table1[[#This Row],[Payment Status]]="Paid","Completed",Table1[[#This Row],[Payment Status]]="Pending","Pending"),"Invalid Input")</f>
        <v>In Transit</v>
      </c>
    </row>
    <row r="658" spans="1:21" x14ac:dyDescent="0.25">
      <c r="A658" s="4" t="s">
        <v>1283</v>
      </c>
      <c r="B658" s="5">
        <v>45666</v>
      </c>
      <c r="C658" t="s">
        <v>33</v>
      </c>
      <c r="D658" t="s">
        <v>37</v>
      </c>
      <c r="E658" t="s">
        <v>66</v>
      </c>
      <c r="F658" t="s">
        <v>3226</v>
      </c>
      <c r="G658" t="s">
        <v>67</v>
      </c>
      <c r="H658" t="str">
        <f>VLOOKUP(Table1[[#This Row],[City]],Table6[#All],2,FALSE)</f>
        <v>East</v>
      </c>
      <c r="I658" t="s">
        <v>24</v>
      </c>
      <c r="J658" t="str">
        <f>_xlfn.XLOOKUP(Table1[[#This Row],[Tractor Model]],Table7[Product Model],Table7[Product Category],"Not Available",0)</f>
        <v>Farmtrac</v>
      </c>
      <c r="K658" s="4">
        <v>3</v>
      </c>
      <c r="L658" s="72">
        <v>672133</v>
      </c>
      <c r="M658" s="4">
        <f>INDEX('Master Sheet'!$C$4:$C$12,MATCH(Table1[[#This Row],[Quantity]],'Master Sheet'!$B$4:$B$12,0))</f>
        <v>6</v>
      </c>
      <c r="N658" s="71">
        <f>Table1[[#This Row],[Quantity]]*Table1[[#This Row],[Unit Price]]</f>
        <v>2016399</v>
      </c>
      <c r="O658" s="73">
        <v>0.20163990000000001</v>
      </c>
      <c r="P658" s="70">
        <f>Table1[[#This Row],[Gross Amount]]*(1-(Table1[[#This Row],[Discount %]]/100))</f>
        <v>1895415.0599999998</v>
      </c>
      <c r="Q658" s="74">
        <f>(Table1[[#This Row],[Gross Amount]]*(1-(Table1[[#This Row],[Discount %]]/100)))/10000000</f>
        <v>0.18954150599999997</v>
      </c>
      <c r="R658" t="s">
        <v>25</v>
      </c>
      <c r="S658" t="str" cm="1">
        <f t="array" ref="S658">IFERROR(_xlfn.IFS(Table1[[#This Row],[Payment Status]]="Partial","In Transit",Table1[[#This Row],[Payment Status]]="Paid","Delivered",Table1[[#This Row],[Payment Status]]="Pending","Pending"),"Invalid Input")</f>
        <v>In Transit</v>
      </c>
      <c r="T658" t="s">
        <v>44</v>
      </c>
      <c r="U658" t="str" cm="1">
        <f t="array" ref="U658">IFERROR(_xlfn.IFS(Table1[[#This Row],[Payment Status]]="Partial","In Transit",Table1[[#This Row],[Payment Status]]="Paid","Completed",Table1[[#This Row],[Payment Status]]="Pending","Pending"),"Invalid Input")</f>
        <v>In Transit</v>
      </c>
    </row>
    <row r="659" spans="1:21" x14ac:dyDescent="0.25">
      <c r="A659" s="4" t="s">
        <v>1285</v>
      </c>
      <c r="B659" s="5">
        <v>45826</v>
      </c>
      <c r="C659" t="s">
        <v>41</v>
      </c>
      <c r="D659" t="s">
        <v>3268</v>
      </c>
      <c r="E659" t="s">
        <v>66</v>
      </c>
      <c r="F659" t="s">
        <v>3211</v>
      </c>
      <c r="G659" t="s">
        <v>67</v>
      </c>
      <c r="H659" t="str">
        <f>VLOOKUP(Table1[[#This Row],[City]],Table6[#All],2,FALSE)</f>
        <v>East</v>
      </c>
      <c r="I659" t="s">
        <v>53</v>
      </c>
      <c r="J659" t="str">
        <f>_xlfn.XLOOKUP(Table1[[#This Row],[Tractor Model]],Table7[Product Model],Table7[Product Category],"Not Available",0)</f>
        <v>Farmtrac</v>
      </c>
      <c r="K659" s="4">
        <v>5</v>
      </c>
      <c r="L659" s="72">
        <v>196677</v>
      </c>
      <c r="M659" s="4">
        <f>INDEX('Master Sheet'!$C$4:$C$12,MATCH(Table1[[#This Row],[Quantity]],'Master Sheet'!$B$4:$B$12,0))</f>
        <v>7</v>
      </c>
      <c r="N659" s="71">
        <f>Table1[[#This Row],[Quantity]]*Table1[[#This Row],[Unit Price]]</f>
        <v>983385</v>
      </c>
      <c r="O659" s="73">
        <v>9.8338499999999995E-2</v>
      </c>
      <c r="P659" s="70">
        <f>Table1[[#This Row],[Gross Amount]]*(1-(Table1[[#This Row],[Discount %]]/100))</f>
        <v>914548.04999999993</v>
      </c>
      <c r="Q659" s="74">
        <f>(Table1[[#This Row],[Gross Amount]]*(1-(Table1[[#This Row],[Discount %]]/100)))/10000000</f>
        <v>9.1454804999999986E-2</v>
      </c>
      <c r="R659" t="s">
        <v>54</v>
      </c>
      <c r="S659" t="str" cm="1">
        <f t="array" ref="S659">IFERROR(_xlfn.IFS(Table1[[#This Row],[Payment Status]]="Partial","In Transit",Table1[[#This Row],[Payment Status]]="Paid","Delivered",Table1[[#This Row],[Payment Status]]="Pending","Pending"),"Invalid Input")</f>
        <v>Delivered</v>
      </c>
      <c r="T659" t="s">
        <v>27</v>
      </c>
      <c r="U659" t="str" cm="1">
        <f t="array" ref="U659">IFERROR(_xlfn.IFS(Table1[[#This Row],[Payment Status]]="Partial","In Transit",Table1[[#This Row],[Payment Status]]="Paid","Completed",Table1[[#This Row],[Payment Status]]="Pending","Pending"),"Invalid Input")</f>
        <v>Completed</v>
      </c>
    </row>
    <row r="660" spans="1:21" x14ac:dyDescent="0.25">
      <c r="A660" s="4" t="s">
        <v>1287</v>
      </c>
      <c r="B660" s="5">
        <v>45729</v>
      </c>
      <c r="C660" t="s">
        <v>62</v>
      </c>
      <c r="D660" t="s">
        <v>3270</v>
      </c>
      <c r="E660" t="s">
        <v>30</v>
      </c>
      <c r="F660" t="s">
        <v>3223</v>
      </c>
      <c r="G660" t="s">
        <v>31</v>
      </c>
      <c r="H660" t="str">
        <f>VLOOKUP(Table1[[#This Row],[City]],Table6[#All],2,FALSE)</f>
        <v>South</v>
      </c>
      <c r="I660" t="s">
        <v>3204</v>
      </c>
      <c r="J660" t="str">
        <f>_xlfn.XLOOKUP(Table1[[#This Row],[Tractor Model]],Table7[Product Model],Table7[Product Category],"Not Available",0)</f>
        <v>Kubota</v>
      </c>
      <c r="K660" s="4">
        <v>7</v>
      </c>
      <c r="L660" s="72">
        <v>680299</v>
      </c>
      <c r="M660" s="4">
        <f>INDEX('Master Sheet'!$C$4:$C$12,MATCH(Table1[[#This Row],[Quantity]],'Master Sheet'!$B$4:$B$12,0))</f>
        <v>9</v>
      </c>
      <c r="N660" s="71">
        <f>Table1[[#This Row],[Quantity]]*Table1[[#This Row],[Unit Price]]</f>
        <v>4762093</v>
      </c>
      <c r="O660" s="73">
        <v>0.4762093</v>
      </c>
      <c r="P660" s="70">
        <f>Table1[[#This Row],[Gross Amount]]*(1-(Table1[[#This Row],[Discount %]]/100))</f>
        <v>4333504.63</v>
      </c>
      <c r="Q660" s="74">
        <f>(Table1[[#This Row],[Gross Amount]]*(1-(Table1[[#This Row],[Discount %]]/100)))/10000000</f>
        <v>0.43335046299999996</v>
      </c>
      <c r="R660" t="s">
        <v>54</v>
      </c>
      <c r="S660" t="str" cm="1">
        <f t="array" ref="S660">IFERROR(_xlfn.IFS(Table1[[#This Row],[Payment Status]]="Partial","In Transit",Table1[[#This Row],[Payment Status]]="Paid","Delivered",Table1[[#This Row],[Payment Status]]="Pending","Pending"),"Invalid Input")</f>
        <v>Delivered</v>
      </c>
      <c r="T660" t="s">
        <v>44</v>
      </c>
      <c r="U660" t="str" cm="1">
        <f t="array" ref="U660">IFERROR(_xlfn.IFS(Table1[[#This Row],[Payment Status]]="Partial","In Transit",Table1[[#This Row],[Payment Status]]="Paid","Completed",Table1[[#This Row],[Payment Status]]="Pending","Pending"),"Invalid Input")</f>
        <v>Completed</v>
      </c>
    </row>
    <row r="661" spans="1:21" x14ac:dyDescent="0.25">
      <c r="A661" s="4" t="s">
        <v>1288</v>
      </c>
      <c r="B661" s="5">
        <v>45830</v>
      </c>
      <c r="C661" t="s">
        <v>73</v>
      </c>
      <c r="D661" t="s">
        <v>3269</v>
      </c>
      <c r="E661" t="s">
        <v>119</v>
      </c>
      <c r="F661" t="s">
        <v>3229</v>
      </c>
      <c r="G661" t="s">
        <v>21</v>
      </c>
      <c r="H661" t="str">
        <f>VLOOKUP(Table1[[#This Row],[City]],Table6[#All],2,FALSE)</f>
        <v>North</v>
      </c>
      <c r="I661" t="s">
        <v>3204</v>
      </c>
      <c r="J661" t="str">
        <f>_xlfn.XLOOKUP(Table1[[#This Row],[Tractor Model]],Table7[Product Model],Table7[Product Category],"Not Available",0)</f>
        <v>Kubota</v>
      </c>
      <c r="K661" s="4">
        <v>6</v>
      </c>
      <c r="L661" s="72">
        <v>739256</v>
      </c>
      <c r="M661" s="4">
        <f>INDEX('Master Sheet'!$C$4:$C$12,MATCH(Table1[[#This Row],[Quantity]],'Master Sheet'!$B$4:$B$12,0))</f>
        <v>8</v>
      </c>
      <c r="N661" s="71">
        <f>Table1[[#This Row],[Quantity]]*Table1[[#This Row],[Unit Price]]</f>
        <v>4435536</v>
      </c>
      <c r="O661" s="73">
        <v>0.44355359999999999</v>
      </c>
      <c r="P661" s="70">
        <f>Table1[[#This Row],[Gross Amount]]*(1-(Table1[[#This Row],[Discount %]]/100))</f>
        <v>4080693.12</v>
      </c>
      <c r="Q661" s="74">
        <f>(Table1[[#This Row],[Gross Amount]]*(1-(Table1[[#This Row],[Discount %]]/100)))/10000000</f>
        <v>0.40806931200000002</v>
      </c>
      <c r="R661" t="s">
        <v>42</v>
      </c>
      <c r="S661" t="str" cm="1">
        <f t="array" ref="S661">IFERROR(_xlfn.IFS(Table1[[#This Row],[Payment Status]]="Partial","In Transit",Table1[[#This Row],[Payment Status]]="Paid","Delivered",Table1[[#This Row],[Payment Status]]="Pending","Pending"),"Invalid Input")</f>
        <v>Pending</v>
      </c>
      <c r="T661" t="s">
        <v>27</v>
      </c>
      <c r="U661" t="str" cm="1">
        <f t="array" ref="U661">IFERROR(_xlfn.IFS(Table1[[#This Row],[Payment Status]]="Partial","In Transit",Table1[[#This Row],[Payment Status]]="Paid","Completed",Table1[[#This Row],[Payment Status]]="Pending","Pending"),"Invalid Input")</f>
        <v>Pending</v>
      </c>
    </row>
    <row r="662" spans="1:21" x14ac:dyDescent="0.25">
      <c r="A662" s="4" t="s">
        <v>1289</v>
      </c>
      <c r="B662" s="5">
        <v>45461</v>
      </c>
      <c r="C662" t="s">
        <v>62</v>
      </c>
      <c r="D662" t="s">
        <v>3269</v>
      </c>
      <c r="E662" t="s">
        <v>119</v>
      </c>
      <c r="F662" t="s">
        <v>3229</v>
      </c>
      <c r="G662" t="s">
        <v>21</v>
      </c>
      <c r="H662" t="str">
        <f>VLOOKUP(Table1[[#This Row],[City]],Table6[#All],2,FALSE)</f>
        <v>North</v>
      </c>
      <c r="I662" t="s">
        <v>24</v>
      </c>
      <c r="J662" t="str">
        <f>_xlfn.XLOOKUP(Table1[[#This Row],[Tractor Model]],Table7[Product Model],Table7[Product Category],"Not Available",0)</f>
        <v>Farmtrac</v>
      </c>
      <c r="K662" s="4">
        <v>5</v>
      </c>
      <c r="L662" s="72">
        <v>422065</v>
      </c>
      <c r="M662" s="4">
        <f>INDEX('Master Sheet'!$C$4:$C$12,MATCH(Table1[[#This Row],[Quantity]],'Master Sheet'!$B$4:$B$12,0))</f>
        <v>7</v>
      </c>
      <c r="N662" s="71">
        <f>Table1[[#This Row],[Quantity]]*Table1[[#This Row],[Unit Price]]</f>
        <v>2110325</v>
      </c>
      <c r="O662" s="73">
        <v>0.21103250000000001</v>
      </c>
      <c r="P662" s="70">
        <f>Table1[[#This Row],[Gross Amount]]*(1-(Table1[[#This Row],[Discount %]]/100))</f>
        <v>1962602.2499999998</v>
      </c>
      <c r="Q662" s="74">
        <f>(Table1[[#This Row],[Gross Amount]]*(1-(Table1[[#This Row],[Discount %]]/100)))/10000000</f>
        <v>0.19626022499999998</v>
      </c>
      <c r="R662" t="s">
        <v>42</v>
      </c>
      <c r="S662" t="str" cm="1">
        <f t="array" ref="S662">IFERROR(_xlfn.IFS(Table1[[#This Row],[Payment Status]]="Partial","In Transit",Table1[[#This Row],[Payment Status]]="Paid","Delivered",Table1[[#This Row],[Payment Status]]="Pending","Pending"),"Invalid Input")</f>
        <v>Pending</v>
      </c>
      <c r="T662" t="s">
        <v>27</v>
      </c>
      <c r="U662" t="str" cm="1">
        <f t="array" ref="U662">IFERROR(_xlfn.IFS(Table1[[#This Row],[Payment Status]]="Partial","In Transit",Table1[[#This Row],[Payment Status]]="Paid","Completed",Table1[[#This Row],[Payment Status]]="Pending","Pending"),"Invalid Input")</f>
        <v>Pending</v>
      </c>
    </row>
    <row r="663" spans="1:21" x14ac:dyDescent="0.25">
      <c r="A663" s="4" t="s">
        <v>1290</v>
      </c>
      <c r="B663" s="5">
        <v>45679</v>
      </c>
      <c r="C663" t="s">
        <v>62</v>
      </c>
      <c r="D663" t="s">
        <v>3270</v>
      </c>
      <c r="E663" t="s">
        <v>38</v>
      </c>
      <c r="F663" t="s">
        <v>3218</v>
      </c>
      <c r="G663" t="s">
        <v>39</v>
      </c>
      <c r="H663" t="str">
        <f>VLOOKUP(Table1[[#This Row],[City]],Table6[#All],2,FALSE)</f>
        <v>West</v>
      </c>
      <c r="I663" t="s">
        <v>58</v>
      </c>
      <c r="J663" t="str">
        <f>_xlfn.XLOOKUP(Table1[[#This Row],[Tractor Model]],Table7[Product Model],Table7[Product Category],"Not Available",0)</f>
        <v>Powertrac</v>
      </c>
      <c r="K663" s="4">
        <v>4</v>
      </c>
      <c r="L663" s="72">
        <v>761742</v>
      </c>
      <c r="M663" s="4">
        <f>INDEX('Master Sheet'!$C$4:$C$12,MATCH(Table1[[#This Row],[Quantity]],'Master Sheet'!$B$4:$B$12,0))</f>
        <v>6</v>
      </c>
      <c r="N663" s="71">
        <f>Table1[[#This Row],[Quantity]]*Table1[[#This Row],[Unit Price]]</f>
        <v>3046968</v>
      </c>
      <c r="O663" s="73">
        <v>0.30469679999999999</v>
      </c>
      <c r="P663" s="70">
        <f>Table1[[#This Row],[Gross Amount]]*(1-(Table1[[#This Row],[Discount %]]/100))</f>
        <v>2864149.92</v>
      </c>
      <c r="Q663" s="74">
        <f>(Table1[[#This Row],[Gross Amount]]*(1-(Table1[[#This Row],[Discount %]]/100)))/10000000</f>
        <v>0.28641499199999998</v>
      </c>
      <c r="R663" t="s">
        <v>54</v>
      </c>
      <c r="S663" t="str" cm="1">
        <f t="array" ref="S663">IFERROR(_xlfn.IFS(Table1[[#This Row],[Payment Status]]="Partial","In Transit",Table1[[#This Row],[Payment Status]]="Paid","Delivered",Table1[[#This Row],[Payment Status]]="Pending","Pending"),"Invalid Input")</f>
        <v>Delivered</v>
      </c>
      <c r="T663" t="s">
        <v>27</v>
      </c>
      <c r="U663" t="str" cm="1">
        <f t="array" ref="U663">IFERROR(_xlfn.IFS(Table1[[#This Row],[Payment Status]]="Partial","In Transit",Table1[[#This Row],[Payment Status]]="Paid","Completed",Table1[[#This Row],[Payment Status]]="Pending","Pending"),"Invalid Input")</f>
        <v>Completed</v>
      </c>
    </row>
    <row r="664" spans="1:21" x14ac:dyDescent="0.25">
      <c r="A664" s="4" t="s">
        <v>1291</v>
      </c>
      <c r="B664" s="5">
        <v>45341</v>
      </c>
      <c r="C664" t="s">
        <v>73</v>
      </c>
      <c r="D664" t="s">
        <v>3271</v>
      </c>
      <c r="E664" t="s">
        <v>47</v>
      </c>
      <c r="F664" t="s">
        <v>3221</v>
      </c>
      <c r="G664" t="s">
        <v>48</v>
      </c>
      <c r="H664" t="str">
        <f>VLOOKUP(Table1[[#This Row],[City]],Table6[#All],2,FALSE)</f>
        <v>North</v>
      </c>
      <c r="I664" t="s">
        <v>53</v>
      </c>
      <c r="J664" t="str">
        <f>_xlfn.XLOOKUP(Table1[[#This Row],[Tractor Model]],Table7[Product Model],Table7[Product Category],"Not Available",0)</f>
        <v>Farmtrac</v>
      </c>
      <c r="K664" s="4">
        <v>3</v>
      </c>
      <c r="L664" s="72">
        <v>464043</v>
      </c>
      <c r="M664" s="4">
        <f>INDEX('Master Sheet'!$C$4:$C$12,MATCH(Table1[[#This Row],[Quantity]],'Master Sheet'!$B$4:$B$12,0))</f>
        <v>6</v>
      </c>
      <c r="N664" s="71">
        <f>Table1[[#This Row],[Quantity]]*Table1[[#This Row],[Unit Price]]</f>
        <v>1392129</v>
      </c>
      <c r="O664" s="73">
        <v>0.1392129</v>
      </c>
      <c r="P664" s="70">
        <f>Table1[[#This Row],[Gross Amount]]*(1-(Table1[[#This Row],[Discount %]]/100))</f>
        <v>1308601.26</v>
      </c>
      <c r="Q664" s="74">
        <f>(Table1[[#This Row],[Gross Amount]]*(1-(Table1[[#This Row],[Discount %]]/100)))/10000000</f>
        <v>0.13086012599999999</v>
      </c>
      <c r="R664" t="s">
        <v>42</v>
      </c>
      <c r="S664" t="str" cm="1">
        <f t="array" ref="S664">IFERROR(_xlfn.IFS(Table1[[#This Row],[Payment Status]]="Partial","In Transit",Table1[[#This Row],[Payment Status]]="Paid","Delivered",Table1[[#This Row],[Payment Status]]="Pending","Pending"),"Invalid Input")</f>
        <v>Pending</v>
      </c>
      <c r="T664" t="s">
        <v>27</v>
      </c>
      <c r="U664" t="str" cm="1">
        <f t="array" ref="U664">IFERROR(_xlfn.IFS(Table1[[#This Row],[Payment Status]]="Partial","In Transit",Table1[[#This Row],[Payment Status]]="Paid","Completed",Table1[[#This Row],[Payment Status]]="Pending","Pending"),"Invalid Input")</f>
        <v>Pending</v>
      </c>
    </row>
    <row r="665" spans="1:21" x14ac:dyDescent="0.25">
      <c r="A665" s="4" t="s">
        <v>1293</v>
      </c>
      <c r="B665" s="5">
        <v>45390</v>
      </c>
      <c r="C665" t="s">
        <v>52</v>
      </c>
      <c r="D665" t="s">
        <v>3270</v>
      </c>
      <c r="E665" t="s">
        <v>66</v>
      </c>
      <c r="F665" t="s">
        <v>3220</v>
      </c>
      <c r="G665" t="s">
        <v>67</v>
      </c>
      <c r="H665" t="str">
        <f>VLOOKUP(Table1[[#This Row],[City]],Table6[#All],2,FALSE)</f>
        <v>East</v>
      </c>
      <c r="I665" t="s">
        <v>58</v>
      </c>
      <c r="J665" t="str">
        <f>_xlfn.XLOOKUP(Table1[[#This Row],[Tractor Model]],Table7[Product Model],Table7[Product Category],"Not Available",0)</f>
        <v>Powertrac</v>
      </c>
      <c r="K665" s="4">
        <v>7</v>
      </c>
      <c r="L665" s="72">
        <v>347026</v>
      </c>
      <c r="M665" s="4">
        <f>INDEX('Master Sheet'!$C$4:$C$12,MATCH(Table1[[#This Row],[Quantity]],'Master Sheet'!$B$4:$B$12,0))</f>
        <v>9</v>
      </c>
      <c r="N665" s="71">
        <f>Table1[[#This Row],[Quantity]]*Table1[[#This Row],[Unit Price]]</f>
        <v>2429182</v>
      </c>
      <c r="O665" s="73">
        <v>0.2429182</v>
      </c>
      <c r="P665" s="70">
        <f>Table1[[#This Row],[Gross Amount]]*(1-(Table1[[#This Row],[Discount %]]/100))</f>
        <v>2210555.62</v>
      </c>
      <c r="Q665" s="74">
        <f>(Table1[[#This Row],[Gross Amount]]*(1-(Table1[[#This Row],[Discount %]]/100)))/10000000</f>
        <v>0.22105556200000001</v>
      </c>
      <c r="R665" t="s">
        <v>25</v>
      </c>
      <c r="S665" t="str" cm="1">
        <f t="array" ref="S665">IFERROR(_xlfn.IFS(Table1[[#This Row],[Payment Status]]="Partial","In Transit",Table1[[#This Row],[Payment Status]]="Paid","Delivered",Table1[[#This Row],[Payment Status]]="Pending","Pending"),"Invalid Input")</f>
        <v>In Transit</v>
      </c>
      <c r="T665" t="s">
        <v>44</v>
      </c>
      <c r="U665" t="str" cm="1">
        <f t="array" ref="U665">IFERROR(_xlfn.IFS(Table1[[#This Row],[Payment Status]]="Partial","In Transit",Table1[[#This Row],[Payment Status]]="Paid","Completed",Table1[[#This Row],[Payment Status]]="Pending","Pending"),"Invalid Input")</f>
        <v>In Transit</v>
      </c>
    </row>
    <row r="666" spans="1:21" x14ac:dyDescent="0.25">
      <c r="A666" s="4" t="s">
        <v>1294</v>
      </c>
      <c r="B666" s="5">
        <v>45808</v>
      </c>
      <c r="C666" t="s">
        <v>62</v>
      </c>
      <c r="D666" t="s">
        <v>3268</v>
      </c>
      <c r="E666" t="s">
        <v>30</v>
      </c>
      <c r="F666" t="s">
        <v>3208</v>
      </c>
      <c r="G666" t="s">
        <v>31</v>
      </c>
      <c r="H666" t="str">
        <f>VLOOKUP(Table1[[#This Row],[City]],Table6[#All],2,FALSE)</f>
        <v>South</v>
      </c>
      <c r="I666" t="s">
        <v>3204</v>
      </c>
      <c r="J666" t="str">
        <f>_xlfn.XLOOKUP(Table1[[#This Row],[Tractor Model]],Table7[Product Model],Table7[Product Category],"Not Available",0)</f>
        <v>Kubota</v>
      </c>
      <c r="K666" s="4">
        <v>6</v>
      </c>
      <c r="L666" s="72">
        <v>698912</v>
      </c>
      <c r="M666" s="4">
        <f>INDEX('Master Sheet'!$C$4:$C$12,MATCH(Table1[[#This Row],[Quantity]],'Master Sheet'!$B$4:$B$12,0))</f>
        <v>8</v>
      </c>
      <c r="N666" s="71">
        <f>Table1[[#This Row],[Quantity]]*Table1[[#This Row],[Unit Price]]</f>
        <v>4193472</v>
      </c>
      <c r="O666" s="73">
        <v>0.41934719999999998</v>
      </c>
      <c r="P666" s="70">
        <f>Table1[[#This Row],[Gross Amount]]*(1-(Table1[[#This Row],[Discount %]]/100))</f>
        <v>3857994.24</v>
      </c>
      <c r="Q666" s="74">
        <f>(Table1[[#This Row],[Gross Amount]]*(1-(Table1[[#This Row],[Discount %]]/100)))/10000000</f>
        <v>0.385799424</v>
      </c>
      <c r="R666" t="s">
        <v>42</v>
      </c>
      <c r="S666" t="str" cm="1">
        <f t="array" ref="S666">IFERROR(_xlfn.IFS(Table1[[#This Row],[Payment Status]]="Partial","In Transit",Table1[[#This Row],[Payment Status]]="Paid","Delivered",Table1[[#This Row],[Payment Status]]="Pending","Pending"),"Invalid Input")</f>
        <v>Pending</v>
      </c>
      <c r="T666" t="s">
        <v>44</v>
      </c>
      <c r="U666" t="str" cm="1">
        <f t="array" ref="U666">IFERROR(_xlfn.IFS(Table1[[#This Row],[Payment Status]]="Partial","In Transit",Table1[[#This Row],[Payment Status]]="Paid","Completed",Table1[[#This Row],[Payment Status]]="Pending","Pending"),"Invalid Input")</f>
        <v>Pending</v>
      </c>
    </row>
    <row r="667" spans="1:21" x14ac:dyDescent="0.25">
      <c r="A667" s="4" t="s">
        <v>1295</v>
      </c>
      <c r="B667" s="5">
        <v>45684</v>
      </c>
      <c r="C667" t="s">
        <v>33</v>
      </c>
      <c r="D667" t="s">
        <v>3270</v>
      </c>
      <c r="E667" t="s">
        <v>119</v>
      </c>
      <c r="F667" t="s">
        <v>3212</v>
      </c>
      <c r="G667" t="s">
        <v>21</v>
      </c>
      <c r="H667" t="str">
        <f>VLOOKUP(Table1[[#This Row],[City]],Table6[#All],2,FALSE)</f>
        <v>North</v>
      </c>
      <c r="I667" t="s">
        <v>3203</v>
      </c>
      <c r="J667" t="str">
        <f>_xlfn.XLOOKUP(Table1[[#This Row],[Tractor Model]],Table7[Product Model],Table7[Product Category],"Not Available",0)</f>
        <v>Kubota</v>
      </c>
      <c r="K667" s="4">
        <v>1</v>
      </c>
      <c r="L667" s="72">
        <v>451294</v>
      </c>
      <c r="M667" s="4">
        <f>INDEX('Master Sheet'!$C$4:$C$12,MATCH(Table1[[#This Row],[Quantity]],'Master Sheet'!$B$4:$B$12,0))</f>
        <v>3</v>
      </c>
      <c r="N667" s="71">
        <f>Table1[[#This Row],[Quantity]]*Table1[[#This Row],[Unit Price]]</f>
        <v>451294</v>
      </c>
      <c r="O667" s="73">
        <v>4.51294E-2</v>
      </c>
      <c r="P667" s="70">
        <f>Table1[[#This Row],[Gross Amount]]*(1-(Table1[[#This Row],[Discount %]]/100))</f>
        <v>437755.18</v>
      </c>
      <c r="Q667" s="74">
        <f>(Table1[[#This Row],[Gross Amount]]*(1-(Table1[[#This Row],[Discount %]]/100)))/10000000</f>
        <v>4.3775517999999999E-2</v>
      </c>
      <c r="R667" t="s">
        <v>25</v>
      </c>
      <c r="S667" t="str" cm="1">
        <f t="array" ref="S667">IFERROR(_xlfn.IFS(Table1[[#This Row],[Payment Status]]="Partial","In Transit",Table1[[#This Row],[Payment Status]]="Paid","Delivered",Table1[[#This Row],[Payment Status]]="Pending","Pending"),"Invalid Input")</f>
        <v>In Transit</v>
      </c>
      <c r="T667" t="s">
        <v>27</v>
      </c>
      <c r="U667" t="str" cm="1">
        <f t="array" ref="U667">IFERROR(_xlfn.IFS(Table1[[#This Row],[Payment Status]]="Partial","In Transit",Table1[[#This Row],[Payment Status]]="Paid","Completed",Table1[[#This Row],[Payment Status]]="Pending","Pending"),"Invalid Input")</f>
        <v>In Transit</v>
      </c>
    </row>
    <row r="668" spans="1:21" x14ac:dyDescent="0.25">
      <c r="A668" s="4" t="s">
        <v>1297</v>
      </c>
      <c r="B668" s="5">
        <v>45572</v>
      </c>
      <c r="C668" t="s">
        <v>62</v>
      </c>
      <c r="D668" t="s">
        <v>3271</v>
      </c>
      <c r="E668" t="s">
        <v>47</v>
      </c>
      <c r="F668" t="s">
        <v>3221</v>
      </c>
      <c r="G668" t="s">
        <v>48</v>
      </c>
      <c r="H668" t="str">
        <f>VLOOKUP(Table1[[#This Row],[City]],Table6[#All],2,FALSE)</f>
        <v>North</v>
      </c>
      <c r="I668" t="s">
        <v>53</v>
      </c>
      <c r="J668" t="str">
        <f>_xlfn.XLOOKUP(Table1[[#This Row],[Tractor Model]],Table7[Product Model],Table7[Product Category],"Not Available",0)</f>
        <v>Farmtrac</v>
      </c>
      <c r="K668" s="4">
        <v>6</v>
      </c>
      <c r="L668" s="72">
        <v>581125</v>
      </c>
      <c r="M668" s="4">
        <f>INDEX('Master Sheet'!$C$4:$C$12,MATCH(Table1[[#This Row],[Quantity]],'Master Sheet'!$B$4:$B$12,0))</f>
        <v>8</v>
      </c>
      <c r="N668" s="71">
        <f>Table1[[#This Row],[Quantity]]*Table1[[#This Row],[Unit Price]]</f>
        <v>3486750</v>
      </c>
      <c r="O668" s="73">
        <v>0.34867500000000001</v>
      </c>
      <c r="P668" s="70">
        <f>Table1[[#This Row],[Gross Amount]]*(1-(Table1[[#This Row],[Discount %]]/100))</f>
        <v>3207810</v>
      </c>
      <c r="Q668" s="74">
        <f>(Table1[[#This Row],[Gross Amount]]*(1-(Table1[[#This Row],[Discount %]]/100)))/10000000</f>
        <v>0.32078099999999998</v>
      </c>
      <c r="R668" t="s">
        <v>54</v>
      </c>
      <c r="S668" t="str" cm="1">
        <f t="array" ref="S668">IFERROR(_xlfn.IFS(Table1[[#This Row],[Payment Status]]="Partial","In Transit",Table1[[#This Row],[Payment Status]]="Paid","Delivered",Table1[[#This Row],[Payment Status]]="Pending","Pending"),"Invalid Input")</f>
        <v>Delivered</v>
      </c>
      <c r="T668" t="s">
        <v>44</v>
      </c>
      <c r="U668" t="str" cm="1">
        <f t="array" ref="U668">IFERROR(_xlfn.IFS(Table1[[#This Row],[Payment Status]]="Partial","In Transit",Table1[[#This Row],[Payment Status]]="Paid","Completed",Table1[[#This Row],[Payment Status]]="Pending","Pending"),"Invalid Input")</f>
        <v>Completed</v>
      </c>
    </row>
    <row r="669" spans="1:21" x14ac:dyDescent="0.25">
      <c r="A669" s="4" t="s">
        <v>1298</v>
      </c>
      <c r="B669" s="5">
        <v>45377</v>
      </c>
      <c r="C669" t="s">
        <v>52</v>
      </c>
      <c r="D669" t="s">
        <v>37</v>
      </c>
      <c r="E669" t="s">
        <v>30</v>
      </c>
      <c r="F669" t="s">
        <v>3222</v>
      </c>
      <c r="G669" t="s">
        <v>31</v>
      </c>
      <c r="H669" t="str">
        <f>VLOOKUP(Table1[[#This Row],[City]],Table6[#All],2,FALSE)</f>
        <v>South</v>
      </c>
      <c r="I669" t="s">
        <v>3204</v>
      </c>
      <c r="J669" t="str">
        <f>_xlfn.XLOOKUP(Table1[[#This Row],[Tractor Model]],Table7[Product Model],Table7[Product Category],"Not Available",0)</f>
        <v>Kubota</v>
      </c>
      <c r="K669" s="4">
        <v>5</v>
      </c>
      <c r="L669" s="72">
        <v>401530</v>
      </c>
      <c r="M669" s="4">
        <f>INDEX('Master Sheet'!$C$4:$C$12,MATCH(Table1[[#This Row],[Quantity]],'Master Sheet'!$B$4:$B$12,0))</f>
        <v>7</v>
      </c>
      <c r="N669" s="71">
        <f>Table1[[#This Row],[Quantity]]*Table1[[#This Row],[Unit Price]]</f>
        <v>2007650</v>
      </c>
      <c r="O669" s="73">
        <v>0.200765</v>
      </c>
      <c r="P669" s="70">
        <f>Table1[[#This Row],[Gross Amount]]*(1-(Table1[[#This Row],[Discount %]]/100))</f>
        <v>1867114.4999999998</v>
      </c>
      <c r="Q669" s="74">
        <f>(Table1[[#This Row],[Gross Amount]]*(1-(Table1[[#This Row],[Discount %]]/100)))/10000000</f>
        <v>0.18671144999999997</v>
      </c>
      <c r="R669" t="s">
        <v>42</v>
      </c>
      <c r="S669" t="str" cm="1">
        <f t="array" ref="S669">IFERROR(_xlfn.IFS(Table1[[#This Row],[Payment Status]]="Partial","In Transit",Table1[[#This Row],[Payment Status]]="Paid","Delivered",Table1[[#This Row],[Payment Status]]="Pending","Pending"),"Invalid Input")</f>
        <v>Pending</v>
      </c>
      <c r="T669" t="s">
        <v>27</v>
      </c>
      <c r="U669" t="str" cm="1">
        <f t="array" ref="U669">IFERROR(_xlfn.IFS(Table1[[#This Row],[Payment Status]]="Partial","In Transit",Table1[[#This Row],[Payment Status]]="Paid","Completed",Table1[[#This Row],[Payment Status]]="Pending","Pending"),"Invalid Input")</f>
        <v>Pending</v>
      </c>
    </row>
    <row r="670" spans="1:21" x14ac:dyDescent="0.25">
      <c r="A670" s="4" t="s">
        <v>1300</v>
      </c>
      <c r="B670" s="5">
        <v>45796</v>
      </c>
      <c r="C670" t="s">
        <v>52</v>
      </c>
      <c r="D670" t="s">
        <v>3271</v>
      </c>
      <c r="E670" t="s">
        <v>38</v>
      </c>
      <c r="F670" t="s">
        <v>3210</v>
      </c>
      <c r="G670" t="s">
        <v>39</v>
      </c>
      <c r="H670" t="str">
        <f>VLOOKUP(Table1[[#This Row],[City]],Table6[#All],2,FALSE)</f>
        <v>West</v>
      </c>
      <c r="I670" t="s">
        <v>53</v>
      </c>
      <c r="J670" t="str">
        <f>_xlfn.XLOOKUP(Table1[[#This Row],[Tractor Model]],Table7[Product Model],Table7[Product Category],"Not Available",0)</f>
        <v>Farmtrac</v>
      </c>
      <c r="K670" s="4">
        <v>5</v>
      </c>
      <c r="L670" s="72">
        <v>522706</v>
      </c>
      <c r="M670" s="4">
        <f>INDEX('Master Sheet'!$C$4:$C$12,MATCH(Table1[[#This Row],[Quantity]],'Master Sheet'!$B$4:$B$12,0))</f>
        <v>7</v>
      </c>
      <c r="N670" s="71">
        <f>Table1[[#This Row],[Quantity]]*Table1[[#This Row],[Unit Price]]</f>
        <v>2613530</v>
      </c>
      <c r="O670" s="73">
        <v>0.261353</v>
      </c>
      <c r="P670" s="70">
        <f>Table1[[#This Row],[Gross Amount]]*(1-(Table1[[#This Row],[Discount %]]/100))</f>
        <v>2430582.9</v>
      </c>
      <c r="Q670" s="74">
        <f>(Table1[[#This Row],[Gross Amount]]*(1-(Table1[[#This Row],[Discount %]]/100)))/10000000</f>
        <v>0.24305828999999998</v>
      </c>
      <c r="R670" t="s">
        <v>42</v>
      </c>
      <c r="S670" t="str" cm="1">
        <f t="array" ref="S670">IFERROR(_xlfn.IFS(Table1[[#This Row],[Payment Status]]="Partial","In Transit",Table1[[#This Row],[Payment Status]]="Paid","Delivered",Table1[[#This Row],[Payment Status]]="Pending","Pending"),"Invalid Input")</f>
        <v>Pending</v>
      </c>
      <c r="T670" t="s">
        <v>27</v>
      </c>
      <c r="U670" t="str" cm="1">
        <f t="array" ref="U670">IFERROR(_xlfn.IFS(Table1[[#This Row],[Payment Status]]="Partial","In Transit",Table1[[#This Row],[Payment Status]]="Paid","Completed",Table1[[#This Row],[Payment Status]]="Pending","Pending"),"Invalid Input")</f>
        <v>Pending</v>
      </c>
    </row>
    <row r="671" spans="1:21" x14ac:dyDescent="0.25">
      <c r="A671" s="4" t="s">
        <v>1302</v>
      </c>
      <c r="B671" s="5">
        <v>45703</v>
      </c>
      <c r="C671" t="s">
        <v>52</v>
      </c>
      <c r="D671" t="s">
        <v>3271</v>
      </c>
      <c r="E671" t="s">
        <v>119</v>
      </c>
      <c r="F671" t="s">
        <v>3228</v>
      </c>
      <c r="G671" t="s">
        <v>21</v>
      </c>
      <c r="H671" t="str">
        <f>VLOOKUP(Table1[[#This Row],[City]],Table6[#All],2,FALSE)</f>
        <v>North</v>
      </c>
      <c r="I671" t="s">
        <v>3203</v>
      </c>
      <c r="J671" t="str">
        <f>_xlfn.XLOOKUP(Table1[[#This Row],[Tractor Model]],Table7[Product Model],Table7[Product Category],"Not Available",0)</f>
        <v>Kubota</v>
      </c>
      <c r="K671" s="4">
        <v>3</v>
      </c>
      <c r="L671" s="72">
        <v>715874</v>
      </c>
      <c r="M671" s="4">
        <f>INDEX('Master Sheet'!$C$4:$C$12,MATCH(Table1[[#This Row],[Quantity]],'Master Sheet'!$B$4:$B$12,0))</f>
        <v>6</v>
      </c>
      <c r="N671" s="71">
        <f>Table1[[#This Row],[Quantity]]*Table1[[#This Row],[Unit Price]]</f>
        <v>2147622</v>
      </c>
      <c r="O671" s="73">
        <v>0.21476219999999999</v>
      </c>
      <c r="P671" s="70">
        <f>Table1[[#This Row],[Gross Amount]]*(1-(Table1[[#This Row],[Discount %]]/100))</f>
        <v>2018764.68</v>
      </c>
      <c r="Q671" s="74">
        <f>(Table1[[#This Row],[Gross Amount]]*(1-(Table1[[#This Row],[Discount %]]/100)))/10000000</f>
        <v>0.201876468</v>
      </c>
      <c r="R671" t="s">
        <v>54</v>
      </c>
      <c r="S671" t="str" cm="1">
        <f t="array" ref="S671">IFERROR(_xlfn.IFS(Table1[[#This Row],[Payment Status]]="Partial","In Transit",Table1[[#This Row],[Payment Status]]="Paid","Delivered",Table1[[#This Row],[Payment Status]]="Pending","Pending"),"Invalid Input")</f>
        <v>Delivered</v>
      </c>
      <c r="T671" t="s">
        <v>27</v>
      </c>
      <c r="U671" t="str" cm="1">
        <f t="array" ref="U671">IFERROR(_xlfn.IFS(Table1[[#This Row],[Payment Status]]="Partial","In Transit",Table1[[#This Row],[Payment Status]]="Paid","Completed",Table1[[#This Row],[Payment Status]]="Pending","Pending"),"Invalid Input")</f>
        <v>Completed</v>
      </c>
    </row>
    <row r="672" spans="1:21" x14ac:dyDescent="0.25">
      <c r="A672" s="4" t="s">
        <v>1304</v>
      </c>
      <c r="B672" s="5">
        <v>45386</v>
      </c>
      <c r="C672" t="s">
        <v>33</v>
      </c>
      <c r="D672" t="s">
        <v>3270</v>
      </c>
      <c r="E672" t="s">
        <v>38</v>
      </c>
      <c r="F672" t="s">
        <v>3218</v>
      </c>
      <c r="G672" t="s">
        <v>39</v>
      </c>
      <c r="H672" t="str">
        <f>VLOOKUP(Table1[[#This Row],[City]],Table6[#All],2,FALSE)</f>
        <v>West</v>
      </c>
      <c r="I672" t="s">
        <v>58</v>
      </c>
      <c r="J672" t="str">
        <f>_xlfn.XLOOKUP(Table1[[#This Row],[Tractor Model]],Table7[Product Model],Table7[Product Category],"Not Available",0)</f>
        <v>Powertrac</v>
      </c>
      <c r="K672" s="4">
        <v>1</v>
      </c>
      <c r="L672" s="72">
        <v>313274</v>
      </c>
      <c r="M672" s="4">
        <f>INDEX('Master Sheet'!$C$4:$C$12,MATCH(Table1[[#This Row],[Quantity]],'Master Sheet'!$B$4:$B$12,0))</f>
        <v>3</v>
      </c>
      <c r="N672" s="71">
        <f>Table1[[#This Row],[Quantity]]*Table1[[#This Row],[Unit Price]]</f>
        <v>313274</v>
      </c>
      <c r="O672" s="73">
        <v>3.1327399999999998E-2</v>
      </c>
      <c r="P672" s="70">
        <f>Table1[[#This Row],[Gross Amount]]*(1-(Table1[[#This Row],[Discount %]]/100))</f>
        <v>303875.77999999997</v>
      </c>
      <c r="Q672" s="74">
        <f>(Table1[[#This Row],[Gross Amount]]*(1-(Table1[[#This Row],[Discount %]]/100)))/10000000</f>
        <v>3.0387577999999998E-2</v>
      </c>
      <c r="R672" t="s">
        <v>25</v>
      </c>
      <c r="S672" t="str" cm="1">
        <f t="array" ref="S672">IFERROR(_xlfn.IFS(Table1[[#This Row],[Payment Status]]="Partial","In Transit",Table1[[#This Row],[Payment Status]]="Paid","Delivered",Table1[[#This Row],[Payment Status]]="Pending","Pending"),"Invalid Input")</f>
        <v>In Transit</v>
      </c>
      <c r="T672" t="s">
        <v>44</v>
      </c>
      <c r="U672" t="str" cm="1">
        <f t="array" ref="U672">IFERROR(_xlfn.IFS(Table1[[#This Row],[Payment Status]]="Partial","In Transit",Table1[[#This Row],[Payment Status]]="Paid","Completed",Table1[[#This Row],[Payment Status]]="Pending","Pending"),"Invalid Input")</f>
        <v>In Transit</v>
      </c>
    </row>
    <row r="673" spans="1:21" x14ac:dyDescent="0.25">
      <c r="A673" s="4" t="s">
        <v>1306</v>
      </c>
      <c r="B673" s="5">
        <v>45423</v>
      </c>
      <c r="C673" t="s">
        <v>41</v>
      </c>
      <c r="D673" t="s">
        <v>3268</v>
      </c>
      <c r="E673" t="s">
        <v>66</v>
      </c>
      <c r="F673" t="s">
        <v>3211</v>
      </c>
      <c r="G673" t="s">
        <v>67</v>
      </c>
      <c r="H673" t="str">
        <f>VLOOKUP(Table1[[#This Row],[City]],Table6[#All],2,FALSE)</f>
        <v>East</v>
      </c>
      <c r="I673" t="s">
        <v>3203</v>
      </c>
      <c r="J673" t="str">
        <f>_xlfn.XLOOKUP(Table1[[#This Row],[Tractor Model]],Table7[Product Model],Table7[Product Category],"Not Available",0)</f>
        <v>Kubota</v>
      </c>
      <c r="K673" s="4">
        <v>4</v>
      </c>
      <c r="L673" s="72">
        <v>698110</v>
      </c>
      <c r="M673" s="4">
        <f>INDEX('Master Sheet'!$C$4:$C$12,MATCH(Table1[[#This Row],[Quantity]],'Master Sheet'!$B$4:$B$12,0))</f>
        <v>6</v>
      </c>
      <c r="N673" s="71">
        <f>Table1[[#This Row],[Quantity]]*Table1[[#This Row],[Unit Price]]</f>
        <v>2792440</v>
      </c>
      <c r="O673" s="73">
        <v>0.27924399999999999</v>
      </c>
      <c r="P673" s="70">
        <f>Table1[[#This Row],[Gross Amount]]*(1-(Table1[[#This Row],[Discount %]]/100))</f>
        <v>2624893.5999999996</v>
      </c>
      <c r="Q673" s="74">
        <f>(Table1[[#This Row],[Gross Amount]]*(1-(Table1[[#This Row],[Discount %]]/100)))/10000000</f>
        <v>0.26248935999999995</v>
      </c>
      <c r="R673" t="s">
        <v>42</v>
      </c>
      <c r="S673" t="str" cm="1">
        <f t="array" ref="S673">IFERROR(_xlfn.IFS(Table1[[#This Row],[Payment Status]]="Partial","In Transit",Table1[[#This Row],[Payment Status]]="Paid","Delivered",Table1[[#This Row],[Payment Status]]="Pending","Pending"),"Invalid Input")</f>
        <v>Pending</v>
      </c>
      <c r="T673" t="s">
        <v>44</v>
      </c>
      <c r="U673" t="str" cm="1">
        <f t="array" ref="U673">IFERROR(_xlfn.IFS(Table1[[#This Row],[Payment Status]]="Partial","In Transit",Table1[[#This Row],[Payment Status]]="Paid","Completed",Table1[[#This Row],[Payment Status]]="Pending","Pending"),"Invalid Input")</f>
        <v>Pending</v>
      </c>
    </row>
    <row r="674" spans="1:21" x14ac:dyDescent="0.25">
      <c r="A674" s="4" t="s">
        <v>1307</v>
      </c>
      <c r="B674" s="5">
        <v>45466</v>
      </c>
      <c r="C674" t="s">
        <v>73</v>
      </c>
      <c r="D674" t="s">
        <v>3271</v>
      </c>
      <c r="E674" t="s">
        <v>47</v>
      </c>
      <c r="F674" t="s">
        <v>3221</v>
      </c>
      <c r="G674" t="s">
        <v>48</v>
      </c>
      <c r="H674" t="str">
        <f>VLOOKUP(Table1[[#This Row],[City]],Table6[#All],2,FALSE)</f>
        <v>North</v>
      </c>
      <c r="I674" t="s">
        <v>58</v>
      </c>
      <c r="J674" t="str">
        <f>_xlfn.XLOOKUP(Table1[[#This Row],[Tractor Model]],Table7[Product Model],Table7[Product Category],"Not Available",0)</f>
        <v>Powertrac</v>
      </c>
      <c r="K674" s="4">
        <v>2</v>
      </c>
      <c r="L674" s="72">
        <v>175222</v>
      </c>
      <c r="M674" s="4">
        <f>INDEX('Master Sheet'!$C$4:$C$12,MATCH(Table1[[#This Row],[Quantity]],'Master Sheet'!$B$4:$B$12,0))</f>
        <v>5</v>
      </c>
      <c r="N674" s="71">
        <f>Table1[[#This Row],[Quantity]]*Table1[[#This Row],[Unit Price]]</f>
        <v>350444</v>
      </c>
      <c r="O674" s="73">
        <v>3.5044400000000003E-2</v>
      </c>
      <c r="P674" s="70">
        <f>Table1[[#This Row],[Gross Amount]]*(1-(Table1[[#This Row],[Discount %]]/100))</f>
        <v>332921.8</v>
      </c>
      <c r="Q674" s="74">
        <f>(Table1[[#This Row],[Gross Amount]]*(1-(Table1[[#This Row],[Discount %]]/100)))/10000000</f>
        <v>3.3292179999999998E-2</v>
      </c>
      <c r="R674" t="s">
        <v>54</v>
      </c>
      <c r="S674" t="str" cm="1">
        <f t="array" ref="S674">IFERROR(_xlfn.IFS(Table1[[#This Row],[Payment Status]]="Partial","In Transit",Table1[[#This Row],[Payment Status]]="Paid","Delivered",Table1[[#This Row],[Payment Status]]="Pending","Pending"),"Invalid Input")</f>
        <v>Delivered</v>
      </c>
      <c r="T674" t="s">
        <v>44</v>
      </c>
      <c r="U674" t="str" cm="1">
        <f t="array" ref="U674">IFERROR(_xlfn.IFS(Table1[[#This Row],[Payment Status]]="Partial","In Transit",Table1[[#This Row],[Payment Status]]="Paid","Completed",Table1[[#This Row],[Payment Status]]="Pending","Pending"),"Invalid Input")</f>
        <v>Completed</v>
      </c>
    </row>
    <row r="675" spans="1:21" x14ac:dyDescent="0.25">
      <c r="A675" s="4" t="s">
        <v>1309</v>
      </c>
      <c r="B675" s="5">
        <v>45747</v>
      </c>
      <c r="C675" t="s">
        <v>62</v>
      </c>
      <c r="D675" t="s">
        <v>3270</v>
      </c>
      <c r="E675" t="s">
        <v>119</v>
      </c>
      <c r="F675" t="s">
        <v>3212</v>
      </c>
      <c r="G675" t="s">
        <v>21</v>
      </c>
      <c r="H675" t="str">
        <f>VLOOKUP(Table1[[#This Row],[City]],Table6[#All],2,FALSE)</f>
        <v>North</v>
      </c>
      <c r="I675" t="s">
        <v>58</v>
      </c>
      <c r="J675" t="str">
        <f>_xlfn.XLOOKUP(Table1[[#This Row],[Tractor Model]],Table7[Product Model],Table7[Product Category],"Not Available",0)</f>
        <v>Powertrac</v>
      </c>
      <c r="K675" s="4">
        <v>6</v>
      </c>
      <c r="L675" s="72">
        <v>210180</v>
      </c>
      <c r="M675" s="4">
        <f>INDEX('Master Sheet'!$C$4:$C$12,MATCH(Table1[[#This Row],[Quantity]],'Master Sheet'!$B$4:$B$12,0))</f>
        <v>8</v>
      </c>
      <c r="N675" s="71">
        <f>Table1[[#This Row],[Quantity]]*Table1[[#This Row],[Unit Price]]</f>
        <v>1261080</v>
      </c>
      <c r="O675" s="73">
        <v>0.126108</v>
      </c>
      <c r="P675" s="70">
        <f>Table1[[#This Row],[Gross Amount]]*(1-(Table1[[#This Row],[Discount %]]/100))</f>
        <v>1160193.6000000001</v>
      </c>
      <c r="Q675" s="74">
        <f>(Table1[[#This Row],[Gross Amount]]*(1-(Table1[[#This Row],[Discount %]]/100)))/10000000</f>
        <v>0.11601936000000002</v>
      </c>
      <c r="R675" t="s">
        <v>25</v>
      </c>
      <c r="S675" t="str" cm="1">
        <f t="array" ref="S675">IFERROR(_xlfn.IFS(Table1[[#This Row],[Payment Status]]="Partial","In Transit",Table1[[#This Row],[Payment Status]]="Paid","Delivered",Table1[[#This Row],[Payment Status]]="Pending","Pending"),"Invalid Input")</f>
        <v>In Transit</v>
      </c>
      <c r="T675" t="s">
        <v>27</v>
      </c>
      <c r="U675" t="str" cm="1">
        <f t="array" ref="U675">IFERROR(_xlfn.IFS(Table1[[#This Row],[Payment Status]]="Partial","In Transit",Table1[[#This Row],[Payment Status]]="Paid","Completed",Table1[[#This Row],[Payment Status]]="Pending","Pending"),"Invalid Input")</f>
        <v>In Transit</v>
      </c>
    </row>
    <row r="676" spans="1:21" x14ac:dyDescent="0.25">
      <c r="A676" s="4" t="s">
        <v>1311</v>
      </c>
      <c r="B676" s="5">
        <v>45493</v>
      </c>
      <c r="C676" t="s">
        <v>41</v>
      </c>
      <c r="D676" t="s">
        <v>37</v>
      </c>
      <c r="E676" t="s">
        <v>47</v>
      </c>
      <c r="F676" t="s">
        <v>3215</v>
      </c>
      <c r="G676" t="s">
        <v>48</v>
      </c>
      <c r="H676" t="str">
        <f>VLOOKUP(Table1[[#This Row],[City]],Table6[#All],2,FALSE)</f>
        <v>North</v>
      </c>
      <c r="I676" t="s">
        <v>53</v>
      </c>
      <c r="J676" t="str">
        <f>_xlfn.XLOOKUP(Table1[[#This Row],[Tractor Model]],Table7[Product Model],Table7[Product Category],"Not Available",0)</f>
        <v>Farmtrac</v>
      </c>
      <c r="K676" s="4">
        <v>2</v>
      </c>
      <c r="L676" s="72">
        <v>597798</v>
      </c>
      <c r="M676" s="4">
        <f>INDEX('Master Sheet'!$C$4:$C$12,MATCH(Table1[[#This Row],[Quantity]],'Master Sheet'!$B$4:$B$12,0))</f>
        <v>5</v>
      </c>
      <c r="N676" s="71">
        <f>Table1[[#This Row],[Quantity]]*Table1[[#This Row],[Unit Price]]</f>
        <v>1195596</v>
      </c>
      <c r="O676" s="73">
        <v>0.1195596</v>
      </c>
      <c r="P676" s="70">
        <f>Table1[[#This Row],[Gross Amount]]*(1-(Table1[[#This Row],[Discount %]]/100))</f>
        <v>1135816.2</v>
      </c>
      <c r="Q676" s="74">
        <f>(Table1[[#This Row],[Gross Amount]]*(1-(Table1[[#This Row],[Discount %]]/100)))/10000000</f>
        <v>0.11358161999999999</v>
      </c>
      <c r="R676" t="s">
        <v>25</v>
      </c>
      <c r="S676" t="str" cm="1">
        <f t="array" ref="S676">IFERROR(_xlfn.IFS(Table1[[#This Row],[Payment Status]]="Partial","In Transit",Table1[[#This Row],[Payment Status]]="Paid","Delivered",Table1[[#This Row],[Payment Status]]="Pending","Pending"),"Invalid Input")</f>
        <v>In Transit</v>
      </c>
      <c r="T676" t="s">
        <v>27</v>
      </c>
      <c r="U676" t="str" cm="1">
        <f t="array" ref="U676">IFERROR(_xlfn.IFS(Table1[[#This Row],[Payment Status]]="Partial","In Transit",Table1[[#This Row],[Payment Status]]="Paid","Completed",Table1[[#This Row],[Payment Status]]="Pending","Pending"),"Invalid Input")</f>
        <v>In Transit</v>
      </c>
    </row>
    <row r="677" spans="1:21" x14ac:dyDescent="0.25">
      <c r="A677" s="4" t="s">
        <v>1313</v>
      </c>
      <c r="B677" s="5">
        <v>45409</v>
      </c>
      <c r="C677" t="s">
        <v>62</v>
      </c>
      <c r="D677" t="s">
        <v>37</v>
      </c>
      <c r="E677" t="s">
        <v>119</v>
      </c>
      <c r="F677" t="s">
        <v>3224</v>
      </c>
      <c r="G677" t="s">
        <v>21</v>
      </c>
      <c r="H677" t="str">
        <f>VLOOKUP(Table1[[#This Row],[City]],Table6[#All],2,FALSE)</f>
        <v>North</v>
      </c>
      <c r="I677" t="s">
        <v>53</v>
      </c>
      <c r="J677" t="str">
        <f>_xlfn.XLOOKUP(Table1[[#This Row],[Tractor Model]],Table7[Product Model],Table7[Product Category],"Not Available",0)</f>
        <v>Farmtrac</v>
      </c>
      <c r="K677" s="4">
        <v>1</v>
      </c>
      <c r="L677" s="72">
        <v>94593</v>
      </c>
      <c r="M677" s="4">
        <f>INDEX('Master Sheet'!$C$4:$C$12,MATCH(Table1[[#This Row],[Quantity]],'Master Sheet'!$B$4:$B$12,0))</f>
        <v>3</v>
      </c>
      <c r="N677" s="71">
        <f>Table1[[#This Row],[Quantity]]*Table1[[#This Row],[Unit Price]]</f>
        <v>94593</v>
      </c>
      <c r="O677" s="73">
        <v>9.4593000000000003E-3</v>
      </c>
      <c r="P677" s="70">
        <f>Table1[[#This Row],[Gross Amount]]*(1-(Table1[[#This Row],[Discount %]]/100))</f>
        <v>91755.209999999992</v>
      </c>
      <c r="Q677" s="74">
        <f>(Table1[[#This Row],[Gross Amount]]*(1-(Table1[[#This Row],[Discount %]]/100)))/10000000</f>
        <v>9.175520999999999E-3</v>
      </c>
      <c r="R677" t="s">
        <v>25</v>
      </c>
      <c r="S677" t="str" cm="1">
        <f t="array" ref="S677">IFERROR(_xlfn.IFS(Table1[[#This Row],[Payment Status]]="Partial","In Transit",Table1[[#This Row],[Payment Status]]="Paid","Delivered",Table1[[#This Row],[Payment Status]]="Pending","Pending"),"Invalid Input")</f>
        <v>In Transit</v>
      </c>
      <c r="T677" t="s">
        <v>44</v>
      </c>
      <c r="U677" t="str" cm="1">
        <f t="array" ref="U677">IFERROR(_xlfn.IFS(Table1[[#This Row],[Payment Status]]="Partial","In Transit",Table1[[#This Row],[Payment Status]]="Paid","Completed",Table1[[#This Row],[Payment Status]]="Pending","Pending"),"Invalid Input")</f>
        <v>In Transit</v>
      </c>
    </row>
    <row r="678" spans="1:21" x14ac:dyDescent="0.25">
      <c r="A678" s="4" t="s">
        <v>1315</v>
      </c>
      <c r="B678" s="5">
        <v>45601</v>
      </c>
      <c r="C678" t="s">
        <v>62</v>
      </c>
      <c r="D678" t="s">
        <v>3271</v>
      </c>
      <c r="E678" t="s">
        <v>30</v>
      </c>
      <c r="F678" t="s">
        <v>3217</v>
      </c>
      <c r="G678" t="s">
        <v>31</v>
      </c>
      <c r="H678" t="str">
        <f>VLOOKUP(Table1[[#This Row],[City]],Table6[#All],2,FALSE)</f>
        <v>South</v>
      </c>
      <c r="I678" t="s">
        <v>58</v>
      </c>
      <c r="J678" t="str">
        <f>_xlfn.XLOOKUP(Table1[[#This Row],[Tractor Model]],Table7[Product Model],Table7[Product Category],"Not Available",0)</f>
        <v>Powertrac</v>
      </c>
      <c r="K678" s="4">
        <v>5</v>
      </c>
      <c r="L678" s="72">
        <v>239418</v>
      </c>
      <c r="M678" s="4">
        <f>INDEX('Master Sheet'!$C$4:$C$12,MATCH(Table1[[#This Row],[Quantity]],'Master Sheet'!$B$4:$B$12,0))</f>
        <v>7</v>
      </c>
      <c r="N678" s="71">
        <f>Table1[[#This Row],[Quantity]]*Table1[[#This Row],[Unit Price]]</f>
        <v>1197090</v>
      </c>
      <c r="O678" s="73">
        <v>0.119709</v>
      </c>
      <c r="P678" s="70">
        <f>Table1[[#This Row],[Gross Amount]]*(1-(Table1[[#This Row],[Discount %]]/100))</f>
        <v>1113293.7</v>
      </c>
      <c r="Q678" s="74">
        <f>(Table1[[#This Row],[Gross Amount]]*(1-(Table1[[#This Row],[Discount %]]/100)))/10000000</f>
        <v>0.11132937</v>
      </c>
      <c r="R678" t="s">
        <v>25</v>
      </c>
      <c r="S678" t="str" cm="1">
        <f t="array" ref="S678">IFERROR(_xlfn.IFS(Table1[[#This Row],[Payment Status]]="Partial","In Transit",Table1[[#This Row],[Payment Status]]="Paid","Delivered",Table1[[#This Row],[Payment Status]]="Pending","Pending"),"Invalid Input")</f>
        <v>In Transit</v>
      </c>
      <c r="T678" t="s">
        <v>44</v>
      </c>
      <c r="U678" t="str" cm="1">
        <f t="array" ref="U678">IFERROR(_xlfn.IFS(Table1[[#This Row],[Payment Status]]="Partial","In Transit",Table1[[#This Row],[Payment Status]]="Paid","Completed",Table1[[#This Row],[Payment Status]]="Pending","Pending"),"Invalid Input")</f>
        <v>In Transit</v>
      </c>
    </row>
    <row r="679" spans="1:21" x14ac:dyDescent="0.25">
      <c r="A679" s="4" t="s">
        <v>1316</v>
      </c>
      <c r="B679" s="5">
        <v>45621</v>
      </c>
      <c r="C679" t="s">
        <v>52</v>
      </c>
      <c r="D679" t="s">
        <v>3270</v>
      </c>
      <c r="E679" t="s">
        <v>119</v>
      </c>
      <c r="F679" t="s">
        <v>3212</v>
      </c>
      <c r="G679" t="s">
        <v>21</v>
      </c>
      <c r="H679" t="str">
        <f>VLOOKUP(Table1[[#This Row],[City]],Table6[#All],2,FALSE)</f>
        <v>North</v>
      </c>
      <c r="I679" t="s">
        <v>3204</v>
      </c>
      <c r="J679" t="str">
        <f>_xlfn.XLOOKUP(Table1[[#This Row],[Tractor Model]],Table7[Product Model],Table7[Product Category],"Not Available",0)</f>
        <v>Kubota</v>
      </c>
      <c r="K679" s="4">
        <v>7</v>
      </c>
      <c r="L679" s="72">
        <v>729187</v>
      </c>
      <c r="M679" s="4">
        <f>INDEX('Master Sheet'!$C$4:$C$12,MATCH(Table1[[#This Row],[Quantity]],'Master Sheet'!$B$4:$B$12,0))</f>
        <v>9</v>
      </c>
      <c r="N679" s="71">
        <f>Table1[[#This Row],[Quantity]]*Table1[[#This Row],[Unit Price]]</f>
        <v>5104309</v>
      </c>
      <c r="O679" s="73">
        <v>0.51043090000000002</v>
      </c>
      <c r="P679" s="70">
        <f>Table1[[#This Row],[Gross Amount]]*(1-(Table1[[#This Row],[Discount %]]/100))</f>
        <v>4644921.1900000004</v>
      </c>
      <c r="Q679" s="74">
        <f>(Table1[[#This Row],[Gross Amount]]*(1-(Table1[[#This Row],[Discount %]]/100)))/10000000</f>
        <v>0.46449211900000004</v>
      </c>
      <c r="R679" t="s">
        <v>25</v>
      </c>
      <c r="S679" t="str" cm="1">
        <f t="array" ref="S679">IFERROR(_xlfn.IFS(Table1[[#This Row],[Payment Status]]="Partial","In Transit",Table1[[#This Row],[Payment Status]]="Paid","Delivered",Table1[[#This Row],[Payment Status]]="Pending","Pending"),"Invalid Input")</f>
        <v>In Transit</v>
      </c>
      <c r="T679" t="s">
        <v>27</v>
      </c>
      <c r="U679" t="str" cm="1">
        <f t="array" ref="U679">IFERROR(_xlfn.IFS(Table1[[#This Row],[Payment Status]]="Partial","In Transit",Table1[[#This Row],[Payment Status]]="Paid","Completed",Table1[[#This Row],[Payment Status]]="Pending","Pending"),"Invalid Input")</f>
        <v>In Transit</v>
      </c>
    </row>
    <row r="680" spans="1:21" x14ac:dyDescent="0.25">
      <c r="A680" s="4" t="s">
        <v>1317</v>
      </c>
      <c r="B680" s="5">
        <v>45498</v>
      </c>
      <c r="C680" t="s">
        <v>73</v>
      </c>
      <c r="D680" t="s">
        <v>3268</v>
      </c>
      <c r="E680" t="s">
        <v>38</v>
      </c>
      <c r="F680" t="s">
        <v>3219</v>
      </c>
      <c r="G680" t="s">
        <v>39</v>
      </c>
      <c r="H680" t="str">
        <f>VLOOKUP(Table1[[#This Row],[City]],Table6[#All],2,FALSE)</f>
        <v>West</v>
      </c>
      <c r="I680" t="s">
        <v>3204</v>
      </c>
      <c r="J680" t="str">
        <f>_xlfn.XLOOKUP(Table1[[#This Row],[Tractor Model]],Table7[Product Model],Table7[Product Category],"Not Available",0)</f>
        <v>Kubota</v>
      </c>
      <c r="K680" s="4">
        <v>8</v>
      </c>
      <c r="L680" s="72">
        <v>384922</v>
      </c>
      <c r="M680" s="4">
        <f>INDEX('Master Sheet'!$C$4:$C$12,MATCH(Table1[[#This Row],[Quantity]],'Master Sheet'!$B$4:$B$12,0))</f>
        <v>9</v>
      </c>
      <c r="N680" s="71">
        <f>Table1[[#This Row],[Quantity]]*Table1[[#This Row],[Unit Price]]</f>
        <v>3079376</v>
      </c>
      <c r="O680" s="73">
        <v>0.30793759999999998</v>
      </c>
      <c r="P680" s="70">
        <f>Table1[[#This Row],[Gross Amount]]*(1-(Table1[[#This Row],[Discount %]]/100))</f>
        <v>2802232.16</v>
      </c>
      <c r="Q680" s="74">
        <f>(Table1[[#This Row],[Gross Amount]]*(1-(Table1[[#This Row],[Discount %]]/100)))/10000000</f>
        <v>0.280223216</v>
      </c>
      <c r="R680" t="s">
        <v>54</v>
      </c>
      <c r="S680" t="str" cm="1">
        <f t="array" ref="S680">IFERROR(_xlfn.IFS(Table1[[#This Row],[Payment Status]]="Partial","In Transit",Table1[[#This Row],[Payment Status]]="Paid","Delivered",Table1[[#This Row],[Payment Status]]="Pending","Pending"),"Invalid Input")</f>
        <v>Delivered</v>
      </c>
      <c r="T680" t="s">
        <v>27</v>
      </c>
      <c r="U680" t="str" cm="1">
        <f t="array" ref="U680">IFERROR(_xlfn.IFS(Table1[[#This Row],[Payment Status]]="Partial","In Transit",Table1[[#This Row],[Payment Status]]="Paid","Completed",Table1[[#This Row],[Payment Status]]="Pending","Pending"),"Invalid Input")</f>
        <v>Completed</v>
      </c>
    </row>
    <row r="681" spans="1:21" x14ac:dyDescent="0.25">
      <c r="A681" s="4" t="s">
        <v>1319</v>
      </c>
      <c r="B681" s="5">
        <v>45634</v>
      </c>
      <c r="C681" t="s">
        <v>62</v>
      </c>
      <c r="D681" t="s">
        <v>3269</v>
      </c>
      <c r="E681" t="s">
        <v>38</v>
      </c>
      <c r="F681" t="s">
        <v>3206</v>
      </c>
      <c r="G681" t="s">
        <v>39</v>
      </c>
      <c r="H681" t="str">
        <f>VLOOKUP(Table1[[#This Row],[City]],Table6[#All],2,FALSE)</f>
        <v>West</v>
      </c>
      <c r="I681" t="s">
        <v>3203</v>
      </c>
      <c r="J681" t="str">
        <f>_xlfn.XLOOKUP(Table1[[#This Row],[Tractor Model]],Table7[Product Model],Table7[Product Category],"Not Available",0)</f>
        <v>Kubota</v>
      </c>
      <c r="K681" s="4">
        <v>3</v>
      </c>
      <c r="L681" s="72">
        <v>374376</v>
      </c>
      <c r="M681" s="4">
        <f>INDEX('Master Sheet'!$C$4:$C$12,MATCH(Table1[[#This Row],[Quantity]],'Master Sheet'!$B$4:$B$12,0))</f>
        <v>6</v>
      </c>
      <c r="N681" s="71">
        <f>Table1[[#This Row],[Quantity]]*Table1[[#This Row],[Unit Price]]</f>
        <v>1123128</v>
      </c>
      <c r="O681" s="73">
        <v>0.1123128</v>
      </c>
      <c r="P681" s="70">
        <f>Table1[[#This Row],[Gross Amount]]*(1-(Table1[[#This Row],[Discount %]]/100))</f>
        <v>1055740.3199999998</v>
      </c>
      <c r="Q681" s="74">
        <f>(Table1[[#This Row],[Gross Amount]]*(1-(Table1[[#This Row],[Discount %]]/100)))/10000000</f>
        <v>0.10557403199999998</v>
      </c>
      <c r="R681" t="s">
        <v>42</v>
      </c>
      <c r="S681" t="str" cm="1">
        <f t="array" ref="S681">IFERROR(_xlfn.IFS(Table1[[#This Row],[Payment Status]]="Partial","In Transit",Table1[[#This Row],[Payment Status]]="Paid","Delivered",Table1[[#This Row],[Payment Status]]="Pending","Pending"),"Invalid Input")</f>
        <v>Pending</v>
      </c>
      <c r="T681" t="s">
        <v>27</v>
      </c>
      <c r="U681" t="str" cm="1">
        <f t="array" ref="U681">IFERROR(_xlfn.IFS(Table1[[#This Row],[Payment Status]]="Partial","In Transit",Table1[[#This Row],[Payment Status]]="Paid","Completed",Table1[[#This Row],[Payment Status]]="Pending","Pending"),"Invalid Input")</f>
        <v>Pending</v>
      </c>
    </row>
    <row r="682" spans="1:21" x14ac:dyDescent="0.25">
      <c r="A682" s="4" t="s">
        <v>1321</v>
      </c>
      <c r="B682" s="5">
        <v>45800</v>
      </c>
      <c r="C682" t="s">
        <v>73</v>
      </c>
      <c r="D682" t="s">
        <v>37</v>
      </c>
      <c r="E682" t="s">
        <v>119</v>
      </c>
      <c r="F682" t="s">
        <v>3224</v>
      </c>
      <c r="G682" t="s">
        <v>21</v>
      </c>
      <c r="H682" t="str">
        <f>VLOOKUP(Table1[[#This Row],[City]],Table6[#All],2,FALSE)</f>
        <v>North</v>
      </c>
      <c r="I682" t="s">
        <v>53</v>
      </c>
      <c r="J682" t="str">
        <f>_xlfn.XLOOKUP(Table1[[#This Row],[Tractor Model]],Table7[Product Model],Table7[Product Category],"Not Available",0)</f>
        <v>Farmtrac</v>
      </c>
      <c r="K682" s="4">
        <v>5</v>
      </c>
      <c r="L682" s="72">
        <v>262863</v>
      </c>
      <c r="M682" s="4">
        <f>INDEX('Master Sheet'!$C$4:$C$12,MATCH(Table1[[#This Row],[Quantity]],'Master Sheet'!$B$4:$B$12,0))</f>
        <v>7</v>
      </c>
      <c r="N682" s="71">
        <f>Table1[[#This Row],[Quantity]]*Table1[[#This Row],[Unit Price]]</f>
        <v>1314315</v>
      </c>
      <c r="O682" s="73">
        <v>0.13143150000000001</v>
      </c>
      <c r="P682" s="70">
        <f>Table1[[#This Row],[Gross Amount]]*(1-(Table1[[#This Row],[Discount %]]/100))</f>
        <v>1222312.95</v>
      </c>
      <c r="Q682" s="74">
        <f>(Table1[[#This Row],[Gross Amount]]*(1-(Table1[[#This Row],[Discount %]]/100)))/10000000</f>
        <v>0.12223129499999999</v>
      </c>
      <c r="R682" t="s">
        <v>42</v>
      </c>
      <c r="S682" t="str" cm="1">
        <f t="array" ref="S682">IFERROR(_xlfn.IFS(Table1[[#This Row],[Payment Status]]="Partial","In Transit",Table1[[#This Row],[Payment Status]]="Paid","Delivered",Table1[[#This Row],[Payment Status]]="Pending","Pending"),"Invalid Input")</f>
        <v>Pending</v>
      </c>
      <c r="T682" t="s">
        <v>44</v>
      </c>
      <c r="U682" t="str" cm="1">
        <f t="array" ref="U682">IFERROR(_xlfn.IFS(Table1[[#This Row],[Payment Status]]="Partial","In Transit",Table1[[#This Row],[Payment Status]]="Paid","Completed",Table1[[#This Row],[Payment Status]]="Pending","Pending"),"Invalid Input")</f>
        <v>Pending</v>
      </c>
    </row>
    <row r="683" spans="1:21" x14ac:dyDescent="0.25">
      <c r="A683" s="4" t="s">
        <v>1323</v>
      </c>
      <c r="B683" s="5">
        <v>45374</v>
      </c>
      <c r="C683" t="s">
        <v>62</v>
      </c>
      <c r="D683" t="s">
        <v>3269</v>
      </c>
      <c r="E683" t="s">
        <v>30</v>
      </c>
      <c r="F683" t="s">
        <v>3225</v>
      </c>
      <c r="G683" t="s">
        <v>31</v>
      </c>
      <c r="H683" t="str">
        <f>VLOOKUP(Table1[[#This Row],[City]],Table6[#All],2,FALSE)</f>
        <v>South</v>
      </c>
      <c r="I683" t="s">
        <v>24</v>
      </c>
      <c r="J683" t="str">
        <f>_xlfn.XLOOKUP(Table1[[#This Row],[Tractor Model]],Table7[Product Model],Table7[Product Category],"Not Available",0)</f>
        <v>Farmtrac</v>
      </c>
      <c r="K683" s="4">
        <v>8</v>
      </c>
      <c r="L683" s="72">
        <v>325065</v>
      </c>
      <c r="M683" s="4">
        <f>INDEX('Master Sheet'!$C$4:$C$12,MATCH(Table1[[#This Row],[Quantity]],'Master Sheet'!$B$4:$B$12,0))</f>
        <v>9</v>
      </c>
      <c r="N683" s="71">
        <f>Table1[[#This Row],[Quantity]]*Table1[[#This Row],[Unit Price]]</f>
        <v>2600520</v>
      </c>
      <c r="O683" s="73">
        <v>0.26005200000000001</v>
      </c>
      <c r="P683" s="70">
        <f>Table1[[#This Row],[Gross Amount]]*(1-(Table1[[#This Row],[Discount %]]/100))</f>
        <v>2366473.2000000002</v>
      </c>
      <c r="Q683" s="74">
        <f>(Table1[[#This Row],[Gross Amount]]*(1-(Table1[[#This Row],[Discount %]]/100)))/10000000</f>
        <v>0.23664732000000002</v>
      </c>
      <c r="R683" t="s">
        <v>54</v>
      </c>
      <c r="S683" t="str" cm="1">
        <f t="array" ref="S683">IFERROR(_xlfn.IFS(Table1[[#This Row],[Payment Status]]="Partial","In Transit",Table1[[#This Row],[Payment Status]]="Paid","Delivered",Table1[[#This Row],[Payment Status]]="Pending","Pending"),"Invalid Input")</f>
        <v>Delivered</v>
      </c>
      <c r="T683" t="s">
        <v>27</v>
      </c>
      <c r="U683" t="str" cm="1">
        <f t="array" ref="U683">IFERROR(_xlfn.IFS(Table1[[#This Row],[Payment Status]]="Partial","In Transit",Table1[[#This Row],[Payment Status]]="Paid","Completed",Table1[[#This Row],[Payment Status]]="Pending","Pending"),"Invalid Input")</f>
        <v>Completed</v>
      </c>
    </row>
    <row r="684" spans="1:21" x14ac:dyDescent="0.25">
      <c r="A684" s="4" t="s">
        <v>1325</v>
      </c>
      <c r="B684" s="5">
        <v>45404</v>
      </c>
      <c r="C684" t="s">
        <v>62</v>
      </c>
      <c r="D684" t="s">
        <v>3268</v>
      </c>
      <c r="E684" t="s">
        <v>119</v>
      </c>
      <c r="F684" t="s">
        <v>3227</v>
      </c>
      <c r="G684" t="s">
        <v>21</v>
      </c>
      <c r="H684" t="str">
        <f>VLOOKUP(Table1[[#This Row],[City]],Table6[#All],2,FALSE)</f>
        <v>North</v>
      </c>
      <c r="I684" t="s">
        <v>24</v>
      </c>
      <c r="J684" t="str">
        <f>_xlfn.XLOOKUP(Table1[[#This Row],[Tractor Model]],Table7[Product Model],Table7[Product Category],"Not Available",0)</f>
        <v>Farmtrac</v>
      </c>
      <c r="K684" s="4">
        <v>4</v>
      </c>
      <c r="L684" s="72">
        <v>727592</v>
      </c>
      <c r="M684" s="4">
        <f>INDEX('Master Sheet'!$C$4:$C$12,MATCH(Table1[[#This Row],[Quantity]],'Master Sheet'!$B$4:$B$12,0))</f>
        <v>6</v>
      </c>
      <c r="N684" s="71">
        <f>Table1[[#This Row],[Quantity]]*Table1[[#This Row],[Unit Price]]</f>
        <v>2910368</v>
      </c>
      <c r="O684" s="73">
        <v>0.29103679999999998</v>
      </c>
      <c r="P684" s="70">
        <f>Table1[[#This Row],[Gross Amount]]*(1-(Table1[[#This Row],[Discount %]]/100))</f>
        <v>2735745.92</v>
      </c>
      <c r="Q684" s="74">
        <f>(Table1[[#This Row],[Gross Amount]]*(1-(Table1[[#This Row],[Discount %]]/100)))/10000000</f>
        <v>0.27357459200000001</v>
      </c>
      <c r="R684" t="s">
        <v>54</v>
      </c>
      <c r="S684" t="str" cm="1">
        <f t="array" ref="S684">IFERROR(_xlfn.IFS(Table1[[#This Row],[Payment Status]]="Partial","In Transit",Table1[[#This Row],[Payment Status]]="Paid","Delivered",Table1[[#This Row],[Payment Status]]="Pending","Pending"),"Invalid Input")</f>
        <v>Delivered</v>
      </c>
      <c r="T684" t="s">
        <v>27</v>
      </c>
      <c r="U684" t="str" cm="1">
        <f t="array" ref="U684">IFERROR(_xlfn.IFS(Table1[[#This Row],[Payment Status]]="Partial","In Transit",Table1[[#This Row],[Payment Status]]="Paid","Completed",Table1[[#This Row],[Payment Status]]="Pending","Pending"),"Invalid Input")</f>
        <v>Completed</v>
      </c>
    </row>
    <row r="685" spans="1:21" x14ac:dyDescent="0.25">
      <c r="A685" s="4" t="s">
        <v>1327</v>
      </c>
      <c r="B685" s="5">
        <v>45695</v>
      </c>
      <c r="C685" t="s">
        <v>73</v>
      </c>
      <c r="D685" t="s">
        <v>3269</v>
      </c>
      <c r="E685" t="s">
        <v>38</v>
      </c>
      <c r="F685" t="s">
        <v>3206</v>
      </c>
      <c r="G685" t="s">
        <v>39</v>
      </c>
      <c r="H685" t="str">
        <f>VLOOKUP(Table1[[#This Row],[City]],Table6[#All],2,FALSE)</f>
        <v>West</v>
      </c>
      <c r="I685" t="s">
        <v>24</v>
      </c>
      <c r="J685" t="str">
        <f>_xlfn.XLOOKUP(Table1[[#This Row],[Tractor Model]],Table7[Product Model],Table7[Product Category],"Not Available",0)</f>
        <v>Farmtrac</v>
      </c>
      <c r="K685" s="4">
        <v>3</v>
      </c>
      <c r="L685" s="72">
        <v>453409</v>
      </c>
      <c r="M685" s="4">
        <f>INDEX('Master Sheet'!$C$4:$C$12,MATCH(Table1[[#This Row],[Quantity]],'Master Sheet'!$B$4:$B$12,0))</f>
        <v>6</v>
      </c>
      <c r="N685" s="71">
        <f>Table1[[#This Row],[Quantity]]*Table1[[#This Row],[Unit Price]]</f>
        <v>1360227</v>
      </c>
      <c r="O685" s="73">
        <v>0.1360227</v>
      </c>
      <c r="P685" s="70">
        <f>Table1[[#This Row],[Gross Amount]]*(1-(Table1[[#This Row],[Discount %]]/100))</f>
        <v>1278613.3799999999</v>
      </c>
      <c r="Q685" s="74">
        <f>(Table1[[#This Row],[Gross Amount]]*(1-(Table1[[#This Row],[Discount %]]/100)))/10000000</f>
        <v>0.12786133799999999</v>
      </c>
      <c r="R685" t="s">
        <v>25</v>
      </c>
      <c r="S685" t="str" cm="1">
        <f t="array" ref="S685">IFERROR(_xlfn.IFS(Table1[[#This Row],[Payment Status]]="Partial","In Transit",Table1[[#This Row],[Payment Status]]="Paid","Delivered",Table1[[#This Row],[Payment Status]]="Pending","Pending"),"Invalid Input")</f>
        <v>In Transit</v>
      </c>
      <c r="T685" t="s">
        <v>27</v>
      </c>
      <c r="U685" t="str" cm="1">
        <f t="array" ref="U685">IFERROR(_xlfn.IFS(Table1[[#This Row],[Payment Status]]="Partial","In Transit",Table1[[#This Row],[Payment Status]]="Paid","Completed",Table1[[#This Row],[Payment Status]]="Pending","Pending"),"Invalid Input")</f>
        <v>In Transit</v>
      </c>
    </row>
    <row r="686" spans="1:21" x14ac:dyDescent="0.25">
      <c r="A686" s="4" t="s">
        <v>1328</v>
      </c>
      <c r="B686" s="5">
        <v>45712</v>
      </c>
      <c r="C686" t="s">
        <v>33</v>
      </c>
      <c r="D686" t="s">
        <v>3269</v>
      </c>
      <c r="E686" t="s">
        <v>38</v>
      </c>
      <c r="F686" t="s">
        <v>3206</v>
      </c>
      <c r="G686" t="s">
        <v>39</v>
      </c>
      <c r="H686" t="str">
        <f>VLOOKUP(Table1[[#This Row],[City]],Table6[#All],2,FALSE)</f>
        <v>West</v>
      </c>
      <c r="I686" t="s">
        <v>3204</v>
      </c>
      <c r="J686" t="str">
        <f>_xlfn.XLOOKUP(Table1[[#This Row],[Tractor Model]],Table7[Product Model],Table7[Product Category],"Not Available",0)</f>
        <v>Kubota</v>
      </c>
      <c r="K686" s="4">
        <v>8</v>
      </c>
      <c r="L686" s="72">
        <v>860602</v>
      </c>
      <c r="M686" s="4">
        <f>INDEX('Master Sheet'!$C$4:$C$12,MATCH(Table1[[#This Row],[Quantity]],'Master Sheet'!$B$4:$B$12,0))</f>
        <v>9</v>
      </c>
      <c r="N686" s="71">
        <f>Table1[[#This Row],[Quantity]]*Table1[[#This Row],[Unit Price]]</f>
        <v>6884816</v>
      </c>
      <c r="O686" s="73">
        <v>0.68848160000000003</v>
      </c>
      <c r="P686" s="70">
        <f>Table1[[#This Row],[Gross Amount]]*(1-(Table1[[#This Row],[Discount %]]/100))</f>
        <v>6265182.5600000005</v>
      </c>
      <c r="Q686" s="74">
        <f>(Table1[[#This Row],[Gross Amount]]*(1-(Table1[[#This Row],[Discount %]]/100)))/10000000</f>
        <v>0.62651825600000011</v>
      </c>
      <c r="R686" t="s">
        <v>54</v>
      </c>
      <c r="S686" t="str" cm="1">
        <f t="array" ref="S686">IFERROR(_xlfn.IFS(Table1[[#This Row],[Payment Status]]="Partial","In Transit",Table1[[#This Row],[Payment Status]]="Paid","Delivered",Table1[[#This Row],[Payment Status]]="Pending","Pending"),"Invalid Input")</f>
        <v>Delivered</v>
      </c>
      <c r="T686" t="s">
        <v>27</v>
      </c>
      <c r="U686" t="str" cm="1">
        <f t="array" ref="U686">IFERROR(_xlfn.IFS(Table1[[#This Row],[Payment Status]]="Partial","In Transit",Table1[[#This Row],[Payment Status]]="Paid","Completed",Table1[[#This Row],[Payment Status]]="Pending","Pending"),"Invalid Input")</f>
        <v>Completed</v>
      </c>
    </row>
    <row r="687" spans="1:21" x14ac:dyDescent="0.25">
      <c r="A687" s="4" t="s">
        <v>1330</v>
      </c>
      <c r="B687" s="5">
        <v>45541</v>
      </c>
      <c r="C687" t="s">
        <v>33</v>
      </c>
      <c r="D687" t="s">
        <v>3271</v>
      </c>
      <c r="E687" t="s">
        <v>47</v>
      </c>
      <c r="F687" t="s">
        <v>3221</v>
      </c>
      <c r="G687" t="s">
        <v>48</v>
      </c>
      <c r="H687" t="str">
        <f>VLOOKUP(Table1[[#This Row],[City]],Table6[#All],2,FALSE)</f>
        <v>North</v>
      </c>
      <c r="I687" t="s">
        <v>3204</v>
      </c>
      <c r="J687" t="str">
        <f>_xlfn.XLOOKUP(Table1[[#This Row],[Tractor Model]],Table7[Product Model],Table7[Product Category],"Not Available",0)</f>
        <v>Kubota</v>
      </c>
      <c r="K687" s="4">
        <v>5</v>
      </c>
      <c r="L687" s="72">
        <v>478092</v>
      </c>
      <c r="M687" s="4">
        <f>INDEX('Master Sheet'!$C$4:$C$12,MATCH(Table1[[#This Row],[Quantity]],'Master Sheet'!$B$4:$B$12,0))</f>
        <v>7</v>
      </c>
      <c r="N687" s="71">
        <f>Table1[[#This Row],[Quantity]]*Table1[[#This Row],[Unit Price]]</f>
        <v>2390460</v>
      </c>
      <c r="O687" s="73">
        <v>0.23904600000000001</v>
      </c>
      <c r="P687" s="70">
        <f>Table1[[#This Row],[Gross Amount]]*(1-(Table1[[#This Row],[Discount %]]/100))</f>
        <v>2223127.7999999998</v>
      </c>
      <c r="Q687" s="74">
        <f>(Table1[[#This Row],[Gross Amount]]*(1-(Table1[[#This Row],[Discount %]]/100)))/10000000</f>
        <v>0.22231277999999999</v>
      </c>
      <c r="R687" t="s">
        <v>54</v>
      </c>
      <c r="S687" t="str" cm="1">
        <f t="array" ref="S687">IFERROR(_xlfn.IFS(Table1[[#This Row],[Payment Status]]="Partial","In Transit",Table1[[#This Row],[Payment Status]]="Paid","Delivered",Table1[[#This Row],[Payment Status]]="Pending","Pending"),"Invalid Input")</f>
        <v>Delivered</v>
      </c>
      <c r="T687" t="s">
        <v>44</v>
      </c>
      <c r="U687" t="str" cm="1">
        <f t="array" ref="U687">IFERROR(_xlfn.IFS(Table1[[#This Row],[Payment Status]]="Partial","In Transit",Table1[[#This Row],[Payment Status]]="Paid","Completed",Table1[[#This Row],[Payment Status]]="Pending","Pending"),"Invalid Input")</f>
        <v>Completed</v>
      </c>
    </row>
    <row r="688" spans="1:21" x14ac:dyDescent="0.25">
      <c r="A688" s="4" t="s">
        <v>1331</v>
      </c>
      <c r="B688" s="5">
        <v>45323</v>
      </c>
      <c r="C688" t="s">
        <v>62</v>
      </c>
      <c r="D688" t="s">
        <v>3268</v>
      </c>
      <c r="E688" t="s">
        <v>47</v>
      </c>
      <c r="F688" t="s">
        <v>3216</v>
      </c>
      <c r="G688" t="s">
        <v>48</v>
      </c>
      <c r="H688" t="str">
        <f>VLOOKUP(Table1[[#This Row],[City]],Table6[#All],2,FALSE)</f>
        <v>North</v>
      </c>
      <c r="I688" t="s">
        <v>3203</v>
      </c>
      <c r="J688" t="str">
        <f>_xlfn.XLOOKUP(Table1[[#This Row],[Tractor Model]],Table7[Product Model],Table7[Product Category],"Not Available",0)</f>
        <v>Kubota</v>
      </c>
      <c r="K688" s="4">
        <v>6</v>
      </c>
      <c r="L688" s="72">
        <v>634200</v>
      </c>
      <c r="M688" s="4">
        <f>INDEX('Master Sheet'!$C$4:$C$12,MATCH(Table1[[#This Row],[Quantity]],'Master Sheet'!$B$4:$B$12,0))</f>
        <v>8</v>
      </c>
      <c r="N688" s="71">
        <f>Table1[[#This Row],[Quantity]]*Table1[[#This Row],[Unit Price]]</f>
        <v>3805200</v>
      </c>
      <c r="O688" s="73">
        <v>0.38052000000000002</v>
      </c>
      <c r="P688" s="70">
        <f>Table1[[#This Row],[Gross Amount]]*(1-(Table1[[#This Row],[Discount %]]/100))</f>
        <v>3500784</v>
      </c>
      <c r="Q688" s="74">
        <f>(Table1[[#This Row],[Gross Amount]]*(1-(Table1[[#This Row],[Discount %]]/100)))/10000000</f>
        <v>0.35007840000000001</v>
      </c>
      <c r="R688" t="s">
        <v>25</v>
      </c>
      <c r="S688" t="str" cm="1">
        <f t="array" ref="S688">IFERROR(_xlfn.IFS(Table1[[#This Row],[Payment Status]]="Partial","In Transit",Table1[[#This Row],[Payment Status]]="Paid","Delivered",Table1[[#This Row],[Payment Status]]="Pending","Pending"),"Invalid Input")</f>
        <v>In Transit</v>
      </c>
      <c r="T688" t="s">
        <v>27</v>
      </c>
      <c r="U688" t="str" cm="1">
        <f t="array" ref="U688">IFERROR(_xlfn.IFS(Table1[[#This Row],[Payment Status]]="Partial","In Transit",Table1[[#This Row],[Payment Status]]="Paid","Completed",Table1[[#This Row],[Payment Status]]="Pending","Pending"),"Invalid Input")</f>
        <v>In Transit</v>
      </c>
    </row>
    <row r="689" spans="1:21" x14ac:dyDescent="0.25">
      <c r="A689" s="4" t="s">
        <v>1333</v>
      </c>
      <c r="B689" s="5">
        <v>45525</v>
      </c>
      <c r="C689" t="s">
        <v>52</v>
      </c>
      <c r="D689" t="s">
        <v>3271</v>
      </c>
      <c r="E689" t="s">
        <v>38</v>
      </c>
      <c r="F689" t="s">
        <v>3210</v>
      </c>
      <c r="G689" t="s">
        <v>39</v>
      </c>
      <c r="H689" t="str">
        <f>VLOOKUP(Table1[[#This Row],[City]],Table6[#All],2,FALSE)</f>
        <v>West</v>
      </c>
      <c r="I689" t="s">
        <v>53</v>
      </c>
      <c r="J689" t="str">
        <f>_xlfn.XLOOKUP(Table1[[#This Row],[Tractor Model]],Table7[Product Model],Table7[Product Category],"Not Available",0)</f>
        <v>Farmtrac</v>
      </c>
      <c r="K689" s="4">
        <v>1</v>
      </c>
      <c r="L689" s="72">
        <v>379461</v>
      </c>
      <c r="M689" s="4">
        <f>INDEX('Master Sheet'!$C$4:$C$12,MATCH(Table1[[#This Row],[Quantity]],'Master Sheet'!$B$4:$B$12,0))</f>
        <v>3</v>
      </c>
      <c r="N689" s="71">
        <f>Table1[[#This Row],[Quantity]]*Table1[[#This Row],[Unit Price]]</f>
        <v>379461</v>
      </c>
      <c r="O689" s="73">
        <v>3.7946100000000003E-2</v>
      </c>
      <c r="P689" s="70">
        <f>Table1[[#This Row],[Gross Amount]]*(1-(Table1[[#This Row],[Discount %]]/100))</f>
        <v>368077.17</v>
      </c>
      <c r="Q689" s="74">
        <f>(Table1[[#This Row],[Gross Amount]]*(1-(Table1[[#This Row],[Discount %]]/100)))/10000000</f>
        <v>3.6807716999999997E-2</v>
      </c>
      <c r="R689" t="s">
        <v>42</v>
      </c>
      <c r="S689" t="str" cm="1">
        <f t="array" ref="S689">IFERROR(_xlfn.IFS(Table1[[#This Row],[Payment Status]]="Partial","In Transit",Table1[[#This Row],[Payment Status]]="Paid","Delivered",Table1[[#This Row],[Payment Status]]="Pending","Pending"),"Invalid Input")</f>
        <v>Pending</v>
      </c>
      <c r="T689" t="s">
        <v>27</v>
      </c>
      <c r="U689" t="str" cm="1">
        <f t="array" ref="U689">IFERROR(_xlfn.IFS(Table1[[#This Row],[Payment Status]]="Partial","In Transit",Table1[[#This Row],[Payment Status]]="Paid","Completed",Table1[[#This Row],[Payment Status]]="Pending","Pending"),"Invalid Input")</f>
        <v>Pending</v>
      </c>
    </row>
    <row r="690" spans="1:21" x14ac:dyDescent="0.25">
      <c r="A690" s="4" t="s">
        <v>1335</v>
      </c>
      <c r="B690" s="5">
        <v>45793</v>
      </c>
      <c r="C690" t="s">
        <v>62</v>
      </c>
      <c r="D690" t="s">
        <v>3269</v>
      </c>
      <c r="E690" t="s">
        <v>30</v>
      </c>
      <c r="F690" t="s">
        <v>3225</v>
      </c>
      <c r="G690" t="s">
        <v>31</v>
      </c>
      <c r="H690" t="str">
        <f>VLOOKUP(Table1[[#This Row],[City]],Table6[#All],2,FALSE)</f>
        <v>South</v>
      </c>
      <c r="I690" t="s">
        <v>53</v>
      </c>
      <c r="J690" t="str">
        <f>_xlfn.XLOOKUP(Table1[[#This Row],[Tractor Model]],Table7[Product Model],Table7[Product Category],"Not Available",0)</f>
        <v>Farmtrac</v>
      </c>
      <c r="K690" s="4">
        <v>7</v>
      </c>
      <c r="L690" s="72">
        <v>58460</v>
      </c>
      <c r="M690" s="4">
        <f>INDEX('Master Sheet'!$C$4:$C$12,MATCH(Table1[[#This Row],[Quantity]],'Master Sheet'!$B$4:$B$12,0))</f>
        <v>9</v>
      </c>
      <c r="N690" s="71">
        <f>Table1[[#This Row],[Quantity]]*Table1[[#This Row],[Unit Price]]</f>
        <v>409220</v>
      </c>
      <c r="O690" s="73">
        <v>4.0922E-2</v>
      </c>
      <c r="P690" s="70">
        <f>Table1[[#This Row],[Gross Amount]]*(1-(Table1[[#This Row],[Discount %]]/100))</f>
        <v>372390.2</v>
      </c>
      <c r="Q690" s="74">
        <f>(Table1[[#This Row],[Gross Amount]]*(1-(Table1[[#This Row],[Discount %]]/100)))/10000000</f>
        <v>3.7239020000000005E-2</v>
      </c>
      <c r="R690" t="s">
        <v>54</v>
      </c>
      <c r="S690" t="str" cm="1">
        <f t="array" ref="S690">IFERROR(_xlfn.IFS(Table1[[#This Row],[Payment Status]]="Partial","In Transit",Table1[[#This Row],[Payment Status]]="Paid","Delivered",Table1[[#This Row],[Payment Status]]="Pending","Pending"),"Invalid Input")</f>
        <v>Delivered</v>
      </c>
      <c r="T690" t="s">
        <v>27</v>
      </c>
      <c r="U690" t="str" cm="1">
        <f t="array" ref="U690">IFERROR(_xlfn.IFS(Table1[[#This Row],[Payment Status]]="Partial","In Transit",Table1[[#This Row],[Payment Status]]="Paid","Completed",Table1[[#This Row],[Payment Status]]="Pending","Pending"),"Invalid Input")</f>
        <v>Completed</v>
      </c>
    </row>
    <row r="691" spans="1:21" x14ac:dyDescent="0.25">
      <c r="A691" s="4" t="s">
        <v>1336</v>
      </c>
      <c r="B691" s="5">
        <v>45508</v>
      </c>
      <c r="C691" t="s">
        <v>52</v>
      </c>
      <c r="D691" t="s">
        <v>37</v>
      </c>
      <c r="E691" t="s">
        <v>47</v>
      </c>
      <c r="F691" t="s">
        <v>3215</v>
      </c>
      <c r="G691" t="s">
        <v>48</v>
      </c>
      <c r="H691" t="str">
        <f>VLOOKUP(Table1[[#This Row],[City]],Table6[#All],2,FALSE)</f>
        <v>North</v>
      </c>
      <c r="I691" t="s">
        <v>3203</v>
      </c>
      <c r="J691" t="str">
        <f>_xlfn.XLOOKUP(Table1[[#This Row],[Tractor Model]],Table7[Product Model],Table7[Product Category],"Not Available",0)</f>
        <v>Kubota</v>
      </c>
      <c r="K691" s="4">
        <v>4</v>
      </c>
      <c r="L691" s="72">
        <v>650617</v>
      </c>
      <c r="M691" s="4">
        <f>INDEX('Master Sheet'!$C$4:$C$12,MATCH(Table1[[#This Row],[Quantity]],'Master Sheet'!$B$4:$B$12,0))</f>
        <v>6</v>
      </c>
      <c r="N691" s="71">
        <f>Table1[[#This Row],[Quantity]]*Table1[[#This Row],[Unit Price]]</f>
        <v>2602468</v>
      </c>
      <c r="O691" s="73">
        <v>0.2602468</v>
      </c>
      <c r="P691" s="70">
        <f>Table1[[#This Row],[Gross Amount]]*(1-(Table1[[#This Row],[Discount %]]/100))</f>
        <v>2446319.92</v>
      </c>
      <c r="Q691" s="74">
        <f>(Table1[[#This Row],[Gross Amount]]*(1-(Table1[[#This Row],[Discount %]]/100)))/10000000</f>
        <v>0.24463199199999999</v>
      </c>
      <c r="R691" t="s">
        <v>42</v>
      </c>
      <c r="S691" t="str" cm="1">
        <f t="array" ref="S691">IFERROR(_xlfn.IFS(Table1[[#This Row],[Payment Status]]="Partial","In Transit",Table1[[#This Row],[Payment Status]]="Paid","Delivered",Table1[[#This Row],[Payment Status]]="Pending","Pending"),"Invalid Input")</f>
        <v>Pending</v>
      </c>
      <c r="T691" t="s">
        <v>27</v>
      </c>
      <c r="U691" t="str" cm="1">
        <f t="array" ref="U691">IFERROR(_xlfn.IFS(Table1[[#This Row],[Payment Status]]="Partial","In Transit",Table1[[#This Row],[Payment Status]]="Paid","Completed",Table1[[#This Row],[Payment Status]]="Pending","Pending"),"Invalid Input")</f>
        <v>Pending</v>
      </c>
    </row>
    <row r="692" spans="1:21" x14ac:dyDescent="0.25">
      <c r="A692" s="4" t="s">
        <v>1337</v>
      </c>
      <c r="B692" s="5">
        <v>45745</v>
      </c>
      <c r="C692" t="s">
        <v>62</v>
      </c>
      <c r="D692" t="s">
        <v>3271</v>
      </c>
      <c r="E692" t="s">
        <v>47</v>
      </c>
      <c r="F692" t="s">
        <v>3221</v>
      </c>
      <c r="G692" t="s">
        <v>48</v>
      </c>
      <c r="H692" t="str">
        <f>VLOOKUP(Table1[[#This Row],[City]],Table6[#All],2,FALSE)</f>
        <v>North</v>
      </c>
      <c r="I692" t="s">
        <v>3204</v>
      </c>
      <c r="J692" t="str">
        <f>_xlfn.XLOOKUP(Table1[[#This Row],[Tractor Model]],Table7[Product Model],Table7[Product Category],"Not Available",0)</f>
        <v>Kubota</v>
      </c>
      <c r="K692" s="4">
        <v>4</v>
      </c>
      <c r="L692" s="72">
        <v>797787</v>
      </c>
      <c r="M692" s="4">
        <f>INDEX('Master Sheet'!$C$4:$C$12,MATCH(Table1[[#This Row],[Quantity]],'Master Sheet'!$B$4:$B$12,0))</f>
        <v>6</v>
      </c>
      <c r="N692" s="71">
        <f>Table1[[#This Row],[Quantity]]*Table1[[#This Row],[Unit Price]]</f>
        <v>3191148</v>
      </c>
      <c r="O692" s="73">
        <v>0.31911479999999998</v>
      </c>
      <c r="P692" s="70">
        <f>Table1[[#This Row],[Gross Amount]]*(1-(Table1[[#This Row],[Discount %]]/100))</f>
        <v>2999679.1199999996</v>
      </c>
      <c r="Q692" s="74">
        <f>(Table1[[#This Row],[Gross Amount]]*(1-(Table1[[#This Row],[Discount %]]/100)))/10000000</f>
        <v>0.29996791199999995</v>
      </c>
      <c r="R692" t="s">
        <v>42</v>
      </c>
      <c r="S692" t="str" cm="1">
        <f t="array" ref="S692">IFERROR(_xlfn.IFS(Table1[[#This Row],[Payment Status]]="Partial","In Transit",Table1[[#This Row],[Payment Status]]="Paid","Delivered",Table1[[#This Row],[Payment Status]]="Pending","Pending"),"Invalid Input")</f>
        <v>Pending</v>
      </c>
      <c r="T692" t="s">
        <v>27</v>
      </c>
      <c r="U692" t="str" cm="1">
        <f t="array" ref="U692">IFERROR(_xlfn.IFS(Table1[[#This Row],[Payment Status]]="Partial","In Transit",Table1[[#This Row],[Payment Status]]="Paid","Completed",Table1[[#This Row],[Payment Status]]="Pending","Pending"),"Invalid Input")</f>
        <v>Pending</v>
      </c>
    </row>
    <row r="693" spans="1:21" x14ac:dyDescent="0.25">
      <c r="A693" s="4" t="s">
        <v>1339</v>
      </c>
      <c r="B693" s="5">
        <v>45389</v>
      </c>
      <c r="C693" t="s">
        <v>41</v>
      </c>
      <c r="D693" t="s">
        <v>3270</v>
      </c>
      <c r="E693" t="s">
        <v>38</v>
      </c>
      <c r="F693" t="s">
        <v>3218</v>
      </c>
      <c r="G693" t="s">
        <v>39</v>
      </c>
      <c r="H693" t="str">
        <f>VLOOKUP(Table1[[#This Row],[City]],Table6[#All],2,FALSE)</f>
        <v>West</v>
      </c>
      <c r="I693" t="s">
        <v>58</v>
      </c>
      <c r="J693" t="str">
        <f>_xlfn.XLOOKUP(Table1[[#This Row],[Tractor Model]],Table7[Product Model],Table7[Product Category],"Not Available",0)</f>
        <v>Powertrac</v>
      </c>
      <c r="K693" s="4">
        <v>5</v>
      </c>
      <c r="L693" s="72">
        <v>61995</v>
      </c>
      <c r="M693" s="4">
        <f>INDEX('Master Sheet'!$C$4:$C$12,MATCH(Table1[[#This Row],[Quantity]],'Master Sheet'!$B$4:$B$12,0))</f>
        <v>7</v>
      </c>
      <c r="N693" s="71">
        <f>Table1[[#This Row],[Quantity]]*Table1[[#This Row],[Unit Price]]</f>
        <v>309975</v>
      </c>
      <c r="O693" s="73">
        <v>3.0997500000000001E-2</v>
      </c>
      <c r="P693" s="70">
        <f>Table1[[#This Row],[Gross Amount]]*(1-(Table1[[#This Row],[Discount %]]/100))</f>
        <v>288276.75</v>
      </c>
      <c r="Q693" s="74">
        <f>(Table1[[#This Row],[Gross Amount]]*(1-(Table1[[#This Row],[Discount %]]/100)))/10000000</f>
        <v>2.8827675000000001E-2</v>
      </c>
      <c r="R693" t="s">
        <v>25</v>
      </c>
      <c r="S693" t="str" cm="1">
        <f t="array" ref="S693">IFERROR(_xlfn.IFS(Table1[[#This Row],[Payment Status]]="Partial","In Transit",Table1[[#This Row],[Payment Status]]="Paid","Delivered",Table1[[#This Row],[Payment Status]]="Pending","Pending"),"Invalid Input")</f>
        <v>In Transit</v>
      </c>
      <c r="T693" t="s">
        <v>27</v>
      </c>
      <c r="U693" t="str" cm="1">
        <f t="array" ref="U693">IFERROR(_xlfn.IFS(Table1[[#This Row],[Payment Status]]="Partial","In Transit",Table1[[#This Row],[Payment Status]]="Paid","Completed",Table1[[#This Row],[Payment Status]]="Pending","Pending"),"Invalid Input")</f>
        <v>In Transit</v>
      </c>
    </row>
    <row r="694" spans="1:21" x14ac:dyDescent="0.25">
      <c r="A694" s="4" t="s">
        <v>1340</v>
      </c>
      <c r="B694" s="5">
        <v>45795</v>
      </c>
      <c r="C694" t="s">
        <v>41</v>
      </c>
      <c r="D694" t="s">
        <v>37</v>
      </c>
      <c r="E694" t="s">
        <v>38</v>
      </c>
      <c r="F694" t="s">
        <v>3214</v>
      </c>
      <c r="G694" t="s">
        <v>39</v>
      </c>
      <c r="H694" t="str">
        <f>VLOOKUP(Table1[[#This Row],[City]],Table6[#All],2,FALSE)</f>
        <v>West</v>
      </c>
      <c r="I694" t="s">
        <v>3203</v>
      </c>
      <c r="J694" t="str">
        <f>_xlfn.XLOOKUP(Table1[[#This Row],[Tractor Model]],Table7[Product Model],Table7[Product Category],"Not Available",0)</f>
        <v>Kubota</v>
      </c>
      <c r="K694" s="4">
        <v>5</v>
      </c>
      <c r="L694" s="72">
        <v>706433</v>
      </c>
      <c r="M694" s="4">
        <f>INDEX('Master Sheet'!$C$4:$C$12,MATCH(Table1[[#This Row],[Quantity]],'Master Sheet'!$B$4:$B$12,0))</f>
        <v>7</v>
      </c>
      <c r="N694" s="71">
        <f>Table1[[#This Row],[Quantity]]*Table1[[#This Row],[Unit Price]]</f>
        <v>3532165</v>
      </c>
      <c r="O694" s="73">
        <v>0.35321649999999999</v>
      </c>
      <c r="P694" s="70">
        <f>Table1[[#This Row],[Gross Amount]]*(1-(Table1[[#This Row],[Discount %]]/100))</f>
        <v>3284913.4499999997</v>
      </c>
      <c r="Q694" s="74">
        <f>(Table1[[#This Row],[Gross Amount]]*(1-(Table1[[#This Row],[Discount %]]/100)))/10000000</f>
        <v>0.32849134499999999</v>
      </c>
      <c r="R694" t="s">
        <v>42</v>
      </c>
      <c r="S694" t="str" cm="1">
        <f t="array" ref="S694">IFERROR(_xlfn.IFS(Table1[[#This Row],[Payment Status]]="Partial","In Transit",Table1[[#This Row],[Payment Status]]="Paid","Delivered",Table1[[#This Row],[Payment Status]]="Pending","Pending"),"Invalid Input")</f>
        <v>Pending</v>
      </c>
      <c r="T694" t="s">
        <v>44</v>
      </c>
      <c r="U694" t="str" cm="1">
        <f t="array" ref="U694">IFERROR(_xlfn.IFS(Table1[[#This Row],[Payment Status]]="Partial","In Transit",Table1[[#This Row],[Payment Status]]="Paid","Completed",Table1[[#This Row],[Payment Status]]="Pending","Pending"),"Invalid Input")</f>
        <v>Pending</v>
      </c>
    </row>
    <row r="695" spans="1:21" x14ac:dyDescent="0.25">
      <c r="A695" s="4" t="s">
        <v>1341</v>
      </c>
      <c r="B695" s="5">
        <v>45745</v>
      </c>
      <c r="C695" t="s">
        <v>52</v>
      </c>
      <c r="D695" t="s">
        <v>37</v>
      </c>
      <c r="E695" t="s">
        <v>47</v>
      </c>
      <c r="F695" t="s">
        <v>3215</v>
      </c>
      <c r="G695" t="s">
        <v>48</v>
      </c>
      <c r="H695" t="str">
        <f>VLOOKUP(Table1[[#This Row],[City]],Table6[#All],2,FALSE)</f>
        <v>North</v>
      </c>
      <c r="I695" t="s">
        <v>24</v>
      </c>
      <c r="J695" t="str">
        <f>_xlfn.XLOOKUP(Table1[[#This Row],[Tractor Model]],Table7[Product Model],Table7[Product Category],"Not Available",0)</f>
        <v>Farmtrac</v>
      </c>
      <c r="K695" s="4">
        <v>2</v>
      </c>
      <c r="L695" s="72">
        <v>525218</v>
      </c>
      <c r="M695" s="4">
        <f>INDEX('Master Sheet'!$C$4:$C$12,MATCH(Table1[[#This Row],[Quantity]],'Master Sheet'!$B$4:$B$12,0))</f>
        <v>5</v>
      </c>
      <c r="N695" s="71">
        <f>Table1[[#This Row],[Quantity]]*Table1[[#This Row],[Unit Price]]</f>
        <v>1050436</v>
      </c>
      <c r="O695" s="73">
        <v>0.1050436</v>
      </c>
      <c r="P695" s="70">
        <f>Table1[[#This Row],[Gross Amount]]*(1-(Table1[[#This Row],[Discount %]]/100))</f>
        <v>997914.2</v>
      </c>
      <c r="Q695" s="74">
        <f>(Table1[[#This Row],[Gross Amount]]*(1-(Table1[[#This Row],[Discount %]]/100)))/10000000</f>
        <v>9.9791419999999992E-2</v>
      </c>
      <c r="R695" t="s">
        <v>42</v>
      </c>
      <c r="S695" t="str" cm="1">
        <f t="array" ref="S695">IFERROR(_xlfn.IFS(Table1[[#This Row],[Payment Status]]="Partial","In Transit",Table1[[#This Row],[Payment Status]]="Paid","Delivered",Table1[[#This Row],[Payment Status]]="Pending","Pending"),"Invalid Input")</f>
        <v>Pending</v>
      </c>
      <c r="T695" t="s">
        <v>44</v>
      </c>
      <c r="U695" t="str" cm="1">
        <f t="array" ref="U695">IFERROR(_xlfn.IFS(Table1[[#This Row],[Payment Status]]="Partial","In Transit",Table1[[#This Row],[Payment Status]]="Paid","Completed",Table1[[#This Row],[Payment Status]]="Pending","Pending"),"Invalid Input")</f>
        <v>Pending</v>
      </c>
    </row>
    <row r="696" spans="1:21" x14ac:dyDescent="0.25">
      <c r="A696" s="4" t="s">
        <v>1342</v>
      </c>
      <c r="B696" s="5">
        <v>45568</v>
      </c>
      <c r="C696" t="s">
        <v>52</v>
      </c>
      <c r="D696" t="s">
        <v>3271</v>
      </c>
      <c r="E696" t="s">
        <v>47</v>
      </c>
      <c r="F696" t="s">
        <v>3221</v>
      </c>
      <c r="G696" t="s">
        <v>48</v>
      </c>
      <c r="H696" t="str">
        <f>VLOOKUP(Table1[[#This Row],[City]],Table6[#All],2,FALSE)</f>
        <v>North</v>
      </c>
      <c r="I696" t="s">
        <v>24</v>
      </c>
      <c r="J696" t="str">
        <f>_xlfn.XLOOKUP(Table1[[#This Row],[Tractor Model]],Table7[Product Model],Table7[Product Category],"Not Available",0)</f>
        <v>Farmtrac</v>
      </c>
      <c r="K696" s="4">
        <v>1</v>
      </c>
      <c r="L696" s="72">
        <v>553108</v>
      </c>
      <c r="M696" s="4">
        <f>INDEX('Master Sheet'!$C$4:$C$12,MATCH(Table1[[#This Row],[Quantity]],'Master Sheet'!$B$4:$B$12,0))</f>
        <v>3</v>
      </c>
      <c r="N696" s="71">
        <f>Table1[[#This Row],[Quantity]]*Table1[[#This Row],[Unit Price]]</f>
        <v>553108</v>
      </c>
      <c r="O696" s="73">
        <v>5.53108E-2</v>
      </c>
      <c r="P696" s="70">
        <f>Table1[[#This Row],[Gross Amount]]*(1-(Table1[[#This Row],[Discount %]]/100))</f>
        <v>536514.76</v>
      </c>
      <c r="Q696" s="74">
        <f>(Table1[[#This Row],[Gross Amount]]*(1-(Table1[[#This Row],[Discount %]]/100)))/10000000</f>
        <v>5.3651476000000003E-2</v>
      </c>
      <c r="R696" t="s">
        <v>54</v>
      </c>
      <c r="S696" t="str" cm="1">
        <f t="array" ref="S696">IFERROR(_xlfn.IFS(Table1[[#This Row],[Payment Status]]="Partial","In Transit",Table1[[#This Row],[Payment Status]]="Paid","Delivered",Table1[[#This Row],[Payment Status]]="Pending","Pending"),"Invalid Input")</f>
        <v>Delivered</v>
      </c>
      <c r="T696" t="s">
        <v>27</v>
      </c>
      <c r="U696" t="str" cm="1">
        <f t="array" ref="U696">IFERROR(_xlfn.IFS(Table1[[#This Row],[Payment Status]]="Partial","In Transit",Table1[[#This Row],[Payment Status]]="Paid","Completed",Table1[[#This Row],[Payment Status]]="Pending","Pending"),"Invalid Input")</f>
        <v>Completed</v>
      </c>
    </row>
    <row r="697" spans="1:21" x14ac:dyDescent="0.25">
      <c r="A697" s="4" t="s">
        <v>1344</v>
      </c>
      <c r="B697" s="5">
        <v>45762</v>
      </c>
      <c r="C697" t="s">
        <v>41</v>
      </c>
      <c r="D697" t="s">
        <v>3270</v>
      </c>
      <c r="E697" t="s">
        <v>66</v>
      </c>
      <c r="F697" t="s">
        <v>3220</v>
      </c>
      <c r="G697" t="s">
        <v>67</v>
      </c>
      <c r="H697" t="str">
        <f>VLOOKUP(Table1[[#This Row],[City]],Table6[#All],2,FALSE)</f>
        <v>East</v>
      </c>
      <c r="I697" t="s">
        <v>3204</v>
      </c>
      <c r="J697" t="str">
        <f>_xlfn.XLOOKUP(Table1[[#This Row],[Tractor Model]],Table7[Product Model],Table7[Product Category],"Not Available",0)</f>
        <v>Kubota</v>
      </c>
      <c r="K697" s="4">
        <v>2</v>
      </c>
      <c r="L697" s="72">
        <v>387438</v>
      </c>
      <c r="M697" s="4">
        <f>INDEX('Master Sheet'!$C$4:$C$12,MATCH(Table1[[#This Row],[Quantity]],'Master Sheet'!$B$4:$B$12,0))</f>
        <v>5</v>
      </c>
      <c r="N697" s="71">
        <f>Table1[[#This Row],[Quantity]]*Table1[[#This Row],[Unit Price]]</f>
        <v>774876</v>
      </c>
      <c r="O697" s="73">
        <v>7.7487600000000004E-2</v>
      </c>
      <c r="P697" s="70">
        <f>Table1[[#This Row],[Gross Amount]]*(1-(Table1[[#This Row],[Discount %]]/100))</f>
        <v>736132.2</v>
      </c>
      <c r="Q697" s="74">
        <f>(Table1[[#This Row],[Gross Amount]]*(1-(Table1[[#This Row],[Discount %]]/100)))/10000000</f>
        <v>7.3613219999999993E-2</v>
      </c>
      <c r="R697" t="s">
        <v>42</v>
      </c>
      <c r="S697" t="str" cm="1">
        <f t="array" ref="S697">IFERROR(_xlfn.IFS(Table1[[#This Row],[Payment Status]]="Partial","In Transit",Table1[[#This Row],[Payment Status]]="Paid","Delivered",Table1[[#This Row],[Payment Status]]="Pending","Pending"),"Invalid Input")</f>
        <v>Pending</v>
      </c>
      <c r="T697" t="s">
        <v>27</v>
      </c>
      <c r="U697" t="str" cm="1">
        <f t="array" ref="U697">IFERROR(_xlfn.IFS(Table1[[#This Row],[Payment Status]]="Partial","In Transit",Table1[[#This Row],[Payment Status]]="Paid","Completed",Table1[[#This Row],[Payment Status]]="Pending","Pending"),"Invalid Input")</f>
        <v>Pending</v>
      </c>
    </row>
    <row r="698" spans="1:21" x14ac:dyDescent="0.25">
      <c r="A698" s="4" t="s">
        <v>1345</v>
      </c>
      <c r="B698" s="5">
        <v>45645</v>
      </c>
      <c r="C698" t="s">
        <v>62</v>
      </c>
      <c r="D698" t="s">
        <v>37</v>
      </c>
      <c r="E698" t="s">
        <v>66</v>
      </c>
      <c r="F698" t="s">
        <v>3226</v>
      </c>
      <c r="G698" t="s">
        <v>67</v>
      </c>
      <c r="H698" t="str">
        <f>VLOOKUP(Table1[[#This Row],[City]],Table6[#All],2,FALSE)</f>
        <v>East</v>
      </c>
      <c r="I698" t="s">
        <v>3204</v>
      </c>
      <c r="J698" t="str">
        <f>_xlfn.XLOOKUP(Table1[[#This Row],[Tractor Model]],Table7[Product Model],Table7[Product Category],"Not Available",0)</f>
        <v>Kubota</v>
      </c>
      <c r="K698" s="4">
        <v>3</v>
      </c>
      <c r="L698" s="72">
        <v>143228</v>
      </c>
      <c r="M698" s="4">
        <f>INDEX('Master Sheet'!$C$4:$C$12,MATCH(Table1[[#This Row],[Quantity]],'Master Sheet'!$B$4:$B$12,0))</f>
        <v>6</v>
      </c>
      <c r="N698" s="71">
        <f>Table1[[#This Row],[Quantity]]*Table1[[#This Row],[Unit Price]]</f>
        <v>429684</v>
      </c>
      <c r="O698" s="73">
        <v>4.2968399999999997E-2</v>
      </c>
      <c r="P698" s="70">
        <f>Table1[[#This Row],[Gross Amount]]*(1-(Table1[[#This Row],[Discount %]]/100))</f>
        <v>403902.95999999996</v>
      </c>
      <c r="Q698" s="74">
        <f>(Table1[[#This Row],[Gross Amount]]*(1-(Table1[[#This Row],[Discount %]]/100)))/10000000</f>
        <v>4.0390295999999999E-2</v>
      </c>
      <c r="R698" t="s">
        <v>25</v>
      </c>
      <c r="S698" t="str" cm="1">
        <f t="array" ref="S698">IFERROR(_xlfn.IFS(Table1[[#This Row],[Payment Status]]="Partial","In Transit",Table1[[#This Row],[Payment Status]]="Paid","Delivered",Table1[[#This Row],[Payment Status]]="Pending","Pending"),"Invalid Input")</f>
        <v>In Transit</v>
      </c>
      <c r="T698" t="s">
        <v>44</v>
      </c>
      <c r="U698" t="str" cm="1">
        <f t="array" ref="U698">IFERROR(_xlfn.IFS(Table1[[#This Row],[Payment Status]]="Partial","In Transit",Table1[[#This Row],[Payment Status]]="Paid","Completed",Table1[[#This Row],[Payment Status]]="Pending","Pending"),"Invalid Input")</f>
        <v>In Transit</v>
      </c>
    </row>
    <row r="699" spans="1:21" x14ac:dyDescent="0.25">
      <c r="A699" s="4" t="s">
        <v>1346</v>
      </c>
      <c r="B699" s="5">
        <v>45351</v>
      </c>
      <c r="C699" t="s">
        <v>41</v>
      </c>
      <c r="D699" t="s">
        <v>3269</v>
      </c>
      <c r="E699" t="s">
        <v>30</v>
      </c>
      <c r="F699" t="s">
        <v>3225</v>
      </c>
      <c r="G699" t="s">
        <v>31</v>
      </c>
      <c r="H699" t="str">
        <f>VLOOKUP(Table1[[#This Row],[City]],Table6[#All],2,FALSE)</f>
        <v>South</v>
      </c>
      <c r="I699" t="s">
        <v>53</v>
      </c>
      <c r="J699" t="str">
        <f>_xlfn.XLOOKUP(Table1[[#This Row],[Tractor Model]],Table7[Product Model],Table7[Product Category],"Not Available",0)</f>
        <v>Farmtrac</v>
      </c>
      <c r="K699" s="4">
        <v>6</v>
      </c>
      <c r="L699" s="72">
        <v>330146</v>
      </c>
      <c r="M699" s="4">
        <f>INDEX('Master Sheet'!$C$4:$C$12,MATCH(Table1[[#This Row],[Quantity]],'Master Sheet'!$B$4:$B$12,0))</f>
        <v>8</v>
      </c>
      <c r="N699" s="71">
        <f>Table1[[#This Row],[Quantity]]*Table1[[#This Row],[Unit Price]]</f>
        <v>1980876</v>
      </c>
      <c r="O699" s="73">
        <v>0.1980876</v>
      </c>
      <c r="P699" s="70">
        <f>Table1[[#This Row],[Gross Amount]]*(1-(Table1[[#This Row],[Discount %]]/100))</f>
        <v>1822405.9200000002</v>
      </c>
      <c r="Q699" s="74">
        <f>(Table1[[#This Row],[Gross Amount]]*(1-(Table1[[#This Row],[Discount %]]/100)))/10000000</f>
        <v>0.18224059200000001</v>
      </c>
      <c r="R699" t="s">
        <v>54</v>
      </c>
      <c r="S699" t="str" cm="1">
        <f t="array" ref="S699">IFERROR(_xlfn.IFS(Table1[[#This Row],[Payment Status]]="Partial","In Transit",Table1[[#This Row],[Payment Status]]="Paid","Delivered",Table1[[#This Row],[Payment Status]]="Pending","Pending"),"Invalid Input")</f>
        <v>Delivered</v>
      </c>
      <c r="T699" t="s">
        <v>27</v>
      </c>
      <c r="U699" t="str" cm="1">
        <f t="array" ref="U699">IFERROR(_xlfn.IFS(Table1[[#This Row],[Payment Status]]="Partial","In Transit",Table1[[#This Row],[Payment Status]]="Paid","Completed",Table1[[#This Row],[Payment Status]]="Pending","Pending"),"Invalid Input")</f>
        <v>Completed</v>
      </c>
    </row>
    <row r="700" spans="1:21" x14ac:dyDescent="0.25">
      <c r="A700" s="4" t="s">
        <v>1348</v>
      </c>
      <c r="B700" s="5">
        <v>45810</v>
      </c>
      <c r="C700" t="s">
        <v>73</v>
      </c>
      <c r="D700" t="s">
        <v>37</v>
      </c>
      <c r="E700" t="s">
        <v>30</v>
      </c>
      <c r="F700" t="s">
        <v>3222</v>
      </c>
      <c r="G700" t="s">
        <v>31</v>
      </c>
      <c r="H700" t="str">
        <f>VLOOKUP(Table1[[#This Row],[City]],Table6[#All],2,FALSE)</f>
        <v>South</v>
      </c>
      <c r="I700" t="s">
        <v>24</v>
      </c>
      <c r="J700" t="str">
        <f>_xlfn.XLOOKUP(Table1[[#This Row],[Tractor Model]],Table7[Product Model],Table7[Product Category],"Not Available",0)</f>
        <v>Farmtrac</v>
      </c>
      <c r="K700" s="4">
        <v>4</v>
      </c>
      <c r="L700" s="72">
        <v>338323</v>
      </c>
      <c r="M700" s="4">
        <f>INDEX('Master Sheet'!$C$4:$C$12,MATCH(Table1[[#This Row],[Quantity]],'Master Sheet'!$B$4:$B$12,0))</f>
        <v>6</v>
      </c>
      <c r="N700" s="71">
        <f>Table1[[#This Row],[Quantity]]*Table1[[#This Row],[Unit Price]]</f>
        <v>1353292</v>
      </c>
      <c r="O700" s="73">
        <v>0.13532920000000001</v>
      </c>
      <c r="P700" s="70">
        <f>Table1[[#This Row],[Gross Amount]]*(1-(Table1[[#This Row],[Discount %]]/100))</f>
        <v>1272094.48</v>
      </c>
      <c r="Q700" s="74">
        <f>(Table1[[#This Row],[Gross Amount]]*(1-(Table1[[#This Row],[Discount %]]/100)))/10000000</f>
        <v>0.127209448</v>
      </c>
      <c r="R700" t="s">
        <v>25</v>
      </c>
      <c r="S700" t="str" cm="1">
        <f t="array" ref="S700">IFERROR(_xlfn.IFS(Table1[[#This Row],[Payment Status]]="Partial","In Transit",Table1[[#This Row],[Payment Status]]="Paid","Delivered",Table1[[#This Row],[Payment Status]]="Pending","Pending"),"Invalid Input")</f>
        <v>In Transit</v>
      </c>
      <c r="T700" t="s">
        <v>44</v>
      </c>
      <c r="U700" t="str" cm="1">
        <f t="array" ref="U700">IFERROR(_xlfn.IFS(Table1[[#This Row],[Payment Status]]="Partial","In Transit",Table1[[#This Row],[Payment Status]]="Paid","Completed",Table1[[#This Row],[Payment Status]]="Pending","Pending"),"Invalid Input")</f>
        <v>In Transit</v>
      </c>
    </row>
    <row r="701" spans="1:21" x14ac:dyDescent="0.25">
      <c r="A701" s="4" t="s">
        <v>1350</v>
      </c>
      <c r="B701" s="5">
        <v>45410</v>
      </c>
      <c r="C701" t="s">
        <v>62</v>
      </c>
      <c r="D701" t="s">
        <v>3269</v>
      </c>
      <c r="E701" t="s">
        <v>30</v>
      </c>
      <c r="F701" t="s">
        <v>3225</v>
      </c>
      <c r="G701" t="s">
        <v>31</v>
      </c>
      <c r="H701" t="str">
        <f>VLOOKUP(Table1[[#This Row],[City]],Table6[#All],2,FALSE)</f>
        <v>South</v>
      </c>
      <c r="I701" t="s">
        <v>3203</v>
      </c>
      <c r="J701" t="str">
        <f>_xlfn.XLOOKUP(Table1[[#This Row],[Tractor Model]],Table7[Product Model],Table7[Product Category],"Not Available",0)</f>
        <v>Kubota</v>
      </c>
      <c r="K701" s="4">
        <v>5</v>
      </c>
      <c r="L701" s="72">
        <v>343736</v>
      </c>
      <c r="M701" s="4">
        <f>INDEX('Master Sheet'!$C$4:$C$12,MATCH(Table1[[#This Row],[Quantity]],'Master Sheet'!$B$4:$B$12,0))</f>
        <v>7</v>
      </c>
      <c r="N701" s="71">
        <f>Table1[[#This Row],[Quantity]]*Table1[[#This Row],[Unit Price]]</f>
        <v>1718680</v>
      </c>
      <c r="O701" s="73">
        <v>0.17186799999999999</v>
      </c>
      <c r="P701" s="70">
        <f>Table1[[#This Row],[Gross Amount]]*(1-(Table1[[#This Row],[Discount %]]/100))</f>
        <v>1598372.4</v>
      </c>
      <c r="Q701" s="74">
        <f>(Table1[[#This Row],[Gross Amount]]*(1-(Table1[[#This Row],[Discount %]]/100)))/10000000</f>
        <v>0.15983723999999999</v>
      </c>
      <c r="R701" t="s">
        <v>54</v>
      </c>
      <c r="S701" t="str" cm="1">
        <f t="array" ref="S701">IFERROR(_xlfn.IFS(Table1[[#This Row],[Payment Status]]="Partial","In Transit",Table1[[#This Row],[Payment Status]]="Paid","Delivered",Table1[[#This Row],[Payment Status]]="Pending","Pending"),"Invalid Input")</f>
        <v>Delivered</v>
      </c>
      <c r="T701" t="s">
        <v>44</v>
      </c>
      <c r="U701" t="str" cm="1">
        <f t="array" ref="U701">IFERROR(_xlfn.IFS(Table1[[#This Row],[Payment Status]]="Partial","In Transit",Table1[[#This Row],[Payment Status]]="Paid","Completed",Table1[[#This Row],[Payment Status]]="Pending","Pending"),"Invalid Input")</f>
        <v>Completed</v>
      </c>
    </row>
    <row r="702" spans="1:21" x14ac:dyDescent="0.25">
      <c r="A702" s="4" t="s">
        <v>1352</v>
      </c>
      <c r="B702" s="5">
        <v>45565</v>
      </c>
      <c r="C702" t="s">
        <v>62</v>
      </c>
      <c r="D702" t="s">
        <v>37</v>
      </c>
      <c r="E702" t="s">
        <v>47</v>
      </c>
      <c r="F702" t="s">
        <v>3215</v>
      </c>
      <c r="G702" t="s">
        <v>48</v>
      </c>
      <c r="H702" t="str">
        <f>VLOOKUP(Table1[[#This Row],[City]],Table6[#All],2,FALSE)</f>
        <v>North</v>
      </c>
      <c r="I702" t="s">
        <v>3203</v>
      </c>
      <c r="J702" t="str">
        <f>_xlfn.XLOOKUP(Table1[[#This Row],[Tractor Model]],Table7[Product Model],Table7[Product Category],"Not Available",0)</f>
        <v>Kubota</v>
      </c>
      <c r="K702" s="4">
        <v>1</v>
      </c>
      <c r="L702" s="72">
        <v>578104</v>
      </c>
      <c r="M702" s="4">
        <f>INDEX('Master Sheet'!$C$4:$C$12,MATCH(Table1[[#This Row],[Quantity]],'Master Sheet'!$B$4:$B$12,0))</f>
        <v>3</v>
      </c>
      <c r="N702" s="71">
        <f>Table1[[#This Row],[Quantity]]*Table1[[#This Row],[Unit Price]]</f>
        <v>578104</v>
      </c>
      <c r="O702" s="73">
        <v>5.7810399999999998E-2</v>
      </c>
      <c r="P702" s="70">
        <f>Table1[[#This Row],[Gross Amount]]*(1-(Table1[[#This Row],[Discount %]]/100))</f>
        <v>560760.88</v>
      </c>
      <c r="Q702" s="74">
        <f>(Table1[[#This Row],[Gross Amount]]*(1-(Table1[[#This Row],[Discount %]]/100)))/10000000</f>
        <v>5.6076088000000003E-2</v>
      </c>
      <c r="R702" t="s">
        <v>42</v>
      </c>
      <c r="S702" t="str" cm="1">
        <f t="array" ref="S702">IFERROR(_xlfn.IFS(Table1[[#This Row],[Payment Status]]="Partial","In Transit",Table1[[#This Row],[Payment Status]]="Paid","Delivered",Table1[[#This Row],[Payment Status]]="Pending","Pending"),"Invalid Input")</f>
        <v>Pending</v>
      </c>
      <c r="T702" t="s">
        <v>44</v>
      </c>
      <c r="U702" t="str" cm="1">
        <f t="array" ref="U702">IFERROR(_xlfn.IFS(Table1[[#This Row],[Payment Status]]="Partial","In Transit",Table1[[#This Row],[Payment Status]]="Paid","Completed",Table1[[#This Row],[Payment Status]]="Pending","Pending"),"Invalid Input")</f>
        <v>Pending</v>
      </c>
    </row>
    <row r="703" spans="1:21" x14ac:dyDescent="0.25">
      <c r="A703" s="4" t="s">
        <v>1354</v>
      </c>
      <c r="B703" s="5">
        <v>45524</v>
      </c>
      <c r="C703" t="s">
        <v>52</v>
      </c>
      <c r="D703" t="s">
        <v>3271</v>
      </c>
      <c r="E703" t="s">
        <v>47</v>
      </c>
      <c r="F703" t="s">
        <v>3221</v>
      </c>
      <c r="G703" t="s">
        <v>48</v>
      </c>
      <c r="H703" t="str">
        <f>VLOOKUP(Table1[[#This Row],[City]],Table6[#All],2,FALSE)</f>
        <v>North</v>
      </c>
      <c r="I703" t="s">
        <v>24</v>
      </c>
      <c r="J703" t="str">
        <f>_xlfn.XLOOKUP(Table1[[#This Row],[Tractor Model]],Table7[Product Model],Table7[Product Category],"Not Available",0)</f>
        <v>Farmtrac</v>
      </c>
      <c r="K703" s="4">
        <v>6</v>
      </c>
      <c r="L703" s="72">
        <v>68124</v>
      </c>
      <c r="M703" s="4">
        <f>INDEX('Master Sheet'!$C$4:$C$12,MATCH(Table1[[#This Row],[Quantity]],'Master Sheet'!$B$4:$B$12,0))</f>
        <v>8</v>
      </c>
      <c r="N703" s="71">
        <f>Table1[[#This Row],[Quantity]]*Table1[[#This Row],[Unit Price]]</f>
        <v>408744</v>
      </c>
      <c r="O703" s="73">
        <v>4.0874399999999998E-2</v>
      </c>
      <c r="P703" s="70">
        <f>Table1[[#This Row],[Gross Amount]]*(1-(Table1[[#This Row],[Discount %]]/100))</f>
        <v>376044.48000000004</v>
      </c>
      <c r="Q703" s="74">
        <f>(Table1[[#This Row],[Gross Amount]]*(1-(Table1[[#This Row],[Discount %]]/100)))/10000000</f>
        <v>3.7604448000000006E-2</v>
      </c>
      <c r="R703" t="s">
        <v>25</v>
      </c>
      <c r="S703" t="str" cm="1">
        <f t="array" ref="S703">IFERROR(_xlfn.IFS(Table1[[#This Row],[Payment Status]]="Partial","In Transit",Table1[[#This Row],[Payment Status]]="Paid","Delivered",Table1[[#This Row],[Payment Status]]="Pending","Pending"),"Invalid Input")</f>
        <v>In Transit</v>
      </c>
      <c r="T703" t="s">
        <v>27</v>
      </c>
      <c r="U703" t="str" cm="1">
        <f t="array" ref="U703">IFERROR(_xlfn.IFS(Table1[[#This Row],[Payment Status]]="Partial","In Transit",Table1[[#This Row],[Payment Status]]="Paid","Completed",Table1[[#This Row],[Payment Status]]="Pending","Pending"),"Invalid Input")</f>
        <v>In Transit</v>
      </c>
    </row>
    <row r="704" spans="1:21" x14ac:dyDescent="0.25">
      <c r="A704" s="4" t="s">
        <v>1356</v>
      </c>
      <c r="B704" s="5">
        <v>45320</v>
      </c>
      <c r="C704" t="s">
        <v>41</v>
      </c>
      <c r="D704" t="s">
        <v>3268</v>
      </c>
      <c r="E704" t="s">
        <v>47</v>
      </c>
      <c r="F704" t="s">
        <v>3216</v>
      </c>
      <c r="G704" t="s">
        <v>48</v>
      </c>
      <c r="H704" t="str">
        <f>VLOOKUP(Table1[[#This Row],[City]],Table6[#All],2,FALSE)</f>
        <v>North</v>
      </c>
      <c r="I704" t="s">
        <v>53</v>
      </c>
      <c r="J704" t="str">
        <f>_xlfn.XLOOKUP(Table1[[#This Row],[Tractor Model]],Table7[Product Model],Table7[Product Category],"Not Available",0)</f>
        <v>Farmtrac</v>
      </c>
      <c r="K704" s="4">
        <v>0</v>
      </c>
      <c r="L704" s="72">
        <v>113975</v>
      </c>
      <c r="M704" s="4">
        <f>INDEX('Master Sheet'!$C$4:$C$12,MATCH(Table1[[#This Row],[Quantity]],'Master Sheet'!$B$4:$B$12,0))</f>
        <v>0</v>
      </c>
      <c r="N704" s="71">
        <f>Table1[[#This Row],[Quantity]]*Table1[[#This Row],[Unit Price]]</f>
        <v>0</v>
      </c>
      <c r="O704" s="73">
        <v>0</v>
      </c>
      <c r="P704" s="70">
        <f>Table1[[#This Row],[Gross Amount]]*(1-(Table1[[#This Row],[Discount %]]/100))</f>
        <v>0</v>
      </c>
      <c r="Q704" s="74">
        <f>(Table1[[#This Row],[Gross Amount]]*(1-(Table1[[#This Row],[Discount %]]/100)))/10000000</f>
        <v>0</v>
      </c>
      <c r="R704" t="s">
        <v>42</v>
      </c>
      <c r="S704" t="str" cm="1">
        <f t="array" ref="S704">IFERROR(_xlfn.IFS(Table1[[#This Row],[Payment Status]]="Partial","In Transit",Table1[[#This Row],[Payment Status]]="Paid","Delivered",Table1[[#This Row],[Payment Status]]="Pending","Pending"),"Invalid Input")</f>
        <v>Pending</v>
      </c>
      <c r="T704" t="s">
        <v>27</v>
      </c>
      <c r="U704" t="str" cm="1">
        <f t="array" ref="U704">IFERROR(_xlfn.IFS(Table1[[#This Row],[Payment Status]]="Partial","In Transit",Table1[[#This Row],[Payment Status]]="Paid","Completed",Table1[[#This Row],[Payment Status]]="Pending","Pending"),"Invalid Input")</f>
        <v>Pending</v>
      </c>
    </row>
    <row r="705" spans="1:21" x14ac:dyDescent="0.25">
      <c r="A705" s="4" t="s">
        <v>1357</v>
      </c>
      <c r="B705" s="5">
        <v>45687</v>
      </c>
      <c r="C705" t="s">
        <v>62</v>
      </c>
      <c r="D705" t="s">
        <v>3270</v>
      </c>
      <c r="E705" t="s">
        <v>47</v>
      </c>
      <c r="F705" t="s">
        <v>3205</v>
      </c>
      <c r="G705" t="s">
        <v>48</v>
      </c>
      <c r="H705" t="str">
        <f>VLOOKUP(Table1[[#This Row],[City]],Table6[#All],2,FALSE)</f>
        <v>North</v>
      </c>
      <c r="I705" t="s">
        <v>3203</v>
      </c>
      <c r="J705" t="str">
        <f>_xlfn.XLOOKUP(Table1[[#This Row],[Tractor Model]],Table7[Product Model],Table7[Product Category],"Not Available",0)</f>
        <v>Kubota</v>
      </c>
      <c r="K705" s="4">
        <v>6</v>
      </c>
      <c r="L705" s="72">
        <v>72778</v>
      </c>
      <c r="M705" s="4">
        <f>INDEX('Master Sheet'!$C$4:$C$12,MATCH(Table1[[#This Row],[Quantity]],'Master Sheet'!$B$4:$B$12,0))</f>
        <v>8</v>
      </c>
      <c r="N705" s="71">
        <f>Table1[[#This Row],[Quantity]]*Table1[[#This Row],[Unit Price]]</f>
        <v>436668</v>
      </c>
      <c r="O705" s="73">
        <v>4.3666799999999999E-2</v>
      </c>
      <c r="P705" s="70">
        <f>Table1[[#This Row],[Gross Amount]]*(1-(Table1[[#This Row],[Discount %]]/100))</f>
        <v>401734.56</v>
      </c>
      <c r="Q705" s="74">
        <f>(Table1[[#This Row],[Gross Amount]]*(1-(Table1[[#This Row],[Discount %]]/100)))/10000000</f>
        <v>4.0173456000000003E-2</v>
      </c>
      <c r="R705" t="s">
        <v>54</v>
      </c>
      <c r="S705" t="str" cm="1">
        <f t="array" ref="S705">IFERROR(_xlfn.IFS(Table1[[#This Row],[Payment Status]]="Partial","In Transit",Table1[[#This Row],[Payment Status]]="Paid","Delivered",Table1[[#This Row],[Payment Status]]="Pending","Pending"),"Invalid Input")</f>
        <v>Delivered</v>
      </c>
      <c r="T705" t="s">
        <v>44</v>
      </c>
      <c r="U705" t="str" cm="1">
        <f t="array" ref="U705">IFERROR(_xlfn.IFS(Table1[[#This Row],[Payment Status]]="Partial","In Transit",Table1[[#This Row],[Payment Status]]="Paid","Completed",Table1[[#This Row],[Payment Status]]="Pending","Pending"),"Invalid Input")</f>
        <v>Completed</v>
      </c>
    </row>
    <row r="706" spans="1:21" x14ac:dyDescent="0.25">
      <c r="A706" s="4" t="s">
        <v>1359</v>
      </c>
      <c r="B706" s="5">
        <v>45711</v>
      </c>
      <c r="C706" t="s">
        <v>52</v>
      </c>
      <c r="D706" t="s">
        <v>37</v>
      </c>
      <c r="E706" t="s">
        <v>119</v>
      </c>
      <c r="F706" t="s">
        <v>3224</v>
      </c>
      <c r="G706" t="s">
        <v>21</v>
      </c>
      <c r="H706" t="str">
        <f>VLOOKUP(Table1[[#This Row],[City]],Table6[#All],2,FALSE)</f>
        <v>North</v>
      </c>
      <c r="I706" t="s">
        <v>53</v>
      </c>
      <c r="J706" t="str">
        <f>_xlfn.XLOOKUP(Table1[[#This Row],[Tractor Model]],Table7[Product Model],Table7[Product Category],"Not Available",0)</f>
        <v>Farmtrac</v>
      </c>
      <c r="K706" s="4">
        <v>5</v>
      </c>
      <c r="L706" s="72">
        <v>104523</v>
      </c>
      <c r="M706" s="4">
        <f>INDEX('Master Sheet'!$C$4:$C$12,MATCH(Table1[[#This Row],[Quantity]],'Master Sheet'!$B$4:$B$12,0))</f>
        <v>7</v>
      </c>
      <c r="N706" s="71">
        <f>Table1[[#This Row],[Quantity]]*Table1[[#This Row],[Unit Price]]</f>
        <v>522615</v>
      </c>
      <c r="O706" s="73">
        <v>5.2261500000000002E-2</v>
      </c>
      <c r="P706" s="70">
        <f>Table1[[#This Row],[Gross Amount]]*(1-(Table1[[#This Row],[Discount %]]/100))</f>
        <v>486031.94999999995</v>
      </c>
      <c r="Q706" s="74">
        <f>(Table1[[#This Row],[Gross Amount]]*(1-(Table1[[#This Row],[Discount %]]/100)))/10000000</f>
        <v>4.8603194999999995E-2</v>
      </c>
      <c r="R706" t="s">
        <v>25</v>
      </c>
      <c r="S706" t="str" cm="1">
        <f t="array" ref="S706">IFERROR(_xlfn.IFS(Table1[[#This Row],[Payment Status]]="Partial","In Transit",Table1[[#This Row],[Payment Status]]="Paid","Delivered",Table1[[#This Row],[Payment Status]]="Pending","Pending"),"Invalid Input")</f>
        <v>In Transit</v>
      </c>
      <c r="T706" t="s">
        <v>44</v>
      </c>
      <c r="U706" t="str" cm="1">
        <f t="array" ref="U706">IFERROR(_xlfn.IFS(Table1[[#This Row],[Payment Status]]="Partial","In Transit",Table1[[#This Row],[Payment Status]]="Paid","Completed",Table1[[#This Row],[Payment Status]]="Pending","Pending"),"Invalid Input")</f>
        <v>In Transit</v>
      </c>
    </row>
    <row r="707" spans="1:21" x14ac:dyDescent="0.25">
      <c r="A707" s="4" t="s">
        <v>1360</v>
      </c>
      <c r="B707" s="5">
        <v>45390</v>
      </c>
      <c r="C707" t="s">
        <v>41</v>
      </c>
      <c r="D707" t="s">
        <v>3270</v>
      </c>
      <c r="E707" t="s">
        <v>66</v>
      </c>
      <c r="F707" t="s">
        <v>3220</v>
      </c>
      <c r="G707" t="s">
        <v>67</v>
      </c>
      <c r="H707" t="str">
        <f>VLOOKUP(Table1[[#This Row],[City]],Table6[#All],2,FALSE)</f>
        <v>East</v>
      </c>
      <c r="I707" t="s">
        <v>58</v>
      </c>
      <c r="J707" t="str">
        <f>_xlfn.XLOOKUP(Table1[[#This Row],[Tractor Model]],Table7[Product Model],Table7[Product Category],"Not Available",0)</f>
        <v>Powertrac</v>
      </c>
      <c r="K707" s="4">
        <v>3</v>
      </c>
      <c r="L707" s="72">
        <v>421548</v>
      </c>
      <c r="M707" s="4">
        <f>INDEX('Master Sheet'!$C$4:$C$12,MATCH(Table1[[#This Row],[Quantity]],'Master Sheet'!$B$4:$B$12,0))</f>
        <v>6</v>
      </c>
      <c r="N707" s="71">
        <f>Table1[[#This Row],[Quantity]]*Table1[[#This Row],[Unit Price]]</f>
        <v>1264644</v>
      </c>
      <c r="O707" s="73">
        <v>0.1264644</v>
      </c>
      <c r="P707" s="70">
        <f>Table1[[#This Row],[Gross Amount]]*(1-(Table1[[#This Row],[Discount %]]/100))</f>
        <v>1188765.3599999999</v>
      </c>
      <c r="Q707" s="74">
        <f>(Table1[[#This Row],[Gross Amount]]*(1-(Table1[[#This Row],[Discount %]]/100)))/10000000</f>
        <v>0.11887653599999999</v>
      </c>
      <c r="R707" t="s">
        <v>25</v>
      </c>
      <c r="S707" t="str" cm="1">
        <f t="array" ref="S707">IFERROR(_xlfn.IFS(Table1[[#This Row],[Payment Status]]="Partial","In Transit",Table1[[#This Row],[Payment Status]]="Paid","Delivered",Table1[[#This Row],[Payment Status]]="Pending","Pending"),"Invalid Input")</f>
        <v>In Transit</v>
      </c>
      <c r="T707" t="s">
        <v>27</v>
      </c>
      <c r="U707" t="str" cm="1">
        <f t="array" ref="U707">IFERROR(_xlfn.IFS(Table1[[#This Row],[Payment Status]]="Partial","In Transit",Table1[[#This Row],[Payment Status]]="Paid","Completed",Table1[[#This Row],[Payment Status]]="Pending","Pending"),"Invalid Input")</f>
        <v>In Transit</v>
      </c>
    </row>
    <row r="708" spans="1:21" x14ac:dyDescent="0.25">
      <c r="A708" s="4" t="s">
        <v>1362</v>
      </c>
      <c r="B708" s="5">
        <v>45803</v>
      </c>
      <c r="C708" t="s">
        <v>52</v>
      </c>
      <c r="D708" t="s">
        <v>37</v>
      </c>
      <c r="E708" t="s">
        <v>66</v>
      </c>
      <c r="F708" t="s">
        <v>3226</v>
      </c>
      <c r="G708" t="s">
        <v>67</v>
      </c>
      <c r="H708" t="str">
        <f>VLOOKUP(Table1[[#This Row],[City]],Table6[#All],2,FALSE)</f>
        <v>East</v>
      </c>
      <c r="I708" t="s">
        <v>3204</v>
      </c>
      <c r="J708" t="str">
        <f>_xlfn.XLOOKUP(Table1[[#This Row],[Tractor Model]],Table7[Product Model],Table7[Product Category],"Not Available",0)</f>
        <v>Kubota</v>
      </c>
      <c r="K708" s="4">
        <v>8</v>
      </c>
      <c r="L708" s="72">
        <v>898502</v>
      </c>
      <c r="M708" s="4">
        <f>INDEX('Master Sheet'!$C$4:$C$12,MATCH(Table1[[#This Row],[Quantity]],'Master Sheet'!$B$4:$B$12,0))</f>
        <v>9</v>
      </c>
      <c r="N708" s="71">
        <f>Table1[[#This Row],[Quantity]]*Table1[[#This Row],[Unit Price]]</f>
        <v>7188016</v>
      </c>
      <c r="O708" s="73">
        <v>0.71880160000000004</v>
      </c>
      <c r="P708" s="70">
        <f>Table1[[#This Row],[Gross Amount]]*(1-(Table1[[#This Row],[Discount %]]/100))</f>
        <v>6541094.5600000005</v>
      </c>
      <c r="Q708" s="74">
        <f>(Table1[[#This Row],[Gross Amount]]*(1-(Table1[[#This Row],[Discount %]]/100)))/10000000</f>
        <v>0.65410945600000003</v>
      </c>
      <c r="R708" t="s">
        <v>42</v>
      </c>
      <c r="S708" t="str" cm="1">
        <f t="array" ref="S708">IFERROR(_xlfn.IFS(Table1[[#This Row],[Payment Status]]="Partial","In Transit",Table1[[#This Row],[Payment Status]]="Paid","Delivered",Table1[[#This Row],[Payment Status]]="Pending","Pending"),"Invalid Input")</f>
        <v>Pending</v>
      </c>
      <c r="T708" t="s">
        <v>27</v>
      </c>
      <c r="U708" t="str" cm="1">
        <f t="array" ref="U708">IFERROR(_xlfn.IFS(Table1[[#This Row],[Payment Status]]="Partial","In Transit",Table1[[#This Row],[Payment Status]]="Paid","Completed",Table1[[#This Row],[Payment Status]]="Pending","Pending"),"Invalid Input")</f>
        <v>Pending</v>
      </c>
    </row>
    <row r="709" spans="1:21" x14ac:dyDescent="0.25">
      <c r="A709" s="4" t="s">
        <v>1364</v>
      </c>
      <c r="B709" s="5">
        <v>45461</v>
      </c>
      <c r="C709" t="s">
        <v>52</v>
      </c>
      <c r="D709" t="s">
        <v>3270</v>
      </c>
      <c r="E709" t="s">
        <v>119</v>
      </c>
      <c r="F709" t="s">
        <v>3212</v>
      </c>
      <c r="G709" t="s">
        <v>21</v>
      </c>
      <c r="H709" t="str">
        <f>VLOOKUP(Table1[[#This Row],[City]],Table6[#All],2,FALSE)</f>
        <v>North</v>
      </c>
      <c r="I709" t="s">
        <v>53</v>
      </c>
      <c r="J709" t="str">
        <f>_xlfn.XLOOKUP(Table1[[#This Row],[Tractor Model]],Table7[Product Model],Table7[Product Category],"Not Available",0)</f>
        <v>Farmtrac</v>
      </c>
      <c r="K709" s="4">
        <v>2</v>
      </c>
      <c r="L709" s="72">
        <v>729108</v>
      </c>
      <c r="M709" s="4">
        <f>INDEX('Master Sheet'!$C$4:$C$12,MATCH(Table1[[#This Row],[Quantity]],'Master Sheet'!$B$4:$B$12,0))</f>
        <v>5</v>
      </c>
      <c r="N709" s="71">
        <f>Table1[[#This Row],[Quantity]]*Table1[[#This Row],[Unit Price]]</f>
        <v>1458216</v>
      </c>
      <c r="O709" s="73">
        <v>0.1458216</v>
      </c>
      <c r="P709" s="70">
        <f>Table1[[#This Row],[Gross Amount]]*(1-(Table1[[#This Row],[Discount %]]/100))</f>
        <v>1385305.2</v>
      </c>
      <c r="Q709" s="74">
        <f>(Table1[[#This Row],[Gross Amount]]*(1-(Table1[[#This Row],[Discount %]]/100)))/10000000</f>
        <v>0.13853051999999999</v>
      </c>
      <c r="R709" t="s">
        <v>42</v>
      </c>
      <c r="S709" t="str" cm="1">
        <f t="array" ref="S709">IFERROR(_xlfn.IFS(Table1[[#This Row],[Payment Status]]="Partial","In Transit",Table1[[#This Row],[Payment Status]]="Paid","Delivered",Table1[[#This Row],[Payment Status]]="Pending","Pending"),"Invalid Input")</f>
        <v>Pending</v>
      </c>
      <c r="T709" t="s">
        <v>27</v>
      </c>
      <c r="U709" t="str" cm="1">
        <f t="array" ref="U709">IFERROR(_xlfn.IFS(Table1[[#This Row],[Payment Status]]="Partial","In Transit",Table1[[#This Row],[Payment Status]]="Paid","Completed",Table1[[#This Row],[Payment Status]]="Pending","Pending"),"Invalid Input")</f>
        <v>Pending</v>
      </c>
    </row>
    <row r="710" spans="1:21" x14ac:dyDescent="0.25">
      <c r="A710" s="4" t="s">
        <v>1366</v>
      </c>
      <c r="B710" s="5">
        <v>45303</v>
      </c>
      <c r="C710" t="s">
        <v>62</v>
      </c>
      <c r="D710" t="s">
        <v>3270</v>
      </c>
      <c r="E710" t="s">
        <v>47</v>
      </c>
      <c r="F710" t="s">
        <v>3205</v>
      </c>
      <c r="G710" t="s">
        <v>48</v>
      </c>
      <c r="H710" t="str">
        <f>VLOOKUP(Table1[[#This Row],[City]],Table6[#All],2,FALSE)</f>
        <v>North</v>
      </c>
      <c r="I710" t="s">
        <v>58</v>
      </c>
      <c r="J710" t="str">
        <f>_xlfn.XLOOKUP(Table1[[#This Row],[Tractor Model]],Table7[Product Model],Table7[Product Category],"Not Available",0)</f>
        <v>Powertrac</v>
      </c>
      <c r="K710" s="4">
        <v>4</v>
      </c>
      <c r="L710" s="72">
        <v>524018</v>
      </c>
      <c r="M710" s="4">
        <f>INDEX('Master Sheet'!$C$4:$C$12,MATCH(Table1[[#This Row],[Quantity]],'Master Sheet'!$B$4:$B$12,0))</f>
        <v>6</v>
      </c>
      <c r="N710" s="71">
        <f>Table1[[#This Row],[Quantity]]*Table1[[#This Row],[Unit Price]]</f>
        <v>2096072</v>
      </c>
      <c r="O710" s="73">
        <v>0.20960719999999999</v>
      </c>
      <c r="P710" s="70">
        <f>Table1[[#This Row],[Gross Amount]]*(1-(Table1[[#This Row],[Discount %]]/100))</f>
        <v>1970307.68</v>
      </c>
      <c r="Q710" s="74">
        <f>(Table1[[#This Row],[Gross Amount]]*(1-(Table1[[#This Row],[Discount %]]/100)))/10000000</f>
        <v>0.197030768</v>
      </c>
      <c r="R710" t="s">
        <v>54</v>
      </c>
      <c r="S710" t="str" cm="1">
        <f t="array" ref="S710">IFERROR(_xlfn.IFS(Table1[[#This Row],[Payment Status]]="Partial","In Transit",Table1[[#This Row],[Payment Status]]="Paid","Delivered",Table1[[#This Row],[Payment Status]]="Pending","Pending"),"Invalid Input")</f>
        <v>Delivered</v>
      </c>
      <c r="T710" t="s">
        <v>27</v>
      </c>
      <c r="U710" t="str" cm="1">
        <f t="array" ref="U710">IFERROR(_xlfn.IFS(Table1[[#This Row],[Payment Status]]="Partial","In Transit",Table1[[#This Row],[Payment Status]]="Paid","Completed",Table1[[#This Row],[Payment Status]]="Pending","Pending"),"Invalid Input")</f>
        <v>Completed</v>
      </c>
    </row>
    <row r="711" spans="1:21" x14ac:dyDescent="0.25">
      <c r="A711" s="4" t="s">
        <v>1368</v>
      </c>
      <c r="B711" s="5">
        <v>45569</v>
      </c>
      <c r="C711" t="s">
        <v>41</v>
      </c>
      <c r="D711" t="s">
        <v>3268</v>
      </c>
      <c r="E711" t="s">
        <v>47</v>
      </c>
      <c r="F711" t="s">
        <v>3216</v>
      </c>
      <c r="G711" t="s">
        <v>48</v>
      </c>
      <c r="H711" t="str">
        <f>VLOOKUP(Table1[[#This Row],[City]],Table6[#All],2,FALSE)</f>
        <v>North</v>
      </c>
      <c r="I711" t="s">
        <v>24</v>
      </c>
      <c r="J711" t="str">
        <f>_xlfn.XLOOKUP(Table1[[#This Row],[Tractor Model]],Table7[Product Model],Table7[Product Category],"Not Available",0)</f>
        <v>Farmtrac</v>
      </c>
      <c r="K711" s="4">
        <v>5</v>
      </c>
      <c r="L711" s="72">
        <v>867947</v>
      </c>
      <c r="M711" s="4">
        <f>INDEX('Master Sheet'!$C$4:$C$12,MATCH(Table1[[#This Row],[Quantity]],'Master Sheet'!$B$4:$B$12,0))</f>
        <v>7</v>
      </c>
      <c r="N711" s="71">
        <f>Table1[[#This Row],[Quantity]]*Table1[[#This Row],[Unit Price]]</f>
        <v>4339735</v>
      </c>
      <c r="O711" s="73">
        <v>0.43397350000000001</v>
      </c>
      <c r="P711" s="70">
        <f>Table1[[#This Row],[Gross Amount]]*(1-(Table1[[#This Row],[Discount %]]/100))</f>
        <v>4035953.55</v>
      </c>
      <c r="Q711" s="74">
        <f>(Table1[[#This Row],[Gross Amount]]*(1-(Table1[[#This Row],[Discount %]]/100)))/10000000</f>
        <v>0.40359535499999999</v>
      </c>
      <c r="R711" t="s">
        <v>25</v>
      </c>
      <c r="S711" t="str" cm="1">
        <f t="array" ref="S711">IFERROR(_xlfn.IFS(Table1[[#This Row],[Payment Status]]="Partial","In Transit",Table1[[#This Row],[Payment Status]]="Paid","Delivered",Table1[[#This Row],[Payment Status]]="Pending","Pending"),"Invalid Input")</f>
        <v>In Transit</v>
      </c>
      <c r="T711" t="s">
        <v>44</v>
      </c>
      <c r="U711" t="str" cm="1">
        <f t="array" ref="U711">IFERROR(_xlfn.IFS(Table1[[#This Row],[Payment Status]]="Partial","In Transit",Table1[[#This Row],[Payment Status]]="Paid","Completed",Table1[[#This Row],[Payment Status]]="Pending","Pending"),"Invalid Input")</f>
        <v>In Transit</v>
      </c>
    </row>
    <row r="712" spans="1:21" x14ac:dyDescent="0.25">
      <c r="A712" s="4" t="s">
        <v>1370</v>
      </c>
      <c r="B712" s="5">
        <v>45655</v>
      </c>
      <c r="C712" t="s">
        <v>33</v>
      </c>
      <c r="D712" t="s">
        <v>37</v>
      </c>
      <c r="E712" t="s">
        <v>47</v>
      </c>
      <c r="F712" t="s">
        <v>3215</v>
      </c>
      <c r="G712" t="s">
        <v>48</v>
      </c>
      <c r="H712" t="str">
        <f>VLOOKUP(Table1[[#This Row],[City]],Table6[#All],2,FALSE)</f>
        <v>North</v>
      </c>
      <c r="I712" t="s">
        <v>58</v>
      </c>
      <c r="J712" t="str">
        <f>_xlfn.XLOOKUP(Table1[[#This Row],[Tractor Model]],Table7[Product Model],Table7[Product Category],"Not Available",0)</f>
        <v>Powertrac</v>
      </c>
      <c r="K712" s="4">
        <v>4</v>
      </c>
      <c r="L712" s="72">
        <v>597097</v>
      </c>
      <c r="M712" s="4">
        <f>INDEX('Master Sheet'!$C$4:$C$12,MATCH(Table1[[#This Row],[Quantity]],'Master Sheet'!$B$4:$B$12,0))</f>
        <v>6</v>
      </c>
      <c r="N712" s="71">
        <f>Table1[[#This Row],[Quantity]]*Table1[[#This Row],[Unit Price]]</f>
        <v>2388388</v>
      </c>
      <c r="O712" s="73">
        <v>0.23883879999999999</v>
      </c>
      <c r="P712" s="70">
        <f>Table1[[#This Row],[Gross Amount]]*(1-(Table1[[#This Row],[Discount %]]/100))</f>
        <v>2245084.7199999997</v>
      </c>
      <c r="Q712" s="74">
        <f>(Table1[[#This Row],[Gross Amount]]*(1-(Table1[[#This Row],[Discount %]]/100)))/10000000</f>
        <v>0.22450847199999999</v>
      </c>
      <c r="R712" t="s">
        <v>25</v>
      </c>
      <c r="S712" t="str" cm="1">
        <f t="array" ref="S712">IFERROR(_xlfn.IFS(Table1[[#This Row],[Payment Status]]="Partial","In Transit",Table1[[#This Row],[Payment Status]]="Paid","Delivered",Table1[[#This Row],[Payment Status]]="Pending","Pending"),"Invalid Input")</f>
        <v>In Transit</v>
      </c>
      <c r="T712" t="s">
        <v>27</v>
      </c>
      <c r="U712" t="str" cm="1">
        <f t="array" ref="U712">IFERROR(_xlfn.IFS(Table1[[#This Row],[Payment Status]]="Partial","In Transit",Table1[[#This Row],[Payment Status]]="Paid","Completed",Table1[[#This Row],[Payment Status]]="Pending","Pending"),"Invalid Input")</f>
        <v>In Transit</v>
      </c>
    </row>
    <row r="713" spans="1:21" x14ac:dyDescent="0.25">
      <c r="A713" s="4" t="s">
        <v>1371</v>
      </c>
      <c r="B713" s="5">
        <v>45397</v>
      </c>
      <c r="C713" t="s">
        <v>33</v>
      </c>
      <c r="D713" t="s">
        <v>3269</v>
      </c>
      <c r="E713" t="s">
        <v>47</v>
      </c>
      <c r="F713" t="s">
        <v>3209</v>
      </c>
      <c r="G713" t="s">
        <v>48</v>
      </c>
      <c r="H713" t="str">
        <f>VLOOKUP(Table1[[#This Row],[City]],Table6[#All],2,FALSE)</f>
        <v>North</v>
      </c>
      <c r="I713" t="s">
        <v>24</v>
      </c>
      <c r="J713" t="str">
        <f>_xlfn.XLOOKUP(Table1[[#This Row],[Tractor Model]],Table7[Product Model],Table7[Product Category],"Not Available",0)</f>
        <v>Farmtrac</v>
      </c>
      <c r="K713" s="4">
        <v>7</v>
      </c>
      <c r="L713" s="72">
        <v>766204</v>
      </c>
      <c r="M713" s="4">
        <f>INDEX('Master Sheet'!$C$4:$C$12,MATCH(Table1[[#This Row],[Quantity]],'Master Sheet'!$B$4:$B$12,0))</f>
        <v>9</v>
      </c>
      <c r="N713" s="71">
        <f>Table1[[#This Row],[Quantity]]*Table1[[#This Row],[Unit Price]]</f>
        <v>5363428</v>
      </c>
      <c r="O713" s="73">
        <v>0.53634280000000001</v>
      </c>
      <c r="P713" s="70">
        <f>Table1[[#This Row],[Gross Amount]]*(1-(Table1[[#This Row],[Discount %]]/100))</f>
        <v>4880719.4800000004</v>
      </c>
      <c r="Q713" s="74">
        <f>(Table1[[#This Row],[Gross Amount]]*(1-(Table1[[#This Row],[Discount %]]/100)))/10000000</f>
        <v>0.48807194800000003</v>
      </c>
      <c r="R713" t="s">
        <v>25</v>
      </c>
      <c r="S713" t="str" cm="1">
        <f t="array" ref="S713">IFERROR(_xlfn.IFS(Table1[[#This Row],[Payment Status]]="Partial","In Transit",Table1[[#This Row],[Payment Status]]="Paid","Delivered",Table1[[#This Row],[Payment Status]]="Pending","Pending"),"Invalid Input")</f>
        <v>In Transit</v>
      </c>
      <c r="T713" t="s">
        <v>27</v>
      </c>
      <c r="U713" t="str" cm="1">
        <f t="array" ref="U713">IFERROR(_xlfn.IFS(Table1[[#This Row],[Payment Status]]="Partial","In Transit",Table1[[#This Row],[Payment Status]]="Paid","Completed",Table1[[#This Row],[Payment Status]]="Pending","Pending"),"Invalid Input")</f>
        <v>In Transit</v>
      </c>
    </row>
    <row r="714" spans="1:21" x14ac:dyDescent="0.25">
      <c r="A714" s="4" t="s">
        <v>1373</v>
      </c>
      <c r="B714" s="5">
        <v>45546</v>
      </c>
      <c r="C714" t="s">
        <v>52</v>
      </c>
      <c r="D714" t="s">
        <v>3268</v>
      </c>
      <c r="E714" t="s">
        <v>66</v>
      </c>
      <c r="F714" t="s">
        <v>3211</v>
      </c>
      <c r="G714" t="s">
        <v>67</v>
      </c>
      <c r="H714" t="str">
        <f>VLOOKUP(Table1[[#This Row],[City]],Table6[#All],2,FALSE)</f>
        <v>East</v>
      </c>
      <c r="I714" t="s">
        <v>24</v>
      </c>
      <c r="J714" t="str">
        <f>_xlfn.XLOOKUP(Table1[[#This Row],[Tractor Model]],Table7[Product Model],Table7[Product Category],"Not Available",0)</f>
        <v>Farmtrac</v>
      </c>
      <c r="K714" s="4">
        <v>6</v>
      </c>
      <c r="L714" s="72">
        <v>626915</v>
      </c>
      <c r="M714" s="4">
        <f>INDEX('Master Sheet'!$C$4:$C$12,MATCH(Table1[[#This Row],[Quantity]],'Master Sheet'!$B$4:$B$12,0))</f>
        <v>8</v>
      </c>
      <c r="N714" s="71">
        <f>Table1[[#This Row],[Quantity]]*Table1[[#This Row],[Unit Price]]</f>
        <v>3761490</v>
      </c>
      <c r="O714" s="73">
        <v>0.37614900000000001</v>
      </c>
      <c r="P714" s="70">
        <f>Table1[[#This Row],[Gross Amount]]*(1-(Table1[[#This Row],[Discount %]]/100))</f>
        <v>3460570.8000000003</v>
      </c>
      <c r="Q714" s="74">
        <f>(Table1[[#This Row],[Gross Amount]]*(1-(Table1[[#This Row],[Discount %]]/100)))/10000000</f>
        <v>0.34605708000000002</v>
      </c>
      <c r="R714" t="s">
        <v>42</v>
      </c>
      <c r="S714" t="str" cm="1">
        <f t="array" ref="S714">IFERROR(_xlfn.IFS(Table1[[#This Row],[Payment Status]]="Partial","In Transit",Table1[[#This Row],[Payment Status]]="Paid","Delivered",Table1[[#This Row],[Payment Status]]="Pending","Pending"),"Invalid Input")</f>
        <v>Pending</v>
      </c>
      <c r="T714" t="s">
        <v>27</v>
      </c>
      <c r="U714" t="str" cm="1">
        <f t="array" ref="U714">IFERROR(_xlfn.IFS(Table1[[#This Row],[Payment Status]]="Partial","In Transit",Table1[[#This Row],[Payment Status]]="Paid","Completed",Table1[[#This Row],[Payment Status]]="Pending","Pending"),"Invalid Input")</f>
        <v>Pending</v>
      </c>
    </row>
    <row r="715" spans="1:21" x14ac:dyDescent="0.25">
      <c r="A715" s="4" t="s">
        <v>1375</v>
      </c>
      <c r="B715" s="5">
        <v>45667</v>
      </c>
      <c r="C715" t="s">
        <v>52</v>
      </c>
      <c r="D715" t="s">
        <v>3269</v>
      </c>
      <c r="E715" t="s">
        <v>66</v>
      </c>
      <c r="F715" t="s">
        <v>3213</v>
      </c>
      <c r="G715" t="s">
        <v>67</v>
      </c>
      <c r="H715" t="str">
        <f>VLOOKUP(Table1[[#This Row],[City]],Table6[#All],2,FALSE)</f>
        <v>East</v>
      </c>
      <c r="I715" t="s">
        <v>3203</v>
      </c>
      <c r="J715" t="str">
        <f>_xlfn.XLOOKUP(Table1[[#This Row],[Tractor Model]],Table7[Product Model],Table7[Product Category],"Not Available",0)</f>
        <v>Kubota</v>
      </c>
      <c r="K715" s="4">
        <v>4</v>
      </c>
      <c r="L715" s="72">
        <v>616854</v>
      </c>
      <c r="M715" s="4">
        <f>INDEX('Master Sheet'!$C$4:$C$12,MATCH(Table1[[#This Row],[Quantity]],'Master Sheet'!$B$4:$B$12,0))</f>
        <v>6</v>
      </c>
      <c r="N715" s="71">
        <f>Table1[[#This Row],[Quantity]]*Table1[[#This Row],[Unit Price]]</f>
        <v>2467416</v>
      </c>
      <c r="O715" s="73">
        <v>0.24674160000000001</v>
      </c>
      <c r="P715" s="70">
        <f>Table1[[#This Row],[Gross Amount]]*(1-(Table1[[#This Row],[Discount %]]/100))</f>
        <v>2319371.04</v>
      </c>
      <c r="Q715" s="74">
        <f>(Table1[[#This Row],[Gross Amount]]*(1-(Table1[[#This Row],[Discount %]]/100)))/10000000</f>
        <v>0.23193710400000001</v>
      </c>
      <c r="R715" t="s">
        <v>42</v>
      </c>
      <c r="S715" t="str" cm="1">
        <f t="array" ref="S715">IFERROR(_xlfn.IFS(Table1[[#This Row],[Payment Status]]="Partial","In Transit",Table1[[#This Row],[Payment Status]]="Paid","Delivered",Table1[[#This Row],[Payment Status]]="Pending","Pending"),"Invalid Input")</f>
        <v>Pending</v>
      </c>
      <c r="T715" t="s">
        <v>27</v>
      </c>
      <c r="U715" t="str" cm="1">
        <f t="array" ref="U715">IFERROR(_xlfn.IFS(Table1[[#This Row],[Payment Status]]="Partial","In Transit",Table1[[#This Row],[Payment Status]]="Paid","Completed",Table1[[#This Row],[Payment Status]]="Pending","Pending"),"Invalid Input")</f>
        <v>Pending</v>
      </c>
    </row>
    <row r="716" spans="1:21" x14ac:dyDescent="0.25">
      <c r="A716" s="4" t="s">
        <v>1376</v>
      </c>
      <c r="B716" s="5">
        <v>45463</v>
      </c>
      <c r="C716" t="s">
        <v>33</v>
      </c>
      <c r="D716" t="s">
        <v>3271</v>
      </c>
      <c r="E716" t="s">
        <v>66</v>
      </c>
      <c r="F716" t="s">
        <v>3207</v>
      </c>
      <c r="G716" t="s">
        <v>67</v>
      </c>
      <c r="H716" t="str">
        <f>VLOOKUP(Table1[[#This Row],[City]],Table6[#All],2,FALSE)</f>
        <v>East</v>
      </c>
      <c r="I716" t="s">
        <v>24</v>
      </c>
      <c r="J716" t="str">
        <f>_xlfn.XLOOKUP(Table1[[#This Row],[Tractor Model]],Table7[Product Model],Table7[Product Category],"Not Available",0)</f>
        <v>Farmtrac</v>
      </c>
      <c r="K716" s="4">
        <v>4</v>
      </c>
      <c r="L716" s="72">
        <v>465552</v>
      </c>
      <c r="M716" s="4">
        <f>INDEX('Master Sheet'!$C$4:$C$12,MATCH(Table1[[#This Row],[Quantity]],'Master Sheet'!$B$4:$B$12,0))</f>
        <v>6</v>
      </c>
      <c r="N716" s="71">
        <f>Table1[[#This Row],[Quantity]]*Table1[[#This Row],[Unit Price]]</f>
        <v>1862208</v>
      </c>
      <c r="O716" s="73">
        <v>0.18622079999999999</v>
      </c>
      <c r="P716" s="70">
        <f>Table1[[#This Row],[Gross Amount]]*(1-(Table1[[#This Row],[Discount %]]/100))</f>
        <v>1750475.5199999998</v>
      </c>
      <c r="Q716" s="74">
        <f>(Table1[[#This Row],[Gross Amount]]*(1-(Table1[[#This Row],[Discount %]]/100)))/10000000</f>
        <v>0.17504755199999997</v>
      </c>
      <c r="R716" t="s">
        <v>42</v>
      </c>
      <c r="S716" t="str" cm="1">
        <f t="array" ref="S716">IFERROR(_xlfn.IFS(Table1[[#This Row],[Payment Status]]="Partial","In Transit",Table1[[#This Row],[Payment Status]]="Paid","Delivered",Table1[[#This Row],[Payment Status]]="Pending","Pending"),"Invalid Input")</f>
        <v>Pending</v>
      </c>
      <c r="T716" t="s">
        <v>27</v>
      </c>
      <c r="U716" t="str" cm="1">
        <f t="array" ref="U716">IFERROR(_xlfn.IFS(Table1[[#This Row],[Payment Status]]="Partial","In Transit",Table1[[#This Row],[Payment Status]]="Paid","Completed",Table1[[#This Row],[Payment Status]]="Pending","Pending"),"Invalid Input")</f>
        <v>Pending</v>
      </c>
    </row>
    <row r="717" spans="1:21" x14ac:dyDescent="0.25">
      <c r="A717" s="4" t="s">
        <v>1378</v>
      </c>
      <c r="B717" s="5">
        <v>45656</v>
      </c>
      <c r="C717" t="s">
        <v>41</v>
      </c>
      <c r="D717" t="s">
        <v>3269</v>
      </c>
      <c r="E717" t="s">
        <v>66</v>
      </c>
      <c r="F717" t="s">
        <v>3213</v>
      </c>
      <c r="G717" t="s">
        <v>67</v>
      </c>
      <c r="H717" t="str">
        <f>VLOOKUP(Table1[[#This Row],[City]],Table6[#All],2,FALSE)</f>
        <v>East</v>
      </c>
      <c r="I717" t="s">
        <v>58</v>
      </c>
      <c r="J717" t="str">
        <f>_xlfn.XLOOKUP(Table1[[#This Row],[Tractor Model]],Table7[Product Model],Table7[Product Category],"Not Available",0)</f>
        <v>Powertrac</v>
      </c>
      <c r="K717" s="4">
        <v>5</v>
      </c>
      <c r="L717" s="72">
        <v>372851</v>
      </c>
      <c r="M717" s="4">
        <f>INDEX('Master Sheet'!$C$4:$C$12,MATCH(Table1[[#This Row],[Quantity]],'Master Sheet'!$B$4:$B$12,0))</f>
        <v>7</v>
      </c>
      <c r="N717" s="71">
        <f>Table1[[#This Row],[Quantity]]*Table1[[#This Row],[Unit Price]]</f>
        <v>1864255</v>
      </c>
      <c r="O717" s="73">
        <v>0.18642549999999999</v>
      </c>
      <c r="P717" s="70">
        <f>Table1[[#This Row],[Gross Amount]]*(1-(Table1[[#This Row],[Discount %]]/100))</f>
        <v>1733757.15</v>
      </c>
      <c r="Q717" s="74">
        <f>(Table1[[#This Row],[Gross Amount]]*(1-(Table1[[#This Row],[Discount %]]/100)))/10000000</f>
        <v>0.17337571499999999</v>
      </c>
      <c r="R717" t="s">
        <v>54</v>
      </c>
      <c r="S717" t="str" cm="1">
        <f t="array" ref="S717">IFERROR(_xlfn.IFS(Table1[[#This Row],[Payment Status]]="Partial","In Transit",Table1[[#This Row],[Payment Status]]="Paid","Delivered",Table1[[#This Row],[Payment Status]]="Pending","Pending"),"Invalid Input")</f>
        <v>Delivered</v>
      </c>
      <c r="T717" t="s">
        <v>27</v>
      </c>
      <c r="U717" t="str" cm="1">
        <f t="array" ref="U717">IFERROR(_xlfn.IFS(Table1[[#This Row],[Payment Status]]="Partial","In Transit",Table1[[#This Row],[Payment Status]]="Paid","Completed",Table1[[#This Row],[Payment Status]]="Pending","Pending"),"Invalid Input")</f>
        <v>Completed</v>
      </c>
    </row>
    <row r="718" spans="1:21" x14ac:dyDescent="0.25">
      <c r="A718" s="4" t="s">
        <v>1380</v>
      </c>
      <c r="B718" s="5">
        <v>45297</v>
      </c>
      <c r="C718" t="s">
        <v>52</v>
      </c>
      <c r="D718" t="s">
        <v>3268</v>
      </c>
      <c r="E718" t="s">
        <v>47</v>
      </c>
      <c r="F718" t="s">
        <v>3216</v>
      </c>
      <c r="G718" t="s">
        <v>48</v>
      </c>
      <c r="H718" t="str">
        <f>VLOOKUP(Table1[[#This Row],[City]],Table6[#All],2,FALSE)</f>
        <v>North</v>
      </c>
      <c r="I718" t="s">
        <v>3204</v>
      </c>
      <c r="J718" t="str">
        <f>_xlfn.XLOOKUP(Table1[[#This Row],[Tractor Model]],Table7[Product Model],Table7[Product Category],"Not Available",0)</f>
        <v>Kubota</v>
      </c>
      <c r="K718" s="4">
        <v>1</v>
      </c>
      <c r="L718" s="72">
        <v>263425</v>
      </c>
      <c r="M718" s="4">
        <f>INDEX('Master Sheet'!$C$4:$C$12,MATCH(Table1[[#This Row],[Quantity]],'Master Sheet'!$B$4:$B$12,0))</f>
        <v>3</v>
      </c>
      <c r="N718" s="71">
        <f>Table1[[#This Row],[Quantity]]*Table1[[#This Row],[Unit Price]]</f>
        <v>263425</v>
      </c>
      <c r="O718" s="73">
        <v>2.6342500000000001E-2</v>
      </c>
      <c r="P718" s="70">
        <f>Table1[[#This Row],[Gross Amount]]*(1-(Table1[[#This Row],[Discount %]]/100))</f>
        <v>255522.25</v>
      </c>
      <c r="Q718" s="74">
        <f>(Table1[[#This Row],[Gross Amount]]*(1-(Table1[[#This Row],[Discount %]]/100)))/10000000</f>
        <v>2.5552225000000001E-2</v>
      </c>
      <c r="R718" t="s">
        <v>42</v>
      </c>
      <c r="S718" t="str" cm="1">
        <f t="array" ref="S718">IFERROR(_xlfn.IFS(Table1[[#This Row],[Payment Status]]="Partial","In Transit",Table1[[#This Row],[Payment Status]]="Paid","Delivered",Table1[[#This Row],[Payment Status]]="Pending","Pending"),"Invalid Input")</f>
        <v>Pending</v>
      </c>
      <c r="T718" t="s">
        <v>44</v>
      </c>
      <c r="U718" t="str" cm="1">
        <f t="array" ref="U718">IFERROR(_xlfn.IFS(Table1[[#This Row],[Payment Status]]="Partial","In Transit",Table1[[#This Row],[Payment Status]]="Paid","Completed",Table1[[#This Row],[Payment Status]]="Pending","Pending"),"Invalid Input")</f>
        <v>Pending</v>
      </c>
    </row>
    <row r="719" spans="1:21" x14ac:dyDescent="0.25">
      <c r="A719" s="4" t="s">
        <v>1382</v>
      </c>
      <c r="B719" s="5">
        <v>45809</v>
      </c>
      <c r="C719" t="s">
        <v>52</v>
      </c>
      <c r="D719" t="s">
        <v>3269</v>
      </c>
      <c r="E719" t="s">
        <v>119</v>
      </c>
      <c r="F719" t="s">
        <v>3229</v>
      </c>
      <c r="G719" t="s">
        <v>21</v>
      </c>
      <c r="H719" t="str">
        <f>VLOOKUP(Table1[[#This Row],[City]],Table6[#All],2,FALSE)</f>
        <v>North</v>
      </c>
      <c r="I719" t="s">
        <v>3203</v>
      </c>
      <c r="J719" t="str">
        <f>_xlfn.XLOOKUP(Table1[[#This Row],[Tractor Model]],Table7[Product Model],Table7[Product Category],"Not Available",0)</f>
        <v>Kubota</v>
      </c>
      <c r="K719" s="4">
        <v>7</v>
      </c>
      <c r="L719" s="72">
        <v>126054</v>
      </c>
      <c r="M719" s="4">
        <f>INDEX('Master Sheet'!$C$4:$C$12,MATCH(Table1[[#This Row],[Quantity]],'Master Sheet'!$B$4:$B$12,0))</f>
        <v>9</v>
      </c>
      <c r="N719" s="71">
        <f>Table1[[#This Row],[Quantity]]*Table1[[#This Row],[Unit Price]]</f>
        <v>882378</v>
      </c>
      <c r="O719" s="73">
        <v>8.8237800000000005E-2</v>
      </c>
      <c r="P719" s="70">
        <f>Table1[[#This Row],[Gross Amount]]*(1-(Table1[[#This Row],[Discount %]]/100))</f>
        <v>802963.98</v>
      </c>
      <c r="Q719" s="74">
        <f>(Table1[[#This Row],[Gross Amount]]*(1-(Table1[[#This Row],[Discount %]]/100)))/10000000</f>
        <v>8.0296398000000005E-2</v>
      </c>
      <c r="R719" t="s">
        <v>42</v>
      </c>
      <c r="S719" t="str" cm="1">
        <f t="array" ref="S719">IFERROR(_xlfn.IFS(Table1[[#This Row],[Payment Status]]="Partial","In Transit",Table1[[#This Row],[Payment Status]]="Paid","Delivered",Table1[[#This Row],[Payment Status]]="Pending","Pending"),"Invalid Input")</f>
        <v>Pending</v>
      </c>
      <c r="T719" t="s">
        <v>27</v>
      </c>
      <c r="U719" t="str" cm="1">
        <f t="array" ref="U719">IFERROR(_xlfn.IFS(Table1[[#This Row],[Payment Status]]="Partial","In Transit",Table1[[#This Row],[Payment Status]]="Paid","Completed",Table1[[#This Row],[Payment Status]]="Pending","Pending"),"Invalid Input")</f>
        <v>Pending</v>
      </c>
    </row>
    <row r="720" spans="1:21" x14ac:dyDescent="0.25">
      <c r="A720" s="4" t="s">
        <v>1383</v>
      </c>
      <c r="B720" s="5">
        <v>45669</v>
      </c>
      <c r="C720" t="s">
        <v>41</v>
      </c>
      <c r="D720" t="s">
        <v>37</v>
      </c>
      <c r="E720" t="s">
        <v>38</v>
      </c>
      <c r="F720" t="s">
        <v>3214</v>
      </c>
      <c r="G720" t="s">
        <v>39</v>
      </c>
      <c r="H720" t="str">
        <f>VLOOKUP(Table1[[#This Row],[City]],Table6[#All],2,FALSE)</f>
        <v>West</v>
      </c>
      <c r="I720" t="s">
        <v>24</v>
      </c>
      <c r="J720" t="str">
        <f>_xlfn.XLOOKUP(Table1[[#This Row],[Tractor Model]],Table7[Product Model],Table7[Product Category],"Not Available",0)</f>
        <v>Farmtrac</v>
      </c>
      <c r="K720" s="4">
        <v>3</v>
      </c>
      <c r="L720" s="72">
        <v>652451</v>
      </c>
      <c r="M720" s="4">
        <f>INDEX('Master Sheet'!$C$4:$C$12,MATCH(Table1[[#This Row],[Quantity]],'Master Sheet'!$B$4:$B$12,0))</f>
        <v>6</v>
      </c>
      <c r="N720" s="71">
        <f>Table1[[#This Row],[Quantity]]*Table1[[#This Row],[Unit Price]]</f>
        <v>1957353</v>
      </c>
      <c r="O720" s="73">
        <v>0.1957353</v>
      </c>
      <c r="P720" s="70">
        <f>Table1[[#This Row],[Gross Amount]]*(1-(Table1[[#This Row],[Discount %]]/100))</f>
        <v>1839911.8199999998</v>
      </c>
      <c r="Q720" s="74">
        <f>(Table1[[#This Row],[Gross Amount]]*(1-(Table1[[#This Row],[Discount %]]/100)))/10000000</f>
        <v>0.18399118199999998</v>
      </c>
      <c r="R720" t="s">
        <v>25</v>
      </c>
      <c r="S720" t="str" cm="1">
        <f t="array" ref="S720">IFERROR(_xlfn.IFS(Table1[[#This Row],[Payment Status]]="Partial","In Transit",Table1[[#This Row],[Payment Status]]="Paid","Delivered",Table1[[#This Row],[Payment Status]]="Pending","Pending"),"Invalid Input")</f>
        <v>In Transit</v>
      </c>
      <c r="T720" t="s">
        <v>44</v>
      </c>
      <c r="U720" t="str" cm="1">
        <f t="array" ref="U720">IFERROR(_xlfn.IFS(Table1[[#This Row],[Payment Status]]="Partial","In Transit",Table1[[#This Row],[Payment Status]]="Paid","Completed",Table1[[#This Row],[Payment Status]]="Pending","Pending"),"Invalid Input")</f>
        <v>In Transit</v>
      </c>
    </row>
    <row r="721" spans="1:21" x14ac:dyDescent="0.25">
      <c r="A721" s="4" t="s">
        <v>1385</v>
      </c>
      <c r="B721" s="5">
        <v>45471</v>
      </c>
      <c r="C721" t="s">
        <v>73</v>
      </c>
      <c r="D721" t="s">
        <v>3269</v>
      </c>
      <c r="E721" t="s">
        <v>38</v>
      </c>
      <c r="F721" t="s">
        <v>3206</v>
      </c>
      <c r="G721" t="s">
        <v>39</v>
      </c>
      <c r="H721" t="str">
        <f>VLOOKUP(Table1[[#This Row],[City]],Table6[#All],2,FALSE)</f>
        <v>West</v>
      </c>
      <c r="I721" t="s">
        <v>24</v>
      </c>
      <c r="J721" t="str">
        <f>_xlfn.XLOOKUP(Table1[[#This Row],[Tractor Model]],Table7[Product Model],Table7[Product Category],"Not Available",0)</f>
        <v>Farmtrac</v>
      </c>
      <c r="K721" s="4">
        <v>1</v>
      </c>
      <c r="L721" s="72">
        <v>694451</v>
      </c>
      <c r="M721" s="4">
        <f>INDEX('Master Sheet'!$C$4:$C$12,MATCH(Table1[[#This Row],[Quantity]],'Master Sheet'!$B$4:$B$12,0))</f>
        <v>3</v>
      </c>
      <c r="N721" s="71">
        <f>Table1[[#This Row],[Quantity]]*Table1[[#This Row],[Unit Price]]</f>
        <v>694451</v>
      </c>
      <c r="O721" s="73">
        <v>6.9445099999999996E-2</v>
      </c>
      <c r="P721" s="70">
        <f>Table1[[#This Row],[Gross Amount]]*(1-(Table1[[#This Row],[Discount %]]/100))</f>
        <v>673617.47</v>
      </c>
      <c r="Q721" s="74">
        <f>(Table1[[#This Row],[Gross Amount]]*(1-(Table1[[#This Row],[Discount %]]/100)))/10000000</f>
        <v>6.7361747E-2</v>
      </c>
      <c r="R721" t="s">
        <v>42</v>
      </c>
      <c r="S721" t="str" cm="1">
        <f t="array" ref="S721">IFERROR(_xlfn.IFS(Table1[[#This Row],[Payment Status]]="Partial","In Transit",Table1[[#This Row],[Payment Status]]="Paid","Delivered",Table1[[#This Row],[Payment Status]]="Pending","Pending"),"Invalid Input")</f>
        <v>Pending</v>
      </c>
      <c r="T721" t="s">
        <v>27</v>
      </c>
      <c r="U721" t="str" cm="1">
        <f t="array" ref="U721">IFERROR(_xlfn.IFS(Table1[[#This Row],[Payment Status]]="Partial","In Transit",Table1[[#This Row],[Payment Status]]="Paid","Completed",Table1[[#This Row],[Payment Status]]="Pending","Pending"),"Invalid Input")</f>
        <v>Pending</v>
      </c>
    </row>
    <row r="722" spans="1:21" x14ac:dyDescent="0.25">
      <c r="A722" s="4" t="s">
        <v>1387</v>
      </c>
      <c r="B722" s="5">
        <v>45492</v>
      </c>
      <c r="C722" t="s">
        <v>73</v>
      </c>
      <c r="D722" t="s">
        <v>3271</v>
      </c>
      <c r="E722" t="s">
        <v>30</v>
      </c>
      <c r="F722" t="s">
        <v>3217</v>
      </c>
      <c r="G722" t="s">
        <v>31</v>
      </c>
      <c r="H722" t="str">
        <f>VLOOKUP(Table1[[#This Row],[City]],Table6[#All],2,FALSE)</f>
        <v>South</v>
      </c>
      <c r="I722" t="s">
        <v>53</v>
      </c>
      <c r="J722" t="str">
        <f>_xlfn.XLOOKUP(Table1[[#This Row],[Tractor Model]],Table7[Product Model],Table7[Product Category],"Not Available",0)</f>
        <v>Farmtrac</v>
      </c>
      <c r="K722" s="4">
        <v>7</v>
      </c>
      <c r="L722" s="72">
        <v>844156</v>
      </c>
      <c r="M722" s="4">
        <f>INDEX('Master Sheet'!$C$4:$C$12,MATCH(Table1[[#This Row],[Quantity]],'Master Sheet'!$B$4:$B$12,0))</f>
        <v>9</v>
      </c>
      <c r="N722" s="71">
        <f>Table1[[#This Row],[Quantity]]*Table1[[#This Row],[Unit Price]]</f>
        <v>5909092</v>
      </c>
      <c r="O722" s="73">
        <v>0.59090920000000002</v>
      </c>
      <c r="P722" s="70">
        <f>Table1[[#This Row],[Gross Amount]]*(1-(Table1[[#This Row],[Discount %]]/100))</f>
        <v>5377273.7199999997</v>
      </c>
      <c r="Q722" s="74">
        <f>(Table1[[#This Row],[Gross Amount]]*(1-(Table1[[#This Row],[Discount %]]/100)))/10000000</f>
        <v>0.53772737199999998</v>
      </c>
      <c r="R722" t="s">
        <v>42</v>
      </c>
      <c r="S722" t="str" cm="1">
        <f t="array" ref="S722">IFERROR(_xlfn.IFS(Table1[[#This Row],[Payment Status]]="Partial","In Transit",Table1[[#This Row],[Payment Status]]="Paid","Delivered",Table1[[#This Row],[Payment Status]]="Pending","Pending"),"Invalid Input")</f>
        <v>Pending</v>
      </c>
      <c r="T722" t="s">
        <v>44</v>
      </c>
      <c r="U722" t="str" cm="1">
        <f t="array" ref="U722">IFERROR(_xlfn.IFS(Table1[[#This Row],[Payment Status]]="Partial","In Transit",Table1[[#This Row],[Payment Status]]="Paid","Completed",Table1[[#This Row],[Payment Status]]="Pending","Pending"),"Invalid Input")</f>
        <v>Pending</v>
      </c>
    </row>
    <row r="723" spans="1:21" x14ac:dyDescent="0.25">
      <c r="A723" s="4" t="s">
        <v>1389</v>
      </c>
      <c r="B723" s="5">
        <v>45344</v>
      </c>
      <c r="C723" t="s">
        <v>62</v>
      </c>
      <c r="D723" t="s">
        <v>3271</v>
      </c>
      <c r="E723" t="s">
        <v>30</v>
      </c>
      <c r="F723" t="s">
        <v>3217</v>
      </c>
      <c r="G723" t="s">
        <v>31</v>
      </c>
      <c r="H723" t="str">
        <f>VLOOKUP(Table1[[#This Row],[City]],Table6[#All],2,FALSE)</f>
        <v>South</v>
      </c>
      <c r="I723" t="s">
        <v>3203</v>
      </c>
      <c r="J723" t="str">
        <f>_xlfn.XLOOKUP(Table1[[#This Row],[Tractor Model]],Table7[Product Model],Table7[Product Category],"Not Available",0)</f>
        <v>Kubota</v>
      </c>
      <c r="K723" s="4">
        <v>1</v>
      </c>
      <c r="L723" s="72">
        <v>791829</v>
      </c>
      <c r="M723" s="4">
        <f>INDEX('Master Sheet'!$C$4:$C$12,MATCH(Table1[[#This Row],[Quantity]],'Master Sheet'!$B$4:$B$12,0))</f>
        <v>3</v>
      </c>
      <c r="N723" s="71">
        <f>Table1[[#This Row],[Quantity]]*Table1[[#This Row],[Unit Price]]</f>
        <v>791829</v>
      </c>
      <c r="O723" s="73">
        <v>7.9182900000000001E-2</v>
      </c>
      <c r="P723" s="70">
        <f>Table1[[#This Row],[Gross Amount]]*(1-(Table1[[#This Row],[Discount %]]/100))</f>
        <v>768074.13</v>
      </c>
      <c r="Q723" s="74">
        <f>(Table1[[#This Row],[Gross Amount]]*(1-(Table1[[#This Row],[Discount %]]/100)))/10000000</f>
        <v>7.6807413000000005E-2</v>
      </c>
      <c r="R723" t="s">
        <v>42</v>
      </c>
      <c r="S723" t="str" cm="1">
        <f t="array" ref="S723">IFERROR(_xlfn.IFS(Table1[[#This Row],[Payment Status]]="Partial","In Transit",Table1[[#This Row],[Payment Status]]="Paid","Delivered",Table1[[#This Row],[Payment Status]]="Pending","Pending"),"Invalid Input")</f>
        <v>Pending</v>
      </c>
      <c r="T723" t="s">
        <v>27</v>
      </c>
      <c r="U723" t="str" cm="1">
        <f t="array" ref="U723">IFERROR(_xlfn.IFS(Table1[[#This Row],[Payment Status]]="Partial","In Transit",Table1[[#This Row],[Payment Status]]="Paid","Completed",Table1[[#This Row],[Payment Status]]="Pending","Pending"),"Invalid Input")</f>
        <v>Pending</v>
      </c>
    </row>
    <row r="724" spans="1:21" x14ac:dyDescent="0.25">
      <c r="A724" s="4" t="s">
        <v>1390</v>
      </c>
      <c r="B724" s="5">
        <v>45362</v>
      </c>
      <c r="C724" t="s">
        <v>33</v>
      </c>
      <c r="D724" t="s">
        <v>37</v>
      </c>
      <c r="E724" t="s">
        <v>119</v>
      </c>
      <c r="F724" t="s">
        <v>3224</v>
      </c>
      <c r="G724" t="s">
        <v>21</v>
      </c>
      <c r="H724" t="str">
        <f>VLOOKUP(Table1[[#This Row],[City]],Table6[#All],2,FALSE)</f>
        <v>North</v>
      </c>
      <c r="I724" t="s">
        <v>24</v>
      </c>
      <c r="J724" t="str">
        <f>_xlfn.XLOOKUP(Table1[[#This Row],[Tractor Model]],Table7[Product Model],Table7[Product Category],"Not Available",0)</f>
        <v>Farmtrac</v>
      </c>
      <c r="K724" s="4">
        <v>2</v>
      </c>
      <c r="L724" s="72">
        <v>841334</v>
      </c>
      <c r="M724" s="4">
        <f>INDEX('Master Sheet'!$C$4:$C$12,MATCH(Table1[[#This Row],[Quantity]],'Master Sheet'!$B$4:$B$12,0))</f>
        <v>5</v>
      </c>
      <c r="N724" s="71">
        <f>Table1[[#This Row],[Quantity]]*Table1[[#This Row],[Unit Price]]</f>
        <v>1682668</v>
      </c>
      <c r="O724" s="73">
        <v>0.16826679999999999</v>
      </c>
      <c r="P724" s="70">
        <f>Table1[[#This Row],[Gross Amount]]*(1-(Table1[[#This Row],[Discount %]]/100))</f>
        <v>1598534.5999999999</v>
      </c>
      <c r="Q724" s="74">
        <f>(Table1[[#This Row],[Gross Amount]]*(1-(Table1[[#This Row],[Discount %]]/100)))/10000000</f>
        <v>0.15985345999999998</v>
      </c>
      <c r="R724" t="s">
        <v>54</v>
      </c>
      <c r="S724" t="str" cm="1">
        <f t="array" ref="S724">IFERROR(_xlfn.IFS(Table1[[#This Row],[Payment Status]]="Partial","In Transit",Table1[[#This Row],[Payment Status]]="Paid","Delivered",Table1[[#This Row],[Payment Status]]="Pending","Pending"),"Invalid Input")</f>
        <v>Delivered</v>
      </c>
      <c r="T724" t="s">
        <v>44</v>
      </c>
      <c r="U724" t="str" cm="1">
        <f t="array" ref="U724">IFERROR(_xlfn.IFS(Table1[[#This Row],[Payment Status]]="Partial","In Transit",Table1[[#This Row],[Payment Status]]="Paid","Completed",Table1[[#This Row],[Payment Status]]="Pending","Pending"),"Invalid Input")</f>
        <v>Completed</v>
      </c>
    </row>
    <row r="725" spans="1:21" x14ac:dyDescent="0.25">
      <c r="A725" s="4" t="s">
        <v>1392</v>
      </c>
      <c r="B725" s="5">
        <v>45445</v>
      </c>
      <c r="C725" t="s">
        <v>62</v>
      </c>
      <c r="D725" t="s">
        <v>3271</v>
      </c>
      <c r="E725" t="s">
        <v>38</v>
      </c>
      <c r="F725" t="s">
        <v>3210</v>
      </c>
      <c r="G725" t="s">
        <v>39</v>
      </c>
      <c r="H725" t="str">
        <f>VLOOKUP(Table1[[#This Row],[City]],Table6[#All],2,FALSE)</f>
        <v>West</v>
      </c>
      <c r="I725" t="s">
        <v>3204</v>
      </c>
      <c r="J725" t="str">
        <f>_xlfn.XLOOKUP(Table1[[#This Row],[Tractor Model]],Table7[Product Model],Table7[Product Category],"Not Available",0)</f>
        <v>Kubota</v>
      </c>
      <c r="K725" s="4">
        <v>1</v>
      </c>
      <c r="L725" s="72">
        <v>79834</v>
      </c>
      <c r="M725" s="4">
        <f>INDEX('Master Sheet'!$C$4:$C$12,MATCH(Table1[[#This Row],[Quantity]],'Master Sheet'!$B$4:$B$12,0))</f>
        <v>3</v>
      </c>
      <c r="N725" s="71">
        <f>Table1[[#This Row],[Quantity]]*Table1[[#This Row],[Unit Price]]</f>
        <v>79834</v>
      </c>
      <c r="O725" s="73">
        <v>7.9833999999999999E-3</v>
      </c>
      <c r="P725" s="70">
        <f>Table1[[#This Row],[Gross Amount]]*(1-(Table1[[#This Row],[Discount %]]/100))</f>
        <v>77438.98</v>
      </c>
      <c r="Q725" s="74">
        <f>(Table1[[#This Row],[Gross Amount]]*(1-(Table1[[#This Row],[Discount %]]/100)))/10000000</f>
        <v>7.7438979999999999E-3</v>
      </c>
      <c r="R725" t="s">
        <v>25</v>
      </c>
      <c r="S725" t="str" cm="1">
        <f t="array" ref="S725">IFERROR(_xlfn.IFS(Table1[[#This Row],[Payment Status]]="Partial","In Transit",Table1[[#This Row],[Payment Status]]="Paid","Delivered",Table1[[#This Row],[Payment Status]]="Pending","Pending"),"Invalid Input")</f>
        <v>In Transit</v>
      </c>
      <c r="T725" t="s">
        <v>27</v>
      </c>
      <c r="U725" t="str" cm="1">
        <f t="array" ref="U725">IFERROR(_xlfn.IFS(Table1[[#This Row],[Payment Status]]="Partial","In Transit",Table1[[#This Row],[Payment Status]]="Paid","Completed",Table1[[#This Row],[Payment Status]]="Pending","Pending"),"Invalid Input")</f>
        <v>In Transit</v>
      </c>
    </row>
    <row r="726" spans="1:21" x14ac:dyDescent="0.25">
      <c r="A726" s="4" t="s">
        <v>1394</v>
      </c>
      <c r="B726" s="5">
        <v>45775</v>
      </c>
      <c r="C726" t="s">
        <v>73</v>
      </c>
      <c r="D726" t="s">
        <v>37</v>
      </c>
      <c r="E726" t="s">
        <v>119</v>
      </c>
      <c r="F726" t="s">
        <v>3224</v>
      </c>
      <c r="G726" t="s">
        <v>21</v>
      </c>
      <c r="H726" t="str">
        <f>VLOOKUP(Table1[[#This Row],[City]],Table6[#All],2,FALSE)</f>
        <v>North</v>
      </c>
      <c r="I726" t="s">
        <v>3203</v>
      </c>
      <c r="J726" t="str">
        <f>_xlfn.XLOOKUP(Table1[[#This Row],[Tractor Model]],Table7[Product Model],Table7[Product Category],"Not Available",0)</f>
        <v>Kubota</v>
      </c>
      <c r="K726" s="4">
        <v>5</v>
      </c>
      <c r="L726" s="72">
        <v>830550</v>
      </c>
      <c r="M726" s="4">
        <f>INDEX('Master Sheet'!$C$4:$C$12,MATCH(Table1[[#This Row],[Quantity]],'Master Sheet'!$B$4:$B$12,0))</f>
        <v>7</v>
      </c>
      <c r="N726" s="71">
        <f>Table1[[#This Row],[Quantity]]*Table1[[#This Row],[Unit Price]]</f>
        <v>4152750</v>
      </c>
      <c r="O726" s="73">
        <v>0.41527500000000001</v>
      </c>
      <c r="P726" s="70">
        <f>Table1[[#This Row],[Gross Amount]]*(1-(Table1[[#This Row],[Discount %]]/100))</f>
        <v>3862057.4999999995</v>
      </c>
      <c r="Q726" s="74">
        <f>(Table1[[#This Row],[Gross Amount]]*(1-(Table1[[#This Row],[Discount %]]/100)))/10000000</f>
        <v>0.38620574999999996</v>
      </c>
      <c r="R726" t="s">
        <v>25</v>
      </c>
      <c r="S726" t="str" cm="1">
        <f t="array" ref="S726">IFERROR(_xlfn.IFS(Table1[[#This Row],[Payment Status]]="Partial","In Transit",Table1[[#This Row],[Payment Status]]="Paid","Delivered",Table1[[#This Row],[Payment Status]]="Pending","Pending"),"Invalid Input")</f>
        <v>In Transit</v>
      </c>
      <c r="T726" t="s">
        <v>27</v>
      </c>
      <c r="U726" t="str" cm="1">
        <f t="array" ref="U726">IFERROR(_xlfn.IFS(Table1[[#This Row],[Payment Status]]="Partial","In Transit",Table1[[#This Row],[Payment Status]]="Paid","Completed",Table1[[#This Row],[Payment Status]]="Pending","Pending"),"Invalid Input")</f>
        <v>In Transit</v>
      </c>
    </row>
    <row r="727" spans="1:21" x14ac:dyDescent="0.25">
      <c r="A727" s="4" t="s">
        <v>1396</v>
      </c>
      <c r="B727" s="5">
        <v>45535</v>
      </c>
      <c r="C727" t="s">
        <v>73</v>
      </c>
      <c r="D727" t="s">
        <v>3271</v>
      </c>
      <c r="E727" t="s">
        <v>119</v>
      </c>
      <c r="F727" t="s">
        <v>3228</v>
      </c>
      <c r="G727" t="s">
        <v>21</v>
      </c>
      <c r="H727" t="str">
        <f>VLOOKUP(Table1[[#This Row],[City]],Table6[#All],2,FALSE)</f>
        <v>North</v>
      </c>
      <c r="I727" t="s">
        <v>3204</v>
      </c>
      <c r="J727" t="str">
        <f>_xlfn.XLOOKUP(Table1[[#This Row],[Tractor Model]],Table7[Product Model],Table7[Product Category],"Not Available",0)</f>
        <v>Kubota</v>
      </c>
      <c r="K727" s="4">
        <v>4</v>
      </c>
      <c r="L727" s="72">
        <v>174237</v>
      </c>
      <c r="M727" s="4">
        <f>INDEX('Master Sheet'!$C$4:$C$12,MATCH(Table1[[#This Row],[Quantity]],'Master Sheet'!$B$4:$B$12,0))</f>
        <v>6</v>
      </c>
      <c r="N727" s="71">
        <f>Table1[[#This Row],[Quantity]]*Table1[[#This Row],[Unit Price]]</f>
        <v>696948</v>
      </c>
      <c r="O727" s="73">
        <v>6.9694800000000001E-2</v>
      </c>
      <c r="P727" s="70">
        <f>Table1[[#This Row],[Gross Amount]]*(1-(Table1[[#This Row],[Discount %]]/100))</f>
        <v>655131.12</v>
      </c>
      <c r="Q727" s="74">
        <f>(Table1[[#This Row],[Gross Amount]]*(1-(Table1[[#This Row],[Discount %]]/100)))/10000000</f>
        <v>6.5513111999999998E-2</v>
      </c>
      <c r="R727" t="s">
        <v>54</v>
      </c>
      <c r="S727" t="str" cm="1">
        <f t="array" ref="S727">IFERROR(_xlfn.IFS(Table1[[#This Row],[Payment Status]]="Partial","In Transit",Table1[[#This Row],[Payment Status]]="Paid","Delivered",Table1[[#This Row],[Payment Status]]="Pending","Pending"),"Invalid Input")</f>
        <v>Delivered</v>
      </c>
      <c r="T727" t="s">
        <v>44</v>
      </c>
      <c r="U727" t="str" cm="1">
        <f t="array" ref="U727">IFERROR(_xlfn.IFS(Table1[[#This Row],[Payment Status]]="Partial","In Transit",Table1[[#This Row],[Payment Status]]="Paid","Completed",Table1[[#This Row],[Payment Status]]="Pending","Pending"),"Invalid Input")</f>
        <v>Completed</v>
      </c>
    </row>
    <row r="728" spans="1:21" x14ac:dyDescent="0.25">
      <c r="A728" s="4" t="s">
        <v>1398</v>
      </c>
      <c r="B728" s="5">
        <v>45401</v>
      </c>
      <c r="C728" t="s">
        <v>52</v>
      </c>
      <c r="D728" t="s">
        <v>3271</v>
      </c>
      <c r="E728" t="s">
        <v>66</v>
      </c>
      <c r="F728" t="s">
        <v>3207</v>
      </c>
      <c r="G728" t="s">
        <v>67</v>
      </c>
      <c r="H728" t="str">
        <f>VLOOKUP(Table1[[#This Row],[City]],Table6[#All],2,FALSE)</f>
        <v>East</v>
      </c>
      <c r="I728" t="s">
        <v>3203</v>
      </c>
      <c r="J728" t="str">
        <f>_xlfn.XLOOKUP(Table1[[#This Row],[Tractor Model]],Table7[Product Model],Table7[Product Category],"Not Available",0)</f>
        <v>Kubota</v>
      </c>
      <c r="K728" s="4">
        <v>1</v>
      </c>
      <c r="L728" s="72">
        <v>475816</v>
      </c>
      <c r="M728" s="4">
        <f>INDEX('Master Sheet'!$C$4:$C$12,MATCH(Table1[[#This Row],[Quantity]],'Master Sheet'!$B$4:$B$12,0))</f>
        <v>3</v>
      </c>
      <c r="N728" s="71">
        <f>Table1[[#This Row],[Quantity]]*Table1[[#This Row],[Unit Price]]</f>
        <v>475816</v>
      </c>
      <c r="O728" s="73">
        <v>4.7581600000000002E-2</v>
      </c>
      <c r="P728" s="70">
        <f>Table1[[#This Row],[Gross Amount]]*(1-(Table1[[#This Row],[Discount %]]/100))</f>
        <v>461541.51999999996</v>
      </c>
      <c r="Q728" s="74">
        <f>(Table1[[#This Row],[Gross Amount]]*(1-(Table1[[#This Row],[Discount %]]/100)))/10000000</f>
        <v>4.6154151999999997E-2</v>
      </c>
      <c r="R728" t="s">
        <v>25</v>
      </c>
      <c r="S728" t="str" cm="1">
        <f t="array" ref="S728">IFERROR(_xlfn.IFS(Table1[[#This Row],[Payment Status]]="Partial","In Transit",Table1[[#This Row],[Payment Status]]="Paid","Delivered",Table1[[#This Row],[Payment Status]]="Pending","Pending"),"Invalid Input")</f>
        <v>In Transit</v>
      </c>
      <c r="T728" t="s">
        <v>27</v>
      </c>
      <c r="U728" t="str" cm="1">
        <f t="array" ref="U728">IFERROR(_xlfn.IFS(Table1[[#This Row],[Payment Status]]="Partial","In Transit",Table1[[#This Row],[Payment Status]]="Paid","Completed",Table1[[#This Row],[Payment Status]]="Pending","Pending"),"Invalid Input")</f>
        <v>In Transit</v>
      </c>
    </row>
    <row r="729" spans="1:21" x14ac:dyDescent="0.25">
      <c r="A729" s="4" t="s">
        <v>1400</v>
      </c>
      <c r="B729" s="5">
        <v>45520</v>
      </c>
      <c r="C729" t="s">
        <v>62</v>
      </c>
      <c r="D729" t="s">
        <v>3269</v>
      </c>
      <c r="E729" t="s">
        <v>47</v>
      </c>
      <c r="F729" t="s">
        <v>3209</v>
      </c>
      <c r="G729" t="s">
        <v>48</v>
      </c>
      <c r="H729" t="str">
        <f>VLOOKUP(Table1[[#This Row],[City]],Table6[#All],2,FALSE)</f>
        <v>North</v>
      </c>
      <c r="I729" t="s">
        <v>3203</v>
      </c>
      <c r="J729" t="str">
        <f>_xlfn.XLOOKUP(Table1[[#This Row],[Tractor Model]],Table7[Product Model],Table7[Product Category],"Not Available",0)</f>
        <v>Kubota</v>
      </c>
      <c r="K729" s="4">
        <v>3</v>
      </c>
      <c r="L729" s="72">
        <v>264959</v>
      </c>
      <c r="M729" s="4">
        <f>INDEX('Master Sheet'!$C$4:$C$12,MATCH(Table1[[#This Row],[Quantity]],'Master Sheet'!$B$4:$B$12,0))</f>
        <v>6</v>
      </c>
      <c r="N729" s="71">
        <f>Table1[[#This Row],[Quantity]]*Table1[[#This Row],[Unit Price]]</f>
        <v>794877</v>
      </c>
      <c r="O729" s="73">
        <v>7.9487699999999994E-2</v>
      </c>
      <c r="P729" s="70">
        <f>Table1[[#This Row],[Gross Amount]]*(1-(Table1[[#This Row],[Discount %]]/100))</f>
        <v>747184.38</v>
      </c>
      <c r="Q729" s="74">
        <f>(Table1[[#This Row],[Gross Amount]]*(1-(Table1[[#This Row],[Discount %]]/100)))/10000000</f>
        <v>7.4718437999999998E-2</v>
      </c>
      <c r="R729" t="s">
        <v>25</v>
      </c>
      <c r="S729" t="str" cm="1">
        <f t="array" ref="S729">IFERROR(_xlfn.IFS(Table1[[#This Row],[Payment Status]]="Partial","In Transit",Table1[[#This Row],[Payment Status]]="Paid","Delivered",Table1[[#This Row],[Payment Status]]="Pending","Pending"),"Invalid Input")</f>
        <v>In Transit</v>
      </c>
      <c r="T729" t="s">
        <v>27</v>
      </c>
      <c r="U729" t="str" cm="1">
        <f t="array" ref="U729">IFERROR(_xlfn.IFS(Table1[[#This Row],[Payment Status]]="Partial","In Transit",Table1[[#This Row],[Payment Status]]="Paid","Completed",Table1[[#This Row],[Payment Status]]="Pending","Pending"),"Invalid Input")</f>
        <v>In Transit</v>
      </c>
    </row>
    <row r="730" spans="1:21" x14ac:dyDescent="0.25">
      <c r="A730" s="4" t="s">
        <v>1401</v>
      </c>
      <c r="B730" s="5">
        <v>45534</v>
      </c>
      <c r="C730" t="s">
        <v>41</v>
      </c>
      <c r="D730" t="s">
        <v>3268</v>
      </c>
      <c r="E730" t="s">
        <v>47</v>
      </c>
      <c r="F730" t="s">
        <v>3216</v>
      </c>
      <c r="G730" t="s">
        <v>48</v>
      </c>
      <c r="H730" t="str">
        <f>VLOOKUP(Table1[[#This Row],[City]],Table6[#All],2,FALSE)</f>
        <v>North</v>
      </c>
      <c r="I730" t="s">
        <v>58</v>
      </c>
      <c r="J730" t="str">
        <f>_xlfn.XLOOKUP(Table1[[#This Row],[Tractor Model]],Table7[Product Model],Table7[Product Category],"Not Available",0)</f>
        <v>Powertrac</v>
      </c>
      <c r="K730" s="4">
        <v>8</v>
      </c>
      <c r="L730" s="72">
        <v>806897</v>
      </c>
      <c r="M730" s="4">
        <f>INDEX('Master Sheet'!$C$4:$C$12,MATCH(Table1[[#This Row],[Quantity]],'Master Sheet'!$B$4:$B$12,0))</f>
        <v>9</v>
      </c>
      <c r="N730" s="71">
        <f>Table1[[#This Row],[Quantity]]*Table1[[#This Row],[Unit Price]]</f>
        <v>6455176</v>
      </c>
      <c r="O730" s="73">
        <v>0.64551760000000002</v>
      </c>
      <c r="P730" s="70">
        <f>Table1[[#This Row],[Gross Amount]]*(1-(Table1[[#This Row],[Discount %]]/100))</f>
        <v>5874210.1600000001</v>
      </c>
      <c r="Q730" s="74">
        <f>(Table1[[#This Row],[Gross Amount]]*(1-(Table1[[#This Row],[Discount %]]/100)))/10000000</f>
        <v>0.58742101599999996</v>
      </c>
      <c r="R730" t="s">
        <v>54</v>
      </c>
      <c r="S730" t="str" cm="1">
        <f t="array" ref="S730">IFERROR(_xlfn.IFS(Table1[[#This Row],[Payment Status]]="Partial","In Transit",Table1[[#This Row],[Payment Status]]="Paid","Delivered",Table1[[#This Row],[Payment Status]]="Pending","Pending"),"Invalid Input")</f>
        <v>Delivered</v>
      </c>
      <c r="T730" t="s">
        <v>27</v>
      </c>
      <c r="U730" t="str" cm="1">
        <f t="array" ref="U730">IFERROR(_xlfn.IFS(Table1[[#This Row],[Payment Status]]="Partial","In Transit",Table1[[#This Row],[Payment Status]]="Paid","Completed",Table1[[#This Row],[Payment Status]]="Pending","Pending"),"Invalid Input")</f>
        <v>Completed</v>
      </c>
    </row>
    <row r="731" spans="1:21" x14ac:dyDescent="0.25">
      <c r="A731" s="4" t="s">
        <v>1403</v>
      </c>
      <c r="B731" s="5">
        <v>45489</v>
      </c>
      <c r="C731" t="s">
        <v>41</v>
      </c>
      <c r="D731" t="s">
        <v>3268</v>
      </c>
      <c r="E731" t="s">
        <v>66</v>
      </c>
      <c r="F731" t="s">
        <v>3211</v>
      </c>
      <c r="G731" t="s">
        <v>67</v>
      </c>
      <c r="H731" t="str">
        <f>VLOOKUP(Table1[[#This Row],[City]],Table6[#All],2,FALSE)</f>
        <v>East</v>
      </c>
      <c r="I731" t="s">
        <v>3204</v>
      </c>
      <c r="J731" t="str">
        <f>_xlfn.XLOOKUP(Table1[[#This Row],[Tractor Model]],Table7[Product Model],Table7[Product Category],"Not Available",0)</f>
        <v>Kubota</v>
      </c>
      <c r="K731" s="4">
        <v>1</v>
      </c>
      <c r="L731" s="72">
        <v>740014</v>
      </c>
      <c r="M731" s="4">
        <f>INDEX('Master Sheet'!$C$4:$C$12,MATCH(Table1[[#This Row],[Quantity]],'Master Sheet'!$B$4:$B$12,0))</f>
        <v>3</v>
      </c>
      <c r="N731" s="71">
        <f>Table1[[#This Row],[Quantity]]*Table1[[#This Row],[Unit Price]]</f>
        <v>740014</v>
      </c>
      <c r="O731" s="73">
        <v>7.4001399999999995E-2</v>
      </c>
      <c r="P731" s="70">
        <f>Table1[[#This Row],[Gross Amount]]*(1-(Table1[[#This Row],[Discount %]]/100))</f>
        <v>717813.58</v>
      </c>
      <c r="Q731" s="74">
        <f>(Table1[[#This Row],[Gross Amount]]*(1-(Table1[[#This Row],[Discount %]]/100)))/10000000</f>
        <v>7.178135799999999E-2</v>
      </c>
      <c r="R731" t="s">
        <v>25</v>
      </c>
      <c r="S731" t="str" cm="1">
        <f t="array" ref="S731">IFERROR(_xlfn.IFS(Table1[[#This Row],[Payment Status]]="Partial","In Transit",Table1[[#This Row],[Payment Status]]="Paid","Delivered",Table1[[#This Row],[Payment Status]]="Pending","Pending"),"Invalid Input")</f>
        <v>In Transit</v>
      </c>
      <c r="T731" t="s">
        <v>27</v>
      </c>
      <c r="U731" t="str" cm="1">
        <f t="array" ref="U731">IFERROR(_xlfn.IFS(Table1[[#This Row],[Payment Status]]="Partial","In Transit",Table1[[#This Row],[Payment Status]]="Paid","Completed",Table1[[#This Row],[Payment Status]]="Pending","Pending"),"Invalid Input")</f>
        <v>In Transit</v>
      </c>
    </row>
    <row r="732" spans="1:21" x14ac:dyDescent="0.25">
      <c r="A732" s="4" t="s">
        <v>1405</v>
      </c>
      <c r="B732" s="5">
        <v>45684</v>
      </c>
      <c r="C732" t="s">
        <v>52</v>
      </c>
      <c r="D732" t="s">
        <v>3271</v>
      </c>
      <c r="E732" t="s">
        <v>47</v>
      </c>
      <c r="F732" t="s">
        <v>3221</v>
      </c>
      <c r="G732" t="s">
        <v>48</v>
      </c>
      <c r="H732" t="str">
        <f>VLOOKUP(Table1[[#This Row],[City]],Table6[#All],2,FALSE)</f>
        <v>North</v>
      </c>
      <c r="I732" t="s">
        <v>24</v>
      </c>
      <c r="J732" t="str">
        <f>_xlfn.XLOOKUP(Table1[[#This Row],[Tractor Model]],Table7[Product Model],Table7[Product Category],"Not Available",0)</f>
        <v>Farmtrac</v>
      </c>
      <c r="K732" s="4">
        <v>3</v>
      </c>
      <c r="L732" s="72">
        <v>432024</v>
      </c>
      <c r="M732" s="4">
        <f>INDEX('Master Sheet'!$C$4:$C$12,MATCH(Table1[[#This Row],[Quantity]],'Master Sheet'!$B$4:$B$12,0))</f>
        <v>6</v>
      </c>
      <c r="N732" s="71">
        <f>Table1[[#This Row],[Quantity]]*Table1[[#This Row],[Unit Price]]</f>
        <v>1296072</v>
      </c>
      <c r="O732" s="73">
        <v>0.12960720000000001</v>
      </c>
      <c r="P732" s="70">
        <f>Table1[[#This Row],[Gross Amount]]*(1-(Table1[[#This Row],[Discount %]]/100))</f>
        <v>1218307.68</v>
      </c>
      <c r="Q732" s="74">
        <f>(Table1[[#This Row],[Gross Amount]]*(1-(Table1[[#This Row],[Discount %]]/100)))/10000000</f>
        <v>0.12183076799999999</v>
      </c>
      <c r="R732" t="s">
        <v>25</v>
      </c>
      <c r="S732" t="str" cm="1">
        <f t="array" ref="S732">IFERROR(_xlfn.IFS(Table1[[#This Row],[Payment Status]]="Partial","In Transit",Table1[[#This Row],[Payment Status]]="Paid","Delivered",Table1[[#This Row],[Payment Status]]="Pending","Pending"),"Invalid Input")</f>
        <v>In Transit</v>
      </c>
      <c r="T732" t="s">
        <v>27</v>
      </c>
      <c r="U732" t="str" cm="1">
        <f t="array" ref="U732">IFERROR(_xlfn.IFS(Table1[[#This Row],[Payment Status]]="Partial","In Transit",Table1[[#This Row],[Payment Status]]="Paid","Completed",Table1[[#This Row],[Payment Status]]="Pending","Pending"),"Invalid Input")</f>
        <v>In Transit</v>
      </c>
    </row>
    <row r="733" spans="1:21" x14ac:dyDescent="0.25">
      <c r="A733" s="4" t="s">
        <v>1406</v>
      </c>
      <c r="B733" s="5">
        <v>45633</v>
      </c>
      <c r="C733" t="s">
        <v>62</v>
      </c>
      <c r="D733" t="s">
        <v>3271</v>
      </c>
      <c r="E733" t="s">
        <v>119</v>
      </c>
      <c r="F733" t="s">
        <v>3228</v>
      </c>
      <c r="G733" t="s">
        <v>21</v>
      </c>
      <c r="H733" t="str">
        <f>VLOOKUP(Table1[[#This Row],[City]],Table6[#All],2,FALSE)</f>
        <v>North</v>
      </c>
      <c r="I733" t="s">
        <v>58</v>
      </c>
      <c r="J733" t="str">
        <f>_xlfn.XLOOKUP(Table1[[#This Row],[Tractor Model]],Table7[Product Model],Table7[Product Category],"Not Available",0)</f>
        <v>Powertrac</v>
      </c>
      <c r="K733" s="4">
        <v>2</v>
      </c>
      <c r="L733" s="72">
        <v>349108</v>
      </c>
      <c r="M733" s="4">
        <f>INDEX('Master Sheet'!$C$4:$C$12,MATCH(Table1[[#This Row],[Quantity]],'Master Sheet'!$B$4:$B$12,0))</f>
        <v>5</v>
      </c>
      <c r="N733" s="71">
        <f>Table1[[#This Row],[Quantity]]*Table1[[#This Row],[Unit Price]]</f>
        <v>698216</v>
      </c>
      <c r="O733" s="73">
        <v>6.9821599999999998E-2</v>
      </c>
      <c r="P733" s="70">
        <f>Table1[[#This Row],[Gross Amount]]*(1-(Table1[[#This Row],[Discount %]]/100))</f>
        <v>663305.19999999995</v>
      </c>
      <c r="Q733" s="74">
        <f>(Table1[[#This Row],[Gross Amount]]*(1-(Table1[[#This Row],[Discount %]]/100)))/10000000</f>
        <v>6.633051999999999E-2</v>
      </c>
      <c r="R733" t="s">
        <v>25</v>
      </c>
      <c r="S733" t="str" cm="1">
        <f t="array" ref="S733">IFERROR(_xlfn.IFS(Table1[[#This Row],[Payment Status]]="Partial","In Transit",Table1[[#This Row],[Payment Status]]="Paid","Delivered",Table1[[#This Row],[Payment Status]]="Pending","Pending"),"Invalid Input")</f>
        <v>In Transit</v>
      </c>
      <c r="T733" t="s">
        <v>27</v>
      </c>
      <c r="U733" t="str" cm="1">
        <f t="array" ref="U733">IFERROR(_xlfn.IFS(Table1[[#This Row],[Payment Status]]="Partial","In Transit",Table1[[#This Row],[Payment Status]]="Paid","Completed",Table1[[#This Row],[Payment Status]]="Pending","Pending"),"Invalid Input")</f>
        <v>In Transit</v>
      </c>
    </row>
    <row r="734" spans="1:21" x14ac:dyDescent="0.25">
      <c r="A734" s="4" t="s">
        <v>1408</v>
      </c>
      <c r="B734" s="5">
        <v>45304</v>
      </c>
      <c r="C734" t="s">
        <v>62</v>
      </c>
      <c r="D734" t="s">
        <v>3270</v>
      </c>
      <c r="E734" t="s">
        <v>119</v>
      </c>
      <c r="F734" t="s">
        <v>3212</v>
      </c>
      <c r="G734" t="s">
        <v>21</v>
      </c>
      <c r="H734" t="str">
        <f>VLOOKUP(Table1[[#This Row],[City]],Table6[#All],2,FALSE)</f>
        <v>North</v>
      </c>
      <c r="I734" t="s">
        <v>24</v>
      </c>
      <c r="J734" t="str">
        <f>_xlfn.XLOOKUP(Table1[[#This Row],[Tractor Model]],Table7[Product Model],Table7[Product Category],"Not Available",0)</f>
        <v>Farmtrac</v>
      </c>
      <c r="K734" s="4">
        <v>4</v>
      </c>
      <c r="L734" s="72">
        <v>341886</v>
      </c>
      <c r="M734" s="4">
        <f>INDEX('Master Sheet'!$C$4:$C$12,MATCH(Table1[[#This Row],[Quantity]],'Master Sheet'!$B$4:$B$12,0))</f>
        <v>6</v>
      </c>
      <c r="N734" s="71">
        <f>Table1[[#This Row],[Quantity]]*Table1[[#This Row],[Unit Price]]</f>
        <v>1367544</v>
      </c>
      <c r="O734" s="73">
        <v>0.1367544</v>
      </c>
      <c r="P734" s="70">
        <f>Table1[[#This Row],[Gross Amount]]*(1-(Table1[[#This Row],[Discount %]]/100))</f>
        <v>1285491.3599999999</v>
      </c>
      <c r="Q734" s="74">
        <f>(Table1[[#This Row],[Gross Amount]]*(1-(Table1[[#This Row],[Discount %]]/100)))/10000000</f>
        <v>0.12854913599999998</v>
      </c>
      <c r="R734" t="s">
        <v>54</v>
      </c>
      <c r="S734" t="str" cm="1">
        <f t="array" ref="S734">IFERROR(_xlfn.IFS(Table1[[#This Row],[Payment Status]]="Partial","In Transit",Table1[[#This Row],[Payment Status]]="Paid","Delivered",Table1[[#This Row],[Payment Status]]="Pending","Pending"),"Invalid Input")</f>
        <v>Delivered</v>
      </c>
      <c r="T734" t="s">
        <v>44</v>
      </c>
      <c r="U734" t="str" cm="1">
        <f t="array" ref="U734">IFERROR(_xlfn.IFS(Table1[[#This Row],[Payment Status]]="Partial","In Transit",Table1[[#This Row],[Payment Status]]="Paid","Completed",Table1[[#This Row],[Payment Status]]="Pending","Pending"),"Invalid Input")</f>
        <v>Completed</v>
      </c>
    </row>
    <row r="735" spans="1:21" x14ac:dyDescent="0.25">
      <c r="A735" s="4" t="s">
        <v>1410</v>
      </c>
      <c r="B735" s="5">
        <v>45732</v>
      </c>
      <c r="C735" t="s">
        <v>73</v>
      </c>
      <c r="D735" t="s">
        <v>3271</v>
      </c>
      <c r="E735" t="s">
        <v>47</v>
      </c>
      <c r="F735" t="s">
        <v>3221</v>
      </c>
      <c r="G735" t="s">
        <v>48</v>
      </c>
      <c r="H735" t="str">
        <f>VLOOKUP(Table1[[#This Row],[City]],Table6[#All],2,FALSE)</f>
        <v>North</v>
      </c>
      <c r="I735" t="s">
        <v>58</v>
      </c>
      <c r="J735" t="str">
        <f>_xlfn.XLOOKUP(Table1[[#This Row],[Tractor Model]],Table7[Product Model],Table7[Product Category],"Not Available",0)</f>
        <v>Powertrac</v>
      </c>
      <c r="K735" s="4">
        <v>2</v>
      </c>
      <c r="L735" s="72">
        <v>501518</v>
      </c>
      <c r="M735" s="4">
        <f>INDEX('Master Sheet'!$C$4:$C$12,MATCH(Table1[[#This Row],[Quantity]],'Master Sheet'!$B$4:$B$12,0))</f>
        <v>5</v>
      </c>
      <c r="N735" s="71">
        <f>Table1[[#This Row],[Quantity]]*Table1[[#This Row],[Unit Price]]</f>
        <v>1003036</v>
      </c>
      <c r="O735" s="73">
        <v>0.10030360000000001</v>
      </c>
      <c r="P735" s="70">
        <f>Table1[[#This Row],[Gross Amount]]*(1-(Table1[[#This Row],[Discount %]]/100))</f>
        <v>952884.2</v>
      </c>
      <c r="Q735" s="74">
        <f>(Table1[[#This Row],[Gross Amount]]*(1-(Table1[[#This Row],[Discount %]]/100)))/10000000</f>
        <v>9.5288419999999999E-2</v>
      </c>
      <c r="R735" t="s">
        <v>25</v>
      </c>
      <c r="S735" t="str" cm="1">
        <f t="array" ref="S735">IFERROR(_xlfn.IFS(Table1[[#This Row],[Payment Status]]="Partial","In Transit",Table1[[#This Row],[Payment Status]]="Paid","Delivered",Table1[[#This Row],[Payment Status]]="Pending","Pending"),"Invalid Input")</f>
        <v>In Transit</v>
      </c>
      <c r="T735" t="s">
        <v>27</v>
      </c>
      <c r="U735" t="str" cm="1">
        <f t="array" ref="U735">IFERROR(_xlfn.IFS(Table1[[#This Row],[Payment Status]]="Partial","In Transit",Table1[[#This Row],[Payment Status]]="Paid","Completed",Table1[[#This Row],[Payment Status]]="Pending","Pending"),"Invalid Input")</f>
        <v>In Transit</v>
      </c>
    </row>
    <row r="736" spans="1:21" x14ac:dyDescent="0.25">
      <c r="A736" s="4" t="s">
        <v>1412</v>
      </c>
      <c r="B736" s="5">
        <v>45782</v>
      </c>
      <c r="C736" t="s">
        <v>73</v>
      </c>
      <c r="D736" t="s">
        <v>3271</v>
      </c>
      <c r="E736" t="s">
        <v>119</v>
      </c>
      <c r="F736" t="s">
        <v>3228</v>
      </c>
      <c r="G736" t="s">
        <v>21</v>
      </c>
      <c r="H736" t="str">
        <f>VLOOKUP(Table1[[#This Row],[City]],Table6[#All],2,FALSE)</f>
        <v>North</v>
      </c>
      <c r="I736" t="s">
        <v>3203</v>
      </c>
      <c r="J736" t="str">
        <f>_xlfn.XLOOKUP(Table1[[#This Row],[Tractor Model]],Table7[Product Model],Table7[Product Category],"Not Available",0)</f>
        <v>Kubota</v>
      </c>
      <c r="K736" s="4">
        <v>1</v>
      </c>
      <c r="L736" s="72">
        <v>331802</v>
      </c>
      <c r="M736" s="4">
        <f>INDEX('Master Sheet'!$C$4:$C$12,MATCH(Table1[[#This Row],[Quantity]],'Master Sheet'!$B$4:$B$12,0))</f>
        <v>3</v>
      </c>
      <c r="N736" s="71">
        <f>Table1[[#This Row],[Quantity]]*Table1[[#This Row],[Unit Price]]</f>
        <v>331802</v>
      </c>
      <c r="O736" s="73">
        <v>3.31802E-2</v>
      </c>
      <c r="P736" s="70">
        <f>Table1[[#This Row],[Gross Amount]]*(1-(Table1[[#This Row],[Discount %]]/100))</f>
        <v>321847.94</v>
      </c>
      <c r="Q736" s="74">
        <f>(Table1[[#This Row],[Gross Amount]]*(1-(Table1[[#This Row],[Discount %]]/100)))/10000000</f>
        <v>3.2184794000000003E-2</v>
      </c>
      <c r="R736" t="s">
        <v>54</v>
      </c>
      <c r="S736" t="str" cm="1">
        <f t="array" ref="S736">IFERROR(_xlfn.IFS(Table1[[#This Row],[Payment Status]]="Partial","In Transit",Table1[[#This Row],[Payment Status]]="Paid","Delivered",Table1[[#This Row],[Payment Status]]="Pending","Pending"),"Invalid Input")</f>
        <v>Delivered</v>
      </c>
      <c r="T736" t="s">
        <v>44</v>
      </c>
      <c r="U736" t="str" cm="1">
        <f t="array" ref="U736">IFERROR(_xlfn.IFS(Table1[[#This Row],[Payment Status]]="Partial","In Transit",Table1[[#This Row],[Payment Status]]="Paid","Completed",Table1[[#This Row],[Payment Status]]="Pending","Pending"),"Invalid Input")</f>
        <v>Completed</v>
      </c>
    </row>
    <row r="737" spans="1:21" x14ac:dyDescent="0.25">
      <c r="A737" s="4" t="s">
        <v>1414</v>
      </c>
      <c r="B737" s="5">
        <v>45392</v>
      </c>
      <c r="C737" t="s">
        <v>73</v>
      </c>
      <c r="D737" t="s">
        <v>37</v>
      </c>
      <c r="E737" t="s">
        <v>47</v>
      </c>
      <c r="F737" t="s">
        <v>3215</v>
      </c>
      <c r="G737" t="s">
        <v>48</v>
      </c>
      <c r="H737" t="str">
        <f>VLOOKUP(Table1[[#This Row],[City]],Table6[#All],2,FALSE)</f>
        <v>North</v>
      </c>
      <c r="I737" t="s">
        <v>58</v>
      </c>
      <c r="J737" t="str">
        <f>_xlfn.XLOOKUP(Table1[[#This Row],[Tractor Model]],Table7[Product Model],Table7[Product Category],"Not Available",0)</f>
        <v>Powertrac</v>
      </c>
      <c r="K737" s="4">
        <v>2</v>
      </c>
      <c r="L737" s="72">
        <v>765074</v>
      </c>
      <c r="M737" s="4">
        <f>INDEX('Master Sheet'!$C$4:$C$12,MATCH(Table1[[#This Row],[Quantity]],'Master Sheet'!$B$4:$B$12,0))</f>
        <v>5</v>
      </c>
      <c r="N737" s="71">
        <f>Table1[[#This Row],[Quantity]]*Table1[[#This Row],[Unit Price]]</f>
        <v>1530148</v>
      </c>
      <c r="O737" s="73">
        <v>0.15301480000000001</v>
      </c>
      <c r="P737" s="70">
        <f>Table1[[#This Row],[Gross Amount]]*(1-(Table1[[#This Row],[Discount %]]/100))</f>
        <v>1453640.5999999999</v>
      </c>
      <c r="Q737" s="74">
        <f>(Table1[[#This Row],[Gross Amount]]*(1-(Table1[[#This Row],[Discount %]]/100)))/10000000</f>
        <v>0.14536405999999999</v>
      </c>
      <c r="R737" t="s">
        <v>25</v>
      </c>
      <c r="S737" t="str" cm="1">
        <f t="array" ref="S737">IFERROR(_xlfn.IFS(Table1[[#This Row],[Payment Status]]="Partial","In Transit",Table1[[#This Row],[Payment Status]]="Paid","Delivered",Table1[[#This Row],[Payment Status]]="Pending","Pending"),"Invalid Input")</f>
        <v>In Transit</v>
      </c>
      <c r="T737" t="s">
        <v>27</v>
      </c>
      <c r="U737" t="str" cm="1">
        <f t="array" ref="U737">IFERROR(_xlfn.IFS(Table1[[#This Row],[Payment Status]]="Partial","In Transit",Table1[[#This Row],[Payment Status]]="Paid","Completed",Table1[[#This Row],[Payment Status]]="Pending","Pending"),"Invalid Input")</f>
        <v>In Transit</v>
      </c>
    </row>
    <row r="738" spans="1:21" x14ac:dyDescent="0.25">
      <c r="A738" s="4" t="s">
        <v>1416</v>
      </c>
      <c r="B738" s="5">
        <v>45296</v>
      </c>
      <c r="C738" t="s">
        <v>73</v>
      </c>
      <c r="D738" t="s">
        <v>3269</v>
      </c>
      <c r="E738" t="s">
        <v>119</v>
      </c>
      <c r="F738" t="s">
        <v>3229</v>
      </c>
      <c r="G738" t="s">
        <v>21</v>
      </c>
      <c r="H738" t="str">
        <f>VLOOKUP(Table1[[#This Row],[City]],Table6[#All],2,FALSE)</f>
        <v>North</v>
      </c>
      <c r="I738" t="s">
        <v>3204</v>
      </c>
      <c r="J738" t="str">
        <f>_xlfn.XLOOKUP(Table1[[#This Row],[Tractor Model]],Table7[Product Model],Table7[Product Category],"Not Available",0)</f>
        <v>Kubota</v>
      </c>
      <c r="K738" s="4">
        <v>8</v>
      </c>
      <c r="L738" s="72">
        <v>236483</v>
      </c>
      <c r="M738" s="4">
        <f>INDEX('Master Sheet'!$C$4:$C$12,MATCH(Table1[[#This Row],[Quantity]],'Master Sheet'!$B$4:$B$12,0))</f>
        <v>9</v>
      </c>
      <c r="N738" s="71">
        <f>Table1[[#This Row],[Quantity]]*Table1[[#This Row],[Unit Price]]</f>
        <v>1891864</v>
      </c>
      <c r="O738" s="73">
        <v>0.1891864</v>
      </c>
      <c r="P738" s="70">
        <f>Table1[[#This Row],[Gross Amount]]*(1-(Table1[[#This Row],[Discount %]]/100))</f>
        <v>1721596.24</v>
      </c>
      <c r="Q738" s="74">
        <f>(Table1[[#This Row],[Gross Amount]]*(1-(Table1[[#This Row],[Discount %]]/100)))/10000000</f>
        <v>0.17215962400000001</v>
      </c>
      <c r="R738" t="s">
        <v>25</v>
      </c>
      <c r="S738" t="str" cm="1">
        <f t="array" ref="S738">IFERROR(_xlfn.IFS(Table1[[#This Row],[Payment Status]]="Partial","In Transit",Table1[[#This Row],[Payment Status]]="Paid","Delivered",Table1[[#This Row],[Payment Status]]="Pending","Pending"),"Invalid Input")</f>
        <v>In Transit</v>
      </c>
      <c r="T738" t="s">
        <v>27</v>
      </c>
      <c r="U738" t="str" cm="1">
        <f t="array" ref="U738">IFERROR(_xlfn.IFS(Table1[[#This Row],[Payment Status]]="Partial","In Transit",Table1[[#This Row],[Payment Status]]="Paid","Completed",Table1[[#This Row],[Payment Status]]="Pending","Pending"),"Invalid Input")</f>
        <v>In Transit</v>
      </c>
    </row>
    <row r="739" spans="1:21" x14ac:dyDescent="0.25">
      <c r="A739" s="4" t="s">
        <v>1418</v>
      </c>
      <c r="B739" s="5">
        <v>45357</v>
      </c>
      <c r="C739" t="s">
        <v>41</v>
      </c>
      <c r="D739" t="s">
        <v>3270</v>
      </c>
      <c r="E739" t="s">
        <v>38</v>
      </c>
      <c r="F739" t="s">
        <v>3218</v>
      </c>
      <c r="G739" t="s">
        <v>39</v>
      </c>
      <c r="H739" t="str">
        <f>VLOOKUP(Table1[[#This Row],[City]],Table6[#All],2,FALSE)</f>
        <v>West</v>
      </c>
      <c r="I739" t="s">
        <v>3203</v>
      </c>
      <c r="J739" t="str">
        <f>_xlfn.XLOOKUP(Table1[[#This Row],[Tractor Model]],Table7[Product Model],Table7[Product Category],"Not Available",0)</f>
        <v>Kubota</v>
      </c>
      <c r="K739" s="4">
        <v>7</v>
      </c>
      <c r="L739" s="72">
        <v>351868</v>
      </c>
      <c r="M739" s="4">
        <f>INDEX('Master Sheet'!$C$4:$C$12,MATCH(Table1[[#This Row],[Quantity]],'Master Sheet'!$B$4:$B$12,0))</f>
        <v>9</v>
      </c>
      <c r="N739" s="71">
        <f>Table1[[#This Row],[Quantity]]*Table1[[#This Row],[Unit Price]]</f>
        <v>2463076</v>
      </c>
      <c r="O739" s="73">
        <v>0.24630759999999999</v>
      </c>
      <c r="P739" s="70">
        <f>Table1[[#This Row],[Gross Amount]]*(1-(Table1[[#This Row],[Discount %]]/100))</f>
        <v>2241399.16</v>
      </c>
      <c r="Q739" s="74">
        <f>(Table1[[#This Row],[Gross Amount]]*(1-(Table1[[#This Row],[Discount %]]/100)))/10000000</f>
        <v>0.22413991600000002</v>
      </c>
      <c r="R739" t="s">
        <v>25</v>
      </c>
      <c r="S739" t="str" cm="1">
        <f t="array" ref="S739">IFERROR(_xlfn.IFS(Table1[[#This Row],[Payment Status]]="Partial","In Transit",Table1[[#This Row],[Payment Status]]="Paid","Delivered",Table1[[#This Row],[Payment Status]]="Pending","Pending"),"Invalid Input")</f>
        <v>In Transit</v>
      </c>
      <c r="T739" t="s">
        <v>27</v>
      </c>
      <c r="U739" t="str" cm="1">
        <f t="array" ref="U739">IFERROR(_xlfn.IFS(Table1[[#This Row],[Payment Status]]="Partial","In Transit",Table1[[#This Row],[Payment Status]]="Paid","Completed",Table1[[#This Row],[Payment Status]]="Pending","Pending"),"Invalid Input")</f>
        <v>In Transit</v>
      </c>
    </row>
    <row r="740" spans="1:21" x14ac:dyDescent="0.25">
      <c r="A740" s="4" t="s">
        <v>1420</v>
      </c>
      <c r="B740" s="5">
        <v>45376</v>
      </c>
      <c r="C740" t="s">
        <v>52</v>
      </c>
      <c r="D740" t="s">
        <v>37</v>
      </c>
      <c r="E740" t="s">
        <v>119</v>
      </c>
      <c r="F740" t="s">
        <v>3224</v>
      </c>
      <c r="G740" t="s">
        <v>21</v>
      </c>
      <c r="H740" t="str">
        <f>VLOOKUP(Table1[[#This Row],[City]],Table6[#All],2,FALSE)</f>
        <v>North</v>
      </c>
      <c r="I740" t="s">
        <v>53</v>
      </c>
      <c r="J740" t="str">
        <f>_xlfn.XLOOKUP(Table1[[#This Row],[Tractor Model]],Table7[Product Model],Table7[Product Category],"Not Available",0)</f>
        <v>Farmtrac</v>
      </c>
      <c r="K740" s="4">
        <v>4</v>
      </c>
      <c r="L740" s="72">
        <v>74849</v>
      </c>
      <c r="M740" s="4">
        <f>INDEX('Master Sheet'!$C$4:$C$12,MATCH(Table1[[#This Row],[Quantity]],'Master Sheet'!$B$4:$B$12,0))</f>
        <v>6</v>
      </c>
      <c r="N740" s="71">
        <f>Table1[[#This Row],[Quantity]]*Table1[[#This Row],[Unit Price]]</f>
        <v>299396</v>
      </c>
      <c r="O740" s="73">
        <v>2.99396E-2</v>
      </c>
      <c r="P740" s="70">
        <f>Table1[[#This Row],[Gross Amount]]*(1-(Table1[[#This Row],[Discount %]]/100))</f>
        <v>281432.24</v>
      </c>
      <c r="Q740" s="74">
        <f>(Table1[[#This Row],[Gross Amount]]*(1-(Table1[[#This Row],[Discount %]]/100)))/10000000</f>
        <v>2.8143223999999998E-2</v>
      </c>
      <c r="R740" t="s">
        <v>42</v>
      </c>
      <c r="S740" t="str" cm="1">
        <f t="array" ref="S740">IFERROR(_xlfn.IFS(Table1[[#This Row],[Payment Status]]="Partial","In Transit",Table1[[#This Row],[Payment Status]]="Paid","Delivered",Table1[[#This Row],[Payment Status]]="Pending","Pending"),"Invalid Input")</f>
        <v>Pending</v>
      </c>
      <c r="T740" t="s">
        <v>27</v>
      </c>
      <c r="U740" t="str" cm="1">
        <f t="array" ref="U740">IFERROR(_xlfn.IFS(Table1[[#This Row],[Payment Status]]="Partial","In Transit",Table1[[#This Row],[Payment Status]]="Paid","Completed",Table1[[#This Row],[Payment Status]]="Pending","Pending"),"Invalid Input")</f>
        <v>Pending</v>
      </c>
    </row>
    <row r="741" spans="1:21" x14ac:dyDescent="0.25">
      <c r="A741" s="4" t="s">
        <v>1421</v>
      </c>
      <c r="B741" s="5">
        <v>45293</v>
      </c>
      <c r="C741" t="s">
        <v>62</v>
      </c>
      <c r="D741" t="s">
        <v>3270</v>
      </c>
      <c r="E741" t="s">
        <v>119</v>
      </c>
      <c r="F741" t="s">
        <v>3212</v>
      </c>
      <c r="G741" t="s">
        <v>21</v>
      </c>
      <c r="H741" t="str">
        <f>VLOOKUP(Table1[[#This Row],[City]],Table6[#All],2,FALSE)</f>
        <v>North</v>
      </c>
      <c r="I741" t="s">
        <v>3203</v>
      </c>
      <c r="J741" t="str">
        <f>_xlfn.XLOOKUP(Table1[[#This Row],[Tractor Model]],Table7[Product Model],Table7[Product Category],"Not Available",0)</f>
        <v>Kubota</v>
      </c>
      <c r="K741" s="4">
        <v>6</v>
      </c>
      <c r="L741" s="72">
        <v>345474</v>
      </c>
      <c r="M741" s="4">
        <f>INDEX('Master Sheet'!$C$4:$C$12,MATCH(Table1[[#This Row],[Quantity]],'Master Sheet'!$B$4:$B$12,0))</f>
        <v>8</v>
      </c>
      <c r="N741" s="71">
        <f>Table1[[#This Row],[Quantity]]*Table1[[#This Row],[Unit Price]]</f>
        <v>2072844</v>
      </c>
      <c r="O741" s="73">
        <v>0.20728440000000001</v>
      </c>
      <c r="P741" s="70">
        <f>Table1[[#This Row],[Gross Amount]]*(1-(Table1[[#This Row],[Discount %]]/100))</f>
        <v>1907016.48</v>
      </c>
      <c r="Q741" s="74">
        <f>(Table1[[#This Row],[Gross Amount]]*(1-(Table1[[#This Row],[Discount %]]/100)))/10000000</f>
        <v>0.190701648</v>
      </c>
      <c r="R741" t="s">
        <v>42</v>
      </c>
      <c r="S741" t="str" cm="1">
        <f t="array" ref="S741">IFERROR(_xlfn.IFS(Table1[[#This Row],[Payment Status]]="Partial","In Transit",Table1[[#This Row],[Payment Status]]="Paid","Delivered",Table1[[#This Row],[Payment Status]]="Pending","Pending"),"Invalid Input")</f>
        <v>Pending</v>
      </c>
      <c r="T741" t="s">
        <v>27</v>
      </c>
      <c r="U741" t="str" cm="1">
        <f t="array" ref="U741">IFERROR(_xlfn.IFS(Table1[[#This Row],[Payment Status]]="Partial","In Transit",Table1[[#This Row],[Payment Status]]="Paid","Completed",Table1[[#This Row],[Payment Status]]="Pending","Pending"),"Invalid Input")</f>
        <v>Pending</v>
      </c>
    </row>
    <row r="742" spans="1:21" x14ac:dyDescent="0.25">
      <c r="A742" s="4" t="s">
        <v>1423</v>
      </c>
      <c r="B742" s="5">
        <v>45815</v>
      </c>
      <c r="C742" t="s">
        <v>52</v>
      </c>
      <c r="D742" t="s">
        <v>3269</v>
      </c>
      <c r="E742" t="s">
        <v>30</v>
      </c>
      <c r="F742" t="s">
        <v>3225</v>
      </c>
      <c r="G742" t="s">
        <v>31</v>
      </c>
      <c r="H742" t="str">
        <f>VLOOKUP(Table1[[#This Row],[City]],Table6[#All],2,FALSE)</f>
        <v>South</v>
      </c>
      <c r="I742" t="s">
        <v>58</v>
      </c>
      <c r="J742" t="str">
        <f>_xlfn.XLOOKUP(Table1[[#This Row],[Tractor Model]],Table7[Product Model],Table7[Product Category],"Not Available",0)</f>
        <v>Powertrac</v>
      </c>
      <c r="K742" s="4">
        <v>5</v>
      </c>
      <c r="L742" s="72">
        <v>52486</v>
      </c>
      <c r="M742" s="4">
        <f>INDEX('Master Sheet'!$C$4:$C$12,MATCH(Table1[[#This Row],[Quantity]],'Master Sheet'!$B$4:$B$12,0))</f>
        <v>7</v>
      </c>
      <c r="N742" s="71">
        <f>Table1[[#This Row],[Quantity]]*Table1[[#This Row],[Unit Price]]</f>
        <v>262430</v>
      </c>
      <c r="O742" s="73">
        <v>2.6242999999999999E-2</v>
      </c>
      <c r="P742" s="70">
        <f>Table1[[#This Row],[Gross Amount]]*(1-(Table1[[#This Row],[Discount %]]/100))</f>
        <v>244059.9</v>
      </c>
      <c r="Q742" s="74">
        <f>(Table1[[#This Row],[Gross Amount]]*(1-(Table1[[#This Row],[Discount %]]/100)))/10000000</f>
        <v>2.4405989999999999E-2</v>
      </c>
      <c r="R742" t="s">
        <v>25</v>
      </c>
      <c r="S742" t="str" cm="1">
        <f t="array" ref="S742">IFERROR(_xlfn.IFS(Table1[[#This Row],[Payment Status]]="Partial","In Transit",Table1[[#This Row],[Payment Status]]="Paid","Delivered",Table1[[#This Row],[Payment Status]]="Pending","Pending"),"Invalid Input")</f>
        <v>In Transit</v>
      </c>
      <c r="T742" t="s">
        <v>44</v>
      </c>
      <c r="U742" t="str" cm="1">
        <f t="array" ref="U742">IFERROR(_xlfn.IFS(Table1[[#This Row],[Payment Status]]="Partial","In Transit",Table1[[#This Row],[Payment Status]]="Paid","Completed",Table1[[#This Row],[Payment Status]]="Pending","Pending"),"Invalid Input")</f>
        <v>In Transit</v>
      </c>
    </row>
    <row r="743" spans="1:21" x14ac:dyDescent="0.25">
      <c r="A743" s="4" t="s">
        <v>1425</v>
      </c>
      <c r="B743" s="5">
        <v>45560</v>
      </c>
      <c r="C743" t="s">
        <v>62</v>
      </c>
      <c r="D743" t="s">
        <v>3269</v>
      </c>
      <c r="E743" t="s">
        <v>38</v>
      </c>
      <c r="F743" t="s">
        <v>3206</v>
      </c>
      <c r="G743" t="s">
        <v>39</v>
      </c>
      <c r="H743" t="str">
        <f>VLOOKUP(Table1[[#This Row],[City]],Table6[#All],2,FALSE)</f>
        <v>West</v>
      </c>
      <c r="I743" t="s">
        <v>53</v>
      </c>
      <c r="J743" t="str">
        <f>_xlfn.XLOOKUP(Table1[[#This Row],[Tractor Model]],Table7[Product Model],Table7[Product Category],"Not Available",0)</f>
        <v>Farmtrac</v>
      </c>
      <c r="K743" s="4">
        <v>6</v>
      </c>
      <c r="L743" s="72">
        <v>112864</v>
      </c>
      <c r="M743" s="4">
        <f>INDEX('Master Sheet'!$C$4:$C$12,MATCH(Table1[[#This Row],[Quantity]],'Master Sheet'!$B$4:$B$12,0))</f>
        <v>8</v>
      </c>
      <c r="N743" s="71">
        <f>Table1[[#This Row],[Quantity]]*Table1[[#This Row],[Unit Price]]</f>
        <v>677184</v>
      </c>
      <c r="O743" s="73">
        <v>6.7718399999999998E-2</v>
      </c>
      <c r="P743" s="70">
        <f>Table1[[#This Row],[Gross Amount]]*(1-(Table1[[#This Row],[Discount %]]/100))</f>
        <v>623009.28000000003</v>
      </c>
      <c r="Q743" s="74">
        <f>(Table1[[#This Row],[Gross Amount]]*(1-(Table1[[#This Row],[Discount %]]/100)))/10000000</f>
        <v>6.2300928000000005E-2</v>
      </c>
      <c r="R743" t="s">
        <v>25</v>
      </c>
      <c r="S743" t="str" cm="1">
        <f t="array" ref="S743">IFERROR(_xlfn.IFS(Table1[[#This Row],[Payment Status]]="Partial","In Transit",Table1[[#This Row],[Payment Status]]="Paid","Delivered",Table1[[#This Row],[Payment Status]]="Pending","Pending"),"Invalid Input")</f>
        <v>In Transit</v>
      </c>
      <c r="T743" t="s">
        <v>44</v>
      </c>
      <c r="U743" t="str" cm="1">
        <f t="array" ref="U743">IFERROR(_xlfn.IFS(Table1[[#This Row],[Payment Status]]="Partial","In Transit",Table1[[#This Row],[Payment Status]]="Paid","Completed",Table1[[#This Row],[Payment Status]]="Pending","Pending"),"Invalid Input")</f>
        <v>In Transit</v>
      </c>
    </row>
    <row r="744" spans="1:21" x14ac:dyDescent="0.25">
      <c r="A744" s="4" t="s">
        <v>1427</v>
      </c>
      <c r="B744" s="5">
        <v>45662</v>
      </c>
      <c r="C744" t="s">
        <v>62</v>
      </c>
      <c r="D744" t="s">
        <v>3269</v>
      </c>
      <c r="E744" t="s">
        <v>47</v>
      </c>
      <c r="F744" t="s">
        <v>3209</v>
      </c>
      <c r="G744" t="s">
        <v>48</v>
      </c>
      <c r="H744" t="str">
        <f>VLOOKUP(Table1[[#This Row],[City]],Table6[#All],2,FALSE)</f>
        <v>North</v>
      </c>
      <c r="I744" t="s">
        <v>24</v>
      </c>
      <c r="J744" t="str">
        <f>_xlfn.XLOOKUP(Table1[[#This Row],[Tractor Model]],Table7[Product Model],Table7[Product Category],"Not Available",0)</f>
        <v>Farmtrac</v>
      </c>
      <c r="K744" s="4">
        <v>4</v>
      </c>
      <c r="L744" s="72">
        <v>284181</v>
      </c>
      <c r="M744" s="4">
        <f>INDEX('Master Sheet'!$C$4:$C$12,MATCH(Table1[[#This Row],[Quantity]],'Master Sheet'!$B$4:$B$12,0))</f>
        <v>6</v>
      </c>
      <c r="N744" s="71">
        <f>Table1[[#This Row],[Quantity]]*Table1[[#This Row],[Unit Price]]</f>
        <v>1136724</v>
      </c>
      <c r="O744" s="73">
        <v>0.11367240000000001</v>
      </c>
      <c r="P744" s="70">
        <f>Table1[[#This Row],[Gross Amount]]*(1-(Table1[[#This Row],[Discount %]]/100))</f>
        <v>1068520.56</v>
      </c>
      <c r="Q744" s="74">
        <f>(Table1[[#This Row],[Gross Amount]]*(1-(Table1[[#This Row],[Discount %]]/100)))/10000000</f>
        <v>0.106852056</v>
      </c>
      <c r="R744" t="s">
        <v>54</v>
      </c>
      <c r="S744" t="str" cm="1">
        <f t="array" ref="S744">IFERROR(_xlfn.IFS(Table1[[#This Row],[Payment Status]]="Partial","In Transit",Table1[[#This Row],[Payment Status]]="Paid","Delivered",Table1[[#This Row],[Payment Status]]="Pending","Pending"),"Invalid Input")</f>
        <v>Delivered</v>
      </c>
      <c r="T744" t="s">
        <v>44</v>
      </c>
      <c r="U744" t="str" cm="1">
        <f t="array" ref="U744">IFERROR(_xlfn.IFS(Table1[[#This Row],[Payment Status]]="Partial","In Transit",Table1[[#This Row],[Payment Status]]="Paid","Completed",Table1[[#This Row],[Payment Status]]="Pending","Pending"),"Invalid Input")</f>
        <v>Completed</v>
      </c>
    </row>
    <row r="745" spans="1:21" x14ac:dyDescent="0.25">
      <c r="A745" s="4" t="s">
        <v>1429</v>
      </c>
      <c r="B745" s="5">
        <v>45787</v>
      </c>
      <c r="C745" t="s">
        <v>73</v>
      </c>
      <c r="D745" t="s">
        <v>3269</v>
      </c>
      <c r="E745" t="s">
        <v>66</v>
      </c>
      <c r="F745" t="s">
        <v>3213</v>
      </c>
      <c r="G745" t="s">
        <v>67</v>
      </c>
      <c r="H745" t="str">
        <f>VLOOKUP(Table1[[#This Row],[City]],Table6[#All],2,FALSE)</f>
        <v>East</v>
      </c>
      <c r="I745" t="s">
        <v>58</v>
      </c>
      <c r="J745" t="str">
        <f>_xlfn.XLOOKUP(Table1[[#This Row],[Tractor Model]],Table7[Product Model],Table7[Product Category],"Not Available",0)</f>
        <v>Powertrac</v>
      </c>
      <c r="K745" s="4">
        <v>8</v>
      </c>
      <c r="L745" s="72">
        <v>709095</v>
      </c>
      <c r="M745" s="4">
        <f>INDEX('Master Sheet'!$C$4:$C$12,MATCH(Table1[[#This Row],[Quantity]],'Master Sheet'!$B$4:$B$12,0))</f>
        <v>9</v>
      </c>
      <c r="N745" s="71">
        <f>Table1[[#This Row],[Quantity]]*Table1[[#This Row],[Unit Price]]</f>
        <v>5672760</v>
      </c>
      <c r="O745" s="73">
        <v>0.567276</v>
      </c>
      <c r="P745" s="70">
        <f>Table1[[#This Row],[Gross Amount]]*(1-(Table1[[#This Row],[Discount %]]/100))</f>
        <v>5162211.6000000006</v>
      </c>
      <c r="Q745" s="74">
        <f>(Table1[[#This Row],[Gross Amount]]*(1-(Table1[[#This Row],[Discount %]]/100)))/10000000</f>
        <v>0.51622116000000007</v>
      </c>
      <c r="R745" t="s">
        <v>54</v>
      </c>
      <c r="S745" t="str" cm="1">
        <f t="array" ref="S745">IFERROR(_xlfn.IFS(Table1[[#This Row],[Payment Status]]="Partial","In Transit",Table1[[#This Row],[Payment Status]]="Paid","Delivered",Table1[[#This Row],[Payment Status]]="Pending","Pending"),"Invalid Input")</f>
        <v>Delivered</v>
      </c>
      <c r="T745" t="s">
        <v>44</v>
      </c>
      <c r="U745" t="str" cm="1">
        <f t="array" ref="U745">IFERROR(_xlfn.IFS(Table1[[#This Row],[Payment Status]]="Partial","In Transit",Table1[[#This Row],[Payment Status]]="Paid","Completed",Table1[[#This Row],[Payment Status]]="Pending","Pending"),"Invalid Input")</f>
        <v>Completed</v>
      </c>
    </row>
    <row r="746" spans="1:21" x14ac:dyDescent="0.25">
      <c r="A746" s="4" t="s">
        <v>1431</v>
      </c>
      <c r="B746" s="5">
        <v>45357</v>
      </c>
      <c r="C746" t="s">
        <v>33</v>
      </c>
      <c r="D746" t="s">
        <v>3268</v>
      </c>
      <c r="E746" t="s">
        <v>38</v>
      </c>
      <c r="F746" t="s">
        <v>3219</v>
      </c>
      <c r="G746" t="s">
        <v>39</v>
      </c>
      <c r="H746" t="str">
        <f>VLOOKUP(Table1[[#This Row],[City]],Table6[#All],2,FALSE)</f>
        <v>West</v>
      </c>
      <c r="I746" t="s">
        <v>53</v>
      </c>
      <c r="J746" t="str">
        <f>_xlfn.XLOOKUP(Table1[[#This Row],[Tractor Model]],Table7[Product Model],Table7[Product Category],"Not Available",0)</f>
        <v>Farmtrac</v>
      </c>
      <c r="K746" s="4">
        <v>3</v>
      </c>
      <c r="L746" s="72">
        <v>431222</v>
      </c>
      <c r="M746" s="4">
        <f>INDEX('Master Sheet'!$C$4:$C$12,MATCH(Table1[[#This Row],[Quantity]],'Master Sheet'!$B$4:$B$12,0))</f>
        <v>6</v>
      </c>
      <c r="N746" s="71">
        <f>Table1[[#This Row],[Quantity]]*Table1[[#This Row],[Unit Price]]</f>
        <v>1293666</v>
      </c>
      <c r="O746" s="73">
        <v>0.1293666</v>
      </c>
      <c r="P746" s="70">
        <f>Table1[[#This Row],[Gross Amount]]*(1-(Table1[[#This Row],[Discount %]]/100))</f>
        <v>1216046.04</v>
      </c>
      <c r="Q746" s="74">
        <f>(Table1[[#This Row],[Gross Amount]]*(1-(Table1[[#This Row],[Discount %]]/100)))/10000000</f>
        <v>0.12160460400000001</v>
      </c>
      <c r="R746" t="s">
        <v>42</v>
      </c>
      <c r="S746" t="str" cm="1">
        <f t="array" ref="S746">IFERROR(_xlfn.IFS(Table1[[#This Row],[Payment Status]]="Partial","In Transit",Table1[[#This Row],[Payment Status]]="Paid","Delivered",Table1[[#This Row],[Payment Status]]="Pending","Pending"),"Invalid Input")</f>
        <v>Pending</v>
      </c>
      <c r="T746" t="s">
        <v>27</v>
      </c>
      <c r="U746" t="str" cm="1">
        <f t="array" ref="U746">IFERROR(_xlfn.IFS(Table1[[#This Row],[Payment Status]]="Partial","In Transit",Table1[[#This Row],[Payment Status]]="Paid","Completed",Table1[[#This Row],[Payment Status]]="Pending","Pending"),"Invalid Input")</f>
        <v>Pending</v>
      </c>
    </row>
    <row r="747" spans="1:21" x14ac:dyDescent="0.25">
      <c r="A747" s="4" t="s">
        <v>1432</v>
      </c>
      <c r="B747" s="5">
        <v>45732</v>
      </c>
      <c r="C747" t="s">
        <v>41</v>
      </c>
      <c r="D747" t="s">
        <v>3269</v>
      </c>
      <c r="E747" t="s">
        <v>30</v>
      </c>
      <c r="F747" t="s">
        <v>3225</v>
      </c>
      <c r="G747" t="s">
        <v>31</v>
      </c>
      <c r="H747" t="str">
        <f>VLOOKUP(Table1[[#This Row],[City]],Table6[#All],2,FALSE)</f>
        <v>South</v>
      </c>
      <c r="I747" t="s">
        <v>58</v>
      </c>
      <c r="J747" t="str">
        <f>_xlfn.XLOOKUP(Table1[[#This Row],[Tractor Model]],Table7[Product Model],Table7[Product Category],"Not Available",0)</f>
        <v>Powertrac</v>
      </c>
      <c r="K747" s="4">
        <v>6</v>
      </c>
      <c r="L747" s="72">
        <v>573270</v>
      </c>
      <c r="M747" s="4">
        <f>INDEX('Master Sheet'!$C$4:$C$12,MATCH(Table1[[#This Row],[Quantity]],'Master Sheet'!$B$4:$B$12,0))</f>
        <v>8</v>
      </c>
      <c r="N747" s="71">
        <f>Table1[[#This Row],[Quantity]]*Table1[[#This Row],[Unit Price]]</f>
        <v>3439620</v>
      </c>
      <c r="O747" s="73">
        <v>0.34396199999999999</v>
      </c>
      <c r="P747" s="70">
        <f>Table1[[#This Row],[Gross Amount]]*(1-(Table1[[#This Row],[Discount %]]/100))</f>
        <v>3164450.4</v>
      </c>
      <c r="Q747" s="74">
        <f>(Table1[[#This Row],[Gross Amount]]*(1-(Table1[[#This Row],[Discount %]]/100)))/10000000</f>
        <v>0.31644504000000001</v>
      </c>
      <c r="R747" t="s">
        <v>42</v>
      </c>
      <c r="S747" t="str" cm="1">
        <f t="array" ref="S747">IFERROR(_xlfn.IFS(Table1[[#This Row],[Payment Status]]="Partial","In Transit",Table1[[#This Row],[Payment Status]]="Paid","Delivered",Table1[[#This Row],[Payment Status]]="Pending","Pending"),"Invalid Input")</f>
        <v>Pending</v>
      </c>
      <c r="T747" t="s">
        <v>27</v>
      </c>
      <c r="U747" t="str" cm="1">
        <f t="array" ref="U747">IFERROR(_xlfn.IFS(Table1[[#This Row],[Payment Status]]="Partial","In Transit",Table1[[#This Row],[Payment Status]]="Paid","Completed",Table1[[#This Row],[Payment Status]]="Pending","Pending"),"Invalid Input")</f>
        <v>Pending</v>
      </c>
    </row>
    <row r="748" spans="1:21" x14ac:dyDescent="0.25">
      <c r="A748" s="4" t="s">
        <v>1433</v>
      </c>
      <c r="B748" s="5">
        <v>45541</v>
      </c>
      <c r="C748" t="s">
        <v>73</v>
      </c>
      <c r="D748" t="s">
        <v>3270</v>
      </c>
      <c r="E748" t="s">
        <v>47</v>
      </c>
      <c r="F748" t="s">
        <v>3205</v>
      </c>
      <c r="G748" t="s">
        <v>48</v>
      </c>
      <c r="H748" t="str">
        <f>VLOOKUP(Table1[[#This Row],[City]],Table6[#All],2,FALSE)</f>
        <v>North</v>
      </c>
      <c r="I748" t="s">
        <v>53</v>
      </c>
      <c r="J748" t="str">
        <f>_xlfn.XLOOKUP(Table1[[#This Row],[Tractor Model]],Table7[Product Model],Table7[Product Category],"Not Available",0)</f>
        <v>Farmtrac</v>
      </c>
      <c r="K748" s="4">
        <v>6</v>
      </c>
      <c r="L748" s="72">
        <v>632159</v>
      </c>
      <c r="M748" s="4">
        <f>INDEX('Master Sheet'!$C$4:$C$12,MATCH(Table1[[#This Row],[Quantity]],'Master Sheet'!$B$4:$B$12,0))</f>
        <v>8</v>
      </c>
      <c r="N748" s="71">
        <f>Table1[[#This Row],[Quantity]]*Table1[[#This Row],[Unit Price]]</f>
        <v>3792954</v>
      </c>
      <c r="O748" s="73">
        <v>0.3792954</v>
      </c>
      <c r="P748" s="70">
        <f>Table1[[#This Row],[Gross Amount]]*(1-(Table1[[#This Row],[Discount %]]/100))</f>
        <v>3489517.68</v>
      </c>
      <c r="Q748" s="74">
        <f>(Table1[[#This Row],[Gross Amount]]*(1-(Table1[[#This Row],[Discount %]]/100)))/10000000</f>
        <v>0.348951768</v>
      </c>
      <c r="R748" t="s">
        <v>54</v>
      </c>
      <c r="S748" t="str" cm="1">
        <f t="array" ref="S748">IFERROR(_xlfn.IFS(Table1[[#This Row],[Payment Status]]="Partial","In Transit",Table1[[#This Row],[Payment Status]]="Paid","Delivered",Table1[[#This Row],[Payment Status]]="Pending","Pending"),"Invalid Input")</f>
        <v>Delivered</v>
      </c>
      <c r="T748" t="s">
        <v>44</v>
      </c>
      <c r="U748" t="str" cm="1">
        <f t="array" ref="U748">IFERROR(_xlfn.IFS(Table1[[#This Row],[Payment Status]]="Partial","In Transit",Table1[[#This Row],[Payment Status]]="Paid","Completed",Table1[[#This Row],[Payment Status]]="Pending","Pending"),"Invalid Input")</f>
        <v>Completed</v>
      </c>
    </row>
    <row r="749" spans="1:21" x14ac:dyDescent="0.25">
      <c r="A749" s="4" t="s">
        <v>1434</v>
      </c>
      <c r="B749" s="5">
        <v>45483</v>
      </c>
      <c r="C749" t="s">
        <v>52</v>
      </c>
      <c r="D749" t="s">
        <v>3270</v>
      </c>
      <c r="E749" t="s">
        <v>30</v>
      </c>
      <c r="F749" t="s">
        <v>3223</v>
      </c>
      <c r="G749" t="s">
        <v>31</v>
      </c>
      <c r="H749" t="str">
        <f>VLOOKUP(Table1[[#This Row],[City]],Table6[#All],2,FALSE)</f>
        <v>South</v>
      </c>
      <c r="I749" t="s">
        <v>53</v>
      </c>
      <c r="J749" t="str">
        <f>_xlfn.XLOOKUP(Table1[[#This Row],[Tractor Model]],Table7[Product Model],Table7[Product Category],"Not Available",0)</f>
        <v>Farmtrac</v>
      </c>
      <c r="K749" s="4">
        <v>3</v>
      </c>
      <c r="L749" s="72">
        <v>635048</v>
      </c>
      <c r="M749" s="4">
        <f>INDEX('Master Sheet'!$C$4:$C$12,MATCH(Table1[[#This Row],[Quantity]],'Master Sheet'!$B$4:$B$12,0))</f>
        <v>6</v>
      </c>
      <c r="N749" s="71">
        <f>Table1[[#This Row],[Quantity]]*Table1[[#This Row],[Unit Price]]</f>
        <v>1905144</v>
      </c>
      <c r="O749" s="73">
        <v>0.1905144</v>
      </c>
      <c r="P749" s="70">
        <f>Table1[[#This Row],[Gross Amount]]*(1-(Table1[[#This Row],[Discount %]]/100))</f>
        <v>1790835.3599999999</v>
      </c>
      <c r="Q749" s="74">
        <f>(Table1[[#This Row],[Gross Amount]]*(1-(Table1[[#This Row],[Discount %]]/100)))/10000000</f>
        <v>0.17908353599999999</v>
      </c>
      <c r="R749" t="s">
        <v>42</v>
      </c>
      <c r="S749" t="str" cm="1">
        <f t="array" ref="S749">IFERROR(_xlfn.IFS(Table1[[#This Row],[Payment Status]]="Partial","In Transit",Table1[[#This Row],[Payment Status]]="Paid","Delivered",Table1[[#This Row],[Payment Status]]="Pending","Pending"),"Invalid Input")</f>
        <v>Pending</v>
      </c>
      <c r="T749" t="s">
        <v>27</v>
      </c>
      <c r="U749" t="str" cm="1">
        <f t="array" ref="U749">IFERROR(_xlfn.IFS(Table1[[#This Row],[Payment Status]]="Partial","In Transit",Table1[[#This Row],[Payment Status]]="Paid","Completed",Table1[[#This Row],[Payment Status]]="Pending","Pending"),"Invalid Input")</f>
        <v>Pending</v>
      </c>
    </row>
    <row r="750" spans="1:21" x14ac:dyDescent="0.25">
      <c r="A750" s="4" t="s">
        <v>1436</v>
      </c>
      <c r="B750" s="5">
        <v>45545</v>
      </c>
      <c r="C750" t="s">
        <v>41</v>
      </c>
      <c r="D750" t="s">
        <v>3270</v>
      </c>
      <c r="E750" t="s">
        <v>66</v>
      </c>
      <c r="F750" t="s">
        <v>3220</v>
      </c>
      <c r="G750" t="s">
        <v>67</v>
      </c>
      <c r="H750" t="str">
        <f>VLOOKUP(Table1[[#This Row],[City]],Table6[#All],2,FALSE)</f>
        <v>East</v>
      </c>
      <c r="I750" t="s">
        <v>53</v>
      </c>
      <c r="J750" t="str">
        <f>_xlfn.XLOOKUP(Table1[[#This Row],[Tractor Model]],Table7[Product Model],Table7[Product Category],"Not Available",0)</f>
        <v>Farmtrac</v>
      </c>
      <c r="K750" s="4">
        <v>8</v>
      </c>
      <c r="L750" s="72">
        <v>615709</v>
      </c>
      <c r="M750" s="4">
        <f>INDEX('Master Sheet'!$C$4:$C$12,MATCH(Table1[[#This Row],[Quantity]],'Master Sheet'!$B$4:$B$12,0))</f>
        <v>9</v>
      </c>
      <c r="N750" s="71">
        <f>Table1[[#This Row],[Quantity]]*Table1[[#This Row],[Unit Price]]</f>
        <v>4925672</v>
      </c>
      <c r="O750" s="73">
        <v>0.49256719999999998</v>
      </c>
      <c r="P750" s="70">
        <f>Table1[[#This Row],[Gross Amount]]*(1-(Table1[[#This Row],[Discount %]]/100))</f>
        <v>4482361.5200000005</v>
      </c>
      <c r="Q750" s="74">
        <f>(Table1[[#This Row],[Gross Amount]]*(1-(Table1[[#This Row],[Discount %]]/100)))/10000000</f>
        <v>0.44823615200000005</v>
      </c>
      <c r="R750" t="s">
        <v>42</v>
      </c>
      <c r="S750" t="str" cm="1">
        <f t="array" ref="S750">IFERROR(_xlfn.IFS(Table1[[#This Row],[Payment Status]]="Partial","In Transit",Table1[[#This Row],[Payment Status]]="Paid","Delivered",Table1[[#This Row],[Payment Status]]="Pending","Pending"),"Invalid Input")</f>
        <v>Pending</v>
      </c>
      <c r="T750" t="s">
        <v>27</v>
      </c>
      <c r="U750" t="str" cm="1">
        <f t="array" ref="U750">IFERROR(_xlfn.IFS(Table1[[#This Row],[Payment Status]]="Partial","In Transit",Table1[[#This Row],[Payment Status]]="Paid","Completed",Table1[[#This Row],[Payment Status]]="Pending","Pending"),"Invalid Input")</f>
        <v>Pending</v>
      </c>
    </row>
    <row r="751" spans="1:21" x14ac:dyDescent="0.25">
      <c r="A751" s="4" t="s">
        <v>1437</v>
      </c>
      <c r="B751" s="5">
        <v>45349</v>
      </c>
      <c r="C751" t="s">
        <v>62</v>
      </c>
      <c r="D751" t="s">
        <v>3269</v>
      </c>
      <c r="E751" t="s">
        <v>119</v>
      </c>
      <c r="F751" t="s">
        <v>3229</v>
      </c>
      <c r="G751" t="s">
        <v>21</v>
      </c>
      <c r="H751" t="str">
        <f>VLOOKUP(Table1[[#This Row],[City]],Table6[#All],2,FALSE)</f>
        <v>North</v>
      </c>
      <c r="I751" t="s">
        <v>53</v>
      </c>
      <c r="J751" t="str">
        <f>_xlfn.XLOOKUP(Table1[[#This Row],[Tractor Model]],Table7[Product Model],Table7[Product Category],"Not Available",0)</f>
        <v>Farmtrac</v>
      </c>
      <c r="K751" s="4">
        <v>8</v>
      </c>
      <c r="L751" s="72">
        <v>344533</v>
      </c>
      <c r="M751" s="4">
        <f>INDEX('Master Sheet'!$C$4:$C$12,MATCH(Table1[[#This Row],[Quantity]],'Master Sheet'!$B$4:$B$12,0))</f>
        <v>9</v>
      </c>
      <c r="N751" s="71">
        <f>Table1[[#This Row],[Quantity]]*Table1[[#This Row],[Unit Price]]</f>
        <v>2756264</v>
      </c>
      <c r="O751" s="73">
        <v>0.27562639999999999</v>
      </c>
      <c r="P751" s="70">
        <f>Table1[[#This Row],[Gross Amount]]*(1-(Table1[[#This Row],[Discount %]]/100))</f>
        <v>2508200.2400000002</v>
      </c>
      <c r="Q751" s="74">
        <f>(Table1[[#This Row],[Gross Amount]]*(1-(Table1[[#This Row],[Discount %]]/100)))/10000000</f>
        <v>0.25082002400000003</v>
      </c>
      <c r="R751" t="s">
        <v>25</v>
      </c>
      <c r="S751" t="str" cm="1">
        <f t="array" ref="S751">IFERROR(_xlfn.IFS(Table1[[#This Row],[Payment Status]]="Partial","In Transit",Table1[[#This Row],[Payment Status]]="Paid","Delivered",Table1[[#This Row],[Payment Status]]="Pending","Pending"),"Invalid Input")</f>
        <v>In Transit</v>
      </c>
      <c r="T751" t="s">
        <v>27</v>
      </c>
      <c r="U751" t="str" cm="1">
        <f t="array" ref="U751">IFERROR(_xlfn.IFS(Table1[[#This Row],[Payment Status]]="Partial","In Transit",Table1[[#This Row],[Payment Status]]="Paid","Completed",Table1[[#This Row],[Payment Status]]="Pending","Pending"),"Invalid Input")</f>
        <v>In Transit</v>
      </c>
    </row>
    <row r="752" spans="1:21" x14ac:dyDescent="0.25">
      <c r="A752" s="4" t="s">
        <v>1439</v>
      </c>
      <c r="B752" s="5">
        <v>45754</v>
      </c>
      <c r="C752" t="s">
        <v>52</v>
      </c>
      <c r="D752" t="s">
        <v>3268</v>
      </c>
      <c r="E752" t="s">
        <v>30</v>
      </c>
      <c r="F752" t="s">
        <v>3208</v>
      </c>
      <c r="G752" t="s">
        <v>31</v>
      </c>
      <c r="H752" t="str">
        <f>VLOOKUP(Table1[[#This Row],[City]],Table6[#All],2,FALSE)</f>
        <v>South</v>
      </c>
      <c r="I752" t="s">
        <v>53</v>
      </c>
      <c r="J752" t="str">
        <f>_xlfn.XLOOKUP(Table1[[#This Row],[Tractor Model]],Table7[Product Model],Table7[Product Category],"Not Available",0)</f>
        <v>Farmtrac</v>
      </c>
      <c r="K752" s="4">
        <v>4</v>
      </c>
      <c r="L752" s="72">
        <v>549977</v>
      </c>
      <c r="M752" s="4">
        <f>INDEX('Master Sheet'!$C$4:$C$12,MATCH(Table1[[#This Row],[Quantity]],'Master Sheet'!$B$4:$B$12,0))</f>
        <v>6</v>
      </c>
      <c r="N752" s="71">
        <f>Table1[[#This Row],[Quantity]]*Table1[[#This Row],[Unit Price]]</f>
        <v>2199908</v>
      </c>
      <c r="O752" s="73">
        <v>0.21999079999999999</v>
      </c>
      <c r="P752" s="70">
        <f>Table1[[#This Row],[Gross Amount]]*(1-(Table1[[#This Row],[Discount %]]/100))</f>
        <v>2067913.5199999998</v>
      </c>
      <c r="Q752" s="74">
        <f>(Table1[[#This Row],[Gross Amount]]*(1-(Table1[[#This Row],[Discount %]]/100)))/10000000</f>
        <v>0.20679135199999998</v>
      </c>
      <c r="R752" t="s">
        <v>25</v>
      </c>
      <c r="S752" t="str" cm="1">
        <f t="array" ref="S752">IFERROR(_xlfn.IFS(Table1[[#This Row],[Payment Status]]="Partial","In Transit",Table1[[#This Row],[Payment Status]]="Paid","Delivered",Table1[[#This Row],[Payment Status]]="Pending","Pending"),"Invalid Input")</f>
        <v>In Transit</v>
      </c>
      <c r="T752" t="s">
        <v>44</v>
      </c>
      <c r="U752" t="str" cm="1">
        <f t="array" ref="U752">IFERROR(_xlfn.IFS(Table1[[#This Row],[Payment Status]]="Partial","In Transit",Table1[[#This Row],[Payment Status]]="Paid","Completed",Table1[[#This Row],[Payment Status]]="Pending","Pending"),"Invalid Input")</f>
        <v>In Transit</v>
      </c>
    </row>
    <row r="753" spans="1:21" x14ac:dyDescent="0.25">
      <c r="A753" s="4" t="s">
        <v>1441</v>
      </c>
      <c r="B753" s="5">
        <v>45551</v>
      </c>
      <c r="C753" t="s">
        <v>33</v>
      </c>
      <c r="D753" t="s">
        <v>3270</v>
      </c>
      <c r="E753" t="s">
        <v>30</v>
      </c>
      <c r="F753" t="s">
        <v>3223</v>
      </c>
      <c r="G753" t="s">
        <v>31</v>
      </c>
      <c r="H753" t="str">
        <f>VLOOKUP(Table1[[#This Row],[City]],Table6[#All],2,FALSE)</f>
        <v>South</v>
      </c>
      <c r="I753" t="s">
        <v>24</v>
      </c>
      <c r="J753" t="str">
        <f>_xlfn.XLOOKUP(Table1[[#This Row],[Tractor Model]],Table7[Product Model],Table7[Product Category],"Not Available",0)</f>
        <v>Farmtrac</v>
      </c>
      <c r="K753" s="4">
        <v>2</v>
      </c>
      <c r="L753" s="72">
        <v>612606</v>
      </c>
      <c r="M753" s="4">
        <f>INDEX('Master Sheet'!$C$4:$C$12,MATCH(Table1[[#This Row],[Quantity]],'Master Sheet'!$B$4:$B$12,0))</f>
        <v>5</v>
      </c>
      <c r="N753" s="71">
        <f>Table1[[#This Row],[Quantity]]*Table1[[#This Row],[Unit Price]]</f>
        <v>1225212</v>
      </c>
      <c r="O753" s="73">
        <v>0.1225212</v>
      </c>
      <c r="P753" s="70">
        <f>Table1[[#This Row],[Gross Amount]]*(1-(Table1[[#This Row],[Discount %]]/100))</f>
        <v>1163951.3999999999</v>
      </c>
      <c r="Q753" s="74">
        <f>(Table1[[#This Row],[Gross Amount]]*(1-(Table1[[#This Row],[Discount %]]/100)))/10000000</f>
        <v>0.11639513999999999</v>
      </c>
      <c r="R753" t="s">
        <v>54</v>
      </c>
      <c r="S753" t="str" cm="1">
        <f t="array" ref="S753">IFERROR(_xlfn.IFS(Table1[[#This Row],[Payment Status]]="Partial","In Transit",Table1[[#This Row],[Payment Status]]="Paid","Delivered",Table1[[#This Row],[Payment Status]]="Pending","Pending"),"Invalid Input")</f>
        <v>Delivered</v>
      </c>
      <c r="T753" t="s">
        <v>44</v>
      </c>
      <c r="U753" t="str" cm="1">
        <f t="array" ref="U753">IFERROR(_xlfn.IFS(Table1[[#This Row],[Payment Status]]="Partial","In Transit",Table1[[#This Row],[Payment Status]]="Paid","Completed",Table1[[#This Row],[Payment Status]]="Pending","Pending"),"Invalid Input")</f>
        <v>Completed</v>
      </c>
    </row>
    <row r="754" spans="1:21" x14ac:dyDescent="0.25">
      <c r="A754" s="4" t="s">
        <v>1443</v>
      </c>
      <c r="B754" s="5">
        <v>45496</v>
      </c>
      <c r="C754" t="s">
        <v>52</v>
      </c>
      <c r="D754" t="s">
        <v>3268</v>
      </c>
      <c r="E754" t="s">
        <v>66</v>
      </c>
      <c r="F754" t="s">
        <v>3211</v>
      </c>
      <c r="G754" t="s">
        <v>67</v>
      </c>
      <c r="H754" t="str">
        <f>VLOOKUP(Table1[[#This Row],[City]],Table6[#All],2,FALSE)</f>
        <v>East</v>
      </c>
      <c r="I754" t="s">
        <v>58</v>
      </c>
      <c r="J754" t="str">
        <f>_xlfn.XLOOKUP(Table1[[#This Row],[Tractor Model]],Table7[Product Model],Table7[Product Category],"Not Available",0)</f>
        <v>Powertrac</v>
      </c>
      <c r="K754" s="4">
        <v>6</v>
      </c>
      <c r="L754" s="72">
        <v>348835</v>
      </c>
      <c r="M754" s="4">
        <f>INDEX('Master Sheet'!$C$4:$C$12,MATCH(Table1[[#This Row],[Quantity]],'Master Sheet'!$B$4:$B$12,0))</f>
        <v>8</v>
      </c>
      <c r="N754" s="71">
        <f>Table1[[#This Row],[Quantity]]*Table1[[#This Row],[Unit Price]]</f>
        <v>2093010</v>
      </c>
      <c r="O754" s="73">
        <v>0.20930099999999999</v>
      </c>
      <c r="P754" s="70">
        <f>Table1[[#This Row],[Gross Amount]]*(1-(Table1[[#This Row],[Discount %]]/100))</f>
        <v>1925569.2000000002</v>
      </c>
      <c r="Q754" s="74">
        <f>(Table1[[#This Row],[Gross Amount]]*(1-(Table1[[#This Row],[Discount %]]/100)))/10000000</f>
        <v>0.19255692000000002</v>
      </c>
      <c r="R754" t="s">
        <v>42</v>
      </c>
      <c r="S754" t="str" cm="1">
        <f t="array" ref="S754">IFERROR(_xlfn.IFS(Table1[[#This Row],[Payment Status]]="Partial","In Transit",Table1[[#This Row],[Payment Status]]="Paid","Delivered",Table1[[#This Row],[Payment Status]]="Pending","Pending"),"Invalid Input")</f>
        <v>Pending</v>
      </c>
      <c r="T754" t="s">
        <v>44</v>
      </c>
      <c r="U754" t="str" cm="1">
        <f t="array" ref="U754">IFERROR(_xlfn.IFS(Table1[[#This Row],[Payment Status]]="Partial","In Transit",Table1[[#This Row],[Payment Status]]="Paid","Completed",Table1[[#This Row],[Payment Status]]="Pending","Pending"),"Invalid Input")</f>
        <v>Pending</v>
      </c>
    </row>
    <row r="755" spans="1:21" x14ac:dyDescent="0.25">
      <c r="A755" s="4" t="s">
        <v>1444</v>
      </c>
      <c r="B755" s="5">
        <v>45936</v>
      </c>
      <c r="C755" t="s">
        <v>52</v>
      </c>
      <c r="D755" t="s">
        <v>3271</v>
      </c>
      <c r="E755" t="s">
        <v>119</v>
      </c>
      <c r="F755" t="s">
        <v>3228</v>
      </c>
      <c r="G755" t="s">
        <v>21</v>
      </c>
      <c r="H755" t="str">
        <f>VLOOKUP(Table1[[#This Row],[City]],Table6[#All],2,FALSE)</f>
        <v>North</v>
      </c>
      <c r="I755" t="s">
        <v>3204</v>
      </c>
      <c r="J755" t="str">
        <f>_xlfn.XLOOKUP(Table1[[#This Row],[Tractor Model]],Table7[Product Model],Table7[Product Category],"Not Available",0)</f>
        <v>Kubota</v>
      </c>
      <c r="K755" s="4">
        <v>5</v>
      </c>
      <c r="L755" s="72">
        <v>841888</v>
      </c>
      <c r="M755" s="4">
        <f>INDEX('Master Sheet'!$C$4:$C$12,MATCH(Table1[[#This Row],[Quantity]],'Master Sheet'!$B$4:$B$12,0))</f>
        <v>7</v>
      </c>
      <c r="N755" s="71">
        <f>Table1[[#This Row],[Quantity]]*Table1[[#This Row],[Unit Price]]</f>
        <v>4209440</v>
      </c>
      <c r="O755" s="73">
        <v>0.42094399999999998</v>
      </c>
      <c r="P755" s="70">
        <f>Table1[[#This Row],[Gross Amount]]*(1-(Table1[[#This Row],[Discount %]]/100))</f>
        <v>3914779.1999999997</v>
      </c>
      <c r="Q755" s="74">
        <f>(Table1[[#This Row],[Gross Amount]]*(1-(Table1[[#This Row],[Discount %]]/100)))/10000000</f>
        <v>0.39147791999999998</v>
      </c>
      <c r="R755" t="s">
        <v>54</v>
      </c>
      <c r="S755" t="str" cm="1">
        <f t="array" ref="S755">IFERROR(_xlfn.IFS(Table1[[#This Row],[Payment Status]]="Partial","In Transit",Table1[[#This Row],[Payment Status]]="Paid","Delivered",Table1[[#This Row],[Payment Status]]="Pending","Pending"),"Invalid Input")</f>
        <v>Delivered</v>
      </c>
      <c r="T755" t="s">
        <v>44</v>
      </c>
      <c r="U755" t="str" cm="1">
        <f t="array" ref="U755">IFERROR(_xlfn.IFS(Table1[[#This Row],[Payment Status]]="Partial","In Transit",Table1[[#This Row],[Payment Status]]="Paid","Completed",Table1[[#This Row],[Payment Status]]="Pending","Pending"),"Invalid Input")</f>
        <v>Completed</v>
      </c>
    </row>
    <row r="756" spans="1:21" x14ac:dyDescent="0.25">
      <c r="A756" s="4" t="s">
        <v>1446</v>
      </c>
      <c r="B756" s="5">
        <v>45772</v>
      </c>
      <c r="C756" t="s">
        <v>62</v>
      </c>
      <c r="D756" t="s">
        <v>3270</v>
      </c>
      <c r="E756" t="s">
        <v>66</v>
      </c>
      <c r="F756" t="s">
        <v>3220</v>
      </c>
      <c r="G756" t="s">
        <v>67</v>
      </c>
      <c r="H756" t="str">
        <f>VLOOKUP(Table1[[#This Row],[City]],Table6[#All],2,FALSE)</f>
        <v>East</v>
      </c>
      <c r="I756" t="s">
        <v>58</v>
      </c>
      <c r="J756" t="str">
        <f>_xlfn.XLOOKUP(Table1[[#This Row],[Tractor Model]],Table7[Product Model],Table7[Product Category],"Not Available",0)</f>
        <v>Powertrac</v>
      </c>
      <c r="K756" s="4">
        <v>5</v>
      </c>
      <c r="L756" s="72">
        <v>601525</v>
      </c>
      <c r="M756" s="4">
        <f>INDEX('Master Sheet'!$C$4:$C$12,MATCH(Table1[[#This Row],[Quantity]],'Master Sheet'!$B$4:$B$12,0))</f>
        <v>7</v>
      </c>
      <c r="N756" s="71">
        <f>Table1[[#This Row],[Quantity]]*Table1[[#This Row],[Unit Price]]</f>
        <v>3007625</v>
      </c>
      <c r="O756" s="73">
        <v>0.30076249999999999</v>
      </c>
      <c r="P756" s="70">
        <f>Table1[[#This Row],[Gross Amount]]*(1-(Table1[[#This Row],[Discount %]]/100))</f>
        <v>2797091.25</v>
      </c>
      <c r="Q756" s="74">
        <f>(Table1[[#This Row],[Gross Amount]]*(1-(Table1[[#This Row],[Discount %]]/100)))/10000000</f>
        <v>0.279709125</v>
      </c>
      <c r="R756" t="s">
        <v>54</v>
      </c>
      <c r="S756" t="str" cm="1">
        <f t="array" ref="S756">IFERROR(_xlfn.IFS(Table1[[#This Row],[Payment Status]]="Partial","In Transit",Table1[[#This Row],[Payment Status]]="Paid","Delivered",Table1[[#This Row],[Payment Status]]="Pending","Pending"),"Invalid Input")</f>
        <v>Delivered</v>
      </c>
      <c r="T756" t="s">
        <v>27</v>
      </c>
      <c r="U756" t="str" cm="1">
        <f t="array" ref="U756">IFERROR(_xlfn.IFS(Table1[[#This Row],[Payment Status]]="Partial","In Transit",Table1[[#This Row],[Payment Status]]="Paid","Completed",Table1[[#This Row],[Payment Status]]="Pending","Pending"),"Invalid Input")</f>
        <v>Completed</v>
      </c>
    </row>
    <row r="757" spans="1:21" x14ac:dyDescent="0.25">
      <c r="A757" s="4" t="s">
        <v>1448</v>
      </c>
      <c r="B757" s="5">
        <v>45349</v>
      </c>
      <c r="C757" t="s">
        <v>33</v>
      </c>
      <c r="D757" t="s">
        <v>37</v>
      </c>
      <c r="E757" t="s">
        <v>119</v>
      </c>
      <c r="F757" t="s">
        <v>3224</v>
      </c>
      <c r="G757" t="s">
        <v>21</v>
      </c>
      <c r="H757" t="str">
        <f>VLOOKUP(Table1[[#This Row],[City]],Table6[#All],2,FALSE)</f>
        <v>North</v>
      </c>
      <c r="I757" t="s">
        <v>58</v>
      </c>
      <c r="J757" t="str">
        <f>_xlfn.XLOOKUP(Table1[[#This Row],[Tractor Model]],Table7[Product Model],Table7[Product Category],"Not Available",0)</f>
        <v>Powertrac</v>
      </c>
      <c r="K757" s="4">
        <v>8</v>
      </c>
      <c r="L757" s="72">
        <v>790170</v>
      </c>
      <c r="M757" s="4">
        <f>INDEX('Master Sheet'!$C$4:$C$12,MATCH(Table1[[#This Row],[Quantity]],'Master Sheet'!$B$4:$B$12,0))</f>
        <v>9</v>
      </c>
      <c r="N757" s="71">
        <f>Table1[[#This Row],[Quantity]]*Table1[[#This Row],[Unit Price]]</f>
        <v>6321360</v>
      </c>
      <c r="O757" s="73">
        <v>0.63213600000000003</v>
      </c>
      <c r="P757" s="70">
        <f>Table1[[#This Row],[Gross Amount]]*(1-(Table1[[#This Row],[Discount %]]/100))</f>
        <v>5752437.6000000006</v>
      </c>
      <c r="Q757" s="74">
        <f>(Table1[[#This Row],[Gross Amount]]*(1-(Table1[[#This Row],[Discount %]]/100)))/10000000</f>
        <v>0.5752437600000001</v>
      </c>
      <c r="R757" t="s">
        <v>25</v>
      </c>
      <c r="S757" t="str" cm="1">
        <f t="array" ref="S757">IFERROR(_xlfn.IFS(Table1[[#This Row],[Payment Status]]="Partial","In Transit",Table1[[#This Row],[Payment Status]]="Paid","Delivered",Table1[[#This Row],[Payment Status]]="Pending","Pending"),"Invalid Input")</f>
        <v>In Transit</v>
      </c>
      <c r="T757" t="s">
        <v>44</v>
      </c>
      <c r="U757" t="str" cm="1">
        <f t="array" ref="U757">IFERROR(_xlfn.IFS(Table1[[#This Row],[Payment Status]]="Partial","In Transit",Table1[[#This Row],[Payment Status]]="Paid","Completed",Table1[[#This Row],[Payment Status]]="Pending","Pending"),"Invalid Input")</f>
        <v>In Transit</v>
      </c>
    </row>
    <row r="758" spans="1:21" x14ac:dyDescent="0.25">
      <c r="A758" s="4" t="s">
        <v>1450</v>
      </c>
      <c r="B758" s="5">
        <v>45611</v>
      </c>
      <c r="C758" t="s">
        <v>52</v>
      </c>
      <c r="D758" t="s">
        <v>3270</v>
      </c>
      <c r="E758" t="s">
        <v>119</v>
      </c>
      <c r="F758" t="s">
        <v>3212</v>
      </c>
      <c r="G758" t="s">
        <v>21</v>
      </c>
      <c r="H758" t="str">
        <f>VLOOKUP(Table1[[#This Row],[City]],Table6[#All],2,FALSE)</f>
        <v>North</v>
      </c>
      <c r="I758" t="s">
        <v>53</v>
      </c>
      <c r="J758" t="str">
        <f>_xlfn.XLOOKUP(Table1[[#This Row],[Tractor Model]],Table7[Product Model],Table7[Product Category],"Not Available",0)</f>
        <v>Farmtrac</v>
      </c>
      <c r="K758" s="4">
        <v>1</v>
      </c>
      <c r="L758" s="72">
        <v>780087</v>
      </c>
      <c r="M758" s="4">
        <f>INDEX('Master Sheet'!$C$4:$C$12,MATCH(Table1[[#This Row],[Quantity]],'Master Sheet'!$B$4:$B$12,0))</f>
        <v>3</v>
      </c>
      <c r="N758" s="71">
        <f>Table1[[#This Row],[Quantity]]*Table1[[#This Row],[Unit Price]]</f>
        <v>780087</v>
      </c>
      <c r="O758" s="73">
        <v>7.80087E-2</v>
      </c>
      <c r="P758" s="70">
        <f>Table1[[#This Row],[Gross Amount]]*(1-(Table1[[#This Row],[Discount %]]/100))</f>
        <v>756684.39</v>
      </c>
      <c r="Q758" s="74">
        <f>(Table1[[#This Row],[Gross Amount]]*(1-(Table1[[#This Row],[Discount %]]/100)))/10000000</f>
        <v>7.5668439000000004E-2</v>
      </c>
      <c r="R758" t="s">
        <v>42</v>
      </c>
      <c r="S758" t="str" cm="1">
        <f t="array" ref="S758">IFERROR(_xlfn.IFS(Table1[[#This Row],[Payment Status]]="Partial","In Transit",Table1[[#This Row],[Payment Status]]="Paid","Delivered",Table1[[#This Row],[Payment Status]]="Pending","Pending"),"Invalid Input")</f>
        <v>Pending</v>
      </c>
      <c r="T758" t="s">
        <v>27</v>
      </c>
      <c r="U758" t="str" cm="1">
        <f t="array" ref="U758">IFERROR(_xlfn.IFS(Table1[[#This Row],[Payment Status]]="Partial","In Transit",Table1[[#This Row],[Payment Status]]="Paid","Completed",Table1[[#This Row],[Payment Status]]="Pending","Pending"),"Invalid Input")</f>
        <v>Pending</v>
      </c>
    </row>
    <row r="759" spans="1:21" x14ac:dyDescent="0.25">
      <c r="A759" s="4" t="s">
        <v>1452</v>
      </c>
      <c r="B759" s="5">
        <v>45625</v>
      </c>
      <c r="C759" t="s">
        <v>62</v>
      </c>
      <c r="D759" t="s">
        <v>3271</v>
      </c>
      <c r="E759" t="s">
        <v>66</v>
      </c>
      <c r="F759" t="s">
        <v>3207</v>
      </c>
      <c r="G759" t="s">
        <v>67</v>
      </c>
      <c r="H759" t="str">
        <f>VLOOKUP(Table1[[#This Row],[City]],Table6[#All],2,FALSE)</f>
        <v>East</v>
      </c>
      <c r="I759" t="s">
        <v>3203</v>
      </c>
      <c r="J759" t="str">
        <f>_xlfn.XLOOKUP(Table1[[#This Row],[Tractor Model]],Table7[Product Model],Table7[Product Category],"Not Available",0)</f>
        <v>Kubota</v>
      </c>
      <c r="K759" s="4">
        <v>2</v>
      </c>
      <c r="L759" s="72">
        <v>674724</v>
      </c>
      <c r="M759" s="4">
        <f>INDEX('Master Sheet'!$C$4:$C$12,MATCH(Table1[[#This Row],[Quantity]],'Master Sheet'!$B$4:$B$12,0))</f>
        <v>5</v>
      </c>
      <c r="N759" s="71">
        <f>Table1[[#This Row],[Quantity]]*Table1[[#This Row],[Unit Price]]</f>
        <v>1349448</v>
      </c>
      <c r="O759" s="73">
        <v>0.1349448</v>
      </c>
      <c r="P759" s="70">
        <f>Table1[[#This Row],[Gross Amount]]*(1-(Table1[[#This Row],[Discount %]]/100))</f>
        <v>1281975.5999999999</v>
      </c>
      <c r="Q759" s="74">
        <f>(Table1[[#This Row],[Gross Amount]]*(1-(Table1[[#This Row],[Discount %]]/100)))/10000000</f>
        <v>0.12819755999999999</v>
      </c>
      <c r="R759" t="s">
        <v>54</v>
      </c>
      <c r="S759" t="str" cm="1">
        <f t="array" ref="S759">IFERROR(_xlfn.IFS(Table1[[#This Row],[Payment Status]]="Partial","In Transit",Table1[[#This Row],[Payment Status]]="Paid","Delivered",Table1[[#This Row],[Payment Status]]="Pending","Pending"),"Invalid Input")</f>
        <v>Delivered</v>
      </c>
      <c r="T759" t="s">
        <v>44</v>
      </c>
      <c r="U759" t="str" cm="1">
        <f t="array" ref="U759">IFERROR(_xlfn.IFS(Table1[[#This Row],[Payment Status]]="Partial","In Transit",Table1[[#This Row],[Payment Status]]="Paid","Completed",Table1[[#This Row],[Payment Status]]="Pending","Pending"),"Invalid Input")</f>
        <v>Completed</v>
      </c>
    </row>
    <row r="760" spans="1:21" x14ac:dyDescent="0.25">
      <c r="A760" s="4" t="s">
        <v>1454</v>
      </c>
      <c r="B760" s="5">
        <v>45425</v>
      </c>
      <c r="C760" t="s">
        <v>52</v>
      </c>
      <c r="D760" t="s">
        <v>3268</v>
      </c>
      <c r="E760" t="s">
        <v>66</v>
      </c>
      <c r="F760" t="s">
        <v>3211</v>
      </c>
      <c r="G760" t="s">
        <v>67</v>
      </c>
      <c r="H760" t="str">
        <f>VLOOKUP(Table1[[#This Row],[City]],Table6[#All],2,FALSE)</f>
        <v>East</v>
      </c>
      <c r="I760" t="s">
        <v>58</v>
      </c>
      <c r="J760" t="str">
        <f>_xlfn.XLOOKUP(Table1[[#This Row],[Tractor Model]],Table7[Product Model],Table7[Product Category],"Not Available",0)</f>
        <v>Powertrac</v>
      </c>
      <c r="K760" s="4">
        <v>1</v>
      </c>
      <c r="L760" s="72">
        <v>314681</v>
      </c>
      <c r="M760" s="4">
        <f>INDEX('Master Sheet'!$C$4:$C$12,MATCH(Table1[[#This Row],[Quantity]],'Master Sheet'!$B$4:$B$12,0))</f>
        <v>3</v>
      </c>
      <c r="N760" s="71">
        <f>Table1[[#This Row],[Quantity]]*Table1[[#This Row],[Unit Price]]</f>
        <v>314681</v>
      </c>
      <c r="O760" s="73">
        <v>3.1468099999999999E-2</v>
      </c>
      <c r="P760" s="70">
        <f>Table1[[#This Row],[Gross Amount]]*(1-(Table1[[#This Row],[Discount %]]/100))</f>
        <v>305240.57</v>
      </c>
      <c r="Q760" s="74">
        <f>(Table1[[#This Row],[Gross Amount]]*(1-(Table1[[#This Row],[Discount %]]/100)))/10000000</f>
        <v>3.0524057E-2</v>
      </c>
      <c r="R760" t="s">
        <v>54</v>
      </c>
      <c r="S760" t="str" cm="1">
        <f t="array" ref="S760">IFERROR(_xlfn.IFS(Table1[[#This Row],[Payment Status]]="Partial","In Transit",Table1[[#This Row],[Payment Status]]="Paid","Delivered",Table1[[#This Row],[Payment Status]]="Pending","Pending"),"Invalid Input")</f>
        <v>Delivered</v>
      </c>
      <c r="T760" t="s">
        <v>27</v>
      </c>
      <c r="U760" t="str" cm="1">
        <f t="array" ref="U760">IFERROR(_xlfn.IFS(Table1[[#This Row],[Payment Status]]="Partial","In Transit",Table1[[#This Row],[Payment Status]]="Paid","Completed",Table1[[#This Row],[Payment Status]]="Pending","Pending"),"Invalid Input")</f>
        <v>Completed</v>
      </c>
    </row>
    <row r="761" spans="1:21" x14ac:dyDescent="0.25">
      <c r="A761" s="4" t="s">
        <v>1455</v>
      </c>
      <c r="B761" s="5">
        <v>45709</v>
      </c>
      <c r="C761" t="s">
        <v>73</v>
      </c>
      <c r="D761" t="s">
        <v>37</v>
      </c>
      <c r="E761" t="s">
        <v>30</v>
      </c>
      <c r="F761" t="s">
        <v>3222</v>
      </c>
      <c r="G761" t="s">
        <v>31</v>
      </c>
      <c r="H761" t="str">
        <f>VLOOKUP(Table1[[#This Row],[City]],Table6[#All],2,FALSE)</f>
        <v>South</v>
      </c>
      <c r="I761" t="s">
        <v>3203</v>
      </c>
      <c r="J761" t="str">
        <f>_xlfn.XLOOKUP(Table1[[#This Row],[Tractor Model]],Table7[Product Model],Table7[Product Category],"Not Available",0)</f>
        <v>Kubota</v>
      </c>
      <c r="K761" s="4">
        <v>5</v>
      </c>
      <c r="L761" s="72">
        <v>774765</v>
      </c>
      <c r="M761" s="4">
        <f>INDEX('Master Sheet'!$C$4:$C$12,MATCH(Table1[[#This Row],[Quantity]],'Master Sheet'!$B$4:$B$12,0))</f>
        <v>7</v>
      </c>
      <c r="N761" s="71">
        <f>Table1[[#This Row],[Quantity]]*Table1[[#This Row],[Unit Price]]</f>
        <v>3873825</v>
      </c>
      <c r="O761" s="73">
        <v>0.38738250000000002</v>
      </c>
      <c r="P761" s="70">
        <f>Table1[[#This Row],[Gross Amount]]*(1-(Table1[[#This Row],[Discount %]]/100))</f>
        <v>3602657.2499999995</v>
      </c>
      <c r="Q761" s="74">
        <f>(Table1[[#This Row],[Gross Amount]]*(1-(Table1[[#This Row],[Discount %]]/100)))/10000000</f>
        <v>0.36026572499999998</v>
      </c>
      <c r="R761" t="s">
        <v>54</v>
      </c>
      <c r="S761" t="str" cm="1">
        <f t="array" ref="S761">IFERROR(_xlfn.IFS(Table1[[#This Row],[Payment Status]]="Partial","In Transit",Table1[[#This Row],[Payment Status]]="Paid","Delivered",Table1[[#This Row],[Payment Status]]="Pending","Pending"),"Invalid Input")</f>
        <v>Delivered</v>
      </c>
      <c r="T761" t="s">
        <v>27</v>
      </c>
      <c r="U761" t="str" cm="1">
        <f t="array" ref="U761">IFERROR(_xlfn.IFS(Table1[[#This Row],[Payment Status]]="Partial","In Transit",Table1[[#This Row],[Payment Status]]="Paid","Completed",Table1[[#This Row],[Payment Status]]="Pending","Pending"),"Invalid Input")</f>
        <v>Completed</v>
      </c>
    </row>
    <row r="762" spans="1:21" x14ac:dyDescent="0.25">
      <c r="A762" s="4" t="s">
        <v>1456</v>
      </c>
      <c r="B762" s="5">
        <v>45599</v>
      </c>
      <c r="C762" t="s">
        <v>33</v>
      </c>
      <c r="D762" t="s">
        <v>3271</v>
      </c>
      <c r="E762" t="s">
        <v>30</v>
      </c>
      <c r="F762" t="s">
        <v>3217</v>
      </c>
      <c r="G762" t="s">
        <v>31</v>
      </c>
      <c r="H762" t="str">
        <f>VLOOKUP(Table1[[#This Row],[City]],Table6[#All],2,FALSE)</f>
        <v>South</v>
      </c>
      <c r="I762" t="s">
        <v>3203</v>
      </c>
      <c r="J762" t="str">
        <f>_xlfn.XLOOKUP(Table1[[#This Row],[Tractor Model]],Table7[Product Model],Table7[Product Category],"Not Available",0)</f>
        <v>Kubota</v>
      </c>
      <c r="K762" s="4">
        <v>6</v>
      </c>
      <c r="L762" s="72">
        <v>741317</v>
      </c>
      <c r="M762" s="4">
        <f>INDEX('Master Sheet'!$C$4:$C$12,MATCH(Table1[[#This Row],[Quantity]],'Master Sheet'!$B$4:$B$12,0))</f>
        <v>8</v>
      </c>
      <c r="N762" s="71">
        <f>Table1[[#This Row],[Quantity]]*Table1[[#This Row],[Unit Price]]</f>
        <v>4447902</v>
      </c>
      <c r="O762" s="73">
        <v>0.44479020000000002</v>
      </c>
      <c r="P762" s="70">
        <f>Table1[[#This Row],[Gross Amount]]*(1-(Table1[[#This Row],[Discount %]]/100))</f>
        <v>4092069.8400000003</v>
      </c>
      <c r="Q762" s="74">
        <f>(Table1[[#This Row],[Gross Amount]]*(1-(Table1[[#This Row],[Discount %]]/100)))/10000000</f>
        <v>0.40920698400000005</v>
      </c>
      <c r="R762" t="s">
        <v>25</v>
      </c>
      <c r="S762" t="str" cm="1">
        <f t="array" ref="S762">IFERROR(_xlfn.IFS(Table1[[#This Row],[Payment Status]]="Partial","In Transit",Table1[[#This Row],[Payment Status]]="Paid","Delivered",Table1[[#This Row],[Payment Status]]="Pending","Pending"),"Invalid Input")</f>
        <v>In Transit</v>
      </c>
      <c r="T762" t="s">
        <v>27</v>
      </c>
      <c r="U762" t="str" cm="1">
        <f t="array" ref="U762">IFERROR(_xlfn.IFS(Table1[[#This Row],[Payment Status]]="Partial","In Transit",Table1[[#This Row],[Payment Status]]="Paid","Completed",Table1[[#This Row],[Payment Status]]="Pending","Pending"),"Invalid Input")</f>
        <v>In Transit</v>
      </c>
    </row>
    <row r="763" spans="1:21" x14ac:dyDescent="0.25">
      <c r="A763" s="4" t="s">
        <v>1458</v>
      </c>
      <c r="B763" s="5">
        <v>45781</v>
      </c>
      <c r="C763" t="s">
        <v>62</v>
      </c>
      <c r="D763" t="s">
        <v>3268</v>
      </c>
      <c r="E763" t="s">
        <v>38</v>
      </c>
      <c r="F763" t="s">
        <v>3219</v>
      </c>
      <c r="G763" t="s">
        <v>39</v>
      </c>
      <c r="H763" t="str">
        <f>VLOOKUP(Table1[[#This Row],[City]],Table6[#All],2,FALSE)</f>
        <v>West</v>
      </c>
      <c r="I763" t="s">
        <v>3204</v>
      </c>
      <c r="J763" t="str">
        <f>_xlfn.XLOOKUP(Table1[[#This Row],[Tractor Model]],Table7[Product Model],Table7[Product Category],"Not Available",0)</f>
        <v>Kubota</v>
      </c>
      <c r="K763" s="4">
        <v>6</v>
      </c>
      <c r="L763" s="72">
        <v>750008</v>
      </c>
      <c r="M763" s="4">
        <f>INDEX('Master Sheet'!$C$4:$C$12,MATCH(Table1[[#This Row],[Quantity]],'Master Sheet'!$B$4:$B$12,0))</f>
        <v>8</v>
      </c>
      <c r="N763" s="71">
        <f>Table1[[#This Row],[Quantity]]*Table1[[#This Row],[Unit Price]]</f>
        <v>4500048</v>
      </c>
      <c r="O763" s="73">
        <v>0.45000479999999998</v>
      </c>
      <c r="P763" s="70">
        <f>Table1[[#This Row],[Gross Amount]]*(1-(Table1[[#This Row],[Discount %]]/100))</f>
        <v>4140044.16</v>
      </c>
      <c r="Q763" s="74">
        <f>(Table1[[#This Row],[Gross Amount]]*(1-(Table1[[#This Row],[Discount %]]/100)))/10000000</f>
        <v>0.41400441600000004</v>
      </c>
      <c r="R763" t="s">
        <v>42</v>
      </c>
      <c r="S763" t="str" cm="1">
        <f t="array" ref="S763">IFERROR(_xlfn.IFS(Table1[[#This Row],[Payment Status]]="Partial","In Transit",Table1[[#This Row],[Payment Status]]="Paid","Delivered",Table1[[#This Row],[Payment Status]]="Pending","Pending"),"Invalid Input")</f>
        <v>Pending</v>
      </c>
      <c r="T763" t="s">
        <v>27</v>
      </c>
      <c r="U763" t="str" cm="1">
        <f t="array" ref="U763">IFERROR(_xlfn.IFS(Table1[[#This Row],[Payment Status]]="Partial","In Transit",Table1[[#This Row],[Payment Status]]="Paid","Completed",Table1[[#This Row],[Payment Status]]="Pending","Pending"),"Invalid Input")</f>
        <v>Pending</v>
      </c>
    </row>
    <row r="764" spans="1:21" x14ac:dyDescent="0.25">
      <c r="A764" s="4" t="s">
        <v>1459</v>
      </c>
      <c r="B764" s="5">
        <v>45611</v>
      </c>
      <c r="C764" t="s">
        <v>62</v>
      </c>
      <c r="D764" t="s">
        <v>3270</v>
      </c>
      <c r="E764" t="s">
        <v>30</v>
      </c>
      <c r="F764" t="s">
        <v>3223</v>
      </c>
      <c r="G764" t="s">
        <v>31</v>
      </c>
      <c r="H764" t="str">
        <f>VLOOKUP(Table1[[#This Row],[City]],Table6[#All],2,FALSE)</f>
        <v>South</v>
      </c>
      <c r="I764" t="s">
        <v>24</v>
      </c>
      <c r="J764" t="str">
        <f>_xlfn.XLOOKUP(Table1[[#This Row],[Tractor Model]],Table7[Product Model],Table7[Product Category],"Not Available",0)</f>
        <v>Farmtrac</v>
      </c>
      <c r="K764" s="4">
        <v>0</v>
      </c>
      <c r="L764" s="72">
        <v>100600</v>
      </c>
      <c r="M764" s="4">
        <f>INDEX('Master Sheet'!$C$4:$C$12,MATCH(Table1[[#This Row],[Quantity]],'Master Sheet'!$B$4:$B$12,0))</f>
        <v>0</v>
      </c>
      <c r="N764" s="71">
        <f>Table1[[#This Row],[Quantity]]*Table1[[#This Row],[Unit Price]]</f>
        <v>0</v>
      </c>
      <c r="O764" s="73">
        <v>0</v>
      </c>
      <c r="P764" s="70">
        <f>Table1[[#This Row],[Gross Amount]]*(1-(Table1[[#This Row],[Discount %]]/100))</f>
        <v>0</v>
      </c>
      <c r="Q764" s="74">
        <f>(Table1[[#This Row],[Gross Amount]]*(1-(Table1[[#This Row],[Discount %]]/100)))/10000000</f>
        <v>0</v>
      </c>
      <c r="R764" t="s">
        <v>54</v>
      </c>
      <c r="S764" t="str" cm="1">
        <f t="array" ref="S764">IFERROR(_xlfn.IFS(Table1[[#This Row],[Payment Status]]="Partial","In Transit",Table1[[#This Row],[Payment Status]]="Paid","Delivered",Table1[[#This Row],[Payment Status]]="Pending","Pending"),"Invalid Input")</f>
        <v>Delivered</v>
      </c>
      <c r="T764" t="s">
        <v>27</v>
      </c>
      <c r="U764" t="str" cm="1">
        <f t="array" ref="U764">IFERROR(_xlfn.IFS(Table1[[#This Row],[Payment Status]]="Partial","In Transit",Table1[[#This Row],[Payment Status]]="Paid","Completed",Table1[[#This Row],[Payment Status]]="Pending","Pending"),"Invalid Input")</f>
        <v>Completed</v>
      </c>
    </row>
    <row r="765" spans="1:21" x14ac:dyDescent="0.25">
      <c r="A765" s="4" t="s">
        <v>1460</v>
      </c>
      <c r="B765" s="5">
        <v>45785</v>
      </c>
      <c r="C765" t="s">
        <v>62</v>
      </c>
      <c r="D765" t="s">
        <v>3269</v>
      </c>
      <c r="E765" t="s">
        <v>47</v>
      </c>
      <c r="F765" t="s">
        <v>3209</v>
      </c>
      <c r="G765" t="s">
        <v>48</v>
      </c>
      <c r="H765" t="str">
        <f>VLOOKUP(Table1[[#This Row],[City]],Table6[#All],2,FALSE)</f>
        <v>North</v>
      </c>
      <c r="I765" t="s">
        <v>3203</v>
      </c>
      <c r="J765" t="str">
        <f>_xlfn.XLOOKUP(Table1[[#This Row],[Tractor Model]],Table7[Product Model],Table7[Product Category],"Not Available",0)</f>
        <v>Kubota</v>
      </c>
      <c r="K765" s="4">
        <v>4</v>
      </c>
      <c r="L765" s="72">
        <v>509480</v>
      </c>
      <c r="M765" s="4">
        <f>INDEX('Master Sheet'!$C$4:$C$12,MATCH(Table1[[#This Row],[Quantity]],'Master Sheet'!$B$4:$B$12,0))</f>
        <v>6</v>
      </c>
      <c r="N765" s="71">
        <f>Table1[[#This Row],[Quantity]]*Table1[[#This Row],[Unit Price]]</f>
        <v>2037920</v>
      </c>
      <c r="O765" s="73">
        <v>0.203792</v>
      </c>
      <c r="P765" s="70">
        <f>Table1[[#This Row],[Gross Amount]]*(1-(Table1[[#This Row],[Discount %]]/100))</f>
        <v>1915644.7999999998</v>
      </c>
      <c r="Q765" s="74">
        <f>(Table1[[#This Row],[Gross Amount]]*(1-(Table1[[#This Row],[Discount %]]/100)))/10000000</f>
        <v>0.19156447999999998</v>
      </c>
      <c r="R765" t="s">
        <v>42</v>
      </c>
      <c r="S765" t="str" cm="1">
        <f t="array" ref="S765">IFERROR(_xlfn.IFS(Table1[[#This Row],[Payment Status]]="Partial","In Transit",Table1[[#This Row],[Payment Status]]="Paid","Delivered",Table1[[#This Row],[Payment Status]]="Pending","Pending"),"Invalid Input")</f>
        <v>Pending</v>
      </c>
      <c r="T765" t="s">
        <v>27</v>
      </c>
      <c r="U765" t="str" cm="1">
        <f t="array" ref="U765">IFERROR(_xlfn.IFS(Table1[[#This Row],[Payment Status]]="Partial","In Transit",Table1[[#This Row],[Payment Status]]="Paid","Completed",Table1[[#This Row],[Payment Status]]="Pending","Pending"),"Invalid Input")</f>
        <v>Pending</v>
      </c>
    </row>
    <row r="766" spans="1:21" x14ac:dyDescent="0.25">
      <c r="A766" s="4" t="s">
        <v>1461</v>
      </c>
      <c r="B766" s="5">
        <v>45659</v>
      </c>
      <c r="C766" t="s">
        <v>73</v>
      </c>
      <c r="D766" t="s">
        <v>3270</v>
      </c>
      <c r="E766" t="s">
        <v>119</v>
      </c>
      <c r="F766" t="s">
        <v>3212</v>
      </c>
      <c r="G766" t="s">
        <v>21</v>
      </c>
      <c r="H766" t="str">
        <f>VLOOKUP(Table1[[#This Row],[City]],Table6[#All],2,FALSE)</f>
        <v>North</v>
      </c>
      <c r="I766" t="s">
        <v>53</v>
      </c>
      <c r="J766" t="str">
        <f>_xlfn.XLOOKUP(Table1[[#This Row],[Tractor Model]],Table7[Product Model],Table7[Product Category],"Not Available",0)</f>
        <v>Farmtrac</v>
      </c>
      <c r="K766" s="4">
        <v>1</v>
      </c>
      <c r="L766" s="72">
        <v>167429</v>
      </c>
      <c r="M766" s="4">
        <f>INDEX('Master Sheet'!$C$4:$C$12,MATCH(Table1[[#This Row],[Quantity]],'Master Sheet'!$B$4:$B$12,0))</f>
        <v>3</v>
      </c>
      <c r="N766" s="71">
        <f>Table1[[#This Row],[Quantity]]*Table1[[#This Row],[Unit Price]]</f>
        <v>167429</v>
      </c>
      <c r="O766" s="73">
        <v>1.6742900000000002E-2</v>
      </c>
      <c r="P766" s="70">
        <f>Table1[[#This Row],[Gross Amount]]*(1-(Table1[[#This Row],[Discount %]]/100))</f>
        <v>162406.13</v>
      </c>
      <c r="Q766" s="74">
        <f>(Table1[[#This Row],[Gross Amount]]*(1-(Table1[[#This Row],[Discount %]]/100)))/10000000</f>
        <v>1.6240613000000001E-2</v>
      </c>
      <c r="R766" t="s">
        <v>25</v>
      </c>
      <c r="S766" t="str" cm="1">
        <f t="array" ref="S766">IFERROR(_xlfn.IFS(Table1[[#This Row],[Payment Status]]="Partial","In Transit",Table1[[#This Row],[Payment Status]]="Paid","Delivered",Table1[[#This Row],[Payment Status]]="Pending","Pending"),"Invalid Input")</f>
        <v>In Transit</v>
      </c>
      <c r="T766" t="s">
        <v>27</v>
      </c>
      <c r="U766" t="str" cm="1">
        <f t="array" ref="U766">IFERROR(_xlfn.IFS(Table1[[#This Row],[Payment Status]]="Partial","In Transit",Table1[[#This Row],[Payment Status]]="Paid","Completed",Table1[[#This Row],[Payment Status]]="Pending","Pending"),"Invalid Input")</f>
        <v>In Transit</v>
      </c>
    </row>
    <row r="767" spans="1:21" x14ac:dyDescent="0.25">
      <c r="A767" s="4" t="s">
        <v>1463</v>
      </c>
      <c r="B767" s="5">
        <v>45385</v>
      </c>
      <c r="C767" t="s">
        <v>41</v>
      </c>
      <c r="D767" t="s">
        <v>37</v>
      </c>
      <c r="E767" t="s">
        <v>66</v>
      </c>
      <c r="F767" t="s">
        <v>3226</v>
      </c>
      <c r="G767" t="s">
        <v>67</v>
      </c>
      <c r="H767" t="str">
        <f>VLOOKUP(Table1[[#This Row],[City]],Table6[#All],2,FALSE)</f>
        <v>East</v>
      </c>
      <c r="I767" t="s">
        <v>24</v>
      </c>
      <c r="J767" t="str">
        <f>_xlfn.XLOOKUP(Table1[[#This Row],[Tractor Model]],Table7[Product Model],Table7[Product Category],"Not Available",0)</f>
        <v>Farmtrac</v>
      </c>
      <c r="K767" s="4">
        <v>3</v>
      </c>
      <c r="L767" s="72">
        <v>401052</v>
      </c>
      <c r="M767" s="4">
        <f>INDEX('Master Sheet'!$C$4:$C$12,MATCH(Table1[[#This Row],[Quantity]],'Master Sheet'!$B$4:$B$12,0))</f>
        <v>6</v>
      </c>
      <c r="N767" s="71">
        <f>Table1[[#This Row],[Quantity]]*Table1[[#This Row],[Unit Price]]</f>
        <v>1203156</v>
      </c>
      <c r="O767" s="73">
        <v>0.12031559999999999</v>
      </c>
      <c r="P767" s="70">
        <f>Table1[[#This Row],[Gross Amount]]*(1-(Table1[[#This Row],[Discount %]]/100))</f>
        <v>1130966.6399999999</v>
      </c>
      <c r="Q767" s="74">
        <f>(Table1[[#This Row],[Gross Amount]]*(1-(Table1[[#This Row],[Discount %]]/100)))/10000000</f>
        <v>0.11309666399999999</v>
      </c>
      <c r="R767" t="s">
        <v>54</v>
      </c>
      <c r="S767" t="str" cm="1">
        <f t="array" ref="S767">IFERROR(_xlfn.IFS(Table1[[#This Row],[Payment Status]]="Partial","In Transit",Table1[[#This Row],[Payment Status]]="Paid","Delivered",Table1[[#This Row],[Payment Status]]="Pending","Pending"),"Invalid Input")</f>
        <v>Delivered</v>
      </c>
      <c r="T767" t="s">
        <v>44</v>
      </c>
      <c r="U767" t="str" cm="1">
        <f t="array" ref="U767">IFERROR(_xlfn.IFS(Table1[[#This Row],[Payment Status]]="Partial","In Transit",Table1[[#This Row],[Payment Status]]="Paid","Completed",Table1[[#This Row],[Payment Status]]="Pending","Pending"),"Invalid Input")</f>
        <v>Completed</v>
      </c>
    </row>
    <row r="768" spans="1:21" x14ac:dyDescent="0.25">
      <c r="A768" s="4" t="s">
        <v>1465</v>
      </c>
      <c r="B768" s="5">
        <v>45332</v>
      </c>
      <c r="C768" t="s">
        <v>73</v>
      </c>
      <c r="D768" t="s">
        <v>3271</v>
      </c>
      <c r="E768" t="s">
        <v>47</v>
      </c>
      <c r="F768" t="s">
        <v>3221</v>
      </c>
      <c r="G768" t="s">
        <v>48</v>
      </c>
      <c r="H768" t="str">
        <f>VLOOKUP(Table1[[#This Row],[City]],Table6[#All],2,FALSE)</f>
        <v>North</v>
      </c>
      <c r="I768" t="s">
        <v>3203</v>
      </c>
      <c r="J768" t="str">
        <f>_xlfn.XLOOKUP(Table1[[#This Row],[Tractor Model]],Table7[Product Model],Table7[Product Category],"Not Available",0)</f>
        <v>Kubota</v>
      </c>
      <c r="K768" s="4">
        <v>2</v>
      </c>
      <c r="L768" s="72">
        <v>811028</v>
      </c>
      <c r="M768" s="4">
        <f>INDEX('Master Sheet'!$C$4:$C$12,MATCH(Table1[[#This Row],[Quantity]],'Master Sheet'!$B$4:$B$12,0))</f>
        <v>5</v>
      </c>
      <c r="N768" s="71">
        <f>Table1[[#This Row],[Quantity]]*Table1[[#This Row],[Unit Price]]</f>
        <v>1622056</v>
      </c>
      <c r="O768" s="73">
        <v>0.16220560000000001</v>
      </c>
      <c r="P768" s="70">
        <f>Table1[[#This Row],[Gross Amount]]*(1-(Table1[[#This Row],[Discount %]]/100))</f>
        <v>1540953.2</v>
      </c>
      <c r="Q768" s="74">
        <f>(Table1[[#This Row],[Gross Amount]]*(1-(Table1[[#This Row],[Discount %]]/100)))/10000000</f>
        <v>0.15409532000000001</v>
      </c>
      <c r="R768" t="s">
        <v>54</v>
      </c>
      <c r="S768" t="str" cm="1">
        <f t="array" ref="S768">IFERROR(_xlfn.IFS(Table1[[#This Row],[Payment Status]]="Partial","In Transit",Table1[[#This Row],[Payment Status]]="Paid","Delivered",Table1[[#This Row],[Payment Status]]="Pending","Pending"),"Invalid Input")</f>
        <v>Delivered</v>
      </c>
      <c r="T768" t="s">
        <v>27</v>
      </c>
      <c r="U768" t="str" cm="1">
        <f t="array" ref="U768">IFERROR(_xlfn.IFS(Table1[[#This Row],[Payment Status]]="Partial","In Transit",Table1[[#This Row],[Payment Status]]="Paid","Completed",Table1[[#This Row],[Payment Status]]="Pending","Pending"),"Invalid Input")</f>
        <v>Completed</v>
      </c>
    </row>
    <row r="769" spans="1:21" x14ac:dyDescent="0.25">
      <c r="A769" s="4" t="s">
        <v>1467</v>
      </c>
      <c r="B769" s="5">
        <v>45596</v>
      </c>
      <c r="C769" t="s">
        <v>73</v>
      </c>
      <c r="D769" t="s">
        <v>3270</v>
      </c>
      <c r="E769" t="s">
        <v>47</v>
      </c>
      <c r="F769" t="s">
        <v>3205</v>
      </c>
      <c r="G769" t="s">
        <v>48</v>
      </c>
      <c r="H769" t="str">
        <f>VLOOKUP(Table1[[#This Row],[City]],Table6[#All],2,FALSE)</f>
        <v>North</v>
      </c>
      <c r="I769" t="s">
        <v>24</v>
      </c>
      <c r="J769" t="str">
        <f>_xlfn.XLOOKUP(Table1[[#This Row],[Tractor Model]],Table7[Product Model],Table7[Product Category],"Not Available",0)</f>
        <v>Farmtrac</v>
      </c>
      <c r="K769" s="4">
        <v>7</v>
      </c>
      <c r="L769" s="72">
        <v>771908</v>
      </c>
      <c r="M769" s="4">
        <f>INDEX('Master Sheet'!$C$4:$C$12,MATCH(Table1[[#This Row],[Quantity]],'Master Sheet'!$B$4:$B$12,0))</f>
        <v>9</v>
      </c>
      <c r="N769" s="71">
        <f>Table1[[#This Row],[Quantity]]*Table1[[#This Row],[Unit Price]]</f>
        <v>5403356</v>
      </c>
      <c r="O769" s="73">
        <v>0.54033560000000003</v>
      </c>
      <c r="P769" s="70">
        <f>Table1[[#This Row],[Gross Amount]]*(1-(Table1[[#This Row],[Discount %]]/100))</f>
        <v>4917053.96</v>
      </c>
      <c r="Q769" s="74">
        <f>(Table1[[#This Row],[Gross Amount]]*(1-(Table1[[#This Row],[Discount %]]/100)))/10000000</f>
        <v>0.49170539600000002</v>
      </c>
      <c r="R769" t="s">
        <v>42</v>
      </c>
      <c r="S769" t="str" cm="1">
        <f t="array" ref="S769">IFERROR(_xlfn.IFS(Table1[[#This Row],[Payment Status]]="Partial","In Transit",Table1[[#This Row],[Payment Status]]="Paid","Delivered",Table1[[#This Row],[Payment Status]]="Pending","Pending"),"Invalid Input")</f>
        <v>Pending</v>
      </c>
      <c r="T769" t="s">
        <v>27</v>
      </c>
      <c r="U769" t="str" cm="1">
        <f t="array" ref="U769">IFERROR(_xlfn.IFS(Table1[[#This Row],[Payment Status]]="Partial","In Transit",Table1[[#This Row],[Payment Status]]="Paid","Completed",Table1[[#This Row],[Payment Status]]="Pending","Pending"),"Invalid Input")</f>
        <v>Pending</v>
      </c>
    </row>
    <row r="770" spans="1:21" x14ac:dyDescent="0.25">
      <c r="A770" s="4" t="s">
        <v>1468</v>
      </c>
      <c r="B770" s="5">
        <v>45396</v>
      </c>
      <c r="C770" t="s">
        <v>62</v>
      </c>
      <c r="D770" t="s">
        <v>3270</v>
      </c>
      <c r="E770" t="s">
        <v>47</v>
      </c>
      <c r="F770" t="s">
        <v>3205</v>
      </c>
      <c r="G770" t="s">
        <v>48</v>
      </c>
      <c r="H770" t="str">
        <f>VLOOKUP(Table1[[#This Row],[City]],Table6[#All],2,FALSE)</f>
        <v>North</v>
      </c>
      <c r="I770" t="s">
        <v>24</v>
      </c>
      <c r="J770" t="str">
        <f>_xlfn.XLOOKUP(Table1[[#This Row],[Tractor Model]],Table7[Product Model],Table7[Product Category],"Not Available",0)</f>
        <v>Farmtrac</v>
      </c>
      <c r="K770" s="4">
        <v>4</v>
      </c>
      <c r="L770" s="72">
        <v>814389</v>
      </c>
      <c r="M770" s="4">
        <f>INDEX('Master Sheet'!$C$4:$C$12,MATCH(Table1[[#This Row],[Quantity]],'Master Sheet'!$B$4:$B$12,0))</f>
        <v>6</v>
      </c>
      <c r="N770" s="71">
        <f>Table1[[#This Row],[Quantity]]*Table1[[#This Row],[Unit Price]]</f>
        <v>3257556</v>
      </c>
      <c r="O770" s="73">
        <v>0.32575559999999998</v>
      </c>
      <c r="P770" s="70">
        <f>Table1[[#This Row],[Gross Amount]]*(1-(Table1[[#This Row],[Discount %]]/100))</f>
        <v>3062102.6399999997</v>
      </c>
      <c r="Q770" s="74">
        <f>(Table1[[#This Row],[Gross Amount]]*(1-(Table1[[#This Row],[Discount %]]/100)))/10000000</f>
        <v>0.30621026399999995</v>
      </c>
      <c r="R770" t="s">
        <v>25</v>
      </c>
      <c r="S770" t="str" cm="1">
        <f t="array" ref="S770">IFERROR(_xlfn.IFS(Table1[[#This Row],[Payment Status]]="Partial","In Transit",Table1[[#This Row],[Payment Status]]="Paid","Delivered",Table1[[#This Row],[Payment Status]]="Pending","Pending"),"Invalid Input")</f>
        <v>In Transit</v>
      </c>
      <c r="T770" t="s">
        <v>44</v>
      </c>
      <c r="U770" t="str" cm="1">
        <f t="array" ref="U770">IFERROR(_xlfn.IFS(Table1[[#This Row],[Payment Status]]="Partial","In Transit",Table1[[#This Row],[Payment Status]]="Paid","Completed",Table1[[#This Row],[Payment Status]]="Pending","Pending"),"Invalid Input")</f>
        <v>In Transit</v>
      </c>
    </row>
    <row r="771" spans="1:21" x14ac:dyDescent="0.25">
      <c r="A771" s="4" t="s">
        <v>1470</v>
      </c>
      <c r="B771" s="5">
        <v>45332</v>
      </c>
      <c r="C771" t="s">
        <v>62</v>
      </c>
      <c r="D771" t="s">
        <v>3269</v>
      </c>
      <c r="E771" t="s">
        <v>47</v>
      </c>
      <c r="F771" t="s">
        <v>3209</v>
      </c>
      <c r="G771" t="s">
        <v>48</v>
      </c>
      <c r="H771" t="str">
        <f>VLOOKUP(Table1[[#This Row],[City]],Table6[#All],2,FALSE)</f>
        <v>North</v>
      </c>
      <c r="I771" t="s">
        <v>24</v>
      </c>
      <c r="J771" t="str">
        <f>_xlfn.XLOOKUP(Table1[[#This Row],[Tractor Model]],Table7[Product Model],Table7[Product Category],"Not Available",0)</f>
        <v>Farmtrac</v>
      </c>
      <c r="K771" s="4">
        <v>5</v>
      </c>
      <c r="L771" s="72">
        <v>537672</v>
      </c>
      <c r="M771" s="4">
        <f>INDEX('Master Sheet'!$C$4:$C$12,MATCH(Table1[[#This Row],[Quantity]],'Master Sheet'!$B$4:$B$12,0))</f>
        <v>7</v>
      </c>
      <c r="N771" s="71">
        <f>Table1[[#This Row],[Quantity]]*Table1[[#This Row],[Unit Price]]</f>
        <v>2688360</v>
      </c>
      <c r="O771" s="73">
        <v>0.26883600000000002</v>
      </c>
      <c r="P771" s="70">
        <f>Table1[[#This Row],[Gross Amount]]*(1-(Table1[[#This Row],[Discount %]]/100))</f>
        <v>2500174.7999999998</v>
      </c>
      <c r="Q771" s="74">
        <f>(Table1[[#This Row],[Gross Amount]]*(1-(Table1[[#This Row],[Discount %]]/100)))/10000000</f>
        <v>0.25001747999999996</v>
      </c>
      <c r="R771" t="s">
        <v>25</v>
      </c>
      <c r="S771" t="str" cm="1">
        <f t="array" ref="S771">IFERROR(_xlfn.IFS(Table1[[#This Row],[Payment Status]]="Partial","In Transit",Table1[[#This Row],[Payment Status]]="Paid","Delivered",Table1[[#This Row],[Payment Status]]="Pending","Pending"),"Invalid Input")</f>
        <v>In Transit</v>
      </c>
      <c r="T771" t="s">
        <v>27</v>
      </c>
      <c r="U771" t="str" cm="1">
        <f t="array" ref="U771">IFERROR(_xlfn.IFS(Table1[[#This Row],[Payment Status]]="Partial","In Transit",Table1[[#This Row],[Payment Status]]="Paid","Completed",Table1[[#This Row],[Payment Status]]="Pending","Pending"),"Invalid Input")</f>
        <v>In Transit</v>
      </c>
    </row>
    <row r="772" spans="1:21" x14ac:dyDescent="0.25">
      <c r="A772" s="4" t="s">
        <v>1471</v>
      </c>
      <c r="B772" s="5">
        <v>45295</v>
      </c>
      <c r="C772" t="s">
        <v>33</v>
      </c>
      <c r="D772" t="s">
        <v>3270</v>
      </c>
      <c r="E772" t="s">
        <v>30</v>
      </c>
      <c r="F772" t="s">
        <v>3223</v>
      </c>
      <c r="G772" t="s">
        <v>31</v>
      </c>
      <c r="H772" t="str">
        <f>VLOOKUP(Table1[[#This Row],[City]],Table6[#All],2,FALSE)</f>
        <v>South</v>
      </c>
      <c r="I772" t="s">
        <v>3203</v>
      </c>
      <c r="J772" t="str">
        <f>_xlfn.XLOOKUP(Table1[[#This Row],[Tractor Model]],Table7[Product Model],Table7[Product Category],"Not Available",0)</f>
        <v>Kubota</v>
      </c>
      <c r="K772" s="4">
        <v>6</v>
      </c>
      <c r="L772" s="72">
        <v>231955</v>
      </c>
      <c r="M772" s="4">
        <f>INDEX('Master Sheet'!$C$4:$C$12,MATCH(Table1[[#This Row],[Quantity]],'Master Sheet'!$B$4:$B$12,0))</f>
        <v>8</v>
      </c>
      <c r="N772" s="71">
        <f>Table1[[#This Row],[Quantity]]*Table1[[#This Row],[Unit Price]]</f>
        <v>1391730</v>
      </c>
      <c r="O772" s="73">
        <v>0.13917299999999999</v>
      </c>
      <c r="P772" s="70">
        <f>Table1[[#This Row],[Gross Amount]]*(1-(Table1[[#This Row],[Discount %]]/100))</f>
        <v>1280391.6000000001</v>
      </c>
      <c r="Q772" s="74">
        <f>(Table1[[#This Row],[Gross Amount]]*(1-(Table1[[#This Row],[Discount %]]/100)))/10000000</f>
        <v>0.12803916000000001</v>
      </c>
      <c r="R772" t="s">
        <v>42</v>
      </c>
      <c r="S772" t="str" cm="1">
        <f t="array" ref="S772">IFERROR(_xlfn.IFS(Table1[[#This Row],[Payment Status]]="Partial","In Transit",Table1[[#This Row],[Payment Status]]="Paid","Delivered",Table1[[#This Row],[Payment Status]]="Pending","Pending"),"Invalid Input")</f>
        <v>Pending</v>
      </c>
      <c r="T772" t="s">
        <v>27</v>
      </c>
      <c r="U772" t="str" cm="1">
        <f t="array" ref="U772">IFERROR(_xlfn.IFS(Table1[[#This Row],[Payment Status]]="Partial","In Transit",Table1[[#This Row],[Payment Status]]="Paid","Completed",Table1[[#This Row],[Payment Status]]="Pending","Pending"),"Invalid Input")</f>
        <v>Pending</v>
      </c>
    </row>
    <row r="773" spans="1:21" x14ac:dyDescent="0.25">
      <c r="A773" s="4" t="s">
        <v>1473</v>
      </c>
      <c r="B773" s="5">
        <v>45355</v>
      </c>
      <c r="C773" t="s">
        <v>73</v>
      </c>
      <c r="D773" t="s">
        <v>3270</v>
      </c>
      <c r="E773" t="s">
        <v>30</v>
      </c>
      <c r="F773" t="s">
        <v>3223</v>
      </c>
      <c r="G773" t="s">
        <v>31</v>
      </c>
      <c r="H773" t="str">
        <f>VLOOKUP(Table1[[#This Row],[City]],Table6[#All],2,FALSE)</f>
        <v>South</v>
      </c>
      <c r="I773" t="s">
        <v>3203</v>
      </c>
      <c r="J773" t="str">
        <f>_xlfn.XLOOKUP(Table1[[#This Row],[Tractor Model]],Table7[Product Model],Table7[Product Category],"Not Available",0)</f>
        <v>Kubota</v>
      </c>
      <c r="K773" s="4">
        <v>4</v>
      </c>
      <c r="L773" s="72">
        <v>474817</v>
      </c>
      <c r="M773" s="4">
        <f>INDEX('Master Sheet'!$C$4:$C$12,MATCH(Table1[[#This Row],[Quantity]],'Master Sheet'!$B$4:$B$12,0))</f>
        <v>6</v>
      </c>
      <c r="N773" s="71">
        <f>Table1[[#This Row],[Quantity]]*Table1[[#This Row],[Unit Price]]</f>
        <v>1899268</v>
      </c>
      <c r="O773" s="73">
        <v>0.18992680000000001</v>
      </c>
      <c r="P773" s="70">
        <f>Table1[[#This Row],[Gross Amount]]*(1-(Table1[[#This Row],[Discount %]]/100))</f>
        <v>1785311.92</v>
      </c>
      <c r="Q773" s="74">
        <f>(Table1[[#This Row],[Gross Amount]]*(1-(Table1[[#This Row],[Discount %]]/100)))/10000000</f>
        <v>0.17853119200000001</v>
      </c>
      <c r="R773" t="s">
        <v>42</v>
      </c>
      <c r="S773" t="str" cm="1">
        <f t="array" ref="S773">IFERROR(_xlfn.IFS(Table1[[#This Row],[Payment Status]]="Partial","In Transit",Table1[[#This Row],[Payment Status]]="Paid","Delivered",Table1[[#This Row],[Payment Status]]="Pending","Pending"),"Invalid Input")</f>
        <v>Pending</v>
      </c>
      <c r="T773" t="s">
        <v>44</v>
      </c>
      <c r="U773" t="str" cm="1">
        <f t="array" ref="U773">IFERROR(_xlfn.IFS(Table1[[#This Row],[Payment Status]]="Partial","In Transit",Table1[[#This Row],[Payment Status]]="Paid","Completed",Table1[[#This Row],[Payment Status]]="Pending","Pending"),"Invalid Input")</f>
        <v>Pending</v>
      </c>
    </row>
    <row r="774" spans="1:21" x14ac:dyDescent="0.25">
      <c r="A774" s="4" t="s">
        <v>1474</v>
      </c>
      <c r="B774" s="5">
        <v>45798</v>
      </c>
      <c r="C774" t="s">
        <v>41</v>
      </c>
      <c r="D774" t="s">
        <v>3270</v>
      </c>
      <c r="E774" t="s">
        <v>38</v>
      </c>
      <c r="F774" t="s">
        <v>3218</v>
      </c>
      <c r="G774" t="s">
        <v>39</v>
      </c>
      <c r="H774" t="str">
        <f>VLOOKUP(Table1[[#This Row],[City]],Table6[#All],2,FALSE)</f>
        <v>West</v>
      </c>
      <c r="I774" t="s">
        <v>58</v>
      </c>
      <c r="J774" t="str">
        <f>_xlfn.XLOOKUP(Table1[[#This Row],[Tractor Model]],Table7[Product Model],Table7[Product Category],"Not Available",0)</f>
        <v>Powertrac</v>
      </c>
      <c r="K774" s="4">
        <v>8</v>
      </c>
      <c r="L774" s="72">
        <v>496847</v>
      </c>
      <c r="M774" s="4">
        <f>INDEX('Master Sheet'!$C$4:$C$12,MATCH(Table1[[#This Row],[Quantity]],'Master Sheet'!$B$4:$B$12,0))</f>
        <v>9</v>
      </c>
      <c r="N774" s="71">
        <f>Table1[[#This Row],[Quantity]]*Table1[[#This Row],[Unit Price]]</f>
        <v>3974776</v>
      </c>
      <c r="O774" s="73">
        <v>0.39747759999999999</v>
      </c>
      <c r="P774" s="70">
        <f>Table1[[#This Row],[Gross Amount]]*(1-(Table1[[#This Row],[Discount %]]/100))</f>
        <v>3617046.16</v>
      </c>
      <c r="Q774" s="74">
        <f>(Table1[[#This Row],[Gross Amount]]*(1-(Table1[[#This Row],[Discount %]]/100)))/10000000</f>
        <v>0.36170461600000003</v>
      </c>
      <c r="R774" t="s">
        <v>25</v>
      </c>
      <c r="S774" t="str" cm="1">
        <f t="array" ref="S774">IFERROR(_xlfn.IFS(Table1[[#This Row],[Payment Status]]="Partial","In Transit",Table1[[#This Row],[Payment Status]]="Paid","Delivered",Table1[[#This Row],[Payment Status]]="Pending","Pending"),"Invalid Input")</f>
        <v>In Transit</v>
      </c>
      <c r="T774" t="s">
        <v>27</v>
      </c>
      <c r="U774" t="str" cm="1">
        <f t="array" ref="U774">IFERROR(_xlfn.IFS(Table1[[#This Row],[Payment Status]]="Partial","In Transit",Table1[[#This Row],[Payment Status]]="Paid","Completed",Table1[[#This Row],[Payment Status]]="Pending","Pending"),"Invalid Input")</f>
        <v>In Transit</v>
      </c>
    </row>
    <row r="775" spans="1:21" x14ac:dyDescent="0.25">
      <c r="A775" s="4" t="s">
        <v>1476</v>
      </c>
      <c r="B775" s="5">
        <v>45873</v>
      </c>
      <c r="C775" t="s">
        <v>41</v>
      </c>
      <c r="D775" t="s">
        <v>3271</v>
      </c>
      <c r="E775" t="s">
        <v>119</v>
      </c>
      <c r="F775" t="s">
        <v>3228</v>
      </c>
      <c r="G775" t="s">
        <v>21</v>
      </c>
      <c r="H775" t="str">
        <f>VLOOKUP(Table1[[#This Row],[City]],Table6[#All],2,FALSE)</f>
        <v>North</v>
      </c>
      <c r="I775" t="s">
        <v>53</v>
      </c>
      <c r="J775" t="str">
        <f>_xlfn.XLOOKUP(Table1[[#This Row],[Tractor Model]],Table7[Product Model],Table7[Product Category],"Not Available",0)</f>
        <v>Farmtrac</v>
      </c>
      <c r="K775" s="4">
        <v>7</v>
      </c>
      <c r="L775" s="72">
        <v>614098</v>
      </c>
      <c r="M775" s="4">
        <f>INDEX('Master Sheet'!$C$4:$C$12,MATCH(Table1[[#This Row],[Quantity]],'Master Sheet'!$B$4:$B$12,0))</f>
        <v>9</v>
      </c>
      <c r="N775" s="71">
        <f>Table1[[#This Row],[Quantity]]*Table1[[#This Row],[Unit Price]]</f>
        <v>4298686</v>
      </c>
      <c r="O775" s="73">
        <v>0.42986859999999999</v>
      </c>
      <c r="P775" s="70">
        <f>Table1[[#This Row],[Gross Amount]]*(1-(Table1[[#This Row],[Discount %]]/100))</f>
        <v>3911804.2600000002</v>
      </c>
      <c r="Q775" s="74">
        <f>(Table1[[#This Row],[Gross Amount]]*(1-(Table1[[#This Row],[Discount %]]/100)))/10000000</f>
        <v>0.39118042600000003</v>
      </c>
      <c r="R775" t="s">
        <v>42</v>
      </c>
      <c r="S775" t="str" cm="1">
        <f t="array" ref="S775">IFERROR(_xlfn.IFS(Table1[[#This Row],[Payment Status]]="Partial","In Transit",Table1[[#This Row],[Payment Status]]="Paid","Delivered",Table1[[#This Row],[Payment Status]]="Pending","Pending"),"Invalid Input")</f>
        <v>Pending</v>
      </c>
      <c r="T775" t="s">
        <v>27</v>
      </c>
      <c r="U775" t="str" cm="1">
        <f t="array" ref="U775">IFERROR(_xlfn.IFS(Table1[[#This Row],[Payment Status]]="Partial","In Transit",Table1[[#This Row],[Payment Status]]="Paid","Completed",Table1[[#This Row],[Payment Status]]="Pending","Pending"),"Invalid Input")</f>
        <v>Pending</v>
      </c>
    </row>
    <row r="776" spans="1:21" x14ac:dyDescent="0.25">
      <c r="A776" s="4" t="s">
        <v>1478</v>
      </c>
      <c r="B776" s="5">
        <v>45363</v>
      </c>
      <c r="C776" t="s">
        <v>33</v>
      </c>
      <c r="D776" t="s">
        <v>3270</v>
      </c>
      <c r="E776" t="s">
        <v>38</v>
      </c>
      <c r="F776" t="s">
        <v>3218</v>
      </c>
      <c r="G776" t="s">
        <v>39</v>
      </c>
      <c r="H776" t="str">
        <f>VLOOKUP(Table1[[#This Row],[City]],Table6[#All],2,FALSE)</f>
        <v>West</v>
      </c>
      <c r="I776" t="s">
        <v>58</v>
      </c>
      <c r="J776" t="str">
        <f>_xlfn.XLOOKUP(Table1[[#This Row],[Tractor Model]],Table7[Product Model],Table7[Product Category],"Not Available",0)</f>
        <v>Powertrac</v>
      </c>
      <c r="K776" s="4">
        <v>8</v>
      </c>
      <c r="L776" s="72">
        <v>784018</v>
      </c>
      <c r="M776" s="4">
        <f>INDEX('Master Sheet'!$C$4:$C$12,MATCH(Table1[[#This Row],[Quantity]],'Master Sheet'!$B$4:$B$12,0))</f>
        <v>9</v>
      </c>
      <c r="N776" s="71">
        <f>Table1[[#This Row],[Quantity]]*Table1[[#This Row],[Unit Price]]</f>
        <v>6272144</v>
      </c>
      <c r="O776" s="73">
        <v>0.62721439999999995</v>
      </c>
      <c r="P776" s="70">
        <f>Table1[[#This Row],[Gross Amount]]*(1-(Table1[[#This Row],[Discount %]]/100))</f>
        <v>5707651.04</v>
      </c>
      <c r="Q776" s="74">
        <f>(Table1[[#This Row],[Gross Amount]]*(1-(Table1[[#This Row],[Discount %]]/100)))/10000000</f>
        <v>0.57076510400000002</v>
      </c>
      <c r="R776" t="s">
        <v>25</v>
      </c>
      <c r="S776" t="str" cm="1">
        <f t="array" ref="S776">IFERROR(_xlfn.IFS(Table1[[#This Row],[Payment Status]]="Partial","In Transit",Table1[[#This Row],[Payment Status]]="Paid","Delivered",Table1[[#This Row],[Payment Status]]="Pending","Pending"),"Invalid Input")</f>
        <v>In Transit</v>
      </c>
      <c r="T776" t="s">
        <v>44</v>
      </c>
      <c r="U776" t="str" cm="1">
        <f t="array" ref="U776">IFERROR(_xlfn.IFS(Table1[[#This Row],[Payment Status]]="Partial","In Transit",Table1[[#This Row],[Payment Status]]="Paid","Completed",Table1[[#This Row],[Payment Status]]="Pending","Pending"),"Invalid Input")</f>
        <v>In Transit</v>
      </c>
    </row>
    <row r="777" spans="1:21" x14ac:dyDescent="0.25">
      <c r="A777" s="4" t="s">
        <v>1480</v>
      </c>
      <c r="B777" s="5">
        <v>45434</v>
      </c>
      <c r="C777" t="s">
        <v>52</v>
      </c>
      <c r="D777" t="s">
        <v>3268</v>
      </c>
      <c r="E777" t="s">
        <v>30</v>
      </c>
      <c r="F777" t="s">
        <v>3208</v>
      </c>
      <c r="G777" t="s">
        <v>31</v>
      </c>
      <c r="H777" t="str">
        <f>VLOOKUP(Table1[[#This Row],[City]],Table6[#All],2,FALSE)</f>
        <v>South</v>
      </c>
      <c r="I777" t="s">
        <v>3204</v>
      </c>
      <c r="J777" t="str">
        <f>_xlfn.XLOOKUP(Table1[[#This Row],[Tractor Model]],Table7[Product Model],Table7[Product Category],"Not Available",0)</f>
        <v>Kubota</v>
      </c>
      <c r="K777" s="4">
        <v>6</v>
      </c>
      <c r="L777" s="72">
        <v>184153</v>
      </c>
      <c r="M777" s="4">
        <f>INDEX('Master Sheet'!$C$4:$C$12,MATCH(Table1[[#This Row],[Quantity]],'Master Sheet'!$B$4:$B$12,0))</f>
        <v>8</v>
      </c>
      <c r="N777" s="71">
        <f>Table1[[#This Row],[Quantity]]*Table1[[#This Row],[Unit Price]]</f>
        <v>1104918</v>
      </c>
      <c r="O777" s="73">
        <v>0.1104918</v>
      </c>
      <c r="P777" s="70">
        <f>Table1[[#This Row],[Gross Amount]]*(1-(Table1[[#This Row],[Discount %]]/100))</f>
        <v>1016524.56</v>
      </c>
      <c r="Q777" s="74">
        <f>(Table1[[#This Row],[Gross Amount]]*(1-(Table1[[#This Row],[Discount %]]/100)))/10000000</f>
        <v>0.101652456</v>
      </c>
      <c r="R777" t="s">
        <v>25</v>
      </c>
      <c r="S777" t="str" cm="1">
        <f t="array" ref="S777">IFERROR(_xlfn.IFS(Table1[[#This Row],[Payment Status]]="Partial","In Transit",Table1[[#This Row],[Payment Status]]="Paid","Delivered",Table1[[#This Row],[Payment Status]]="Pending","Pending"),"Invalid Input")</f>
        <v>In Transit</v>
      </c>
      <c r="T777" t="s">
        <v>44</v>
      </c>
      <c r="U777" t="str" cm="1">
        <f t="array" ref="U777">IFERROR(_xlfn.IFS(Table1[[#This Row],[Payment Status]]="Partial","In Transit",Table1[[#This Row],[Payment Status]]="Paid","Completed",Table1[[#This Row],[Payment Status]]="Pending","Pending"),"Invalid Input")</f>
        <v>In Transit</v>
      </c>
    </row>
    <row r="778" spans="1:21" x14ac:dyDescent="0.25">
      <c r="A778" s="4" t="s">
        <v>1482</v>
      </c>
      <c r="B778" s="5">
        <v>45438</v>
      </c>
      <c r="C778" t="s">
        <v>52</v>
      </c>
      <c r="D778" t="s">
        <v>3271</v>
      </c>
      <c r="E778" t="s">
        <v>119</v>
      </c>
      <c r="F778" t="s">
        <v>3228</v>
      </c>
      <c r="G778" t="s">
        <v>21</v>
      </c>
      <c r="H778" t="str">
        <f>VLOOKUP(Table1[[#This Row],[City]],Table6[#All],2,FALSE)</f>
        <v>North</v>
      </c>
      <c r="I778" t="s">
        <v>53</v>
      </c>
      <c r="J778" t="str">
        <f>_xlfn.XLOOKUP(Table1[[#This Row],[Tractor Model]],Table7[Product Model],Table7[Product Category],"Not Available",0)</f>
        <v>Farmtrac</v>
      </c>
      <c r="K778" s="4">
        <v>1</v>
      </c>
      <c r="L778" s="72">
        <v>139820</v>
      </c>
      <c r="M778" s="4">
        <f>INDEX('Master Sheet'!$C$4:$C$12,MATCH(Table1[[#This Row],[Quantity]],'Master Sheet'!$B$4:$B$12,0))</f>
        <v>3</v>
      </c>
      <c r="N778" s="71">
        <f>Table1[[#This Row],[Quantity]]*Table1[[#This Row],[Unit Price]]</f>
        <v>139820</v>
      </c>
      <c r="O778" s="73">
        <v>1.3982E-2</v>
      </c>
      <c r="P778" s="70">
        <f>Table1[[#This Row],[Gross Amount]]*(1-(Table1[[#This Row],[Discount %]]/100))</f>
        <v>135625.4</v>
      </c>
      <c r="Q778" s="74">
        <f>(Table1[[#This Row],[Gross Amount]]*(1-(Table1[[#This Row],[Discount %]]/100)))/10000000</f>
        <v>1.356254E-2</v>
      </c>
      <c r="R778" t="s">
        <v>42</v>
      </c>
      <c r="S778" t="str" cm="1">
        <f t="array" ref="S778">IFERROR(_xlfn.IFS(Table1[[#This Row],[Payment Status]]="Partial","In Transit",Table1[[#This Row],[Payment Status]]="Paid","Delivered",Table1[[#This Row],[Payment Status]]="Pending","Pending"),"Invalid Input")</f>
        <v>Pending</v>
      </c>
      <c r="T778" t="s">
        <v>27</v>
      </c>
      <c r="U778" t="str" cm="1">
        <f t="array" ref="U778">IFERROR(_xlfn.IFS(Table1[[#This Row],[Payment Status]]="Partial","In Transit",Table1[[#This Row],[Payment Status]]="Paid","Completed",Table1[[#This Row],[Payment Status]]="Pending","Pending"),"Invalid Input")</f>
        <v>Pending</v>
      </c>
    </row>
    <row r="779" spans="1:21" x14ac:dyDescent="0.25">
      <c r="A779" s="4" t="s">
        <v>1483</v>
      </c>
      <c r="B779" s="5">
        <v>45469</v>
      </c>
      <c r="C779" t="s">
        <v>62</v>
      </c>
      <c r="D779" t="s">
        <v>3271</v>
      </c>
      <c r="E779" t="s">
        <v>47</v>
      </c>
      <c r="F779" t="s">
        <v>3221</v>
      </c>
      <c r="G779" t="s">
        <v>48</v>
      </c>
      <c r="H779" t="str">
        <f>VLOOKUP(Table1[[#This Row],[City]],Table6[#All],2,FALSE)</f>
        <v>North</v>
      </c>
      <c r="I779" t="s">
        <v>3203</v>
      </c>
      <c r="J779" t="str">
        <f>_xlfn.XLOOKUP(Table1[[#This Row],[Tractor Model]],Table7[Product Model],Table7[Product Category],"Not Available",0)</f>
        <v>Kubota</v>
      </c>
      <c r="K779" s="4">
        <v>3</v>
      </c>
      <c r="L779" s="72">
        <v>395096</v>
      </c>
      <c r="M779" s="4">
        <f>INDEX('Master Sheet'!$C$4:$C$12,MATCH(Table1[[#This Row],[Quantity]],'Master Sheet'!$B$4:$B$12,0))</f>
        <v>6</v>
      </c>
      <c r="N779" s="71">
        <f>Table1[[#This Row],[Quantity]]*Table1[[#This Row],[Unit Price]]</f>
        <v>1185288</v>
      </c>
      <c r="O779" s="73">
        <v>0.1185288</v>
      </c>
      <c r="P779" s="70">
        <f>Table1[[#This Row],[Gross Amount]]*(1-(Table1[[#This Row],[Discount %]]/100))</f>
        <v>1114170.72</v>
      </c>
      <c r="Q779" s="74">
        <f>(Table1[[#This Row],[Gross Amount]]*(1-(Table1[[#This Row],[Discount %]]/100)))/10000000</f>
        <v>0.11141707199999999</v>
      </c>
      <c r="R779" t="s">
        <v>25</v>
      </c>
      <c r="S779" t="str" cm="1">
        <f t="array" ref="S779">IFERROR(_xlfn.IFS(Table1[[#This Row],[Payment Status]]="Partial","In Transit",Table1[[#This Row],[Payment Status]]="Paid","Delivered",Table1[[#This Row],[Payment Status]]="Pending","Pending"),"Invalid Input")</f>
        <v>In Transit</v>
      </c>
      <c r="T779" t="s">
        <v>27</v>
      </c>
      <c r="U779" t="str" cm="1">
        <f t="array" ref="U779">IFERROR(_xlfn.IFS(Table1[[#This Row],[Payment Status]]="Partial","In Transit",Table1[[#This Row],[Payment Status]]="Paid","Completed",Table1[[#This Row],[Payment Status]]="Pending","Pending"),"Invalid Input")</f>
        <v>In Transit</v>
      </c>
    </row>
    <row r="780" spans="1:21" x14ac:dyDescent="0.25">
      <c r="A780" s="4" t="s">
        <v>1485</v>
      </c>
      <c r="B780" s="5">
        <v>45517</v>
      </c>
      <c r="C780" t="s">
        <v>33</v>
      </c>
      <c r="D780" t="s">
        <v>3270</v>
      </c>
      <c r="E780" t="s">
        <v>66</v>
      </c>
      <c r="F780" t="s">
        <v>3220</v>
      </c>
      <c r="G780" t="s">
        <v>67</v>
      </c>
      <c r="H780" t="str">
        <f>VLOOKUP(Table1[[#This Row],[City]],Table6[#All],2,FALSE)</f>
        <v>East</v>
      </c>
      <c r="I780" t="s">
        <v>58</v>
      </c>
      <c r="J780" t="str">
        <f>_xlfn.XLOOKUP(Table1[[#This Row],[Tractor Model]],Table7[Product Model],Table7[Product Category],"Not Available",0)</f>
        <v>Powertrac</v>
      </c>
      <c r="K780" s="4">
        <v>7</v>
      </c>
      <c r="L780" s="72">
        <v>567919</v>
      </c>
      <c r="M780" s="4">
        <f>INDEX('Master Sheet'!$C$4:$C$12,MATCH(Table1[[#This Row],[Quantity]],'Master Sheet'!$B$4:$B$12,0))</f>
        <v>9</v>
      </c>
      <c r="N780" s="71">
        <f>Table1[[#This Row],[Quantity]]*Table1[[#This Row],[Unit Price]]</f>
        <v>3975433</v>
      </c>
      <c r="O780" s="73">
        <v>0.39754329999999999</v>
      </c>
      <c r="P780" s="70">
        <f>Table1[[#This Row],[Gross Amount]]*(1-(Table1[[#This Row],[Discount %]]/100))</f>
        <v>3617644.0300000003</v>
      </c>
      <c r="Q780" s="74">
        <f>(Table1[[#This Row],[Gross Amount]]*(1-(Table1[[#This Row],[Discount %]]/100)))/10000000</f>
        <v>0.36176440300000001</v>
      </c>
      <c r="R780" t="s">
        <v>42</v>
      </c>
      <c r="S780" t="str" cm="1">
        <f t="array" ref="S780">IFERROR(_xlfn.IFS(Table1[[#This Row],[Payment Status]]="Partial","In Transit",Table1[[#This Row],[Payment Status]]="Paid","Delivered",Table1[[#This Row],[Payment Status]]="Pending","Pending"),"Invalid Input")</f>
        <v>Pending</v>
      </c>
      <c r="T780" t="s">
        <v>27</v>
      </c>
      <c r="U780" t="str" cm="1">
        <f t="array" ref="U780">IFERROR(_xlfn.IFS(Table1[[#This Row],[Payment Status]]="Partial","In Transit",Table1[[#This Row],[Payment Status]]="Paid","Completed",Table1[[#This Row],[Payment Status]]="Pending","Pending"),"Invalid Input")</f>
        <v>Pending</v>
      </c>
    </row>
    <row r="781" spans="1:21" x14ac:dyDescent="0.25">
      <c r="A781" s="4" t="s">
        <v>1487</v>
      </c>
      <c r="B781" s="5">
        <v>45785</v>
      </c>
      <c r="C781" t="s">
        <v>52</v>
      </c>
      <c r="D781" t="s">
        <v>37</v>
      </c>
      <c r="E781" t="s">
        <v>119</v>
      </c>
      <c r="F781" t="s">
        <v>3224</v>
      </c>
      <c r="G781" t="s">
        <v>21</v>
      </c>
      <c r="H781" t="str">
        <f>VLOOKUP(Table1[[#This Row],[City]],Table6[#All],2,FALSE)</f>
        <v>North</v>
      </c>
      <c r="I781" t="s">
        <v>58</v>
      </c>
      <c r="J781" t="str">
        <f>_xlfn.XLOOKUP(Table1[[#This Row],[Tractor Model]],Table7[Product Model],Table7[Product Category],"Not Available",0)</f>
        <v>Powertrac</v>
      </c>
      <c r="K781" s="4">
        <v>6</v>
      </c>
      <c r="L781" s="72">
        <v>474568</v>
      </c>
      <c r="M781" s="4">
        <f>INDEX('Master Sheet'!$C$4:$C$12,MATCH(Table1[[#This Row],[Quantity]],'Master Sheet'!$B$4:$B$12,0))</f>
        <v>8</v>
      </c>
      <c r="N781" s="71">
        <f>Table1[[#This Row],[Quantity]]*Table1[[#This Row],[Unit Price]]</f>
        <v>2847408</v>
      </c>
      <c r="O781" s="73">
        <v>0.28474080000000002</v>
      </c>
      <c r="P781" s="70">
        <f>Table1[[#This Row],[Gross Amount]]*(1-(Table1[[#This Row],[Discount %]]/100))</f>
        <v>2619615.3600000003</v>
      </c>
      <c r="Q781" s="74">
        <f>(Table1[[#This Row],[Gross Amount]]*(1-(Table1[[#This Row],[Discount %]]/100)))/10000000</f>
        <v>0.26196153600000005</v>
      </c>
      <c r="R781" t="s">
        <v>25</v>
      </c>
      <c r="S781" t="str" cm="1">
        <f t="array" ref="S781">IFERROR(_xlfn.IFS(Table1[[#This Row],[Payment Status]]="Partial","In Transit",Table1[[#This Row],[Payment Status]]="Paid","Delivered",Table1[[#This Row],[Payment Status]]="Pending","Pending"),"Invalid Input")</f>
        <v>In Transit</v>
      </c>
      <c r="T781" t="s">
        <v>27</v>
      </c>
      <c r="U781" t="str" cm="1">
        <f t="array" ref="U781">IFERROR(_xlfn.IFS(Table1[[#This Row],[Payment Status]]="Partial","In Transit",Table1[[#This Row],[Payment Status]]="Paid","Completed",Table1[[#This Row],[Payment Status]]="Pending","Pending"),"Invalid Input")</f>
        <v>In Transit</v>
      </c>
    </row>
    <row r="782" spans="1:21" x14ac:dyDescent="0.25">
      <c r="A782" s="4" t="s">
        <v>1489</v>
      </c>
      <c r="B782" s="5">
        <v>45330</v>
      </c>
      <c r="C782" t="s">
        <v>62</v>
      </c>
      <c r="D782" t="s">
        <v>3271</v>
      </c>
      <c r="E782" t="s">
        <v>47</v>
      </c>
      <c r="F782" t="s">
        <v>3221</v>
      </c>
      <c r="G782" t="s">
        <v>48</v>
      </c>
      <c r="H782" t="str">
        <f>VLOOKUP(Table1[[#This Row],[City]],Table6[#All],2,FALSE)</f>
        <v>North</v>
      </c>
      <c r="I782" t="s">
        <v>58</v>
      </c>
      <c r="J782" t="str">
        <f>_xlfn.XLOOKUP(Table1[[#This Row],[Tractor Model]],Table7[Product Model],Table7[Product Category],"Not Available",0)</f>
        <v>Powertrac</v>
      </c>
      <c r="K782" s="4">
        <v>5</v>
      </c>
      <c r="L782" s="72">
        <v>146039</v>
      </c>
      <c r="M782" s="4">
        <f>INDEX('Master Sheet'!$C$4:$C$12,MATCH(Table1[[#This Row],[Quantity]],'Master Sheet'!$B$4:$B$12,0))</f>
        <v>7</v>
      </c>
      <c r="N782" s="71">
        <f>Table1[[#This Row],[Quantity]]*Table1[[#This Row],[Unit Price]]</f>
        <v>730195</v>
      </c>
      <c r="O782" s="73">
        <v>7.3019500000000001E-2</v>
      </c>
      <c r="P782" s="70">
        <f>Table1[[#This Row],[Gross Amount]]*(1-(Table1[[#This Row],[Discount %]]/100))</f>
        <v>679081.35</v>
      </c>
      <c r="Q782" s="74">
        <f>(Table1[[#This Row],[Gross Amount]]*(1-(Table1[[#This Row],[Discount %]]/100)))/10000000</f>
        <v>6.7908134999999994E-2</v>
      </c>
      <c r="R782" t="s">
        <v>42</v>
      </c>
      <c r="S782" t="str" cm="1">
        <f t="array" ref="S782">IFERROR(_xlfn.IFS(Table1[[#This Row],[Payment Status]]="Partial","In Transit",Table1[[#This Row],[Payment Status]]="Paid","Delivered",Table1[[#This Row],[Payment Status]]="Pending","Pending"),"Invalid Input")</f>
        <v>Pending</v>
      </c>
      <c r="T782" t="s">
        <v>27</v>
      </c>
      <c r="U782" t="str" cm="1">
        <f t="array" ref="U782">IFERROR(_xlfn.IFS(Table1[[#This Row],[Payment Status]]="Partial","In Transit",Table1[[#This Row],[Payment Status]]="Paid","Completed",Table1[[#This Row],[Payment Status]]="Pending","Pending"),"Invalid Input")</f>
        <v>Pending</v>
      </c>
    </row>
    <row r="783" spans="1:21" x14ac:dyDescent="0.25">
      <c r="A783" s="4" t="s">
        <v>1490</v>
      </c>
      <c r="B783" s="5">
        <v>45352</v>
      </c>
      <c r="C783" t="s">
        <v>33</v>
      </c>
      <c r="D783" t="s">
        <v>3270</v>
      </c>
      <c r="E783" t="s">
        <v>47</v>
      </c>
      <c r="F783" t="s">
        <v>3205</v>
      </c>
      <c r="G783" t="s">
        <v>48</v>
      </c>
      <c r="H783" t="str">
        <f>VLOOKUP(Table1[[#This Row],[City]],Table6[#All],2,FALSE)</f>
        <v>North</v>
      </c>
      <c r="I783" t="s">
        <v>24</v>
      </c>
      <c r="J783" t="str">
        <f>_xlfn.XLOOKUP(Table1[[#This Row],[Tractor Model]],Table7[Product Model],Table7[Product Category],"Not Available",0)</f>
        <v>Farmtrac</v>
      </c>
      <c r="K783" s="4">
        <v>7</v>
      </c>
      <c r="L783" s="72">
        <v>211757</v>
      </c>
      <c r="M783" s="4">
        <f>INDEX('Master Sheet'!$C$4:$C$12,MATCH(Table1[[#This Row],[Quantity]],'Master Sheet'!$B$4:$B$12,0))</f>
        <v>9</v>
      </c>
      <c r="N783" s="71">
        <f>Table1[[#This Row],[Quantity]]*Table1[[#This Row],[Unit Price]]</f>
        <v>1482299</v>
      </c>
      <c r="O783" s="73">
        <v>0.1482299</v>
      </c>
      <c r="P783" s="70">
        <f>Table1[[#This Row],[Gross Amount]]*(1-(Table1[[#This Row],[Discount %]]/100))</f>
        <v>1348892.09</v>
      </c>
      <c r="Q783" s="74">
        <f>(Table1[[#This Row],[Gross Amount]]*(1-(Table1[[#This Row],[Discount %]]/100)))/10000000</f>
        <v>0.13488920900000001</v>
      </c>
      <c r="R783" t="s">
        <v>25</v>
      </c>
      <c r="S783" t="str" cm="1">
        <f t="array" ref="S783">IFERROR(_xlfn.IFS(Table1[[#This Row],[Payment Status]]="Partial","In Transit",Table1[[#This Row],[Payment Status]]="Paid","Delivered",Table1[[#This Row],[Payment Status]]="Pending","Pending"),"Invalid Input")</f>
        <v>In Transit</v>
      </c>
      <c r="T783" t="s">
        <v>27</v>
      </c>
      <c r="U783" t="str" cm="1">
        <f t="array" ref="U783">IFERROR(_xlfn.IFS(Table1[[#This Row],[Payment Status]]="Partial","In Transit",Table1[[#This Row],[Payment Status]]="Paid","Completed",Table1[[#This Row],[Payment Status]]="Pending","Pending"),"Invalid Input")</f>
        <v>In Transit</v>
      </c>
    </row>
    <row r="784" spans="1:21" x14ac:dyDescent="0.25">
      <c r="A784" s="4" t="s">
        <v>1492</v>
      </c>
      <c r="B784" s="5">
        <v>45679</v>
      </c>
      <c r="C784" t="s">
        <v>41</v>
      </c>
      <c r="D784" t="s">
        <v>37</v>
      </c>
      <c r="E784" t="s">
        <v>38</v>
      </c>
      <c r="F784" t="s">
        <v>3214</v>
      </c>
      <c r="G784" t="s">
        <v>39</v>
      </c>
      <c r="H784" t="str">
        <f>VLOOKUP(Table1[[#This Row],[City]],Table6[#All],2,FALSE)</f>
        <v>West</v>
      </c>
      <c r="I784" t="s">
        <v>3204</v>
      </c>
      <c r="J784" t="str">
        <f>_xlfn.XLOOKUP(Table1[[#This Row],[Tractor Model]],Table7[Product Model],Table7[Product Category],"Not Available",0)</f>
        <v>Kubota</v>
      </c>
      <c r="K784" s="4">
        <v>2</v>
      </c>
      <c r="L784" s="72">
        <v>795091</v>
      </c>
      <c r="M784" s="4">
        <f>INDEX('Master Sheet'!$C$4:$C$12,MATCH(Table1[[#This Row],[Quantity]],'Master Sheet'!$B$4:$B$12,0))</f>
        <v>5</v>
      </c>
      <c r="N784" s="71">
        <f>Table1[[#This Row],[Quantity]]*Table1[[#This Row],[Unit Price]]</f>
        <v>1590182</v>
      </c>
      <c r="O784" s="73">
        <v>0.1590182</v>
      </c>
      <c r="P784" s="70">
        <f>Table1[[#This Row],[Gross Amount]]*(1-(Table1[[#This Row],[Discount %]]/100))</f>
        <v>1510672.9</v>
      </c>
      <c r="Q784" s="74">
        <f>(Table1[[#This Row],[Gross Amount]]*(1-(Table1[[#This Row],[Discount %]]/100)))/10000000</f>
        <v>0.15106728999999999</v>
      </c>
      <c r="R784" t="s">
        <v>42</v>
      </c>
      <c r="S784" t="str" cm="1">
        <f t="array" ref="S784">IFERROR(_xlfn.IFS(Table1[[#This Row],[Payment Status]]="Partial","In Transit",Table1[[#This Row],[Payment Status]]="Paid","Delivered",Table1[[#This Row],[Payment Status]]="Pending","Pending"),"Invalid Input")</f>
        <v>Pending</v>
      </c>
      <c r="T784" t="s">
        <v>44</v>
      </c>
      <c r="U784" t="str" cm="1">
        <f t="array" ref="U784">IFERROR(_xlfn.IFS(Table1[[#This Row],[Payment Status]]="Partial","In Transit",Table1[[#This Row],[Payment Status]]="Paid","Completed",Table1[[#This Row],[Payment Status]]="Pending","Pending"),"Invalid Input")</f>
        <v>Pending</v>
      </c>
    </row>
    <row r="785" spans="1:21" x14ac:dyDescent="0.25">
      <c r="A785" s="4" t="s">
        <v>1493</v>
      </c>
      <c r="B785" s="5">
        <v>45548</v>
      </c>
      <c r="C785" t="s">
        <v>33</v>
      </c>
      <c r="D785" t="s">
        <v>3270</v>
      </c>
      <c r="E785" t="s">
        <v>47</v>
      </c>
      <c r="F785" t="s">
        <v>3205</v>
      </c>
      <c r="G785" t="s">
        <v>48</v>
      </c>
      <c r="H785" t="str">
        <f>VLOOKUP(Table1[[#This Row],[City]],Table6[#All],2,FALSE)</f>
        <v>North</v>
      </c>
      <c r="I785" t="s">
        <v>3203</v>
      </c>
      <c r="J785" t="str">
        <f>_xlfn.XLOOKUP(Table1[[#This Row],[Tractor Model]],Table7[Product Model],Table7[Product Category],"Not Available",0)</f>
        <v>Kubota</v>
      </c>
      <c r="K785" s="4">
        <v>0</v>
      </c>
      <c r="L785" s="72">
        <v>561675</v>
      </c>
      <c r="M785" s="4">
        <f>INDEX('Master Sheet'!$C$4:$C$12,MATCH(Table1[[#This Row],[Quantity]],'Master Sheet'!$B$4:$B$12,0))</f>
        <v>0</v>
      </c>
      <c r="N785" s="71">
        <f>Table1[[#This Row],[Quantity]]*Table1[[#This Row],[Unit Price]]</f>
        <v>0</v>
      </c>
      <c r="O785" s="73">
        <v>0</v>
      </c>
      <c r="P785" s="70">
        <f>Table1[[#This Row],[Gross Amount]]*(1-(Table1[[#This Row],[Discount %]]/100))</f>
        <v>0</v>
      </c>
      <c r="Q785" s="74">
        <f>(Table1[[#This Row],[Gross Amount]]*(1-(Table1[[#This Row],[Discount %]]/100)))/10000000</f>
        <v>0</v>
      </c>
      <c r="R785" t="s">
        <v>54</v>
      </c>
      <c r="S785" t="str" cm="1">
        <f t="array" ref="S785">IFERROR(_xlfn.IFS(Table1[[#This Row],[Payment Status]]="Partial","In Transit",Table1[[#This Row],[Payment Status]]="Paid","Delivered",Table1[[#This Row],[Payment Status]]="Pending","Pending"),"Invalid Input")</f>
        <v>Delivered</v>
      </c>
      <c r="T785" t="s">
        <v>27</v>
      </c>
      <c r="U785" t="str" cm="1">
        <f t="array" ref="U785">IFERROR(_xlfn.IFS(Table1[[#This Row],[Payment Status]]="Partial","In Transit",Table1[[#This Row],[Payment Status]]="Paid","Completed",Table1[[#This Row],[Payment Status]]="Pending","Pending"),"Invalid Input")</f>
        <v>Completed</v>
      </c>
    </row>
    <row r="786" spans="1:21" x14ac:dyDescent="0.25">
      <c r="A786" s="4" t="s">
        <v>1494</v>
      </c>
      <c r="B786" s="5">
        <v>45624</v>
      </c>
      <c r="C786" t="s">
        <v>62</v>
      </c>
      <c r="D786" t="s">
        <v>3270</v>
      </c>
      <c r="E786" t="s">
        <v>47</v>
      </c>
      <c r="F786" t="s">
        <v>3205</v>
      </c>
      <c r="G786" t="s">
        <v>48</v>
      </c>
      <c r="H786" t="str">
        <f>VLOOKUP(Table1[[#This Row],[City]],Table6[#All],2,FALSE)</f>
        <v>North</v>
      </c>
      <c r="I786" t="s">
        <v>24</v>
      </c>
      <c r="J786" t="str">
        <f>_xlfn.XLOOKUP(Table1[[#This Row],[Tractor Model]],Table7[Product Model],Table7[Product Category],"Not Available",0)</f>
        <v>Farmtrac</v>
      </c>
      <c r="K786" s="4">
        <v>8</v>
      </c>
      <c r="L786" s="72">
        <v>680717</v>
      </c>
      <c r="M786" s="4">
        <f>INDEX('Master Sheet'!$C$4:$C$12,MATCH(Table1[[#This Row],[Quantity]],'Master Sheet'!$B$4:$B$12,0))</f>
        <v>9</v>
      </c>
      <c r="N786" s="71">
        <f>Table1[[#This Row],[Quantity]]*Table1[[#This Row],[Unit Price]]</f>
        <v>5445736</v>
      </c>
      <c r="O786" s="73">
        <v>0.54457359999999999</v>
      </c>
      <c r="P786" s="70">
        <f>Table1[[#This Row],[Gross Amount]]*(1-(Table1[[#This Row],[Discount %]]/100))</f>
        <v>4955619.76</v>
      </c>
      <c r="Q786" s="74">
        <f>(Table1[[#This Row],[Gross Amount]]*(1-(Table1[[#This Row],[Discount %]]/100)))/10000000</f>
        <v>0.49556197599999996</v>
      </c>
      <c r="R786" t="s">
        <v>25</v>
      </c>
      <c r="S786" t="str" cm="1">
        <f t="array" ref="S786">IFERROR(_xlfn.IFS(Table1[[#This Row],[Payment Status]]="Partial","In Transit",Table1[[#This Row],[Payment Status]]="Paid","Delivered",Table1[[#This Row],[Payment Status]]="Pending","Pending"),"Invalid Input")</f>
        <v>In Transit</v>
      </c>
      <c r="T786" t="s">
        <v>27</v>
      </c>
      <c r="U786" t="str" cm="1">
        <f t="array" ref="U786">IFERROR(_xlfn.IFS(Table1[[#This Row],[Payment Status]]="Partial","In Transit",Table1[[#This Row],[Payment Status]]="Paid","Completed",Table1[[#This Row],[Payment Status]]="Pending","Pending"),"Invalid Input")</f>
        <v>In Transit</v>
      </c>
    </row>
    <row r="787" spans="1:21" x14ac:dyDescent="0.25">
      <c r="A787" s="4" t="s">
        <v>1496</v>
      </c>
      <c r="B787" s="5">
        <v>45706</v>
      </c>
      <c r="C787" t="s">
        <v>73</v>
      </c>
      <c r="D787" t="s">
        <v>3268</v>
      </c>
      <c r="E787" t="s">
        <v>38</v>
      </c>
      <c r="F787" t="s">
        <v>3219</v>
      </c>
      <c r="G787" t="s">
        <v>39</v>
      </c>
      <c r="H787" t="str">
        <f>VLOOKUP(Table1[[#This Row],[City]],Table6[#All],2,FALSE)</f>
        <v>West</v>
      </c>
      <c r="I787" t="s">
        <v>53</v>
      </c>
      <c r="J787" t="str">
        <f>_xlfn.XLOOKUP(Table1[[#This Row],[Tractor Model]],Table7[Product Model],Table7[Product Category],"Not Available",0)</f>
        <v>Farmtrac</v>
      </c>
      <c r="K787" s="4">
        <v>6</v>
      </c>
      <c r="L787" s="72">
        <v>521490</v>
      </c>
      <c r="M787" s="4">
        <f>INDEX('Master Sheet'!$C$4:$C$12,MATCH(Table1[[#This Row],[Quantity]],'Master Sheet'!$B$4:$B$12,0))</f>
        <v>8</v>
      </c>
      <c r="N787" s="71">
        <f>Table1[[#This Row],[Quantity]]*Table1[[#This Row],[Unit Price]]</f>
        <v>3128940</v>
      </c>
      <c r="O787" s="73">
        <v>0.31289400000000001</v>
      </c>
      <c r="P787" s="70">
        <f>Table1[[#This Row],[Gross Amount]]*(1-(Table1[[#This Row],[Discount %]]/100))</f>
        <v>2878624.8000000003</v>
      </c>
      <c r="Q787" s="74">
        <f>(Table1[[#This Row],[Gross Amount]]*(1-(Table1[[#This Row],[Discount %]]/100)))/10000000</f>
        <v>0.28786248000000003</v>
      </c>
      <c r="R787" t="s">
        <v>25</v>
      </c>
      <c r="S787" t="str" cm="1">
        <f t="array" ref="S787">IFERROR(_xlfn.IFS(Table1[[#This Row],[Payment Status]]="Partial","In Transit",Table1[[#This Row],[Payment Status]]="Paid","Delivered",Table1[[#This Row],[Payment Status]]="Pending","Pending"),"Invalid Input")</f>
        <v>In Transit</v>
      </c>
      <c r="T787" t="s">
        <v>27</v>
      </c>
      <c r="U787" t="str" cm="1">
        <f t="array" ref="U787">IFERROR(_xlfn.IFS(Table1[[#This Row],[Payment Status]]="Partial","In Transit",Table1[[#This Row],[Payment Status]]="Paid","Completed",Table1[[#This Row],[Payment Status]]="Pending","Pending"),"Invalid Input")</f>
        <v>In Transit</v>
      </c>
    </row>
    <row r="788" spans="1:21" x14ac:dyDescent="0.25">
      <c r="A788" s="4" t="s">
        <v>1498</v>
      </c>
      <c r="B788" s="5">
        <v>45371</v>
      </c>
      <c r="C788" t="s">
        <v>41</v>
      </c>
      <c r="D788" t="s">
        <v>3271</v>
      </c>
      <c r="E788" t="s">
        <v>38</v>
      </c>
      <c r="F788" t="s">
        <v>3210</v>
      </c>
      <c r="G788" t="s">
        <v>39</v>
      </c>
      <c r="H788" t="str">
        <f>VLOOKUP(Table1[[#This Row],[City]],Table6[#All],2,FALSE)</f>
        <v>West</v>
      </c>
      <c r="I788" t="s">
        <v>58</v>
      </c>
      <c r="J788" t="str">
        <f>_xlfn.XLOOKUP(Table1[[#This Row],[Tractor Model]],Table7[Product Model],Table7[Product Category],"Not Available",0)</f>
        <v>Powertrac</v>
      </c>
      <c r="K788" s="4">
        <v>5</v>
      </c>
      <c r="L788" s="72">
        <v>738942</v>
      </c>
      <c r="M788" s="4">
        <f>INDEX('Master Sheet'!$C$4:$C$12,MATCH(Table1[[#This Row],[Quantity]],'Master Sheet'!$B$4:$B$12,0))</f>
        <v>7</v>
      </c>
      <c r="N788" s="71">
        <f>Table1[[#This Row],[Quantity]]*Table1[[#This Row],[Unit Price]]</f>
        <v>3694710</v>
      </c>
      <c r="O788" s="73">
        <v>0.36947099999999999</v>
      </c>
      <c r="P788" s="70">
        <f>Table1[[#This Row],[Gross Amount]]*(1-(Table1[[#This Row],[Discount %]]/100))</f>
        <v>3436080.3</v>
      </c>
      <c r="Q788" s="74">
        <f>(Table1[[#This Row],[Gross Amount]]*(1-(Table1[[#This Row],[Discount %]]/100)))/10000000</f>
        <v>0.34360803000000001</v>
      </c>
      <c r="R788" t="s">
        <v>54</v>
      </c>
      <c r="S788" t="str" cm="1">
        <f t="array" ref="S788">IFERROR(_xlfn.IFS(Table1[[#This Row],[Payment Status]]="Partial","In Transit",Table1[[#This Row],[Payment Status]]="Paid","Delivered",Table1[[#This Row],[Payment Status]]="Pending","Pending"),"Invalid Input")</f>
        <v>Delivered</v>
      </c>
      <c r="T788" t="s">
        <v>27</v>
      </c>
      <c r="U788" t="str" cm="1">
        <f t="array" ref="U788">IFERROR(_xlfn.IFS(Table1[[#This Row],[Payment Status]]="Partial","In Transit",Table1[[#This Row],[Payment Status]]="Paid","Completed",Table1[[#This Row],[Payment Status]]="Pending","Pending"),"Invalid Input")</f>
        <v>Completed</v>
      </c>
    </row>
    <row r="789" spans="1:21" x14ac:dyDescent="0.25">
      <c r="A789" s="4" t="s">
        <v>1500</v>
      </c>
      <c r="B789" s="5">
        <v>45305</v>
      </c>
      <c r="C789" t="s">
        <v>33</v>
      </c>
      <c r="D789" t="s">
        <v>3268</v>
      </c>
      <c r="E789" t="s">
        <v>38</v>
      </c>
      <c r="F789" t="s">
        <v>3219</v>
      </c>
      <c r="G789" t="s">
        <v>39</v>
      </c>
      <c r="H789" t="str">
        <f>VLOOKUP(Table1[[#This Row],[City]],Table6[#All],2,FALSE)</f>
        <v>West</v>
      </c>
      <c r="I789" t="s">
        <v>3203</v>
      </c>
      <c r="J789" t="str">
        <f>_xlfn.XLOOKUP(Table1[[#This Row],[Tractor Model]],Table7[Product Model],Table7[Product Category],"Not Available",0)</f>
        <v>Kubota</v>
      </c>
      <c r="K789" s="4">
        <v>8</v>
      </c>
      <c r="L789" s="72">
        <v>413327</v>
      </c>
      <c r="M789" s="4">
        <f>INDEX('Master Sheet'!$C$4:$C$12,MATCH(Table1[[#This Row],[Quantity]],'Master Sheet'!$B$4:$B$12,0))</f>
        <v>9</v>
      </c>
      <c r="N789" s="71">
        <f>Table1[[#This Row],[Quantity]]*Table1[[#This Row],[Unit Price]]</f>
        <v>3306616</v>
      </c>
      <c r="O789" s="73">
        <v>0.3306616</v>
      </c>
      <c r="P789" s="70">
        <f>Table1[[#This Row],[Gross Amount]]*(1-(Table1[[#This Row],[Discount %]]/100))</f>
        <v>3009020.56</v>
      </c>
      <c r="Q789" s="74">
        <f>(Table1[[#This Row],[Gross Amount]]*(1-(Table1[[#This Row],[Discount %]]/100)))/10000000</f>
        <v>0.30090205600000003</v>
      </c>
      <c r="R789" t="s">
        <v>25</v>
      </c>
      <c r="S789" t="str" cm="1">
        <f t="array" ref="S789">IFERROR(_xlfn.IFS(Table1[[#This Row],[Payment Status]]="Partial","In Transit",Table1[[#This Row],[Payment Status]]="Paid","Delivered",Table1[[#This Row],[Payment Status]]="Pending","Pending"),"Invalid Input")</f>
        <v>In Transit</v>
      </c>
      <c r="T789" t="s">
        <v>44</v>
      </c>
      <c r="U789" t="str" cm="1">
        <f t="array" ref="U789">IFERROR(_xlfn.IFS(Table1[[#This Row],[Payment Status]]="Partial","In Transit",Table1[[#This Row],[Payment Status]]="Paid","Completed",Table1[[#This Row],[Payment Status]]="Pending","Pending"),"Invalid Input")</f>
        <v>In Transit</v>
      </c>
    </row>
    <row r="790" spans="1:21" x14ac:dyDescent="0.25">
      <c r="A790" s="4" t="s">
        <v>1501</v>
      </c>
      <c r="B790" s="5">
        <v>45797</v>
      </c>
      <c r="C790" t="s">
        <v>33</v>
      </c>
      <c r="D790" t="s">
        <v>3271</v>
      </c>
      <c r="E790" t="s">
        <v>30</v>
      </c>
      <c r="F790" t="s">
        <v>3217</v>
      </c>
      <c r="G790" t="s">
        <v>31</v>
      </c>
      <c r="H790" t="str">
        <f>VLOOKUP(Table1[[#This Row],[City]],Table6[#All],2,FALSE)</f>
        <v>South</v>
      </c>
      <c r="I790" t="s">
        <v>53</v>
      </c>
      <c r="J790" t="str">
        <f>_xlfn.XLOOKUP(Table1[[#This Row],[Tractor Model]],Table7[Product Model],Table7[Product Category],"Not Available",0)</f>
        <v>Farmtrac</v>
      </c>
      <c r="K790" s="4">
        <v>5</v>
      </c>
      <c r="L790" s="72">
        <v>471354</v>
      </c>
      <c r="M790" s="4">
        <f>INDEX('Master Sheet'!$C$4:$C$12,MATCH(Table1[[#This Row],[Quantity]],'Master Sheet'!$B$4:$B$12,0))</f>
        <v>7</v>
      </c>
      <c r="N790" s="71">
        <f>Table1[[#This Row],[Quantity]]*Table1[[#This Row],[Unit Price]]</f>
        <v>2356770</v>
      </c>
      <c r="O790" s="73">
        <v>0.235677</v>
      </c>
      <c r="P790" s="70">
        <f>Table1[[#This Row],[Gross Amount]]*(1-(Table1[[#This Row],[Discount %]]/100))</f>
        <v>2191796.0999999996</v>
      </c>
      <c r="Q790" s="74">
        <f>(Table1[[#This Row],[Gross Amount]]*(1-(Table1[[#This Row],[Discount %]]/100)))/10000000</f>
        <v>0.21917960999999997</v>
      </c>
      <c r="R790" t="s">
        <v>54</v>
      </c>
      <c r="S790" t="str" cm="1">
        <f t="array" ref="S790">IFERROR(_xlfn.IFS(Table1[[#This Row],[Payment Status]]="Partial","In Transit",Table1[[#This Row],[Payment Status]]="Paid","Delivered",Table1[[#This Row],[Payment Status]]="Pending","Pending"),"Invalid Input")</f>
        <v>Delivered</v>
      </c>
      <c r="T790" t="s">
        <v>27</v>
      </c>
      <c r="U790" t="str" cm="1">
        <f t="array" ref="U790">IFERROR(_xlfn.IFS(Table1[[#This Row],[Payment Status]]="Partial","In Transit",Table1[[#This Row],[Payment Status]]="Paid","Completed",Table1[[#This Row],[Payment Status]]="Pending","Pending"),"Invalid Input")</f>
        <v>Completed</v>
      </c>
    </row>
    <row r="791" spans="1:21" x14ac:dyDescent="0.25">
      <c r="A791" s="4" t="s">
        <v>1503</v>
      </c>
      <c r="B791" s="5">
        <v>45804</v>
      </c>
      <c r="C791" t="s">
        <v>73</v>
      </c>
      <c r="D791" t="s">
        <v>3268</v>
      </c>
      <c r="E791" t="s">
        <v>47</v>
      </c>
      <c r="F791" t="s">
        <v>3216</v>
      </c>
      <c r="G791" t="s">
        <v>48</v>
      </c>
      <c r="H791" t="str">
        <f>VLOOKUP(Table1[[#This Row],[City]],Table6[#All],2,FALSE)</f>
        <v>North</v>
      </c>
      <c r="I791" t="s">
        <v>53</v>
      </c>
      <c r="J791" t="str">
        <f>_xlfn.XLOOKUP(Table1[[#This Row],[Tractor Model]],Table7[Product Model],Table7[Product Category],"Not Available",0)</f>
        <v>Farmtrac</v>
      </c>
      <c r="K791" s="4">
        <v>2</v>
      </c>
      <c r="L791" s="72">
        <v>160969</v>
      </c>
      <c r="M791" s="4">
        <f>INDEX('Master Sheet'!$C$4:$C$12,MATCH(Table1[[#This Row],[Quantity]],'Master Sheet'!$B$4:$B$12,0))</f>
        <v>5</v>
      </c>
      <c r="N791" s="71">
        <f>Table1[[#This Row],[Quantity]]*Table1[[#This Row],[Unit Price]]</f>
        <v>321938</v>
      </c>
      <c r="O791" s="73">
        <v>3.2193800000000002E-2</v>
      </c>
      <c r="P791" s="70">
        <f>Table1[[#This Row],[Gross Amount]]*(1-(Table1[[#This Row],[Discount %]]/100))</f>
        <v>305841.09999999998</v>
      </c>
      <c r="Q791" s="74">
        <f>(Table1[[#This Row],[Gross Amount]]*(1-(Table1[[#This Row],[Discount %]]/100)))/10000000</f>
        <v>3.0584109999999998E-2</v>
      </c>
      <c r="R791" t="s">
        <v>25</v>
      </c>
      <c r="S791" t="str" cm="1">
        <f t="array" ref="S791">IFERROR(_xlfn.IFS(Table1[[#This Row],[Payment Status]]="Partial","In Transit",Table1[[#This Row],[Payment Status]]="Paid","Delivered",Table1[[#This Row],[Payment Status]]="Pending","Pending"),"Invalid Input")</f>
        <v>In Transit</v>
      </c>
      <c r="T791" t="s">
        <v>27</v>
      </c>
      <c r="U791" t="str" cm="1">
        <f t="array" ref="U791">IFERROR(_xlfn.IFS(Table1[[#This Row],[Payment Status]]="Partial","In Transit",Table1[[#This Row],[Payment Status]]="Paid","Completed",Table1[[#This Row],[Payment Status]]="Pending","Pending"),"Invalid Input")</f>
        <v>In Transit</v>
      </c>
    </row>
    <row r="792" spans="1:21" x14ac:dyDescent="0.25">
      <c r="A792" s="4" t="s">
        <v>1505</v>
      </c>
      <c r="B792" s="5">
        <v>45672</v>
      </c>
      <c r="C792" t="s">
        <v>73</v>
      </c>
      <c r="D792" t="s">
        <v>3270</v>
      </c>
      <c r="E792" t="s">
        <v>38</v>
      </c>
      <c r="F792" t="s">
        <v>3218</v>
      </c>
      <c r="G792" t="s">
        <v>39</v>
      </c>
      <c r="H792" t="str">
        <f>VLOOKUP(Table1[[#This Row],[City]],Table6[#All],2,FALSE)</f>
        <v>West</v>
      </c>
      <c r="I792" t="s">
        <v>24</v>
      </c>
      <c r="J792" t="str">
        <f>_xlfn.XLOOKUP(Table1[[#This Row],[Tractor Model]],Table7[Product Model],Table7[Product Category],"Not Available",0)</f>
        <v>Farmtrac</v>
      </c>
      <c r="K792" s="4">
        <v>1</v>
      </c>
      <c r="L792" s="72">
        <v>614979</v>
      </c>
      <c r="M792" s="4">
        <f>INDEX('Master Sheet'!$C$4:$C$12,MATCH(Table1[[#This Row],[Quantity]],'Master Sheet'!$B$4:$B$12,0))</f>
        <v>3</v>
      </c>
      <c r="N792" s="71">
        <f>Table1[[#This Row],[Quantity]]*Table1[[#This Row],[Unit Price]]</f>
        <v>614979</v>
      </c>
      <c r="O792" s="73">
        <v>6.1497900000000001E-2</v>
      </c>
      <c r="P792" s="70">
        <f>Table1[[#This Row],[Gross Amount]]*(1-(Table1[[#This Row],[Discount %]]/100))</f>
        <v>596529.63</v>
      </c>
      <c r="Q792" s="74">
        <f>(Table1[[#This Row],[Gross Amount]]*(1-(Table1[[#This Row],[Discount %]]/100)))/10000000</f>
        <v>5.9652963000000003E-2</v>
      </c>
      <c r="R792" t="s">
        <v>42</v>
      </c>
      <c r="S792" t="str" cm="1">
        <f t="array" ref="S792">IFERROR(_xlfn.IFS(Table1[[#This Row],[Payment Status]]="Partial","In Transit",Table1[[#This Row],[Payment Status]]="Paid","Delivered",Table1[[#This Row],[Payment Status]]="Pending","Pending"),"Invalid Input")</f>
        <v>Pending</v>
      </c>
      <c r="T792" t="s">
        <v>27</v>
      </c>
      <c r="U792" t="str" cm="1">
        <f t="array" ref="U792">IFERROR(_xlfn.IFS(Table1[[#This Row],[Payment Status]]="Partial","In Transit",Table1[[#This Row],[Payment Status]]="Paid","Completed",Table1[[#This Row],[Payment Status]]="Pending","Pending"),"Invalid Input")</f>
        <v>Pending</v>
      </c>
    </row>
    <row r="793" spans="1:21" x14ac:dyDescent="0.25">
      <c r="A793" s="4" t="s">
        <v>1507</v>
      </c>
      <c r="B793" s="5">
        <v>45543</v>
      </c>
      <c r="C793" t="s">
        <v>62</v>
      </c>
      <c r="D793" t="s">
        <v>3271</v>
      </c>
      <c r="E793" t="s">
        <v>38</v>
      </c>
      <c r="F793" t="s">
        <v>3210</v>
      </c>
      <c r="G793" t="s">
        <v>39</v>
      </c>
      <c r="H793" t="str">
        <f>VLOOKUP(Table1[[#This Row],[City]],Table6[#All],2,FALSE)</f>
        <v>West</v>
      </c>
      <c r="I793" t="s">
        <v>58</v>
      </c>
      <c r="J793" t="str">
        <f>_xlfn.XLOOKUP(Table1[[#This Row],[Tractor Model]],Table7[Product Model],Table7[Product Category],"Not Available",0)</f>
        <v>Powertrac</v>
      </c>
      <c r="K793" s="4">
        <v>3</v>
      </c>
      <c r="L793" s="72">
        <v>876399</v>
      </c>
      <c r="M793" s="4">
        <f>INDEX('Master Sheet'!$C$4:$C$12,MATCH(Table1[[#This Row],[Quantity]],'Master Sheet'!$B$4:$B$12,0))</f>
        <v>6</v>
      </c>
      <c r="N793" s="71">
        <f>Table1[[#This Row],[Quantity]]*Table1[[#This Row],[Unit Price]]</f>
        <v>2629197</v>
      </c>
      <c r="O793" s="73">
        <v>0.26291969999999998</v>
      </c>
      <c r="P793" s="70">
        <f>Table1[[#This Row],[Gross Amount]]*(1-(Table1[[#This Row],[Discount %]]/100))</f>
        <v>2471445.1799999997</v>
      </c>
      <c r="Q793" s="74">
        <f>(Table1[[#This Row],[Gross Amount]]*(1-(Table1[[#This Row],[Discount %]]/100)))/10000000</f>
        <v>0.24714451799999998</v>
      </c>
      <c r="R793" t="s">
        <v>25</v>
      </c>
      <c r="S793" t="str" cm="1">
        <f t="array" ref="S793">IFERROR(_xlfn.IFS(Table1[[#This Row],[Payment Status]]="Partial","In Transit",Table1[[#This Row],[Payment Status]]="Paid","Delivered",Table1[[#This Row],[Payment Status]]="Pending","Pending"),"Invalid Input")</f>
        <v>In Transit</v>
      </c>
      <c r="T793" t="s">
        <v>27</v>
      </c>
      <c r="U793" t="str" cm="1">
        <f t="array" ref="U793">IFERROR(_xlfn.IFS(Table1[[#This Row],[Payment Status]]="Partial","In Transit",Table1[[#This Row],[Payment Status]]="Paid","Completed",Table1[[#This Row],[Payment Status]]="Pending","Pending"),"Invalid Input")</f>
        <v>In Transit</v>
      </c>
    </row>
    <row r="794" spans="1:21" x14ac:dyDescent="0.25">
      <c r="A794" s="4" t="s">
        <v>1509</v>
      </c>
      <c r="B794" s="5">
        <v>45614</v>
      </c>
      <c r="C794" t="s">
        <v>52</v>
      </c>
      <c r="D794" t="s">
        <v>3271</v>
      </c>
      <c r="E794" t="s">
        <v>66</v>
      </c>
      <c r="F794" t="s">
        <v>3207</v>
      </c>
      <c r="G794" t="s">
        <v>67</v>
      </c>
      <c r="H794" t="str">
        <f>VLOOKUP(Table1[[#This Row],[City]],Table6[#All],2,FALSE)</f>
        <v>East</v>
      </c>
      <c r="I794" t="s">
        <v>53</v>
      </c>
      <c r="J794" t="str">
        <f>_xlfn.XLOOKUP(Table1[[#This Row],[Tractor Model]],Table7[Product Model],Table7[Product Category],"Not Available",0)</f>
        <v>Farmtrac</v>
      </c>
      <c r="K794" s="4">
        <v>8</v>
      </c>
      <c r="L794" s="72">
        <v>558178</v>
      </c>
      <c r="M794" s="4">
        <f>INDEX('Master Sheet'!$C$4:$C$12,MATCH(Table1[[#This Row],[Quantity]],'Master Sheet'!$B$4:$B$12,0))</f>
        <v>9</v>
      </c>
      <c r="N794" s="71">
        <f>Table1[[#This Row],[Quantity]]*Table1[[#This Row],[Unit Price]]</f>
        <v>4465424</v>
      </c>
      <c r="O794" s="73">
        <v>0.44654240000000001</v>
      </c>
      <c r="P794" s="70">
        <f>Table1[[#This Row],[Gross Amount]]*(1-(Table1[[#This Row],[Discount %]]/100))</f>
        <v>4063535.8400000003</v>
      </c>
      <c r="Q794" s="74">
        <f>(Table1[[#This Row],[Gross Amount]]*(1-(Table1[[#This Row],[Discount %]]/100)))/10000000</f>
        <v>0.40635358400000005</v>
      </c>
      <c r="R794" t="s">
        <v>42</v>
      </c>
      <c r="S794" t="str" cm="1">
        <f t="array" ref="S794">IFERROR(_xlfn.IFS(Table1[[#This Row],[Payment Status]]="Partial","In Transit",Table1[[#This Row],[Payment Status]]="Paid","Delivered",Table1[[#This Row],[Payment Status]]="Pending","Pending"),"Invalid Input")</f>
        <v>Pending</v>
      </c>
      <c r="T794" t="s">
        <v>27</v>
      </c>
      <c r="U794" t="str" cm="1">
        <f t="array" ref="U794">IFERROR(_xlfn.IFS(Table1[[#This Row],[Payment Status]]="Partial","In Transit",Table1[[#This Row],[Payment Status]]="Paid","Completed",Table1[[#This Row],[Payment Status]]="Pending","Pending"),"Invalid Input")</f>
        <v>Pending</v>
      </c>
    </row>
    <row r="795" spans="1:21" x14ac:dyDescent="0.25">
      <c r="A795" s="4" t="s">
        <v>1511</v>
      </c>
      <c r="B795" s="5">
        <v>45633</v>
      </c>
      <c r="C795" t="s">
        <v>62</v>
      </c>
      <c r="D795" t="s">
        <v>3268</v>
      </c>
      <c r="E795" t="s">
        <v>66</v>
      </c>
      <c r="F795" t="s">
        <v>3211</v>
      </c>
      <c r="G795" t="s">
        <v>67</v>
      </c>
      <c r="H795" t="str">
        <f>VLOOKUP(Table1[[#This Row],[City]],Table6[#All],2,FALSE)</f>
        <v>East</v>
      </c>
      <c r="I795" t="s">
        <v>3204</v>
      </c>
      <c r="J795" t="str">
        <f>_xlfn.XLOOKUP(Table1[[#This Row],[Tractor Model]],Table7[Product Model],Table7[Product Category],"Not Available",0)</f>
        <v>Kubota</v>
      </c>
      <c r="K795" s="4">
        <v>4</v>
      </c>
      <c r="L795" s="72">
        <v>391629</v>
      </c>
      <c r="M795" s="4">
        <f>INDEX('Master Sheet'!$C$4:$C$12,MATCH(Table1[[#This Row],[Quantity]],'Master Sheet'!$B$4:$B$12,0))</f>
        <v>6</v>
      </c>
      <c r="N795" s="71">
        <f>Table1[[#This Row],[Quantity]]*Table1[[#This Row],[Unit Price]]</f>
        <v>1566516</v>
      </c>
      <c r="O795" s="73">
        <v>0.1566516</v>
      </c>
      <c r="P795" s="70">
        <f>Table1[[#This Row],[Gross Amount]]*(1-(Table1[[#This Row],[Discount %]]/100))</f>
        <v>1472525.0399999998</v>
      </c>
      <c r="Q795" s="74">
        <f>(Table1[[#This Row],[Gross Amount]]*(1-(Table1[[#This Row],[Discount %]]/100)))/10000000</f>
        <v>0.14725250399999998</v>
      </c>
      <c r="R795" t="s">
        <v>42</v>
      </c>
      <c r="S795" t="str" cm="1">
        <f t="array" ref="S795">IFERROR(_xlfn.IFS(Table1[[#This Row],[Payment Status]]="Partial","In Transit",Table1[[#This Row],[Payment Status]]="Paid","Delivered",Table1[[#This Row],[Payment Status]]="Pending","Pending"),"Invalid Input")</f>
        <v>Pending</v>
      </c>
      <c r="T795" t="s">
        <v>27</v>
      </c>
      <c r="U795" t="str" cm="1">
        <f t="array" ref="U795">IFERROR(_xlfn.IFS(Table1[[#This Row],[Payment Status]]="Partial","In Transit",Table1[[#This Row],[Payment Status]]="Paid","Completed",Table1[[#This Row],[Payment Status]]="Pending","Pending"),"Invalid Input")</f>
        <v>Pending</v>
      </c>
    </row>
    <row r="796" spans="1:21" x14ac:dyDescent="0.25">
      <c r="A796" s="4" t="s">
        <v>1512</v>
      </c>
      <c r="B796" s="5">
        <v>45496</v>
      </c>
      <c r="C796" t="s">
        <v>52</v>
      </c>
      <c r="D796" t="s">
        <v>3268</v>
      </c>
      <c r="E796" t="s">
        <v>66</v>
      </c>
      <c r="F796" t="s">
        <v>3211</v>
      </c>
      <c r="G796" t="s">
        <v>67</v>
      </c>
      <c r="H796" t="str">
        <f>VLOOKUP(Table1[[#This Row],[City]],Table6[#All],2,FALSE)</f>
        <v>East</v>
      </c>
      <c r="I796" t="s">
        <v>53</v>
      </c>
      <c r="J796" t="str">
        <f>_xlfn.XLOOKUP(Table1[[#This Row],[Tractor Model]],Table7[Product Model],Table7[Product Category],"Not Available",0)</f>
        <v>Farmtrac</v>
      </c>
      <c r="K796" s="4">
        <v>8</v>
      </c>
      <c r="L796" s="72">
        <v>889056</v>
      </c>
      <c r="M796" s="4">
        <f>INDEX('Master Sheet'!$C$4:$C$12,MATCH(Table1[[#This Row],[Quantity]],'Master Sheet'!$B$4:$B$12,0))</f>
        <v>9</v>
      </c>
      <c r="N796" s="71">
        <f>Table1[[#This Row],[Quantity]]*Table1[[#This Row],[Unit Price]]</f>
        <v>7112448</v>
      </c>
      <c r="O796" s="73">
        <v>0.71124480000000001</v>
      </c>
      <c r="P796" s="70">
        <f>Table1[[#This Row],[Gross Amount]]*(1-(Table1[[#This Row],[Discount %]]/100))</f>
        <v>6472327.6800000006</v>
      </c>
      <c r="Q796" s="74">
        <f>(Table1[[#This Row],[Gross Amount]]*(1-(Table1[[#This Row],[Discount %]]/100)))/10000000</f>
        <v>0.64723276800000007</v>
      </c>
      <c r="R796" t="s">
        <v>42</v>
      </c>
      <c r="S796" t="str" cm="1">
        <f t="array" ref="S796">IFERROR(_xlfn.IFS(Table1[[#This Row],[Payment Status]]="Partial","In Transit",Table1[[#This Row],[Payment Status]]="Paid","Delivered",Table1[[#This Row],[Payment Status]]="Pending","Pending"),"Invalid Input")</f>
        <v>Pending</v>
      </c>
      <c r="T796" t="s">
        <v>44</v>
      </c>
      <c r="U796" t="str" cm="1">
        <f t="array" ref="U796">IFERROR(_xlfn.IFS(Table1[[#This Row],[Payment Status]]="Partial","In Transit",Table1[[#This Row],[Payment Status]]="Paid","Completed",Table1[[#This Row],[Payment Status]]="Pending","Pending"),"Invalid Input")</f>
        <v>Pending</v>
      </c>
    </row>
    <row r="797" spans="1:21" x14ac:dyDescent="0.25">
      <c r="A797" s="4" t="s">
        <v>1514</v>
      </c>
      <c r="B797" s="5">
        <v>45349</v>
      </c>
      <c r="C797" t="s">
        <v>33</v>
      </c>
      <c r="D797" t="s">
        <v>3268</v>
      </c>
      <c r="E797" t="s">
        <v>38</v>
      </c>
      <c r="F797" t="s">
        <v>3219</v>
      </c>
      <c r="G797" t="s">
        <v>39</v>
      </c>
      <c r="H797" t="str">
        <f>VLOOKUP(Table1[[#This Row],[City]],Table6[#All],2,FALSE)</f>
        <v>West</v>
      </c>
      <c r="I797" t="s">
        <v>3203</v>
      </c>
      <c r="J797" t="str">
        <f>_xlfn.XLOOKUP(Table1[[#This Row],[Tractor Model]],Table7[Product Model],Table7[Product Category],"Not Available",0)</f>
        <v>Kubota</v>
      </c>
      <c r="K797" s="4">
        <v>4</v>
      </c>
      <c r="L797" s="72">
        <v>661964</v>
      </c>
      <c r="M797" s="4">
        <f>INDEX('Master Sheet'!$C$4:$C$12,MATCH(Table1[[#This Row],[Quantity]],'Master Sheet'!$B$4:$B$12,0))</f>
        <v>6</v>
      </c>
      <c r="N797" s="71">
        <f>Table1[[#This Row],[Quantity]]*Table1[[#This Row],[Unit Price]]</f>
        <v>2647856</v>
      </c>
      <c r="O797" s="73">
        <v>0.26478560000000001</v>
      </c>
      <c r="P797" s="70">
        <f>Table1[[#This Row],[Gross Amount]]*(1-(Table1[[#This Row],[Discount %]]/100))</f>
        <v>2488984.6399999997</v>
      </c>
      <c r="Q797" s="74">
        <f>(Table1[[#This Row],[Gross Amount]]*(1-(Table1[[#This Row],[Discount %]]/100)))/10000000</f>
        <v>0.24889846399999996</v>
      </c>
      <c r="R797" t="s">
        <v>54</v>
      </c>
      <c r="S797" t="str" cm="1">
        <f t="array" ref="S797">IFERROR(_xlfn.IFS(Table1[[#This Row],[Payment Status]]="Partial","In Transit",Table1[[#This Row],[Payment Status]]="Paid","Delivered",Table1[[#This Row],[Payment Status]]="Pending","Pending"),"Invalid Input")</f>
        <v>Delivered</v>
      </c>
      <c r="T797" t="s">
        <v>27</v>
      </c>
      <c r="U797" t="str" cm="1">
        <f t="array" ref="U797">IFERROR(_xlfn.IFS(Table1[[#This Row],[Payment Status]]="Partial","In Transit",Table1[[#This Row],[Payment Status]]="Paid","Completed",Table1[[#This Row],[Payment Status]]="Pending","Pending"),"Invalid Input")</f>
        <v>Completed</v>
      </c>
    </row>
    <row r="798" spans="1:21" x14ac:dyDescent="0.25">
      <c r="A798" s="4" t="s">
        <v>1516</v>
      </c>
      <c r="B798" s="5">
        <v>45678</v>
      </c>
      <c r="C798" t="s">
        <v>41</v>
      </c>
      <c r="D798" t="s">
        <v>3269</v>
      </c>
      <c r="E798" t="s">
        <v>38</v>
      </c>
      <c r="F798" t="s">
        <v>3206</v>
      </c>
      <c r="G798" t="s">
        <v>39</v>
      </c>
      <c r="H798" t="str">
        <f>VLOOKUP(Table1[[#This Row],[City]],Table6[#All],2,FALSE)</f>
        <v>West</v>
      </c>
      <c r="I798" t="s">
        <v>24</v>
      </c>
      <c r="J798" t="str">
        <f>_xlfn.XLOOKUP(Table1[[#This Row],[Tractor Model]],Table7[Product Model],Table7[Product Category],"Not Available",0)</f>
        <v>Farmtrac</v>
      </c>
      <c r="K798" s="4">
        <v>7</v>
      </c>
      <c r="L798" s="72">
        <v>131823</v>
      </c>
      <c r="M798" s="4">
        <f>INDEX('Master Sheet'!$C$4:$C$12,MATCH(Table1[[#This Row],[Quantity]],'Master Sheet'!$B$4:$B$12,0))</f>
        <v>9</v>
      </c>
      <c r="N798" s="71">
        <f>Table1[[#This Row],[Quantity]]*Table1[[#This Row],[Unit Price]]</f>
        <v>922761</v>
      </c>
      <c r="O798" s="73">
        <v>9.22761E-2</v>
      </c>
      <c r="P798" s="70">
        <f>Table1[[#This Row],[Gross Amount]]*(1-(Table1[[#This Row],[Discount %]]/100))</f>
        <v>839712.51</v>
      </c>
      <c r="Q798" s="74">
        <f>(Table1[[#This Row],[Gross Amount]]*(1-(Table1[[#This Row],[Discount %]]/100)))/10000000</f>
        <v>8.3971250999999997E-2</v>
      </c>
      <c r="R798" t="s">
        <v>54</v>
      </c>
      <c r="S798" t="str" cm="1">
        <f t="array" ref="S798">IFERROR(_xlfn.IFS(Table1[[#This Row],[Payment Status]]="Partial","In Transit",Table1[[#This Row],[Payment Status]]="Paid","Delivered",Table1[[#This Row],[Payment Status]]="Pending","Pending"),"Invalid Input")</f>
        <v>Delivered</v>
      </c>
      <c r="T798" t="s">
        <v>44</v>
      </c>
      <c r="U798" t="str" cm="1">
        <f t="array" ref="U798">IFERROR(_xlfn.IFS(Table1[[#This Row],[Payment Status]]="Partial","In Transit",Table1[[#This Row],[Payment Status]]="Paid","Completed",Table1[[#This Row],[Payment Status]]="Pending","Pending"),"Invalid Input")</f>
        <v>Completed</v>
      </c>
    </row>
    <row r="799" spans="1:21" x14ac:dyDescent="0.25">
      <c r="A799" s="4" t="s">
        <v>1518</v>
      </c>
      <c r="B799" s="5">
        <v>45478</v>
      </c>
      <c r="C799" t="s">
        <v>33</v>
      </c>
      <c r="D799" t="s">
        <v>37</v>
      </c>
      <c r="E799" t="s">
        <v>47</v>
      </c>
      <c r="F799" t="s">
        <v>3215</v>
      </c>
      <c r="G799" t="s">
        <v>48</v>
      </c>
      <c r="H799" t="str">
        <f>VLOOKUP(Table1[[#This Row],[City]],Table6[#All],2,FALSE)</f>
        <v>North</v>
      </c>
      <c r="I799" t="s">
        <v>24</v>
      </c>
      <c r="J799" t="str">
        <f>_xlfn.XLOOKUP(Table1[[#This Row],[Tractor Model]],Table7[Product Model],Table7[Product Category],"Not Available",0)</f>
        <v>Farmtrac</v>
      </c>
      <c r="K799" s="4">
        <v>2</v>
      </c>
      <c r="L799" s="72">
        <v>599084</v>
      </c>
      <c r="M799" s="4">
        <f>INDEX('Master Sheet'!$C$4:$C$12,MATCH(Table1[[#This Row],[Quantity]],'Master Sheet'!$B$4:$B$12,0))</f>
        <v>5</v>
      </c>
      <c r="N799" s="71">
        <f>Table1[[#This Row],[Quantity]]*Table1[[#This Row],[Unit Price]]</f>
        <v>1198168</v>
      </c>
      <c r="O799" s="73">
        <v>0.1198168</v>
      </c>
      <c r="P799" s="70">
        <f>Table1[[#This Row],[Gross Amount]]*(1-(Table1[[#This Row],[Discount %]]/100))</f>
        <v>1138259.5999999999</v>
      </c>
      <c r="Q799" s="74">
        <f>(Table1[[#This Row],[Gross Amount]]*(1-(Table1[[#This Row],[Discount %]]/100)))/10000000</f>
        <v>0.11382595999999999</v>
      </c>
      <c r="R799" t="s">
        <v>25</v>
      </c>
      <c r="S799" t="str" cm="1">
        <f t="array" ref="S799">IFERROR(_xlfn.IFS(Table1[[#This Row],[Payment Status]]="Partial","In Transit",Table1[[#This Row],[Payment Status]]="Paid","Delivered",Table1[[#This Row],[Payment Status]]="Pending","Pending"),"Invalid Input")</f>
        <v>In Transit</v>
      </c>
      <c r="T799" t="s">
        <v>44</v>
      </c>
      <c r="U799" t="str" cm="1">
        <f t="array" ref="U799">IFERROR(_xlfn.IFS(Table1[[#This Row],[Payment Status]]="Partial","In Transit",Table1[[#This Row],[Payment Status]]="Paid","Completed",Table1[[#This Row],[Payment Status]]="Pending","Pending"),"Invalid Input")</f>
        <v>In Transit</v>
      </c>
    </row>
    <row r="800" spans="1:21" x14ac:dyDescent="0.25">
      <c r="A800" s="4" t="s">
        <v>1519</v>
      </c>
      <c r="B800" s="5">
        <v>45577</v>
      </c>
      <c r="C800" t="s">
        <v>33</v>
      </c>
      <c r="D800" t="s">
        <v>3269</v>
      </c>
      <c r="E800" t="s">
        <v>119</v>
      </c>
      <c r="F800" t="s">
        <v>3229</v>
      </c>
      <c r="G800" t="s">
        <v>21</v>
      </c>
      <c r="H800" t="str">
        <f>VLOOKUP(Table1[[#This Row],[City]],Table6[#All],2,FALSE)</f>
        <v>North</v>
      </c>
      <c r="I800" t="s">
        <v>53</v>
      </c>
      <c r="J800" t="str">
        <f>_xlfn.XLOOKUP(Table1[[#This Row],[Tractor Model]],Table7[Product Model],Table7[Product Category],"Not Available",0)</f>
        <v>Farmtrac</v>
      </c>
      <c r="K800" s="4">
        <v>5</v>
      </c>
      <c r="L800" s="72">
        <v>204344</v>
      </c>
      <c r="M800" s="4">
        <f>INDEX('Master Sheet'!$C$4:$C$12,MATCH(Table1[[#This Row],[Quantity]],'Master Sheet'!$B$4:$B$12,0))</f>
        <v>7</v>
      </c>
      <c r="N800" s="71">
        <f>Table1[[#This Row],[Quantity]]*Table1[[#This Row],[Unit Price]]</f>
        <v>1021720</v>
      </c>
      <c r="O800" s="73">
        <v>0.102172</v>
      </c>
      <c r="P800" s="70">
        <f>Table1[[#This Row],[Gross Amount]]*(1-(Table1[[#This Row],[Discount %]]/100))</f>
        <v>950199.6</v>
      </c>
      <c r="Q800" s="74">
        <f>(Table1[[#This Row],[Gross Amount]]*(1-(Table1[[#This Row],[Discount %]]/100)))/10000000</f>
        <v>9.5019960000000001E-2</v>
      </c>
      <c r="R800" t="s">
        <v>25</v>
      </c>
      <c r="S800" t="str" cm="1">
        <f t="array" ref="S800">IFERROR(_xlfn.IFS(Table1[[#This Row],[Payment Status]]="Partial","In Transit",Table1[[#This Row],[Payment Status]]="Paid","Delivered",Table1[[#This Row],[Payment Status]]="Pending","Pending"),"Invalid Input")</f>
        <v>In Transit</v>
      </c>
      <c r="T800" t="s">
        <v>44</v>
      </c>
      <c r="U800" t="str" cm="1">
        <f t="array" ref="U800">IFERROR(_xlfn.IFS(Table1[[#This Row],[Payment Status]]="Partial","In Transit",Table1[[#This Row],[Payment Status]]="Paid","Completed",Table1[[#This Row],[Payment Status]]="Pending","Pending"),"Invalid Input")</f>
        <v>In Transit</v>
      </c>
    </row>
    <row r="801" spans="1:21" x14ac:dyDescent="0.25">
      <c r="A801" s="4" t="s">
        <v>1521</v>
      </c>
      <c r="B801" s="5">
        <v>45747</v>
      </c>
      <c r="C801" t="s">
        <v>41</v>
      </c>
      <c r="D801" t="s">
        <v>3270</v>
      </c>
      <c r="E801" t="s">
        <v>30</v>
      </c>
      <c r="F801" t="s">
        <v>3223</v>
      </c>
      <c r="G801" t="s">
        <v>31</v>
      </c>
      <c r="H801" t="str">
        <f>VLOOKUP(Table1[[#This Row],[City]],Table6[#All],2,FALSE)</f>
        <v>South</v>
      </c>
      <c r="I801" t="s">
        <v>58</v>
      </c>
      <c r="J801" t="str">
        <f>_xlfn.XLOOKUP(Table1[[#This Row],[Tractor Model]],Table7[Product Model],Table7[Product Category],"Not Available",0)</f>
        <v>Powertrac</v>
      </c>
      <c r="K801" s="4">
        <v>8</v>
      </c>
      <c r="L801" s="72">
        <v>79963</v>
      </c>
      <c r="M801" s="4">
        <f>INDEX('Master Sheet'!$C$4:$C$12,MATCH(Table1[[#This Row],[Quantity]],'Master Sheet'!$B$4:$B$12,0))</f>
        <v>9</v>
      </c>
      <c r="N801" s="71">
        <f>Table1[[#This Row],[Quantity]]*Table1[[#This Row],[Unit Price]]</f>
        <v>639704</v>
      </c>
      <c r="O801" s="73">
        <v>6.3970399999999997E-2</v>
      </c>
      <c r="P801" s="70">
        <f>Table1[[#This Row],[Gross Amount]]*(1-(Table1[[#This Row],[Discount %]]/100))</f>
        <v>582130.64</v>
      </c>
      <c r="Q801" s="74">
        <f>(Table1[[#This Row],[Gross Amount]]*(1-(Table1[[#This Row],[Discount %]]/100)))/10000000</f>
        <v>5.8213064000000002E-2</v>
      </c>
      <c r="R801" t="s">
        <v>54</v>
      </c>
      <c r="S801" t="str" cm="1">
        <f t="array" ref="S801">IFERROR(_xlfn.IFS(Table1[[#This Row],[Payment Status]]="Partial","In Transit",Table1[[#This Row],[Payment Status]]="Paid","Delivered",Table1[[#This Row],[Payment Status]]="Pending","Pending"),"Invalid Input")</f>
        <v>Delivered</v>
      </c>
      <c r="T801" t="s">
        <v>27</v>
      </c>
      <c r="U801" t="str" cm="1">
        <f t="array" ref="U801">IFERROR(_xlfn.IFS(Table1[[#This Row],[Payment Status]]="Partial","In Transit",Table1[[#This Row],[Payment Status]]="Paid","Completed",Table1[[#This Row],[Payment Status]]="Pending","Pending"),"Invalid Input")</f>
        <v>Completed</v>
      </c>
    </row>
    <row r="802" spans="1:21" x14ac:dyDescent="0.25">
      <c r="A802" s="4" t="s">
        <v>1523</v>
      </c>
      <c r="B802" s="5">
        <v>45590</v>
      </c>
      <c r="C802" t="s">
        <v>52</v>
      </c>
      <c r="D802" t="s">
        <v>3268</v>
      </c>
      <c r="E802" t="s">
        <v>30</v>
      </c>
      <c r="F802" t="s">
        <v>3208</v>
      </c>
      <c r="G802" t="s">
        <v>31</v>
      </c>
      <c r="H802" t="str">
        <f>VLOOKUP(Table1[[#This Row],[City]],Table6[#All],2,FALSE)</f>
        <v>South</v>
      </c>
      <c r="I802" t="s">
        <v>53</v>
      </c>
      <c r="J802" t="str">
        <f>_xlfn.XLOOKUP(Table1[[#This Row],[Tractor Model]],Table7[Product Model],Table7[Product Category],"Not Available",0)</f>
        <v>Farmtrac</v>
      </c>
      <c r="K802" s="4">
        <v>4</v>
      </c>
      <c r="L802" s="72">
        <v>368437</v>
      </c>
      <c r="M802" s="4">
        <f>INDEX('Master Sheet'!$C$4:$C$12,MATCH(Table1[[#This Row],[Quantity]],'Master Sheet'!$B$4:$B$12,0))</f>
        <v>6</v>
      </c>
      <c r="N802" s="71">
        <f>Table1[[#This Row],[Quantity]]*Table1[[#This Row],[Unit Price]]</f>
        <v>1473748</v>
      </c>
      <c r="O802" s="73">
        <v>0.1473748</v>
      </c>
      <c r="P802" s="70">
        <f>Table1[[#This Row],[Gross Amount]]*(1-(Table1[[#This Row],[Discount %]]/100))</f>
        <v>1385323.1199999999</v>
      </c>
      <c r="Q802" s="74">
        <f>(Table1[[#This Row],[Gross Amount]]*(1-(Table1[[#This Row],[Discount %]]/100)))/10000000</f>
        <v>0.13853231199999999</v>
      </c>
      <c r="R802" t="s">
        <v>25</v>
      </c>
      <c r="S802" t="str" cm="1">
        <f t="array" ref="S802">IFERROR(_xlfn.IFS(Table1[[#This Row],[Payment Status]]="Partial","In Transit",Table1[[#This Row],[Payment Status]]="Paid","Delivered",Table1[[#This Row],[Payment Status]]="Pending","Pending"),"Invalid Input")</f>
        <v>In Transit</v>
      </c>
      <c r="T802" t="s">
        <v>44</v>
      </c>
      <c r="U802" t="str" cm="1">
        <f t="array" ref="U802">IFERROR(_xlfn.IFS(Table1[[#This Row],[Payment Status]]="Partial","In Transit",Table1[[#This Row],[Payment Status]]="Paid","Completed",Table1[[#This Row],[Payment Status]]="Pending","Pending"),"Invalid Input")</f>
        <v>In Transit</v>
      </c>
    </row>
    <row r="803" spans="1:21" x14ac:dyDescent="0.25">
      <c r="A803" s="4" t="s">
        <v>1525</v>
      </c>
      <c r="B803" s="5">
        <v>45386</v>
      </c>
      <c r="C803" t="s">
        <v>41</v>
      </c>
      <c r="D803" t="s">
        <v>3271</v>
      </c>
      <c r="E803" t="s">
        <v>66</v>
      </c>
      <c r="F803" t="s">
        <v>3207</v>
      </c>
      <c r="G803" t="s">
        <v>67</v>
      </c>
      <c r="H803" t="str">
        <f>VLOOKUP(Table1[[#This Row],[City]],Table6[#All],2,FALSE)</f>
        <v>East</v>
      </c>
      <c r="I803" t="s">
        <v>24</v>
      </c>
      <c r="J803" t="str">
        <f>_xlfn.XLOOKUP(Table1[[#This Row],[Tractor Model]],Table7[Product Model],Table7[Product Category],"Not Available",0)</f>
        <v>Farmtrac</v>
      </c>
      <c r="K803" s="4">
        <v>1</v>
      </c>
      <c r="L803" s="72">
        <v>346412</v>
      </c>
      <c r="M803" s="4">
        <f>INDEX('Master Sheet'!$C$4:$C$12,MATCH(Table1[[#This Row],[Quantity]],'Master Sheet'!$B$4:$B$12,0))</f>
        <v>3</v>
      </c>
      <c r="N803" s="71">
        <f>Table1[[#This Row],[Quantity]]*Table1[[#This Row],[Unit Price]]</f>
        <v>346412</v>
      </c>
      <c r="O803" s="73">
        <v>3.4641199999999997E-2</v>
      </c>
      <c r="P803" s="70">
        <f>Table1[[#This Row],[Gross Amount]]*(1-(Table1[[#This Row],[Discount %]]/100))</f>
        <v>336019.64</v>
      </c>
      <c r="Q803" s="74">
        <f>(Table1[[#This Row],[Gross Amount]]*(1-(Table1[[#This Row],[Discount %]]/100)))/10000000</f>
        <v>3.3601963999999998E-2</v>
      </c>
      <c r="R803" t="s">
        <v>42</v>
      </c>
      <c r="S803" t="str" cm="1">
        <f t="array" ref="S803">IFERROR(_xlfn.IFS(Table1[[#This Row],[Payment Status]]="Partial","In Transit",Table1[[#This Row],[Payment Status]]="Paid","Delivered",Table1[[#This Row],[Payment Status]]="Pending","Pending"),"Invalid Input")</f>
        <v>Pending</v>
      </c>
      <c r="T803" t="s">
        <v>44</v>
      </c>
      <c r="U803" t="str" cm="1">
        <f t="array" ref="U803">IFERROR(_xlfn.IFS(Table1[[#This Row],[Payment Status]]="Partial","In Transit",Table1[[#This Row],[Payment Status]]="Paid","Completed",Table1[[#This Row],[Payment Status]]="Pending","Pending"),"Invalid Input")</f>
        <v>Pending</v>
      </c>
    </row>
    <row r="804" spans="1:21" x14ac:dyDescent="0.25">
      <c r="A804" s="4" t="s">
        <v>1527</v>
      </c>
      <c r="B804" s="5">
        <v>45483</v>
      </c>
      <c r="C804" t="s">
        <v>41</v>
      </c>
      <c r="D804" t="s">
        <v>37</v>
      </c>
      <c r="E804" t="s">
        <v>47</v>
      </c>
      <c r="F804" t="s">
        <v>3215</v>
      </c>
      <c r="G804" t="s">
        <v>48</v>
      </c>
      <c r="H804" t="str">
        <f>VLOOKUP(Table1[[#This Row],[City]],Table6[#All],2,FALSE)</f>
        <v>North</v>
      </c>
      <c r="I804" t="s">
        <v>24</v>
      </c>
      <c r="J804" t="str">
        <f>_xlfn.XLOOKUP(Table1[[#This Row],[Tractor Model]],Table7[Product Model],Table7[Product Category],"Not Available",0)</f>
        <v>Farmtrac</v>
      </c>
      <c r="K804" s="4">
        <v>5</v>
      </c>
      <c r="L804" s="72">
        <v>644647</v>
      </c>
      <c r="M804" s="4">
        <f>INDEX('Master Sheet'!$C$4:$C$12,MATCH(Table1[[#This Row],[Quantity]],'Master Sheet'!$B$4:$B$12,0))</f>
        <v>7</v>
      </c>
      <c r="N804" s="71">
        <f>Table1[[#This Row],[Quantity]]*Table1[[#This Row],[Unit Price]]</f>
        <v>3223235</v>
      </c>
      <c r="O804" s="73">
        <v>0.32232349999999999</v>
      </c>
      <c r="P804" s="70">
        <f>Table1[[#This Row],[Gross Amount]]*(1-(Table1[[#This Row],[Discount %]]/100))</f>
        <v>2997608.55</v>
      </c>
      <c r="Q804" s="74">
        <f>(Table1[[#This Row],[Gross Amount]]*(1-(Table1[[#This Row],[Discount %]]/100)))/10000000</f>
        <v>0.29976085499999999</v>
      </c>
      <c r="R804" t="s">
        <v>42</v>
      </c>
      <c r="S804" t="str" cm="1">
        <f t="array" ref="S804">IFERROR(_xlfn.IFS(Table1[[#This Row],[Payment Status]]="Partial","In Transit",Table1[[#This Row],[Payment Status]]="Paid","Delivered",Table1[[#This Row],[Payment Status]]="Pending","Pending"),"Invalid Input")</f>
        <v>Pending</v>
      </c>
      <c r="T804" t="s">
        <v>27</v>
      </c>
      <c r="U804" t="str" cm="1">
        <f t="array" ref="U804">IFERROR(_xlfn.IFS(Table1[[#This Row],[Payment Status]]="Partial","In Transit",Table1[[#This Row],[Payment Status]]="Paid","Completed",Table1[[#This Row],[Payment Status]]="Pending","Pending"),"Invalid Input")</f>
        <v>Pending</v>
      </c>
    </row>
    <row r="805" spans="1:21" x14ac:dyDescent="0.25">
      <c r="A805" s="4" t="s">
        <v>1529</v>
      </c>
      <c r="B805" s="5">
        <v>45792</v>
      </c>
      <c r="C805" t="s">
        <v>62</v>
      </c>
      <c r="D805" t="s">
        <v>3270</v>
      </c>
      <c r="E805" t="s">
        <v>66</v>
      </c>
      <c r="F805" t="s">
        <v>3220</v>
      </c>
      <c r="G805" t="s">
        <v>67</v>
      </c>
      <c r="H805" t="str">
        <f>VLOOKUP(Table1[[#This Row],[City]],Table6[#All],2,FALSE)</f>
        <v>East</v>
      </c>
      <c r="I805" t="s">
        <v>24</v>
      </c>
      <c r="J805" t="str">
        <f>_xlfn.XLOOKUP(Table1[[#This Row],[Tractor Model]],Table7[Product Model],Table7[Product Category],"Not Available",0)</f>
        <v>Farmtrac</v>
      </c>
      <c r="K805" s="4">
        <v>1</v>
      </c>
      <c r="L805" s="72">
        <v>625606</v>
      </c>
      <c r="M805" s="4">
        <f>INDEX('Master Sheet'!$C$4:$C$12,MATCH(Table1[[#This Row],[Quantity]],'Master Sheet'!$B$4:$B$12,0))</f>
        <v>3</v>
      </c>
      <c r="N805" s="71">
        <f>Table1[[#This Row],[Quantity]]*Table1[[#This Row],[Unit Price]]</f>
        <v>625606</v>
      </c>
      <c r="O805" s="73">
        <v>6.2560599999999994E-2</v>
      </c>
      <c r="P805" s="70">
        <f>Table1[[#This Row],[Gross Amount]]*(1-(Table1[[#This Row],[Discount %]]/100))</f>
        <v>606837.81999999995</v>
      </c>
      <c r="Q805" s="74">
        <f>(Table1[[#This Row],[Gross Amount]]*(1-(Table1[[#This Row],[Discount %]]/100)))/10000000</f>
        <v>6.0683781999999992E-2</v>
      </c>
      <c r="R805" t="s">
        <v>42</v>
      </c>
      <c r="S805" t="str" cm="1">
        <f t="array" ref="S805">IFERROR(_xlfn.IFS(Table1[[#This Row],[Payment Status]]="Partial","In Transit",Table1[[#This Row],[Payment Status]]="Paid","Delivered",Table1[[#This Row],[Payment Status]]="Pending","Pending"),"Invalid Input")</f>
        <v>Pending</v>
      </c>
      <c r="T805" t="s">
        <v>27</v>
      </c>
      <c r="U805" t="str" cm="1">
        <f t="array" ref="U805">IFERROR(_xlfn.IFS(Table1[[#This Row],[Payment Status]]="Partial","In Transit",Table1[[#This Row],[Payment Status]]="Paid","Completed",Table1[[#This Row],[Payment Status]]="Pending","Pending"),"Invalid Input")</f>
        <v>Pending</v>
      </c>
    </row>
    <row r="806" spans="1:21" x14ac:dyDescent="0.25">
      <c r="A806" s="4" t="s">
        <v>1530</v>
      </c>
      <c r="B806" s="5">
        <v>45713</v>
      </c>
      <c r="C806" t="s">
        <v>73</v>
      </c>
      <c r="D806" t="s">
        <v>3268</v>
      </c>
      <c r="E806" t="s">
        <v>119</v>
      </c>
      <c r="F806" t="s">
        <v>3227</v>
      </c>
      <c r="G806" t="s">
        <v>21</v>
      </c>
      <c r="H806" t="str">
        <f>VLOOKUP(Table1[[#This Row],[City]],Table6[#All],2,FALSE)</f>
        <v>North</v>
      </c>
      <c r="I806" t="s">
        <v>3204</v>
      </c>
      <c r="J806" t="str">
        <f>_xlfn.XLOOKUP(Table1[[#This Row],[Tractor Model]],Table7[Product Model],Table7[Product Category],"Not Available",0)</f>
        <v>Kubota</v>
      </c>
      <c r="K806" s="4">
        <v>1</v>
      </c>
      <c r="L806" s="72">
        <v>224629</v>
      </c>
      <c r="M806" s="4">
        <f>INDEX('Master Sheet'!$C$4:$C$12,MATCH(Table1[[#This Row],[Quantity]],'Master Sheet'!$B$4:$B$12,0))</f>
        <v>3</v>
      </c>
      <c r="N806" s="71">
        <f>Table1[[#This Row],[Quantity]]*Table1[[#This Row],[Unit Price]]</f>
        <v>224629</v>
      </c>
      <c r="O806" s="73">
        <v>2.2462900000000001E-2</v>
      </c>
      <c r="P806" s="70">
        <f>Table1[[#This Row],[Gross Amount]]*(1-(Table1[[#This Row],[Discount %]]/100))</f>
        <v>217890.13</v>
      </c>
      <c r="Q806" s="74">
        <f>(Table1[[#This Row],[Gross Amount]]*(1-(Table1[[#This Row],[Discount %]]/100)))/10000000</f>
        <v>2.1789012999999999E-2</v>
      </c>
      <c r="R806" t="s">
        <v>42</v>
      </c>
      <c r="S806" t="str" cm="1">
        <f t="array" ref="S806">IFERROR(_xlfn.IFS(Table1[[#This Row],[Payment Status]]="Partial","In Transit",Table1[[#This Row],[Payment Status]]="Paid","Delivered",Table1[[#This Row],[Payment Status]]="Pending","Pending"),"Invalid Input")</f>
        <v>Pending</v>
      </c>
      <c r="T806" t="s">
        <v>27</v>
      </c>
      <c r="U806" t="str" cm="1">
        <f t="array" ref="U806">IFERROR(_xlfn.IFS(Table1[[#This Row],[Payment Status]]="Partial","In Transit",Table1[[#This Row],[Payment Status]]="Paid","Completed",Table1[[#This Row],[Payment Status]]="Pending","Pending"),"Invalid Input")</f>
        <v>Pending</v>
      </c>
    </row>
    <row r="807" spans="1:21" x14ac:dyDescent="0.25">
      <c r="A807" s="4" t="s">
        <v>1531</v>
      </c>
      <c r="B807" s="5">
        <v>45775</v>
      </c>
      <c r="C807" t="s">
        <v>41</v>
      </c>
      <c r="D807" t="s">
        <v>3271</v>
      </c>
      <c r="E807" t="s">
        <v>66</v>
      </c>
      <c r="F807" t="s">
        <v>3207</v>
      </c>
      <c r="G807" t="s">
        <v>67</v>
      </c>
      <c r="H807" t="str">
        <f>VLOOKUP(Table1[[#This Row],[City]],Table6[#All],2,FALSE)</f>
        <v>East</v>
      </c>
      <c r="I807" t="s">
        <v>3203</v>
      </c>
      <c r="J807" t="str">
        <f>_xlfn.XLOOKUP(Table1[[#This Row],[Tractor Model]],Table7[Product Model],Table7[Product Category],"Not Available",0)</f>
        <v>Kubota</v>
      </c>
      <c r="K807" s="4">
        <v>6</v>
      </c>
      <c r="L807" s="72">
        <v>853809</v>
      </c>
      <c r="M807" s="4">
        <f>INDEX('Master Sheet'!$C$4:$C$12,MATCH(Table1[[#This Row],[Quantity]],'Master Sheet'!$B$4:$B$12,0))</f>
        <v>8</v>
      </c>
      <c r="N807" s="71">
        <f>Table1[[#This Row],[Quantity]]*Table1[[#This Row],[Unit Price]]</f>
        <v>5122854</v>
      </c>
      <c r="O807" s="73">
        <v>0.5122854</v>
      </c>
      <c r="P807" s="70">
        <f>Table1[[#This Row],[Gross Amount]]*(1-(Table1[[#This Row],[Discount %]]/100))</f>
        <v>4713025.6800000006</v>
      </c>
      <c r="Q807" s="74">
        <f>(Table1[[#This Row],[Gross Amount]]*(1-(Table1[[#This Row],[Discount %]]/100)))/10000000</f>
        <v>0.47130256800000009</v>
      </c>
      <c r="R807" t="s">
        <v>42</v>
      </c>
      <c r="S807" t="str" cm="1">
        <f t="array" ref="S807">IFERROR(_xlfn.IFS(Table1[[#This Row],[Payment Status]]="Partial","In Transit",Table1[[#This Row],[Payment Status]]="Paid","Delivered",Table1[[#This Row],[Payment Status]]="Pending","Pending"),"Invalid Input")</f>
        <v>Pending</v>
      </c>
      <c r="T807" t="s">
        <v>44</v>
      </c>
      <c r="U807" t="str" cm="1">
        <f t="array" ref="U807">IFERROR(_xlfn.IFS(Table1[[#This Row],[Payment Status]]="Partial","In Transit",Table1[[#This Row],[Payment Status]]="Paid","Completed",Table1[[#This Row],[Payment Status]]="Pending","Pending"),"Invalid Input")</f>
        <v>Pending</v>
      </c>
    </row>
    <row r="808" spans="1:21" x14ac:dyDescent="0.25">
      <c r="A808" s="4" t="s">
        <v>1533</v>
      </c>
      <c r="B808" s="5">
        <v>45560</v>
      </c>
      <c r="C808" t="s">
        <v>73</v>
      </c>
      <c r="D808" t="s">
        <v>3269</v>
      </c>
      <c r="E808" t="s">
        <v>30</v>
      </c>
      <c r="F808" t="s">
        <v>3225</v>
      </c>
      <c r="G808" t="s">
        <v>31</v>
      </c>
      <c r="H808" t="str">
        <f>VLOOKUP(Table1[[#This Row],[City]],Table6[#All],2,FALSE)</f>
        <v>South</v>
      </c>
      <c r="I808" t="s">
        <v>3204</v>
      </c>
      <c r="J808" t="str">
        <f>_xlfn.XLOOKUP(Table1[[#This Row],[Tractor Model]],Table7[Product Model],Table7[Product Category],"Not Available",0)</f>
        <v>Kubota</v>
      </c>
      <c r="K808" s="4">
        <v>4</v>
      </c>
      <c r="L808" s="72">
        <v>459638</v>
      </c>
      <c r="M808" s="4">
        <f>INDEX('Master Sheet'!$C$4:$C$12,MATCH(Table1[[#This Row],[Quantity]],'Master Sheet'!$B$4:$B$12,0))</f>
        <v>6</v>
      </c>
      <c r="N808" s="71">
        <f>Table1[[#This Row],[Quantity]]*Table1[[#This Row],[Unit Price]]</f>
        <v>1838552</v>
      </c>
      <c r="O808" s="73">
        <v>0.1838552</v>
      </c>
      <c r="P808" s="70">
        <f>Table1[[#This Row],[Gross Amount]]*(1-(Table1[[#This Row],[Discount %]]/100))</f>
        <v>1728238.88</v>
      </c>
      <c r="Q808" s="74">
        <f>(Table1[[#This Row],[Gross Amount]]*(1-(Table1[[#This Row],[Discount %]]/100)))/10000000</f>
        <v>0.17282388799999998</v>
      </c>
      <c r="R808" t="s">
        <v>42</v>
      </c>
      <c r="S808" t="str" cm="1">
        <f t="array" ref="S808">IFERROR(_xlfn.IFS(Table1[[#This Row],[Payment Status]]="Partial","In Transit",Table1[[#This Row],[Payment Status]]="Paid","Delivered",Table1[[#This Row],[Payment Status]]="Pending","Pending"),"Invalid Input")</f>
        <v>Pending</v>
      </c>
      <c r="T808" t="s">
        <v>27</v>
      </c>
      <c r="U808" t="str" cm="1">
        <f t="array" ref="U808">IFERROR(_xlfn.IFS(Table1[[#This Row],[Payment Status]]="Partial","In Transit",Table1[[#This Row],[Payment Status]]="Paid","Completed",Table1[[#This Row],[Payment Status]]="Pending","Pending"),"Invalid Input")</f>
        <v>Pending</v>
      </c>
    </row>
    <row r="809" spans="1:21" x14ac:dyDescent="0.25">
      <c r="A809" s="4" t="s">
        <v>1534</v>
      </c>
      <c r="B809" s="5">
        <v>45717</v>
      </c>
      <c r="C809" t="s">
        <v>73</v>
      </c>
      <c r="D809" t="s">
        <v>3269</v>
      </c>
      <c r="E809" t="s">
        <v>38</v>
      </c>
      <c r="F809" t="s">
        <v>3206</v>
      </c>
      <c r="G809" t="s">
        <v>39</v>
      </c>
      <c r="H809" t="str">
        <f>VLOOKUP(Table1[[#This Row],[City]],Table6[#All],2,FALSE)</f>
        <v>West</v>
      </c>
      <c r="I809" t="s">
        <v>53</v>
      </c>
      <c r="J809" t="str">
        <f>_xlfn.XLOOKUP(Table1[[#This Row],[Tractor Model]],Table7[Product Model],Table7[Product Category],"Not Available",0)</f>
        <v>Farmtrac</v>
      </c>
      <c r="K809" s="4">
        <v>3</v>
      </c>
      <c r="L809" s="72">
        <v>394932</v>
      </c>
      <c r="M809" s="4">
        <f>INDEX('Master Sheet'!$C$4:$C$12,MATCH(Table1[[#This Row],[Quantity]],'Master Sheet'!$B$4:$B$12,0))</f>
        <v>6</v>
      </c>
      <c r="N809" s="71">
        <f>Table1[[#This Row],[Quantity]]*Table1[[#This Row],[Unit Price]]</f>
        <v>1184796</v>
      </c>
      <c r="O809" s="73">
        <v>0.1184796</v>
      </c>
      <c r="P809" s="70">
        <f>Table1[[#This Row],[Gross Amount]]*(1-(Table1[[#This Row],[Discount %]]/100))</f>
        <v>1113708.24</v>
      </c>
      <c r="Q809" s="74">
        <f>(Table1[[#This Row],[Gross Amount]]*(1-(Table1[[#This Row],[Discount %]]/100)))/10000000</f>
        <v>0.11137082399999999</v>
      </c>
      <c r="R809" t="s">
        <v>42</v>
      </c>
      <c r="S809" t="str" cm="1">
        <f t="array" ref="S809">IFERROR(_xlfn.IFS(Table1[[#This Row],[Payment Status]]="Partial","In Transit",Table1[[#This Row],[Payment Status]]="Paid","Delivered",Table1[[#This Row],[Payment Status]]="Pending","Pending"),"Invalid Input")</f>
        <v>Pending</v>
      </c>
      <c r="T809" t="s">
        <v>44</v>
      </c>
      <c r="U809" t="str" cm="1">
        <f t="array" ref="U809">IFERROR(_xlfn.IFS(Table1[[#This Row],[Payment Status]]="Partial","In Transit",Table1[[#This Row],[Payment Status]]="Paid","Completed",Table1[[#This Row],[Payment Status]]="Pending","Pending"),"Invalid Input")</f>
        <v>Pending</v>
      </c>
    </row>
    <row r="810" spans="1:21" x14ac:dyDescent="0.25">
      <c r="A810" s="4" t="s">
        <v>1536</v>
      </c>
      <c r="B810" s="5">
        <v>45327</v>
      </c>
      <c r="C810" t="s">
        <v>62</v>
      </c>
      <c r="D810" t="s">
        <v>37</v>
      </c>
      <c r="E810" t="s">
        <v>66</v>
      </c>
      <c r="F810" t="s">
        <v>3226</v>
      </c>
      <c r="G810" t="s">
        <v>67</v>
      </c>
      <c r="H810" t="str">
        <f>VLOOKUP(Table1[[#This Row],[City]],Table6[#All],2,FALSE)</f>
        <v>East</v>
      </c>
      <c r="I810" t="s">
        <v>3203</v>
      </c>
      <c r="J810" t="str">
        <f>_xlfn.XLOOKUP(Table1[[#This Row],[Tractor Model]],Table7[Product Model],Table7[Product Category],"Not Available",0)</f>
        <v>Kubota</v>
      </c>
      <c r="K810" s="4">
        <v>7</v>
      </c>
      <c r="L810" s="72">
        <v>142911</v>
      </c>
      <c r="M810" s="4">
        <f>INDEX('Master Sheet'!$C$4:$C$12,MATCH(Table1[[#This Row],[Quantity]],'Master Sheet'!$B$4:$B$12,0))</f>
        <v>9</v>
      </c>
      <c r="N810" s="71">
        <f>Table1[[#This Row],[Quantity]]*Table1[[#This Row],[Unit Price]]</f>
        <v>1000377</v>
      </c>
      <c r="O810" s="73">
        <v>0.10003769999999999</v>
      </c>
      <c r="P810" s="70">
        <f>Table1[[#This Row],[Gross Amount]]*(1-(Table1[[#This Row],[Discount %]]/100))</f>
        <v>910343.07000000007</v>
      </c>
      <c r="Q810" s="74">
        <f>(Table1[[#This Row],[Gross Amount]]*(1-(Table1[[#This Row],[Discount %]]/100)))/10000000</f>
        <v>9.1034307000000009E-2</v>
      </c>
      <c r="R810" t="s">
        <v>25</v>
      </c>
      <c r="S810" t="str" cm="1">
        <f t="array" ref="S810">IFERROR(_xlfn.IFS(Table1[[#This Row],[Payment Status]]="Partial","In Transit",Table1[[#This Row],[Payment Status]]="Paid","Delivered",Table1[[#This Row],[Payment Status]]="Pending","Pending"),"Invalid Input")</f>
        <v>In Transit</v>
      </c>
      <c r="T810" t="s">
        <v>27</v>
      </c>
      <c r="U810" t="str" cm="1">
        <f t="array" ref="U810">IFERROR(_xlfn.IFS(Table1[[#This Row],[Payment Status]]="Partial","In Transit",Table1[[#This Row],[Payment Status]]="Paid","Completed",Table1[[#This Row],[Payment Status]]="Pending","Pending"),"Invalid Input")</f>
        <v>In Transit</v>
      </c>
    </row>
    <row r="811" spans="1:21" x14ac:dyDescent="0.25">
      <c r="A811" s="4" t="s">
        <v>1537</v>
      </c>
      <c r="B811" s="5">
        <v>45788</v>
      </c>
      <c r="C811" t="s">
        <v>52</v>
      </c>
      <c r="D811" t="s">
        <v>37</v>
      </c>
      <c r="E811" t="s">
        <v>30</v>
      </c>
      <c r="F811" t="s">
        <v>3222</v>
      </c>
      <c r="G811" t="s">
        <v>31</v>
      </c>
      <c r="H811" t="str">
        <f>VLOOKUP(Table1[[#This Row],[City]],Table6[#All],2,FALSE)</f>
        <v>South</v>
      </c>
      <c r="I811" t="s">
        <v>3203</v>
      </c>
      <c r="J811" t="str">
        <f>_xlfn.XLOOKUP(Table1[[#This Row],[Tractor Model]],Table7[Product Model],Table7[Product Category],"Not Available",0)</f>
        <v>Kubota</v>
      </c>
      <c r="K811" s="4">
        <v>7</v>
      </c>
      <c r="L811" s="72">
        <v>140428</v>
      </c>
      <c r="M811" s="4">
        <f>INDEX('Master Sheet'!$C$4:$C$12,MATCH(Table1[[#This Row],[Quantity]],'Master Sheet'!$B$4:$B$12,0))</f>
        <v>9</v>
      </c>
      <c r="N811" s="71">
        <f>Table1[[#This Row],[Quantity]]*Table1[[#This Row],[Unit Price]]</f>
        <v>982996</v>
      </c>
      <c r="O811" s="73">
        <v>9.8299600000000001E-2</v>
      </c>
      <c r="P811" s="70">
        <f>Table1[[#This Row],[Gross Amount]]*(1-(Table1[[#This Row],[Discount %]]/100))</f>
        <v>894526.36</v>
      </c>
      <c r="Q811" s="74">
        <f>(Table1[[#This Row],[Gross Amount]]*(1-(Table1[[#This Row],[Discount %]]/100)))/10000000</f>
        <v>8.9452636000000002E-2</v>
      </c>
      <c r="R811" t="s">
        <v>42</v>
      </c>
      <c r="S811" t="str" cm="1">
        <f t="array" ref="S811">IFERROR(_xlfn.IFS(Table1[[#This Row],[Payment Status]]="Partial","In Transit",Table1[[#This Row],[Payment Status]]="Paid","Delivered",Table1[[#This Row],[Payment Status]]="Pending","Pending"),"Invalid Input")</f>
        <v>Pending</v>
      </c>
      <c r="T811" t="s">
        <v>27</v>
      </c>
      <c r="U811" t="str" cm="1">
        <f t="array" ref="U811">IFERROR(_xlfn.IFS(Table1[[#This Row],[Payment Status]]="Partial","In Transit",Table1[[#This Row],[Payment Status]]="Paid","Completed",Table1[[#This Row],[Payment Status]]="Pending","Pending"),"Invalid Input")</f>
        <v>Pending</v>
      </c>
    </row>
    <row r="812" spans="1:21" x14ac:dyDescent="0.25">
      <c r="A812" s="4" t="s">
        <v>1539</v>
      </c>
      <c r="B812" s="5">
        <v>45709</v>
      </c>
      <c r="C812" t="s">
        <v>33</v>
      </c>
      <c r="D812" t="s">
        <v>3268</v>
      </c>
      <c r="E812" t="s">
        <v>119</v>
      </c>
      <c r="F812" t="s">
        <v>3227</v>
      </c>
      <c r="G812" t="s">
        <v>21</v>
      </c>
      <c r="H812" t="str">
        <f>VLOOKUP(Table1[[#This Row],[City]],Table6[#All],2,FALSE)</f>
        <v>North</v>
      </c>
      <c r="I812" t="s">
        <v>3203</v>
      </c>
      <c r="J812" t="str">
        <f>_xlfn.XLOOKUP(Table1[[#This Row],[Tractor Model]],Table7[Product Model],Table7[Product Category],"Not Available",0)</f>
        <v>Kubota</v>
      </c>
      <c r="K812" s="4">
        <v>7</v>
      </c>
      <c r="L812" s="72">
        <v>274903</v>
      </c>
      <c r="M812" s="4">
        <f>INDEX('Master Sheet'!$C$4:$C$12,MATCH(Table1[[#This Row],[Quantity]],'Master Sheet'!$B$4:$B$12,0))</f>
        <v>9</v>
      </c>
      <c r="N812" s="71">
        <f>Table1[[#This Row],[Quantity]]*Table1[[#This Row],[Unit Price]]</f>
        <v>1924321</v>
      </c>
      <c r="O812" s="73">
        <v>0.19243209999999999</v>
      </c>
      <c r="P812" s="70">
        <f>Table1[[#This Row],[Gross Amount]]*(1-(Table1[[#This Row],[Discount %]]/100))</f>
        <v>1751132.11</v>
      </c>
      <c r="Q812" s="74">
        <f>(Table1[[#This Row],[Gross Amount]]*(1-(Table1[[#This Row],[Discount %]]/100)))/10000000</f>
        <v>0.17511321100000002</v>
      </c>
      <c r="R812" t="s">
        <v>25</v>
      </c>
      <c r="S812" t="str" cm="1">
        <f t="array" ref="S812">IFERROR(_xlfn.IFS(Table1[[#This Row],[Payment Status]]="Partial","In Transit",Table1[[#This Row],[Payment Status]]="Paid","Delivered",Table1[[#This Row],[Payment Status]]="Pending","Pending"),"Invalid Input")</f>
        <v>In Transit</v>
      </c>
      <c r="T812" t="s">
        <v>27</v>
      </c>
      <c r="U812" t="str" cm="1">
        <f t="array" ref="U812">IFERROR(_xlfn.IFS(Table1[[#This Row],[Payment Status]]="Partial","In Transit",Table1[[#This Row],[Payment Status]]="Paid","Completed",Table1[[#This Row],[Payment Status]]="Pending","Pending"),"Invalid Input")</f>
        <v>In Transit</v>
      </c>
    </row>
    <row r="813" spans="1:21" x14ac:dyDescent="0.25">
      <c r="A813" s="4" t="s">
        <v>1540</v>
      </c>
      <c r="B813" s="5">
        <v>45631</v>
      </c>
      <c r="C813" t="s">
        <v>33</v>
      </c>
      <c r="D813" t="s">
        <v>3271</v>
      </c>
      <c r="E813" t="s">
        <v>38</v>
      </c>
      <c r="F813" t="s">
        <v>3210</v>
      </c>
      <c r="G813" t="s">
        <v>39</v>
      </c>
      <c r="H813" t="str">
        <f>VLOOKUP(Table1[[#This Row],[City]],Table6[#All],2,FALSE)</f>
        <v>West</v>
      </c>
      <c r="I813" t="s">
        <v>24</v>
      </c>
      <c r="J813" t="str">
        <f>_xlfn.XLOOKUP(Table1[[#This Row],[Tractor Model]],Table7[Product Model],Table7[Product Category],"Not Available",0)</f>
        <v>Farmtrac</v>
      </c>
      <c r="K813" s="4">
        <v>6</v>
      </c>
      <c r="L813" s="72">
        <v>500073</v>
      </c>
      <c r="M813" s="4">
        <f>INDEX('Master Sheet'!$C$4:$C$12,MATCH(Table1[[#This Row],[Quantity]],'Master Sheet'!$B$4:$B$12,0))</f>
        <v>8</v>
      </c>
      <c r="N813" s="71">
        <f>Table1[[#This Row],[Quantity]]*Table1[[#This Row],[Unit Price]]</f>
        <v>3000438</v>
      </c>
      <c r="O813" s="73">
        <v>0.30004380000000003</v>
      </c>
      <c r="P813" s="70">
        <f>Table1[[#This Row],[Gross Amount]]*(1-(Table1[[#This Row],[Discount %]]/100))</f>
        <v>2760402.96</v>
      </c>
      <c r="Q813" s="74">
        <f>(Table1[[#This Row],[Gross Amount]]*(1-(Table1[[#This Row],[Discount %]]/100)))/10000000</f>
        <v>0.27604029600000002</v>
      </c>
      <c r="R813" t="s">
        <v>42</v>
      </c>
      <c r="S813" t="str" cm="1">
        <f t="array" ref="S813">IFERROR(_xlfn.IFS(Table1[[#This Row],[Payment Status]]="Partial","In Transit",Table1[[#This Row],[Payment Status]]="Paid","Delivered",Table1[[#This Row],[Payment Status]]="Pending","Pending"),"Invalid Input")</f>
        <v>Pending</v>
      </c>
      <c r="T813" t="s">
        <v>27</v>
      </c>
      <c r="U813" t="str" cm="1">
        <f t="array" ref="U813">IFERROR(_xlfn.IFS(Table1[[#This Row],[Payment Status]]="Partial","In Transit",Table1[[#This Row],[Payment Status]]="Paid","Completed",Table1[[#This Row],[Payment Status]]="Pending","Pending"),"Invalid Input")</f>
        <v>Pending</v>
      </c>
    </row>
    <row r="814" spans="1:21" x14ac:dyDescent="0.25">
      <c r="A814" s="4" t="s">
        <v>1541</v>
      </c>
      <c r="B814" s="5">
        <v>45718</v>
      </c>
      <c r="C814" t="s">
        <v>73</v>
      </c>
      <c r="D814" t="s">
        <v>37</v>
      </c>
      <c r="E814" t="s">
        <v>30</v>
      </c>
      <c r="F814" t="s">
        <v>3222</v>
      </c>
      <c r="G814" t="s">
        <v>31</v>
      </c>
      <c r="H814" t="str">
        <f>VLOOKUP(Table1[[#This Row],[City]],Table6[#All],2,FALSE)</f>
        <v>South</v>
      </c>
      <c r="I814" t="s">
        <v>3203</v>
      </c>
      <c r="J814" t="str">
        <f>_xlfn.XLOOKUP(Table1[[#This Row],[Tractor Model]],Table7[Product Model],Table7[Product Category],"Not Available",0)</f>
        <v>Kubota</v>
      </c>
      <c r="K814" s="4">
        <v>1</v>
      </c>
      <c r="L814" s="72">
        <v>670039</v>
      </c>
      <c r="M814" s="4">
        <f>INDEX('Master Sheet'!$C$4:$C$12,MATCH(Table1[[#This Row],[Quantity]],'Master Sheet'!$B$4:$B$12,0))</f>
        <v>3</v>
      </c>
      <c r="N814" s="71">
        <f>Table1[[#This Row],[Quantity]]*Table1[[#This Row],[Unit Price]]</f>
        <v>670039</v>
      </c>
      <c r="O814" s="73">
        <v>6.7003900000000005E-2</v>
      </c>
      <c r="P814" s="70">
        <f>Table1[[#This Row],[Gross Amount]]*(1-(Table1[[#This Row],[Discount %]]/100))</f>
        <v>649937.82999999996</v>
      </c>
      <c r="Q814" s="74">
        <f>(Table1[[#This Row],[Gross Amount]]*(1-(Table1[[#This Row],[Discount %]]/100)))/10000000</f>
        <v>6.4993782999999999E-2</v>
      </c>
      <c r="R814" t="s">
        <v>42</v>
      </c>
      <c r="S814" t="str" cm="1">
        <f t="array" ref="S814">IFERROR(_xlfn.IFS(Table1[[#This Row],[Payment Status]]="Partial","In Transit",Table1[[#This Row],[Payment Status]]="Paid","Delivered",Table1[[#This Row],[Payment Status]]="Pending","Pending"),"Invalid Input")</f>
        <v>Pending</v>
      </c>
      <c r="T814" t="s">
        <v>27</v>
      </c>
      <c r="U814" t="str" cm="1">
        <f t="array" ref="U814">IFERROR(_xlfn.IFS(Table1[[#This Row],[Payment Status]]="Partial","In Transit",Table1[[#This Row],[Payment Status]]="Paid","Completed",Table1[[#This Row],[Payment Status]]="Pending","Pending"),"Invalid Input")</f>
        <v>Pending</v>
      </c>
    </row>
    <row r="815" spans="1:21" x14ac:dyDescent="0.25">
      <c r="A815" s="4" t="s">
        <v>1543</v>
      </c>
      <c r="B815" s="5">
        <v>45501</v>
      </c>
      <c r="C815" t="s">
        <v>73</v>
      </c>
      <c r="D815" t="s">
        <v>3270</v>
      </c>
      <c r="E815" t="s">
        <v>66</v>
      </c>
      <c r="F815" t="s">
        <v>3220</v>
      </c>
      <c r="G815" t="s">
        <v>67</v>
      </c>
      <c r="H815" t="str">
        <f>VLOOKUP(Table1[[#This Row],[City]],Table6[#All],2,FALSE)</f>
        <v>East</v>
      </c>
      <c r="I815" t="s">
        <v>3204</v>
      </c>
      <c r="J815" t="str">
        <f>_xlfn.XLOOKUP(Table1[[#This Row],[Tractor Model]],Table7[Product Model],Table7[Product Category],"Not Available",0)</f>
        <v>Kubota</v>
      </c>
      <c r="K815" s="4">
        <v>1</v>
      </c>
      <c r="L815" s="72">
        <v>879711</v>
      </c>
      <c r="M815" s="4">
        <f>INDEX('Master Sheet'!$C$4:$C$12,MATCH(Table1[[#This Row],[Quantity]],'Master Sheet'!$B$4:$B$12,0))</f>
        <v>3</v>
      </c>
      <c r="N815" s="71">
        <f>Table1[[#This Row],[Quantity]]*Table1[[#This Row],[Unit Price]]</f>
        <v>879711</v>
      </c>
      <c r="O815" s="73">
        <v>8.7971099999999997E-2</v>
      </c>
      <c r="P815" s="70">
        <f>Table1[[#This Row],[Gross Amount]]*(1-(Table1[[#This Row],[Discount %]]/100))</f>
        <v>853319.66999999993</v>
      </c>
      <c r="Q815" s="74">
        <f>(Table1[[#This Row],[Gross Amount]]*(1-(Table1[[#This Row],[Discount %]]/100)))/10000000</f>
        <v>8.5331966999999995E-2</v>
      </c>
      <c r="R815" t="s">
        <v>42</v>
      </c>
      <c r="S815" t="str" cm="1">
        <f t="array" ref="S815">IFERROR(_xlfn.IFS(Table1[[#This Row],[Payment Status]]="Partial","In Transit",Table1[[#This Row],[Payment Status]]="Paid","Delivered",Table1[[#This Row],[Payment Status]]="Pending","Pending"),"Invalid Input")</f>
        <v>Pending</v>
      </c>
      <c r="T815" t="s">
        <v>27</v>
      </c>
      <c r="U815" t="str" cm="1">
        <f t="array" ref="U815">IFERROR(_xlfn.IFS(Table1[[#This Row],[Payment Status]]="Partial","In Transit",Table1[[#This Row],[Payment Status]]="Paid","Completed",Table1[[#This Row],[Payment Status]]="Pending","Pending"),"Invalid Input")</f>
        <v>Pending</v>
      </c>
    </row>
    <row r="816" spans="1:21" x14ac:dyDescent="0.25">
      <c r="A816" s="4" t="s">
        <v>1545</v>
      </c>
      <c r="B816" s="5">
        <v>45303</v>
      </c>
      <c r="C816" t="s">
        <v>52</v>
      </c>
      <c r="D816" t="s">
        <v>3270</v>
      </c>
      <c r="E816" t="s">
        <v>47</v>
      </c>
      <c r="F816" t="s">
        <v>3205</v>
      </c>
      <c r="G816" t="s">
        <v>48</v>
      </c>
      <c r="H816" t="str">
        <f>VLOOKUP(Table1[[#This Row],[City]],Table6[#All],2,FALSE)</f>
        <v>North</v>
      </c>
      <c r="I816" t="s">
        <v>3204</v>
      </c>
      <c r="J816" t="str">
        <f>_xlfn.XLOOKUP(Table1[[#This Row],[Tractor Model]],Table7[Product Model],Table7[Product Category],"Not Available",0)</f>
        <v>Kubota</v>
      </c>
      <c r="K816" s="4">
        <v>6</v>
      </c>
      <c r="L816" s="72">
        <v>383956</v>
      </c>
      <c r="M816" s="4">
        <f>INDEX('Master Sheet'!$C$4:$C$12,MATCH(Table1[[#This Row],[Quantity]],'Master Sheet'!$B$4:$B$12,0))</f>
        <v>8</v>
      </c>
      <c r="N816" s="71">
        <f>Table1[[#This Row],[Quantity]]*Table1[[#This Row],[Unit Price]]</f>
        <v>2303736</v>
      </c>
      <c r="O816" s="73">
        <v>0.23037360000000001</v>
      </c>
      <c r="P816" s="70">
        <f>Table1[[#This Row],[Gross Amount]]*(1-(Table1[[#This Row],[Discount %]]/100))</f>
        <v>2119437.12</v>
      </c>
      <c r="Q816" s="74">
        <f>(Table1[[#This Row],[Gross Amount]]*(1-(Table1[[#This Row],[Discount %]]/100)))/10000000</f>
        <v>0.21194371200000001</v>
      </c>
      <c r="R816" t="s">
        <v>42</v>
      </c>
      <c r="S816" t="str" cm="1">
        <f t="array" ref="S816">IFERROR(_xlfn.IFS(Table1[[#This Row],[Payment Status]]="Partial","In Transit",Table1[[#This Row],[Payment Status]]="Paid","Delivered",Table1[[#This Row],[Payment Status]]="Pending","Pending"),"Invalid Input")</f>
        <v>Pending</v>
      </c>
      <c r="T816" t="s">
        <v>27</v>
      </c>
      <c r="U816" t="str" cm="1">
        <f t="array" ref="U816">IFERROR(_xlfn.IFS(Table1[[#This Row],[Payment Status]]="Partial","In Transit",Table1[[#This Row],[Payment Status]]="Paid","Completed",Table1[[#This Row],[Payment Status]]="Pending","Pending"),"Invalid Input")</f>
        <v>Pending</v>
      </c>
    </row>
    <row r="817" spans="1:21" x14ac:dyDescent="0.25">
      <c r="A817" s="4" t="s">
        <v>1546</v>
      </c>
      <c r="B817" s="5">
        <v>45484</v>
      </c>
      <c r="C817" t="s">
        <v>33</v>
      </c>
      <c r="D817" t="s">
        <v>3269</v>
      </c>
      <c r="E817" t="s">
        <v>38</v>
      </c>
      <c r="F817" t="s">
        <v>3206</v>
      </c>
      <c r="G817" t="s">
        <v>39</v>
      </c>
      <c r="H817" t="str">
        <f>VLOOKUP(Table1[[#This Row],[City]],Table6[#All],2,FALSE)</f>
        <v>West</v>
      </c>
      <c r="I817" t="s">
        <v>53</v>
      </c>
      <c r="J817" t="str">
        <f>_xlfn.XLOOKUP(Table1[[#This Row],[Tractor Model]],Table7[Product Model],Table7[Product Category],"Not Available",0)</f>
        <v>Farmtrac</v>
      </c>
      <c r="K817" s="4">
        <v>2</v>
      </c>
      <c r="L817" s="72">
        <v>425909</v>
      </c>
      <c r="M817" s="4">
        <f>INDEX('Master Sheet'!$C$4:$C$12,MATCH(Table1[[#This Row],[Quantity]],'Master Sheet'!$B$4:$B$12,0))</f>
        <v>5</v>
      </c>
      <c r="N817" s="71">
        <f>Table1[[#This Row],[Quantity]]*Table1[[#This Row],[Unit Price]]</f>
        <v>851818</v>
      </c>
      <c r="O817" s="73">
        <v>8.5181800000000002E-2</v>
      </c>
      <c r="P817" s="70">
        <f>Table1[[#This Row],[Gross Amount]]*(1-(Table1[[#This Row],[Discount %]]/100))</f>
        <v>809227.1</v>
      </c>
      <c r="Q817" s="74">
        <f>(Table1[[#This Row],[Gross Amount]]*(1-(Table1[[#This Row],[Discount %]]/100)))/10000000</f>
        <v>8.0922709999999995E-2</v>
      </c>
      <c r="R817" t="s">
        <v>54</v>
      </c>
      <c r="S817" t="str" cm="1">
        <f t="array" ref="S817">IFERROR(_xlfn.IFS(Table1[[#This Row],[Payment Status]]="Partial","In Transit",Table1[[#This Row],[Payment Status]]="Paid","Delivered",Table1[[#This Row],[Payment Status]]="Pending","Pending"),"Invalid Input")</f>
        <v>Delivered</v>
      </c>
      <c r="T817" t="s">
        <v>44</v>
      </c>
      <c r="U817" t="str" cm="1">
        <f t="array" ref="U817">IFERROR(_xlfn.IFS(Table1[[#This Row],[Payment Status]]="Partial","In Transit",Table1[[#This Row],[Payment Status]]="Paid","Completed",Table1[[#This Row],[Payment Status]]="Pending","Pending"),"Invalid Input")</f>
        <v>Completed</v>
      </c>
    </row>
    <row r="818" spans="1:21" x14ac:dyDescent="0.25">
      <c r="A818" s="4" t="s">
        <v>1548</v>
      </c>
      <c r="B818" s="5">
        <v>45512</v>
      </c>
      <c r="C818" t="s">
        <v>62</v>
      </c>
      <c r="D818" t="s">
        <v>3271</v>
      </c>
      <c r="E818" t="s">
        <v>119</v>
      </c>
      <c r="F818" t="s">
        <v>3228</v>
      </c>
      <c r="G818" t="s">
        <v>21</v>
      </c>
      <c r="H818" t="str">
        <f>VLOOKUP(Table1[[#This Row],[City]],Table6[#All],2,FALSE)</f>
        <v>North</v>
      </c>
      <c r="I818" t="s">
        <v>3203</v>
      </c>
      <c r="J818" t="str">
        <f>_xlfn.XLOOKUP(Table1[[#This Row],[Tractor Model]],Table7[Product Model],Table7[Product Category],"Not Available",0)</f>
        <v>Kubota</v>
      </c>
      <c r="K818" s="4">
        <v>7</v>
      </c>
      <c r="L818" s="72">
        <v>696498</v>
      </c>
      <c r="M818" s="4">
        <f>INDEX('Master Sheet'!$C$4:$C$12,MATCH(Table1[[#This Row],[Quantity]],'Master Sheet'!$B$4:$B$12,0))</f>
        <v>9</v>
      </c>
      <c r="N818" s="71">
        <f>Table1[[#This Row],[Quantity]]*Table1[[#This Row],[Unit Price]]</f>
        <v>4875486</v>
      </c>
      <c r="O818" s="73">
        <v>0.4875486</v>
      </c>
      <c r="P818" s="70">
        <f>Table1[[#This Row],[Gross Amount]]*(1-(Table1[[#This Row],[Discount %]]/100))</f>
        <v>4436692.26</v>
      </c>
      <c r="Q818" s="74">
        <f>(Table1[[#This Row],[Gross Amount]]*(1-(Table1[[#This Row],[Discount %]]/100)))/10000000</f>
        <v>0.44366922599999997</v>
      </c>
      <c r="R818" t="s">
        <v>42</v>
      </c>
      <c r="S818" t="str" cm="1">
        <f t="array" ref="S818">IFERROR(_xlfn.IFS(Table1[[#This Row],[Payment Status]]="Partial","In Transit",Table1[[#This Row],[Payment Status]]="Paid","Delivered",Table1[[#This Row],[Payment Status]]="Pending","Pending"),"Invalid Input")</f>
        <v>Pending</v>
      </c>
      <c r="T818" t="s">
        <v>44</v>
      </c>
      <c r="U818" t="str" cm="1">
        <f t="array" ref="U818">IFERROR(_xlfn.IFS(Table1[[#This Row],[Payment Status]]="Partial","In Transit",Table1[[#This Row],[Payment Status]]="Paid","Completed",Table1[[#This Row],[Payment Status]]="Pending","Pending"),"Invalid Input")</f>
        <v>Pending</v>
      </c>
    </row>
    <row r="819" spans="1:21" x14ac:dyDescent="0.25">
      <c r="A819" s="4" t="s">
        <v>1550</v>
      </c>
      <c r="B819" s="5">
        <v>45531</v>
      </c>
      <c r="C819" t="s">
        <v>62</v>
      </c>
      <c r="D819" t="s">
        <v>3269</v>
      </c>
      <c r="E819" t="s">
        <v>30</v>
      </c>
      <c r="F819" t="s">
        <v>3225</v>
      </c>
      <c r="G819" t="s">
        <v>31</v>
      </c>
      <c r="H819" t="str">
        <f>VLOOKUP(Table1[[#This Row],[City]],Table6[#All],2,FALSE)</f>
        <v>South</v>
      </c>
      <c r="I819" t="s">
        <v>53</v>
      </c>
      <c r="J819" t="str">
        <f>_xlfn.XLOOKUP(Table1[[#This Row],[Tractor Model]],Table7[Product Model],Table7[Product Category],"Not Available",0)</f>
        <v>Farmtrac</v>
      </c>
      <c r="K819" s="4">
        <v>5</v>
      </c>
      <c r="L819" s="72">
        <v>206113</v>
      </c>
      <c r="M819" s="4">
        <f>INDEX('Master Sheet'!$C$4:$C$12,MATCH(Table1[[#This Row],[Quantity]],'Master Sheet'!$B$4:$B$12,0))</f>
        <v>7</v>
      </c>
      <c r="N819" s="71">
        <f>Table1[[#This Row],[Quantity]]*Table1[[#This Row],[Unit Price]]</f>
        <v>1030565</v>
      </c>
      <c r="O819" s="73">
        <v>0.1030565</v>
      </c>
      <c r="P819" s="70">
        <f>Table1[[#This Row],[Gross Amount]]*(1-(Table1[[#This Row],[Discount %]]/100))</f>
        <v>958425.45</v>
      </c>
      <c r="Q819" s="74">
        <f>(Table1[[#This Row],[Gross Amount]]*(1-(Table1[[#This Row],[Discount %]]/100)))/10000000</f>
        <v>9.5842545000000001E-2</v>
      </c>
      <c r="R819" t="s">
        <v>54</v>
      </c>
      <c r="S819" t="str" cm="1">
        <f t="array" ref="S819">IFERROR(_xlfn.IFS(Table1[[#This Row],[Payment Status]]="Partial","In Transit",Table1[[#This Row],[Payment Status]]="Paid","Delivered",Table1[[#This Row],[Payment Status]]="Pending","Pending"),"Invalid Input")</f>
        <v>Delivered</v>
      </c>
      <c r="T819" t="s">
        <v>44</v>
      </c>
      <c r="U819" t="str" cm="1">
        <f t="array" ref="U819">IFERROR(_xlfn.IFS(Table1[[#This Row],[Payment Status]]="Partial","In Transit",Table1[[#This Row],[Payment Status]]="Paid","Completed",Table1[[#This Row],[Payment Status]]="Pending","Pending"),"Invalid Input")</f>
        <v>Completed</v>
      </c>
    </row>
    <row r="820" spans="1:21" x14ac:dyDescent="0.25">
      <c r="A820" s="4" t="s">
        <v>1552</v>
      </c>
      <c r="B820" s="5">
        <v>45811</v>
      </c>
      <c r="C820" t="s">
        <v>52</v>
      </c>
      <c r="D820" t="s">
        <v>3270</v>
      </c>
      <c r="E820" t="s">
        <v>66</v>
      </c>
      <c r="F820" t="s">
        <v>3220</v>
      </c>
      <c r="G820" t="s">
        <v>67</v>
      </c>
      <c r="H820" t="str">
        <f>VLOOKUP(Table1[[#This Row],[City]],Table6[#All],2,FALSE)</f>
        <v>East</v>
      </c>
      <c r="I820" t="s">
        <v>58</v>
      </c>
      <c r="J820" t="str">
        <f>_xlfn.XLOOKUP(Table1[[#This Row],[Tractor Model]],Table7[Product Model],Table7[Product Category],"Not Available",0)</f>
        <v>Powertrac</v>
      </c>
      <c r="K820" s="4">
        <v>3</v>
      </c>
      <c r="L820" s="72">
        <v>124169</v>
      </c>
      <c r="M820" s="4">
        <f>INDEX('Master Sheet'!$C$4:$C$12,MATCH(Table1[[#This Row],[Quantity]],'Master Sheet'!$B$4:$B$12,0))</f>
        <v>6</v>
      </c>
      <c r="N820" s="71">
        <f>Table1[[#This Row],[Quantity]]*Table1[[#This Row],[Unit Price]]</f>
        <v>372507</v>
      </c>
      <c r="O820" s="73">
        <v>3.7250699999999998E-2</v>
      </c>
      <c r="P820" s="70">
        <f>Table1[[#This Row],[Gross Amount]]*(1-(Table1[[#This Row],[Discount %]]/100))</f>
        <v>350156.57999999996</v>
      </c>
      <c r="Q820" s="74">
        <f>(Table1[[#This Row],[Gross Amount]]*(1-(Table1[[#This Row],[Discount %]]/100)))/10000000</f>
        <v>3.5015657999999998E-2</v>
      </c>
      <c r="R820" t="s">
        <v>25</v>
      </c>
      <c r="S820" t="str" cm="1">
        <f t="array" ref="S820">IFERROR(_xlfn.IFS(Table1[[#This Row],[Payment Status]]="Partial","In Transit",Table1[[#This Row],[Payment Status]]="Paid","Delivered",Table1[[#This Row],[Payment Status]]="Pending","Pending"),"Invalid Input")</f>
        <v>In Transit</v>
      </c>
      <c r="T820" t="s">
        <v>27</v>
      </c>
      <c r="U820" t="str" cm="1">
        <f t="array" ref="U820">IFERROR(_xlfn.IFS(Table1[[#This Row],[Payment Status]]="Partial","In Transit",Table1[[#This Row],[Payment Status]]="Paid","Completed",Table1[[#This Row],[Payment Status]]="Pending","Pending"),"Invalid Input")</f>
        <v>In Transit</v>
      </c>
    </row>
    <row r="821" spans="1:21" x14ac:dyDescent="0.25">
      <c r="A821" s="4" t="s">
        <v>1554</v>
      </c>
      <c r="B821" s="5">
        <v>45332</v>
      </c>
      <c r="C821" t="s">
        <v>62</v>
      </c>
      <c r="D821" t="s">
        <v>3271</v>
      </c>
      <c r="E821" t="s">
        <v>119</v>
      </c>
      <c r="F821" t="s">
        <v>3228</v>
      </c>
      <c r="G821" t="s">
        <v>21</v>
      </c>
      <c r="H821" t="str">
        <f>VLOOKUP(Table1[[#This Row],[City]],Table6[#All],2,FALSE)</f>
        <v>North</v>
      </c>
      <c r="I821" t="s">
        <v>3203</v>
      </c>
      <c r="J821" t="str">
        <f>_xlfn.XLOOKUP(Table1[[#This Row],[Tractor Model]],Table7[Product Model],Table7[Product Category],"Not Available",0)</f>
        <v>Kubota</v>
      </c>
      <c r="K821" s="4">
        <v>6</v>
      </c>
      <c r="L821" s="72">
        <v>176747</v>
      </c>
      <c r="M821" s="4">
        <f>INDEX('Master Sheet'!$C$4:$C$12,MATCH(Table1[[#This Row],[Quantity]],'Master Sheet'!$B$4:$B$12,0))</f>
        <v>8</v>
      </c>
      <c r="N821" s="71">
        <f>Table1[[#This Row],[Quantity]]*Table1[[#This Row],[Unit Price]]</f>
        <v>1060482</v>
      </c>
      <c r="O821" s="73">
        <v>0.1060482</v>
      </c>
      <c r="P821" s="70">
        <f>Table1[[#This Row],[Gross Amount]]*(1-(Table1[[#This Row],[Discount %]]/100))</f>
        <v>975643.44000000006</v>
      </c>
      <c r="Q821" s="74">
        <f>(Table1[[#This Row],[Gross Amount]]*(1-(Table1[[#This Row],[Discount %]]/100)))/10000000</f>
        <v>9.7564344000000011E-2</v>
      </c>
      <c r="R821" t="s">
        <v>42</v>
      </c>
      <c r="S821" t="str" cm="1">
        <f t="array" ref="S821">IFERROR(_xlfn.IFS(Table1[[#This Row],[Payment Status]]="Partial","In Transit",Table1[[#This Row],[Payment Status]]="Paid","Delivered",Table1[[#This Row],[Payment Status]]="Pending","Pending"),"Invalid Input")</f>
        <v>Pending</v>
      </c>
      <c r="T821" t="s">
        <v>44</v>
      </c>
      <c r="U821" t="str" cm="1">
        <f t="array" ref="U821">IFERROR(_xlfn.IFS(Table1[[#This Row],[Payment Status]]="Partial","In Transit",Table1[[#This Row],[Payment Status]]="Paid","Completed",Table1[[#This Row],[Payment Status]]="Pending","Pending"),"Invalid Input")</f>
        <v>Pending</v>
      </c>
    </row>
    <row r="822" spans="1:21" x14ac:dyDescent="0.25">
      <c r="A822" s="4" t="s">
        <v>1555</v>
      </c>
      <c r="B822" s="5">
        <v>45411</v>
      </c>
      <c r="C822" t="s">
        <v>73</v>
      </c>
      <c r="D822" t="s">
        <v>3268</v>
      </c>
      <c r="E822" t="s">
        <v>30</v>
      </c>
      <c r="F822" t="s">
        <v>3208</v>
      </c>
      <c r="G822" t="s">
        <v>31</v>
      </c>
      <c r="H822" t="str">
        <f>VLOOKUP(Table1[[#This Row],[City]],Table6[#All],2,FALSE)</f>
        <v>South</v>
      </c>
      <c r="I822" t="s">
        <v>58</v>
      </c>
      <c r="J822" t="str">
        <f>_xlfn.XLOOKUP(Table1[[#This Row],[Tractor Model]],Table7[Product Model],Table7[Product Category],"Not Available",0)</f>
        <v>Powertrac</v>
      </c>
      <c r="K822" s="4">
        <v>1</v>
      </c>
      <c r="L822" s="72">
        <v>72099</v>
      </c>
      <c r="M822" s="4">
        <f>INDEX('Master Sheet'!$C$4:$C$12,MATCH(Table1[[#This Row],[Quantity]],'Master Sheet'!$B$4:$B$12,0))</f>
        <v>3</v>
      </c>
      <c r="N822" s="71">
        <f>Table1[[#This Row],[Quantity]]*Table1[[#This Row],[Unit Price]]</f>
        <v>72099</v>
      </c>
      <c r="O822" s="73">
        <v>7.2099E-3</v>
      </c>
      <c r="P822" s="70">
        <f>Table1[[#This Row],[Gross Amount]]*(1-(Table1[[#This Row],[Discount %]]/100))</f>
        <v>69936.03</v>
      </c>
      <c r="Q822" s="74">
        <f>(Table1[[#This Row],[Gross Amount]]*(1-(Table1[[#This Row],[Discount %]]/100)))/10000000</f>
        <v>6.9936030000000001E-3</v>
      </c>
      <c r="R822" t="s">
        <v>54</v>
      </c>
      <c r="S822" t="str" cm="1">
        <f t="array" ref="S822">IFERROR(_xlfn.IFS(Table1[[#This Row],[Payment Status]]="Partial","In Transit",Table1[[#This Row],[Payment Status]]="Paid","Delivered",Table1[[#This Row],[Payment Status]]="Pending","Pending"),"Invalid Input")</f>
        <v>Delivered</v>
      </c>
      <c r="T822" t="s">
        <v>27</v>
      </c>
      <c r="U822" t="str" cm="1">
        <f t="array" ref="U822">IFERROR(_xlfn.IFS(Table1[[#This Row],[Payment Status]]="Partial","In Transit",Table1[[#This Row],[Payment Status]]="Paid","Completed",Table1[[#This Row],[Payment Status]]="Pending","Pending"),"Invalid Input")</f>
        <v>Completed</v>
      </c>
    </row>
    <row r="823" spans="1:21" x14ac:dyDescent="0.25">
      <c r="A823" s="4" t="s">
        <v>1556</v>
      </c>
      <c r="B823" s="5">
        <v>45469</v>
      </c>
      <c r="C823" t="s">
        <v>41</v>
      </c>
      <c r="D823" t="s">
        <v>3268</v>
      </c>
      <c r="E823" t="s">
        <v>119</v>
      </c>
      <c r="F823" t="s">
        <v>3227</v>
      </c>
      <c r="G823" t="s">
        <v>21</v>
      </c>
      <c r="H823" t="str">
        <f>VLOOKUP(Table1[[#This Row],[City]],Table6[#All],2,FALSE)</f>
        <v>North</v>
      </c>
      <c r="I823" t="s">
        <v>24</v>
      </c>
      <c r="J823" t="str">
        <f>_xlfn.XLOOKUP(Table1[[#This Row],[Tractor Model]],Table7[Product Model],Table7[Product Category],"Not Available",0)</f>
        <v>Farmtrac</v>
      </c>
      <c r="K823" s="4">
        <v>5</v>
      </c>
      <c r="L823" s="72">
        <v>592306</v>
      </c>
      <c r="M823" s="4">
        <f>INDEX('Master Sheet'!$C$4:$C$12,MATCH(Table1[[#This Row],[Quantity]],'Master Sheet'!$B$4:$B$12,0))</f>
        <v>7</v>
      </c>
      <c r="N823" s="71">
        <f>Table1[[#This Row],[Quantity]]*Table1[[#This Row],[Unit Price]]</f>
        <v>2961530</v>
      </c>
      <c r="O823" s="73">
        <v>0.296153</v>
      </c>
      <c r="P823" s="70">
        <f>Table1[[#This Row],[Gross Amount]]*(1-(Table1[[#This Row],[Discount %]]/100))</f>
        <v>2754222.9</v>
      </c>
      <c r="Q823" s="74">
        <f>(Table1[[#This Row],[Gross Amount]]*(1-(Table1[[#This Row],[Discount %]]/100)))/10000000</f>
        <v>0.27542229000000001</v>
      </c>
      <c r="R823" t="s">
        <v>54</v>
      </c>
      <c r="S823" t="str" cm="1">
        <f t="array" ref="S823">IFERROR(_xlfn.IFS(Table1[[#This Row],[Payment Status]]="Partial","In Transit",Table1[[#This Row],[Payment Status]]="Paid","Delivered",Table1[[#This Row],[Payment Status]]="Pending","Pending"),"Invalid Input")</f>
        <v>Delivered</v>
      </c>
      <c r="T823" t="s">
        <v>44</v>
      </c>
      <c r="U823" t="str" cm="1">
        <f t="array" ref="U823">IFERROR(_xlfn.IFS(Table1[[#This Row],[Payment Status]]="Partial","In Transit",Table1[[#This Row],[Payment Status]]="Paid","Completed",Table1[[#This Row],[Payment Status]]="Pending","Pending"),"Invalid Input")</f>
        <v>Completed</v>
      </c>
    </row>
    <row r="824" spans="1:21" x14ac:dyDescent="0.25">
      <c r="A824" s="4" t="s">
        <v>1557</v>
      </c>
      <c r="B824" s="5">
        <v>45436</v>
      </c>
      <c r="C824" t="s">
        <v>62</v>
      </c>
      <c r="D824" t="s">
        <v>3269</v>
      </c>
      <c r="E824" t="s">
        <v>119</v>
      </c>
      <c r="F824" t="s">
        <v>3229</v>
      </c>
      <c r="G824" t="s">
        <v>21</v>
      </c>
      <c r="H824" t="str">
        <f>VLOOKUP(Table1[[#This Row],[City]],Table6[#All],2,FALSE)</f>
        <v>North</v>
      </c>
      <c r="I824" t="s">
        <v>3203</v>
      </c>
      <c r="J824" t="str">
        <f>_xlfn.XLOOKUP(Table1[[#This Row],[Tractor Model]],Table7[Product Model],Table7[Product Category],"Not Available",0)</f>
        <v>Kubota</v>
      </c>
      <c r="K824" s="4">
        <v>1</v>
      </c>
      <c r="L824" s="72">
        <v>468906</v>
      </c>
      <c r="M824" s="4">
        <f>INDEX('Master Sheet'!$C$4:$C$12,MATCH(Table1[[#This Row],[Quantity]],'Master Sheet'!$B$4:$B$12,0))</f>
        <v>3</v>
      </c>
      <c r="N824" s="71">
        <f>Table1[[#This Row],[Quantity]]*Table1[[#This Row],[Unit Price]]</f>
        <v>468906</v>
      </c>
      <c r="O824" s="73">
        <v>4.6890599999999998E-2</v>
      </c>
      <c r="P824" s="70">
        <f>Table1[[#This Row],[Gross Amount]]*(1-(Table1[[#This Row],[Discount %]]/100))</f>
        <v>454838.82</v>
      </c>
      <c r="Q824" s="74">
        <f>(Table1[[#This Row],[Gross Amount]]*(1-(Table1[[#This Row],[Discount %]]/100)))/10000000</f>
        <v>4.5483882000000003E-2</v>
      </c>
      <c r="R824" t="s">
        <v>25</v>
      </c>
      <c r="S824" t="str" cm="1">
        <f t="array" ref="S824">IFERROR(_xlfn.IFS(Table1[[#This Row],[Payment Status]]="Partial","In Transit",Table1[[#This Row],[Payment Status]]="Paid","Delivered",Table1[[#This Row],[Payment Status]]="Pending","Pending"),"Invalid Input")</f>
        <v>In Transit</v>
      </c>
      <c r="T824" t="s">
        <v>27</v>
      </c>
      <c r="U824" t="str" cm="1">
        <f t="array" ref="U824">IFERROR(_xlfn.IFS(Table1[[#This Row],[Payment Status]]="Partial","In Transit",Table1[[#This Row],[Payment Status]]="Paid","Completed",Table1[[#This Row],[Payment Status]]="Pending","Pending"),"Invalid Input")</f>
        <v>In Transit</v>
      </c>
    </row>
    <row r="825" spans="1:21" x14ac:dyDescent="0.25">
      <c r="A825" s="4" t="s">
        <v>1559</v>
      </c>
      <c r="B825" s="5">
        <v>45380</v>
      </c>
      <c r="C825" t="s">
        <v>52</v>
      </c>
      <c r="D825" t="s">
        <v>3269</v>
      </c>
      <c r="E825" t="s">
        <v>119</v>
      </c>
      <c r="F825" t="s">
        <v>3229</v>
      </c>
      <c r="G825" t="s">
        <v>21</v>
      </c>
      <c r="H825" t="str">
        <f>VLOOKUP(Table1[[#This Row],[City]],Table6[#All],2,FALSE)</f>
        <v>North</v>
      </c>
      <c r="I825" t="s">
        <v>58</v>
      </c>
      <c r="J825" t="str">
        <f>_xlfn.XLOOKUP(Table1[[#This Row],[Tractor Model]],Table7[Product Model],Table7[Product Category],"Not Available",0)</f>
        <v>Powertrac</v>
      </c>
      <c r="K825" s="4">
        <v>2</v>
      </c>
      <c r="L825" s="72">
        <v>625394</v>
      </c>
      <c r="M825" s="4">
        <f>INDEX('Master Sheet'!$C$4:$C$12,MATCH(Table1[[#This Row],[Quantity]],'Master Sheet'!$B$4:$B$12,0))</f>
        <v>5</v>
      </c>
      <c r="N825" s="71">
        <f>Table1[[#This Row],[Quantity]]*Table1[[#This Row],[Unit Price]]</f>
        <v>1250788</v>
      </c>
      <c r="O825" s="73">
        <v>0.12507879999999999</v>
      </c>
      <c r="P825" s="70">
        <f>Table1[[#This Row],[Gross Amount]]*(1-(Table1[[#This Row],[Discount %]]/100))</f>
        <v>1188248.5999999999</v>
      </c>
      <c r="Q825" s="74">
        <f>(Table1[[#This Row],[Gross Amount]]*(1-(Table1[[#This Row],[Discount %]]/100)))/10000000</f>
        <v>0.11882485999999999</v>
      </c>
      <c r="R825" t="s">
        <v>42</v>
      </c>
      <c r="S825" t="str" cm="1">
        <f t="array" ref="S825">IFERROR(_xlfn.IFS(Table1[[#This Row],[Payment Status]]="Partial","In Transit",Table1[[#This Row],[Payment Status]]="Paid","Delivered",Table1[[#This Row],[Payment Status]]="Pending","Pending"),"Invalid Input")</f>
        <v>Pending</v>
      </c>
      <c r="T825" t="s">
        <v>27</v>
      </c>
      <c r="U825" t="str" cm="1">
        <f t="array" ref="U825">IFERROR(_xlfn.IFS(Table1[[#This Row],[Payment Status]]="Partial","In Transit",Table1[[#This Row],[Payment Status]]="Paid","Completed",Table1[[#This Row],[Payment Status]]="Pending","Pending"),"Invalid Input")</f>
        <v>Pending</v>
      </c>
    </row>
    <row r="826" spans="1:21" x14ac:dyDescent="0.25">
      <c r="A826" s="4" t="s">
        <v>1560</v>
      </c>
      <c r="B826" s="5">
        <v>45798</v>
      </c>
      <c r="C826" t="s">
        <v>62</v>
      </c>
      <c r="D826" t="s">
        <v>37</v>
      </c>
      <c r="E826" t="s">
        <v>119</v>
      </c>
      <c r="F826" t="s">
        <v>3224</v>
      </c>
      <c r="G826" t="s">
        <v>21</v>
      </c>
      <c r="H826" t="str">
        <f>VLOOKUP(Table1[[#This Row],[City]],Table6[#All],2,FALSE)</f>
        <v>North</v>
      </c>
      <c r="I826" t="s">
        <v>3204</v>
      </c>
      <c r="J826" t="str">
        <f>_xlfn.XLOOKUP(Table1[[#This Row],[Tractor Model]],Table7[Product Model],Table7[Product Category],"Not Available",0)</f>
        <v>Kubota</v>
      </c>
      <c r="K826" s="4">
        <v>5</v>
      </c>
      <c r="L826" s="72">
        <v>74441</v>
      </c>
      <c r="M826" s="4">
        <f>INDEX('Master Sheet'!$C$4:$C$12,MATCH(Table1[[#This Row],[Quantity]],'Master Sheet'!$B$4:$B$12,0))</f>
        <v>7</v>
      </c>
      <c r="N826" s="71">
        <f>Table1[[#This Row],[Quantity]]*Table1[[#This Row],[Unit Price]]</f>
        <v>372205</v>
      </c>
      <c r="O826" s="73">
        <v>3.7220499999999997E-2</v>
      </c>
      <c r="P826" s="70">
        <f>Table1[[#This Row],[Gross Amount]]*(1-(Table1[[#This Row],[Discount %]]/100))</f>
        <v>346150.64999999997</v>
      </c>
      <c r="Q826" s="74">
        <f>(Table1[[#This Row],[Gross Amount]]*(1-(Table1[[#This Row],[Discount %]]/100)))/10000000</f>
        <v>3.4615064999999993E-2</v>
      </c>
      <c r="R826" t="s">
        <v>42</v>
      </c>
      <c r="S826" t="str" cm="1">
        <f t="array" ref="S826">IFERROR(_xlfn.IFS(Table1[[#This Row],[Payment Status]]="Partial","In Transit",Table1[[#This Row],[Payment Status]]="Paid","Delivered",Table1[[#This Row],[Payment Status]]="Pending","Pending"),"Invalid Input")</f>
        <v>Pending</v>
      </c>
      <c r="T826" t="s">
        <v>44</v>
      </c>
      <c r="U826" t="str" cm="1">
        <f t="array" ref="U826">IFERROR(_xlfn.IFS(Table1[[#This Row],[Payment Status]]="Partial","In Transit",Table1[[#This Row],[Payment Status]]="Paid","Completed",Table1[[#This Row],[Payment Status]]="Pending","Pending"),"Invalid Input")</f>
        <v>Pending</v>
      </c>
    </row>
    <row r="827" spans="1:21" x14ac:dyDescent="0.25">
      <c r="A827" s="4" t="s">
        <v>1561</v>
      </c>
      <c r="B827" s="5">
        <v>45581</v>
      </c>
      <c r="C827" t="s">
        <v>33</v>
      </c>
      <c r="D827" t="s">
        <v>37</v>
      </c>
      <c r="E827" t="s">
        <v>47</v>
      </c>
      <c r="F827" t="s">
        <v>3215</v>
      </c>
      <c r="G827" t="s">
        <v>48</v>
      </c>
      <c r="H827" t="str">
        <f>VLOOKUP(Table1[[#This Row],[City]],Table6[#All],2,FALSE)</f>
        <v>North</v>
      </c>
      <c r="I827" t="s">
        <v>58</v>
      </c>
      <c r="J827" t="str">
        <f>_xlfn.XLOOKUP(Table1[[#This Row],[Tractor Model]],Table7[Product Model],Table7[Product Category],"Not Available",0)</f>
        <v>Powertrac</v>
      </c>
      <c r="K827" s="4">
        <v>4</v>
      </c>
      <c r="L827" s="72">
        <v>234082</v>
      </c>
      <c r="M827" s="4">
        <f>INDEX('Master Sheet'!$C$4:$C$12,MATCH(Table1[[#This Row],[Quantity]],'Master Sheet'!$B$4:$B$12,0))</f>
        <v>6</v>
      </c>
      <c r="N827" s="71">
        <f>Table1[[#This Row],[Quantity]]*Table1[[#This Row],[Unit Price]]</f>
        <v>936328</v>
      </c>
      <c r="O827" s="73">
        <v>9.3632800000000002E-2</v>
      </c>
      <c r="P827" s="70">
        <f>Table1[[#This Row],[Gross Amount]]*(1-(Table1[[#This Row],[Discount %]]/100))</f>
        <v>880148.32</v>
      </c>
      <c r="Q827" s="74">
        <f>(Table1[[#This Row],[Gross Amount]]*(1-(Table1[[#This Row],[Discount %]]/100)))/10000000</f>
        <v>8.8014832000000001E-2</v>
      </c>
      <c r="R827" t="s">
        <v>42</v>
      </c>
      <c r="S827" t="str" cm="1">
        <f t="array" ref="S827">IFERROR(_xlfn.IFS(Table1[[#This Row],[Payment Status]]="Partial","In Transit",Table1[[#This Row],[Payment Status]]="Paid","Delivered",Table1[[#This Row],[Payment Status]]="Pending","Pending"),"Invalid Input")</f>
        <v>Pending</v>
      </c>
      <c r="T827" t="s">
        <v>27</v>
      </c>
      <c r="U827" t="str" cm="1">
        <f t="array" ref="U827">IFERROR(_xlfn.IFS(Table1[[#This Row],[Payment Status]]="Partial","In Transit",Table1[[#This Row],[Payment Status]]="Paid","Completed",Table1[[#This Row],[Payment Status]]="Pending","Pending"),"Invalid Input")</f>
        <v>Pending</v>
      </c>
    </row>
    <row r="828" spans="1:21" x14ac:dyDescent="0.25">
      <c r="A828" s="4" t="s">
        <v>1562</v>
      </c>
      <c r="B828" s="5">
        <v>45582</v>
      </c>
      <c r="C828" t="s">
        <v>52</v>
      </c>
      <c r="D828" t="s">
        <v>3268</v>
      </c>
      <c r="E828" t="s">
        <v>30</v>
      </c>
      <c r="F828" t="s">
        <v>3208</v>
      </c>
      <c r="G828" t="s">
        <v>31</v>
      </c>
      <c r="H828" t="str">
        <f>VLOOKUP(Table1[[#This Row],[City]],Table6[#All],2,FALSE)</f>
        <v>South</v>
      </c>
      <c r="I828" t="s">
        <v>3203</v>
      </c>
      <c r="J828" t="str">
        <f>_xlfn.XLOOKUP(Table1[[#This Row],[Tractor Model]],Table7[Product Model],Table7[Product Category],"Not Available",0)</f>
        <v>Kubota</v>
      </c>
      <c r="K828" s="4">
        <v>7</v>
      </c>
      <c r="L828" s="72">
        <v>543190</v>
      </c>
      <c r="M828" s="4">
        <f>INDEX('Master Sheet'!$C$4:$C$12,MATCH(Table1[[#This Row],[Quantity]],'Master Sheet'!$B$4:$B$12,0))</f>
        <v>9</v>
      </c>
      <c r="N828" s="71">
        <f>Table1[[#This Row],[Quantity]]*Table1[[#This Row],[Unit Price]]</f>
        <v>3802330</v>
      </c>
      <c r="O828" s="73">
        <v>0.38023299999999999</v>
      </c>
      <c r="P828" s="70">
        <f>Table1[[#This Row],[Gross Amount]]*(1-(Table1[[#This Row],[Discount %]]/100))</f>
        <v>3460120.3000000003</v>
      </c>
      <c r="Q828" s="74">
        <f>(Table1[[#This Row],[Gross Amount]]*(1-(Table1[[#This Row],[Discount %]]/100)))/10000000</f>
        <v>0.34601203000000003</v>
      </c>
      <c r="R828" t="s">
        <v>54</v>
      </c>
      <c r="S828" t="str" cm="1">
        <f t="array" ref="S828">IFERROR(_xlfn.IFS(Table1[[#This Row],[Payment Status]]="Partial","In Transit",Table1[[#This Row],[Payment Status]]="Paid","Delivered",Table1[[#This Row],[Payment Status]]="Pending","Pending"),"Invalid Input")</f>
        <v>Delivered</v>
      </c>
      <c r="T828" t="s">
        <v>27</v>
      </c>
      <c r="U828" t="str" cm="1">
        <f t="array" ref="U828">IFERROR(_xlfn.IFS(Table1[[#This Row],[Payment Status]]="Partial","In Transit",Table1[[#This Row],[Payment Status]]="Paid","Completed",Table1[[#This Row],[Payment Status]]="Pending","Pending"),"Invalid Input")</f>
        <v>Completed</v>
      </c>
    </row>
    <row r="829" spans="1:21" x14ac:dyDescent="0.25">
      <c r="A829" s="4" t="s">
        <v>1563</v>
      </c>
      <c r="B829" s="5">
        <v>45366</v>
      </c>
      <c r="C829" t="s">
        <v>33</v>
      </c>
      <c r="D829" t="s">
        <v>3268</v>
      </c>
      <c r="E829" t="s">
        <v>38</v>
      </c>
      <c r="F829" t="s">
        <v>3219</v>
      </c>
      <c r="G829" t="s">
        <v>39</v>
      </c>
      <c r="H829" t="str">
        <f>VLOOKUP(Table1[[#This Row],[City]],Table6[#All],2,FALSE)</f>
        <v>West</v>
      </c>
      <c r="I829" t="s">
        <v>53</v>
      </c>
      <c r="J829" t="str">
        <f>_xlfn.XLOOKUP(Table1[[#This Row],[Tractor Model]],Table7[Product Model],Table7[Product Category],"Not Available",0)</f>
        <v>Farmtrac</v>
      </c>
      <c r="K829" s="4">
        <v>6</v>
      </c>
      <c r="L829" s="72">
        <v>657154</v>
      </c>
      <c r="M829" s="4">
        <f>INDEX('Master Sheet'!$C$4:$C$12,MATCH(Table1[[#This Row],[Quantity]],'Master Sheet'!$B$4:$B$12,0))</f>
        <v>8</v>
      </c>
      <c r="N829" s="71">
        <f>Table1[[#This Row],[Quantity]]*Table1[[#This Row],[Unit Price]]</f>
        <v>3942924</v>
      </c>
      <c r="O829" s="73">
        <v>0.39429239999999999</v>
      </c>
      <c r="P829" s="70">
        <f>Table1[[#This Row],[Gross Amount]]*(1-(Table1[[#This Row],[Discount %]]/100))</f>
        <v>3627490.08</v>
      </c>
      <c r="Q829" s="74">
        <f>(Table1[[#This Row],[Gross Amount]]*(1-(Table1[[#This Row],[Discount %]]/100)))/10000000</f>
        <v>0.36274900799999998</v>
      </c>
      <c r="R829" t="s">
        <v>42</v>
      </c>
      <c r="S829" t="str" cm="1">
        <f t="array" ref="S829">IFERROR(_xlfn.IFS(Table1[[#This Row],[Payment Status]]="Partial","In Transit",Table1[[#This Row],[Payment Status]]="Paid","Delivered",Table1[[#This Row],[Payment Status]]="Pending","Pending"),"Invalid Input")</f>
        <v>Pending</v>
      </c>
      <c r="T829" t="s">
        <v>27</v>
      </c>
      <c r="U829" t="str" cm="1">
        <f t="array" ref="U829">IFERROR(_xlfn.IFS(Table1[[#This Row],[Payment Status]]="Partial","In Transit",Table1[[#This Row],[Payment Status]]="Paid","Completed",Table1[[#This Row],[Payment Status]]="Pending","Pending"),"Invalid Input")</f>
        <v>Pending</v>
      </c>
    </row>
    <row r="830" spans="1:21" x14ac:dyDescent="0.25">
      <c r="A830" s="4" t="s">
        <v>1564</v>
      </c>
      <c r="B830" s="5">
        <v>45382</v>
      </c>
      <c r="C830" t="s">
        <v>73</v>
      </c>
      <c r="D830" t="s">
        <v>3270</v>
      </c>
      <c r="E830" t="s">
        <v>30</v>
      </c>
      <c r="F830" t="s">
        <v>3223</v>
      </c>
      <c r="G830" t="s">
        <v>31</v>
      </c>
      <c r="H830" t="str">
        <f>VLOOKUP(Table1[[#This Row],[City]],Table6[#All],2,FALSE)</f>
        <v>South</v>
      </c>
      <c r="I830" t="s">
        <v>3203</v>
      </c>
      <c r="J830" t="str">
        <f>_xlfn.XLOOKUP(Table1[[#This Row],[Tractor Model]],Table7[Product Model],Table7[Product Category],"Not Available",0)</f>
        <v>Kubota</v>
      </c>
      <c r="K830" s="4">
        <v>6</v>
      </c>
      <c r="L830" s="72">
        <v>807749</v>
      </c>
      <c r="M830" s="4">
        <f>INDEX('Master Sheet'!$C$4:$C$12,MATCH(Table1[[#This Row],[Quantity]],'Master Sheet'!$B$4:$B$12,0))</f>
        <v>8</v>
      </c>
      <c r="N830" s="71">
        <f>Table1[[#This Row],[Quantity]]*Table1[[#This Row],[Unit Price]]</f>
        <v>4846494</v>
      </c>
      <c r="O830" s="73">
        <v>0.48464940000000001</v>
      </c>
      <c r="P830" s="70">
        <f>Table1[[#This Row],[Gross Amount]]*(1-(Table1[[#This Row],[Discount %]]/100))</f>
        <v>4458774.4800000004</v>
      </c>
      <c r="Q830" s="74">
        <f>(Table1[[#This Row],[Gross Amount]]*(1-(Table1[[#This Row],[Discount %]]/100)))/10000000</f>
        <v>0.44587744800000007</v>
      </c>
      <c r="R830" t="s">
        <v>42</v>
      </c>
      <c r="S830" t="str" cm="1">
        <f t="array" ref="S830">IFERROR(_xlfn.IFS(Table1[[#This Row],[Payment Status]]="Partial","In Transit",Table1[[#This Row],[Payment Status]]="Paid","Delivered",Table1[[#This Row],[Payment Status]]="Pending","Pending"),"Invalid Input")</f>
        <v>Pending</v>
      </c>
      <c r="T830" t="s">
        <v>44</v>
      </c>
      <c r="U830" t="str" cm="1">
        <f t="array" ref="U830">IFERROR(_xlfn.IFS(Table1[[#This Row],[Payment Status]]="Partial","In Transit",Table1[[#This Row],[Payment Status]]="Paid","Completed",Table1[[#This Row],[Payment Status]]="Pending","Pending"),"Invalid Input")</f>
        <v>Pending</v>
      </c>
    </row>
    <row r="831" spans="1:21" x14ac:dyDescent="0.25">
      <c r="A831" s="4" t="s">
        <v>1566</v>
      </c>
      <c r="B831" s="5">
        <v>45792</v>
      </c>
      <c r="C831" t="s">
        <v>41</v>
      </c>
      <c r="D831" t="s">
        <v>3269</v>
      </c>
      <c r="E831" t="s">
        <v>119</v>
      </c>
      <c r="F831" t="s">
        <v>3229</v>
      </c>
      <c r="G831" t="s">
        <v>21</v>
      </c>
      <c r="H831" t="str">
        <f>VLOOKUP(Table1[[#This Row],[City]],Table6[#All],2,FALSE)</f>
        <v>North</v>
      </c>
      <c r="I831" t="s">
        <v>24</v>
      </c>
      <c r="J831" t="str">
        <f>_xlfn.XLOOKUP(Table1[[#This Row],[Tractor Model]],Table7[Product Model],Table7[Product Category],"Not Available",0)</f>
        <v>Farmtrac</v>
      </c>
      <c r="K831" s="4">
        <v>5</v>
      </c>
      <c r="L831" s="72">
        <v>561751</v>
      </c>
      <c r="M831" s="4">
        <f>INDEX('Master Sheet'!$C$4:$C$12,MATCH(Table1[[#This Row],[Quantity]],'Master Sheet'!$B$4:$B$12,0))</f>
        <v>7</v>
      </c>
      <c r="N831" s="71">
        <f>Table1[[#This Row],[Quantity]]*Table1[[#This Row],[Unit Price]]</f>
        <v>2808755</v>
      </c>
      <c r="O831" s="73">
        <v>0.2808755</v>
      </c>
      <c r="P831" s="70">
        <f>Table1[[#This Row],[Gross Amount]]*(1-(Table1[[#This Row],[Discount %]]/100))</f>
        <v>2612142.15</v>
      </c>
      <c r="Q831" s="74">
        <f>(Table1[[#This Row],[Gross Amount]]*(1-(Table1[[#This Row],[Discount %]]/100)))/10000000</f>
        <v>0.26121421499999997</v>
      </c>
      <c r="R831" t="s">
        <v>42</v>
      </c>
      <c r="S831" t="str" cm="1">
        <f t="array" ref="S831">IFERROR(_xlfn.IFS(Table1[[#This Row],[Payment Status]]="Partial","In Transit",Table1[[#This Row],[Payment Status]]="Paid","Delivered",Table1[[#This Row],[Payment Status]]="Pending","Pending"),"Invalid Input")</f>
        <v>Pending</v>
      </c>
      <c r="T831" t="s">
        <v>44</v>
      </c>
      <c r="U831" t="str" cm="1">
        <f t="array" ref="U831">IFERROR(_xlfn.IFS(Table1[[#This Row],[Payment Status]]="Partial","In Transit",Table1[[#This Row],[Payment Status]]="Paid","Completed",Table1[[#This Row],[Payment Status]]="Pending","Pending"),"Invalid Input")</f>
        <v>Pending</v>
      </c>
    </row>
    <row r="832" spans="1:21" x14ac:dyDescent="0.25">
      <c r="A832" s="4" t="s">
        <v>1568</v>
      </c>
      <c r="B832" s="5">
        <v>45775</v>
      </c>
      <c r="C832" t="s">
        <v>62</v>
      </c>
      <c r="D832" t="s">
        <v>37</v>
      </c>
      <c r="E832" t="s">
        <v>119</v>
      </c>
      <c r="F832" t="s">
        <v>3224</v>
      </c>
      <c r="G832" t="s">
        <v>21</v>
      </c>
      <c r="H832" t="str">
        <f>VLOOKUP(Table1[[#This Row],[City]],Table6[#All],2,FALSE)</f>
        <v>North</v>
      </c>
      <c r="I832" t="s">
        <v>58</v>
      </c>
      <c r="J832" t="str">
        <f>_xlfn.XLOOKUP(Table1[[#This Row],[Tractor Model]],Table7[Product Model],Table7[Product Category],"Not Available",0)</f>
        <v>Powertrac</v>
      </c>
      <c r="K832" s="4">
        <v>1</v>
      </c>
      <c r="L832" s="72">
        <v>427002</v>
      </c>
      <c r="M832" s="4">
        <f>INDEX('Master Sheet'!$C$4:$C$12,MATCH(Table1[[#This Row],[Quantity]],'Master Sheet'!$B$4:$B$12,0))</f>
        <v>3</v>
      </c>
      <c r="N832" s="71">
        <f>Table1[[#This Row],[Quantity]]*Table1[[#This Row],[Unit Price]]</f>
        <v>427002</v>
      </c>
      <c r="O832" s="73">
        <v>4.2700200000000001E-2</v>
      </c>
      <c r="P832" s="70">
        <f>Table1[[#This Row],[Gross Amount]]*(1-(Table1[[#This Row],[Discount %]]/100))</f>
        <v>414191.94</v>
      </c>
      <c r="Q832" s="74">
        <f>(Table1[[#This Row],[Gross Amount]]*(1-(Table1[[#This Row],[Discount %]]/100)))/10000000</f>
        <v>4.1419193999999999E-2</v>
      </c>
      <c r="R832" t="s">
        <v>54</v>
      </c>
      <c r="S832" t="str" cm="1">
        <f t="array" ref="S832">IFERROR(_xlfn.IFS(Table1[[#This Row],[Payment Status]]="Partial","In Transit",Table1[[#This Row],[Payment Status]]="Paid","Delivered",Table1[[#This Row],[Payment Status]]="Pending","Pending"),"Invalid Input")</f>
        <v>Delivered</v>
      </c>
      <c r="T832" t="s">
        <v>27</v>
      </c>
      <c r="U832" t="str" cm="1">
        <f t="array" ref="U832">IFERROR(_xlfn.IFS(Table1[[#This Row],[Payment Status]]="Partial","In Transit",Table1[[#This Row],[Payment Status]]="Paid","Completed",Table1[[#This Row],[Payment Status]]="Pending","Pending"),"Invalid Input")</f>
        <v>Completed</v>
      </c>
    </row>
    <row r="833" spans="1:21" x14ac:dyDescent="0.25">
      <c r="A833" s="4" t="s">
        <v>1570</v>
      </c>
      <c r="B833" s="5">
        <v>45534</v>
      </c>
      <c r="C833" t="s">
        <v>62</v>
      </c>
      <c r="D833" t="s">
        <v>3268</v>
      </c>
      <c r="E833" t="s">
        <v>119</v>
      </c>
      <c r="F833" t="s">
        <v>3227</v>
      </c>
      <c r="G833" t="s">
        <v>21</v>
      </c>
      <c r="H833" t="str">
        <f>VLOOKUP(Table1[[#This Row],[City]],Table6[#All],2,FALSE)</f>
        <v>North</v>
      </c>
      <c r="I833" t="s">
        <v>58</v>
      </c>
      <c r="J833" t="str">
        <f>_xlfn.XLOOKUP(Table1[[#This Row],[Tractor Model]],Table7[Product Model],Table7[Product Category],"Not Available",0)</f>
        <v>Powertrac</v>
      </c>
      <c r="K833" s="4">
        <v>4</v>
      </c>
      <c r="L833" s="72">
        <v>360595</v>
      </c>
      <c r="M833" s="4">
        <f>INDEX('Master Sheet'!$C$4:$C$12,MATCH(Table1[[#This Row],[Quantity]],'Master Sheet'!$B$4:$B$12,0))</f>
        <v>6</v>
      </c>
      <c r="N833" s="71">
        <f>Table1[[#This Row],[Quantity]]*Table1[[#This Row],[Unit Price]]</f>
        <v>1442380</v>
      </c>
      <c r="O833" s="73">
        <v>0.14423800000000001</v>
      </c>
      <c r="P833" s="70">
        <f>Table1[[#This Row],[Gross Amount]]*(1-(Table1[[#This Row],[Discount %]]/100))</f>
        <v>1355837.2</v>
      </c>
      <c r="Q833" s="74">
        <f>(Table1[[#This Row],[Gross Amount]]*(1-(Table1[[#This Row],[Discount %]]/100)))/10000000</f>
        <v>0.13558371999999999</v>
      </c>
      <c r="R833" t="s">
        <v>42</v>
      </c>
      <c r="S833" t="str" cm="1">
        <f t="array" ref="S833">IFERROR(_xlfn.IFS(Table1[[#This Row],[Payment Status]]="Partial","In Transit",Table1[[#This Row],[Payment Status]]="Paid","Delivered",Table1[[#This Row],[Payment Status]]="Pending","Pending"),"Invalid Input")</f>
        <v>Pending</v>
      </c>
      <c r="T833" t="s">
        <v>27</v>
      </c>
      <c r="U833" t="str" cm="1">
        <f t="array" ref="U833">IFERROR(_xlfn.IFS(Table1[[#This Row],[Payment Status]]="Partial","In Transit",Table1[[#This Row],[Payment Status]]="Paid","Completed",Table1[[#This Row],[Payment Status]]="Pending","Pending"),"Invalid Input")</f>
        <v>Pending</v>
      </c>
    </row>
    <row r="834" spans="1:21" x14ac:dyDescent="0.25">
      <c r="A834" s="4" t="s">
        <v>1571</v>
      </c>
      <c r="B834" s="5">
        <v>45299</v>
      </c>
      <c r="C834" t="s">
        <v>73</v>
      </c>
      <c r="D834" t="s">
        <v>3271</v>
      </c>
      <c r="E834" t="s">
        <v>30</v>
      </c>
      <c r="F834" t="s">
        <v>3217</v>
      </c>
      <c r="G834" t="s">
        <v>31</v>
      </c>
      <c r="H834" t="str">
        <f>VLOOKUP(Table1[[#This Row],[City]],Table6[#All],2,FALSE)</f>
        <v>South</v>
      </c>
      <c r="I834" t="s">
        <v>53</v>
      </c>
      <c r="J834" t="str">
        <f>_xlfn.XLOOKUP(Table1[[#This Row],[Tractor Model]],Table7[Product Model],Table7[Product Category],"Not Available",0)</f>
        <v>Farmtrac</v>
      </c>
      <c r="K834" s="4">
        <v>2</v>
      </c>
      <c r="L834" s="72">
        <v>399519</v>
      </c>
      <c r="M834" s="4">
        <f>INDEX('Master Sheet'!$C$4:$C$12,MATCH(Table1[[#This Row],[Quantity]],'Master Sheet'!$B$4:$B$12,0))</f>
        <v>5</v>
      </c>
      <c r="N834" s="71">
        <f>Table1[[#This Row],[Quantity]]*Table1[[#This Row],[Unit Price]]</f>
        <v>799038</v>
      </c>
      <c r="O834" s="73">
        <v>7.9903799999999997E-2</v>
      </c>
      <c r="P834" s="70">
        <f>Table1[[#This Row],[Gross Amount]]*(1-(Table1[[#This Row],[Discount %]]/100))</f>
        <v>759086.1</v>
      </c>
      <c r="Q834" s="74">
        <f>(Table1[[#This Row],[Gross Amount]]*(1-(Table1[[#This Row],[Discount %]]/100)))/10000000</f>
        <v>7.5908610000000001E-2</v>
      </c>
      <c r="R834" t="s">
        <v>42</v>
      </c>
      <c r="S834" t="str" cm="1">
        <f t="array" ref="S834">IFERROR(_xlfn.IFS(Table1[[#This Row],[Payment Status]]="Partial","In Transit",Table1[[#This Row],[Payment Status]]="Paid","Delivered",Table1[[#This Row],[Payment Status]]="Pending","Pending"),"Invalid Input")</f>
        <v>Pending</v>
      </c>
      <c r="T834" t="s">
        <v>27</v>
      </c>
      <c r="U834" t="str" cm="1">
        <f t="array" ref="U834">IFERROR(_xlfn.IFS(Table1[[#This Row],[Payment Status]]="Partial","In Transit",Table1[[#This Row],[Payment Status]]="Paid","Completed",Table1[[#This Row],[Payment Status]]="Pending","Pending"),"Invalid Input")</f>
        <v>Pending</v>
      </c>
    </row>
    <row r="835" spans="1:21" x14ac:dyDescent="0.25">
      <c r="A835" s="4" t="s">
        <v>1573</v>
      </c>
      <c r="B835" s="5">
        <v>45392</v>
      </c>
      <c r="C835" t="s">
        <v>73</v>
      </c>
      <c r="D835" t="s">
        <v>37</v>
      </c>
      <c r="E835" t="s">
        <v>38</v>
      </c>
      <c r="F835" t="s">
        <v>3214</v>
      </c>
      <c r="G835" t="s">
        <v>39</v>
      </c>
      <c r="H835" t="str">
        <f>VLOOKUP(Table1[[#This Row],[City]],Table6[#All],2,FALSE)</f>
        <v>West</v>
      </c>
      <c r="I835" t="s">
        <v>3204</v>
      </c>
      <c r="J835" t="str">
        <f>_xlfn.XLOOKUP(Table1[[#This Row],[Tractor Model]],Table7[Product Model],Table7[Product Category],"Not Available",0)</f>
        <v>Kubota</v>
      </c>
      <c r="K835" s="4">
        <v>4</v>
      </c>
      <c r="L835" s="72">
        <v>116449</v>
      </c>
      <c r="M835" s="4">
        <f>INDEX('Master Sheet'!$C$4:$C$12,MATCH(Table1[[#This Row],[Quantity]],'Master Sheet'!$B$4:$B$12,0))</f>
        <v>6</v>
      </c>
      <c r="N835" s="71">
        <f>Table1[[#This Row],[Quantity]]*Table1[[#This Row],[Unit Price]]</f>
        <v>465796</v>
      </c>
      <c r="O835" s="73">
        <v>4.6579599999999999E-2</v>
      </c>
      <c r="P835" s="70">
        <f>Table1[[#This Row],[Gross Amount]]*(1-(Table1[[#This Row],[Discount %]]/100))</f>
        <v>437848.24</v>
      </c>
      <c r="Q835" s="74">
        <f>(Table1[[#This Row],[Gross Amount]]*(1-(Table1[[#This Row],[Discount %]]/100)))/10000000</f>
        <v>4.3784824E-2</v>
      </c>
      <c r="R835" t="s">
        <v>25</v>
      </c>
      <c r="S835" t="str" cm="1">
        <f t="array" ref="S835">IFERROR(_xlfn.IFS(Table1[[#This Row],[Payment Status]]="Partial","In Transit",Table1[[#This Row],[Payment Status]]="Paid","Delivered",Table1[[#This Row],[Payment Status]]="Pending","Pending"),"Invalid Input")</f>
        <v>In Transit</v>
      </c>
      <c r="T835" t="s">
        <v>27</v>
      </c>
      <c r="U835" t="str" cm="1">
        <f t="array" ref="U835">IFERROR(_xlfn.IFS(Table1[[#This Row],[Payment Status]]="Partial","In Transit",Table1[[#This Row],[Payment Status]]="Paid","Completed",Table1[[#This Row],[Payment Status]]="Pending","Pending"),"Invalid Input")</f>
        <v>In Transit</v>
      </c>
    </row>
    <row r="836" spans="1:21" x14ac:dyDescent="0.25">
      <c r="A836" s="4" t="s">
        <v>1574</v>
      </c>
      <c r="B836" s="5">
        <v>45530</v>
      </c>
      <c r="C836" t="s">
        <v>41</v>
      </c>
      <c r="D836" t="s">
        <v>3270</v>
      </c>
      <c r="E836" t="s">
        <v>30</v>
      </c>
      <c r="F836" t="s">
        <v>3223</v>
      </c>
      <c r="G836" t="s">
        <v>31</v>
      </c>
      <c r="H836" t="str">
        <f>VLOOKUP(Table1[[#This Row],[City]],Table6[#All],2,FALSE)</f>
        <v>South</v>
      </c>
      <c r="I836" t="s">
        <v>3203</v>
      </c>
      <c r="J836" t="str">
        <f>_xlfn.XLOOKUP(Table1[[#This Row],[Tractor Model]],Table7[Product Model],Table7[Product Category],"Not Available",0)</f>
        <v>Kubota</v>
      </c>
      <c r="K836" s="4">
        <v>2</v>
      </c>
      <c r="L836" s="72">
        <v>853240</v>
      </c>
      <c r="M836" s="4">
        <f>INDEX('Master Sheet'!$C$4:$C$12,MATCH(Table1[[#This Row],[Quantity]],'Master Sheet'!$B$4:$B$12,0))</f>
        <v>5</v>
      </c>
      <c r="N836" s="71">
        <f>Table1[[#This Row],[Quantity]]*Table1[[#This Row],[Unit Price]]</f>
        <v>1706480</v>
      </c>
      <c r="O836" s="73">
        <v>0.17064799999999999</v>
      </c>
      <c r="P836" s="70">
        <f>Table1[[#This Row],[Gross Amount]]*(1-(Table1[[#This Row],[Discount %]]/100))</f>
        <v>1621156</v>
      </c>
      <c r="Q836" s="74">
        <f>(Table1[[#This Row],[Gross Amount]]*(1-(Table1[[#This Row],[Discount %]]/100)))/10000000</f>
        <v>0.1621156</v>
      </c>
      <c r="R836" t="s">
        <v>25</v>
      </c>
      <c r="S836" t="str" cm="1">
        <f t="array" ref="S836">IFERROR(_xlfn.IFS(Table1[[#This Row],[Payment Status]]="Partial","In Transit",Table1[[#This Row],[Payment Status]]="Paid","Delivered",Table1[[#This Row],[Payment Status]]="Pending","Pending"),"Invalid Input")</f>
        <v>In Transit</v>
      </c>
      <c r="T836" t="s">
        <v>44</v>
      </c>
      <c r="U836" t="str" cm="1">
        <f t="array" ref="U836">IFERROR(_xlfn.IFS(Table1[[#This Row],[Payment Status]]="Partial","In Transit",Table1[[#This Row],[Payment Status]]="Paid","Completed",Table1[[#This Row],[Payment Status]]="Pending","Pending"),"Invalid Input")</f>
        <v>In Transit</v>
      </c>
    </row>
    <row r="837" spans="1:21" x14ac:dyDescent="0.25">
      <c r="A837" s="4" t="s">
        <v>1576</v>
      </c>
      <c r="B837" s="5">
        <v>45763</v>
      </c>
      <c r="C837" t="s">
        <v>52</v>
      </c>
      <c r="D837" t="s">
        <v>3268</v>
      </c>
      <c r="E837" t="s">
        <v>30</v>
      </c>
      <c r="F837" t="s">
        <v>3208</v>
      </c>
      <c r="G837" t="s">
        <v>31</v>
      </c>
      <c r="H837" t="str">
        <f>VLOOKUP(Table1[[#This Row],[City]],Table6[#All],2,FALSE)</f>
        <v>South</v>
      </c>
      <c r="I837" t="s">
        <v>3204</v>
      </c>
      <c r="J837" t="str">
        <f>_xlfn.XLOOKUP(Table1[[#This Row],[Tractor Model]],Table7[Product Model],Table7[Product Category],"Not Available",0)</f>
        <v>Kubota</v>
      </c>
      <c r="K837" s="4">
        <v>1</v>
      </c>
      <c r="L837" s="72">
        <v>759613</v>
      </c>
      <c r="M837" s="4">
        <f>INDEX('Master Sheet'!$C$4:$C$12,MATCH(Table1[[#This Row],[Quantity]],'Master Sheet'!$B$4:$B$12,0))</f>
        <v>3</v>
      </c>
      <c r="N837" s="71">
        <f>Table1[[#This Row],[Quantity]]*Table1[[#This Row],[Unit Price]]</f>
        <v>759613</v>
      </c>
      <c r="O837" s="73">
        <v>7.5961299999999995E-2</v>
      </c>
      <c r="P837" s="70">
        <f>Table1[[#This Row],[Gross Amount]]*(1-(Table1[[#This Row],[Discount %]]/100))</f>
        <v>736824.61</v>
      </c>
      <c r="Q837" s="74">
        <f>(Table1[[#This Row],[Gross Amount]]*(1-(Table1[[#This Row],[Discount %]]/100)))/10000000</f>
        <v>7.3682461000000005E-2</v>
      </c>
      <c r="R837" t="s">
        <v>42</v>
      </c>
      <c r="S837" t="str" cm="1">
        <f t="array" ref="S837">IFERROR(_xlfn.IFS(Table1[[#This Row],[Payment Status]]="Partial","In Transit",Table1[[#This Row],[Payment Status]]="Paid","Delivered",Table1[[#This Row],[Payment Status]]="Pending","Pending"),"Invalid Input")</f>
        <v>Pending</v>
      </c>
      <c r="T837" t="s">
        <v>27</v>
      </c>
      <c r="U837" t="str" cm="1">
        <f t="array" ref="U837">IFERROR(_xlfn.IFS(Table1[[#This Row],[Payment Status]]="Partial","In Transit",Table1[[#This Row],[Payment Status]]="Paid","Completed",Table1[[#This Row],[Payment Status]]="Pending","Pending"),"Invalid Input")</f>
        <v>Pending</v>
      </c>
    </row>
    <row r="838" spans="1:21" x14ac:dyDescent="0.25">
      <c r="A838" s="4" t="s">
        <v>1577</v>
      </c>
      <c r="B838" s="5">
        <v>45491</v>
      </c>
      <c r="C838" t="s">
        <v>73</v>
      </c>
      <c r="D838" t="s">
        <v>3270</v>
      </c>
      <c r="E838" t="s">
        <v>119</v>
      </c>
      <c r="F838" t="s">
        <v>3212</v>
      </c>
      <c r="G838" t="s">
        <v>21</v>
      </c>
      <c r="H838" t="str">
        <f>VLOOKUP(Table1[[#This Row],[City]],Table6[#All],2,FALSE)</f>
        <v>North</v>
      </c>
      <c r="I838" t="s">
        <v>24</v>
      </c>
      <c r="J838" t="str">
        <f>_xlfn.XLOOKUP(Table1[[#This Row],[Tractor Model]],Table7[Product Model],Table7[Product Category],"Not Available",0)</f>
        <v>Farmtrac</v>
      </c>
      <c r="K838" s="4">
        <v>3</v>
      </c>
      <c r="L838" s="72">
        <v>441954</v>
      </c>
      <c r="M838" s="4">
        <f>INDEX('Master Sheet'!$C$4:$C$12,MATCH(Table1[[#This Row],[Quantity]],'Master Sheet'!$B$4:$B$12,0))</f>
        <v>6</v>
      </c>
      <c r="N838" s="71">
        <f>Table1[[#This Row],[Quantity]]*Table1[[#This Row],[Unit Price]]</f>
        <v>1325862</v>
      </c>
      <c r="O838" s="73">
        <v>0.13258619999999999</v>
      </c>
      <c r="P838" s="70">
        <f>Table1[[#This Row],[Gross Amount]]*(1-(Table1[[#This Row],[Discount %]]/100))</f>
        <v>1246310.28</v>
      </c>
      <c r="Q838" s="74">
        <f>(Table1[[#This Row],[Gross Amount]]*(1-(Table1[[#This Row],[Discount %]]/100)))/10000000</f>
        <v>0.124631028</v>
      </c>
      <c r="R838" t="s">
        <v>25</v>
      </c>
      <c r="S838" t="str" cm="1">
        <f t="array" ref="S838">IFERROR(_xlfn.IFS(Table1[[#This Row],[Payment Status]]="Partial","In Transit",Table1[[#This Row],[Payment Status]]="Paid","Delivered",Table1[[#This Row],[Payment Status]]="Pending","Pending"),"Invalid Input")</f>
        <v>In Transit</v>
      </c>
      <c r="T838" t="s">
        <v>27</v>
      </c>
      <c r="U838" t="str" cm="1">
        <f t="array" ref="U838">IFERROR(_xlfn.IFS(Table1[[#This Row],[Payment Status]]="Partial","In Transit",Table1[[#This Row],[Payment Status]]="Paid","Completed",Table1[[#This Row],[Payment Status]]="Pending","Pending"),"Invalid Input")</f>
        <v>In Transit</v>
      </c>
    </row>
    <row r="839" spans="1:21" x14ac:dyDescent="0.25">
      <c r="A839" s="4" t="s">
        <v>1578</v>
      </c>
      <c r="B839" s="5">
        <v>45521</v>
      </c>
      <c r="C839" t="s">
        <v>33</v>
      </c>
      <c r="D839" t="s">
        <v>3269</v>
      </c>
      <c r="E839" t="s">
        <v>66</v>
      </c>
      <c r="F839" t="s">
        <v>3213</v>
      </c>
      <c r="G839" t="s">
        <v>67</v>
      </c>
      <c r="H839" t="str">
        <f>VLOOKUP(Table1[[#This Row],[City]],Table6[#All],2,FALSE)</f>
        <v>East</v>
      </c>
      <c r="I839" t="s">
        <v>53</v>
      </c>
      <c r="J839" t="str">
        <f>_xlfn.XLOOKUP(Table1[[#This Row],[Tractor Model]],Table7[Product Model],Table7[Product Category],"Not Available",0)</f>
        <v>Farmtrac</v>
      </c>
      <c r="K839" s="4">
        <v>1</v>
      </c>
      <c r="L839" s="72">
        <v>399397</v>
      </c>
      <c r="M839" s="4">
        <f>INDEX('Master Sheet'!$C$4:$C$12,MATCH(Table1[[#This Row],[Quantity]],'Master Sheet'!$B$4:$B$12,0))</f>
        <v>3</v>
      </c>
      <c r="N839" s="71">
        <f>Table1[[#This Row],[Quantity]]*Table1[[#This Row],[Unit Price]]</f>
        <v>399397</v>
      </c>
      <c r="O839" s="73">
        <v>3.9939700000000002E-2</v>
      </c>
      <c r="P839" s="70">
        <f>Table1[[#This Row],[Gross Amount]]*(1-(Table1[[#This Row],[Discount %]]/100))</f>
        <v>387415.08999999997</v>
      </c>
      <c r="Q839" s="74">
        <f>(Table1[[#This Row],[Gross Amount]]*(1-(Table1[[#This Row],[Discount %]]/100)))/10000000</f>
        <v>3.8741508999999993E-2</v>
      </c>
      <c r="R839" t="s">
        <v>42</v>
      </c>
      <c r="S839" t="str" cm="1">
        <f t="array" ref="S839">IFERROR(_xlfn.IFS(Table1[[#This Row],[Payment Status]]="Partial","In Transit",Table1[[#This Row],[Payment Status]]="Paid","Delivered",Table1[[#This Row],[Payment Status]]="Pending","Pending"),"Invalid Input")</f>
        <v>Pending</v>
      </c>
      <c r="T839" t="s">
        <v>27</v>
      </c>
      <c r="U839" t="str" cm="1">
        <f t="array" ref="U839">IFERROR(_xlfn.IFS(Table1[[#This Row],[Payment Status]]="Partial","In Transit",Table1[[#This Row],[Payment Status]]="Paid","Completed",Table1[[#This Row],[Payment Status]]="Pending","Pending"),"Invalid Input")</f>
        <v>Pending</v>
      </c>
    </row>
    <row r="840" spans="1:21" x14ac:dyDescent="0.25">
      <c r="A840" s="4" t="s">
        <v>1580</v>
      </c>
      <c r="B840" s="5">
        <v>45629</v>
      </c>
      <c r="C840" t="s">
        <v>52</v>
      </c>
      <c r="D840" t="s">
        <v>3268</v>
      </c>
      <c r="E840" t="s">
        <v>119</v>
      </c>
      <c r="F840" t="s">
        <v>3227</v>
      </c>
      <c r="G840" t="s">
        <v>21</v>
      </c>
      <c r="H840" t="str">
        <f>VLOOKUP(Table1[[#This Row],[City]],Table6[#All],2,FALSE)</f>
        <v>North</v>
      </c>
      <c r="I840" t="s">
        <v>58</v>
      </c>
      <c r="J840" t="str">
        <f>_xlfn.XLOOKUP(Table1[[#This Row],[Tractor Model]],Table7[Product Model],Table7[Product Category],"Not Available",0)</f>
        <v>Powertrac</v>
      </c>
      <c r="K840" s="4">
        <v>1</v>
      </c>
      <c r="L840" s="72">
        <v>463458</v>
      </c>
      <c r="M840" s="4">
        <f>INDEX('Master Sheet'!$C$4:$C$12,MATCH(Table1[[#This Row],[Quantity]],'Master Sheet'!$B$4:$B$12,0))</f>
        <v>3</v>
      </c>
      <c r="N840" s="71">
        <f>Table1[[#This Row],[Quantity]]*Table1[[#This Row],[Unit Price]]</f>
        <v>463458</v>
      </c>
      <c r="O840" s="73">
        <v>4.6345799999999999E-2</v>
      </c>
      <c r="P840" s="70">
        <f>Table1[[#This Row],[Gross Amount]]*(1-(Table1[[#This Row],[Discount %]]/100))</f>
        <v>449554.26</v>
      </c>
      <c r="Q840" s="74">
        <f>(Table1[[#This Row],[Gross Amount]]*(1-(Table1[[#This Row],[Discount %]]/100)))/10000000</f>
        <v>4.4955426E-2</v>
      </c>
      <c r="R840" t="s">
        <v>54</v>
      </c>
      <c r="S840" t="str" cm="1">
        <f t="array" ref="S840">IFERROR(_xlfn.IFS(Table1[[#This Row],[Payment Status]]="Partial","In Transit",Table1[[#This Row],[Payment Status]]="Paid","Delivered",Table1[[#This Row],[Payment Status]]="Pending","Pending"),"Invalid Input")</f>
        <v>Delivered</v>
      </c>
      <c r="T840" t="s">
        <v>44</v>
      </c>
      <c r="U840" t="str" cm="1">
        <f t="array" ref="U840">IFERROR(_xlfn.IFS(Table1[[#This Row],[Payment Status]]="Partial","In Transit",Table1[[#This Row],[Payment Status]]="Paid","Completed",Table1[[#This Row],[Payment Status]]="Pending","Pending"),"Invalid Input")</f>
        <v>Completed</v>
      </c>
    </row>
    <row r="841" spans="1:21" x14ac:dyDescent="0.25">
      <c r="A841" s="4" t="s">
        <v>1582</v>
      </c>
      <c r="B841" s="5">
        <v>45630</v>
      </c>
      <c r="C841" t="s">
        <v>73</v>
      </c>
      <c r="D841" t="s">
        <v>3268</v>
      </c>
      <c r="E841" t="s">
        <v>47</v>
      </c>
      <c r="F841" t="s">
        <v>3216</v>
      </c>
      <c r="G841" t="s">
        <v>48</v>
      </c>
      <c r="H841" t="str">
        <f>VLOOKUP(Table1[[#This Row],[City]],Table6[#All],2,FALSE)</f>
        <v>North</v>
      </c>
      <c r="I841" t="s">
        <v>3204</v>
      </c>
      <c r="J841" t="str">
        <f>_xlfn.XLOOKUP(Table1[[#This Row],[Tractor Model]],Table7[Product Model],Table7[Product Category],"Not Available",0)</f>
        <v>Kubota</v>
      </c>
      <c r="K841" s="4">
        <v>8</v>
      </c>
      <c r="L841" s="72">
        <v>222746</v>
      </c>
      <c r="M841" s="4">
        <f>INDEX('Master Sheet'!$C$4:$C$12,MATCH(Table1[[#This Row],[Quantity]],'Master Sheet'!$B$4:$B$12,0))</f>
        <v>9</v>
      </c>
      <c r="N841" s="71">
        <f>Table1[[#This Row],[Quantity]]*Table1[[#This Row],[Unit Price]]</f>
        <v>1781968</v>
      </c>
      <c r="O841" s="73">
        <v>0.17819679999999999</v>
      </c>
      <c r="P841" s="70">
        <f>Table1[[#This Row],[Gross Amount]]*(1-(Table1[[#This Row],[Discount %]]/100))</f>
        <v>1621590.8800000001</v>
      </c>
      <c r="Q841" s="74">
        <f>(Table1[[#This Row],[Gross Amount]]*(1-(Table1[[#This Row],[Discount %]]/100)))/10000000</f>
        <v>0.16215908800000001</v>
      </c>
      <c r="R841" t="s">
        <v>54</v>
      </c>
      <c r="S841" t="str" cm="1">
        <f t="array" ref="S841">IFERROR(_xlfn.IFS(Table1[[#This Row],[Payment Status]]="Partial","In Transit",Table1[[#This Row],[Payment Status]]="Paid","Delivered",Table1[[#This Row],[Payment Status]]="Pending","Pending"),"Invalid Input")</f>
        <v>Delivered</v>
      </c>
      <c r="T841" t="s">
        <v>44</v>
      </c>
      <c r="U841" t="str" cm="1">
        <f t="array" ref="U841">IFERROR(_xlfn.IFS(Table1[[#This Row],[Payment Status]]="Partial","In Transit",Table1[[#This Row],[Payment Status]]="Paid","Completed",Table1[[#This Row],[Payment Status]]="Pending","Pending"),"Invalid Input")</f>
        <v>Completed</v>
      </c>
    </row>
    <row r="842" spans="1:21" x14ac:dyDescent="0.25">
      <c r="A842" s="4" t="s">
        <v>1583</v>
      </c>
      <c r="B842" s="5">
        <v>45530</v>
      </c>
      <c r="C842" t="s">
        <v>52</v>
      </c>
      <c r="D842" t="s">
        <v>3268</v>
      </c>
      <c r="E842" t="s">
        <v>47</v>
      </c>
      <c r="F842" t="s">
        <v>3216</v>
      </c>
      <c r="G842" t="s">
        <v>48</v>
      </c>
      <c r="H842" t="str">
        <f>VLOOKUP(Table1[[#This Row],[City]],Table6[#All],2,FALSE)</f>
        <v>North</v>
      </c>
      <c r="I842" t="s">
        <v>3204</v>
      </c>
      <c r="J842" t="str">
        <f>_xlfn.XLOOKUP(Table1[[#This Row],[Tractor Model]],Table7[Product Model],Table7[Product Category],"Not Available",0)</f>
        <v>Kubota</v>
      </c>
      <c r="K842" s="4">
        <v>5</v>
      </c>
      <c r="L842" s="72">
        <v>694400</v>
      </c>
      <c r="M842" s="4">
        <f>INDEX('Master Sheet'!$C$4:$C$12,MATCH(Table1[[#This Row],[Quantity]],'Master Sheet'!$B$4:$B$12,0))</f>
        <v>7</v>
      </c>
      <c r="N842" s="71">
        <f>Table1[[#This Row],[Quantity]]*Table1[[#This Row],[Unit Price]]</f>
        <v>3472000</v>
      </c>
      <c r="O842" s="73">
        <v>0.34720000000000001</v>
      </c>
      <c r="P842" s="70">
        <f>Table1[[#This Row],[Gross Amount]]*(1-(Table1[[#This Row],[Discount %]]/100))</f>
        <v>3228960</v>
      </c>
      <c r="Q842" s="74">
        <f>(Table1[[#This Row],[Gross Amount]]*(1-(Table1[[#This Row],[Discount %]]/100)))/10000000</f>
        <v>0.32289600000000002</v>
      </c>
      <c r="R842" t="s">
        <v>54</v>
      </c>
      <c r="S842" t="str" cm="1">
        <f t="array" ref="S842">IFERROR(_xlfn.IFS(Table1[[#This Row],[Payment Status]]="Partial","In Transit",Table1[[#This Row],[Payment Status]]="Paid","Delivered",Table1[[#This Row],[Payment Status]]="Pending","Pending"),"Invalid Input")</f>
        <v>Delivered</v>
      </c>
      <c r="T842" t="s">
        <v>27</v>
      </c>
      <c r="U842" t="str" cm="1">
        <f t="array" ref="U842">IFERROR(_xlfn.IFS(Table1[[#This Row],[Payment Status]]="Partial","In Transit",Table1[[#This Row],[Payment Status]]="Paid","Completed",Table1[[#This Row],[Payment Status]]="Pending","Pending"),"Invalid Input")</f>
        <v>Completed</v>
      </c>
    </row>
    <row r="843" spans="1:21" x14ac:dyDescent="0.25">
      <c r="A843" s="4" t="s">
        <v>1584</v>
      </c>
      <c r="B843" s="5">
        <v>45872</v>
      </c>
      <c r="C843" t="s">
        <v>73</v>
      </c>
      <c r="D843" t="s">
        <v>3271</v>
      </c>
      <c r="E843" t="s">
        <v>38</v>
      </c>
      <c r="F843" t="s">
        <v>3210</v>
      </c>
      <c r="G843" t="s">
        <v>39</v>
      </c>
      <c r="H843" t="str">
        <f>VLOOKUP(Table1[[#This Row],[City]],Table6[#All],2,FALSE)</f>
        <v>West</v>
      </c>
      <c r="I843" t="s">
        <v>53</v>
      </c>
      <c r="J843" t="str">
        <f>_xlfn.XLOOKUP(Table1[[#This Row],[Tractor Model]],Table7[Product Model],Table7[Product Category],"Not Available",0)</f>
        <v>Farmtrac</v>
      </c>
      <c r="K843" s="4">
        <v>7</v>
      </c>
      <c r="L843" s="72">
        <v>737126</v>
      </c>
      <c r="M843" s="4">
        <f>INDEX('Master Sheet'!$C$4:$C$12,MATCH(Table1[[#This Row],[Quantity]],'Master Sheet'!$B$4:$B$12,0))</f>
        <v>9</v>
      </c>
      <c r="N843" s="71">
        <f>Table1[[#This Row],[Quantity]]*Table1[[#This Row],[Unit Price]]</f>
        <v>5159882</v>
      </c>
      <c r="O843" s="73">
        <v>0.51598820000000001</v>
      </c>
      <c r="P843" s="70">
        <f>Table1[[#This Row],[Gross Amount]]*(1-(Table1[[#This Row],[Discount %]]/100))</f>
        <v>4695492.62</v>
      </c>
      <c r="Q843" s="74">
        <f>(Table1[[#This Row],[Gross Amount]]*(1-(Table1[[#This Row],[Discount %]]/100)))/10000000</f>
        <v>0.46954926200000002</v>
      </c>
      <c r="R843" t="s">
        <v>25</v>
      </c>
      <c r="S843" t="str" cm="1">
        <f t="array" ref="S843">IFERROR(_xlfn.IFS(Table1[[#This Row],[Payment Status]]="Partial","In Transit",Table1[[#This Row],[Payment Status]]="Paid","Delivered",Table1[[#This Row],[Payment Status]]="Pending","Pending"),"Invalid Input")</f>
        <v>In Transit</v>
      </c>
      <c r="T843" t="s">
        <v>27</v>
      </c>
      <c r="U843" t="str" cm="1">
        <f t="array" ref="U843">IFERROR(_xlfn.IFS(Table1[[#This Row],[Payment Status]]="Partial","In Transit",Table1[[#This Row],[Payment Status]]="Paid","Completed",Table1[[#This Row],[Payment Status]]="Pending","Pending"),"Invalid Input")</f>
        <v>In Transit</v>
      </c>
    </row>
    <row r="844" spans="1:21" x14ac:dyDescent="0.25">
      <c r="A844" s="4" t="s">
        <v>1586</v>
      </c>
      <c r="B844" s="5">
        <v>45694</v>
      </c>
      <c r="C844" t="s">
        <v>52</v>
      </c>
      <c r="D844" t="s">
        <v>3271</v>
      </c>
      <c r="E844" t="s">
        <v>38</v>
      </c>
      <c r="F844" t="s">
        <v>3210</v>
      </c>
      <c r="G844" t="s">
        <v>39</v>
      </c>
      <c r="H844" t="str">
        <f>VLOOKUP(Table1[[#This Row],[City]],Table6[#All],2,FALSE)</f>
        <v>West</v>
      </c>
      <c r="I844" t="s">
        <v>24</v>
      </c>
      <c r="J844" t="str">
        <f>_xlfn.XLOOKUP(Table1[[#This Row],[Tractor Model]],Table7[Product Model],Table7[Product Category],"Not Available",0)</f>
        <v>Farmtrac</v>
      </c>
      <c r="K844" s="4">
        <v>6</v>
      </c>
      <c r="L844" s="72">
        <v>349387</v>
      </c>
      <c r="M844" s="4">
        <f>INDEX('Master Sheet'!$C$4:$C$12,MATCH(Table1[[#This Row],[Quantity]],'Master Sheet'!$B$4:$B$12,0))</f>
        <v>8</v>
      </c>
      <c r="N844" s="71">
        <f>Table1[[#This Row],[Quantity]]*Table1[[#This Row],[Unit Price]]</f>
        <v>2096322</v>
      </c>
      <c r="O844" s="73">
        <v>0.20963219999999999</v>
      </c>
      <c r="P844" s="70">
        <f>Table1[[#This Row],[Gross Amount]]*(1-(Table1[[#This Row],[Discount %]]/100))</f>
        <v>1928616.24</v>
      </c>
      <c r="Q844" s="74">
        <f>(Table1[[#This Row],[Gross Amount]]*(1-(Table1[[#This Row],[Discount %]]/100)))/10000000</f>
        <v>0.19286162400000001</v>
      </c>
      <c r="R844" t="s">
        <v>54</v>
      </c>
      <c r="S844" t="str" cm="1">
        <f t="array" ref="S844">IFERROR(_xlfn.IFS(Table1[[#This Row],[Payment Status]]="Partial","In Transit",Table1[[#This Row],[Payment Status]]="Paid","Delivered",Table1[[#This Row],[Payment Status]]="Pending","Pending"),"Invalid Input")</f>
        <v>Delivered</v>
      </c>
      <c r="T844" t="s">
        <v>44</v>
      </c>
      <c r="U844" t="str" cm="1">
        <f t="array" ref="U844">IFERROR(_xlfn.IFS(Table1[[#This Row],[Payment Status]]="Partial","In Transit",Table1[[#This Row],[Payment Status]]="Paid","Completed",Table1[[#This Row],[Payment Status]]="Pending","Pending"),"Invalid Input")</f>
        <v>Completed</v>
      </c>
    </row>
    <row r="845" spans="1:21" x14ac:dyDescent="0.25">
      <c r="A845" s="4" t="s">
        <v>1588</v>
      </c>
      <c r="B845" s="5">
        <v>45367</v>
      </c>
      <c r="C845" t="s">
        <v>41</v>
      </c>
      <c r="D845" t="s">
        <v>3270</v>
      </c>
      <c r="E845" t="s">
        <v>47</v>
      </c>
      <c r="F845" t="s">
        <v>3205</v>
      </c>
      <c r="G845" t="s">
        <v>48</v>
      </c>
      <c r="H845" t="str">
        <f>VLOOKUP(Table1[[#This Row],[City]],Table6[#All],2,FALSE)</f>
        <v>North</v>
      </c>
      <c r="I845" t="s">
        <v>53</v>
      </c>
      <c r="J845" t="str">
        <f>_xlfn.XLOOKUP(Table1[[#This Row],[Tractor Model]],Table7[Product Model],Table7[Product Category],"Not Available",0)</f>
        <v>Farmtrac</v>
      </c>
      <c r="K845" s="4">
        <v>4</v>
      </c>
      <c r="L845" s="72">
        <v>408393</v>
      </c>
      <c r="M845" s="4">
        <f>INDEX('Master Sheet'!$C$4:$C$12,MATCH(Table1[[#This Row],[Quantity]],'Master Sheet'!$B$4:$B$12,0))</f>
        <v>6</v>
      </c>
      <c r="N845" s="71">
        <f>Table1[[#This Row],[Quantity]]*Table1[[#This Row],[Unit Price]]</f>
        <v>1633572</v>
      </c>
      <c r="O845" s="73">
        <v>0.16335720000000001</v>
      </c>
      <c r="P845" s="70">
        <f>Table1[[#This Row],[Gross Amount]]*(1-(Table1[[#This Row],[Discount %]]/100))</f>
        <v>1535557.68</v>
      </c>
      <c r="Q845" s="74">
        <f>(Table1[[#This Row],[Gross Amount]]*(1-(Table1[[#This Row],[Discount %]]/100)))/10000000</f>
        <v>0.15355576799999998</v>
      </c>
      <c r="R845" t="s">
        <v>25</v>
      </c>
      <c r="S845" t="str" cm="1">
        <f t="array" ref="S845">IFERROR(_xlfn.IFS(Table1[[#This Row],[Payment Status]]="Partial","In Transit",Table1[[#This Row],[Payment Status]]="Paid","Delivered",Table1[[#This Row],[Payment Status]]="Pending","Pending"),"Invalid Input")</f>
        <v>In Transit</v>
      </c>
      <c r="T845" t="s">
        <v>27</v>
      </c>
      <c r="U845" t="str" cm="1">
        <f t="array" ref="U845">IFERROR(_xlfn.IFS(Table1[[#This Row],[Payment Status]]="Partial","In Transit",Table1[[#This Row],[Payment Status]]="Paid","Completed",Table1[[#This Row],[Payment Status]]="Pending","Pending"),"Invalid Input")</f>
        <v>In Transit</v>
      </c>
    </row>
    <row r="846" spans="1:21" x14ac:dyDescent="0.25">
      <c r="A846" s="4" t="s">
        <v>1590</v>
      </c>
      <c r="B846" s="5">
        <v>45724</v>
      </c>
      <c r="C846" t="s">
        <v>73</v>
      </c>
      <c r="D846" t="s">
        <v>3271</v>
      </c>
      <c r="E846" t="s">
        <v>119</v>
      </c>
      <c r="F846" t="s">
        <v>3228</v>
      </c>
      <c r="G846" t="s">
        <v>21</v>
      </c>
      <c r="H846" t="str">
        <f>VLOOKUP(Table1[[#This Row],[City]],Table6[#All],2,FALSE)</f>
        <v>North</v>
      </c>
      <c r="I846" t="s">
        <v>3204</v>
      </c>
      <c r="J846" t="str">
        <f>_xlfn.XLOOKUP(Table1[[#This Row],[Tractor Model]],Table7[Product Model],Table7[Product Category],"Not Available",0)</f>
        <v>Kubota</v>
      </c>
      <c r="K846" s="4">
        <v>3</v>
      </c>
      <c r="L846" s="72">
        <v>172814</v>
      </c>
      <c r="M846" s="4">
        <f>INDEX('Master Sheet'!$C$4:$C$12,MATCH(Table1[[#This Row],[Quantity]],'Master Sheet'!$B$4:$B$12,0))</f>
        <v>6</v>
      </c>
      <c r="N846" s="71">
        <f>Table1[[#This Row],[Quantity]]*Table1[[#This Row],[Unit Price]]</f>
        <v>518442</v>
      </c>
      <c r="O846" s="73">
        <v>5.18442E-2</v>
      </c>
      <c r="P846" s="70">
        <f>Table1[[#This Row],[Gross Amount]]*(1-(Table1[[#This Row],[Discount %]]/100))</f>
        <v>487335.48</v>
      </c>
      <c r="Q846" s="74">
        <f>(Table1[[#This Row],[Gross Amount]]*(1-(Table1[[#This Row],[Discount %]]/100)))/10000000</f>
        <v>4.8733548000000002E-2</v>
      </c>
      <c r="R846" t="s">
        <v>42</v>
      </c>
      <c r="S846" t="str" cm="1">
        <f t="array" ref="S846">IFERROR(_xlfn.IFS(Table1[[#This Row],[Payment Status]]="Partial","In Transit",Table1[[#This Row],[Payment Status]]="Paid","Delivered",Table1[[#This Row],[Payment Status]]="Pending","Pending"),"Invalid Input")</f>
        <v>Pending</v>
      </c>
      <c r="T846" t="s">
        <v>27</v>
      </c>
      <c r="U846" t="str" cm="1">
        <f t="array" ref="U846">IFERROR(_xlfn.IFS(Table1[[#This Row],[Payment Status]]="Partial","In Transit",Table1[[#This Row],[Payment Status]]="Paid","Completed",Table1[[#This Row],[Payment Status]]="Pending","Pending"),"Invalid Input")</f>
        <v>Pending</v>
      </c>
    </row>
    <row r="847" spans="1:21" x14ac:dyDescent="0.25">
      <c r="A847" s="4" t="s">
        <v>1592</v>
      </c>
      <c r="B847" s="5">
        <v>45744</v>
      </c>
      <c r="C847" t="s">
        <v>73</v>
      </c>
      <c r="D847" t="s">
        <v>3269</v>
      </c>
      <c r="E847" t="s">
        <v>30</v>
      </c>
      <c r="F847" t="s">
        <v>3225</v>
      </c>
      <c r="G847" t="s">
        <v>31</v>
      </c>
      <c r="H847" t="str">
        <f>VLOOKUP(Table1[[#This Row],[City]],Table6[#All],2,FALSE)</f>
        <v>South</v>
      </c>
      <c r="I847" t="s">
        <v>53</v>
      </c>
      <c r="J847" t="str">
        <f>_xlfn.XLOOKUP(Table1[[#This Row],[Tractor Model]],Table7[Product Model],Table7[Product Category],"Not Available",0)</f>
        <v>Farmtrac</v>
      </c>
      <c r="K847" s="4">
        <v>4</v>
      </c>
      <c r="L847" s="72">
        <v>225259</v>
      </c>
      <c r="M847" s="4">
        <f>INDEX('Master Sheet'!$C$4:$C$12,MATCH(Table1[[#This Row],[Quantity]],'Master Sheet'!$B$4:$B$12,0))</f>
        <v>6</v>
      </c>
      <c r="N847" s="71">
        <f>Table1[[#This Row],[Quantity]]*Table1[[#This Row],[Unit Price]]</f>
        <v>901036</v>
      </c>
      <c r="O847" s="73">
        <v>9.0103600000000006E-2</v>
      </c>
      <c r="P847" s="70">
        <f>Table1[[#This Row],[Gross Amount]]*(1-(Table1[[#This Row],[Discount %]]/100))</f>
        <v>846973.84</v>
      </c>
      <c r="Q847" s="74">
        <f>(Table1[[#This Row],[Gross Amount]]*(1-(Table1[[#This Row],[Discount %]]/100)))/10000000</f>
        <v>8.4697384000000001E-2</v>
      </c>
      <c r="R847" t="s">
        <v>42</v>
      </c>
      <c r="S847" t="str" cm="1">
        <f t="array" ref="S847">IFERROR(_xlfn.IFS(Table1[[#This Row],[Payment Status]]="Partial","In Transit",Table1[[#This Row],[Payment Status]]="Paid","Delivered",Table1[[#This Row],[Payment Status]]="Pending","Pending"),"Invalid Input")</f>
        <v>Pending</v>
      </c>
      <c r="T847" t="s">
        <v>27</v>
      </c>
      <c r="U847" t="str" cm="1">
        <f t="array" ref="U847">IFERROR(_xlfn.IFS(Table1[[#This Row],[Payment Status]]="Partial","In Transit",Table1[[#This Row],[Payment Status]]="Paid","Completed",Table1[[#This Row],[Payment Status]]="Pending","Pending"),"Invalid Input")</f>
        <v>Pending</v>
      </c>
    </row>
    <row r="848" spans="1:21" x14ac:dyDescent="0.25">
      <c r="A848" s="4" t="s">
        <v>1593</v>
      </c>
      <c r="B848" s="5">
        <v>45826</v>
      </c>
      <c r="C848" t="s">
        <v>62</v>
      </c>
      <c r="D848" t="s">
        <v>3268</v>
      </c>
      <c r="E848" t="s">
        <v>30</v>
      </c>
      <c r="F848" t="s">
        <v>3208</v>
      </c>
      <c r="G848" t="s">
        <v>31</v>
      </c>
      <c r="H848" t="str">
        <f>VLOOKUP(Table1[[#This Row],[City]],Table6[#All],2,FALSE)</f>
        <v>South</v>
      </c>
      <c r="I848" t="s">
        <v>3204</v>
      </c>
      <c r="J848" t="str">
        <f>_xlfn.XLOOKUP(Table1[[#This Row],[Tractor Model]],Table7[Product Model],Table7[Product Category],"Not Available",0)</f>
        <v>Kubota</v>
      </c>
      <c r="K848" s="4">
        <v>4</v>
      </c>
      <c r="L848" s="72">
        <v>201097</v>
      </c>
      <c r="M848" s="4">
        <f>INDEX('Master Sheet'!$C$4:$C$12,MATCH(Table1[[#This Row],[Quantity]],'Master Sheet'!$B$4:$B$12,0))</f>
        <v>6</v>
      </c>
      <c r="N848" s="71">
        <f>Table1[[#This Row],[Quantity]]*Table1[[#This Row],[Unit Price]]</f>
        <v>804388</v>
      </c>
      <c r="O848" s="73">
        <v>8.0438800000000005E-2</v>
      </c>
      <c r="P848" s="70">
        <f>Table1[[#This Row],[Gross Amount]]*(1-(Table1[[#This Row],[Discount %]]/100))</f>
        <v>756124.72</v>
      </c>
      <c r="Q848" s="74">
        <f>(Table1[[#This Row],[Gross Amount]]*(1-(Table1[[#This Row],[Discount %]]/100)))/10000000</f>
        <v>7.5612472E-2</v>
      </c>
      <c r="R848" t="s">
        <v>54</v>
      </c>
      <c r="S848" t="str" cm="1">
        <f t="array" ref="S848">IFERROR(_xlfn.IFS(Table1[[#This Row],[Payment Status]]="Partial","In Transit",Table1[[#This Row],[Payment Status]]="Paid","Delivered",Table1[[#This Row],[Payment Status]]="Pending","Pending"),"Invalid Input")</f>
        <v>Delivered</v>
      </c>
      <c r="T848" t="s">
        <v>44</v>
      </c>
      <c r="U848" t="str" cm="1">
        <f t="array" ref="U848">IFERROR(_xlfn.IFS(Table1[[#This Row],[Payment Status]]="Partial","In Transit",Table1[[#This Row],[Payment Status]]="Paid","Completed",Table1[[#This Row],[Payment Status]]="Pending","Pending"),"Invalid Input")</f>
        <v>Completed</v>
      </c>
    </row>
    <row r="849" spans="1:21" x14ac:dyDescent="0.25">
      <c r="A849" s="4" t="s">
        <v>1595</v>
      </c>
      <c r="B849" s="5">
        <v>45353</v>
      </c>
      <c r="C849" t="s">
        <v>33</v>
      </c>
      <c r="D849" t="s">
        <v>3269</v>
      </c>
      <c r="E849" t="s">
        <v>66</v>
      </c>
      <c r="F849" t="s">
        <v>3213</v>
      </c>
      <c r="G849" t="s">
        <v>67</v>
      </c>
      <c r="H849" t="str">
        <f>VLOOKUP(Table1[[#This Row],[City]],Table6[#All],2,FALSE)</f>
        <v>East</v>
      </c>
      <c r="I849" t="s">
        <v>24</v>
      </c>
      <c r="J849" t="str">
        <f>_xlfn.XLOOKUP(Table1[[#This Row],[Tractor Model]],Table7[Product Model],Table7[Product Category],"Not Available",0)</f>
        <v>Farmtrac</v>
      </c>
      <c r="K849" s="4">
        <v>4</v>
      </c>
      <c r="L849" s="72">
        <v>796844</v>
      </c>
      <c r="M849" s="4">
        <f>INDEX('Master Sheet'!$C$4:$C$12,MATCH(Table1[[#This Row],[Quantity]],'Master Sheet'!$B$4:$B$12,0))</f>
        <v>6</v>
      </c>
      <c r="N849" s="71">
        <f>Table1[[#This Row],[Quantity]]*Table1[[#This Row],[Unit Price]]</f>
        <v>3187376</v>
      </c>
      <c r="O849" s="73">
        <v>0.31873760000000001</v>
      </c>
      <c r="P849" s="70">
        <f>Table1[[#This Row],[Gross Amount]]*(1-(Table1[[#This Row],[Discount %]]/100))</f>
        <v>2996133.44</v>
      </c>
      <c r="Q849" s="74">
        <f>(Table1[[#This Row],[Gross Amount]]*(1-(Table1[[#This Row],[Discount %]]/100)))/10000000</f>
        <v>0.299613344</v>
      </c>
      <c r="R849" t="s">
        <v>25</v>
      </c>
      <c r="S849" t="str" cm="1">
        <f t="array" ref="S849">IFERROR(_xlfn.IFS(Table1[[#This Row],[Payment Status]]="Partial","In Transit",Table1[[#This Row],[Payment Status]]="Paid","Delivered",Table1[[#This Row],[Payment Status]]="Pending","Pending"),"Invalid Input")</f>
        <v>In Transit</v>
      </c>
      <c r="T849" t="s">
        <v>27</v>
      </c>
      <c r="U849" t="str" cm="1">
        <f t="array" ref="U849">IFERROR(_xlfn.IFS(Table1[[#This Row],[Payment Status]]="Partial","In Transit",Table1[[#This Row],[Payment Status]]="Paid","Completed",Table1[[#This Row],[Payment Status]]="Pending","Pending"),"Invalid Input")</f>
        <v>In Transit</v>
      </c>
    </row>
    <row r="850" spans="1:21" x14ac:dyDescent="0.25">
      <c r="A850" s="4" t="s">
        <v>1597</v>
      </c>
      <c r="B850" s="5">
        <v>45422</v>
      </c>
      <c r="C850" t="s">
        <v>41</v>
      </c>
      <c r="D850" t="s">
        <v>3270</v>
      </c>
      <c r="E850" t="s">
        <v>47</v>
      </c>
      <c r="F850" t="s">
        <v>3205</v>
      </c>
      <c r="G850" t="s">
        <v>48</v>
      </c>
      <c r="H850" t="str">
        <f>VLOOKUP(Table1[[#This Row],[City]],Table6[#All],2,FALSE)</f>
        <v>North</v>
      </c>
      <c r="I850" t="s">
        <v>3203</v>
      </c>
      <c r="J850" t="str">
        <f>_xlfn.XLOOKUP(Table1[[#This Row],[Tractor Model]],Table7[Product Model],Table7[Product Category],"Not Available",0)</f>
        <v>Kubota</v>
      </c>
      <c r="K850" s="4">
        <v>6</v>
      </c>
      <c r="L850" s="72">
        <v>642060</v>
      </c>
      <c r="M850" s="4">
        <f>INDEX('Master Sheet'!$C$4:$C$12,MATCH(Table1[[#This Row],[Quantity]],'Master Sheet'!$B$4:$B$12,0))</f>
        <v>8</v>
      </c>
      <c r="N850" s="71">
        <f>Table1[[#This Row],[Quantity]]*Table1[[#This Row],[Unit Price]]</f>
        <v>3852360</v>
      </c>
      <c r="O850" s="73">
        <v>0.38523600000000002</v>
      </c>
      <c r="P850" s="70">
        <f>Table1[[#This Row],[Gross Amount]]*(1-(Table1[[#This Row],[Discount %]]/100))</f>
        <v>3544171.2</v>
      </c>
      <c r="Q850" s="74">
        <f>(Table1[[#This Row],[Gross Amount]]*(1-(Table1[[#This Row],[Discount %]]/100)))/10000000</f>
        <v>0.35441712000000003</v>
      </c>
      <c r="R850" t="s">
        <v>42</v>
      </c>
      <c r="S850" t="str" cm="1">
        <f t="array" ref="S850">IFERROR(_xlfn.IFS(Table1[[#This Row],[Payment Status]]="Partial","In Transit",Table1[[#This Row],[Payment Status]]="Paid","Delivered",Table1[[#This Row],[Payment Status]]="Pending","Pending"),"Invalid Input")</f>
        <v>Pending</v>
      </c>
      <c r="T850" t="s">
        <v>27</v>
      </c>
      <c r="U850" t="str" cm="1">
        <f t="array" ref="U850">IFERROR(_xlfn.IFS(Table1[[#This Row],[Payment Status]]="Partial","In Transit",Table1[[#This Row],[Payment Status]]="Paid","Completed",Table1[[#This Row],[Payment Status]]="Pending","Pending"),"Invalid Input")</f>
        <v>Pending</v>
      </c>
    </row>
    <row r="851" spans="1:21" x14ac:dyDescent="0.25">
      <c r="A851" s="4" t="s">
        <v>1599</v>
      </c>
      <c r="B851" s="5">
        <v>45581</v>
      </c>
      <c r="C851" t="s">
        <v>33</v>
      </c>
      <c r="D851" t="s">
        <v>3271</v>
      </c>
      <c r="E851" t="s">
        <v>119</v>
      </c>
      <c r="F851" t="s">
        <v>3228</v>
      </c>
      <c r="G851" t="s">
        <v>21</v>
      </c>
      <c r="H851" t="str">
        <f>VLOOKUP(Table1[[#This Row],[City]],Table6[#All],2,FALSE)</f>
        <v>North</v>
      </c>
      <c r="I851" t="s">
        <v>3204</v>
      </c>
      <c r="J851" t="str">
        <f>_xlfn.XLOOKUP(Table1[[#This Row],[Tractor Model]],Table7[Product Model],Table7[Product Category],"Not Available",0)</f>
        <v>Kubota</v>
      </c>
      <c r="K851" s="4">
        <v>1</v>
      </c>
      <c r="L851" s="72">
        <v>512765</v>
      </c>
      <c r="M851" s="4">
        <f>INDEX('Master Sheet'!$C$4:$C$12,MATCH(Table1[[#This Row],[Quantity]],'Master Sheet'!$B$4:$B$12,0))</f>
        <v>3</v>
      </c>
      <c r="N851" s="71">
        <f>Table1[[#This Row],[Quantity]]*Table1[[#This Row],[Unit Price]]</f>
        <v>512765</v>
      </c>
      <c r="O851" s="73">
        <v>5.1276500000000003E-2</v>
      </c>
      <c r="P851" s="70">
        <f>Table1[[#This Row],[Gross Amount]]*(1-(Table1[[#This Row],[Discount %]]/100))</f>
        <v>497382.05</v>
      </c>
      <c r="Q851" s="74">
        <f>(Table1[[#This Row],[Gross Amount]]*(1-(Table1[[#This Row],[Discount %]]/100)))/10000000</f>
        <v>4.9738205000000001E-2</v>
      </c>
      <c r="R851" t="s">
        <v>42</v>
      </c>
      <c r="S851" t="str" cm="1">
        <f t="array" ref="S851">IFERROR(_xlfn.IFS(Table1[[#This Row],[Payment Status]]="Partial","In Transit",Table1[[#This Row],[Payment Status]]="Paid","Delivered",Table1[[#This Row],[Payment Status]]="Pending","Pending"),"Invalid Input")</f>
        <v>Pending</v>
      </c>
      <c r="T851" t="s">
        <v>27</v>
      </c>
      <c r="U851" t="str" cm="1">
        <f t="array" ref="U851">IFERROR(_xlfn.IFS(Table1[[#This Row],[Payment Status]]="Partial","In Transit",Table1[[#This Row],[Payment Status]]="Paid","Completed",Table1[[#This Row],[Payment Status]]="Pending","Pending"),"Invalid Input")</f>
        <v>Pending</v>
      </c>
    </row>
    <row r="852" spans="1:21" x14ac:dyDescent="0.25">
      <c r="A852" s="4" t="s">
        <v>1601</v>
      </c>
      <c r="B852" s="5">
        <v>45534</v>
      </c>
      <c r="C852" t="s">
        <v>52</v>
      </c>
      <c r="D852" t="s">
        <v>37</v>
      </c>
      <c r="E852" t="s">
        <v>66</v>
      </c>
      <c r="F852" t="s">
        <v>3226</v>
      </c>
      <c r="G852" t="s">
        <v>67</v>
      </c>
      <c r="H852" t="str">
        <f>VLOOKUP(Table1[[#This Row],[City]],Table6[#All],2,FALSE)</f>
        <v>East</v>
      </c>
      <c r="I852" t="s">
        <v>24</v>
      </c>
      <c r="J852" t="str">
        <f>_xlfn.XLOOKUP(Table1[[#This Row],[Tractor Model]],Table7[Product Model],Table7[Product Category],"Not Available",0)</f>
        <v>Farmtrac</v>
      </c>
      <c r="K852" s="4">
        <v>8</v>
      </c>
      <c r="L852" s="72">
        <v>477211</v>
      </c>
      <c r="M852" s="4">
        <f>INDEX('Master Sheet'!$C$4:$C$12,MATCH(Table1[[#This Row],[Quantity]],'Master Sheet'!$B$4:$B$12,0))</f>
        <v>9</v>
      </c>
      <c r="N852" s="71">
        <f>Table1[[#This Row],[Quantity]]*Table1[[#This Row],[Unit Price]]</f>
        <v>3817688</v>
      </c>
      <c r="O852" s="73">
        <v>0.38176880000000002</v>
      </c>
      <c r="P852" s="70">
        <f>Table1[[#This Row],[Gross Amount]]*(1-(Table1[[#This Row],[Discount %]]/100))</f>
        <v>3474096.08</v>
      </c>
      <c r="Q852" s="74">
        <f>(Table1[[#This Row],[Gross Amount]]*(1-(Table1[[#This Row],[Discount %]]/100)))/10000000</f>
        <v>0.34740960799999998</v>
      </c>
      <c r="R852" t="s">
        <v>42</v>
      </c>
      <c r="S852" t="str" cm="1">
        <f t="array" ref="S852">IFERROR(_xlfn.IFS(Table1[[#This Row],[Payment Status]]="Partial","In Transit",Table1[[#This Row],[Payment Status]]="Paid","Delivered",Table1[[#This Row],[Payment Status]]="Pending","Pending"),"Invalid Input")</f>
        <v>Pending</v>
      </c>
      <c r="T852" t="s">
        <v>44</v>
      </c>
      <c r="U852" t="str" cm="1">
        <f t="array" ref="U852">IFERROR(_xlfn.IFS(Table1[[#This Row],[Payment Status]]="Partial","In Transit",Table1[[#This Row],[Payment Status]]="Paid","Completed",Table1[[#This Row],[Payment Status]]="Pending","Pending"),"Invalid Input")</f>
        <v>Pending</v>
      </c>
    </row>
    <row r="853" spans="1:21" x14ac:dyDescent="0.25">
      <c r="A853" s="4" t="s">
        <v>1602</v>
      </c>
      <c r="B853" s="5">
        <v>45644</v>
      </c>
      <c r="C853" t="s">
        <v>73</v>
      </c>
      <c r="D853" t="s">
        <v>3271</v>
      </c>
      <c r="E853" t="s">
        <v>66</v>
      </c>
      <c r="F853" t="s">
        <v>3207</v>
      </c>
      <c r="G853" t="s">
        <v>67</v>
      </c>
      <c r="H853" t="str">
        <f>VLOOKUP(Table1[[#This Row],[City]],Table6[#All],2,FALSE)</f>
        <v>East</v>
      </c>
      <c r="I853" t="s">
        <v>24</v>
      </c>
      <c r="J853" t="str">
        <f>_xlfn.XLOOKUP(Table1[[#This Row],[Tractor Model]],Table7[Product Model],Table7[Product Category],"Not Available",0)</f>
        <v>Farmtrac</v>
      </c>
      <c r="K853" s="4">
        <v>3</v>
      </c>
      <c r="L853" s="72">
        <v>845062</v>
      </c>
      <c r="M853" s="4">
        <f>INDEX('Master Sheet'!$C$4:$C$12,MATCH(Table1[[#This Row],[Quantity]],'Master Sheet'!$B$4:$B$12,0))</f>
        <v>6</v>
      </c>
      <c r="N853" s="71">
        <f>Table1[[#This Row],[Quantity]]*Table1[[#This Row],[Unit Price]]</f>
        <v>2535186</v>
      </c>
      <c r="O853" s="73">
        <v>0.25351859999999998</v>
      </c>
      <c r="P853" s="70">
        <f>Table1[[#This Row],[Gross Amount]]*(1-(Table1[[#This Row],[Discount %]]/100))</f>
        <v>2383074.84</v>
      </c>
      <c r="Q853" s="74">
        <f>(Table1[[#This Row],[Gross Amount]]*(1-(Table1[[#This Row],[Discount %]]/100)))/10000000</f>
        <v>0.23830748399999999</v>
      </c>
      <c r="R853" t="s">
        <v>25</v>
      </c>
      <c r="S853" t="str" cm="1">
        <f t="array" ref="S853">IFERROR(_xlfn.IFS(Table1[[#This Row],[Payment Status]]="Partial","In Transit",Table1[[#This Row],[Payment Status]]="Paid","Delivered",Table1[[#This Row],[Payment Status]]="Pending","Pending"),"Invalid Input")</f>
        <v>In Transit</v>
      </c>
      <c r="T853" t="s">
        <v>27</v>
      </c>
      <c r="U853" t="str" cm="1">
        <f t="array" ref="U853">IFERROR(_xlfn.IFS(Table1[[#This Row],[Payment Status]]="Partial","In Transit",Table1[[#This Row],[Payment Status]]="Paid","Completed",Table1[[#This Row],[Payment Status]]="Pending","Pending"),"Invalid Input")</f>
        <v>In Transit</v>
      </c>
    </row>
    <row r="854" spans="1:21" x14ac:dyDescent="0.25">
      <c r="A854" s="4" t="s">
        <v>1603</v>
      </c>
      <c r="B854" s="5">
        <v>45646</v>
      </c>
      <c r="C854" t="s">
        <v>33</v>
      </c>
      <c r="D854" t="s">
        <v>3270</v>
      </c>
      <c r="E854" t="s">
        <v>119</v>
      </c>
      <c r="F854" t="s">
        <v>3212</v>
      </c>
      <c r="G854" t="s">
        <v>21</v>
      </c>
      <c r="H854" t="str">
        <f>VLOOKUP(Table1[[#This Row],[City]],Table6[#All],2,FALSE)</f>
        <v>North</v>
      </c>
      <c r="I854" t="s">
        <v>53</v>
      </c>
      <c r="J854" t="str">
        <f>_xlfn.XLOOKUP(Table1[[#This Row],[Tractor Model]],Table7[Product Model],Table7[Product Category],"Not Available",0)</f>
        <v>Farmtrac</v>
      </c>
      <c r="K854" s="4">
        <v>5</v>
      </c>
      <c r="L854" s="72">
        <v>325457</v>
      </c>
      <c r="M854" s="4">
        <f>INDEX('Master Sheet'!$C$4:$C$12,MATCH(Table1[[#This Row],[Quantity]],'Master Sheet'!$B$4:$B$12,0))</f>
        <v>7</v>
      </c>
      <c r="N854" s="71">
        <f>Table1[[#This Row],[Quantity]]*Table1[[#This Row],[Unit Price]]</f>
        <v>1627285</v>
      </c>
      <c r="O854" s="73">
        <v>0.1627285</v>
      </c>
      <c r="P854" s="70">
        <f>Table1[[#This Row],[Gross Amount]]*(1-(Table1[[#This Row],[Discount %]]/100))</f>
        <v>1513375.0499999998</v>
      </c>
      <c r="Q854" s="74">
        <f>(Table1[[#This Row],[Gross Amount]]*(1-(Table1[[#This Row],[Discount %]]/100)))/10000000</f>
        <v>0.15133750499999998</v>
      </c>
      <c r="R854" t="s">
        <v>42</v>
      </c>
      <c r="S854" t="str" cm="1">
        <f t="array" ref="S854">IFERROR(_xlfn.IFS(Table1[[#This Row],[Payment Status]]="Partial","In Transit",Table1[[#This Row],[Payment Status]]="Paid","Delivered",Table1[[#This Row],[Payment Status]]="Pending","Pending"),"Invalid Input")</f>
        <v>Pending</v>
      </c>
      <c r="T854" t="s">
        <v>27</v>
      </c>
      <c r="U854" t="str" cm="1">
        <f t="array" ref="U854">IFERROR(_xlfn.IFS(Table1[[#This Row],[Payment Status]]="Partial","In Transit",Table1[[#This Row],[Payment Status]]="Paid","Completed",Table1[[#This Row],[Payment Status]]="Pending","Pending"),"Invalid Input")</f>
        <v>Pending</v>
      </c>
    </row>
    <row r="855" spans="1:21" x14ac:dyDescent="0.25">
      <c r="A855" s="4" t="s">
        <v>1605</v>
      </c>
      <c r="B855" s="5">
        <v>45545</v>
      </c>
      <c r="C855" t="s">
        <v>52</v>
      </c>
      <c r="D855" t="s">
        <v>3269</v>
      </c>
      <c r="E855" t="s">
        <v>30</v>
      </c>
      <c r="F855" t="s">
        <v>3225</v>
      </c>
      <c r="G855" t="s">
        <v>31</v>
      </c>
      <c r="H855" t="str">
        <f>VLOOKUP(Table1[[#This Row],[City]],Table6[#All],2,FALSE)</f>
        <v>South</v>
      </c>
      <c r="I855" t="s">
        <v>3203</v>
      </c>
      <c r="J855" t="str">
        <f>_xlfn.XLOOKUP(Table1[[#This Row],[Tractor Model]],Table7[Product Model],Table7[Product Category],"Not Available",0)</f>
        <v>Kubota</v>
      </c>
      <c r="K855" s="4">
        <v>1</v>
      </c>
      <c r="L855" s="72">
        <v>298838</v>
      </c>
      <c r="M855" s="4">
        <f>INDEX('Master Sheet'!$C$4:$C$12,MATCH(Table1[[#This Row],[Quantity]],'Master Sheet'!$B$4:$B$12,0))</f>
        <v>3</v>
      </c>
      <c r="N855" s="71">
        <f>Table1[[#This Row],[Quantity]]*Table1[[#This Row],[Unit Price]]</f>
        <v>298838</v>
      </c>
      <c r="O855" s="73">
        <v>2.9883799999999999E-2</v>
      </c>
      <c r="P855" s="70">
        <f>Table1[[#This Row],[Gross Amount]]*(1-(Table1[[#This Row],[Discount %]]/100))</f>
        <v>289872.86</v>
      </c>
      <c r="Q855" s="74">
        <f>(Table1[[#This Row],[Gross Amount]]*(1-(Table1[[#This Row],[Discount %]]/100)))/10000000</f>
        <v>2.8987285999999998E-2</v>
      </c>
      <c r="R855" t="s">
        <v>42</v>
      </c>
      <c r="S855" t="str" cm="1">
        <f t="array" ref="S855">IFERROR(_xlfn.IFS(Table1[[#This Row],[Payment Status]]="Partial","In Transit",Table1[[#This Row],[Payment Status]]="Paid","Delivered",Table1[[#This Row],[Payment Status]]="Pending","Pending"),"Invalid Input")</f>
        <v>Pending</v>
      </c>
      <c r="T855" t="s">
        <v>27</v>
      </c>
      <c r="U855" t="str" cm="1">
        <f t="array" ref="U855">IFERROR(_xlfn.IFS(Table1[[#This Row],[Payment Status]]="Partial","In Transit",Table1[[#This Row],[Payment Status]]="Paid","Completed",Table1[[#This Row],[Payment Status]]="Pending","Pending"),"Invalid Input")</f>
        <v>Pending</v>
      </c>
    </row>
    <row r="856" spans="1:21" x14ac:dyDescent="0.25">
      <c r="A856" s="4" t="s">
        <v>1606</v>
      </c>
      <c r="B856" s="5">
        <v>45609</v>
      </c>
      <c r="C856" t="s">
        <v>73</v>
      </c>
      <c r="D856" t="s">
        <v>3271</v>
      </c>
      <c r="E856" t="s">
        <v>47</v>
      </c>
      <c r="F856" t="s">
        <v>3221</v>
      </c>
      <c r="G856" t="s">
        <v>48</v>
      </c>
      <c r="H856" t="str">
        <f>VLOOKUP(Table1[[#This Row],[City]],Table6[#All],2,FALSE)</f>
        <v>North</v>
      </c>
      <c r="I856" t="s">
        <v>3203</v>
      </c>
      <c r="J856" t="str">
        <f>_xlfn.XLOOKUP(Table1[[#This Row],[Tractor Model]],Table7[Product Model],Table7[Product Category],"Not Available",0)</f>
        <v>Kubota</v>
      </c>
      <c r="K856" s="4">
        <v>4</v>
      </c>
      <c r="L856" s="72">
        <v>810712</v>
      </c>
      <c r="M856" s="4">
        <f>INDEX('Master Sheet'!$C$4:$C$12,MATCH(Table1[[#This Row],[Quantity]],'Master Sheet'!$B$4:$B$12,0))</f>
        <v>6</v>
      </c>
      <c r="N856" s="71">
        <f>Table1[[#This Row],[Quantity]]*Table1[[#This Row],[Unit Price]]</f>
        <v>3242848</v>
      </c>
      <c r="O856" s="73">
        <v>0.32428479999999998</v>
      </c>
      <c r="P856" s="70">
        <f>Table1[[#This Row],[Gross Amount]]*(1-(Table1[[#This Row],[Discount %]]/100))</f>
        <v>3048277.1199999996</v>
      </c>
      <c r="Q856" s="74">
        <f>(Table1[[#This Row],[Gross Amount]]*(1-(Table1[[#This Row],[Discount %]]/100)))/10000000</f>
        <v>0.30482771199999997</v>
      </c>
      <c r="R856" t="s">
        <v>54</v>
      </c>
      <c r="S856" t="str" cm="1">
        <f t="array" ref="S856">IFERROR(_xlfn.IFS(Table1[[#This Row],[Payment Status]]="Partial","In Transit",Table1[[#This Row],[Payment Status]]="Paid","Delivered",Table1[[#This Row],[Payment Status]]="Pending","Pending"),"Invalid Input")</f>
        <v>Delivered</v>
      </c>
      <c r="T856" t="s">
        <v>44</v>
      </c>
      <c r="U856" t="str" cm="1">
        <f t="array" ref="U856">IFERROR(_xlfn.IFS(Table1[[#This Row],[Payment Status]]="Partial","In Transit",Table1[[#This Row],[Payment Status]]="Paid","Completed",Table1[[#This Row],[Payment Status]]="Pending","Pending"),"Invalid Input")</f>
        <v>Completed</v>
      </c>
    </row>
    <row r="857" spans="1:21" x14ac:dyDescent="0.25">
      <c r="A857" s="4" t="s">
        <v>1608</v>
      </c>
      <c r="B857" s="5">
        <v>45368</v>
      </c>
      <c r="C857" t="s">
        <v>62</v>
      </c>
      <c r="D857" t="s">
        <v>3268</v>
      </c>
      <c r="E857" t="s">
        <v>66</v>
      </c>
      <c r="F857" t="s">
        <v>3211</v>
      </c>
      <c r="G857" t="s">
        <v>67</v>
      </c>
      <c r="H857" t="str">
        <f>VLOOKUP(Table1[[#This Row],[City]],Table6[#All],2,FALSE)</f>
        <v>East</v>
      </c>
      <c r="I857" t="s">
        <v>3203</v>
      </c>
      <c r="J857" t="str">
        <f>_xlfn.XLOOKUP(Table1[[#This Row],[Tractor Model]],Table7[Product Model],Table7[Product Category],"Not Available",0)</f>
        <v>Kubota</v>
      </c>
      <c r="K857" s="4">
        <v>1</v>
      </c>
      <c r="L857" s="72">
        <v>552914</v>
      </c>
      <c r="M857" s="4">
        <f>INDEX('Master Sheet'!$C$4:$C$12,MATCH(Table1[[#This Row],[Quantity]],'Master Sheet'!$B$4:$B$12,0))</f>
        <v>3</v>
      </c>
      <c r="N857" s="71">
        <f>Table1[[#This Row],[Quantity]]*Table1[[#This Row],[Unit Price]]</f>
        <v>552914</v>
      </c>
      <c r="O857" s="73">
        <v>5.5291399999999997E-2</v>
      </c>
      <c r="P857" s="70">
        <f>Table1[[#This Row],[Gross Amount]]*(1-(Table1[[#This Row],[Discount %]]/100))</f>
        <v>536326.57999999996</v>
      </c>
      <c r="Q857" s="74">
        <f>(Table1[[#This Row],[Gross Amount]]*(1-(Table1[[#This Row],[Discount %]]/100)))/10000000</f>
        <v>5.3632657999999993E-2</v>
      </c>
      <c r="R857" t="s">
        <v>42</v>
      </c>
      <c r="S857" t="str" cm="1">
        <f t="array" ref="S857">IFERROR(_xlfn.IFS(Table1[[#This Row],[Payment Status]]="Partial","In Transit",Table1[[#This Row],[Payment Status]]="Paid","Delivered",Table1[[#This Row],[Payment Status]]="Pending","Pending"),"Invalid Input")</f>
        <v>Pending</v>
      </c>
      <c r="T857" t="s">
        <v>44</v>
      </c>
      <c r="U857" t="str" cm="1">
        <f t="array" ref="U857">IFERROR(_xlfn.IFS(Table1[[#This Row],[Payment Status]]="Partial","In Transit",Table1[[#This Row],[Payment Status]]="Paid","Completed",Table1[[#This Row],[Payment Status]]="Pending","Pending"),"Invalid Input")</f>
        <v>Pending</v>
      </c>
    </row>
    <row r="858" spans="1:21" x14ac:dyDescent="0.25">
      <c r="A858" s="4" t="s">
        <v>1610</v>
      </c>
      <c r="B858" s="5">
        <v>45723</v>
      </c>
      <c r="C858" t="s">
        <v>73</v>
      </c>
      <c r="D858" t="s">
        <v>3271</v>
      </c>
      <c r="E858" t="s">
        <v>119</v>
      </c>
      <c r="F858" t="s">
        <v>3228</v>
      </c>
      <c r="G858" t="s">
        <v>21</v>
      </c>
      <c r="H858" t="str">
        <f>VLOOKUP(Table1[[#This Row],[City]],Table6[#All],2,FALSE)</f>
        <v>North</v>
      </c>
      <c r="I858" t="s">
        <v>58</v>
      </c>
      <c r="J858" t="str">
        <f>_xlfn.XLOOKUP(Table1[[#This Row],[Tractor Model]],Table7[Product Model],Table7[Product Category],"Not Available",0)</f>
        <v>Powertrac</v>
      </c>
      <c r="K858" s="4">
        <v>4</v>
      </c>
      <c r="L858" s="72">
        <v>883579</v>
      </c>
      <c r="M858" s="4">
        <f>INDEX('Master Sheet'!$C$4:$C$12,MATCH(Table1[[#This Row],[Quantity]],'Master Sheet'!$B$4:$B$12,0))</f>
        <v>6</v>
      </c>
      <c r="N858" s="71">
        <f>Table1[[#This Row],[Quantity]]*Table1[[#This Row],[Unit Price]]</f>
        <v>3534316</v>
      </c>
      <c r="O858" s="73">
        <v>0.35343160000000001</v>
      </c>
      <c r="P858" s="70">
        <f>Table1[[#This Row],[Gross Amount]]*(1-(Table1[[#This Row],[Discount %]]/100))</f>
        <v>3322257.04</v>
      </c>
      <c r="Q858" s="74">
        <f>(Table1[[#This Row],[Gross Amount]]*(1-(Table1[[#This Row],[Discount %]]/100)))/10000000</f>
        <v>0.33222570400000001</v>
      </c>
      <c r="R858" t="s">
        <v>42</v>
      </c>
      <c r="S858" t="str" cm="1">
        <f t="array" ref="S858">IFERROR(_xlfn.IFS(Table1[[#This Row],[Payment Status]]="Partial","In Transit",Table1[[#This Row],[Payment Status]]="Paid","Delivered",Table1[[#This Row],[Payment Status]]="Pending","Pending"),"Invalid Input")</f>
        <v>Pending</v>
      </c>
      <c r="T858" t="s">
        <v>27</v>
      </c>
      <c r="U858" t="str" cm="1">
        <f t="array" ref="U858">IFERROR(_xlfn.IFS(Table1[[#This Row],[Payment Status]]="Partial","In Transit",Table1[[#This Row],[Payment Status]]="Paid","Completed",Table1[[#This Row],[Payment Status]]="Pending","Pending"),"Invalid Input")</f>
        <v>Pending</v>
      </c>
    </row>
    <row r="859" spans="1:21" x14ac:dyDescent="0.25">
      <c r="A859" s="4" t="s">
        <v>1611</v>
      </c>
      <c r="B859" s="5">
        <v>45796</v>
      </c>
      <c r="C859" t="s">
        <v>33</v>
      </c>
      <c r="D859" t="s">
        <v>3268</v>
      </c>
      <c r="E859" t="s">
        <v>66</v>
      </c>
      <c r="F859" t="s">
        <v>3211</v>
      </c>
      <c r="G859" t="s">
        <v>67</v>
      </c>
      <c r="H859" t="str">
        <f>VLOOKUP(Table1[[#This Row],[City]],Table6[#All],2,FALSE)</f>
        <v>East</v>
      </c>
      <c r="I859" t="s">
        <v>3203</v>
      </c>
      <c r="J859" t="str">
        <f>_xlfn.XLOOKUP(Table1[[#This Row],[Tractor Model]],Table7[Product Model],Table7[Product Category],"Not Available",0)</f>
        <v>Kubota</v>
      </c>
      <c r="K859" s="4">
        <v>8</v>
      </c>
      <c r="L859" s="72">
        <v>196554</v>
      </c>
      <c r="M859" s="4">
        <f>INDEX('Master Sheet'!$C$4:$C$12,MATCH(Table1[[#This Row],[Quantity]],'Master Sheet'!$B$4:$B$12,0))</f>
        <v>9</v>
      </c>
      <c r="N859" s="71">
        <f>Table1[[#This Row],[Quantity]]*Table1[[#This Row],[Unit Price]]</f>
        <v>1572432</v>
      </c>
      <c r="O859" s="73">
        <v>0.1572432</v>
      </c>
      <c r="P859" s="70">
        <f>Table1[[#This Row],[Gross Amount]]*(1-(Table1[[#This Row],[Discount %]]/100))</f>
        <v>1430913.12</v>
      </c>
      <c r="Q859" s="74">
        <f>(Table1[[#This Row],[Gross Amount]]*(1-(Table1[[#This Row],[Discount %]]/100)))/10000000</f>
        <v>0.143091312</v>
      </c>
      <c r="R859" t="s">
        <v>54</v>
      </c>
      <c r="S859" t="str" cm="1">
        <f t="array" ref="S859">IFERROR(_xlfn.IFS(Table1[[#This Row],[Payment Status]]="Partial","In Transit",Table1[[#This Row],[Payment Status]]="Paid","Delivered",Table1[[#This Row],[Payment Status]]="Pending","Pending"),"Invalid Input")</f>
        <v>Delivered</v>
      </c>
      <c r="T859" t="s">
        <v>27</v>
      </c>
      <c r="U859" t="str" cm="1">
        <f t="array" ref="U859">IFERROR(_xlfn.IFS(Table1[[#This Row],[Payment Status]]="Partial","In Transit",Table1[[#This Row],[Payment Status]]="Paid","Completed",Table1[[#This Row],[Payment Status]]="Pending","Pending"),"Invalid Input")</f>
        <v>Completed</v>
      </c>
    </row>
    <row r="860" spans="1:21" x14ac:dyDescent="0.25">
      <c r="A860" s="4" t="s">
        <v>1612</v>
      </c>
      <c r="B860" s="5">
        <v>45719</v>
      </c>
      <c r="C860" t="s">
        <v>62</v>
      </c>
      <c r="D860" t="s">
        <v>3269</v>
      </c>
      <c r="E860" t="s">
        <v>47</v>
      </c>
      <c r="F860" t="s">
        <v>3209</v>
      </c>
      <c r="G860" t="s">
        <v>48</v>
      </c>
      <c r="H860" t="str">
        <f>VLOOKUP(Table1[[#This Row],[City]],Table6[#All],2,FALSE)</f>
        <v>North</v>
      </c>
      <c r="I860" t="s">
        <v>3203</v>
      </c>
      <c r="J860" t="str">
        <f>_xlfn.XLOOKUP(Table1[[#This Row],[Tractor Model]],Table7[Product Model],Table7[Product Category],"Not Available",0)</f>
        <v>Kubota</v>
      </c>
      <c r="K860" s="4">
        <v>8</v>
      </c>
      <c r="L860" s="72">
        <v>416937</v>
      </c>
      <c r="M860" s="4">
        <f>INDEX('Master Sheet'!$C$4:$C$12,MATCH(Table1[[#This Row],[Quantity]],'Master Sheet'!$B$4:$B$12,0))</f>
        <v>9</v>
      </c>
      <c r="N860" s="71">
        <f>Table1[[#This Row],[Quantity]]*Table1[[#This Row],[Unit Price]]</f>
        <v>3335496</v>
      </c>
      <c r="O860" s="73">
        <v>0.3335496</v>
      </c>
      <c r="P860" s="70">
        <f>Table1[[#This Row],[Gross Amount]]*(1-(Table1[[#This Row],[Discount %]]/100))</f>
        <v>3035301.3600000003</v>
      </c>
      <c r="Q860" s="74">
        <f>(Table1[[#This Row],[Gross Amount]]*(1-(Table1[[#This Row],[Discount %]]/100)))/10000000</f>
        <v>0.30353013600000001</v>
      </c>
      <c r="R860" t="s">
        <v>54</v>
      </c>
      <c r="S860" t="str" cm="1">
        <f t="array" ref="S860">IFERROR(_xlfn.IFS(Table1[[#This Row],[Payment Status]]="Partial","In Transit",Table1[[#This Row],[Payment Status]]="Paid","Delivered",Table1[[#This Row],[Payment Status]]="Pending","Pending"),"Invalid Input")</f>
        <v>Delivered</v>
      </c>
      <c r="T860" t="s">
        <v>44</v>
      </c>
      <c r="U860" t="str" cm="1">
        <f t="array" ref="U860">IFERROR(_xlfn.IFS(Table1[[#This Row],[Payment Status]]="Partial","In Transit",Table1[[#This Row],[Payment Status]]="Paid","Completed",Table1[[#This Row],[Payment Status]]="Pending","Pending"),"Invalid Input")</f>
        <v>Completed</v>
      </c>
    </row>
    <row r="861" spans="1:21" x14ac:dyDescent="0.25">
      <c r="A861" s="4" t="s">
        <v>1614</v>
      </c>
      <c r="B861" s="5">
        <v>45434</v>
      </c>
      <c r="C861" t="s">
        <v>62</v>
      </c>
      <c r="D861" t="s">
        <v>3268</v>
      </c>
      <c r="E861" t="s">
        <v>38</v>
      </c>
      <c r="F861" t="s">
        <v>3219</v>
      </c>
      <c r="G861" t="s">
        <v>39</v>
      </c>
      <c r="H861" t="str">
        <f>VLOOKUP(Table1[[#This Row],[City]],Table6[#All],2,FALSE)</f>
        <v>West</v>
      </c>
      <c r="I861" t="s">
        <v>53</v>
      </c>
      <c r="J861" t="str">
        <f>_xlfn.XLOOKUP(Table1[[#This Row],[Tractor Model]],Table7[Product Model],Table7[Product Category],"Not Available",0)</f>
        <v>Farmtrac</v>
      </c>
      <c r="K861" s="4">
        <v>5</v>
      </c>
      <c r="L861" s="72">
        <v>149912</v>
      </c>
      <c r="M861" s="4">
        <f>INDEX('Master Sheet'!$C$4:$C$12,MATCH(Table1[[#This Row],[Quantity]],'Master Sheet'!$B$4:$B$12,0))</f>
        <v>7</v>
      </c>
      <c r="N861" s="71">
        <f>Table1[[#This Row],[Quantity]]*Table1[[#This Row],[Unit Price]]</f>
        <v>749560</v>
      </c>
      <c r="O861" s="73">
        <v>7.4955999999999995E-2</v>
      </c>
      <c r="P861" s="70">
        <f>Table1[[#This Row],[Gross Amount]]*(1-(Table1[[#This Row],[Discount %]]/100))</f>
        <v>697090.79999999993</v>
      </c>
      <c r="Q861" s="74">
        <f>(Table1[[#This Row],[Gross Amount]]*(1-(Table1[[#This Row],[Discount %]]/100)))/10000000</f>
        <v>6.9709079999999993E-2</v>
      </c>
      <c r="R861" t="s">
        <v>42</v>
      </c>
      <c r="S861" t="str" cm="1">
        <f t="array" ref="S861">IFERROR(_xlfn.IFS(Table1[[#This Row],[Payment Status]]="Partial","In Transit",Table1[[#This Row],[Payment Status]]="Paid","Delivered",Table1[[#This Row],[Payment Status]]="Pending","Pending"),"Invalid Input")</f>
        <v>Pending</v>
      </c>
      <c r="T861" t="s">
        <v>27</v>
      </c>
      <c r="U861" t="str" cm="1">
        <f t="array" ref="U861">IFERROR(_xlfn.IFS(Table1[[#This Row],[Payment Status]]="Partial","In Transit",Table1[[#This Row],[Payment Status]]="Paid","Completed",Table1[[#This Row],[Payment Status]]="Pending","Pending"),"Invalid Input")</f>
        <v>Pending</v>
      </c>
    </row>
    <row r="862" spans="1:21" x14ac:dyDescent="0.25">
      <c r="A862" s="4" t="s">
        <v>1615</v>
      </c>
      <c r="B862" s="5">
        <v>45564</v>
      </c>
      <c r="C862" t="s">
        <v>52</v>
      </c>
      <c r="D862" t="s">
        <v>37</v>
      </c>
      <c r="E862" t="s">
        <v>47</v>
      </c>
      <c r="F862" t="s">
        <v>3215</v>
      </c>
      <c r="G862" t="s">
        <v>48</v>
      </c>
      <c r="H862" t="str">
        <f>VLOOKUP(Table1[[#This Row],[City]],Table6[#All],2,FALSE)</f>
        <v>North</v>
      </c>
      <c r="I862" t="s">
        <v>24</v>
      </c>
      <c r="J862" t="str">
        <f>_xlfn.XLOOKUP(Table1[[#This Row],[Tractor Model]],Table7[Product Model],Table7[Product Category],"Not Available",0)</f>
        <v>Farmtrac</v>
      </c>
      <c r="K862" s="4">
        <v>2</v>
      </c>
      <c r="L862" s="72">
        <v>258994</v>
      </c>
      <c r="M862" s="4">
        <f>INDEX('Master Sheet'!$C$4:$C$12,MATCH(Table1[[#This Row],[Quantity]],'Master Sheet'!$B$4:$B$12,0))</f>
        <v>5</v>
      </c>
      <c r="N862" s="71">
        <f>Table1[[#This Row],[Quantity]]*Table1[[#This Row],[Unit Price]]</f>
        <v>517988</v>
      </c>
      <c r="O862" s="73">
        <v>5.1798799999999999E-2</v>
      </c>
      <c r="P862" s="70">
        <f>Table1[[#This Row],[Gross Amount]]*(1-(Table1[[#This Row],[Discount %]]/100))</f>
        <v>492088.6</v>
      </c>
      <c r="Q862" s="74">
        <f>(Table1[[#This Row],[Gross Amount]]*(1-(Table1[[#This Row],[Discount %]]/100)))/10000000</f>
        <v>4.920886E-2</v>
      </c>
      <c r="R862" t="s">
        <v>42</v>
      </c>
      <c r="S862" t="str" cm="1">
        <f t="array" ref="S862">IFERROR(_xlfn.IFS(Table1[[#This Row],[Payment Status]]="Partial","In Transit",Table1[[#This Row],[Payment Status]]="Paid","Delivered",Table1[[#This Row],[Payment Status]]="Pending","Pending"),"Invalid Input")</f>
        <v>Pending</v>
      </c>
      <c r="T862" t="s">
        <v>44</v>
      </c>
      <c r="U862" t="str" cm="1">
        <f t="array" ref="U862">IFERROR(_xlfn.IFS(Table1[[#This Row],[Payment Status]]="Partial","In Transit",Table1[[#This Row],[Payment Status]]="Paid","Completed",Table1[[#This Row],[Payment Status]]="Pending","Pending"),"Invalid Input")</f>
        <v>Pending</v>
      </c>
    </row>
    <row r="863" spans="1:21" x14ac:dyDescent="0.25">
      <c r="A863" s="4" t="s">
        <v>1617</v>
      </c>
      <c r="B863" s="5">
        <v>45377</v>
      </c>
      <c r="C863" t="s">
        <v>52</v>
      </c>
      <c r="D863" t="s">
        <v>37</v>
      </c>
      <c r="E863" t="s">
        <v>38</v>
      </c>
      <c r="F863" t="s">
        <v>3214</v>
      </c>
      <c r="G863" t="s">
        <v>39</v>
      </c>
      <c r="H863" t="str">
        <f>VLOOKUP(Table1[[#This Row],[City]],Table6[#All],2,FALSE)</f>
        <v>West</v>
      </c>
      <c r="I863" t="s">
        <v>3204</v>
      </c>
      <c r="J863" t="str">
        <f>_xlfn.XLOOKUP(Table1[[#This Row],[Tractor Model]],Table7[Product Model],Table7[Product Category],"Not Available",0)</f>
        <v>Kubota</v>
      </c>
      <c r="K863" s="4">
        <v>3</v>
      </c>
      <c r="L863" s="72">
        <v>594791</v>
      </c>
      <c r="M863" s="4">
        <f>INDEX('Master Sheet'!$C$4:$C$12,MATCH(Table1[[#This Row],[Quantity]],'Master Sheet'!$B$4:$B$12,0))</f>
        <v>6</v>
      </c>
      <c r="N863" s="71">
        <f>Table1[[#This Row],[Quantity]]*Table1[[#This Row],[Unit Price]]</f>
        <v>1784373</v>
      </c>
      <c r="O863" s="73">
        <v>0.17843729999999999</v>
      </c>
      <c r="P863" s="70">
        <f>Table1[[#This Row],[Gross Amount]]*(1-(Table1[[#This Row],[Discount %]]/100))</f>
        <v>1677310.6199999999</v>
      </c>
      <c r="Q863" s="74">
        <f>(Table1[[#This Row],[Gross Amount]]*(1-(Table1[[#This Row],[Discount %]]/100)))/10000000</f>
        <v>0.16773106199999999</v>
      </c>
      <c r="R863" t="s">
        <v>25</v>
      </c>
      <c r="S863" t="str" cm="1">
        <f t="array" ref="S863">IFERROR(_xlfn.IFS(Table1[[#This Row],[Payment Status]]="Partial","In Transit",Table1[[#This Row],[Payment Status]]="Paid","Delivered",Table1[[#This Row],[Payment Status]]="Pending","Pending"),"Invalid Input")</f>
        <v>In Transit</v>
      </c>
      <c r="T863" t="s">
        <v>27</v>
      </c>
      <c r="U863" t="str" cm="1">
        <f t="array" ref="U863">IFERROR(_xlfn.IFS(Table1[[#This Row],[Payment Status]]="Partial","In Transit",Table1[[#This Row],[Payment Status]]="Paid","Completed",Table1[[#This Row],[Payment Status]]="Pending","Pending"),"Invalid Input")</f>
        <v>In Transit</v>
      </c>
    </row>
    <row r="864" spans="1:21" x14ac:dyDescent="0.25">
      <c r="A864" s="4" t="s">
        <v>1618</v>
      </c>
      <c r="B864" s="5">
        <v>45755</v>
      </c>
      <c r="C864" t="s">
        <v>41</v>
      </c>
      <c r="D864" t="s">
        <v>3270</v>
      </c>
      <c r="E864" t="s">
        <v>47</v>
      </c>
      <c r="F864" t="s">
        <v>3205</v>
      </c>
      <c r="G864" t="s">
        <v>48</v>
      </c>
      <c r="H864" t="str">
        <f>VLOOKUP(Table1[[#This Row],[City]],Table6[#All],2,FALSE)</f>
        <v>North</v>
      </c>
      <c r="I864" t="s">
        <v>58</v>
      </c>
      <c r="J864" t="str">
        <f>_xlfn.XLOOKUP(Table1[[#This Row],[Tractor Model]],Table7[Product Model],Table7[Product Category],"Not Available",0)</f>
        <v>Powertrac</v>
      </c>
      <c r="K864" s="4">
        <v>1</v>
      </c>
      <c r="L864" s="72">
        <v>773915</v>
      </c>
      <c r="M864" s="4">
        <f>INDEX('Master Sheet'!$C$4:$C$12,MATCH(Table1[[#This Row],[Quantity]],'Master Sheet'!$B$4:$B$12,0))</f>
        <v>3</v>
      </c>
      <c r="N864" s="71">
        <f>Table1[[#This Row],[Quantity]]*Table1[[#This Row],[Unit Price]]</f>
        <v>773915</v>
      </c>
      <c r="O864" s="73">
        <v>7.7391500000000002E-2</v>
      </c>
      <c r="P864" s="70">
        <f>Table1[[#This Row],[Gross Amount]]*(1-(Table1[[#This Row],[Discount %]]/100))</f>
        <v>750697.54999999993</v>
      </c>
      <c r="Q864" s="74">
        <f>(Table1[[#This Row],[Gross Amount]]*(1-(Table1[[#This Row],[Discount %]]/100)))/10000000</f>
        <v>7.5069754999999988E-2</v>
      </c>
      <c r="R864" t="s">
        <v>42</v>
      </c>
      <c r="S864" t="str" cm="1">
        <f t="array" ref="S864">IFERROR(_xlfn.IFS(Table1[[#This Row],[Payment Status]]="Partial","In Transit",Table1[[#This Row],[Payment Status]]="Paid","Delivered",Table1[[#This Row],[Payment Status]]="Pending","Pending"),"Invalid Input")</f>
        <v>Pending</v>
      </c>
      <c r="T864" t="s">
        <v>27</v>
      </c>
      <c r="U864" t="str" cm="1">
        <f t="array" ref="U864">IFERROR(_xlfn.IFS(Table1[[#This Row],[Payment Status]]="Partial","In Transit",Table1[[#This Row],[Payment Status]]="Paid","Completed",Table1[[#This Row],[Payment Status]]="Pending","Pending"),"Invalid Input")</f>
        <v>Pending</v>
      </c>
    </row>
    <row r="865" spans="1:21" x14ac:dyDescent="0.25">
      <c r="A865" s="4" t="s">
        <v>1620</v>
      </c>
      <c r="B865" s="5">
        <v>45621</v>
      </c>
      <c r="C865" t="s">
        <v>41</v>
      </c>
      <c r="D865" t="s">
        <v>3269</v>
      </c>
      <c r="E865" t="s">
        <v>30</v>
      </c>
      <c r="F865" t="s">
        <v>3225</v>
      </c>
      <c r="G865" t="s">
        <v>31</v>
      </c>
      <c r="H865" t="str">
        <f>VLOOKUP(Table1[[#This Row],[City]],Table6[#All],2,FALSE)</f>
        <v>South</v>
      </c>
      <c r="I865" t="s">
        <v>58</v>
      </c>
      <c r="J865" t="str">
        <f>_xlfn.XLOOKUP(Table1[[#This Row],[Tractor Model]],Table7[Product Model],Table7[Product Category],"Not Available",0)</f>
        <v>Powertrac</v>
      </c>
      <c r="K865" s="4">
        <v>7</v>
      </c>
      <c r="L865" s="72">
        <v>292197</v>
      </c>
      <c r="M865" s="4">
        <f>INDEX('Master Sheet'!$C$4:$C$12,MATCH(Table1[[#This Row],[Quantity]],'Master Sheet'!$B$4:$B$12,0))</f>
        <v>9</v>
      </c>
      <c r="N865" s="71">
        <f>Table1[[#This Row],[Quantity]]*Table1[[#This Row],[Unit Price]]</f>
        <v>2045379</v>
      </c>
      <c r="O865" s="73">
        <v>0.20453789999999999</v>
      </c>
      <c r="P865" s="70">
        <f>Table1[[#This Row],[Gross Amount]]*(1-(Table1[[#This Row],[Discount %]]/100))</f>
        <v>1861294.8900000001</v>
      </c>
      <c r="Q865" s="74">
        <f>(Table1[[#This Row],[Gross Amount]]*(1-(Table1[[#This Row],[Discount %]]/100)))/10000000</f>
        <v>0.18612948900000001</v>
      </c>
      <c r="R865" t="s">
        <v>42</v>
      </c>
      <c r="S865" t="str" cm="1">
        <f t="array" ref="S865">IFERROR(_xlfn.IFS(Table1[[#This Row],[Payment Status]]="Partial","In Transit",Table1[[#This Row],[Payment Status]]="Paid","Delivered",Table1[[#This Row],[Payment Status]]="Pending","Pending"),"Invalid Input")</f>
        <v>Pending</v>
      </c>
      <c r="T865" t="s">
        <v>27</v>
      </c>
      <c r="U865" t="str" cm="1">
        <f t="array" ref="U865">IFERROR(_xlfn.IFS(Table1[[#This Row],[Payment Status]]="Partial","In Transit",Table1[[#This Row],[Payment Status]]="Paid","Completed",Table1[[#This Row],[Payment Status]]="Pending","Pending"),"Invalid Input")</f>
        <v>Pending</v>
      </c>
    </row>
    <row r="866" spans="1:21" x14ac:dyDescent="0.25">
      <c r="A866" s="4" t="s">
        <v>1621</v>
      </c>
      <c r="B866" s="5">
        <v>45364</v>
      </c>
      <c r="C866" t="s">
        <v>73</v>
      </c>
      <c r="D866" t="s">
        <v>37</v>
      </c>
      <c r="E866" t="s">
        <v>38</v>
      </c>
      <c r="F866" t="s">
        <v>3214</v>
      </c>
      <c r="G866" t="s">
        <v>39</v>
      </c>
      <c r="H866" t="str">
        <f>VLOOKUP(Table1[[#This Row],[City]],Table6[#All],2,FALSE)</f>
        <v>West</v>
      </c>
      <c r="I866" t="s">
        <v>53</v>
      </c>
      <c r="J866" t="str">
        <f>_xlfn.XLOOKUP(Table1[[#This Row],[Tractor Model]],Table7[Product Model],Table7[Product Category],"Not Available",0)</f>
        <v>Farmtrac</v>
      </c>
      <c r="K866" s="4">
        <v>3</v>
      </c>
      <c r="L866" s="72">
        <v>360518</v>
      </c>
      <c r="M866" s="4">
        <f>INDEX('Master Sheet'!$C$4:$C$12,MATCH(Table1[[#This Row],[Quantity]],'Master Sheet'!$B$4:$B$12,0))</f>
        <v>6</v>
      </c>
      <c r="N866" s="71">
        <f>Table1[[#This Row],[Quantity]]*Table1[[#This Row],[Unit Price]]</f>
        <v>1081554</v>
      </c>
      <c r="O866" s="73">
        <v>0.1081554</v>
      </c>
      <c r="P866" s="70">
        <f>Table1[[#This Row],[Gross Amount]]*(1-(Table1[[#This Row],[Discount %]]/100))</f>
        <v>1016660.7599999999</v>
      </c>
      <c r="Q866" s="74">
        <f>(Table1[[#This Row],[Gross Amount]]*(1-(Table1[[#This Row],[Discount %]]/100)))/10000000</f>
        <v>0.10166607599999999</v>
      </c>
      <c r="R866" t="s">
        <v>25</v>
      </c>
      <c r="S866" t="str" cm="1">
        <f t="array" ref="S866">IFERROR(_xlfn.IFS(Table1[[#This Row],[Payment Status]]="Partial","In Transit",Table1[[#This Row],[Payment Status]]="Paid","Delivered",Table1[[#This Row],[Payment Status]]="Pending","Pending"),"Invalid Input")</f>
        <v>In Transit</v>
      </c>
      <c r="T866" t="s">
        <v>44</v>
      </c>
      <c r="U866" t="str" cm="1">
        <f t="array" ref="U866">IFERROR(_xlfn.IFS(Table1[[#This Row],[Payment Status]]="Partial","In Transit",Table1[[#This Row],[Payment Status]]="Paid","Completed",Table1[[#This Row],[Payment Status]]="Pending","Pending"),"Invalid Input")</f>
        <v>In Transit</v>
      </c>
    </row>
    <row r="867" spans="1:21" x14ac:dyDescent="0.25">
      <c r="A867" s="4" t="s">
        <v>1623</v>
      </c>
      <c r="B867" s="5">
        <v>45302</v>
      </c>
      <c r="C867" t="s">
        <v>33</v>
      </c>
      <c r="D867" t="s">
        <v>3269</v>
      </c>
      <c r="E867" t="s">
        <v>30</v>
      </c>
      <c r="F867" t="s">
        <v>3225</v>
      </c>
      <c r="G867" t="s">
        <v>31</v>
      </c>
      <c r="H867" t="str">
        <f>VLOOKUP(Table1[[#This Row],[City]],Table6[#All],2,FALSE)</f>
        <v>South</v>
      </c>
      <c r="I867" t="s">
        <v>3203</v>
      </c>
      <c r="J867" t="str">
        <f>_xlfn.XLOOKUP(Table1[[#This Row],[Tractor Model]],Table7[Product Model],Table7[Product Category],"Not Available",0)</f>
        <v>Kubota</v>
      </c>
      <c r="K867" s="4">
        <v>6</v>
      </c>
      <c r="L867" s="72">
        <v>569855</v>
      </c>
      <c r="M867" s="4">
        <f>INDEX('Master Sheet'!$C$4:$C$12,MATCH(Table1[[#This Row],[Quantity]],'Master Sheet'!$B$4:$B$12,0))</f>
        <v>8</v>
      </c>
      <c r="N867" s="71">
        <f>Table1[[#This Row],[Quantity]]*Table1[[#This Row],[Unit Price]]</f>
        <v>3419130</v>
      </c>
      <c r="O867" s="73">
        <v>0.34191300000000002</v>
      </c>
      <c r="P867" s="70">
        <f>Table1[[#This Row],[Gross Amount]]*(1-(Table1[[#This Row],[Discount %]]/100))</f>
        <v>3145599.6</v>
      </c>
      <c r="Q867" s="74">
        <f>(Table1[[#This Row],[Gross Amount]]*(1-(Table1[[#This Row],[Discount %]]/100)))/10000000</f>
        <v>0.31455996000000003</v>
      </c>
      <c r="R867" t="s">
        <v>25</v>
      </c>
      <c r="S867" t="str" cm="1">
        <f t="array" ref="S867">IFERROR(_xlfn.IFS(Table1[[#This Row],[Payment Status]]="Partial","In Transit",Table1[[#This Row],[Payment Status]]="Paid","Delivered",Table1[[#This Row],[Payment Status]]="Pending","Pending"),"Invalid Input")</f>
        <v>In Transit</v>
      </c>
      <c r="T867" t="s">
        <v>27</v>
      </c>
      <c r="U867" t="str" cm="1">
        <f t="array" ref="U867">IFERROR(_xlfn.IFS(Table1[[#This Row],[Payment Status]]="Partial","In Transit",Table1[[#This Row],[Payment Status]]="Paid","Completed",Table1[[#This Row],[Payment Status]]="Pending","Pending"),"Invalid Input")</f>
        <v>In Transit</v>
      </c>
    </row>
    <row r="868" spans="1:21" x14ac:dyDescent="0.25">
      <c r="A868" s="4" t="s">
        <v>1624</v>
      </c>
      <c r="B868" s="5">
        <v>45414</v>
      </c>
      <c r="C868" t="s">
        <v>33</v>
      </c>
      <c r="D868" t="s">
        <v>3270</v>
      </c>
      <c r="E868" t="s">
        <v>119</v>
      </c>
      <c r="F868" t="s">
        <v>3212</v>
      </c>
      <c r="G868" t="s">
        <v>21</v>
      </c>
      <c r="H868" t="str">
        <f>VLOOKUP(Table1[[#This Row],[City]],Table6[#All],2,FALSE)</f>
        <v>North</v>
      </c>
      <c r="I868" t="s">
        <v>53</v>
      </c>
      <c r="J868" t="str">
        <f>_xlfn.XLOOKUP(Table1[[#This Row],[Tractor Model]],Table7[Product Model],Table7[Product Category],"Not Available",0)</f>
        <v>Farmtrac</v>
      </c>
      <c r="K868" s="4">
        <v>2</v>
      </c>
      <c r="L868" s="72">
        <v>845634</v>
      </c>
      <c r="M868" s="4">
        <f>INDEX('Master Sheet'!$C$4:$C$12,MATCH(Table1[[#This Row],[Quantity]],'Master Sheet'!$B$4:$B$12,0))</f>
        <v>5</v>
      </c>
      <c r="N868" s="71">
        <f>Table1[[#This Row],[Quantity]]*Table1[[#This Row],[Unit Price]]</f>
        <v>1691268</v>
      </c>
      <c r="O868" s="73">
        <v>0.16912679999999999</v>
      </c>
      <c r="P868" s="70">
        <f>Table1[[#This Row],[Gross Amount]]*(1-(Table1[[#This Row],[Discount %]]/100))</f>
        <v>1606704.5999999999</v>
      </c>
      <c r="Q868" s="74">
        <f>(Table1[[#This Row],[Gross Amount]]*(1-(Table1[[#This Row],[Discount %]]/100)))/10000000</f>
        <v>0.16067045999999999</v>
      </c>
      <c r="R868" t="s">
        <v>25</v>
      </c>
      <c r="S868" t="str" cm="1">
        <f t="array" ref="S868">IFERROR(_xlfn.IFS(Table1[[#This Row],[Payment Status]]="Partial","In Transit",Table1[[#This Row],[Payment Status]]="Paid","Delivered",Table1[[#This Row],[Payment Status]]="Pending","Pending"),"Invalid Input")</f>
        <v>In Transit</v>
      </c>
      <c r="T868" t="s">
        <v>27</v>
      </c>
      <c r="U868" t="str" cm="1">
        <f t="array" ref="U868">IFERROR(_xlfn.IFS(Table1[[#This Row],[Payment Status]]="Partial","In Transit",Table1[[#This Row],[Payment Status]]="Paid","Completed",Table1[[#This Row],[Payment Status]]="Pending","Pending"),"Invalid Input")</f>
        <v>In Transit</v>
      </c>
    </row>
    <row r="869" spans="1:21" x14ac:dyDescent="0.25">
      <c r="A869" s="4" t="s">
        <v>1625</v>
      </c>
      <c r="B869" s="5">
        <v>45477</v>
      </c>
      <c r="C869" t="s">
        <v>73</v>
      </c>
      <c r="D869" t="s">
        <v>3269</v>
      </c>
      <c r="E869" t="s">
        <v>30</v>
      </c>
      <c r="F869" t="s">
        <v>3225</v>
      </c>
      <c r="G869" t="s">
        <v>31</v>
      </c>
      <c r="H869" t="str">
        <f>VLOOKUP(Table1[[#This Row],[City]],Table6[#All],2,FALSE)</f>
        <v>South</v>
      </c>
      <c r="I869" t="s">
        <v>24</v>
      </c>
      <c r="J869" t="str">
        <f>_xlfn.XLOOKUP(Table1[[#This Row],[Tractor Model]],Table7[Product Model],Table7[Product Category],"Not Available",0)</f>
        <v>Farmtrac</v>
      </c>
      <c r="K869" s="4">
        <v>5</v>
      </c>
      <c r="L869" s="72">
        <v>786733</v>
      </c>
      <c r="M869" s="4">
        <f>INDEX('Master Sheet'!$C$4:$C$12,MATCH(Table1[[#This Row],[Quantity]],'Master Sheet'!$B$4:$B$12,0))</f>
        <v>7</v>
      </c>
      <c r="N869" s="71">
        <f>Table1[[#This Row],[Quantity]]*Table1[[#This Row],[Unit Price]]</f>
        <v>3933665</v>
      </c>
      <c r="O869" s="73">
        <v>0.39336650000000001</v>
      </c>
      <c r="P869" s="70">
        <f>Table1[[#This Row],[Gross Amount]]*(1-(Table1[[#This Row],[Discount %]]/100))</f>
        <v>3658308.4499999997</v>
      </c>
      <c r="Q869" s="74">
        <f>(Table1[[#This Row],[Gross Amount]]*(1-(Table1[[#This Row],[Discount %]]/100)))/10000000</f>
        <v>0.36583084499999996</v>
      </c>
      <c r="R869" t="s">
        <v>42</v>
      </c>
      <c r="S869" t="str" cm="1">
        <f t="array" ref="S869">IFERROR(_xlfn.IFS(Table1[[#This Row],[Payment Status]]="Partial","In Transit",Table1[[#This Row],[Payment Status]]="Paid","Delivered",Table1[[#This Row],[Payment Status]]="Pending","Pending"),"Invalid Input")</f>
        <v>Pending</v>
      </c>
      <c r="T869" t="s">
        <v>27</v>
      </c>
      <c r="U869" t="str" cm="1">
        <f t="array" ref="U869">IFERROR(_xlfn.IFS(Table1[[#This Row],[Payment Status]]="Partial","In Transit",Table1[[#This Row],[Payment Status]]="Paid","Completed",Table1[[#This Row],[Payment Status]]="Pending","Pending"),"Invalid Input")</f>
        <v>Pending</v>
      </c>
    </row>
    <row r="870" spans="1:21" x14ac:dyDescent="0.25">
      <c r="A870" s="4" t="s">
        <v>1627</v>
      </c>
      <c r="B870" s="5">
        <v>45388</v>
      </c>
      <c r="C870" t="s">
        <v>73</v>
      </c>
      <c r="D870" t="s">
        <v>3271</v>
      </c>
      <c r="E870" t="s">
        <v>66</v>
      </c>
      <c r="F870" t="s">
        <v>3207</v>
      </c>
      <c r="G870" t="s">
        <v>67</v>
      </c>
      <c r="H870" t="str">
        <f>VLOOKUP(Table1[[#This Row],[City]],Table6[#All],2,FALSE)</f>
        <v>East</v>
      </c>
      <c r="I870" t="s">
        <v>3203</v>
      </c>
      <c r="J870" t="str">
        <f>_xlfn.XLOOKUP(Table1[[#This Row],[Tractor Model]],Table7[Product Model],Table7[Product Category],"Not Available",0)</f>
        <v>Kubota</v>
      </c>
      <c r="K870" s="4">
        <v>6</v>
      </c>
      <c r="L870" s="72">
        <v>785879</v>
      </c>
      <c r="M870" s="4">
        <f>INDEX('Master Sheet'!$C$4:$C$12,MATCH(Table1[[#This Row],[Quantity]],'Master Sheet'!$B$4:$B$12,0))</f>
        <v>8</v>
      </c>
      <c r="N870" s="71">
        <f>Table1[[#This Row],[Quantity]]*Table1[[#This Row],[Unit Price]]</f>
        <v>4715274</v>
      </c>
      <c r="O870" s="73">
        <v>0.47152739999999999</v>
      </c>
      <c r="P870" s="70">
        <f>Table1[[#This Row],[Gross Amount]]*(1-(Table1[[#This Row],[Discount %]]/100))</f>
        <v>4338052.08</v>
      </c>
      <c r="Q870" s="74">
        <f>(Table1[[#This Row],[Gross Amount]]*(1-(Table1[[#This Row],[Discount %]]/100)))/10000000</f>
        <v>0.433805208</v>
      </c>
      <c r="R870" t="s">
        <v>25</v>
      </c>
      <c r="S870" t="str" cm="1">
        <f t="array" ref="S870">IFERROR(_xlfn.IFS(Table1[[#This Row],[Payment Status]]="Partial","In Transit",Table1[[#This Row],[Payment Status]]="Paid","Delivered",Table1[[#This Row],[Payment Status]]="Pending","Pending"),"Invalid Input")</f>
        <v>In Transit</v>
      </c>
      <c r="T870" t="s">
        <v>27</v>
      </c>
      <c r="U870" t="str" cm="1">
        <f t="array" ref="U870">IFERROR(_xlfn.IFS(Table1[[#This Row],[Payment Status]]="Partial","In Transit",Table1[[#This Row],[Payment Status]]="Paid","Completed",Table1[[#This Row],[Payment Status]]="Pending","Pending"),"Invalid Input")</f>
        <v>In Transit</v>
      </c>
    </row>
    <row r="871" spans="1:21" x14ac:dyDescent="0.25">
      <c r="A871" s="4" t="s">
        <v>1629</v>
      </c>
      <c r="B871" s="5">
        <v>45601</v>
      </c>
      <c r="C871" t="s">
        <v>33</v>
      </c>
      <c r="D871" t="s">
        <v>3268</v>
      </c>
      <c r="E871" t="s">
        <v>66</v>
      </c>
      <c r="F871" t="s">
        <v>3211</v>
      </c>
      <c r="G871" t="s">
        <v>67</v>
      </c>
      <c r="H871" t="str">
        <f>VLOOKUP(Table1[[#This Row],[City]],Table6[#All],2,FALSE)</f>
        <v>East</v>
      </c>
      <c r="I871" t="s">
        <v>58</v>
      </c>
      <c r="J871" t="str">
        <f>_xlfn.XLOOKUP(Table1[[#This Row],[Tractor Model]],Table7[Product Model],Table7[Product Category],"Not Available",0)</f>
        <v>Powertrac</v>
      </c>
      <c r="K871" s="4">
        <v>4</v>
      </c>
      <c r="L871" s="72">
        <v>373338</v>
      </c>
      <c r="M871" s="4">
        <f>INDEX('Master Sheet'!$C$4:$C$12,MATCH(Table1[[#This Row],[Quantity]],'Master Sheet'!$B$4:$B$12,0))</f>
        <v>6</v>
      </c>
      <c r="N871" s="71">
        <f>Table1[[#This Row],[Quantity]]*Table1[[#This Row],[Unit Price]]</f>
        <v>1493352</v>
      </c>
      <c r="O871" s="73">
        <v>0.1493352</v>
      </c>
      <c r="P871" s="70">
        <f>Table1[[#This Row],[Gross Amount]]*(1-(Table1[[#This Row],[Discount %]]/100))</f>
        <v>1403750.88</v>
      </c>
      <c r="Q871" s="74">
        <f>(Table1[[#This Row],[Gross Amount]]*(1-(Table1[[#This Row],[Discount %]]/100)))/10000000</f>
        <v>0.14037508799999998</v>
      </c>
      <c r="R871" t="s">
        <v>25</v>
      </c>
      <c r="S871" t="str" cm="1">
        <f t="array" ref="S871">IFERROR(_xlfn.IFS(Table1[[#This Row],[Payment Status]]="Partial","In Transit",Table1[[#This Row],[Payment Status]]="Paid","Delivered",Table1[[#This Row],[Payment Status]]="Pending","Pending"),"Invalid Input")</f>
        <v>In Transit</v>
      </c>
      <c r="T871" t="s">
        <v>44</v>
      </c>
      <c r="U871" t="str" cm="1">
        <f t="array" ref="U871">IFERROR(_xlfn.IFS(Table1[[#This Row],[Payment Status]]="Partial","In Transit",Table1[[#This Row],[Payment Status]]="Paid","Completed",Table1[[#This Row],[Payment Status]]="Pending","Pending"),"Invalid Input")</f>
        <v>In Transit</v>
      </c>
    </row>
    <row r="872" spans="1:21" x14ac:dyDescent="0.25">
      <c r="A872" s="4" t="s">
        <v>1631</v>
      </c>
      <c r="B872" s="5">
        <v>45367</v>
      </c>
      <c r="C872" t="s">
        <v>62</v>
      </c>
      <c r="D872" t="s">
        <v>3271</v>
      </c>
      <c r="E872" t="s">
        <v>30</v>
      </c>
      <c r="F872" t="s">
        <v>3217</v>
      </c>
      <c r="G872" t="s">
        <v>31</v>
      </c>
      <c r="H872" t="str">
        <f>VLOOKUP(Table1[[#This Row],[City]],Table6[#All],2,FALSE)</f>
        <v>South</v>
      </c>
      <c r="I872" t="s">
        <v>58</v>
      </c>
      <c r="J872" t="str">
        <f>_xlfn.XLOOKUP(Table1[[#This Row],[Tractor Model]],Table7[Product Model],Table7[Product Category],"Not Available",0)</f>
        <v>Powertrac</v>
      </c>
      <c r="K872" s="4">
        <v>8</v>
      </c>
      <c r="L872" s="72">
        <v>835335</v>
      </c>
      <c r="M872" s="4">
        <f>INDEX('Master Sheet'!$C$4:$C$12,MATCH(Table1[[#This Row],[Quantity]],'Master Sheet'!$B$4:$B$12,0))</f>
        <v>9</v>
      </c>
      <c r="N872" s="71">
        <f>Table1[[#This Row],[Quantity]]*Table1[[#This Row],[Unit Price]]</f>
        <v>6682680</v>
      </c>
      <c r="O872" s="73">
        <v>0.66826799999999997</v>
      </c>
      <c r="P872" s="70">
        <f>Table1[[#This Row],[Gross Amount]]*(1-(Table1[[#This Row],[Discount %]]/100))</f>
        <v>6081238.7999999998</v>
      </c>
      <c r="Q872" s="74">
        <f>(Table1[[#This Row],[Gross Amount]]*(1-(Table1[[#This Row],[Discount %]]/100)))/10000000</f>
        <v>0.60812387999999995</v>
      </c>
      <c r="R872" t="s">
        <v>54</v>
      </c>
      <c r="S872" t="str" cm="1">
        <f t="array" ref="S872">IFERROR(_xlfn.IFS(Table1[[#This Row],[Payment Status]]="Partial","In Transit",Table1[[#This Row],[Payment Status]]="Paid","Delivered",Table1[[#This Row],[Payment Status]]="Pending","Pending"),"Invalid Input")</f>
        <v>Delivered</v>
      </c>
      <c r="T872" t="s">
        <v>44</v>
      </c>
      <c r="U872" t="str" cm="1">
        <f t="array" ref="U872">IFERROR(_xlfn.IFS(Table1[[#This Row],[Payment Status]]="Partial","In Transit",Table1[[#This Row],[Payment Status]]="Paid","Completed",Table1[[#This Row],[Payment Status]]="Pending","Pending"),"Invalid Input")</f>
        <v>Completed</v>
      </c>
    </row>
    <row r="873" spans="1:21" x14ac:dyDescent="0.25">
      <c r="A873" s="4" t="s">
        <v>1632</v>
      </c>
      <c r="B873" s="5">
        <v>45493</v>
      </c>
      <c r="C873" t="s">
        <v>52</v>
      </c>
      <c r="D873" t="s">
        <v>3269</v>
      </c>
      <c r="E873" t="s">
        <v>119</v>
      </c>
      <c r="F873" t="s">
        <v>3229</v>
      </c>
      <c r="G873" t="s">
        <v>21</v>
      </c>
      <c r="H873" t="str">
        <f>VLOOKUP(Table1[[#This Row],[City]],Table6[#All],2,FALSE)</f>
        <v>North</v>
      </c>
      <c r="I873" t="s">
        <v>58</v>
      </c>
      <c r="J873" t="str">
        <f>_xlfn.XLOOKUP(Table1[[#This Row],[Tractor Model]],Table7[Product Model],Table7[Product Category],"Not Available",0)</f>
        <v>Powertrac</v>
      </c>
      <c r="K873" s="4">
        <v>5</v>
      </c>
      <c r="L873" s="72">
        <v>268238</v>
      </c>
      <c r="M873" s="4">
        <f>INDEX('Master Sheet'!$C$4:$C$12,MATCH(Table1[[#This Row],[Quantity]],'Master Sheet'!$B$4:$B$12,0))</f>
        <v>7</v>
      </c>
      <c r="N873" s="71">
        <f>Table1[[#This Row],[Quantity]]*Table1[[#This Row],[Unit Price]]</f>
        <v>1341190</v>
      </c>
      <c r="O873" s="73">
        <v>0.13411899999999999</v>
      </c>
      <c r="P873" s="70">
        <f>Table1[[#This Row],[Gross Amount]]*(1-(Table1[[#This Row],[Discount %]]/100))</f>
        <v>1247306.7</v>
      </c>
      <c r="Q873" s="74">
        <f>(Table1[[#This Row],[Gross Amount]]*(1-(Table1[[#This Row],[Discount %]]/100)))/10000000</f>
        <v>0.12473067</v>
      </c>
      <c r="R873" t="s">
        <v>42</v>
      </c>
      <c r="S873" t="str" cm="1">
        <f t="array" ref="S873">IFERROR(_xlfn.IFS(Table1[[#This Row],[Payment Status]]="Partial","In Transit",Table1[[#This Row],[Payment Status]]="Paid","Delivered",Table1[[#This Row],[Payment Status]]="Pending","Pending"),"Invalid Input")</f>
        <v>Pending</v>
      </c>
      <c r="T873" t="s">
        <v>27</v>
      </c>
      <c r="U873" t="str" cm="1">
        <f t="array" ref="U873">IFERROR(_xlfn.IFS(Table1[[#This Row],[Payment Status]]="Partial","In Transit",Table1[[#This Row],[Payment Status]]="Paid","Completed",Table1[[#This Row],[Payment Status]]="Pending","Pending"),"Invalid Input")</f>
        <v>Pending</v>
      </c>
    </row>
    <row r="874" spans="1:21" x14ac:dyDescent="0.25">
      <c r="A874" s="4" t="s">
        <v>1634</v>
      </c>
      <c r="B874" s="5">
        <v>45447</v>
      </c>
      <c r="C874" t="s">
        <v>73</v>
      </c>
      <c r="D874" t="s">
        <v>3271</v>
      </c>
      <c r="E874" t="s">
        <v>38</v>
      </c>
      <c r="F874" t="s">
        <v>3210</v>
      </c>
      <c r="G874" t="s">
        <v>39</v>
      </c>
      <c r="H874" t="str">
        <f>VLOOKUP(Table1[[#This Row],[City]],Table6[#All],2,FALSE)</f>
        <v>West</v>
      </c>
      <c r="I874" t="s">
        <v>58</v>
      </c>
      <c r="J874" t="str">
        <f>_xlfn.XLOOKUP(Table1[[#This Row],[Tractor Model]],Table7[Product Model],Table7[Product Category],"Not Available",0)</f>
        <v>Powertrac</v>
      </c>
      <c r="K874" s="4">
        <v>1</v>
      </c>
      <c r="L874" s="72">
        <v>882757</v>
      </c>
      <c r="M874" s="4">
        <f>INDEX('Master Sheet'!$C$4:$C$12,MATCH(Table1[[#This Row],[Quantity]],'Master Sheet'!$B$4:$B$12,0))</f>
        <v>3</v>
      </c>
      <c r="N874" s="71">
        <f>Table1[[#This Row],[Quantity]]*Table1[[#This Row],[Unit Price]]</f>
        <v>882757</v>
      </c>
      <c r="O874" s="73">
        <v>8.8275699999999999E-2</v>
      </c>
      <c r="P874" s="70">
        <f>Table1[[#This Row],[Gross Amount]]*(1-(Table1[[#This Row],[Discount %]]/100))</f>
        <v>856274.28999999992</v>
      </c>
      <c r="Q874" s="74">
        <f>(Table1[[#This Row],[Gross Amount]]*(1-(Table1[[#This Row],[Discount %]]/100)))/10000000</f>
        <v>8.5627428999999991E-2</v>
      </c>
      <c r="R874" t="s">
        <v>42</v>
      </c>
      <c r="S874" t="str" cm="1">
        <f t="array" ref="S874">IFERROR(_xlfn.IFS(Table1[[#This Row],[Payment Status]]="Partial","In Transit",Table1[[#This Row],[Payment Status]]="Paid","Delivered",Table1[[#This Row],[Payment Status]]="Pending","Pending"),"Invalid Input")</f>
        <v>Pending</v>
      </c>
      <c r="T874" t="s">
        <v>44</v>
      </c>
      <c r="U874" t="str" cm="1">
        <f t="array" ref="U874">IFERROR(_xlfn.IFS(Table1[[#This Row],[Payment Status]]="Partial","In Transit",Table1[[#This Row],[Payment Status]]="Paid","Completed",Table1[[#This Row],[Payment Status]]="Pending","Pending"),"Invalid Input")</f>
        <v>Pending</v>
      </c>
    </row>
    <row r="875" spans="1:21" x14ac:dyDescent="0.25">
      <c r="A875" s="4" t="s">
        <v>1635</v>
      </c>
      <c r="B875" s="5">
        <v>45314</v>
      </c>
      <c r="C875" t="s">
        <v>62</v>
      </c>
      <c r="D875" t="s">
        <v>3271</v>
      </c>
      <c r="E875" t="s">
        <v>66</v>
      </c>
      <c r="F875" t="s">
        <v>3207</v>
      </c>
      <c r="G875" t="s">
        <v>67</v>
      </c>
      <c r="H875" t="str">
        <f>VLOOKUP(Table1[[#This Row],[City]],Table6[#All],2,FALSE)</f>
        <v>East</v>
      </c>
      <c r="I875" t="s">
        <v>3203</v>
      </c>
      <c r="J875" t="str">
        <f>_xlfn.XLOOKUP(Table1[[#This Row],[Tractor Model]],Table7[Product Model],Table7[Product Category],"Not Available",0)</f>
        <v>Kubota</v>
      </c>
      <c r="K875" s="4">
        <v>7</v>
      </c>
      <c r="L875" s="72">
        <v>685719</v>
      </c>
      <c r="M875" s="4">
        <f>INDEX('Master Sheet'!$C$4:$C$12,MATCH(Table1[[#This Row],[Quantity]],'Master Sheet'!$B$4:$B$12,0))</f>
        <v>9</v>
      </c>
      <c r="N875" s="71">
        <f>Table1[[#This Row],[Quantity]]*Table1[[#This Row],[Unit Price]]</f>
        <v>4800033</v>
      </c>
      <c r="O875" s="73">
        <v>0.48000330000000002</v>
      </c>
      <c r="P875" s="70">
        <f>Table1[[#This Row],[Gross Amount]]*(1-(Table1[[#This Row],[Discount %]]/100))</f>
        <v>4368030.03</v>
      </c>
      <c r="Q875" s="74">
        <f>(Table1[[#This Row],[Gross Amount]]*(1-(Table1[[#This Row],[Discount %]]/100)))/10000000</f>
        <v>0.43680300300000002</v>
      </c>
      <c r="R875" t="s">
        <v>54</v>
      </c>
      <c r="S875" t="str" cm="1">
        <f t="array" ref="S875">IFERROR(_xlfn.IFS(Table1[[#This Row],[Payment Status]]="Partial","In Transit",Table1[[#This Row],[Payment Status]]="Paid","Delivered",Table1[[#This Row],[Payment Status]]="Pending","Pending"),"Invalid Input")</f>
        <v>Delivered</v>
      </c>
      <c r="T875" t="s">
        <v>27</v>
      </c>
      <c r="U875" t="str" cm="1">
        <f t="array" ref="U875">IFERROR(_xlfn.IFS(Table1[[#This Row],[Payment Status]]="Partial","In Transit",Table1[[#This Row],[Payment Status]]="Paid","Completed",Table1[[#This Row],[Payment Status]]="Pending","Pending"),"Invalid Input")</f>
        <v>Completed</v>
      </c>
    </row>
    <row r="876" spans="1:21" x14ac:dyDescent="0.25">
      <c r="A876" s="4" t="s">
        <v>1637</v>
      </c>
      <c r="B876" s="5">
        <v>45460</v>
      </c>
      <c r="C876" t="s">
        <v>41</v>
      </c>
      <c r="D876" t="s">
        <v>37</v>
      </c>
      <c r="E876" t="s">
        <v>47</v>
      </c>
      <c r="F876" t="s">
        <v>3215</v>
      </c>
      <c r="G876" t="s">
        <v>48</v>
      </c>
      <c r="H876" t="str">
        <f>VLOOKUP(Table1[[#This Row],[City]],Table6[#All],2,FALSE)</f>
        <v>North</v>
      </c>
      <c r="I876" t="s">
        <v>53</v>
      </c>
      <c r="J876" t="str">
        <f>_xlfn.XLOOKUP(Table1[[#This Row],[Tractor Model]],Table7[Product Model],Table7[Product Category],"Not Available",0)</f>
        <v>Farmtrac</v>
      </c>
      <c r="K876" s="4">
        <v>8</v>
      </c>
      <c r="L876" s="72">
        <v>53322</v>
      </c>
      <c r="M876" s="4">
        <f>INDEX('Master Sheet'!$C$4:$C$12,MATCH(Table1[[#This Row],[Quantity]],'Master Sheet'!$B$4:$B$12,0))</f>
        <v>9</v>
      </c>
      <c r="N876" s="71">
        <f>Table1[[#This Row],[Quantity]]*Table1[[#This Row],[Unit Price]]</f>
        <v>426576</v>
      </c>
      <c r="O876" s="73">
        <v>4.2657599999999997E-2</v>
      </c>
      <c r="P876" s="70">
        <f>Table1[[#This Row],[Gross Amount]]*(1-(Table1[[#This Row],[Discount %]]/100))</f>
        <v>388184.16000000003</v>
      </c>
      <c r="Q876" s="74">
        <f>(Table1[[#This Row],[Gross Amount]]*(1-(Table1[[#This Row],[Discount %]]/100)))/10000000</f>
        <v>3.8818416000000001E-2</v>
      </c>
      <c r="R876" t="s">
        <v>25</v>
      </c>
      <c r="S876" t="str" cm="1">
        <f t="array" ref="S876">IFERROR(_xlfn.IFS(Table1[[#This Row],[Payment Status]]="Partial","In Transit",Table1[[#This Row],[Payment Status]]="Paid","Delivered",Table1[[#This Row],[Payment Status]]="Pending","Pending"),"Invalid Input")</f>
        <v>In Transit</v>
      </c>
      <c r="T876" t="s">
        <v>27</v>
      </c>
      <c r="U876" t="str" cm="1">
        <f t="array" ref="U876">IFERROR(_xlfn.IFS(Table1[[#This Row],[Payment Status]]="Partial","In Transit",Table1[[#This Row],[Payment Status]]="Paid","Completed",Table1[[#This Row],[Payment Status]]="Pending","Pending"),"Invalid Input")</f>
        <v>In Transit</v>
      </c>
    </row>
    <row r="877" spans="1:21" x14ac:dyDescent="0.25">
      <c r="A877" s="4" t="s">
        <v>1639</v>
      </c>
      <c r="B877" s="5">
        <v>45655</v>
      </c>
      <c r="C877" t="s">
        <v>41</v>
      </c>
      <c r="D877" t="s">
        <v>37</v>
      </c>
      <c r="E877" t="s">
        <v>66</v>
      </c>
      <c r="F877" t="s">
        <v>3226</v>
      </c>
      <c r="G877" t="s">
        <v>67</v>
      </c>
      <c r="H877" t="str">
        <f>VLOOKUP(Table1[[#This Row],[City]],Table6[#All],2,FALSE)</f>
        <v>East</v>
      </c>
      <c r="I877" t="s">
        <v>58</v>
      </c>
      <c r="J877" t="str">
        <f>_xlfn.XLOOKUP(Table1[[#This Row],[Tractor Model]],Table7[Product Model],Table7[Product Category],"Not Available",0)</f>
        <v>Powertrac</v>
      </c>
      <c r="K877" s="4">
        <v>6</v>
      </c>
      <c r="L877" s="72">
        <v>743270</v>
      </c>
      <c r="M877" s="4">
        <f>INDEX('Master Sheet'!$C$4:$C$12,MATCH(Table1[[#This Row],[Quantity]],'Master Sheet'!$B$4:$B$12,0))</f>
        <v>8</v>
      </c>
      <c r="N877" s="71">
        <f>Table1[[#This Row],[Quantity]]*Table1[[#This Row],[Unit Price]]</f>
        <v>4459620</v>
      </c>
      <c r="O877" s="73">
        <v>0.44596200000000003</v>
      </c>
      <c r="P877" s="70">
        <f>Table1[[#This Row],[Gross Amount]]*(1-(Table1[[#This Row],[Discount %]]/100))</f>
        <v>4102850.4000000004</v>
      </c>
      <c r="Q877" s="74">
        <f>(Table1[[#This Row],[Gross Amount]]*(1-(Table1[[#This Row],[Discount %]]/100)))/10000000</f>
        <v>0.41028504000000005</v>
      </c>
      <c r="R877" t="s">
        <v>54</v>
      </c>
      <c r="S877" t="str" cm="1">
        <f t="array" ref="S877">IFERROR(_xlfn.IFS(Table1[[#This Row],[Payment Status]]="Partial","In Transit",Table1[[#This Row],[Payment Status]]="Paid","Delivered",Table1[[#This Row],[Payment Status]]="Pending","Pending"),"Invalid Input")</f>
        <v>Delivered</v>
      </c>
      <c r="T877" t="s">
        <v>27</v>
      </c>
      <c r="U877" t="str" cm="1">
        <f t="array" ref="U877">IFERROR(_xlfn.IFS(Table1[[#This Row],[Payment Status]]="Partial","In Transit",Table1[[#This Row],[Payment Status]]="Paid","Completed",Table1[[#This Row],[Payment Status]]="Pending","Pending"),"Invalid Input")</f>
        <v>Completed</v>
      </c>
    </row>
    <row r="878" spans="1:21" x14ac:dyDescent="0.25">
      <c r="A878" s="4" t="s">
        <v>1640</v>
      </c>
      <c r="B878" s="5">
        <v>45716</v>
      </c>
      <c r="C878" t="s">
        <v>52</v>
      </c>
      <c r="D878" t="s">
        <v>3270</v>
      </c>
      <c r="E878" t="s">
        <v>66</v>
      </c>
      <c r="F878" t="s">
        <v>3220</v>
      </c>
      <c r="G878" t="s">
        <v>67</v>
      </c>
      <c r="H878" t="str">
        <f>VLOOKUP(Table1[[#This Row],[City]],Table6[#All],2,FALSE)</f>
        <v>East</v>
      </c>
      <c r="I878" t="s">
        <v>58</v>
      </c>
      <c r="J878" t="str">
        <f>_xlfn.XLOOKUP(Table1[[#This Row],[Tractor Model]],Table7[Product Model],Table7[Product Category],"Not Available",0)</f>
        <v>Powertrac</v>
      </c>
      <c r="K878" s="4">
        <v>6</v>
      </c>
      <c r="L878" s="72">
        <v>830032</v>
      </c>
      <c r="M878" s="4">
        <f>INDEX('Master Sheet'!$C$4:$C$12,MATCH(Table1[[#This Row],[Quantity]],'Master Sheet'!$B$4:$B$12,0))</f>
        <v>8</v>
      </c>
      <c r="N878" s="71">
        <f>Table1[[#This Row],[Quantity]]*Table1[[#This Row],[Unit Price]]</f>
        <v>4980192</v>
      </c>
      <c r="O878" s="73">
        <v>0.4980192</v>
      </c>
      <c r="P878" s="70">
        <f>Table1[[#This Row],[Gross Amount]]*(1-(Table1[[#This Row],[Discount %]]/100))</f>
        <v>4581776.6400000006</v>
      </c>
      <c r="Q878" s="74">
        <f>(Table1[[#This Row],[Gross Amount]]*(1-(Table1[[#This Row],[Discount %]]/100)))/10000000</f>
        <v>0.45817766400000004</v>
      </c>
      <c r="R878" t="s">
        <v>25</v>
      </c>
      <c r="S878" t="str" cm="1">
        <f t="array" ref="S878">IFERROR(_xlfn.IFS(Table1[[#This Row],[Payment Status]]="Partial","In Transit",Table1[[#This Row],[Payment Status]]="Paid","Delivered",Table1[[#This Row],[Payment Status]]="Pending","Pending"),"Invalid Input")</f>
        <v>In Transit</v>
      </c>
      <c r="T878" t="s">
        <v>44</v>
      </c>
      <c r="U878" t="str" cm="1">
        <f t="array" ref="U878">IFERROR(_xlfn.IFS(Table1[[#This Row],[Payment Status]]="Partial","In Transit",Table1[[#This Row],[Payment Status]]="Paid","Completed",Table1[[#This Row],[Payment Status]]="Pending","Pending"),"Invalid Input")</f>
        <v>In Transit</v>
      </c>
    </row>
    <row r="879" spans="1:21" x14ac:dyDescent="0.25">
      <c r="A879" s="4" t="s">
        <v>1642</v>
      </c>
      <c r="B879" s="5">
        <v>45312</v>
      </c>
      <c r="C879" t="s">
        <v>73</v>
      </c>
      <c r="D879" t="s">
        <v>37</v>
      </c>
      <c r="E879" t="s">
        <v>38</v>
      </c>
      <c r="F879" t="s">
        <v>3214</v>
      </c>
      <c r="G879" t="s">
        <v>39</v>
      </c>
      <c r="H879" t="str">
        <f>VLOOKUP(Table1[[#This Row],[City]],Table6[#All],2,FALSE)</f>
        <v>West</v>
      </c>
      <c r="I879" t="s">
        <v>53</v>
      </c>
      <c r="J879" t="str">
        <f>_xlfn.XLOOKUP(Table1[[#This Row],[Tractor Model]],Table7[Product Model],Table7[Product Category],"Not Available",0)</f>
        <v>Farmtrac</v>
      </c>
      <c r="K879" s="4">
        <v>7</v>
      </c>
      <c r="L879" s="72">
        <v>695754</v>
      </c>
      <c r="M879" s="4">
        <f>INDEX('Master Sheet'!$C$4:$C$12,MATCH(Table1[[#This Row],[Quantity]],'Master Sheet'!$B$4:$B$12,0))</f>
        <v>9</v>
      </c>
      <c r="N879" s="71">
        <f>Table1[[#This Row],[Quantity]]*Table1[[#This Row],[Unit Price]]</f>
        <v>4870278</v>
      </c>
      <c r="O879" s="73">
        <v>0.48702780000000001</v>
      </c>
      <c r="P879" s="70">
        <f>Table1[[#This Row],[Gross Amount]]*(1-(Table1[[#This Row],[Discount %]]/100))</f>
        <v>4431952.9800000004</v>
      </c>
      <c r="Q879" s="74">
        <f>(Table1[[#This Row],[Gross Amount]]*(1-(Table1[[#This Row],[Discount %]]/100)))/10000000</f>
        <v>0.44319529800000007</v>
      </c>
      <c r="R879" t="s">
        <v>42</v>
      </c>
      <c r="S879" t="str" cm="1">
        <f t="array" ref="S879">IFERROR(_xlfn.IFS(Table1[[#This Row],[Payment Status]]="Partial","In Transit",Table1[[#This Row],[Payment Status]]="Paid","Delivered",Table1[[#This Row],[Payment Status]]="Pending","Pending"),"Invalid Input")</f>
        <v>Pending</v>
      </c>
      <c r="T879" t="s">
        <v>44</v>
      </c>
      <c r="U879" t="str" cm="1">
        <f t="array" ref="U879">IFERROR(_xlfn.IFS(Table1[[#This Row],[Payment Status]]="Partial","In Transit",Table1[[#This Row],[Payment Status]]="Paid","Completed",Table1[[#This Row],[Payment Status]]="Pending","Pending"),"Invalid Input")</f>
        <v>Pending</v>
      </c>
    </row>
    <row r="880" spans="1:21" x14ac:dyDescent="0.25">
      <c r="A880" s="4" t="s">
        <v>1644</v>
      </c>
      <c r="B880" s="5">
        <v>45510</v>
      </c>
      <c r="C880" t="s">
        <v>33</v>
      </c>
      <c r="D880" t="s">
        <v>3271</v>
      </c>
      <c r="E880" t="s">
        <v>30</v>
      </c>
      <c r="F880" t="s">
        <v>3217</v>
      </c>
      <c r="G880" t="s">
        <v>31</v>
      </c>
      <c r="H880" t="str">
        <f>VLOOKUP(Table1[[#This Row],[City]],Table6[#All],2,FALSE)</f>
        <v>South</v>
      </c>
      <c r="I880" t="s">
        <v>3204</v>
      </c>
      <c r="J880" t="str">
        <f>_xlfn.XLOOKUP(Table1[[#This Row],[Tractor Model]],Table7[Product Model],Table7[Product Category],"Not Available",0)</f>
        <v>Kubota</v>
      </c>
      <c r="K880" s="4">
        <v>4</v>
      </c>
      <c r="L880" s="72">
        <v>105361</v>
      </c>
      <c r="M880" s="4">
        <f>INDEX('Master Sheet'!$C$4:$C$12,MATCH(Table1[[#This Row],[Quantity]],'Master Sheet'!$B$4:$B$12,0))</f>
        <v>6</v>
      </c>
      <c r="N880" s="71">
        <f>Table1[[#This Row],[Quantity]]*Table1[[#This Row],[Unit Price]]</f>
        <v>421444</v>
      </c>
      <c r="O880" s="73">
        <v>4.2144399999999999E-2</v>
      </c>
      <c r="P880" s="70">
        <f>Table1[[#This Row],[Gross Amount]]*(1-(Table1[[#This Row],[Discount %]]/100))</f>
        <v>396157.36</v>
      </c>
      <c r="Q880" s="74">
        <f>(Table1[[#This Row],[Gross Amount]]*(1-(Table1[[#This Row],[Discount %]]/100)))/10000000</f>
        <v>3.9615735999999999E-2</v>
      </c>
      <c r="R880" t="s">
        <v>54</v>
      </c>
      <c r="S880" t="str" cm="1">
        <f t="array" ref="S880">IFERROR(_xlfn.IFS(Table1[[#This Row],[Payment Status]]="Partial","In Transit",Table1[[#This Row],[Payment Status]]="Paid","Delivered",Table1[[#This Row],[Payment Status]]="Pending","Pending"),"Invalid Input")</f>
        <v>Delivered</v>
      </c>
      <c r="T880" t="s">
        <v>27</v>
      </c>
      <c r="U880" t="str" cm="1">
        <f t="array" ref="U880">IFERROR(_xlfn.IFS(Table1[[#This Row],[Payment Status]]="Partial","In Transit",Table1[[#This Row],[Payment Status]]="Paid","Completed",Table1[[#This Row],[Payment Status]]="Pending","Pending"),"Invalid Input")</f>
        <v>Completed</v>
      </c>
    </row>
    <row r="881" spans="1:21" x14ac:dyDescent="0.25">
      <c r="A881" s="4" t="s">
        <v>1646</v>
      </c>
      <c r="B881" s="5">
        <v>45680</v>
      </c>
      <c r="C881" t="s">
        <v>73</v>
      </c>
      <c r="D881" t="s">
        <v>3270</v>
      </c>
      <c r="E881" t="s">
        <v>47</v>
      </c>
      <c r="F881" t="s">
        <v>3205</v>
      </c>
      <c r="G881" t="s">
        <v>48</v>
      </c>
      <c r="H881" t="str">
        <f>VLOOKUP(Table1[[#This Row],[City]],Table6[#All],2,FALSE)</f>
        <v>North</v>
      </c>
      <c r="I881" t="s">
        <v>53</v>
      </c>
      <c r="J881" t="str">
        <f>_xlfn.XLOOKUP(Table1[[#This Row],[Tractor Model]],Table7[Product Model],Table7[Product Category],"Not Available",0)</f>
        <v>Farmtrac</v>
      </c>
      <c r="K881" s="4">
        <v>4</v>
      </c>
      <c r="L881" s="72">
        <v>479022</v>
      </c>
      <c r="M881" s="4">
        <f>INDEX('Master Sheet'!$C$4:$C$12,MATCH(Table1[[#This Row],[Quantity]],'Master Sheet'!$B$4:$B$12,0))</f>
        <v>6</v>
      </c>
      <c r="N881" s="71">
        <f>Table1[[#This Row],[Quantity]]*Table1[[#This Row],[Unit Price]]</f>
        <v>1916088</v>
      </c>
      <c r="O881" s="73">
        <v>0.1916088</v>
      </c>
      <c r="P881" s="70">
        <f>Table1[[#This Row],[Gross Amount]]*(1-(Table1[[#This Row],[Discount %]]/100))</f>
        <v>1801122.72</v>
      </c>
      <c r="Q881" s="74">
        <f>(Table1[[#This Row],[Gross Amount]]*(1-(Table1[[#This Row],[Discount %]]/100)))/10000000</f>
        <v>0.18011227199999999</v>
      </c>
      <c r="R881" t="s">
        <v>42</v>
      </c>
      <c r="S881" t="str" cm="1">
        <f t="array" ref="S881">IFERROR(_xlfn.IFS(Table1[[#This Row],[Payment Status]]="Partial","In Transit",Table1[[#This Row],[Payment Status]]="Paid","Delivered",Table1[[#This Row],[Payment Status]]="Pending","Pending"),"Invalid Input")</f>
        <v>Pending</v>
      </c>
      <c r="T881" t="s">
        <v>27</v>
      </c>
      <c r="U881" t="str" cm="1">
        <f t="array" ref="U881">IFERROR(_xlfn.IFS(Table1[[#This Row],[Payment Status]]="Partial","In Transit",Table1[[#This Row],[Payment Status]]="Paid","Completed",Table1[[#This Row],[Payment Status]]="Pending","Pending"),"Invalid Input")</f>
        <v>Pending</v>
      </c>
    </row>
    <row r="882" spans="1:21" x14ac:dyDescent="0.25">
      <c r="A882" s="4" t="s">
        <v>1648</v>
      </c>
      <c r="B882" s="5">
        <v>45803</v>
      </c>
      <c r="C882" t="s">
        <v>33</v>
      </c>
      <c r="D882" t="s">
        <v>3270</v>
      </c>
      <c r="E882" t="s">
        <v>66</v>
      </c>
      <c r="F882" t="s">
        <v>3220</v>
      </c>
      <c r="G882" t="s">
        <v>67</v>
      </c>
      <c r="H882" t="str">
        <f>VLOOKUP(Table1[[#This Row],[City]],Table6[#All],2,FALSE)</f>
        <v>East</v>
      </c>
      <c r="I882" t="s">
        <v>53</v>
      </c>
      <c r="J882" t="str">
        <f>_xlfn.XLOOKUP(Table1[[#This Row],[Tractor Model]],Table7[Product Model],Table7[Product Category],"Not Available",0)</f>
        <v>Farmtrac</v>
      </c>
      <c r="K882" s="4">
        <v>1</v>
      </c>
      <c r="L882" s="72">
        <v>618768</v>
      </c>
      <c r="M882" s="4">
        <f>INDEX('Master Sheet'!$C$4:$C$12,MATCH(Table1[[#This Row],[Quantity]],'Master Sheet'!$B$4:$B$12,0))</f>
        <v>3</v>
      </c>
      <c r="N882" s="71">
        <f>Table1[[#This Row],[Quantity]]*Table1[[#This Row],[Unit Price]]</f>
        <v>618768</v>
      </c>
      <c r="O882" s="73">
        <v>6.1876800000000003E-2</v>
      </c>
      <c r="P882" s="70">
        <f>Table1[[#This Row],[Gross Amount]]*(1-(Table1[[#This Row],[Discount %]]/100))</f>
        <v>600204.96</v>
      </c>
      <c r="Q882" s="74">
        <f>(Table1[[#This Row],[Gross Amount]]*(1-(Table1[[#This Row],[Discount %]]/100)))/10000000</f>
        <v>6.0020496E-2</v>
      </c>
      <c r="R882" t="s">
        <v>42</v>
      </c>
      <c r="S882" t="str" cm="1">
        <f t="array" ref="S882">IFERROR(_xlfn.IFS(Table1[[#This Row],[Payment Status]]="Partial","In Transit",Table1[[#This Row],[Payment Status]]="Paid","Delivered",Table1[[#This Row],[Payment Status]]="Pending","Pending"),"Invalid Input")</f>
        <v>Pending</v>
      </c>
      <c r="T882" t="s">
        <v>27</v>
      </c>
      <c r="U882" t="str" cm="1">
        <f t="array" ref="U882">IFERROR(_xlfn.IFS(Table1[[#This Row],[Payment Status]]="Partial","In Transit",Table1[[#This Row],[Payment Status]]="Paid","Completed",Table1[[#This Row],[Payment Status]]="Pending","Pending"),"Invalid Input")</f>
        <v>Pending</v>
      </c>
    </row>
    <row r="883" spans="1:21" x14ac:dyDescent="0.25">
      <c r="A883" s="4" t="s">
        <v>1649</v>
      </c>
      <c r="B883" s="5">
        <v>45785</v>
      </c>
      <c r="C883" t="s">
        <v>73</v>
      </c>
      <c r="D883" t="s">
        <v>3271</v>
      </c>
      <c r="E883" t="s">
        <v>38</v>
      </c>
      <c r="F883" t="s">
        <v>3210</v>
      </c>
      <c r="G883" t="s">
        <v>39</v>
      </c>
      <c r="H883" t="str">
        <f>VLOOKUP(Table1[[#This Row],[City]],Table6[#All],2,FALSE)</f>
        <v>West</v>
      </c>
      <c r="I883" t="s">
        <v>24</v>
      </c>
      <c r="J883" t="str">
        <f>_xlfn.XLOOKUP(Table1[[#This Row],[Tractor Model]],Table7[Product Model],Table7[Product Category],"Not Available",0)</f>
        <v>Farmtrac</v>
      </c>
      <c r="K883" s="4">
        <v>5</v>
      </c>
      <c r="L883" s="72">
        <v>344092</v>
      </c>
      <c r="M883" s="4">
        <f>INDEX('Master Sheet'!$C$4:$C$12,MATCH(Table1[[#This Row],[Quantity]],'Master Sheet'!$B$4:$B$12,0))</f>
        <v>7</v>
      </c>
      <c r="N883" s="71">
        <f>Table1[[#This Row],[Quantity]]*Table1[[#This Row],[Unit Price]]</f>
        <v>1720460</v>
      </c>
      <c r="O883" s="73">
        <v>0.172046</v>
      </c>
      <c r="P883" s="70">
        <f>Table1[[#This Row],[Gross Amount]]*(1-(Table1[[#This Row],[Discount %]]/100))</f>
        <v>1600027.7999999998</v>
      </c>
      <c r="Q883" s="74">
        <f>(Table1[[#This Row],[Gross Amount]]*(1-(Table1[[#This Row],[Discount %]]/100)))/10000000</f>
        <v>0.16000277999999998</v>
      </c>
      <c r="R883" t="s">
        <v>54</v>
      </c>
      <c r="S883" t="str" cm="1">
        <f t="array" ref="S883">IFERROR(_xlfn.IFS(Table1[[#This Row],[Payment Status]]="Partial","In Transit",Table1[[#This Row],[Payment Status]]="Paid","Delivered",Table1[[#This Row],[Payment Status]]="Pending","Pending"),"Invalid Input")</f>
        <v>Delivered</v>
      </c>
      <c r="T883" t="s">
        <v>27</v>
      </c>
      <c r="U883" t="str" cm="1">
        <f t="array" ref="U883">IFERROR(_xlfn.IFS(Table1[[#This Row],[Payment Status]]="Partial","In Transit",Table1[[#This Row],[Payment Status]]="Paid","Completed",Table1[[#This Row],[Payment Status]]="Pending","Pending"),"Invalid Input")</f>
        <v>Completed</v>
      </c>
    </row>
    <row r="884" spans="1:21" x14ac:dyDescent="0.25">
      <c r="A884" s="4" t="s">
        <v>1650</v>
      </c>
      <c r="B884" s="5">
        <v>45609</v>
      </c>
      <c r="C884" t="s">
        <v>73</v>
      </c>
      <c r="D884" t="s">
        <v>37</v>
      </c>
      <c r="E884" t="s">
        <v>30</v>
      </c>
      <c r="F884" t="s">
        <v>3222</v>
      </c>
      <c r="G884" t="s">
        <v>31</v>
      </c>
      <c r="H884" t="str">
        <f>VLOOKUP(Table1[[#This Row],[City]],Table6[#All],2,FALSE)</f>
        <v>South</v>
      </c>
      <c r="I884" t="s">
        <v>3203</v>
      </c>
      <c r="J884" t="str">
        <f>_xlfn.XLOOKUP(Table1[[#This Row],[Tractor Model]],Table7[Product Model],Table7[Product Category],"Not Available",0)</f>
        <v>Kubota</v>
      </c>
      <c r="K884" s="4">
        <v>8</v>
      </c>
      <c r="L884" s="72">
        <v>50322</v>
      </c>
      <c r="M884" s="4">
        <f>INDEX('Master Sheet'!$C$4:$C$12,MATCH(Table1[[#This Row],[Quantity]],'Master Sheet'!$B$4:$B$12,0))</f>
        <v>9</v>
      </c>
      <c r="N884" s="71">
        <f>Table1[[#This Row],[Quantity]]*Table1[[#This Row],[Unit Price]]</f>
        <v>402576</v>
      </c>
      <c r="O884" s="73">
        <v>4.0257599999999998E-2</v>
      </c>
      <c r="P884" s="70">
        <f>Table1[[#This Row],[Gross Amount]]*(1-(Table1[[#This Row],[Discount %]]/100))</f>
        <v>366344.16000000003</v>
      </c>
      <c r="Q884" s="74">
        <f>(Table1[[#This Row],[Gross Amount]]*(1-(Table1[[#This Row],[Discount %]]/100)))/10000000</f>
        <v>3.6634416000000003E-2</v>
      </c>
      <c r="R884" t="s">
        <v>54</v>
      </c>
      <c r="S884" t="str" cm="1">
        <f t="array" ref="S884">IFERROR(_xlfn.IFS(Table1[[#This Row],[Payment Status]]="Partial","In Transit",Table1[[#This Row],[Payment Status]]="Paid","Delivered",Table1[[#This Row],[Payment Status]]="Pending","Pending"),"Invalid Input")</f>
        <v>Delivered</v>
      </c>
      <c r="T884" t="s">
        <v>44</v>
      </c>
      <c r="U884" t="str" cm="1">
        <f t="array" ref="U884">IFERROR(_xlfn.IFS(Table1[[#This Row],[Payment Status]]="Partial","In Transit",Table1[[#This Row],[Payment Status]]="Paid","Completed",Table1[[#This Row],[Payment Status]]="Pending","Pending"),"Invalid Input")</f>
        <v>Completed</v>
      </c>
    </row>
    <row r="885" spans="1:21" x14ac:dyDescent="0.25">
      <c r="A885" s="4" t="s">
        <v>1652</v>
      </c>
      <c r="B885" s="5">
        <v>45542</v>
      </c>
      <c r="C885" t="s">
        <v>52</v>
      </c>
      <c r="D885" t="s">
        <v>3269</v>
      </c>
      <c r="E885" t="s">
        <v>66</v>
      </c>
      <c r="F885" t="s">
        <v>3213</v>
      </c>
      <c r="G885" t="s">
        <v>67</v>
      </c>
      <c r="H885" t="str">
        <f>VLOOKUP(Table1[[#This Row],[City]],Table6[#All],2,FALSE)</f>
        <v>East</v>
      </c>
      <c r="I885" t="s">
        <v>3203</v>
      </c>
      <c r="J885" t="str">
        <f>_xlfn.XLOOKUP(Table1[[#This Row],[Tractor Model]],Table7[Product Model],Table7[Product Category],"Not Available",0)</f>
        <v>Kubota</v>
      </c>
      <c r="K885" s="4">
        <v>7</v>
      </c>
      <c r="L885" s="72">
        <v>714188</v>
      </c>
      <c r="M885" s="4">
        <f>INDEX('Master Sheet'!$C$4:$C$12,MATCH(Table1[[#This Row],[Quantity]],'Master Sheet'!$B$4:$B$12,0))</f>
        <v>9</v>
      </c>
      <c r="N885" s="71">
        <f>Table1[[#This Row],[Quantity]]*Table1[[#This Row],[Unit Price]]</f>
        <v>4999316</v>
      </c>
      <c r="O885" s="73">
        <v>0.49993159999999998</v>
      </c>
      <c r="P885" s="70">
        <f>Table1[[#This Row],[Gross Amount]]*(1-(Table1[[#This Row],[Discount %]]/100))</f>
        <v>4549377.5600000005</v>
      </c>
      <c r="Q885" s="74">
        <f>(Table1[[#This Row],[Gross Amount]]*(1-(Table1[[#This Row],[Discount %]]/100)))/10000000</f>
        <v>0.45493775600000003</v>
      </c>
      <c r="R885" t="s">
        <v>25</v>
      </c>
      <c r="S885" t="str" cm="1">
        <f t="array" ref="S885">IFERROR(_xlfn.IFS(Table1[[#This Row],[Payment Status]]="Partial","In Transit",Table1[[#This Row],[Payment Status]]="Paid","Delivered",Table1[[#This Row],[Payment Status]]="Pending","Pending"),"Invalid Input")</f>
        <v>In Transit</v>
      </c>
      <c r="T885" t="s">
        <v>27</v>
      </c>
      <c r="U885" t="str" cm="1">
        <f t="array" ref="U885">IFERROR(_xlfn.IFS(Table1[[#This Row],[Payment Status]]="Partial","In Transit",Table1[[#This Row],[Payment Status]]="Paid","Completed",Table1[[#This Row],[Payment Status]]="Pending","Pending"),"Invalid Input")</f>
        <v>In Transit</v>
      </c>
    </row>
    <row r="886" spans="1:21" x14ac:dyDescent="0.25">
      <c r="A886" s="4" t="s">
        <v>1654</v>
      </c>
      <c r="B886" s="5">
        <v>45615</v>
      </c>
      <c r="C886" t="s">
        <v>33</v>
      </c>
      <c r="D886" t="s">
        <v>3271</v>
      </c>
      <c r="E886" t="s">
        <v>66</v>
      </c>
      <c r="F886" t="s">
        <v>3207</v>
      </c>
      <c r="G886" t="s">
        <v>67</v>
      </c>
      <c r="H886" t="str">
        <f>VLOOKUP(Table1[[#This Row],[City]],Table6[#All],2,FALSE)</f>
        <v>East</v>
      </c>
      <c r="I886" t="s">
        <v>58</v>
      </c>
      <c r="J886" t="str">
        <f>_xlfn.XLOOKUP(Table1[[#This Row],[Tractor Model]],Table7[Product Model],Table7[Product Category],"Not Available",0)</f>
        <v>Powertrac</v>
      </c>
      <c r="K886" s="4">
        <v>3</v>
      </c>
      <c r="L886" s="72">
        <v>312562</v>
      </c>
      <c r="M886" s="4">
        <f>INDEX('Master Sheet'!$C$4:$C$12,MATCH(Table1[[#This Row],[Quantity]],'Master Sheet'!$B$4:$B$12,0))</f>
        <v>6</v>
      </c>
      <c r="N886" s="71">
        <f>Table1[[#This Row],[Quantity]]*Table1[[#This Row],[Unit Price]]</f>
        <v>937686</v>
      </c>
      <c r="O886" s="73">
        <v>9.3768599999999994E-2</v>
      </c>
      <c r="P886" s="70">
        <f>Table1[[#This Row],[Gross Amount]]*(1-(Table1[[#This Row],[Discount %]]/100))</f>
        <v>881424.84</v>
      </c>
      <c r="Q886" s="74">
        <f>(Table1[[#This Row],[Gross Amount]]*(1-(Table1[[#This Row],[Discount %]]/100)))/10000000</f>
        <v>8.8142483999999993E-2</v>
      </c>
      <c r="R886" t="s">
        <v>42</v>
      </c>
      <c r="S886" t="str" cm="1">
        <f t="array" ref="S886">IFERROR(_xlfn.IFS(Table1[[#This Row],[Payment Status]]="Partial","In Transit",Table1[[#This Row],[Payment Status]]="Paid","Delivered",Table1[[#This Row],[Payment Status]]="Pending","Pending"),"Invalid Input")</f>
        <v>Pending</v>
      </c>
      <c r="T886" t="s">
        <v>27</v>
      </c>
      <c r="U886" t="str" cm="1">
        <f t="array" ref="U886">IFERROR(_xlfn.IFS(Table1[[#This Row],[Payment Status]]="Partial","In Transit",Table1[[#This Row],[Payment Status]]="Paid","Completed",Table1[[#This Row],[Payment Status]]="Pending","Pending"),"Invalid Input")</f>
        <v>Pending</v>
      </c>
    </row>
    <row r="887" spans="1:21" x14ac:dyDescent="0.25">
      <c r="A887" s="4" t="s">
        <v>1656</v>
      </c>
      <c r="B887" s="5">
        <v>45798</v>
      </c>
      <c r="C887" t="s">
        <v>33</v>
      </c>
      <c r="D887" t="s">
        <v>37</v>
      </c>
      <c r="E887" t="s">
        <v>47</v>
      </c>
      <c r="F887" t="s">
        <v>3215</v>
      </c>
      <c r="G887" t="s">
        <v>48</v>
      </c>
      <c r="H887" t="str">
        <f>VLOOKUP(Table1[[#This Row],[City]],Table6[#All],2,FALSE)</f>
        <v>North</v>
      </c>
      <c r="I887" t="s">
        <v>58</v>
      </c>
      <c r="J887" t="str">
        <f>_xlfn.XLOOKUP(Table1[[#This Row],[Tractor Model]],Table7[Product Model],Table7[Product Category],"Not Available",0)</f>
        <v>Powertrac</v>
      </c>
      <c r="K887" s="4">
        <v>3</v>
      </c>
      <c r="L887" s="72">
        <v>405771</v>
      </c>
      <c r="M887" s="4">
        <f>INDEX('Master Sheet'!$C$4:$C$12,MATCH(Table1[[#This Row],[Quantity]],'Master Sheet'!$B$4:$B$12,0))</f>
        <v>6</v>
      </c>
      <c r="N887" s="71">
        <f>Table1[[#This Row],[Quantity]]*Table1[[#This Row],[Unit Price]]</f>
        <v>1217313</v>
      </c>
      <c r="O887" s="73">
        <v>0.1217313</v>
      </c>
      <c r="P887" s="70">
        <f>Table1[[#This Row],[Gross Amount]]*(1-(Table1[[#This Row],[Discount %]]/100))</f>
        <v>1144274.22</v>
      </c>
      <c r="Q887" s="74">
        <f>(Table1[[#This Row],[Gross Amount]]*(1-(Table1[[#This Row],[Discount %]]/100)))/10000000</f>
        <v>0.114427422</v>
      </c>
      <c r="R887" t="s">
        <v>25</v>
      </c>
      <c r="S887" t="str" cm="1">
        <f t="array" ref="S887">IFERROR(_xlfn.IFS(Table1[[#This Row],[Payment Status]]="Partial","In Transit",Table1[[#This Row],[Payment Status]]="Paid","Delivered",Table1[[#This Row],[Payment Status]]="Pending","Pending"),"Invalid Input")</f>
        <v>In Transit</v>
      </c>
      <c r="T887" t="s">
        <v>44</v>
      </c>
      <c r="U887" t="str" cm="1">
        <f t="array" ref="U887">IFERROR(_xlfn.IFS(Table1[[#This Row],[Payment Status]]="Partial","In Transit",Table1[[#This Row],[Payment Status]]="Paid","Completed",Table1[[#This Row],[Payment Status]]="Pending","Pending"),"Invalid Input")</f>
        <v>In Transit</v>
      </c>
    </row>
    <row r="888" spans="1:21" x14ac:dyDescent="0.25">
      <c r="A888" s="4" t="s">
        <v>1657</v>
      </c>
      <c r="B888" s="5">
        <v>45660</v>
      </c>
      <c r="C888" t="s">
        <v>62</v>
      </c>
      <c r="D888" t="s">
        <v>3269</v>
      </c>
      <c r="E888" t="s">
        <v>66</v>
      </c>
      <c r="F888" t="s">
        <v>3213</v>
      </c>
      <c r="G888" t="s">
        <v>67</v>
      </c>
      <c r="H888" t="str">
        <f>VLOOKUP(Table1[[#This Row],[City]],Table6[#All],2,FALSE)</f>
        <v>East</v>
      </c>
      <c r="I888" t="s">
        <v>3203</v>
      </c>
      <c r="J888" t="str">
        <f>_xlfn.XLOOKUP(Table1[[#This Row],[Tractor Model]],Table7[Product Model],Table7[Product Category],"Not Available",0)</f>
        <v>Kubota</v>
      </c>
      <c r="K888" s="4">
        <v>7</v>
      </c>
      <c r="L888" s="72">
        <v>321438</v>
      </c>
      <c r="M888" s="4">
        <f>INDEX('Master Sheet'!$C$4:$C$12,MATCH(Table1[[#This Row],[Quantity]],'Master Sheet'!$B$4:$B$12,0))</f>
        <v>9</v>
      </c>
      <c r="N888" s="71">
        <f>Table1[[#This Row],[Quantity]]*Table1[[#This Row],[Unit Price]]</f>
        <v>2250066</v>
      </c>
      <c r="O888" s="73">
        <v>0.2250066</v>
      </c>
      <c r="P888" s="70">
        <f>Table1[[#This Row],[Gross Amount]]*(1-(Table1[[#This Row],[Discount %]]/100))</f>
        <v>2047560.06</v>
      </c>
      <c r="Q888" s="74">
        <f>(Table1[[#This Row],[Gross Amount]]*(1-(Table1[[#This Row],[Discount %]]/100)))/10000000</f>
        <v>0.20475600600000002</v>
      </c>
      <c r="R888" t="s">
        <v>42</v>
      </c>
      <c r="S888" t="str" cm="1">
        <f t="array" ref="S888">IFERROR(_xlfn.IFS(Table1[[#This Row],[Payment Status]]="Partial","In Transit",Table1[[#This Row],[Payment Status]]="Paid","Delivered",Table1[[#This Row],[Payment Status]]="Pending","Pending"),"Invalid Input")</f>
        <v>Pending</v>
      </c>
      <c r="T888" t="s">
        <v>27</v>
      </c>
      <c r="U888" t="str" cm="1">
        <f t="array" ref="U888">IFERROR(_xlfn.IFS(Table1[[#This Row],[Payment Status]]="Partial","In Transit",Table1[[#This Row],[Payment Status]]="Paid","Completed",Table1[[#This Row],[Payment Status]]="Pending","Pending"),"Invalid Input")</f>
        <v>Pending</v>
      </c>
    </row>
    <row r="889" spans="1:21" x14ac:dyDescent="0.25">
      <c r="A889" s="4" t="s">
        <v>1659</v>
      </c>
      <c r="B889" s="5">
        <v>45600</v>
      </c>
      <c r="C889" t="s">
        <v>73</v>
      </c>
      <c r="D889" t="s">
        <v>37</v>
      </c>
      <c r="E889" t="s">
        <v>66</v>
      </c>
      <c r="F889" t="s">
        <v>3226</v>
      </c>
      <c r="G889" t="s">
        <v>67</v>
      </c>
      <c r="H889" t="str">
        <f>VLOOKUP(Table1[[#This Row],[City]],Table6[#All],2,FALSE)</f>
        <v>East</v>
      </c>
      <c r="I889" t="s">
        <v>3203</v>
      </c>
      <c r="J889" t="str">
        <f>_xlfn.XLOOKUP(Table1[[#This Row],[Tractor Model]],Table7[Product Model],Table7[Product Category],"Not Available",0)</f>
        <v>Kubota</v>
      </c>
      <c r="K889" s="4">
        <v>6</v>
      </c>
      <c r="L889" s="72">
        <v>718017</v>
      </c>
      <c r="M889" s="4">
        <f>INDEX('Master Sheet'!$C$4:$C$12,MATCH(Table1[[#This Row],[Quantity]],'Master Sheet'!$B$4:$B$12,0))</f>
        <v>8</v>
      </c>
      <c r="N889" s="71">
        <f>Table1[[#This Row],[Quantity]]*Table1[[#This Row],[Unit Price]]</f>
        <v>4308102</v>
      </c>
      <c r="O889" s="73">
        <v>0.43081019999999998</v>
      </c>
      <c r="P889" s="70">
        <f>Table1[[#This Row],[Gross Amount]]*(1-(Table1[[#This Row],[Discount %]]/100))</f>
        <v>3963453.8400000003</v>
      </c>
      <c r="Q889" s="74">
        <f>(Table1[[#This Row],[Gross Amount]]*(1-(Table1[[#This Row],[Discount %]]/100)))/10000000</f>
        <v>0.39634538400000002</v>
      </c>
      <c r="R889" t="s">
        <v>25</v>
      </c>
      <c r="S889" t="str" cm="1">
        <f t="array" ref="S889">IFERROR(_xlfn.IFS(Table1[[#This Row],[Payment Status]]="Partial","In Transit",Table1[[#This Row],[Payment Status]]="Paid","Delivered",Table1[[#This Row],[Payment Status]]="Pending","Pending"),"Invalid Input")</f>
        <v>In Transit</v>
      </c>
      <c r="T889" t="s">
        <v>27</v>
      </c>
      <c r="U889" t="str" cm="1">
        <f t="array" ref="U889">IFERROR(_xlfn.IFS(Table1[[#This Row],[Payment Status]]="Partial","In Transit",Table1[[#This Row],[Payment Status]]="Paid","Completed",Table1[[#This Row],[Payment Status]]="Pending","Pending"),"Invalid Input")</f>
        <v>In Transit</v>
      </c>
    </row>
    <row r="890" spans="1:21" x14ac:dyDescent="0.25">
      <c r="A890" s="4" t="s">
        <v>1661</v>
      </c>
      <c r="B890" s="5">
        <v>45553</v>
      </c>
      <c r="C890" t="s">
        <v>33</v>
      </c>
      <c r="D890" t="s">
        <v>3271</v>
      </c>
      <c r="E890" t="s">
        <v>38</v>
      </c>
      <c r="F890" t="s">
        <v>3210</v>
      </c>
      <c r="G890" t="s">
        <v>39</v>
      </c>
      <c r="H890" t="str">
        <f>VLOOKUP(Table1[[#This Row],[City]],Table6[#All],2,FALSE)</f>
        <v>West</v>
      </c>
      <c r="I890" t="s">
        <v>24</v>
      </c>
      <c r="J890" t="str">
        <f>_xlfn.XLOOKUP(Table1[[#This Row],[Tractor Model]],Table7[Product Model],Table7[Product Category],"Not Available",0)</f>
        <v>Farmtrac</v>
      </c>
      <c r="K890" s="4">
        <v>8</v>
      </c>
      <c r="L890" s="72">
        <v>844194</v>
      </c>
      <c r="M890" s="4">
        <f>INDEX('Master Sheet'!$C$4:$C$12,MATCH(Table1[[#This Row],[Quantity]],'Master Sheet'!$B$4:$B$12,0))</f>
        <v>9</v>
      </c>
      <c r="N890" s="71">
        <f>Table1[[#This Row],[Quantity]]*Table1[[#This Row],[Unit Price]]</f>
        <v>6753552</v>
      </c>
      <c r="O890" s="73">
        <v>0.67535520000000004</v>
      </c>
      <c r="P890" s="70">
        <f>Table1[[#This Row],[Gross Amount]]*(1-(Table1[[#This Row],[Discount %]]/100))</f>
        <v>6145732.3200000003</v>
      </c>
      <c r="Q890" s="74">
        <f>(Table1[[#This Row],[Gross Amount]]*(1-(Table1[[#This Row],[Discount %]]/100)))/10000000</f>
        <v>0.61457323200000002</v>
      </c>
      <c r="R890" t="s">
        <v>54</v>
      </c>
      <c r="S890" t="str" cm="1">
        <f t="array" ref="S890">IFERROR(_xlfn.IFS(Table1[[#This Row],[Payment Status]]="Partial","In Transit",Table1[[#This Row],[Payment Status]]="Paid","Delivered",Table1[[#This Row],[Payment Status]]="Pending","Pending"),"Invalid Input")</f>
        <v>Delivered</v>
      </c>
      <c r="T890" t="s">
        <v>27</v>
      </c>
      <c r="U890" t="str" cm="1">
        <f t="array" ref="U890">IFERROR(_xlfn.IFS(Table1[[#This Row],[Payment Status]]="Partial","In Transit",Table1[[#This Row],[Payment Status]]="Paid","Completed",Table1[[#This Row],[Payment Status]]="Pending","Pending"),"Invalid Input")</f>
        <v>Completed</v>
      </c>
    </row>
    <row r="891" spans="1:21" x14ac:dyDescent="0.25">
      <c r="A891" s="4" t="s">
        <v>1663</v>
      </c>
      <c r="B891" s="5">
        <v>45307</v>
      </c>
      <c r="C891" t="s">
        <v>62</v>
      </c>
      <c r="D891" t="s">
        <v>3268</v>
      </c>
      <c r="E891" t="s">
        <v>30</v>
      </c>
      <c r="F891" t="s">
        <v>3208</v>
      </c>
      <c r="G891" t="s">
        <v>31</v>
      </c>
      <c r="H891" t="str">
        <f>VLOOKUP(Table1[[#This Row],[City]],Table6[#All],2,FALSE)</f>
        <v>South</v>
      </c>
      <c r="I891" t="s">
        <v>58</v>
      </c>
      <c r="J891" t="str">
        <f>_xlfn.XLOOKUP(Table1[[#This Row],[Tractor Model]],Table7[Product Model],Table7[Product Category],"Not Available",0)</f>
        <v>Powertrac</v>
      </c>
      <c r="K891" s="4">
        <v>5</v>
      </c>
      <c r="L891" s="72">
        <v>448919</v>
      </c>
      <c r="M891" s="4">
        <f>INDEX('Master Sheet'!$C$4:$C$12,MATCH(Table1[[#This Row],[Quantity]],'Master Sheet'!$B$4:$B$12,0))</f>
        <v>7</v>
      </c>
      <c r="N891" s="71">
        <f>Table1[[#This Row],[Quantity]]*Table1[[#This Row],[Unit Price]]</f>
        <v>2244595</v>
      </c>
      <c r="O891" s="73">
        <v>0.22445950000000001</v>
      </c>
      <c r="P891" s="70">
        <f>Table1[[#This Row],[Gross Amount]]*(1-(Table1[[#This Row],[Discount %]]/100))</f>
        <v>2087473.3499999999</v>
      </c>
      <c r="Q891" s="74">
        <f>(Table1[[#This Row],[Gross Amount]]*(1-(Table1[[#This Row],[Discount %]]/100)))/10000000</f>
        <v>0.20874733499999998</v>
      </c>
      <c r="R891" t="s">
        <v>25</v>
      </c>
      <c r="S891" t="str" cm="1">
        <f t="array" ref="S891">IFERROR(_xlfn.IFS(Table1[[#This Row],[Payment Status]]="Partial","In Transit",Table1[[#This Row],[Payment Status]]="Paid","Delivered",Table1[[#This Row],[Payment Status]]="Pending","Pending"),"Invalid Input")</f>
        <v>In Transit</v>
      </c>
      <c r="T891" t="s">
        <v>27</v>
      </c>
      <c r="U891" t="str" cm="1">
        <f t="array" ref="U891">IFERROR(_xlfn.IFS(Table1[[#This Row],[Payment Status]]="Partial","In Transit",Table1[[#This Row],[Payment Status]]="Paid","Completed",Table1[[#This Row],[Payment Status]]="Pending","Pending"),"Invalid Input")</f>
        <v>In Transit</v>
      </c>
    </row>
    <row r="892" spans="1:21" x14ac:dyDescent="0.25">
      <c r="A892" s="4" t="s">
        <v>1665</v>
      </c>
      <c r="B892" s="5">
        <v>45813</v>
      </c>
      <c r="C892" t="s">
        <v>41</v>
      </c>
      <c r="D892" t="s">
        <v>37</v>
      </c>
      <c r="E892" t="s">
        <v>47</v>
      </c>
      <c r="F892" t="s">
        <v>3215</v>
      </c>
      <c r="G892" t="s">
        <v>48</v>
      </c>
      <c r="H892" t="str">
        <f>VLOOKUP(Table1[[#This Row],[City]],Table6[#All],2,FALSE)</f>
        <v>North</v>
      </c>
      <c r="I892" t="s">
        <v>24</v>
      </c>
      <c r="J892" t="str">
        <f>_xlfn.XLOOKUP(Table1[[#This Row],[Tractor Model]],Table7[Product Model],Table7[Product Category],"Not Available",0)</f>
        <v>Farmtrac</v>
      </c>
      <c r="K892" s="4">
        <v>1</v>
      </c>
      <c r="L892" s="72">
        <v>155578</v>
      </c>
      <c r="M892" s="4">
        <f>INDEX('Master Sheet'!$C$4:$C$12,MATCH(Table1[[#This Row],[Quantity]],'Master Sheet'!$B$4:$B$12,0))</f>
        <v>3</v>
      </c>
      <c r="N892" s="71">
        <f>Table1[[#This Row],[Quantity]]*Table1[[#This Row],[Unit Price]]</f>
        <v>155578</v>
      </c>
      <c r="O892" s="73">
        <v>1.55578E-2</v>
      </c>
      <c r="P892" s="70">
        <f>Table1[[#This Row],[Gross Amount]]*(1-(Table1[[#This Row],[Discount %]]/100))</f>
        <v>150910.66</v>
      </c>
      <c r="Q892" s="74">
        <f>(Table1[[#This Row],[Gross Amount]]*(1-(Table1[[#This Row],[Discount %]]/100)))/10000000</f>
        <v>1.5091066E-2</v>
      </c>
      <c r="R892" t="s">
        <v>54</v>
      </c>
      <c r="S892" t="str" cm="1">
        <f t="array" ref="S892">IFERROR(_xlfn.IFS(Table1[[#This Row],[Payment Status]]="Partial","In Transit",Table1[[#This Row],[Payment Status]]="Paid","Delivered",Table1[[#This Row],[Payment Status]]="Pending","Pending"),"Invalid Input")</f>
        <v>Delivered</v>
      </c>
      <c r="T892" t="s">
        <v>44</v>
      </c>
      <c r="U892" t="str" cm="1">
        <f t="array" ref="U892">IFERROR(_xlfn.IFS(Table1[[#This Row],[Payment Status]]="Partial","In Transit",Table1[[#This Row],[Payment Status]]="Paid","Completed",Table1[[#This Row],[Payment Status]]="Pending","Pending"),"Invalid Input")</f>
        <v>Completed</v>
      </c>
    </row>
    <row r="893" spans="1:21" x14ac:dyDescent="0.25">
      <c r="A893" s="4" t="s">
        <v>1666</v>
      </c>
      <c r="B893" s="5">
        <v>45624</v>
      </c>
      <c r="C893" t="s">
        <v>62</v>
      </c>
      <c r="D893" t="s">
        <v>37</v>
      </c>
      <c r="E893" t="s">
        <v>30</v>
      </c>
      <c r="F893" t="s">
        <v>3222</v>
      </c>
      <c r="G893" t="s">
        <v>31</v>
      </c>
      <c r="H893" t="str">
        <f>VLOOKUP(Table1[[#This Row],[City]],Table6[#All],2,FALSE)</f>
        <v>South</v>
      </c>
      <c r="I893" t="s">
        <v>3203</v>
      </c>
      <c r="J893" t="str">
        <f>_xlfn.XLOOKUP(Table1[[#This Row],[Tractor Model]],Table7[Product Model],Table7[Product Category],"Not Available",0)</f>
        <v>Kubota</v>
      </c>
      <c r="K893" s="4">
        <v>8</v>
      </c>
      <c r="L893" s="72">
        <v>357564</v>
      </c>
      <c r="M893" s="4">
        <f>INDEX('Master Sheet'!$C$4:$C$12,MATCH(Table1[[#This Row],[Quantity]],'Master Sheet'!$B$4:$B$12,0))</f>
        <v>9</v>
      </c>
      <c r="N893" s="71">
        <f>Table1[[#This Row],[Quantity]]*Table1[[#This Row],[Unit Price]]</f>
        <v>2860512</v>
      </c>
      <c r="O893" s="73">
        <v>0.28605120000000001</v>
      </c>
      <c r="P893" s="70">
        <f>Table1[[#This Row],[Gross Amount]]*(1-(Table1[[#This Row],[Discount %]]/100))</f>
        <v>2603065.92</v>
      </c>
      <c r="Q893" s="74">
        <f>(Table1[[#This Row],[Gross Amount]]*(1-(Table1[[#This Row],[Discount %]]/100)))/10000000</f>
        <v>0.260306592</v>
      </c>
      <c r="R893" t="s">
        <v>25</v>
      </c>
      <c r="S893" t="str" cm="1">
        <f t="array" ref="S893">IFERROR(_xlfn.IFS(Table1[[#This Row],[Payment Status]]="Partial","In Transit",Table1[[#This Row],[Payment Status]]="Paid","Delivered",Table1[[#This Row],[Payment Status]]="Pending","Pending"),"Invalid Input")</f>
        <v>In Transit</v>
      </c>
      <c r="T893" t="s">
        <v>27</v>
      </c>
      <c r="U893" t="str" cm="1">
        <f t="array" ref="U893">IFERROR(_xlfn.IFS(Table1[[#This Row],[Payment Status]]="Partial","In Transit",Table1[[#This Row],[Payment Status]]="Paid","Completed",Table1[[#This Row],[Payment Status]]="Pending","Pending"),"Invalid Input")</f>
        <v>In Transit</v>
      </c>
    </row>
    <row r="894" spans="1:21" x14ac:dyDescent="0.25">
      <c r="A894" s="4" t="s">
        <v>1668</v>
      </c>
      <c r="B894" s="5">
        <v>45476</v>
      </c>
      <c r="C894" t="s">
        <v>41</v>
      </c>
      <c r="D894" t="s">
        <v>3268</v>
      </c>
      <c r="E894" t="s">
        <v>47</v>
      </c>
      <c r="F894" t="s">
        <v>3216</v>
      </c>
      <c r="G894" t="s">
        <v>48</v>
      </c>
      <c r="H894" t="str">
        <f>VLOOKUP(Table1[[#This Row],[City]],Table6[#All],2,FALSE)</f>
        <v>North</v>
      </c>
      <c r="I894" t="s">
        <v>3204</v>
      </c>
      <c r="J894" t="str">
        <f>_xlfn.XLOOKUP(Table1[[#This Row],[Tractor Model]],Table7[Product Model],Table7[Product Category],"Not Available",0)</f>
        <v>Kubota</v>
      </c>
      <c r="K894" s="4">
        <v>7</v>
      </c>
      <c r="L894" s="72">
        <v>886401</v>
      </c>
      <c r="M894" s="4">
        <f>INDEX('Master Sheet'!$C$4:$C$12,MATCH(Table1[[#This Row],[Quantity]],'Master Sheet'!$B$4:$B$12,0))</f>
        <v>9</v>
      </c>
      <c r="N894" s="71">
        <f>Table1[[#This Row],[Quantity]]*Table1[[#This Row],[Unit Price]]</f>
        <v>6204807</v>
      </c>
      <c r="O894" s="73">
        <v>0.6204807</v>
      </c>
      <c r="P894" s="70">
        <f>Table1[[#This Row],[Gross Amount]]*(1-(Table1[[#This Row],[Discount %]]/100))</f>
        <v>5646374.3700000001</v>
      </c>
      <c r="Q894" s="74">
        <f>(Table1[[#This Row],[Gross Amount]]*(1-(Table1[[#This Row],[Discount %]]/100)))/10000000</f>
        <v>0.56463743700000002</v>
      </c>
      <c r="R894" t="s">
        <v>42</v>
      </c>
      <c r="S894" t="str" cm="1">
        <f t="array" ref="S894">IFERROR(_xlfn.IFS(Table1[[#This Row],[Payment Status]]="Partial","In Transit",Table1[[#This Row],[Payment Status]]="Paid","Delivered",Table1[[#This Row],[Payment Status]]="Pending","Pending"),"Invalid Input")</f>
        <v>Pending</v>
      </c>
      <c r="T894" t="s">
        <v>44</v>
      </c>
      <c r="U894" t="str" cm="1">
        <f t="array" ref="U894">IFERROR(_xlfn.IFS(Table1[[#This Row],[Payment Status]]="Partial","In Transit",Table1[[#This Row],[Payment Status]]="Paid","Completed",Table1[[#This Row],[Payment Status]]="Pending","Pending"),"Invalid Input")</f>
        <v>Pending</v>
      </c>
    </row>
    <row r="895" spans="1:21" x14ac:dyDescent="0.25">
      <c r="A895" s="4" t="s">
        <v>1670</v>
      </c>
      <c r="B895" s="5">
        <v>45629</v>
      </c>
      <c r="C895" t="s">
        <v>41</v>
      </c>
      <c r="D895" t="s">
        <v>37</v>
      </c>
      <c r="E895" t="s">
        <v>47</v>
      </c>
      <c r="F895" t="s">
        <v>3215</v>
      </c>
      <c r="G895" t="s">
        <v>48</v>
      </c>
      <c r="H895" t="str">
        <f>VLOOKUP(Table1[[#This Row],[City]],Table6[#All],2,FALSE)</f>
        <v>North</v>
      </c>
      <c r="I895" t="s">
        <v>3204</v>
      </c>
      <c r="J895" t="str">
        <f>_xlfn.XLOOKUP(Table1[[#This Row],[Tractor Model]],Table7[Product Model],Table7[Product Category],"Not Available",0)</f>
        <v>Kubota</v>
      </c>
      <c r="K895" s="4">
        <v>3</v>
      </c>
      <c r="L895" s="72">
        <v>107399</v>
      </c>
      <c r="M895" s="4">
        <f>INDEX('Master Sheet'!$C$4:$C$12,MATCH(Table1[[#This Row],[Quantity]],'Master Sheet'!$B$4:$B$12,0))</f>
        <v>6</v>
      </c>
      <c r="N895" s="71">
        <f>Table1[[#This Row],[Quantity]]*Table1[[#This Row],[Unit Price]]</f>
        <v>322197</v>
      </c>
      <c r="O895" s="73">
        <v>3.2219699999999997E-2</v>
      </c>
      <c r="P895" s="70">
        <f>Table1[[#This Row],[Gross Amount]]*(1-(Table1[[#This Row],[Discount %]]/100))</f>
        <v>302865.18</v>
      </c>
      <c r="Q895" s="74">
        <f>(Table1[[#This Row],[Gross Amount]]*(1-(Table1[[#This Row],[Discount %]]/100)))/10000000</f>
        <v>3.0286517999999998E-2</v>
      </c>
      <c r="R895" t="s">
        <v>42</v>
      </c>
      <c r="S895" t="str" cm="1">
        <f t="array" ref="S895">IFERROR(_xlfn.IFS(Table1[[#This Row],[Payment Status]]="Partial","In Transit",Table1[[#This Row],[Payment Status]]="Paid","Delivered",Table1[[#This Row],[Payment Status]]="Pending","Pending"),"Invalid Input")</f>
        <v>Pending</v>
      </c>
      <c r="T895" t="s">
        <v>27</v>
      </c>
      <c r="U895" t="str" cm="1">
        <f t="array" ref="U895">IFERROR(_xlfn.IFS(Table1[[#This Row],[Payment Status]]="Partial","In Transit",Table1[[#This Row],[Payment Status]]="Paid","Completed",Table1[[#This Row],[Payment Status]]="Pending","Pending"),"Invalid Input")</f>
        <v>Pending</v>
      </c>
    </row>
    <row r="896" spans="1:21" x14ac:dyDescent="0.25">
      <c r="A896" s="4" t="s">
        <v>1672</v>
      </c>
      <c r="B896" s="5">
        <v>45547</v>
      </c>
      <c r="C896" t="s">
        <v>62</v>
      </c>
      <c r="D896" t="s">
        <v>3271</v>
      </c>
      <c r="E896" t="s">
        <v>119</v>
      </c>
      <c r="F896" t="s">
        <v>3228</v>
      </c>
      <c r="G896" t="s">
        <v>21</v>
      </c>
      <c r="H896" t="str">
        <f>VLOOKUP(Table1[[#This Row],[City]],Table6[#All],2,FALSE)</f>
        <v>North</v>
      </c>
      <c r="I896" t="s">
        <v>24</v>
      </c>
      <c r="J896" t="str">
        <f>_xlfn.XLOOKUP(Table1[[#This Row],[Tractor Model]],Table7[Product Model],Table7[Product Category],"Not Available",0)</f>
        <v>Farmtrac</v>
      </c>
      <c r="K896" s="4">
        <v>6</v>
      </c>
      <c r="L896" s="72">
        <v>565739</v>
      </c>
      <c r="M896" s="4">
        <f>INDEX('Master Sheet'!$C$4:$C$12,MATCH(Table1[[#This Row],[Quantity]],'Master Sheet'!$B$4:$B$12,0))</f>
        <v>8</v>
      </c>
      <c r="N896" s="71">
        <f>Table1[[#This Row],[Quantity]]*Table1[[#This Row],[Unit Price]]</f>
        <v>3394434</v>
      </c>
      <c r="O896" s="73">
        <v>0.33944340000000001</v>
      </c>
      <c r="P896" s="70">
        <f>Table1[[#This Row],[Gross Amount]]*(1-(Table1[[#This Row],[Discount %]]/100))</f>
        <v>3122879.2800000003</v>
      </c>
      <c r="Q896" s="74">
        <f>(Table1[[#This Row],[Gross Amount]]*(1-(Table1[[#This Row],[Discount %]]/100)))/10000000</f>
        <v>0.31228792800000005</v>
      </c>
      <c r="R896" t="s">
        <v>42</v>
      </c>
      <c r="S896" t="str" cm="1">
        <f t="array" ref="S896">IFERROR(_xlfn.IFS(Table1[[#This Row],[Payment Status]]="Partial","In Transit",Table1[[#This Row],[Payment Status]]="Paid","Delivered",Table1[[#This Row],[Payment Status]]="Pending","Pending"),"Invalid Input")</f>
        <v>Pending</v>
      </c>
      <c r="T896" t="s">
        <v>44</v>
      </c>
      <c r="U896" t="str" cm="1">
        <f t="array" ref="U896">IFERROR(_xlfn.IFS(Table1[[#This Row],[Payment Status]]="Partial","In Transit",Table1[[#This Row],[Payment Status]]="Paid","Completed",Table1[[#This Row],[Payment Status]]="Pending","Pending"),"Invalid Input")</f>
        <v>Pending</v>
      </c>
    </row>
    <row r="897" spans="1:21" x14ac:dyDescent="0.25">
      <c r="A897" s="4" t="s">
        <v>1674</v>
      </c>
      <c r="B897" s="5">
        <v>45728</v>
      </c>
      <c r="C897" t="s">
        <v>73</v>
      </c>
      <c r="D897" t="s">
        <v>3271</v>
      </c>
      <c r="E897" t="s">
        <v>38</v>
      </c>
      <c r="F897" t="s">
        <v>3210</v>
      </c>
      <c r="G897" t="s">
        <v>39</v>
      </c>
      <c r="H897" t="str">
        <f>VLOOKUP(Table1[[#This Row],[City]],Table6[#All],2,FALSE)</f>
        <v>West</v>
      </c>
      <c r="I897" t="s">
        <v>3204</v>
      </c>
      <c r="J897" t="str">
        <f>_xlfn.XLOOKUP(Table1[[#This Row],[Tractor Model]],Table7[Product Model],Table7[Product Category],"Not Available",0)</f>
        <v>Kubota</v>
      </c>
      <c r="K897" s="4">
        <v>4</v>
      </c>
      <c r="L897" s="72">
        <v>387716</v>
      </c>
      <c r="M897" s="4">
        <f>INDEX('Master Sheet'!$C$4:$C$12,MATCH(Table1[[#This Row],[Quantity]],'Master Sheet'!$B$4:$B$12,0))</f>
        <v>6</v>
      </c>
      <c r="N897" s="71">
        <f>Table1[[#This Row],[Quantity]]*Table1[[#This Row],[Unit Price]]</f>
        <v>1550864</v>
      </c>
      <c r="O897" s="73">
        <v>0.15508640000000001</v>
      </c>
      <c r="P897" s="70">
        <f>Table1[[#This Row],[Gross Amount]]*(1-(Table1[[#This Row],[Discount %]]/100))</f>
        <v>1457812.16</v>
      </c>
      <c r="Q897" s="74">
        <f>(Table1[[#This Row],[Gross Amount]]*(1-(Table1[[#This Row],[Discount %]]/100)))/10000000</f>
        <v>0.14578121599999999</v>
      </c>
      <c r="R897" t="s">
        <v>25</v>
      </c>
      <c r="S897" t="str" cm="1">
        <f t="array" ref="S897">IFERROR(_xlfn.IFS(Table1[[#This Row],[Payment Status]]="Partial","In Transit",Table1[[#This Row],[Payment Status]]="Paid","Delivered",Table1[[#This Row],[Payment Status]]="Pending","Pending"),"Invalid Input")</f>
        <v>In Transit</v>
      </c>
      <c r="T897" t="s">
        <v>44</v>
      </c>
      <c r="U897" t="str" cm="1">
        <f t="array" ref="U897">IFERROR(_xlfn.IFS(Table1[[#This Row],[Payment Status]]="Partial","In Transit",Table1[[#This Row],[Payment Status]]="Paid","Completed",Table1[[#This Row],[Payment Status]]="Pending","Pending"),"Invalid Input")</f>
        <v>In Transit</v>
      </c>
    </row>
    <row r="898" spans="1:21" x14ac:dyDescent="0.25">
      <c r="A898" s="4" t="s">
        <v>1676</v>
      </c>
      <c r="B898" s="5">
        <v>45573</v>
      </c>
      <c r="C898" t="s">
        <v>52</v>
      </c>
      <c r="D898" t="s">
        <v>3269</v>
      </c>
      <c r="E898" t="s">
        <v>30</v>
      </c>
      <c r="F898" t="s">
        <v>3225</v>
      </c>
      <c r="G898" t="s">
        <v>31</v>
      </c>
      <c r="H898" t="str">
        <f>VLOOKUP(Table1[[#This Row],[City]],Table6[#All],2,FALSE)</f>
        <v>South</v>
      </c>
      <c r="I898" t="s">
        <v>3204</v>
      </c>
      <c r="J898" t="str">
        <f>_xlfn.XLOOKUP(Table1[[#This Row],[Tractor Model]],Table7[Product Model],Table7[Product Category],"Not Available",0)</f>
        <v>Kubota</v>
      </c>
      <c r="K898" s="4">
        <v>8</v>
      </c>
      <c r="L898" s="72">
        <v>298136</v>
      </c>
      <c r="M898" s="4">
        <f>INDEX('Master Sheet'!$C$4:$C$12,MATCH(Table1[[#This Row],[Quantity]],'Master Sheet'!$B$4:$B$12,0))</f>
        <v>9</v>
      </c>
      <c r="N898" s="71">
        <f>Table1[[#This Row],[Quantity]]*Table1[[#This Row],[Unit Price]]</f>
        <v>2385088</v>
      </c>
      <c r="O898" s="73">
        <v>0.23850879999999999</v>
      </c>
      <c r="P898" s="70">
        <f>Table1[[#This Row],[Gross Amount]]*(1-(Table1[[#This Row],[Discount %]]/100))</f>
        <v>2170430.08</v>
      </c>
      <c r="Q898" s="74">
        <f>(Table1[[#This Row],[Gross Amount]]*(1-(Table1[[#This Row],[Discount %]]/100)))/10000000</f>
        <v>0.21704300800000001</v>
      </c>
      <c r="R898" t="s">
        <v>25</v>
      </c>
      <c r="S898" t="str" cm="1">
        <f t="array" ref="S898">IFERROR(_xlfn.IFS(Table1[[#This Row],[Payment Status]]="Partial","In Transit",Table1[[#This Row],[Payment Status]]="Paid","Delivered",Table1[[#This Row],[Payment Status]]="Pending","Pending"),"Invalid Input")</f>
        <v>In Transit</v>
      </c>
      <c r="T898" t="s">
        <v>27</v>
      </c>
      <c r="U898" t="str" cm="1">
        <f t="array" ref="U898">IFERROR(_xlfn.IFS(Table1[[#This Row],[Payment Status]]="Partial","In Transit",Table1[[#This Row],[Payment Status]]="Paid","Completed",Table1[[#This Row],[Payment Status]]="Pending","Pending"),"Invalid Input")</f>
        <v>In Transit</v>
      </c>
    </row>
    <row r="899" spans="1:21" x14ac:dyDescent="0.25">
      <c r="A899" s="4" t="s">
        <v>1677</v>
      </c>
      <c r="B899" s="5">
        <v>45761</v>
      </c>
      <c r="C899" t="s">
        <v>62</v>
      </c>
      <c r="D899" t="s">
        <v>3269</v>
      </c>
      <c r="E899" t="s">
        <v>119</v>
      </c>
      <c r="F899" t="s">
        <v>3229</v>
      </c>
      <c r="G899" t="s">
        <v>21</v>
      </c>
      <c r="H899" t="str">
        <f>VLOOKUP(Table1[[#This Row],[City]],Table6[#All],2,FALSE)</f>
        <v>North</v>
      </c>
      <c r="I899" t="s">
        <v>53</v>
      </c>
      <c r="J899" t="str">
        <f>_xlfn.XLOOKUP(Table1[[#This Row],[Tractor Model]],Table7[Product Model],Table7[Product Category],"Not Available",0)</f>
        <v>Farmtrac</v>
      </c>
      <c r="K899" s="4">
        <v>4</v>
      </c>
      <c r="L899" s="72">
        <v>487714</v>
      </c>
      <c r="M899" s="4">
        <f>INDEX('Master Sheet'!$C$4:$C$12,MATCH(Table1[[#This Row],[Quantity]],'Master Sheet'!$B$4:$B$12,0))</f>
        <v>6</v>
      </c>
      <c r="N899" s="71">
        <f>Table1[[#This Row],[Quantity]]*Table1[[#This Row],[Unit Price]]</f>
        <v>1950856</v>
      </c>
      <c r="O899" s="73">
        <v>0.1950856</v>
      </c>
      <c r="P899" s="70">
        <f>Table1[[#This Row],[Gross Amount]]*(1-(Table1[[#This Row],[Discount %]]/100))</f>
        <v>1833804.64</v>
      </c>
      <c r="Q899" s="74">
        <f>(Table1[[#This Row],[Gross Amount]]*(1-(Table1[[#This Row],[Discount %]]/100)))/10000000</f>
        <v>0.18338046399999999</v>
      </c>
      <c r="R899" t="s">
        <v>42</v>
      </c>
      <c r="S899" t="str" cm="1">
        <f t="array" ref="S899">IFERROR(_xlfn.IFS(Table1[[#This Row],[Payment Status]]="Partial","In Transit",Table1[[#This Row],[Payment Status]]="Paid","Delivered",Table1[[#This Row],[Payment Status]]="Pending","Pending"),"Invalid Input")</f>
        <v>Pending</v>
      </c>
      <c r="T899" t="s">
        <v>44</v>
      </c>
      <c r="U899" t="str" cm="1">
        <f t="array" ref="U899">IFERROR(_xlfn.IFS(Table1[[#This Row],[Payment Status]]="Partial","In Transit",Table1[[#This Row],[Payment Status]]="Paid","Completed",Table1[[#This Row],[Payment Status]]="Pending","Pending"),"Invalid Input")</f>
        <v>Pending</v>
      </c>
    </row>
    <row r="900" spans="1:21" x14ac:dyDescent="0.25">
      <c r="A900" s="4" t="s">
        <v>1679</v>
      </c>
      <c r="B900" s="5">
        <v>45545</v>
      </c>
      <c r="C900" t="s">
        <v>62</v>
      </c>
      <c r="D900" t="s">
        <v>3269</v>
      </c>
      <c r="E900" t="s">
        <v>119</v>
      </c>
      <c r="F900" t="s">
        <v>3229</v>
      </c>
      <c r="G900" t="s">
        <v>21</v>
      </c>
      <c r="H900" t="str">
        <f>VLOOKUP(Table1[[#This Row],[City]],Table6[#All],2,FALSE)</f>
        <v>North</v>
      </c>
      <c r="I900" t="s">
        <v>3203</v>
      </c>
      <c r="J900" t="str">
        <f>_xlfn.XLOOKUP(Table1[[#This Row],[Tractor Model]],Table7[Product Model],Table7[Product Category],"Not Available",0)</f>
        <v>Kubota</v>
      </c>
      <c r="K900" s="4">
        <v>8</v>
      </c>
      <c r="L900" s="72">
        <v>506156</v>
      </c>
      <c r="M900" s="4">
        <f>INDEX('Master Sheet'!$C$4:$C$12,MATCH(Table1[[#This Row],[Quantity]],'Master Sheet'!$B$4:$B$12,0))</f>
        <v>9</v>
      </c>
      <c r="N900" s="71">
        <f>Table1[[#This Row],[Quantity]]*Table1[[#This Row],[Unit Price]]</f>
        <v>4049248</v>
      </c>
      <c r="O900" s="73">
        <v>0.40492479999999997</v>
      </c>
      <c r="P900" s="70">
        <f>Table1[[#This Row],[Gross Amount]]*(1-(Table1[[#This Row],[Discount %]]/100))</f>
        <v>3684815.68</v>
      </c>
      <c r="Q900" s="74">
        <f>(Table1[[#This Row],[Gross Amount]]*(1-(Table1[[#This Row],[Discount %]]/100)))/10000000</f>
        <v>0.36848156800000004</v>
      </c>
      <c r="R900" t="s">
        <v>25</v>
      </c>
      <c r="S900" t="str" cm="1">
        <f t="array" ref="S900">IFERROR(_xlfn.IFS(Table1[[#This Row],[Payment Status]]="Partial","In Transit",Table1[[#This Row],[Payment Status]]="Paid","Delivered",Table1[[#This Row],[Payment Status]]="Pending","Pending"),"Invalid Input")</f>
        <v>In Transit</v>
      </c>
      <c r="T900" t="s">
        <v>27</v>
      </c>
      <c r="U900" t="str" cm="1">
        <f t="array" ref="U900">IFERROR(_xlfn.IFS(Table1[[#This Row],[Payment Status]]="Partial","In Transit",Table1[[#This Row],[Payment Status]]="Paid","Completed",Table1[[#This Row],[Payment Status]]="Pending","Pending"),"Invalid Input")</f>
        <v>In Transit</v>
      </c>
    </row>
    <row r="901" spans="1:21" x14ac:dyDescent="0.25">
      <c r="A901" s="4" t="s">
        <v>1681</v>
      </c>
      <c r="B901" s="5">
        <v>45749</v>
      </c>
      <c r="C901" t="s">
        <v>52</v>
      </c>
      <c r="D901" t="s">
        <v>3270</v>
      </c>
      <c r="E901" t="s">
        <v>38</v>
      </c>
      <c r="F901" t="s">
        <v>3218</v>
      </c>
      <c r="G901" t="s">
        <v>39</v>
      </c>
      <c r="H901" t="str">
        <f>VLOOKUP(Table1[[#This Row],[City]],Table6[#All],2,FALSE)</f>
        <v>West</v>
      </c>
      <c r="I901" t="s">
        <v>3204</v>
      </c>
      <c r="J901" t="str">
        <f>_xlfn.XLOOKUP(Table1[[#This Row],[Tractor Model]],Table7[Product Model],Table7[Product Category],"Not Available",0)</f>
        <v>Kubota</v>
      </c>
      <c r="K901" s="4">
        <v>2</v>
      </c>
      <c r="L901" s="72">
        <v>209173</v>
      </c>
      <c r="M901" s="4">
        <f>INDEX('Master Sheet'!$C$4:$C$12,MATCH(Table1[[#This Row],[Quantity]],'Master Sheet'!$B$4:$B$12,0))</f>
        <v>5</v>
      </c>
      <c r="N901" s="71">
        <f>Table1[[#This Row],[Quantity]]*Table1[[#This Row],[Unit Price]]</f>
        <v>418346</v>
      </c>
      <c r="O901" s="73">
        <v>4.18346E-2</v>
      </c>
      <c r="P901" s="70">
        <f>Table1[[#This Row],[Gross Amount]]*(1-(Table1[[#This Row],[Discount %]]/100))</f>
        <v>397428.69999999995</v>
      </c>
      <c r="Q901" s="74">
        <f>(Table1[[#This Row],[Gross Amount]]*(1-(Table1[[#This Row],[Discount %]]/100)))/10000000</f>
        <v>3.9742869999999993E-2</v>
      </c>
      <c r="R901" t="s">
        <v>25</v>
      </c>
      <c r="S901" t="str" cm="1">
        <f t="array" ref="S901">IFERROR(_xlfn.IFS(Table1[[#This Row],[Payment Status]]="Partial","In Transit",Table1[[#This Row],[Payment Status]]="Paid","Delivered",Table1[[#This Row],[Payment Status]]="Pending","Pending"),"Invalid Input")</f>
        <v>In Transit</v>
      </c>
      <c r="T901" t="s">
        <v>44</v>
      </c>
      <c r="U901" t="str" cm="1">
        <f t="array" ref="U901">IFERROR(_xlfn.IFS(Table1[[#This Row],[Payment Status]]="Partial","In Transit",Table1[[#This Row],[Payment Status]]="Paid","Completed",Table1[[#This Row],[Payment Status]]="Pending","Pending"),"Invalid Input")</f>
        <v>In Transit</v>
      </c>
    </row>
    <row r="902" spans="1:21" x14ac:dyDescent="0.25">
      <c r="A902" s="4" t="s">
        <v>1683</v>
      </c>
      <c r="B902" s="5">
        <v>45366</v>
      </c>
      <c r="C902" t="s">
        <v>73</v>
      </c>
      <c r="D902" t="s">
        <v>3269</v>
      </c>
      <c r="E902" t="s">
        <v>30</v>
      </c>
      <c r="F902" t="s">
        <v>3225</v>
      </c>
      <c r="G902" t="s">
        <v>31</v>
      </c>
      <c r="H902" t="str">
        <f>VLOOKUP(Table1[[#This Row],[City]],Table6[#All],2,FALSE)</f>
        <v>South</v>
      </c>
      <c r="I902" t="s">
        <v>3204</v>
      </c>
      <c r="J902" t="str">
        <f>_xlfn.XLOOKUP(Table1[[#This Row],[Tractor Model]],Table7[Product Model],Table7[Product Category],"Not Available",0)</f>
        <v>Kubota</v>
      </c>
      <c r="K902" s="4">
        <v>4</v>
      </c>
      <c r="L902" s="72">
        <v>175437</v>
      </c>
      <c r="M902" s="4">
        <f>INDEX('Master Sheet'!$C$4:$C$12,MATCH(Table1[[#This Row],[Quantity]],'Master Sheet'!$B$4:$B$12,0))</f>
        <v>6</v>
      </c>
      <c r="N902" s="71">
        <f>Table1[[#This Row],[Quantity]]*Table1[[#This Row],[Unit Price]]</f>
        <v>701748</v>
      </c>
      <c r="O902" s="73">
        <v>7.0174799999999996E-2</v>
      </c>
      <c r="P902" s="70">
        <f>Table1[[#This Row],[Gross Amount]]*(1-(Table1[[#This Row],[Discount %]]/100))</f>
        <v>659643.12</v>
      </c>
      <c r="Q902" s="74">
        <f>(Table1[[#This Row],[Gross Amount]]*(1-(Table1[[#This Row],[Discount %]]/100)))/10000000</f>
        <v>6.5964311999999997E-2</v>
      </c>
      <c r="R902" t="s">
        <v>42</v>
      </c>
      <c r="S902" t="str" cm="1">
        <f t="array" ref="S902">IFERROR(_xlfn.IFS(Table1[[#This Row],[Payment Status]]="Partial","In Transit",Table1[[#This Row],[Payment Status]]="Paid","Delivered",Table1[[#This Row],[Payment Status]]="Pending","Pending"),"Invalid Input")</f>
        <v>Pending</v>
      </c>
      <c r="T902" t="s">
        <v>44</v>
      </c>
      <c r="U902" t="str" cm="1">
        <f t="array" ref="U902">IFERROR(_xlfn.IFS(Table1[[#This Row],[Payment Status]]="Partial","In Transit",Table1[[#This Row],[Payment Status]]="Paid","Completed",Table1[[#This Row],[Payment Status]]="Pending","Pending"),"Invalid Input")</f>
        <v>Pending</v>
      </c>
    </row>
    <row r="903" spans="1:21" x14ac:dyDescent="0.25">
      <c r="A903" s="4" t="s">
        <v>1684</v>
      </c>
      <c r="B903" s="5">
        <v>45593</v>
      </c>
      <c r="C903" t="s">
        <v>73</v>
      </c>
      <c r="D903" t="s">
        <v>3269</v>
      </c>
      <c r="E903" t="s">
        <v>38</v>
      </c>
      <c r="F903" t="s">
        <v>3206</v>
      </c>
      <c r="G903" t="s">
        <v>39</v>
      </c>
      <c r="H903" t="str">
        <f>VLOOKUP(Table1[[#This Row],[City]],Table6[#All],2,FALSE)</f>
        <v>West</v>
      </c>
      <c r="I903" t="s">
        <v>53</v>
      </c>
      <c r="J903" t="str">
        <f>_xlfn.XLOOKUP(Table1[[#This Row],[Tractor Model]],Table7[Product Model],Table7[Product Category],"Not Available",0)</f>
        <v>Farmtrac</v>
      </c>
      <c r="K903" s="4">
        <v>8</v>
      </c>
      <c r="L903" s="72">
        <v>700539</v>
      </c>
      <c r="M903" s="4">
        <f>INDEX('Master Sheet'!$C$4:$C$12,MATCH(Table1[[#This Row],[Quantity]],'Master Sheet'!$B$4:$B$12,0))</f>
        <v>9</v>
      </c>
      <c r="N903" s="71">
        <f>Table1[[#This Row],[Quantity]]*Table1[[#This Row],[Unit Price]]</f>
        <v>5604312</v>
      </c>
      <c r="O903" s="73">
        <v>0.56043120000000002</v>
      </c>
      <c r="P903" s="70">
        <f>Table1[[#This Row],[Gross Amount]]*(1-(Table1[[#This Row],[Discount %]]/100))</f>
        <v>5099923.92</v>
      </c>
      <c r="Q903" s="74">
        <f>(Table1[[#This Row],[Gross Amount]]*(1-(Table1[[#This Row],[Discount %]]/100)))/10000000</f>
        <v>0.50999239200000002</v>
      </c>
      <c r="R903" t="s">
        <v>42</v>
      </c>
      <c r="S903" t="str" cm="1">
        <f t="array" ref="S903">IFERROR(_xlfn.IFS(Table1[[#This Row],[Payment Status]]="Partial","In Transit",Table1[[#This Row],[Payment Status]]="Paid","Delivered",Table1[[#This Row],[Payment Status]]="Pending","Pending"),"Invalid Input")</f>
        <v>Pending</v>
      </c>
      <c r="T903" t="s">
        <v>44</v>
      </c>
      <c r="U903" t="str" cm="1">
        <f t="array" ref="U903">IFERROR(_xlfn.IFS(Table1[[#This Row],[Payment Status]]="Partial","In Transit",Table1[[#This Row],[Payment Status]]="Paid","Completed",Table1[[#This Row],[Payment Status]]="Pending","Pending"),"Invalid Input")</f>
        <v>Pending</v>
      </c>
    </row>
    <row r="904" spans="1:21" x14ac:dyDescent="0.25">
      <c r="A904" s="4" t="s">
        <v>1686</v>
      </c>
      <c r="B904" s="5">
        <v>45754</v>
      </c>
      <c r="C904" t="s">
        <v>62</v>
      </c>
      <c r="D904" t="s">
        <v>37</v>
      </c>
      <c r="E904" t="s">
        <v>47</v>
      </c>
      <c r="F904" t="s">
        <v>3215</v>
      </c>
      <c r="G904" t="s">
        <v>48</v>
      </c>
      <c r="H904" t="str">
        <f>VLOOKUP(Table1[[#This Row],[City]],Table6[#All],2,FALSE)</f>
        <v>North</v>
      </c>
      <c r="I904" t="s">
        <v>58</v>
      </c>
      <c r="J904" t="str">
        <f>_xlfn.XLOOKUP(Table1[[#This Row],[Tractor Model]],Table7[Product Model],Table7[Product Category],"Not Available",0)</f>
        <v>Powertrac</v>
      </c>
      <c r="K904" s="4">
        <v>2</v>
      </c>
      <c r="L904" s="72">
        <v>97398</v>
      </c>
      <c r="M904" s="4">
        <f>INDEX('Master Sheet'!$C$4:$C$12,MATCH(Table1[[#This Row],[Quantity]],'Master Sheet'!$B$4:$B$12,0))</f>
        <v>5</v>
      </c>
      <c r="N904" s="71">
        <f>Table1[[#This Row],[Quantity]]*Table1[[#This Row],[Unit Price]]</f>
        <v>194796</v>
      </c>
      <c r="O904" s="73">
        <v>1.94796E-2</v>
      </c>
      <c r="P904" s="70">
        <f>Table1[[#This Row],[Gross Amount]]*(1-(Table1[[#This Row],[Discount %]]/100))</f>
        <v>185056.19999999998</v>
      </c>
      <c r="Q904" s="74">
        <f>(Table1[[#This Row],[Gross Amount]]*(1-(Table1[[#This Row],[Discount %]]/100)))/10000000</f>
        <v>1.8505619999999997E-2</v>
      </c>
      <c r="R904" t="s">
        <v>25</v>
      </c>
      <c r="S904" t="str" cm="1">
        <f t="array" ref="S904">IFERROR(_xlfn.IFS(Table1[[#This Row],[Payment Status]]="Partial","In Transit",Table1[[#This Row],[Payment Status]]="Paid","Delivered",Table1[[#This Row],[Payment Status]]="Pending","Pending"),"Invalid Input")</f>
        <v>In Transit</v>
      </c>
      <c r="T904" t="s">
        <v>44</v>
      </c>
      <c r="U904" t="str" cm="1">
        <f t="array" ref="U904">IFERROR(_xlfn.IFS(Table1[[#This Row],[Payment Status]]="Partial","In Transit",Table1[[#This Row],[Payment Status]]="Paid","Completed",Table1[[#This Row],[Payment Status]]="Pending","Pending"),"Invalid Input")</f>
        <v>In Transit</v>
      </c>
    </row>
    <row r="905" spans="1:21" x14ac:dyDescent="0.25">
      <c r="A905" s="4" t="s">
        <v>1687</v>
      </c>
      <c r="B905" s="5">
        <v>45732</v>
      </c>
      <c r="C905" t="s">
        <v>33</v>
      </c>
      <c r="D905" t="s">
        <v>37</v>
      </c>
      <c r="E905" t="s">
        <v>38</v>
      </c>
      <c r="F905" t="s">
        <v>3214</v>
      </c>
      <c r="G905" t="s">
        <v>39</v>
      </c>
      <c r="H905" t="str">
        <f>VLOOKUP(Table1[[#This Row],[City]],Table6[#All],2,FALSE)</f>
        <v>West</v>
      </c>
      <c r="I905" t="s">
        <v>53</v>
      </c>
      <c r="J905" t="str">
        <f>_xlfn.XLOOKUP(Table1[[#This Row],[Tractor Model]],Table7[Product Model],Table7[Product Category],"Not Available",0)</f>
        <v>Farmtrac</v>
      </c>
      <c r="K905" s="4">
        <v>6</v>
      </c>
      <c r="L905" s="72">
        <v>90027</v>
      </c>
      <c r="M905" s="4">
        <f>INDEX('Master Sheet'!$C$4:$C$12,MATCH(Table1[[#This Row],[Quantity]],'Master Sheet'!$B$4:$B$12,0))</f>
        <v>8</v>
      </c>
      <c r="N905" s="71">
        <f>Table1[[#This Row],[Quantity]]*Table1[[#This Row],[Unit Price]]</f>
        <v>540162</v>
      </c>
      <c r="O905" s="73">
        <v>5.40162E-2</v>
      </c>
      <c r="P905" s="70">
        <f>Table1[[#This Row],[Gross Amount]]*(1-(Table1[[#This Row],[Discount %]]/100))</f>
        <v>496949.04000000004</v>
      </c>
      <c r="Q905" s="74">
        <f>(Table1[[#This Row],[Gross Amount]]*(1-(Table1[[#This Row],[Discount %]]/100)))/10000000</f>
        <v>4.9694904000000005E-2</v>
      </c>
      <c r="R905" t="s">
        <v>42</v>
      </c>
      <c r="S905" t="str" cm="1">
        <f t="array" ref="S905">IFERROR(_xlfn.IFS(Table1[[#This Row],[Payment Status]]="Partial","In Transit",Table1[[#This Row],[Payment Status]]="Paid","Delivered",Table1[[#This Row],[Payment Status]]="Pending","Pending"),"Invalid Input")</f>
        <v>Pending</v>
      </c>
      <c r="T905" t="s">
        <v>27</v>
      </c>
      <c r="U905" t="str" cm="1">
        <f t="array" ref="U905">IFERROR(_xlfn.IFS(Table1[[#This Row],[Payment Status]]="Partial","In Transit",Table1[[#This Row],[Payment Status]]="Paid","Completed",Table1[[#This Row],[Payment Status]]="Pending","Pending"),"Invalid Input")</f>
        <v>Pending</v>
      </c>
    </row>
    <row r="906" spans="1:21" x14ac:dyDescent="0.25">
      <c r="A906" s="4" t="s">
        <v>1688</v>
      </c>
      <c r="B906" s="5">
        <v>45477</v>
      </c>
      <c r="C906" t="s">
        <v>62</v>
      </c>
      <c r="D906" t="s">
        <v>3269</v>
      </c>
      <c r="E906" t="s">
        <v>30</v>
      </c>
      <c r="F906" t="s">
        <v>3225</v>
      </c>
      <c r="G906" t="s">
        <v>31</v>
      </c>
      <c r="H906" t="str">
        <f>VLOOKUP(Table1[[#This Row],[City]],Table6[#All],2,FALSE)</f>
        <v>South</v>
      </c>
      <c r="I906" t="s">
        <v>58</v>
      </c>
      <c r="J906" t="str">
        <f>_xlfn.XLOOKUP(Table1[[#This Row],[Tractor Model]],Table7[Product Model],Table7[Product Category],"Not Available",0)</f>
        <v>Powertrac</v>
      </c>
      <c r="K906" s="4">
        <v>1</v>
      </c>
      <c r="L906" s="72">
        <v>823215</v>
      </c>
      <c r="M906" s="4">
        <f>INDEX('Master Sheet'!$C$4:$C$12,MATCH(Table1[[#This Row],[Quantity]],'Master Sheet'!$B$4:$B$12,0))</f>
        <v>3</v>
      </c>
      <c r="N906" s="71">
        <f>Table1[[#This Row],[Quantity]]*Table1[[#This Row],[Unit Price]]</f>
        <v>823215</v>
      </c>
      <c r="O906" s="73">
        <v>8.2321500000000006E-2</v>
      </c>
      <c r="P906" s="70">
        <f>Table1[[#This Row],[Gross Amount]]*(1-(Table1[[#This Row],[Discount %]]/100))</f>
        <v>798518.54999999993</v>
      </c>
      <c r="Q906" s="74">
        <f>(Table1[[#This Row],[Gross Amount]]*(1-(Table1[[#This Row],[Discount %]]/100)))/10000000</f>
        <v>7.9851854999999999E-2</v>
      </c>
      <c r="R906" t="s">
        <v>25</v>
      </c>
      <c r="S906" t="str" cm="1">
        <f t="array" ref="S906">IFERROR(_xlfn.IFS(Table1[[#This Row],[Payment Status]]="Partial","In Transit",Table1[[#This Row],[Payment Status]]="Paid","Delivered",Table1[[#This Row],[Payment Status]]="Pending","Pending"),"Invalid Input")</f>
        <v>In Transit</v>
      </c>
      <c r="T906" t="s">
        <v>27</v>
      </c>
      <c r="U906" t="str" cm="1">
        <f t="array" ref="U906">IFERROR(_xlfn.IFS(Table1[[#This Row],[Payment Status]]="Partial","In Transit",Table1[[#This Row],[Payment Status]]="Paid","Completed",Table1[[#This Row],[Payment Status]]="Pending","Pending"),"Invalid Input")</f>
        <v>In Transit</v>
      </c>
    </row>
    <row r="907" spans="1:21" x14ac:dyDescent="0.25">
      <c r="A907" s="4" t="s">
        <v>1690</v>
      </c>
      <c r="B907" s="5">
        <v>45452</v>
      </c>
      <c r="C907" t="s">
        <v>73</v>
      </c>
      <c r="D907" t="s">
        <v>3271</v>
      </c>
      <c r="E907" t="s">
        <v>30</v>
      </c>
      <c r="F907" t="s">
        <v>3217</v>
      </c>
      <c r="G907" t="s">
        <v>31</v>
      </c>
      <c r="H907" t="str">
        <f>VLOOKUP(Table1[[#This Row],[City]],Table6[#All],2,FALSE)</f>
        <v>South</v>
      </c>
      <c r="I907" t="s">
        <v>3203</v>
      </c>
      <c r="J907" t="str">
        <f>_xlfn.XLOOKUP(Table1[[#This Row],[Tractor Model]],Table7[Product Model],Table7[Product Category],"Not Available",0)</f>
        <v>Kubota</v>
      </c>
      <c r="K907" s="4">
        <v>8</v>
      </c>
      <c r="L907" s="72">
        <v>880726</v>
      </c>
      <c r="M907" s="4">
        <f>INDEX('Master Sheet'!$C$4:$C$12,MATCH(Table1[[#This Row],[Quantity]],'Master Sheet'!$B$4:$B$12,0))</f>
        <v>9</v>
      </c>
      <c r="N907" s="71">
        <f>Table1[[#This Row],[Quantity]]*Table1[[#This Row],[Unit Price]]</f>
        <v>7045808</v>
      </c>
      <c r="O907" s="73">
        <v>0.70458080000000001</v>
      </c>
      <c r="P907" s="70">
        <f>Table1[[#This Row],[Gross Amount]]*(1-(Table1[[#This Row],[Discount %]]/100))</f>
        <v>6411685.2800000003</v>
      </c>
      <c r="Q907" s="74">
        <f>(Table1[[#This Row],[Gross Amount]]*(1-(Table1[[#This Row],[Discount %]]/100)))/10000000</f>
        <v>0.64116852800000002</v>
      </c>
      <c r="R907" t="s">
        <v>54</v>
      </c>
      <c r="S907" t="str" cm="1">
        <f t="array" ref="S907">IFERROR(_xlfn.IFS(Table1[[#This Row],[Payment Status]]="Partial","In Transit",Table1[[#This Row],[Payment Status]]="Paid","Delivered",Table1[[#This Row],[Payment Status]]="Pending","Pending"),"Invalid Input")</f>
        <v>Delivered</v>
      </c>
      <c r="T907" t="s">
        <v>44</v>
      </c>
      <c r="U907" t="str" cm="1">
        <f t="array" ref="U907">IFERROR(_xlfn.IFS(Table1[[#This Row],[Payment Status]]="Partial","In Transit",Table1[[#This Row],[Payment Status]]="Paid","Completed",Table1[[#This Row],[Payment Status]]="Pending","Pending"),"Invalid Input")</f>
        <v>Completed</v>
      </c>
    </row>
    <row r="908" spans="1:21" x14ac:dyDescent="0.25">
      <c r="A908" s="4" t="s">
        <v>1692</v>
      </c>
      <c r="B908" s="5">
        <v>45480</v>
      </c>
      <c r="C908" t="s">
        <v>62</v>
      </c>
      <c r="D908" t="s">
        <v>3268</v>
      </c>
      <c r="E908" t="s">
        <v>66</v>
      </c>
      <c r="F908" t="s">
        <v>3211</v>
      </c>
      <c r="G908" t="s">
        <v>67</v>
      </c>
      <c r="H908" t="str">
        <f>VLOOKUP(Table1[[#This Row],[City]],Table6[#All],2,FALSE)</f>
        <v>East</v>
      </c>
      <c r="I908" t="s">
        <v>24</v>
      </c>
      <c r="J908" t="str">
        <f>_xlfn.XLOOKUP(Table1[[#This Row],[Tractor Model]],Table7[Product Model],Table7[Product Category],"Not Available",0)</f>
        <v>Farmtrac</v>
      </c>
      <c r="K908" s="4">
        <v>8</v>
      </c>
      <c r="L908" s="72">
        <v>292461</v>
      </c>
      <c r="M908" s="4">
        <f>INDEX('Master Sheet'!$C$4:$C$12,MATCH(Table1[[#This Row],[Quantity]],'Master Sheet'!$B$4:$B$12,0))</f>
        <v>9</v>
      </c>
      <c r="N908" s="71">
        <f>Table1[[#This Row],[Quantity]]*Table1[[#This Row],[Unit Price]]</f>
        <v>2339688</v>
      </c>
      <c r="O908" s="73">
        <v>0.2339688</v>
      </c>
      <c r="P908" s="70">
        <f>Table1[[#This Row],[Gross Amount]]*(1-(Table1[[#This Row],[Discount %]]/100))</f>
        <v>2129116.08</v>
      </c>
      <c r="Q908" s="74">
        <f>(Table1[[#This Row],[Gross Amount]]*(1-(Table1[[#This Row],[Discount %]]/100)))/10000000</f>
        <v>0.212911608</v>
      </c>
      <c r="R908" t="s">
        <v>25</v>
      </c>
      <c r="S908" t="str" cm="1">
        <f t="array" ref="S908">IFERROR(_xlfn.IFS(Table1[[#This Row],[Payment Status]]="Partial","In Transit",Table1[[#This Row],[Payment Status]]="Paid","Delivered",Table1[[#This Row],[Payment Status]]="Pending","Pending"),"Invalid Input")</f>
        <v>In Transit</v>
      </c>
      <c r="T908" t="s">
        <v>44</v>
      </c>
      <c r="U908" t="str" cm="1">
        <f t="array" ref="U908">IFERROR(_xlfn.IFS(Table1[[#This Row],[Payment Status]]="Partial","In Transit",Table1[[#This Row],[Payment Status]]="Paid","Completed",Table1[[#This Row],[Payment Status]]="Pending","Pending"),"Invalid Input")</f>
        <v>In Transit</v>
      </c>
    </row>
    <row r="909" spans="1:21" x14ac:dyDescent="0.25">
      <c r="A909" s="4" t="s">
        <v>1694</v>
      </c>
      <c r="B909" s="5">
        <v>45509</v>
      </c>
      <c r="C909" t="s">
        <v>62</v>
      </c>
      <c r="D909" t="s">
        <v>3271</v>
      </c>
      <c r="E909" t="s">
        <v>47</v>
      </c>
      <c r="F909" t="s">
        <v>3221</v>
      </c>
      <c r="G909" t="s">
        <v>48</v>
      </c>
      <c r="H909" t="str">
        <f>VLOOKUP(Table1[[#This Row],[City]],Table6[#All],2,FALSE)</f>
        <v>North</v>
      </c>
      <c r="I909" t="s">
        <v>3203</v>
      </c>
      <c r="J909" t="str">
        <f>_xlfn.XLOOKUP(Table1[[#This Row],[Tractor Model]],Table7[Product Model],Table7[Product Category],"Not Available",0)</f>
        <v>Kubota</v>
      </c>
      <c r="K909" s="4">
        <v>7</v>
      </c>
      <c r="L909" s="72">
        <v>668608</v>
      </c>
      <c r="M909" s="4">
        <f>INDEX('Master Sheet'!$C$4:$C$12,MATCH(Table1[[#This Row],[Quantity]],'Master Sheet'!$B$4:$B$12,0))</f>
        <v>9</v>
      </c>
      <c r="N909" s="71">
        <f>Table1[[#This Row],[Quantity]]*Table1[[#This Row],[Unit Price]]</f>
        <v>4680256</v>
      </c>
      <c r="O909" s="73">
        <v>0.46802559999999999</v>
      </c>
      <c r="P909" s="70">
        <f>Table1[[#This Row],[Gross Amount]]*(1-(Table1[[#This Row],[Discount %]]/100))</f>
        <v>4259032.96</v>
      </c>
      <c r="Q909" s="74">
        <f>(Table1[[#This Row],[Gross Amount]]*(1-(Table1[[#This Row],[Discount %]]/100)))/10000000</f>
        <v>0.42590329599999999</v>
      </c>
      <c r="R909" t="s">
        <v>25</v>
      </c>
      <c r="S909" t="str" cm="1">
        <f t="array" ref="S909">IFERROR(_xlfn.IFS(Table1[[#This Row],[Payment Status]]="Partial","In Transit",Table1[[#This Row],[Payment Status]]="Paid","Delivered",Table1[[#This Row],[Payment Status]]="Pending","Pending"),"Invalid Input")</f>
        <v>In Transit</v>
      </c>
      <c r="T909" t="s">
        <v>27</v>
      </c>
      <c r="U909" t="str" cm="1">
        <f t="array" ref="U909">IFERROR(_xlfn.IFS(Table1[[#This Row],[Payment Status]]="Partial","In Transit",Table1[[#This Row],[Payment Status]]="Paid","Completed",Table1[[#This Row],[Payment Status]]="Pending","Pending"),"Invalid Input")</f>
        <v>In Transit</v>
      </c>
    </row>
    <row r="910" spans="1:21" x14ac:dyDescent="0.25">
      <c r="A910" s="4" t="s">
        <v>1696</v>
      </c>
      <c r="B910" s="5">
        <v>45653</v>
      </c>
      <c r="C910" t="s">
        <v>52</v>
      </c>
      <c r="D910" t="s">
        <v>37</v>
      </c>
      <c r="E910" t="s">
        <v>38</v>
      </c>
      <c r="F910" t="s">
        <v>3214</v>
      </c>
      <c r="G910" t="s">
        <v>39</v>
      </c>
      <c r="H910" t="str">
        <f>VLOOKUP(Table1[[#This Row],[City]],Table6[#All],2,FALSE)</f>
        <v>West</v>
      </c>
      <c r="I910" t="s">
        <v>58</v>
      </c>
      <c r="J910" t="str">
        <f>_xlfn.XLOOKUP(Table1[[#This Row],[Tractor Model]],Table7[Product Model],Table7[Product Category],"Not Available",0)</f>
        <v>Powertrac</v>
      </c>
      <c r="K910" s="4">
        <v>1</v>
      </c>
      <c r="L910" s="72">
        <v>262177</v>
      </c>
      <c r="M910" s="4">
        <f>INDEX('Master Sheet'!$C$4:$C$12,MATCH(Table1[[#This Row],[Quantity]],'Master Sheet'!$B$4:$B$12,0))</f>
        <v>3</v>
      </c>
      <c r="N910" s="71">
        <f>Table1[[#This Row],[Quantity]]*Table1[[#This Row],[Unit Price]]</f>
        <v>262177</v>
      </c>
      <c r="O910" s="73">
        <v>2.62177E-2</v>
      </c>
      <c r="P910" s="70">
        <f>Table1[[#This Row],[Gross Amount]]*(1-(Table1[[#This Row],[Discount %]]/100))</f>
        <v>254311.69</v>
      </c>
      <c r="Q910" s="74">
        <f>(Table1[[#This Row],[Gross Amount]]*(1-(Table1[[#This Row],[Discount %]]/100)))/10000000</f>
        <v>2.5431169E-2</v>
      </c>
      <c r="R910" t="s">
        <v>54</v>
      </c>
      <c r="S910" t="str" cm="1">
        <f t="array" ref="S910">IFERROR(_xlfn.IFS(Table1[[#This Row],[Payment Status]]="Partial","In Transit",Table1[[#This Row],[Payment Status]]="Paid","Delivered",Table1[[#This Row],[Payment Status]]="Pending","Pending"),"Invalid Input")</f>
        <v>Delivered</v>
      </c>
      <c r="T910" t="s">
        <v>27</v>
      </c>
      <c r="U910" t="str" cm="1">
        <f t="array" ref="U910">IFERROR(_xlfn.IFS(Table1[[#This Row],[Payment Status]]="Partial","In Transit",Table1[[#This Row],[Payment Status]]="Paid","Completed",Table1[[#This Row],[Payment Status]]="Pending","Pending"),"Invalid Input")</f>
        <v>Completed</v>
      </c>
    </row>
    <row r="911" spans="1:21" x14ac:dyDescent="0.25">
      <c r="A911" s="4" t="s">
        <v>1698</v>
      </c>
      <c r="B911" s="5">
        <v>45623</v>
      </c>
      <c r="C911" t="s">
        <v>52</v>
      </c>
      <c r="D911" t="s">
        <v>3269</v>
      </c>
      <c r="E911" t="s">
        <v>30</v>
      </c>
      <c r="F911" t="s">
        <v>3225</v>
      </c>
      <c r="G911" t="s">
        <v>31</v>
      </c>
      <c r="H911" t="str">
        <f>VLOOKUP(Table1[[#This Row],[City]],Table6[#All],2,FALSE)</f>
        <v>South</v>
      </c>
      <c r="I911" t="s">
        <v>53</v>
      </c>
      <c r="J911" t="str">
        <f>_xlfn.XLOOKUP(Table1[[#This Row],[Tractor Model]],Table7[Product Model],Table7[Product Category],"Not Available",0)</f>
        <v>Farmtrac</v>
      </c>
      <c r="K911" s="4">
        <v>4</v>
      </c>
      <c r="L911" s="72">
        <v>685106</v>
      </c>
      <c r="M911" s="4">
        <f>INDEX('Master Sheet'!$C$4:$C$12,MATCH(Table1[[#This Row],[Quantity]],'Master Sheet'!$B$4:$B$12,0))</f>
        <v>6</v>
      </c>
      <c r="N911" s="71">
        <f>Table1[[#This Row],[Quantity]]*Table1[[#This Row],[Unit Price]]</f>
        <v>2740424</v>
      </c>
      <c r="O911" s="73">
        <v>0.27404240000000002</v>
      </c>
      <c r="P911" s="70">
        <f>Table1[[#This Row],[Gross Amount]]*(1-(Table1[[#This Row],[Discount %]]/100))</f>
        <v>2575998.56</v>
      </c>
      <c r="Q911" s="74">
        <f>(Table1[[#This Row],[Gross Amount]]*(1-(Table1[[#This Row],[Discount %]]/100)))/10000000</f>
        <v>0.25759985600000002</v>
      </c>
      <c r="R911" t="s">
        <v>54</v>
      </c>
      <c r="S911" t="str" cm="1">
        <f t="array" ref="S911">IFERROR(_xlfn.IFS(Table1[[#This Row],[Payment Status]]="Partial","In Transit",Table1[[#This Row],[Payment Status]]="Paid","Delivered",Table1[[#This Row],[Payment Status]]="Pending","Pending"),"Invalid Input")</f>
        <v>Delivered</v>
      </c>
      <c r="T911" t="s">
        <v>44</v>
      </c>
      <c r="U911" t="str" cm="1">
        <f t="array" ref="U911">IFERROR(_xlfn.IFS(Table1[[#This Row],[Payment Status]]="Partial","In Transit",Table1[[#This Row],[Payment Status]]="Paid","Completed",Table1[[#This Row],[Payment Status]]="Pending","Pending"),"Invalid Input")</f>
        <v>Completed</v>
      </c>
    </row>
    <row r="912" spans="1:21" x14ac:dyDescent="0.25">
      <c r="A912" s="4" t="s">
        <v>1700</v>
      </c>
      <c r="B912" s="5">
        <v>45395</v>
      </c>
      <c r="C912" t="s">
        <v>33</v>
      </c>
      <c r="D912" t="s">
        <v>3270</v>
      </c>
      <c r="E912" t="s">
        <v>66</v>
      </c>
      <c r="F912" t="s">
        <v>3220</v>
      </c>
      <c r="G912" t="s">
        <v>67</v>
      </c>
      <c r="H912" t="str">
        <f>VLOOKUP(Table1[[#This Row],[City]],Table6[#All],2,FALSE)</f>
        <v>East</v>
      </c>
      <c r="I912" t="s">
        <v>58</v>
      </c>
      <c r="J912" t="str">
        <f>_xlfn.XLOOKUP(Table1[[#This Row],[Tractor Model]],Table7[Product Model],Table7[Product Category],"Not Available",0)</f>
        <v>Powertrac</v>
      </c>
      <c r="K912" s="4">
        <v>4</v>
      </c>
      <c r="L912" s="72">
        <v>281124</v>
      </c>
      <c r="M912" s="4">
        <f>INDEX('Master Sheet'!$C$4:$C$12,MATCH(Table1[[#This Row],[Quantity]],'Master Sheet'!$B$4:$B$12,0))</f>
        <v>6</v>
      </c>
      <c r="N912" s="71">
        <f>Table1[[#This Row],[Quantity]]*Table1[[#This Row],[Unit Price]]</f>
        <v>1124496</v>
      </c>
      <c r="O912" s="73">
        <v>0.1124496</v>
      </c>
      <c r="P912" s="70">
        <f>Table1[[#This Row],[Gross Amount]]*(1-(Table1[[#This Row],[Discount %]]/100))</f>
        <v>1057026.24</v>
      </c>
      <c r="Q912" s="74">
        <f>(Table1[[#This Row],[Gross Amount]]*(1-(Table1[[#This Row],[Discount %]]/100)))/10000000</f>
        <v>0.105702624</v>
      </c>
      <c r="R912" t="s">
        <v>54</v>
      </c>
      <c r="S912" t="str" cm="1">
        <f t="array" ref="S912">IFERROR(_xlfn.IFS(Table1[[#This Row],[Payment Status]]="Partial","In Transit",Table1[[#This Row],[Payment Status]]="Paid","Delivered",Table1[[#This Row],[Payment Status]]="Pending","Pending"),"Invalid Input")</f>
        <v>Delivered</v>
      </c>
      <c r="T912" t="s">
        <v>27</v>
      </c>
      <c r="U912" t="str" cm="1">
        <f t="array" ref="U912">IFERROR(_xlfn.IFS(Table1[[#This Row],[Payment Status]]="Partial","In Transit",Table1[[#This Row],[Payment Status]]="Paid","Completed",Table1[[#This Row],[Payment Status]]="Pending","Pending"),"Invalid Input")</f>
        <v>Completed</v>
      </c>
    </row>
    <row r="913" spans="1:21" x14ac:dyDescent="0.25">
      <c r="A913" s="4" t="s">
        <v>1702</v>
      </c>
      <c r="B913" s="5">
        <v>45795</v>
      </c>
      <c r="C913" t="s">
        <v>62</v>
      </c>
      <c r="D913" t="s">
        <v>3269</v>
      </c>
      <c r="E913" t="s">
        <v>66</v>
      </c>
      <c r="F913" t="s">
        <v>3213</v>
      </c>
      <c r="G913" t="s">
        <v>67</v>
      </c>
      <c r="H913" t="str">
        <f>VLOOKUP(Table1[[#This Row],[City]],Table6[#All],2,FALSE)</f>
        <v>East</v>
      </c>
      <c r="I913" t="s">
        <v>3203</v>
      </c>
      <c r="J913" t="str">
        <f>_xlfn.XLOOKUP(Table1[[#This Row],[Tractor Model]],Table7[Product Model],Table7[Product Category],"Not Available",0)</f>
        <v>Kubota</v>
      </c>
      <c r="K913" s="4">
        <v>6</v>
      </c>
      <c r="L913" s="72">
        <v>478544</v>
      </c>
      <c r="M913" s="4">
        <f>INDEX('Master Sheet'!$C$4:$C$12,MATCH(Table1[[#This Row],[Quantity]],'Master Sheet'!$B$4:$B$12,0))</f>
        <v>8</v>
      </c>
      <c r="N913" s="71">
        <f>Table1[[#This Row],[Quantity]]*Table1[[#This Row],[Unit Price]]</f>
        <v>2871264</v>
      </c>
      <c r="O913" s="73">
        <v>0.2871264</v>
      </c>
      <c r="P913" s="70">
        <f>Table1[[#This Row],[Gross Amount]]*(1-(Table1[[#This Row],[Discount %]]/100))</f>
        <v>2641562.88</v>
      </c>
      <c r="Q913" s="74">
        <f>(Table1[[#This Row],[Gross Amount]]*(1-(Table1[[#This Row],[Discount %]]/100)))/10000000</f>
        <v>0.26415628799999996</v>
      </c>
      <c r="R913" t="s">
        <v>42</v>
      </c>
      <c r="S913" t="str" cm="1">
        <f t="array" ref="S913">IFERROR(_xlfn.IFS(Table1[[#This Row],[Payment Status]]="Partial","In Transit",Table1[[#This Row],[Payment Status]]="Paid","Delivered",Table1[[#This Row],[Payment Status]]="Pending","Pending"),"Invalid Input")</f>
        <v>Pending</v>
      </c>
      <c r="T913" t="s">
        <v>27</v>
      </c>
      <c r="U913" t="str" cm="1">
        <f t="array" ref="U913">IFERROR(_xlfn.IFS(Table1[[#This Row],[Payment Status]]="Partial","In Transit",Table1[[#This Row],[Payment Status]]="Paid","Completed",Table1[[#This Row],[Payment Status]]="Pending","Pending"),"Invalid Input")</f>
        <v>Pending</v>
      </c>
    </row>
    <row r="914" spans="1:21" x14ac:dyDescent="0.25">
      <c r="A914" s="4" t="s">
        <v>1704</v>
      </c>
      <c r="B914" s="5">
        <v>45583</v>
      </c>
      <c r="C914" t="s">
        <v>62</v>
      </c>
      <c r="D914" t="s">
        <v>3268</v>
      </c>
      <c r="E914" t="s">
        <v>66</v>
      </c>
      <c r="F914" t="s">
        <v>3211</v>
      </c>
      <c r="G914" t="s">
        <v>67</v>
      </c>
      <c r="H914" t="str">
        <f>VLOOKUP(Table1[[#This Row],[City]],Table6[#All],2,FALSE)</f>
        <v>East</v>
      </c>
      <c r="I914" t="s">
        <v>3204</v>
      </c>
      <c r="J914" t="str">
        <f>_xlfn.XLOOKUP(Table1[[#This Row],[Tractor Model]],Table7[Product Model],Table7[Product Category],"Not Available",0)</f>
        <v>Kubota</v>
      </c>
      <c r="K914" s="4">
        <v>7</v>
      </c>
      <c r="L914" s="72">
        <v>675249</v>
      </c>
      <c r="M914" s="4">
        <f>INDEX('Master Sheet'!$C$4:$C$12,MATCH(Table1[[#This Row],[Quantity]],'Master Sheet'!$B$4:$B$12,0))</f>
        <v>9</v>
      </c>
      <c r="N914" s="71">
        <f>Table1[[#This Row],[Quantity]]*Table1[[#This Row],[Unit Price]]</f>
        <v>4726743</v>
      </c>
      <c r="O914" s="73">
        <v>0.47267429999999999</v>
      </c>
      <c r="P914" s="70">
        <f>Table1[[#This Row],[Gross Amount]]*(1-(Table1[[#This Row],[Discount %]]/100))</f>
        <v>4301336.13</v>
      </c>
      <c r="Q914" s="74">
        <f>(Table1[[#This Row],[Gross Amount]]*(1-(Table1[[#This Row],[Discount %]]/100)))/10000000</f>
        <v>0.43013361299999997</v>
      </c>
      <c r="R914" t="s">
        <v>25</v>
      </c>
      <c r="S914" t="str" cm="1">
        <f t="array" ref="S914">IFERROR(_xlfn.IFS(Table1[[#This Row],[Payment Status]]="Partial","In Transit",Table1[[#This Row],[Payment Status]]="Paid","Delivered",Table1[[#This Row],[Payment Status]]="Pending","Pending"),"Invalid Input")</f>
        <v>In Transit</v>
      </c>
      <c r="T914" t="s">
        <v>27</v>
      </c>
      <c r="U914" t="str" cm="1">
        <f t="array" ref="U914">IFERROR(_xlfn.IFS(Table1[[#This Row],[Payment Status]]="Partial","In Transit",Table1[[#This Row],[Payment Status]]="Paid","Completed",Table1[[#This Row],[Payment Status]]="Pending","Pending"),"Invalid Input")</f>
        <v>In Transit</v>
      </c>
    </row>
    <row r="915" spans="1:21" x14ac:dyDescent="0.25">
      <c r="A915" s="4" t="s">
        <v>1706</v>
      </c>
      <c r="B915" s="5">
        <v>45504</v>
      </c>
      <c r="C915" t="s">
        <v>41</v>
      </c>
      <c r="D915" t="s">
        <v>3271</v>
      </c>
      <c r="E915" t="s">
        <v>30</v>
      </c>
      <c r="F915" t="s">
        <v>3217</v>
      </c>
      <c r="G915" t="s">
        <v>31</v>
      </c>
      <c r="H915" t="str">
        <f>VLOOKUP(Table1[[#This Row],[City]],Table6[#All],2,FALSE)</f>
        <v>South</v>
      </c>
      <c r="I915" t="s">
        <v>24</v>
      </c>
      <c r="J915" t="str">
        <f>_xlfn.XLOOKUP(Table1[[#This Row],[Tractor Model]],Table7[Product Model],Table7[Product Category],"Not Available",0)</f>
        <v>Farmtrac</v>
      </c>
      <c r="K915" s="4">
        <v>1</v>
      </c>
      <c r="L915" s="72">
        <v>679111</v>
      </c>
      <c r="M915" s="4">
        <f>INDEX('Master Sheet'!$C$4:$C$12,MATCH(Table1[[#This Row],[Quantity]],'Master Sheet'!$B$4:$B$12,0))</f>
        <v>3</v>
      </c>
      <c r="N915" s="71">
        <f>Table1[[#This Row],[Quantity]]*Table1[[#This Row],[Unit Price]]</f>
        <v>679111</v>
      </c>
      <c r="O915" s="73">
        <v>6.7911100000000002E-2</v>
      </c>
      <c r="P915" s="70">
        <f>Table1[[#This Row],[Gross Amount]]*(1-(Table1[[#This Row],[Discount %]]/100))</f>
        <v>658737.66999999993</v>
      </c>
      <c r="Q915" s="74">
        <f>(Table1[[#This Row],[Gross Amount]]*(1-(Table1[[#This Row],[Discount %]]/100)))/10000000</f>
        <v>6.5873766999999986E-2</v>
      </c>
      <c r="R915" t="s">
        <v>42</v>
      </c>
      <c r="S915" t="str" cm="1">
        <f t="array" ref="S915">IFERROR(_xlfn.IFS(Table1[[#This Row],[Payment Status]]="Partial","In Transit",Table1[[#This Row],[Payment Status]]="Paid","Delivered",Table1[[#This Row],[Payment Status]]="Pending","Pending"),"Invalid Input")</f>
        <v>Pending</v>
      </c>
      <c r="T915" t="s">
        <v>27</v>
      </c>
      <c r="U915" t="str" cm="1">
        <f t="array" ref="U915">IFERROR(_xlfn.IFS(Table1[[#This Row],[Payment Status]]="Partial","In Transit",Table1[[#This Row],[Payment Status]]="Paid","Completed",Table1[[#This Row],[Payment Status]]="Pending","Pending"),"Invalid Input")</f>
        <v>Pending</v>
      </c>
    </row>
    <row r="916" spans="1:21" x14ac:dyDescent="0.25">
      <c r="A916" s="4" t="s">
        <v>1707</v>
      </c>
      <c r="B916" s="5">
        <v>45353</v>
      </c>
      <c r="C916" t="s">
        <v>73</v>
      </c>
      <c r="D916" t="s">
        <v>3268</v>
      </c>
      <c r="E916" t="s">
        <v>66</v>
      </c>
      <c r="F916" t="s">
        <v>3211</v>
      </c>
      <c r="G916" t="s">
        <v>67</v>
      </c>
      <c r="H916" t="str">
        <f>VLOOKUP(Table1[[#This Row],[City]],Table6[#All],2,FALSE)</f>
        <v>East</v>
      </c>
      <c r="I916" t="s">
        <v>24</v>
      </c>
      <c r="J916" t="str">
        <f>_xlfn.XLOOKUP(Table1[[#This Row],[Tractor Model]],Table7[Product Model],Table7[Product Category],"Not Available",0)</f>
        <v>Farmtrac</v>
      </c>
      <c r="K916" s="4">
        <v>2</v>
      </c>
      <c r="L916" s="72">
        <v>570872</v>
      </c>
      <c r="M916" s="4">
        <f>INDEX('Master Sheet'!$C$4:$C$12,MATCH(Table1[[#This Row],[Quantity]],'Master Sheet'!$B$4:$B$12,0))</f>
        <v>5</v>
      </c>
      <c r="N916" s="71">
        <f>Table1[[#This Row],[Quantity]]*Table1[[#This Row],[Unit Price]]</f>
        <v>1141744</v>
      </c>
      <c r="O916" s="73">
        <v>0.1141744</v>
      </c>
      <c r="P916" s="70">
        <f>Table1[[#This Row],[Gross Amount]]*(1-(Table1[[#This Row],[Discount %]]/100))</f>
        <v>1084656.8</v>
      </c>
      <c r="Q916" s="74">
        <f>(Table1[[#This Row],[Gross Amount]]*(1-(Table1[[#This Row],[Discount %]]/100)))/10000000</f>
        <v>0.10846568000000001</v>
      </c>
      <c r="R916" t="s">
        <v>25</v>
      </c>
      <c r="S916" t="str" cm="1">
        <f t="array" ref="S916">IFERROR(_xlfn.IFS(Table1[[#This Row],[Payment Status]]="Partial","In Transit",Table1[[#This Row],[Payment Status]]="Paid","Delivered",Table1[[#This Row],[Payment Status]]="Pending","Pending"),"Invalid Input")</f>
        <v>In Transit</v>
      </c>
      <c r="T916" t="s">
        <v>44</v>
      </c>
      <c r="U916" t="str" cm="1">
        <f t="array" ref="U916">IFERROR(_xlfn.IFS(Table1[[#This Row],[Payment Status]]="Partial","In Transit",Table1[[#This Row],[Payment Status]]="Paid","Completed",Table1[[#This Row],[Payment Status]]="Pending","Pending"),"Invalid Input")</f>
        <v>In Transit</v>
      </c>
    </row>
    <row r="917" spans="1:21" x14ac:dyDescent="0.25">
      <c r="A917" s="4" t="s">
        <v>1708</v>
      </c>
      <c r="B917" s="5">
        <v>45637</v>
      </c>
      <c r="C917" t="s">
        <v>52</v>
      </c>
      <c r="D917" t="s">
        <v>37</v>
      </c>
      <c r="E917" t="s">
        <v>38</v>
      </c>
      <c r="F917" t="s">
        <v>3214</v>
      </c>
      <c r="G917" t="s">
        <v>39</v>
      </c>
      <c r="H917" t="str">
        <f>VLOOKUP(Table1[[#This Row],[City]],Table6[#All],2,FALSE)</f>
        <v>West</v>
      </c>
      <c r="I917" t="s">
        <v>58</v>
      </c>
      <c r="J917" t="str">
        <f>_xlfn.XLOOKUP(Table1[[#This Row],[Tractor Model]],Table7[Product Model],Table7[Product Category],"Not Available",0)</f>
        <v>Powertrac</v>
      </c>
      <c r="K917" s="4">
        <v>4</v>
      </c>
      <c r="L917" s="72">
        <v>719303</v>
      </c>
      <c r="M917" s="4">
        <f>INDEX('Master Sheet'!$C$4:$C$12,MATCH(Table1[[#This Row],[Quantity]],'Master Sheet'!$B$4:$B$12,0))</f>
        <v>6</v>
      </c>
      <c r="N917" s="71">
        <f>Table1[[#This Row],[Quantity]]*Table1[[#This Row],[Unit Price]]</f>
        <v>2877212</v>
      </c>
      <c r="O917" s="73">
        <v>0.28772120000000001</v>
      </c>
      <c r="P917" s="70">
        <f>Table1[[#This Row],[Gross Amount]]*(1-(Table1[[#This Row],[Discount %]]/100))</f>
        <v>2704579.28</v>
      </c>
      <c r="Q917" s="74">
        <f>(Table1[[#This Row],[Gross Amount]]*(1-(Table1[[#This Row],[Discount %]]/100)))/10000000</f>
        <v>0.27045792799999996</v>
      </c>
      <c r="R917" t="s">
        <v>42</v>
      </c>
      <c r="S917" t="str" cm="1">
        <f t="array" ref="S917">IFERROR(_xlfn.IFS(Table1[[#This Row],[Payment Status]]="Partial","In Transit",Table1[[#This Row],[Payment Status]]="Paid","Delivered",Table1[[#This Row],[Payment Status]]="Pending","Pending"),"Invalid Input")</f>
        <v>Pending</v>
      </c>
      <c r="T917" t="s">
        <v>27</v>
      </c>
      <c r="U917" t="str" cm="1">
        <f t="array" ref="U917">IFERROR(_xlfn.IFS(Table1[[#This Row],[Payment Status]]="Partial","In Transit",Table1[[#This Row],[Payment Status]]="Paid","Completed",Table1[[#This Row],[Payment Status]]="Pending","Pending"),"Invalid Input")</f>
        <v>Pending</v>
      </c>
    </row>
    <row r="918" spans="1:21" x14ac:dyDescent="0.25">
      <c r="A918" s="4" t="s">
        <v>1710</v>
      </c>
      <c r="B918" s="5">
        <v>45433</v>
      </c>
      <c r="C918" t="s">
        <v>41</v>
      </c>
      <c r="D918" t="s">
        <v>37</v>
      </c>
      <c r="E918" t="s">
        <v>30</v>
      </c>
      <c r="F918" t="s">
        <v>3222</v>
      </c>
      <c r="G918" t="s">
        <v>31</v>
      </c>
      <c r="H918" t="str">
        <f>VLOOKUP(Table1[[#This Row],[City]],Table6[#All],2,FALSE)</f>
        <v>South</v>
      </c>
      <c r="I918" t="s">
        <v>3203</v>
      </c>
      <c r="J918" t="str">
        <f>_xlfn.XLOOKUP(Table1[[#This Row],[Tractor Model]],Table7[Product Model],Table7[Product Category],"Not Available",0)</f>
        <v>Kubota</v>
      </c>
      <c r="K918" s="4">
        <v>7</v>
      </c>
      <c r="L918" s="72">
        <v>756624</v>
      </c>
      <c r="M918" s="4">
        <f>INDEX('Master Sheet'!$C$4:$C$12,MATCH(Table1[[#This Row],[Quantity]],'Master Sheet'!$B$4:$B$12,0))</f>
        <v>9</v>
      </c>
      <c r="N918" s="71">
        <f>Table1[[#This Row],[Quantity]]*Table1[[#This Row],[Unit Price]]</f>
        <v>5296368</v>
      </c>
      <c r="O918" s="73">
        <v>0.52963680000000002</v>
      </c>
      <c r="P918" s="70">
        <f>Table1[[#This Row],[Gross Amount]]*(1-(Table1[[#This Row],[Discount %]]/100))</f>
        <v>4819694.88</v>
      </c>
      <c r="Q918" s="74">
        <f>(Table1[[#This Row],[Gross Amount]]*(1-(Table1[[#This Row],[Discount %]]/100)))/10000000</f>
        <v>0.481969488</v>
      </c>
      <c r="R918" t="s">
        <v>54</v>
      </c>
      <c r="S918" t="str" cm="1">
        <f t="array" ref="S918">IFERROR(_xlfn.IFS(Table1[[#This Row],[Payment Status]]="Partial","In Transit",Table1[[#This Row],[Payment Status]]="Paid","Delivered",Table1[[#This Row],[Payment Status]]="Pending","Pending"),"Invalid Input")</f>
        <v>Delivered</v>
      </c>
      <c r="T918" t="s">
        <v>27</v>
      </c>
      <c r="U918" t="str" cm="1">
        <f t="array" ref="U918">IFERROR(_xlfn.IFS(Table1[[#This Row],[Payment Status]]="Partial","In Transit",Table1[[#This Row],[Payment Status]]="Paid","Completed",Table1[[#This Row],[Payment Status]]="Pending","Pending"),"Invalid Input")</f>
        <v>Completed</v>
      </c>
    </row>
    <row r="919" spans="1:21" x14ac:dyDescent="0.25">
      <c r="A919" s="4" t="s">
        <v>1711</v>
      </c>
      <c r="B919" s="5">
        <v>45330</v>
      </c>
      <c r="C919" t="s">
        <v>73</v>
      </c>
      <c r="D919" t="s">
        <v>3270</v>
      </c>
      <c r="E919" t="s">
        <v>38</v>
      </c>
      <c r="F919" t="s">
        <v>3218</v>
      </c>
      <c r="G919" t="s">
        <v>39</v>
      </c>
      <c r="H919" t="str">
        <f>VLOOKUP(Table1[[#This Row],[City]],Table6[#All],2,FALSE)</f>
        <v>West</v>
      </c>
      <c r="I919" t="s">
        <v>3203</v>
      </c>
      <c r="J919" t="str">
        <f>_xlfn.XLOOKUP(Table1[[#This Row],[Tractor Model]],Table7[Product Model],Table7[Product Category],"Not Available",0)</f>
        <v>Kubota</v>
      </c>
      <c r="K919" s="4">
        <v>8</v>
      </c>
      <c r="L919" s="72">
        <v>309731</v>
      </c>
      <c r="M919" s="4">
        <f>INDEX('Master Sheet'!$C$4:$C$12,MATCH(Table1[[#This Row],[Quantity]],'Master Sheet'!$B$4:$B$12,0))</f>
        <v>9</v>
      </c>
      <c r="N919" s="71">
        <f>Table1[[#This Row],[Quantity]]*Table1[[#This Row],[Unit Price]]</f>
        <v>2477848</v>
      </c>
      <c r="O919" s="73">
        <v>0.2477848</v>
      </c>
      <c r="P919" s="70">
        <f>Table1[[#This Row],[Gross Amount]]*(1-(Table1[[#This Row],[Discount %]]/100))</f>
        <v>2254841.6800000002</v>
      </c>
      <c r="Q919" s="74">
        <f>(Table1[[#This Row],[Gross Amount]]*(1-(Table1[[#This Row],[Discount %]]/100)))/10000000</f>
        <v>0.22548416800000001</v>
      </c>
      <c r="R919" t="s">
        <v>42</v>
      </c>
      <c r="S919" t="str" cm="1">
        <f t="array" ref="S919">IFERROR(_xlfn.IFS(Table1[[#This Row],[Payment Status]]="Partial","In Transit",Table1[[#This Row],[Payment Status]]="Paid","Delivered",Table1[[#This Row],[Payment Status]]="Pending","Pending"),"Invalid Input")</f>
        <v>Pending</v>
      </c>
      <c r="T919" t="s">
        <v>44</v>
      </c>
      <c r="U919" t="str" cm="1">
        <f t="array" ref="U919">IFERROR(_xlfn.IFS(Table1[[#This Row],[Payment Status]]="Partial","In Transit",Table1[[#This Row],[Payment Status]]="Paid","Completed",Table1[[#This Row],[Payment Status]]="Pending","Pending"),"Invalid Input")</f>
        <v>Pending</v>
      </c>
    </row>
    <row r="920" spans="1:21" x14ac:dyDescent="0.25">
      <c r="A920" s="4" t="s">
        <v>1713</v>
      </c>
      <c r="B920" s="5">
        <v>45650</v>
      </c>
      <c r="C920" t="s">
        <v>33</v>
      </c>
      <c r="D920" t="s">
        <v>3270</v>
      </c>
      <c r="E920" t="s">
        <v>119</v>
      </c>
      <c r="F920" t="s">
        <v>3212</v>
      </c>
      <c r="G920" t="s">
        <v>21</v>
      </c>
      <c r="H920" t="str">
        <f>VLOOKUP(Table1[[#This Row],[City]],Table6[#All],2,FALSE)</f>
        <v>North</v>
      </c>
      <c r="I920" t="s">
        <v>53</v>
      </c>
      <c r="J920" t="str">
        <f>_xlfn.XLOOKUP(Table1[[#This Row],[Tractor Model]],Table7[Product Model],Table7[Product Category],"Not Available",0)</f>
        <v>Farmtrac</v>
      </c>
      <c r="K920" s="4">
        <v>1</v>
      </c>
      <c r="L920" s="72">
        <v>81228</v>
      </c>
      <c r="M920" s="4">
        <f>INDEX('Master Sheet'!$C$4:$C$12,MATCH(Table1[[#This Row],[Quantity]],'Master Sheet'!$B$4:$B$12,0))</f>
        <v>3</v>
      </c>
      <c r="N920" s="71">
        <f>Table1[[#This Row],[Quantity]]*Table1[[#This Row],[Unit Price]]</f>
        <v>81228</v>
      </c>
      <c r="O920" s="73">
        <v>8.1227999999999995E-3</v>
      </c>
      <c r="P920" s="70">
        <f>Table1[[#This Row],[Gross Amount]]*(1-(Table1[[#This Row],[Discount %]]/100))</f>
        <v>78791.16</v>
      </c>
      <c r="Q920" s="74">
        <f>(Table1[[#This Row],[Gross Amount]]*(1-(Table1[[#This Row],[Discount %]]/100)))/10000000</f>
        <v>7.8791160000000002E-3</v>
      </c>
      <c r="R920" t="s">
        <v>25</v>
      </c>
      <c r="S920" t="str" cm="1">
        <f t="array" ref="S920">IFERROR(_xlfn.IFS(Table1[[#This Row],[Payment Status]]="Partial","In Transit",Table1[[#This Row],[Payment Status]]="Paid","Delivered",Table1[[#This Row],[Payment Status]]="Pending","Pending"),"Invalid Input")</f>
        <v>In Transit</v>
      </c>
      <c r="T920" t="s">
        <v>27</v>
      </c>
      <c r="U920" t="str" cm="1">
        <f t="array" ref="U920">IFERROR(_xlfn.IFS(Table1[[#This Row],[Payment Status]]="Partial","In Transit",Table1[[#This Row],[Payment Status]]="Paid","Completed",Table1[[#This Row],[Payment Status]]="Pending","Pending"),"Invalid Input")</f>
        <v>In Transit</v>
      </c>
    </row>
    <row r="921" spans="1:21" x14ac:dyDescent="0.25">
      <c r="A921" s="4" t="s">
        <v>1715</v>
      </c>
      <c r="B921" s="5">
        <v>45593</v>
      </c>
      <c r="C921" t="s">
        <v>62</v>
      </c>
      <c r="D921" t="s">
        <v>37</v>
      </c>
      <c r="E921" t="s">
        <v>47</v>
      </c>
      <c r="F921" t="s">
        <v>3215</v>
      </c>
      <c r="G921" t="s">
        <v>48</v>
      </c>
      <c r="H921" t="str">
        <f>VLOOKUP(Table1[[#This Row],[City]],Table6[#All],2,FALSE)</f>
        <v>North</v>
      </c>
      <c r="I921" t="s">
        <v>3204</v>
      </c>
      <c r="J921" t="str">
        <f>_xlfn.XLOOKUP(Table1[[#This Row],[Tractor Model]],Table7[Product Model],Table7[Product Category],"Not Available",0)</f>
        <v>Kubota</v>
      </c>
      <c r="K921" s="4">
        <v>2</v>
      </c>
      <c r="L921" s="72">
        <v>583897</v>
      </c>
      <c r="M921" s="4">
        <f>INDEX('Master Sheet'!$C$4:$C$12,MATCH(Table1[[#This Row],[Quantity]],'Master Sheet'!$B$4:$B$12,0))</f>
        <v>5</v>
      </c>
      <c r="N921" s="71">
        <f>Table1[[#This Row],[Quantity]]*Table1[[#This Row],[Unit Price]]</f>
        <v>1167794</v>
      </c>
      <c r="O921" s="73">
        <v>0.11677940000000001</v>
      </c>
      <c r="P921" s="70">
        <f>Table1[[#This Row],[Gross Amount]]*(1-(Table1[[#This Row],[Discount %]]/100))</f>
        <v>1109404.3</v>
      </c>
      <c r="Q921" s="74">
        <f>(Table1[[#This Row],[Gross Amount]]*(1-(Table1[[#This Row],[Discount %]]/100)))/10000000</f>
        <v>0.11094043000000001</v>
      </c>
      <c r="R921" t="s">
        <v>25</v>
      </c>
      <c r="S921" t="str" cm="1">
        <f t="array" ref="S921">IFERROR(_xlfn.IFS(Table1[[#This Row],[Payment Status]]="Partial","In Transit",Table1[[#This Row],[Payment Status]]="Paid","Delivered",Table1[[#This Row],[Payment Status]]="Pending","Pending"),"Invalid Input")</f>
        <v>In Transit</v>
      </c>
      <c r="T921" t="s">
        <v>27</v>
      </c>
      <c r="U921" t="str" cm="1">
        <f t="array" ref="U921">IFERROR(_xlfn.IFS(Table1[[#This Row],[Payment Status]]="Partial","In Transit",Table1[[#This Row],[Payment Status]]="Paid","Completed",Table1[[#This Row],[Payment Status]]="Pending","Pending"),"Invalid Input")</f>
        <v>In Transit</v>
      </c>
    </row>
    <row r="922" spans="1:21" x14ac:dyDescent="0.25">
      <c r="A922" s="4" t="s">
        <v>1717</v>
      </c>
      <c r="B922" s="5">
        <v>45390</v>
      </c>
      <c r="C922" t="s">
        <v>33</v>
      </c>
      <c r="D922" t="s">
        <v>3271</v>
      </c>
      <c r="E922" t="s">
        <v>66</v>
      </c>
      <c r="F922" t="s">
        <v>3207</v>
      </c>
      <c r="G922" t="s">
        <v>67</v>
      </c>
      <c r="H922" t="str">
        <f>VLOOKUP(Table1[[#This Row],[City]],Table6[#All],2,FALSE)</f>
        <v>East</v>
      </c>
      <c r="I922" t="s">
        <v>3203</v>
      </c>
      <c r="J922" t="str">
        <f>_xlfn.XLOOKUP(Table1[[#This Row],[Tractor Model]],Table7[Product Model],Table7[Product Category],"Not Available",0)</f>
        <v>Kubota</v>
      </c>
      <c r="K922" s="4">
        <v>0</v>
      </c>
      <c r="L922" s="72">
        <v>270074</v>
      </c>
      <c r="M922" s="4">
        <f>INDEX('Master Sheet'!$C$4:$C$12,MATCH(Table1[[#This Row],[Quantity]],'Master Sheet'!$B$4:$B$12,0))</f>
        <v>0</v>
      </c>
      <c r="N922" s="71">
        <f>Table1[[#This Row],[Quantity]]*Table1[[#This Row],[Unit Price]]</f>
        <v>0</v>
      </c>
      <c r="O922" s="73">
        <v>0</v>
      </c>
      <c r="P922" s="70">
        <f>Table1[[#This Row],[Gross Amount]]*(1-(Table1[[#This Row],[Discount %]]/100))</f>
        <v>0</v>
      </c>
      <c r="Q922" s="74">
        <f>(Table1[[#This Row],[Gross Amount]]*(1-(Table1[[#This Row],[Discount %]]/100)))/10000000</f>
        <v>0</v>
      </c>
      <c r="R922" t="s">
        <v>42</v>
      </c>
      <c r="S922" t="str" cm="1">
        <f t="array" ref="S922">IFERROR(_xlfn.IFS(Table1[[#This Row],[Payment Status]]="Partial","In Transit",Table1[[#This Row],[Payment Status]]="Paid","Delivered",Table1[[#This Row],[Payment Status]]="Pending","Pending"),"Invalid Input")</f>
        <v>Pending</v>
      </c>
      <c r="T922" t="s">
        <v>44</v>
      </c>
      <c r="U922" t="str" cm="1">
        <f t="array" ref="U922">IFERROR(_xlfn.IFS(Table1[[#This Row],[Payment Status]]="Partial","In Transit",Table1[[#This Row],[Payment Status]]="Paid","Completed",Table1[[#This Row],[Payment Status]]="Pending","Pending"),"Invalid Input")</f>
        <v>Pending</v>
      </c>
    </row>
    <row r="923" spans="1:21" x14ac:dyDescent="0.25">
      <c r="A923" s="4" t="s">
        <v>1718</v>
      </c>
      <c r="B923" s="5">
        <v>45376</v>
      </c>
      <c r="C923" t="s">
        <v>62</v>
      </c>
      <c r="D923" t="s">
        <v>3271</v>
      </c>
      <c r="E923" t="s">
        <v>119</v>
      </c>
      <c r="F923" t="s">
        <v>3228</v>
      </c>
      <c r="G923" t="s">
        <v>21</v>
      </c>
      <c r="H923" t="str">
        <f>VLOOKUP(Table1[[#This Row],[City]],Table6[#All],2,FALSE)</f>
        <v>North</v>
      </c>
      <c r="I923" t="s">
        <v>24</v>
      </c>
      <c r="J923" t="str">
        <f>_xlfn.XLOOKUP(Table1[[#This Row],[Tractor Model]],Table7[Product Model],Table7[Product Category],"Not Available",0)</f>
        <v>Farmtrac</v>
      </c>
      <c r="K923" s="4">
        <v>1</v>
      </c>
      <c r="L923" s="72">
        <v>115036</v>
      </c>
      <c r="M923" s="4">
        <f>INDEX('Master Sheet'!$C$4:$C$12,MATCH(Table1[[#This Row],[Quantity]],'Master Sheet'!$B$4:$B$12,0))</f>
        <v>3</v>
      </c>
      <c r="N923" s="71">
        <f>Table1[[#This Row],[Quantity]]*Table1[[#This Row],[Unit Price]]</f>
        <v>115036</v>
      </c>
      <c r="O923" s="73">
        <v>1.1503599999999999E-2</v>
      </c>
      <c r="P923" s="70">
        <f>Table1[[#This Row],[Gross Amount]]*(1-(Table1[[#This Row],[Discount %]]/100))</f>
        <v>111584.92</v>
      </c>
      <c r="Q923" s="74">
        <f>(Table1[[#This Row],[Gross Amount]]*(1-(Table1[[#This Row],[Discount %]]/100)))/10000000</f>
        <v>1.1158491999999999E-2</v>
      </c>
      <c r="R923" t="s">
        <v>42</v>
      </c>
      <c r="S923" t="str" cm="1">
        <f t="array" ref="S923">IFERROR(_xlfn.IFS(Table1[[#This Row],[Payment Status]]="Partial","In Transit",Table1[[#This Row],[Payment Status]]="Paid","Delivered",Table1[[#This Row],[Payment Status]]="Pending","Pending"),"Invalid Input")</f>
        <v>Pending</v>
      </c>
      <c r="T923" t="s">
        <v>44</v>
      </c>
      <c r="U923" t="str" cm="1">
        <f t="array" ref="U923">IFERROR(_xlfn.IFS(Table1[[#This Row],[Payment Status]]="Partial","In Transit",Table1[[#This Row],[Payment Status]]="Paid","Completed",Table1[[#This Row],[Payment Status]]="Pending","Pending"),"Invalid Input")</f>
        <v>Pending</v>
      </c>
    </row>
    <row r="924" spans="1:21" x14ac:dyDescent="0.25">
      <c r="A924" s="4" t="s">
        <v>1719</v>
      </c>
      <c r="B924" s="5">
        <v>45667</v>
      </c>
      <c r="C924" t="s">
        <v>73</v>
      </c>
      <c r="D924" t="s">
        <v>3271</v>
      </c>
      <c r="E924" t="s">
        <v>66</v>
      </c>
      <c r="F924" t="s">
        <v>3207</v>
      </c>
      <c r="G924" t="s">
        <v>67</v>
      </c>
      <c r="H924" t="str">
        <f>VLOOKUP(Table1[[#This Row],[City]],Table6[#All],2,FALSE)</f>
        <v>East</v>
      </c>
      <c r="I924" t="s">
        <v>58</v>
      </c>
      <c r="J924" t="str">
        <f>_xlfn.XLOOKUP(Table1[[#This Row],[Tractor Model]],Table7[Product Model],Table7[Product Category],"Not Available",0)</f>
        <v>Powertrac</v>
      </c>
      <c r="K924" s="4">
        <v>8</v>
      </c>
      <c r="L924" s="72">
        <v>534072</v>
      </c>
      <c r="M924" s="4">
        <f>INDEX('Master Sheet'!$C$4:$C$12,MATCH(Table1[[#This Row],[Quantity]],'Master Sheet'!$B$4:$B$12,0))</f>
        <v>9</v>
      </c>
      <c r="N924" s="71">
        <f>Table1[[#This Row],[Quantity]]*Table1[[#This Row],[Unit Price]]</f>
        <v>4272576</v>
      </c>
      <c r="O924" s="73">
        <v>0.42725760000000002</v>
      </c>
      <c r="P924" s="70">
        <f>Table1[[#This Row],[Gross Amount]]*(1-(Table1[[#This Row],[Discount %]]/100))</f>
        <v>3888044.16</v>
      </c>
      <c r="Q924" s="74">
        <f>(Table1[[#This Row],[Gross Amount]]*(1-(Table1[[#This Row],[Discount %]]/100)))/10000000</f>
        <v>0.38880441600000004</v>
      </c>
      <c r="R924" t="s">
        <v>54</v>
      </c>
      <c r="S924" t="str" cm="1">
        <f t="array" ref="S924">IFERROR(_xlfn.IFS(Table1[[#This Row],[Payment Status]]="Partial","In Transit",Table1[[#This Row],[Payment Status]]="Paid","Delivered",Table1[[#This Row],[Payment Status]]="Pending","Pending"),"Invalid Input")</f>
        <v>Delivered</v>
      </c>
      <c r="T924" t="s">
        <v>27</v>
      </c>
      <c r="U924" t="str" cm="1">
        <f t="array" ref="U924">IFERROR(_xlfn.IFS(Table1[[#This Row],[Payment Status]]="Partial","In Transit",Table1[[#This Row],[Payment Status]]="Paid","Completed",Table1[[#This Row],[Payment Status]]="Pending","Pending"),"Invalid Input")</f>
        <v>Completed</v>
      </c>
    </row>
    <row r="925" spans="1:21" x14ac:dyDescent="0.25">
      <c r="A925" s="4" t="s">
        <v>1720</v>
      </c>
      <c r="B925" s="5">
        <v>45307</v>
      </c>
      <c r="C925" t="s">
        <v>41</v>
      </c>
      <c r="D925" t="s">
        <v>3271</v>
      </c>
      <c r="E925" t="s">
        <v>38</v>
      </c>
      <c r="F925" t="s">
        <v>3210</v>
      </c>
      <c r="G925" t="s">
        <v>39</v>
      </c>
      <c r="H925" t="str">
        <f>VLOOKUP(Table1[[#This Row],[City]],Table6[#All],2,FALSE)</f>
        <v>West</v>
      </c>
      <c r="I925" t="s">
        <v>58</v>
      </c>
      <c r="J925" t="str">
        <f>_xlfn.XLOOKUP(Table1[[#This Row],[Tractor Model]],Table7[Product Model],Table7[Product Category],"Not Available",0)</f>
        <v>Powertrac</v>
      </c>
      <c r="K925" s="4">
        <v>8</v>
      </c>
      <c r="L925" s="72">
        <v>150540</v>
      </c>
      <c r="M925" s="4">
        <f>INDEX('Master Sheet'!$C$4:$C$12,MATCH(Table1[[#This Row],[Quantity]],'Master Sheet'!$B$4:$B$12,0))</f>
        <v>9</v>
      </c>
      <c r="N925" s="71">
        <f>Table1[[#This Row],[Quantity]]*Table1[[#This Row],[Unit Price]]</f>
        <v>1204320</v>
      </c>
      <c r="O925" s="73">
        <v>0.120432</v>
      </c>
      <c r="P925" s="70">
        <f>Table1[[#This Row],[Gross Amount]]*(1-(Table1[[#This Row],[Discount %]]/100))</f>
        <v>1095931.2</v>
      </c>
      <c r="Q925" s="74">
        <f>(Table1[[#This Row],[Gross Amount]]*(1-(Table1[[#This Row],[Discount %]]/100)))/10000000</f>
        <v>0.10959312</v>
      </c>
      <c r="R925" t="s">
        <v>54</v>
      </c>
      <c r="S925" t="str" cm="1">
        <f t="array" ref="S925">IFERROR(_xlfn.IFS(Table1[[#This Row],[Payment Status]]="Partial","In Transit",Table1[[#This Row],[Payment Status]]="Paid","Delivered",Table1[[#This Row],[Payment Status]]="Pending","Pending"),"Invalid Input")</f>
        <v>Delivered</v>
      </c>
      <c r="T925" t="s">
        <v>27</v>
      </c>
      <c r="U925" t="str" cm="1">
        <f t="array" ref="U925">IFERROR(_xlfn.IFS(Table1[[#This Row],[Payment Status]]="Partial","In Transit",Table1[[#This Row],[Payment Status]]="Paid","Completed",Table1[[#This Row],[Payment Status]]="Pending","Pending"),"Invalid Input")</f>
        <v>Completed</v>
      </c>
    </row>
    <row r="926" spans="1:21" x14ac:dyDescent="0.25">
      <c r="A926" s="4" t="s">
        <v>1721</v>
      </c>
      <c r="B926" s="5">
        <v>45443</v>
      </c>
      <c r="C926" t="s">
        <v>73</v>
      </c>
      <c r="D926" t="s">
        <v>3269</v>
      </c>
      <c r="E926" t="s">
        <v>119</v>
      </c>
      <c r="F926" t="s">
        <v>3229</v>
      </c>
      <c r="G926" t="s">
        <v>21</v>
      </c>
      <c r="H926" t="str">
        <f>VLOOKUP(Table1[[#This Row],[City]],Table6[#All],2,FALSE)</f>
        <v>North</v>
      </c>
      <c r="I926" t="s">
        <v>58</v>
      </c>
      <c r="J926" t="str">
        <f>_xlfn.XLOOKUP(Table1[[#This Row],[Tractor Model]],Table7[Product Model],Table7[Product Category],"Not Available",0)</f>
        <v>Powertrac</v>
      </c>
      <c r="K926" s="4">
        <v>0</v>
      </c>
      <c r="L926" s="72">
        <v>602602</v>
      </c>
      <c r="M926" s="4">
        <f>INDEX('Master Sheet'!$C$4:$C$12,MATCH(Table1[[#This Row],[Quantity]],'Master Sheet'!$B$4:$B$12,0))</f>
        <v>0</v>
      </c>
      <c r="N926" s="71">
        <f>Table1[[#This Row],[Quantity]]*Table1[[#This Row],[Unit Price]]</f>
        <v>0</v>
      </c>
      <c r="O926" s="73">
        <v>0</v>
      </c>
      <c r="P926" s="70">
        <f>Table1[[#This Row],[Gross Amount]]*(1-(Table1[[#This Row],[Discount %]]/100))</f>
        <v>0</v>
      </c>
      <c r="Q926" s="74">
        <f>(Table1[[#This Row],[Gross Amount]]*(1-(Table1[[#This Row],[Discount %]]/100)))/10000000</f>
        <v>0</v>
      </c>
      <c r="R926" t="s">
        <v>54</v>
      </c>
      <c r="S926" t="str" cm="1">
        <f t="array" ref="S926">IFERROR(_xlfn.IFS(Table1[[#This Row],[Payment Status]]="Partial","In Transit",Table1[[#This Row],[Payment Status]]="Paid","Delivered",Table1[[#This Row],[Payment Status]]="Pending","Pending"),"Invalid Input")</f>
        <v>Delivered</v>
      </c>
      <c r="T926" t="s">
        <v>27</v>
      </c>
      <c r="U926" t="str" cm="1">
        <f t="array" ref="U926">IFERROR(_xlfn.IFS(Table1[[#This Row],[Payment Status]]="Partial","In Transit",Table1[[#This Row],[Payment Status]]="Paid","Completed",Table1[[#This Row],[Payment Status]]="Pending","Pending"),"Invalid Input")</f>
        <v>Completed</v>
      </c>
    </row>
    <row r="927" spans="1:21" x14ac:dyDescent="0.25">
      <c r="A927" s="4" t="s">
        <v>1723</v>
      </c>
      <c r="B927" s="5">
        <v>45613</v>
      </c>
      <c r="C927" t="s">
        <v>33</v>
      </c>
      <c r="D927" t="s">
        <v>3269</v>
      </c>
      <c r="E927" t="s">
        <v>38</v>
      </c>
      <c r="F927" t="s">
        <v>3206</v>
      </c>
      <c r="G927" t="s">
        <v>39</v>
      </c>
      <c r="H927" t="str">
        <f>VLOOKUP(Table1[[#This Row],[City]],Table6[#All],2,FALSE)</f>
        <v>West</v>
      </c>
      <c r="I927" t="s">
        <v>3204</v>
      </c>
      <c r="J927" t="str">
        <f>_xlfn.XLOOKUP(Table1[[#This Row],[Tractor Model]],Table7[Product Model],Table7[Product Category],"Not Available",0)</f>
        <v>Kubota</v>
      </c>
      <c r="K927" s="4">
        <v>4</v>
      </c>
      <c r="L927" s="72">
        <v>501625</v>
      </c>
      <c r="M927" s="4">
        <f>INDEX('Master Sheet'!$C$4:$C$12,MATCH(Table1[[#This Row],[Quantity]],'Master Sheet'!$B$4:$B$12,0))</f>
        <v>6</v>
      </c>
      <c r="N927" s="71">
        <f>Table1[[#This Row],[Quantity]]*Table1[[#This Row],[Unit Price]]</f>
        <v>2006500</v>
      </c>
      <c r="O927" s="73">
        <v>0.20065</v>
      </c>
      <c r="P927" s="70">
        <f>Table1[[#This Row],[Gross Amount]]*(1-(Table1[[#This Row],[Discount %]]/100))</f>
        <v>1886110</v>
      </c>
      <c r="Q927" s="74">
        <f>(Table1[[#This Row],[Gross Amount]]*(1-(Table1[[#This Row],[Discount %]]/100)))/10000000</f>
        <v>0.188611</v>
      </c>
      <c r="R927" t="s">
        <v>54</v>
      </c>
      <c r="S927" t="str" cm="1">
        <f t="array" ref="S927">IFERROR(_xlfn.IFS(Table1[[#This Row],[Payment Status]]="Partial","In Transit",Table1[[#This Row],[Payment Status]]="Paid","Delivered",Table1[[#This Row],[Payment Status]]="Pending","Pending"),"Invalid Input")</f>
        <v>Delivered</v>
      </c>
      <c r="T927" t="s">
        <v>27</v>
      </c>
      <c r="U927" t="str" cm="1">
        <f t="array" ref="U927">IFERROR(_xlfn.IFS(Table1[[#This Row],[Payment Status]]="Partial","In Transit",Table1[[#This Row],[Payment Status]]="Paid","Completed",Table1[[#This Row],[Payment Status]]="Pending","Pending"),"Invalid Input")</f>
        <v>Completed</v>
      </c>
    </row>
    <row r="928" spans="1:21" x14ac:dyDescent="0.25">
      <c r="A928" s="4" t="s">
        <v>1725</v>
      </c>
      <c r="B928" s="5">
        <v>45657</v>
      </c>
      <c r="C928" t="s">
        <v>33</v>
      </c>
      <c r="D928" t="s">
        <v>3268</v>
      </c>
      <c r="E928" t="s">
        <v>30</v>
      </c>
      <c r="F928" t="s">
        <v>3208</v>
      </c>
      <c r="G928" t="s">
        <v>31</v>
      </c>
      <c r="H928" t="str">
        <f>VLOOKUP(Table1[[#This Row],[City]],Table6[#All],2,FALSE)</f>
        <v>South</v>
      </c>
      <c r="I928" t="s">
        <v>58</v>
      </c>
      <c r="J928" t="str">
        <f>_xlfn.XLOOKUP(Table1[[#This Row],[Tractor Model]],Table7[Product Model],Table7[Product Category],"Not Available",0)</f>
        <v>Powertrac</v>
      </c>
      <c r="K928" s="4">
        <v>5</v>
      </c>
      <c r="L928" s="72">
        <v>887231</v>
      </c>
      <c r="M928" s="4">
        <f>INDEX('Master Sheet'!$C$4:$C$12,MATCH(Table1[[#This Row],[Quantity]],'Master Sheet'!$B$4:$B$12,0))</f>
        <v>7</v>
      </c>
      <c r="N928" s="71">
        <f>Table1[[#This Row],[Quantity]]*Table1[[#This Row],[Unit Price]]</f>
        <v>4436155</v>
      </c>
      <c r="O928" s="73">
        <v>0.4436155</v>
      </c>
      <c r="P928" s="70">
        <f>Table1[[#This Row],[Gross Amount]]*(1-(Table1[[#This Row],[Discount %]]/100))</f>
        <v>4125624.15</v>
      </c>
      <c r="Q928" s="74">
        <f>(Table1[[#This Row],[Gross Amount]]*(1-(Table1[[#This Row],[Discount %]]/100)))/10000000</f>
        <v>0.41256241500000002</v>
      </c>
      <c r="R928" t="s">
        <v>42</v>
      </c>
      <c r="S928" t="str" cm="1">
        <f t="array" ref="S928">IFERROR(_xlfn.IFS(Table1[[#This Row],[Payment Status]]="Partial","In Transit",Table1[[#This Row],[Payment Status]]="Paid","Delivered",Table1[[#This Row],[Payment Status]]="Pending","Pending"),"Invalid Input")</f>
        <v>Pending</v>
      </c>
      <c r="T928" t="s">
        <v>27</v>
      </c>
      <c r="U928" t="str" cm="1">
        <f t="array" ref="U928">IFERROR(_xlfn.IFS(Table1[[#This Row],[Payment Status]]="Partial","In Transit",Table1[[#This Row],[Payment Status]]="Paid","Completed",Table1[[#This Row],[Payment Status]]="Pending","Pending"),"Invalid Input")</f>
        <v>Pending</v>
      </c>
    </row>
    <row r="929" spans="1:21" x14ac:dyDescent="0.25">
      <c r="A929" s="4" t="s">
        <v>1726</v>
      </c>
      <c r="B929" s="5">
        <v>45995</v>
      </c>
      <c r="C929" t="s">
        <v>62</v>
      </c>
      <c r="D929" t="s">
        <v>3271</v>
      </c>
      <c r="E929" t="s">
        <v>47</v>
      </c>
      <c r="F929" t="s">
        <v>3221</v>
      </c>
      <c r="G929" t="s">
        <v>48</v>
      </c>
      <c r="H929" t="str">
        <f>VLOOKUP(Table1[[#This Row],[City]],Table6[#All],2,FALSE)</f>
        <v>North</v>
      </c>
      <c r="I929" t="s">
        <v>24</v>
      </c>
      <c r="J929" t="str">
        <f>_xlfn.XLOOKUP(Table1[[#This Row],[Tractor Model]],Table7[Product Model],Table7[Product Category],"Not Available",0)</f>
        <v>Farmtrac</v>
      </c>
      <c r="K929" s="4">
        <v>2</v>
      </c>
      <c r="L929" s="72">
        <v>705605</v>
      </c>
      <c r="M929" s="4">
        <f>INDEX('Master Sheet'!$C$4:$C$12,MATCH(Table1[[#This Row],[Quantity]],'Master Sheet'!$B$4:$B$12,0))</f>
        <v>5</v>
      </c>
      <c r="N929" s="71">
        <f>Table1[[#This Row],[Quantity]]*Table1[[#This Row],[Unit Price]]</f>
        <v>1411210</v>
      </c>
      <c r="O929" s="73">
        <v>0.141121</v>
      </c>
      <c r="P929" s="70">
        <f>Table1[[#This Row],[Gross Amount]]*(1-(Table1[[#This Row],[Discount %]]/100))</f>
        <v>1340649.5</v>
      </c>
      <c r="Q929" s="74">
        <f>(Table1[[#This Row],[Gross Amount]]*(1-(Table1[[#This Row],[Discount %]]/100)))/10000000</f>
        <v>0.13406494999999999</v>
      </c>
      <c r="R929" t="s">
        <v>25</v>
      </c>
      <c r="S929" t="str" cm="1">
        <f t="array" ref="S929">IFERROR(_xlfn.IFS(Table1[[#This Row],[Payment Status]]="Partial","In Transit",Table1[[#This Row],[Payment Status]]="Paid","Delivered",Table1[[#This Row],[Payment Status]]="Pending","Pending"),"Invalid Input")</f>
        <v>In Transit</v>
      </c>
      <c r="T929" t="s">
        <v>44</v>
      </c>
      <c r="U929" t="str" cm="1">
        <f t="array" ref="U929">IFERROR(_xlfn.IFS(Table1[[#This Row],[Payment Status]]="Partial","In Transit",Table1[[#This Row],[Payment Status]]="Paid","Completed",Table1[[#This Row],[Payment Status]]="Pending","Pending"),"Invalid Input")</f>
        <v>In Transit</v>
      </c>
    </row>
    <row r="930" spans="1:21" x14ac:dyDescent="0.25">
      <c r="A930" s="4" t="s">
        <v>1727</v>
      </c>
      <c r="B930" s="5">
        <v>45378</v>
      </c>
      <c r="C930" t="s">
        <v>52</v>
      </c>
      <c r="D930" t="s">
        <v>3268</v>
      </c>
      <c r="E930" t="s">
        <v>47</v>
      </c>
      <c r="F930" t="s">
        <v>3216</v>
      </c>
      <c r="G930" t="s">
        <v>48</v>
      </c>
      <c r="H930" t="str">
        <f>VLOOKUP(Table1[[#This Row],[City]],Table6[#All],2,FALSE)</f>
        <v>North</v>
      </c>
      <c r="I930" t="s">
        <v>3204</v>
      </c>
      <c r="J930" t="str">
        <f>_xlfn.XLOOKUP(Table1[[#This Row],[Tractor Model]],Table7[Product Model],Table7[Product Category],"Not Available",0)</f>
        <v>Kubota</v>
      </c>
      <c r="K930" s="4">
        <v>4</v>
      </c>
      <c r="L930" s="72">
        <v>192622</v>
      </c>
      <c r="M930" s="4">
        <f>INDEX('Master Sheet'!$C$4:$C$12,MATCH(Table1[[#This Row],[Quantity]],'Master Sheet'!$B$4:$B$12,0))</f>
        <v>6</v>
      </c>
      <c r="N930" s="71">
        <f>Table1[[#This Row],[Quantity]]*Table1[[#This Row],[Unit Price]]</f>
        <v>770488</v>
      </c>
      <c r="O930" s="73">
        <v>7.7048800000000001E-2</v>
      </c>
      <c r="P930" s="70">
        <f>Table1[[#This Row],[Gross Amount]]*(1-(Table1[[#This Row],[Discount %]]/100))</f>
        <v>724258.72</v>
      </c>
      <c r="Q930" s="74">
        <f>(Table1[[#This Row],[Gross Amount]]*(1-(Table1[[#This Row],[Discount %]]/100)))/10000000</f>
        <v>7.2425872000000002E-2</v>
      </c>
      <c r="R930" t="s">
        <v>42</v>
      </c>
      <c r="S930" t="str" cm="1">
        <f t="array" ref="S930">IFERROR(_xlfn.IFS(Table1[[#This Row],[Payment Status]]="Partial","In Transit",Table1[[#This Row],[Payment Status]]="Paid","Delivered",Table1[[#This Row],[Payment Status]]="Pending","Pending"),"Invalid Input")</f>
        <v>Pending</v>
      </c>
      <c r="T930" t="s">
        <v>44</v>
      </c>
      <c r="U930" t="str" cm="1">
        <f t="array" ref="U930">IFERROR(_xlfn.IFS(Table1[[#This Row],[Payment Status]]="Partial","In Transit",Table1[[#This Row],[Payment Status]]="Paid","Completed",Table1[[#This Row],[Payment Status]]="Pending","Pending"),"Invalid Input")</f>
        <v>Pending</v>
      </c>
    </row>
    <row r="931" spans="1:21" x14ac:dyDescent="0.25">
      <c r="A931" s="4" t="s">
        <v>1728</v>
      </c>
      <c r="B931" s="5">
        <v>45329</v>
      </c>
      <c r="C931" t="s">
        <v>52</v>
      </c>
      <c r="D931" t="s">
        <v>3270</v>
      </c>
      <c r="E931" t="s">
        <v>119</v>
      </c>
      <c r="F931" t="s">
        <v>3212</v>
      </c>
      <c r="G931" t="s">
        <v>21</v>
      </c>
      <c r="H931" t="str">
        <f>VLOOKUP(Table1[[#This Row],[City]],Table6[#All],2,FALSE)</f>
        <v>North</v>
      </c>
      <c r="I931" t="s">
        <v>53</v>
      </c>
      <c r="J931" t="str">
        <f>_xlfn.XLOOKUP(Table1[[#This Row],[Tractor Model]],Table7[Product Model],Table7[Product Category],"Not Available",0)</f>
        <v>Farmtrac</v>
      </c>
      <c r="K931" s="4">
        <v>5</v>
      </c>
      <c r="L931" s="72">
        <v>218738</v>
      </c>
      <c r="M931" s="4">
        <f>INDEX('Master Sheet'!$C$4:$C$12,MATCH(Table1[[#This Row],[Quantity]],'Master Sheet'!$B$4:$B$12,0))</f>
        <v>7</v>
      </c>
      <c r="N931" s="71">
        <f>Table1[[#This Row],[Quantity]]*Table1[[#This Row],[Unit Price]]</f>
        <v>1093690</v>
      </c>
      <c r="O931" s="73">
        <v>0.10936899999999999</v>
      </c>
      <c r="P931" s="70">
        <f>Table1[[#This Row],[Gross Amount]]*(1-(Table1[[#This Row],[Discount %]]/100))</f>
        <v>1017131.7</v>
      </c>
      <c r="Q931" s="74">
        <f>(Table1[[#This Row],[Gross Amount]]*(1-(Table1[[#This Row],[Discount %]]/100)))/10000000</f>
        <v>0.10171316999999999</v>
      </c>
      <c r="R931" t="s">
        <v>25</v>
      </c>
      <c r="S931" t="str" cm="1">
        <f t="array" ref="S931">IFERROR(_xlfn.IFS(Table1[[#This Row],[Payment Status]]="Partial","In Transit",Table1[[#This Row],[Payment Status]]="Paid","Delivered",Table1[[#This Row],[Payment Status]]="Pending","Pending"),"Invalid Input")</f>
        <v>In Transit</v>
      </c>
      <c r="T931" t="s">
        <v>44</v>
      </c>
      <c r="U931" t="str" cm="1">
        <f t="array" ref="U931">IFERROR(_xlfn.IFS(Table1[[#This Row],[Payment Status]]="Partial","In Transit",Table1[[#This Row],[Payment Status]]="Paid","Completed",Table1[[#This Row],[Payment Status]]="Pending","Pending"),"Invalid Input")</f>
        <v>In Transit</v>
      </c>
    </row>
    <row r="932" spans="1:21" x14ac:dyDescent="0.25">
      <c r="A932" s="4" t="s">
        <v>1730</v>
      </c>
      <c r="B932" s="5">
        <v>45714</v>
      </c>
      <c r="C932" t="s">
        <v>73</v>
      </c>
      <c r="D932" t="s">
        <v>3271</v>
      </c>
      <c r="E932" t="s">
        <v>119</v>
      </c>
      <c r="F932" t="s">
        <v>3228</v>
      </c>
      <c r="G932" t="s">
        <v>21</v>
      </c>
      <c r="H932" t="str">
        <f>VLOOKUP(Table1[[#This Row],[City]],Table6[#All],2,FALSE)</f>
        <v>North</v>
      </c>
      <c r="I932" t="s">
        <v>53</v>
      </c>
      <c r="J932" t="str">
        <f>_xlfn.XLOOKUP(Table1[[#This Row],[Tractor Model]],Table7[Product Model],Table7[Product Category],"Not Available",0)</f>
        <v>Farmtrac</v>
      </c>
      <c r="K932" s="4">
        <v>2</v>
      </c>
      <c r="L932" s="72">
        <v>183148</v>
      </c>
      <c r="M932" s="4">
        <f>INDEX('Master Sheet'!$C$4:$C$12,MATCH(Table1[[#This Row],[Quantity]],'Master Sheet'!$B$4:$B$12,0))</f>
        <v>5</v>
      </c>
      <c r="N932" s="71">
        <f>Table1[[#This Row],[Quantity]]*Table1[[#This Row],[Unit Price]]</f>
        <v>366296</v>
      </c>
      <c r="O932" s="73">
        <v>3.6629599999999998E-2</v>
      </c>
      <c r="P932" s="70">
        <f>Table1[[#This Row],[Gross Amount]]*(1-(Table1[[#This Row],[Discount %]]/100))</f>
        <v>347981.2</v>
      </c>
      <c r="Q932" s="74">
        <f>(Table1[[#This Row],[Gross Amount]]*(1-(Table1[[#This Row],[Discount %]]/100)))/10000000</f>
        <v>3.4798120000000002E-2</v>
      </c>
      <c r="R932" t="s">
        <v>54</v>
      </c>
      <c r="S932" t="str" cm="1">
        <f t="array" ref="S932">IFERROR(_xlfn.IFS(Table1[[#This Row],[Payment Status]]="Partial","In Transit",Table1[[#This Row],[Payment Status]]="Paid","Delivered",Table1[[#This Row],[Payment Status]]="Pending","Pending"),"Invalid Input")</f>
        <v>Delivered</v>
      </c>
      <c r="T932" t="s">
        <v>27</v>
      </c>
      <c r="U932" t="str" cm="1">
        <f t="array" ref="U932">IFERROR(_xlfn.IFS(Table1[[#This Row],[Payment Status]]="Partial","In Transit",Table1[[#This Row],[Payment Status]]="Paid","Completed",Table1[[#This Row],[Payment Status]]="Pending","Pending"),"Invalid Input")</f>
        <v>Completed</v>
      </c>
    </row>
    <row r="933" spans="1:21" x14ac:dyDescent="0.25">
      <c r="A933" s="4" t="s">
        <v>1731</v>
      </c>
      <c r="B933" s="5">
        <v>45345</v>
      </c>
      <c r="C933" t="s">
        <v>73</v>
      </c>
      <c r="D933" t="s">
        <v>37</v>
      </c>
      <c r="E933" t="s">
        <v>38</v>
      </c>
      <c r="F933" t="s">
        <v>3214</v>
      </c>
      <c r="G933" t="s">
        <v>39</v>
      </c>
      <c r="H933" t="str">
        <f>VLOOKUP(Table1[[#This Row],[City]],Table6[#All],2,FALSE)</f>
        <v>West</v>
      </c>
      <c r="I933" t="s">
        <v>53</v>
      </c>
      <c r="J933" t="str">
        <f>_xlfn.XLOOKUP(Table1[[#This Row],[Tractor Model]],Table7[Product Model],Table7[Product Category],"Not Available",0)</f>
        <v>Farmtrac</v>
      </c>
      <c r="K933" s="4">
        <v>5</v>
      </c>
      <c r="L933" s="72">
        <v>570170</v>
      </c>
      <c r="M933" s="4">
        <f>INDEX('Master Sheet'!$C$4:$C$12,MATCH(Table1[[#This Row],[Quantity]],'Master Sheet'!$B$4:$B$12,0))</f>
        <v>7</v>
      </c>
      <c r="N933" s="71">
        <f>Table1[[#This Row],[Quantity]]*Table1[[#This Row],[Unit Price]]</f>
        <v>2850850</v>
      </c>
      <c r="O933" s="73">
        <v>0.28508499999999998</v>
      </c>
      <c r="P933" s="70">
        <f>Table1[[#This Row],[Gross Amount]]*(1-(Table1[[#This Row],[Discount %]]/100))</f>
        <v>2651290.5</v>
      </c>
      <c r="Q933" s="74">
        <f>(Table1[[#This Row],[Gross Amount]]*(1-(Table1[[#This Row],[Discount %]]/100)))/10000000</f>
        <v>0.26512904999999998</v>
      </c>
      <c r="R933" t="s">
        <v>54</v>
      </c>
      <c r="S933" t="str" cm="1">
        <f t="array" ref="S933">IFERROR(_xlfn.IFS(Table1[[#This Row],[Payment Status]]="Partial","In Transit",Table1[[#This Row],[Payment Status]]="Paid","Delivered",Table1[[#This Row],[Payment Status]]="Pending","Pending"),"Invalid Input")</f>
        <v>Delivered</v>
      </c>
      <c r="T933" t="s">
        <v>27</v>
      </c>
      <c r="U933" t="str" cm="1">
        <f t="array" ref="U933">IFERROR(_xlfn.IFS(Table1[[#This Row],[Payment Status]]="Partial","In Transit",Table1[[#This Row],[Payment Status]]="Paid","Completed",Table1[[#This Row],[Payment Status]]="Pending","Pending"),"Invalid Input")</f>
        <v>Completed</v>
      </c>
    </row>
    <row r="934" spans="1:21" x14ac:dyDescent="0.25">
      <c r="A934" s="4" t="s">
        <v>1733</v>
      </c>
      <c r="B934" s="5">
        <v>45547</v>
      </c>
      <c r="C934" t="s">
        <v>52</v>
      </c>
      <c r="D934" t="s">
        <v>3270</v>
      </c>
      <c r="E934" t="s">
        <v>47</v>
      </c>
      <c r="F934" t="s">
        <v>3205</v>
      </c>
      <c r="G934" t="s">
        <v>48</v>
      </c>
      <c r="H934" t="str">
        <f>VLOOKUP(Table1[[#This Row],[City]],Table6[#All],2,FALSE)</f>
        <v>North</v>
      </c>
      <c r="I934" t="s">
        <v>24</v>
      </c>
      <c r="J934" t="str">
        <f>_xlfn.XLOOKUP(Table1[[#This Row],[Tractor Model]],Table7[Product Model],Table7[Product Category],"Not Available",0)</f>
        <v>Farmtrac</v>
      </c>
      <c r="K934" s="4">
        <v>6</v>
      </c>
      <c r="L934" s="72">
        <v>169468</v>
      </c>
      <c r="M934" s="4">
        <f>INDEX('Master Sheet'!$C$4:$C$12,MATCH(Table1[[#This Row],[Quantity]],'Master Sheet'!$B$4:$B$12,0))</f>
        <v>8</v>
      </c>
      <c r="N934" s="71">
        <f>Table1[[#This Row],[Quantity]]*Table1[[#This Row],[Unit Price]]</f>
        <v>1016808</v>
      </c>
      <c r="O934" s="73">
        <v>0.1016808</v>
      </c>
      <c r="P934" s="70">
        <f>Table1[[#This Row],[Gross Amount]]*(1-(Table1[[#This Row],[Discount %]]/100))</f>
        <v>935463.36</v>
      </c>
      <c r="Q934" s="74">
        <f>(Table1[[#This Row],[Gross Amount]]*(1-(Table1[[#This Row],[Discount %]]/100)))/10000000</f>
        <v>9.3546335999999994E-2</v>
      </c>
      <c r="R934" t="s">
        <v>25</v>
      </c>
      <c r="S934" t="str" cm="1">
        <f t="array" ref="S934">IFERROR(_xlfn.IFS(Table1[[#This Row],[Payment Status]]="Partial","In Transit",Table1[[#This Row],[Payment Status]]="Paid","Delivered",Table1[[#This Row],[Payment Status]]="Pending","Pending"),"Invalid Input")</f>
        <v>In Transit</v>
      </c>
      <c r="T934" t="s">
        <v>44</v>
      </c>
      <c r="U934" t="str" cm="1">
        <f t="array" ref="U934">IFERROR(_xlfn.IFS(Table1[[#This Row],[Payment Status]]="Partial","In Transit",Table1[[#This Row],[Payment Status]]="Paid","Completed",Table1[[#This Row],[Payment Status]]="Pending","Pending"),"Invalid Input")</f>
        <v>In Transit</v>
      </c>
    </row>
    <row r="935" spans="1:21" x14ac:dyDescent="0.25">
      <c r="A935" s="4" t="s">
        <v>1735</v>
      </c>
      <c r="B935" s="5">
        <v>45712</v>
      </c>
      <c r="C935" t="s">
        <v>52</v>
      </c>
      <c r="D935" t="s">
        <v>3268</v>
      </c>
      <c r="E935" t="s">
        <v>30</v>
      </c>
      <c r="F935" t="s">
        <v>3208</v>
      </c>
      <c r="G935" t="s">
        <v>31</v>
      </c>
      <c r="H935" t="str">
        <f>VLOOKUP(Table1[[#This Row],[City]],Table6[#All],2,FALSE)</f>
        <v>South</v>
      </c>
      <c r="I935" t="s">
        <v>53</v>
      </c>
      <c r="J935" t="str">
        <f>_xlfn.XLOOKUP(Table1[[#This Row],[Tractor Model]],Table7[Product Model],Table7[Product Category],"Not Available",0)</f>
        <v>Farmtrac</v>
      </c>
      <c r="K935" s="4">
        <v>3</v>
      </c>
      <c r="L935" s="72">
        <v>528603</v>
      </c>
      <c r="M935" s="4">
        <f>INDEX('Master Sheet'!$C$4:$C$12,MATCH(Table1[[#This Row],[Quantity]],'Master Sheet'!$B$4:$B$12,0))</f>
        <v>6</v>
      </c>
      <c r="N935" s="71">
        <f>Table1[[#This Row],[Quantity]]*Table1[[#This Row],[Unit Price]]</f>
        <v>1585809</v>
      </c>
      <c r="O935" s="73">
        <v>0.1585809</v>
      </c>
      <c r="P935" s="70">
        <f>Table1[[#This Row],[Gross Amount]]*(1-(Table1[[#This Row],[Discount %]]/100))</f>
        <v>1490660.46</v>
      </c>
      <c r="Q935" s="74">
        <f>(Table1[[#This Row],[Gross Amount]]*(1-(Table1[[#This Row],[Discount %]]/100)))/10000000</f>
        <v>0.14906604600000001</v>
      </c>
      <c r="R935" t="s">
        <v>42</v>
      </c>
      <c r="S935" t="str" cm="1">
        <f t="array" ref="S935">IFERROR(_xlfn.IFS(Table1[[#This Row],[Payment Status]]="Partial","In Transit",Table1[[#This Row],[Payment Status]]="Paid","Delivered",Table1[[#This Row],[Payment Status]]="Pending","Pending"),"Invalid Input")</f>
        <v>Pending</v>
      </c>
      <c r="T935" t="s">
        <v>27</v>
      </c>
      <c r="U935" t="str" cm="1">
        <f t="array" ref="U935">IFERROR(_xlfn.IFS(Table1[[#This Row],[Payment Status]]="Partial","In Transit",Table1[[#This Row],[Payment Status]]="Paid","Completed",Table1[[#This Row],[Payment Status]]="Pending","Pending"),"Invalid Input")</f>
        <v>Pending</v>
      </c>
    </row>
    <row r="936" spans="1:21" x14ac:dyDescent="0.25">
      <c r="A936" s="4" t="s">
        <v>1736</v>
      </c>
      <c r="B936" s="5">
        <v>45612</v>
      </c>
      <c r="C936" t="s">
        <v>73</v>
      </c>
      <c r="D936" t="s">
        <v>37</v>
      </c>
      <c r="E936" t="s">
        <v>38</v>
      </c>
      <c r="F936" t="s">
        <v>3214</v>
      </c>
      <c r="G936" t="s">
        <v>39</v>
      </c>
      <c r="H936" t="str">
        <f>VLOOKUP(Table1[[#This Row],[City]],Table6[#All],2,FALSE)</f>
        <v>West</v>
      </c>
      <c r="I936" t="s">
        <v>58</v>
      </c>
      <c r="J936" t="str">
        <f>_xlfn.XLOOKUP(Table1[[#This Row],[Tractor Model]],Table7[Product Model],Table7[Product Category],"Not Available",0)</f>
        <v>Powertrac</v>
      </c>
      <c r="K936" s="4">
        <v>4</v>
      </c>
      <c r="L936" s="72">
        <v>803524</v>
      </c>
      <c r="M936" s="4">
        <f>INDEX('Master Sheet'!$C$4:$C$12,MATCH(Table1[[#This Row],[Quantity]],'Master Sheet'!$B$4:$B$12,0))</f>
        <v>6</v>
      </c>
      <c r="N936" s="71">
        <f>Table1[[#This Row],[Quantity]]*Table1[[#This Row],[Unit Price]]</f>
        <v>3214096</v>
      </c>
      <c r="O936" s="73">
        <v>0.32140960000000002</v>
      </c>
      <c r="P936" s="70">
        <f>Table1[[#This Row],[Gross Amount]]*(1-(Table1[[#This Row],[Discount %]]/100))</f>
        <v>3021250.2399999998</v>
      </c>
      <c r="Q936" s="74">
        <f>(Table1[[#This Row],[Gross Amount]]*(1-(Table1[[#This Row],[Discount %]]/100)))/10000000</f>
        <v>0.30212502399999996</v>
      </c>
      <c r="R936" t="s">
        <v>54</v>
      </c>
      <c r="S936" t="str" cm="1">
        <f t="array" ref="S936">IFERROR(_xlfn.IFS(Table1[[#This Row],[Payment Status]]="Partial","In Transit",Table1[[#This Row],[Payment Status]]="Paid","Delivered",Table1[[#This Row],[Payment Status]]="Pending","Pending"),"Invalid Input")</f>
        <v>Delivered</v>
      </c>
      <c r="T936" t="s">
        <v>44</v>
      </c>
      <c r="U936" t="str" cm="1">
        <f t="array" ref="U936">IFERROR(_xlfn.IFS(Table1[[#This Row],[Payment Status]]="Partial","In Transit",Table1[[#This Row],[Payment Status]]="Paid","Completed",Table1[[#This Row],[Payment Status]]="Pending","Pending"),"Invalid Input")</f>
        <v>Completed</v>
      </c>
    </row>
    <row r="937" spans="1:21" x14ac:dyDescent="0.25">
      <c r="A937" s="4" t="s">
        <v>1738</v>
      </c>
      <c r="B937" s="5">
        <v>45433</v>
      </c>
      <c r="C937" t="s">
        <v>33</v>
      </c>
      <c r="D937" t="s">
        <v>3270</v>
      </c>
      <c r="E937" t="s">
        <v>47</v>
      </c>
      <c r="F937" t="s">
        <v>3205</v>
      </c>
      <c r="G937" t="s">
        <v>48</v>
      </c>
      <c r="H937" t="str">
        <f>VLOOKUP(Table1[[#This Row],[City]],Table6[#All],2,FALSE)</f>
        <v>North</v>
      </c>
      <c r="I937" t="s">
        <v>3203</v>
      </c>
      <c r="J937" t="str">
        <f>_xlfn.XLOOKUP(Table1[[#This Row],[Tractor Model]],Table7[Product Model],Table7[Product Category],"Not Available",0)</f>
        <v>Kubota</v>
      </c>
      <c r="K937" s="4">
        <v>2</v>
      </c>
      <c r="L937" s="72">
        <v>454548</v>
      </c>
      <c r="M937" s="4">
        <f>INDEX('Master Sheet'!$C$4:$C$12,MATCH(Table1[[#This Row],[Quantity]],'Master Sheet'!$B$4:$B$12,0))</f>
        <v>5</v>
      </c>
      <c r="N937" s="71">
        <f>Table1[[#This Row],[Quantity]]*Table1[[#This Row],[Unit Price]]</f>
        <v>909096</v>
      </c>
      <c r="O937" s="73">
        <v>9.0909599999999993E-2</v>
      </c>
      <c r="P937" s="70">
        <f>Table1[[#This Row],[Gross Amount]]*(1-(Table1[[#This Row],[Discount %]]/100))</f>
        <v>863641.2</v>
      </c>
      <c r="Q937" s="74">
        <f>(Table1[[#This Row],[Gross Amount]]*(1-(Table1[[#This Row],[Discount %]]/100)))/10000000</f>
        <v>8.6364119999999989E-2</v>
      </c>
      <c r="R937" t="s">
        <v>42</v>
      </c>
      <c r="S937" t="str" cm="1">
        <f t="array" ref="S937">IFERROR(_xlfn.IFS(Table1[[#This Row],[Payment Status]]="Partial","In Transit",Table1[[#This Row],[Payment Status]]="Paid","Delivered",Table1[[#This Row],[Payment Status]]="Pending","Pending"),"Invalid Input")</f>
        <v>Pending</v>
      </c>
      <c r="T937" t="s">
        <v>44</v>
      </c>
      <c r="U937" t="str" cm="1">
        <f t="array" ref="U937">IFERROR(_xlfn.IFS(Table1[[#This Row],[Payment Status]]="Partial","In Transit",Table1[[#This Row],[Payment Status]]="Paid","Completed",Table1[[#This Row],[Payment Status]]="Pending","Pending"),"Invalid Input")</f>
        <v>Pending</v>
      </c>
    </row>
    <row r="938" spans="1:21" x14ac:dyDescent="0.25">
      <c r="A938" s="4" t="s">
        <v>1740</v>
      </c>
      <c r="B938" s="5">
        <v>45587</v>
      </c>
      <c r="C938" t="s">
        <v>41</v>
      </c>
      <c r="D938" t="s">
        <v>3268</v>
      </c>
      <c r="E938" t="s">
        <v>47</v>
      </c>
      <c r="F938" t="s">
        <v>3216</v>
      </c>
      <c r="G938" t="s">
        <v>48</v>
      </c>
      <c r="H938" t="str">
        <f>VLOOKUP(Table1[[#This Row],[City]],Table6[#All],2,FALSE)</f>
        <v>North</v>
      </c>
      <c r="I938" t="s">
        <v>3203</v>
      </c>
      <c r="J938" t="str">
        <f>_xlfn.XLOOKUP(Table1[[#This Row],[Tractor Model]],Table7[Product Model],Table7[Product Category],"Not Available",0)</f>
        <v>Kubota</v>
      </c>
      <c r="K938" s="4">
        <v>8</v>
      </c>
      <c r="L938" s="72">
        <v>547850</v>
      </c>
      <c r="M938" s="4">
        <f>INDEX('Master Sheet'!$C$4:$C$12,MATCH(Table1[[#This Row],[Quantity]],'Master Sheet'!$B$4:$B$12,0))</f>
        <v>9</v>
      </c>
      <c r="N938" s="71">
        <f>Table1[[#This Row],[Quantity]]*Table1[[#This Row],[Unit Price]]</f>
        <v>4382800</v>
      </c>
      <c r="O938" s="73">
        <v>0.43828</v>
      </c>
      <c r="P938" s="70">
        <f>Table1[[#This Row],[Gross Amount]]*(1-(Table1[[#This Row],[Discount %]]/100))</f>
        <v>3988348</v>
      </c>
      <c r="Q938" s="74">
        <f>(Table1[[#This Row],[Gross Amount]]*(1-(Table1[[#This Row],[Discount %]]/100)))/10000000</f>
        <v>0.39883479999999999</v>
      </c>
      <c r="R938" t="s">
        <v>54</v>
      </c>
      <c r="S938" t="str" cm="1">
        <f t="array" ref="S938">IFERROR(_xlfn.IFS(Table1[[#This Row],[Payment Status]]="Partial","In Transit",Table1[[#This Row],[Payment Status]]="Paid","Delivered",Table1[[#This Row],[Payment Status]]="Pending","Pending"),"Invalid Input")</f>
        <v>Delivered</v>
      </c>
      <c r="T938" t="s">
        <v>27</v>
      </c>
      <c r="U938" t="str" cm="1">
        <f t="array" ref="U938">IFERROR(_xlfn.IFS(Table1[[#This Row],[Payment Status]]="Partial","In Transit",Table1[[#This Row],[Payment Status]]="Paid","Completed",Table1[[#This Row],[Payment Status]]="Pending","Pending"),"Invalid Input")</f>
        <v>Completed</v>
      </c>
    </row>
    <row r="939" spans="1:21" x14ac:dyDescent="0.25">
      <c r="A939" s="4" t="s">
        <v>1742</v>
      </c>
      <c r="B939" s="5">
        <v>45381</v>
      </c>
      <c r="C939" t="s">
        <v>33</v>
      </c>
      <c r="D939" t="s">
        <v>3268</v>
      </c>
      <c r="E939" t="s">
        <v>66</v>
      </c>
      <c r="F939" t="s">
        <v>3211</v>
      </c>
      <c r="G939" t="s">
        <v>67</v>
      </c>
      <c r="H939" t="str">
        <f>VLOOKUP(Table1[[#This Row],[City]],Table6[#All],2,FALSE)</f>
        <v>East</v>
      </c>
      <c r="I939" t="s">
        <v>58</v>
      </c>
      <c r="J939" t="str">
        <f>_xlfn.XLOOKUP(Table1[[#This Row],[Tractor Model]],Table7[Product Model],Table7[Product Category],"Not Available",0)</f>
        <v>Powertrac</v>
      </c>
      <c r="K939" s="4">
        <v>2</v>
      </c>
      <c r="L939" s="72">
        <v>567824</v>
      </c>
      <c r="M939" s="4">
        <f>INDEX('Master Sheet'!$C$4:$C$12,MATCH(Table1[[#This Row],[Quantity]],'Master Sheet'!$B$4:$B$12,0))</f>
        <v>5</v>
      </c>
      <c r="N939" s="71">
        <f>Table1[[#This Row],[Quantity]]*Table1[[#This Row],[Unit Price]]</f>
        <v>1135648</v>
      </c>
      <c r="O939" s="73">
        <v>0.11356479999999999</v>
      </c>
      <c r="P939" s="70">
        <f>Table1[[#This Row],[Gross Amount]]*(1-(Table1[[#This Row],[Discount %]]/100))</f>
        <v>1078865.5999999999</v>
      </c>
      <c r="Q939" s="74">
        <f>(Table1[[#This Row],[Gross Amount]]*(1-(Table1[[#This Row],[Discount %]]/100)))/10000000</f>
        <v>0.10788655999999999</v>
      </c>
      <c r="R939" t="s">
        <v>54</v>
      </c>
      <c r="S939" t="str" cm="1">
        <f t="array" ref="S939">IFERROR(_xlfn.IFS(Table1[[#This Row],[Payment Status]]="Partial","In Transit",Table1[[#This Row],[Payment Status]]="Paid","Delivered",Table1[[#This Row],[Payment Status]]="Pending","Pending"),"Invalid Input")</f>
        <v>Delivered</v>
      </c>
      <c r="T939" t="s">
        <v>27</v>
      </c>
      <c r="U939" t="str" cm="1">
        <f t="array" ref="U939">IFERROR(_xlfn.IFS(Table1[[#This Row],[Payment Status]]="Partial","In Transit",Table1[[#This Row],[Payment Status]]="Paid","Completed",Table1[[#This Row],[Payment Status]]="Pending","Pending"),"Invalid Input")</f>
        <v>Completed</v>
      </c>
    </row>
    <row r="940" spans="1:21" x14ac:dyDescent="0.25">
      <c r="A940" s="4" t="s">
        <v>1744</v>
      </c>
      <c r="B940" s="5">
        <v>45822</v>
      </c>
      <c r="C940" t="s">
        <v>62</v>
      </c>
      <c r="D940" t="s">
        <v>3270</v>
      </c>
      <c r="E940" t="s">
        <v>119</v>
      </c>
      <c r="F940" t="s">
        <v>3212</v>
      </c>
      <c r="G940" t="s">
        <v>21</v>
      </c>
      <c r="H940" t="str">
        <f>VLOOKUP(Table1[[#This Row],[City]],Table6[#All],2,FALSE)</f>
        <v>North</v>
      </c>
      <c r="I940" t="s">
        <v>53</v>
      </c>
      <c r="J940" t="str">
        <f>_xlfn.XLOOKUP(Table1[[#This Row],[Tractor Model]],Table7[Product Model],Table7[Product Category],"Not Available",0)</f>
        <v>Farmtrac</v>
      </c>
      <c r="K940" s="4">
        <v>2</v>
      </c>
      <c r="L940" s="72">
        <v>546395</v>
      </c>
      <c r="M940" s="4">
        <f>INDEX('Master Sheet'!$C$4:$C$12,MATCH(Table1[[#This Row],[Quantity]],'Master Sheet'!$B$4:$B$12,0))</f>
        <v>5</v>
      </c>
      <c r="N940" s="71">
        <f>Table1[[#This Row],[Quantity]]*Table1[[#This Row],[Unit Price]]</f>
        <v>1092790</v>
      </c>
      <c r="O940" s="73">
        <v>0.109279</v>
      </c>
      <c r="P940" s="70">
        <f>Table1[[#This Row],[Gross Amount]]*(1-(Table1[[#This Row],[Discount %]]/100))</f>
        <v>1038150.5</v>
      </c>
      <c r="Q940" s="74">
        <f>(Table1[[#This Row],[Gross Amount]]*(1-(Table1[[#This Row],[Discount %]]/100)))/10000000</f>
        <v>0.10381505000000001</v>
      </c>
      <c r="R940" t="s">
        <v>42</v>
      </c>
      <c r="S940" t="str" cm="1">
        <f t="array" ref="S940">IFERROR(_xlfn.IFS(Table1[[#This Row],[Payment Status]]="Partial","In Transit",Table1[[#This Row],[Payment Status]]="Paid","Delivered",Table1[[#This Row],[Payment Status]]="Pending","Pending"),"Invalid Input")</f>
        <v>Pending</v>
      </c>
      <c r="T940" t="s">
        <v>44</v>
      </c>
      <c r="U940" t="str" cm="1">
        <f t="array" ref="U940">IFERROR(_xlfn.IFS(Table1[[#This Row],[Payment Status]]="Partial","In Transit",Table1[[#This Row],[Payment Status]]="Paid","Completed",Table1[[#This Row],[Payment Status]]="Pending","Pending"),"Invalid Input")</f>
        <v>Pending</v>
      </c>
    </row>
    <row r="941" spans="1:21" x14ac:dyDescent="0.25">
      <c r="A941" s="4" t="s">
        <v>1745</v>
      </c>
      <c r="B941" s="5">
        <v>45523</v>
      </c>
      <c r="C941" t="s">
        <v>52</v>
      </c>
      <c r="D941" t="s">
        <v>3269</v>
      </c>
      <c r="E941" t="s">
        <v>119</v>
      </c>
      <c r="F941" t="s">
        <v>3229</v>
      </c>
      <c r="G941" t="s">
        <v>21</v>
      </c>
      <c r="H941" t="str">
        <f>VLOOKUP(Table1[[#This Row],[City]],Table6[#All],2,FALSE)</f>
        <v>North</v>
      </c>
      <c r="I941" t="s">
        <v>24</v>
      </c>
      <c r="J941" t="str">
        <f>_xlfn.XLOOKUP(Table1[[#This Row],[Tractor Model]],Table7[Product Model],Table7[Product Category],"Not Available",0)</f>
        <v>Farmtrac</v>
      </c>
      <c r="K941" s="4">
        <v>6</v>
      </c>
      <c r="L941" s="72">
        <v>346453</v>
      </c>
      <c r="M941" s="4">
        <f>INDEX('Master Sheet'!$C$4:$C$12,MATCH(Table1[[#This Row],[Quantity]],'Master Sheet'!$B$4:$B$12,0))</f>
        <v>8</v>
      </c>
      <c r="N941" s="71">
        <f>Table1[[#This Row],[Quantity]]*Table1[[#This Row],[Unit Price]]</f>
        <v>2078718</v>
      </c>
      <c r="O941" s="73">
        <v>0.2078718</v>
      </c>
      <c r="P941" s="70">
        <f>Table1[[#This Row],[Gross Amount]]*(1-(Table1[[#This Row],[Discount %]]/100))</f>
        <v>1912420.56</v>
      </c>
      <c r="Q941" s="74">
        <f>(Table1[[#This Row],[Gross Amount]]*(1-(Table1[[#This Row],[Discount %]]/100)))/10000000</f>
        <v>0.19124205599999999</v>
      </c>
      <c r="R941" t="s">
        <v>54</v>
      </c>
      <c r="S941" t="str" cm="1">
        <f t="array" ref="S941">IFERROR(_xlfn.IFS(Table1[[#This Row],[Payment Status]]="Partial","In Transit",Table1[[#This Row],[Payment Status]]="Paid","Delivered",Table1[[#This Row],[Payment Status]]="Pending","Pending"),"Invalid Input")</f>
        <v>Delivered</v>
      </c>
      <c r="T941" t="s">
        <v>27</v>
      </c>
      <c r="U941" t="str" cm="1">
        <f t="array" ref="U941">IFERROR(_xlfn.IFS(Table1[[#This Row],[Payment Status]]="Partial","In Transit",Table1[[#This Row],[Payment Status]]="Paid","Completed",Table1[[#This Row],[Payment Status]]="Pending","Pending"),"Invalid Input")</f>
        <v>Completed</v>
      </c>
    </row>
    <row r="942" spans="1:21" x14ac:dyDescent="0.25">
      <c r="A942" s="4" t="s">
        <v>1746</v>
      </c>
      <c r="B942" s="5">
        <v>45626</v>
      </c>
      <c r="C942" t="s">
        <v>62</v>
      </c>
      <c r="D942" t="s">
        <v>3269</v>
      </c>
      <c r="E942" t="s">
        <v>66</v>
      </c>
      <c r="F942" t="s">
        <v>3213</v>
      </c>
      <c r="G942" t="s">
        <v>67</v>
      </c>
      <c r="H942" t="str">
        <f>VLOOKUP(Table1[[#This Row],[City]],Table6[#All],2,FALSE)</f>
        <v>East</v>
      </c>
      <c r="I942" t="s">
        <v>3203</v>
      </c>
      <c r="J942" t="str">
        <f>_xlfn.XLOOKUP(Table1[[#This Row],[Tractor Model]],Table7[Product Model],Table7[Product Category],"Not Available",0)</f>
        <v>Kubota</v>
      </c>
      <c r="K942" s="4">
        <v>2</v>
      </c>
      <c r="L942" s="72">
        <v>528081</v>
      </c>
      <c r="M942" s="4">
        <f>INDEX('Master Sheet'!$C$4:$C$12,MATCH(Table1[[#This Row],[Quantity]],'Master Sheet'!$B$4:$B$12,0))</f>
        <v>5</v>
      </c>
      <c r="N942" s="71">
        <f>Table1[[#This Row],[Quantity]]*Table1[[#This Row],[Unit Price]]</f>
        <v>1056162</v>
      </c>
      <c r="O942" s="73">
        <v>0.10561619999999999</v>
      </c>
      <c r="P942" s="70">
        <f>Table1[[#This Row],[Gross Amount]]*(1-(Table1[[#This Row],[Discount %]]/100))</f>
        <v>1003353.8999999999</v>
      </c>
      <c r="Q942" s="74">
        <f>(Table1[[#This Row],[Gross Amount]]*(1-(Table1[[#This Row],[Discount %]]/100)))/10000000</f>
        <v>0.10033539</v>
      </c>
      <c r="R942" t="s">
        <v>54</v>
      </c>
      <c r="S942" t="str" cm="1">
        <f t="array" ref="S942">IFERROR(_xlfn.IFS(Table1[[#This Row],[Payment Status]]="Partial","In Transit",Table1[[#This Row],[Payment Status]]="Paid","Delivered",Table1[[#This Row],[Payment Status]]="Pending","Pending"),"Invalid Input")</f>
        <v>Delivered</v>
      </c>
      <c r="T942" t="s">
        <v>27</v>
      </c>
      <c r="U942" t="str" cm="1">
        <f t="array" ref="U942">IFERROR(_xlfn.IFS(Table1[[#This Row],[Payment Status]]="Partial","In Transit",Table1[[#This Row],[Payment Status]]="Paid","Completed",Table1[[#This Row],[Payment Status]]="Pending","Pending"),"Invalid Input")</f>
        <v>Completed</v>
      </c>
    </row>
    <row r="943" spans="1:21" x14ac:dyDescent="0.25">
      <c r="A943" s="4" t="s">
        <v>1748</v>
      </c>
      <c r="B943" s="5">
        <v>45465</v>
      </c>
      <c r="C943" t="s">
        <v>41</v>
      </c>
      <c r="D943" t="s">
        <v>3269</v>
      </c>
      <c r="E943" t="s">
        <v>47</v>
      </c>
      <c r="F943" t="s">
        <v>3209</v>
      </c>
      <c r="G943" t="s">
        <v>48</v>
      </c>
      <c r="H943" t="str">
        <f>VLOOKUP(Table1[[#This Row],[City]],Table6[#All],2,FALSE)</f>
        <v>North</v>
      </c>
      <c r="I943" t="s">
        <v>53</v>
      </c>
      <c r="J943" t="str">
        <f>_xlfn.XLOOKUP(Table1[[#This Row],[Tractor Model]],Table7[Product Model],Table7[Product Category],"Not Available",0)</f>
        <v>Farmtrac</v>
      </c>
      <c r="K943" s="4">
        <v>8</v>
      </c>
      <c r="L943" s="72">
        <v>520288</v>
      </c>
      <c r="M943" s="4">
        <f>INDEX('Master Sheet'!$C$4:$C$12,MATCH(Table1[[#This Row],[Quantity]],'Master Sheet'!$B$4:$B$12,0))</f>
        <v>9</v>
      </c>
      <c r="N943" s="71">
        <f>Table1[[#This Row],[Quantity]]*Table1[[#This Row],[Unit Price]]</f>
        <v>4162304</v>
      </c>
      <c r="O943" s="73">
        <v>0.4162304</v>
      </c>
      <c r="P943" s="70">
        <f>Table1[[#This Row],[Gross Amount]]*(1-(Table1[[#This Row],[Discount %]]/100))</f>
        <v>3787696.64</v>
      </c>
      <c r="Q943" s="74">
        <f>(Table1[[#This Row],[Gross Amount]]*(1-(Table1[[#This Row],[Discount %]]/100)))/10000000</f>
        <v>0.37876966400000001</v>
      </c>
      <c r="R943" t="s">
        <v>42</v>
      </c>
      <c r="S943" t="str" cm="1">
        <f t="array" ref="S943">IFERROR(_xlfn.IFS(Table1[[#This Row],[Payment Status]]="Partial","In Transit",Table1[[#This Row],[Payment Status]]="Paid","Delivered",Table1[[#This Row],[Payment Status]]="Pending","Pending"),"Invalid Input")</f>
        <v>Pending</v>
      </c>
      <c r="T943" t="s">
        <v>44</v>
      </c>
      <c r="U943" t="str" cm="1">
        <f t="array" ref="U943">IFERROR(_xlfn.IFS(Table1[[#This Row],[Payment Status]]="Partial","In Transit",Table1[[#This Row],[Payment Status]]="Paid","Completed",Table1[[#This Row],[Payment Status]]="Pending","Pending"),"Invalid Input")</f>
        <v>Pending</v>
      </c>
    </row>
    <row r="944" spans="1:21" x14ac:dyDescent="0.25">
      <c r="A944" s="4" t="s">
        <v>1749</v>
      </c>
      <c r="B944" s="5">
        <v>45485</v>
      </c>
      <c r="C944" t="s">
        <v>73</v>
      </c>
      <c r="D944" t="s">
        <v>3270</v>
      </c>
      <c r="E944" t="s">
        <v>30</v>
      </c>
      <c r="F944" t="s">
        <v>3223</v>
      </c>
      <c r="G944" t="s">
        <v>31</v>
      </c>
      <c r="H944" t="str">
        <f>VLOOKUP(Table1[[#This Row],[City]],Table6[#All],2,FALSE)</f>
        <v>South</v>
      </c>
      <c r="I944" t="s">
        <v>3203</v>
      </c>
      <c r="J944" t="str">
        <f>_xlfn.XLOOKUP(Table1[[#This Row],[Tractor Model]],Table7[Product Model],Table7[Product Category],"Not Available",0)</f>
        <v>Kubota</v>
      </c>
      <c r="K944" s="4">
        <v>3</v>
      </c>
      <c r="L944" s="72">
        <v>63115</v>
      </c>
      <c r="M944" s="4">
        <f>INDEX('Master Sheet'!$C$4:$C$12,MATCH(Table1[[#This Row],[Quantity]],'Master Sheet'!$B$4:$B$12,0))</f>
        <v>6</v>
      </c>
      <c r="N944" s="71">
        <f>Table1[[#This Row],[Quantity]]*Table1[[#This Row],[Unit Price]]</f>
        <v>189345</v>
      </c>
      <c r="O944" s="73">
        <v>1.89345E-2</v>
      </c>
      <c r="P944" s="70">
        <f>Table1[[#This Row],[Gross Amount]]*(1-(Table1[[#This Row],[Discount %]]/100))</f>
        <v>177984.3</v>
      </c>
      <c r="Q944" s="74">
        <f>(Table1[[#This Row],[Gross Amount]]*(1-(Table1[[#This Row],[Discount %]]/100)))/10000000</f>
        <v>1.7798430000000001E-2</v>
      </c>
      <c r="R944" t="s">
        <v>42</v>
      </c>
      <c r="S944" t="str" cm="1">
        <f t="array" ref="S944">IFERROR(_xlfn.IFS(Table1[[#This Row],[Payment Status]]="Partial","In Transit",Table1[[#This Row],[Payment Status]]="Paid","Delivered",Table1[[#This Row],[Payment Status]]="Pending","Pending"),"Invalid Input")</f>
        <v>Pending</v>
      </c>
      <c r="T944" t="s">
        <v>44</v>
      </c>
      <c r="U944" t="str" cm="1">
        <f t="array" ref="U944">IFERROR(_xlfn.IFS(Table1[[#This Row],[Payment Status]]="Partial","In Transit",Table1[[#This Row],[Payment Status]]="Paid","Completed",Table1[[#This Row],[Payment Status]]="Pending","Pending"),"Invalid Input")</f>
        <v>Pending</v>
      </c>
    </row>
    <row r="945" spans="1:21" x14ac:dyDescent="0.25">
      <c r="A945" s="4" t="s">
        <v>1750</v>
      </c>
      <c r="B945" s="5">
        <v>45363</v>
      </c>
      <c r="C945" t="s">
        <v>33</v>
      </c>
      <c r="D945" t="s">
        <v>3269</v>
      </c>
      <c r="E945" t="s">
        <v>30</v>
      </c>
      <c r="F945" t="s">
        <v>3225</v>
      </c>
      <c r="G945" t="s">
        <v>31</v>
      </c>
      <c r="H945" t="str">
        <f>VLOOKUP(Table1[[#This Row],[City]],Table6[#All],2,FALSE)</f>
        <v>South</v>
      </c>
      <c r="I945" t="s">
        <v>3204</v>
      </c>
      <c r="J945" t="str">
        <f>_xlfn.XLOOKUP(Table1[[#This Row],[Tractor Model]],Table7[Product Model],Table7[Product Category],"Not Available",0)</f>
        <v>Kubota</v>
      </c>
      <c r="K945" s="4">
        <v>3</v>
      </c>
      <c r="L945" s="72">
        <v>457851</v>
      </c>
      <c r="M945" s="4">
        <f>INDEX('Master Sheet'!$C$4:$C$12,MATCH(Table1[[#This Row],[Quantity]],'Master Sheet'!$B$4:$B$12,0))</f>
        <v>6</v>
      </c>
      <c r="N945" s="71">
        <f>Table1[[#This Row],[Quantity]]*Table1[[#This Row],[Unit Price]]</f>
        <v>1373553</v>
      </c>
      <c r="O945" s="73">
        <v>0.13735530000000001</v>
      </c>
      <c r="P945" s="70">
        <f>Table1[[#This Row],[Gross Amount]]*(1-(Table1[[#This Row],[Discount %]]/100))</f>
        <v>1291139.8199999998</v>
      </c>
      <c r="Q945" s="74">
        <f>(Table1[[#This Row],[Gross Amount]]*(1-(Table1[[#This Row],[Discount %]]/100)))/10000000</f>
        <v>0.12911398199999999</v>
      </c>
      <c r="R945" t="s">
        <v>42</v>
      </c>
      <c r="S945" t="str" cm="1">
        <f t="array" ref="S945">IFERROR(_xlfn.IFS(Table1[[#This Row],[Payment Status]]="Partial","In Transit",Table1[[#This Row],[Payment Status]]="Paid","Delivered",Table1[[#This Row],[Payment Status]]="Pending","Pending"),"Invalid Input")</f>
        <v>Pending</v>
      </c>
      <c r="T945" t="s">
        <v>44</v>
      </c>
      <c r="U945" t="str" cm="1">
        <f t="array" ref="U945">IFERROR(_xlfn.IFS(Table1[[#This Row],[Payment Status]]="Partial","In Transit",Table1[[#This Row],[Payment Status]]="Paid","Completed",Table1[[#This Row],[Payment Status]]="Pending","Pending"),"Invalid Input")</f>
        <v>Pending</v>
      </c>
    </row>
    <row r="946" spans="1:21" x14ac:dyDescent="0.25">
      <c r="A946" s="4" t="s">
        <v>1752</v>
      </c>
      <c r="B946" s="5">
        <v>45609</v>
      </c>
      <c r="C946" t="s">
        <v>52</v>
      </c>
      <c r="D946" t="s">
        <v>3270</v>
      </c>
      <c r="E946" t="s">
        <v>47</v>
      </c>
      <c r="F946" t="s">
        <v>3205</v>
      </c>
      <c r="G946" t="s">
        <v>48</v>
      </c>
      <c r="H946" t="str">
        <f>VLOOKUP(Table1[[#This Row],[City]],Table6[#All],2,FALSE)</f>
        <v>North</v>
      </c>
      <c r="I946" t="s">
        <v>58</v>
      </c>
      <c r="J946" t="str">
        <f>_xlfn.XLOOKUP(Table1[[#This Row],[Tractor Model]],Table7[Product Model],Table7[Product Category],"Not Available",0)</f>
        <v>Powertrac</v>
      </c>
      <c r="K946" s="4">
        <v>7</v>
      </c>
      <c r="L946" s="72">
        <v>697196</v>
      </c>
      <c r="M946" s="4">
        <f>INDEX('Master Sheet'!$C$4:$C$12,MATCH(Table1[[#This Row],[Quantity]],'Master Sheet'!$B$4:$B$12,0))</f>
        <v>9</v>
      </c>
      <c r="N946" s="71">
        <f>Table1[[#This Row],[Quantity]]*Table1[[#This Row],[Unit Price]]</f>
        <v>4880372</v>
      </c>
      <c r="O946" s="73">
        <v>0.4880372</v>
      </c>
      <c r="P946" s="70">
        <f>Table1[[#This Row],[Gross Amount]]*(1-(Table1[[#This Row],[Discount %]]/100))</f>
        <v>4441138.5200000005</v>
      </c>
      <c r="Q946" s="74">
        <f>(Table1[[#This Row],[Gross Amount]]*(1-(Table1[[#This Row],[Discount %]]/100)))/10000000</f>
        <v>0.44411385200000003</v>
      </c>
      <c r="R946" t="s">
        <v>42</v>
      </c>
      <c r="S946" t="str" cm="1">
        <f t="array" ref="S946">IFERROR(_xlfn.IFS(Table1[[#This Row],[Payment Status]]="Partial","In Transit",Table1[[#This Row],[Payment Status]]="Paid","Delivered",Table1[[#This Row],[Payment Status]]="Pending","Pending"),"Invalid Input")</f>
        <v>Pending</v>
      </c>
      <c r="T946" t="s">
        <v>27</v>
      </c>
      <c r="U946" t="str" cm="1">
        <f t="array" ref="U946">IFERROR(_xlfn.IFS(Table1[[#This Row],[Payment Status]]="Partial","In Transit",Table1[[#This Row],[Payment Status]]="Paid","Completed",Table1[[#This Row],[Payment Status]]="Pending","Pending"),"Invalid Input")</f>
        <v>Pending</v>
      </c>
    </row>
    <row r="947" spans="1:21" x14ac:dyDescent="0.25">
      <c r="A947" s="4" t="s">
        <v>1753</v>
      </c>
      <c r="B947" s="5">
        <v>45933</v>
      </c>
      <c r="C947" t="s">
        <v>52</v>
      </c>
      <c r="D947" t="s">
        <v>3270</v>
      </c>
      <c r="E947" t="s">
        <v>47</v>
      </c>
      <c r="F947" t="s">
        <v>3205</v>
      </c>
      <c r="G947" t="s">
        <v>48</v>
      </c>
      <c r="H947" t="str">
        <f>VLOOKUP(Table1[[#This Row],[City]],Table6[#All],2,FALSE)</f>
        <v>North</v>
      </c>
      <c r="I947" t="s">
        <v>3204</v>
      </c>
      <c r="J947" t="str">
        <f>_xlfn.XLOOKUP(Table1[[#This Row],[Tractor Model]],Table7[Product Model],Table7[Product Category],"Not Available",0)</f>
        <v>Kubota</v>
      </c>
      <c r="K947" s="4">
        <v>8</v>
      </c>
      <c r="L947" s="72">
        <v>53480</v>
      </c>
      <c r="M947" s="4">
        <f>INDEX('Master Sheet'!$C$4:$C$12,MATCH(Table1[[#This Row],[Quantity]],'Master Sheet'!$B$4:$B$12,0))</f>
        <v>9</v>
      </c>
      <c r="N947" s="71">
        <f>Table1[[#This Row],[Quantity]]*Table1[[#This Row],[Unit Price]]</f>
        <v>427840</v>
      </c>
      <c r="O947" s="73">
        <v>4.2784000000000003E-2</v>
      </c>
      <c r="P947" s="70">
        <f>Table1[[#This Row],[Gross Amount]]*(1-(Table1[[#This Row],[Discount %]]/100))</f>
        <v>389334.4</v>
      </c>
      <c r="Q947" s="74">
        <f>(Table1[[#This Row],[Gross Amount]]*(1-(Table1[[#This Row],[Discount %]]/100)))/10000000</f>
        <v>3.893344E-2</v>
      </c>
      <c r="R947" t="s">
        <v>54</v>
      </c>
      <c r="S947" t="str" cm="1">
        <f t="array" ref="S947">IFERROR(_xlfn.IFS(Table1[[#This Row],[Payment Status]]="Partial","In Transit",Table1[[#This Row],[Payment Status]]="Paid","Delivered",Table1[[#This Row],[Payment Status]]="Pending","Pending"),"Invalid Input")</f>
        <v>Delivered</v>
      </c>
      <c r="T947" t="s">
        <v>44</v>
      </c>
      <c r="U947" t="str" cm="1">
        <f t="array" ref="U947">IFERROR(_xlfn.IFS(Table1[[#This Row],[Payment Status]]="Partial","In Transit",Table1[[#This Row],[Payment Status]]="Paid","Completed",Table1[[#This Row],[Payment Status]]="Pending","Pending"),"Invalid Input")</f>
        <v>Completed</v>
      </c>
    </row>
    <row r="948" spans="1:21" x14ac:dyDescent="0.25">
      <c r="A948" s="4" t="s">
        <v>1755</v>
      </c>
      <c r="B948" s="5">
        <v>45804</v>
      </c>
      <c r="C948" t="s">
        <v>33</v>
      </c>
      <c r="D948" t="s">
        <v>3270</v>
      </c>
      <c r="E948" t="s">
        <v>119</v>
      </c>
      <c r="F948" t="s">
        <v>3212</v>
      </c>
      <c r="G948" t="s">
        <v>21</v>
      </c>
      <c r="H948" t="str">
        <f>VLOOKUP(Table1[[#This Row],[City]],Table6[#All],2,FALSE)</f>
        <v>North</v>
      </c>
      <c r="I948" t="s">
        <v>3204</v>
      </c>
      <c r="J948" t="str">
        <f>_xlfn.XLOOKUP(Table1[[#This Row],[Tractor Model]],Table7[Product Model],Table7[Product Category],"Not Available",0)</f>
        <v>Kubota</v>
      </c>
      <c r="K948" s="4">
        <v>1</v>
      </c>
      <c r="L948" s="72">
        <v>706024</v>
      </c>
      <c r="M948" s="4">
        <f>INDEX('Master Sheet'!$C$4:$C$12,MATCH(Table1[[#This Row],[Quantity]],'Master Sheet'!$B$4:$B$12,0))</f>
        <v>3</v>
      </c>
      <c r="N948" s="71">
        <f>Table1[[#This Row],[Quantity]]*Table1[[#This Row],[Unit Price]]</f>
        <v>706024</v>
      </c>
      <c r="O948" s="73">
        <v>7.0602399999999996E-2</v>
      </c>
      <c r="P948" s="70">
        <f>Table1[[#This Row],[Gross Amount]]*(1-(Table1[[#This Row],[Discount %]]/100))</f>
        <v>684843.28</v>
      </c>
      <c r="Q948" s="74">
        <f>(Table1[[#This Row],[Gross Amount]]*(1-(Table1[[#This Row],[Discount %]]/100)))/10000000</f>
        <v>6.8484327999999997E-2</v>
      </c>
      <c r="R948" t="s">
        <v>54</v>
      </c>
      <c r="S948" t="str" cm="1">
        <f t="array" ref="S948">IFERROR(_xlfn.IFS(Table1[[#This Row],[Payment Status]]="Partial","In Transit",Table1[[#This Row],[Payment Status]]="Paid","Delivered",Table1[[#This Row],[Payment Status]]="Pending","Pending"),"Invalid Input")</f>
        <v>Delivered</v>
      </c>
      <c r="T948" t="s">
        <v>44</v>
      </c>
      <c r="U948" t="str" cm="1">
        <f t="array" ref="U948">IFERROR(_xlfn.IFS(Table1[[#This Row],[Payment Status]]="Partial","In Transit",Table1[[#This Row],[Payment Status]]="Paid","Completed",Table1[[#This Row],[Payment Status]]="Pending","Pending"),"Invalid Input")</f>
        <v>Completed</v>
      </c>
    </row>
    <row r="949" spans="1:21" x14ac:dyDescent="0.25">
      <c r="A949" s="4" t="s">
        <v>1757</v>
      </c>
      <c r="B949" s="5">
        <v>45521</v>
      </c>
      <c r="C949" t="s">
        <v>52</v>
      </c>
      <c r="D949" t="s">
        <v>37</v>
      </c>
      <c r="E949" t="s">
        <v>66</v>
      </c>
      <c r="F949" t="s">
        <v>3226</v>
      </c>
      <c r="G949" t="s">
        <v>67</v>
      </c>
      <c r="H949" t="str">
        <f>VLOOKUP(Table1[[#This Row],[City]],Table6[#All],2,FALSE)</f>
        <v>East</v>
      </c>
      <c r="I949" t="s">
        <v>53</v>
      </c>
      <c r="J949" t="str">
        <f>_xlfn.XLOOKUP(Table1[[#This Row],[Tractor Model]],Table7[Product Model],Table7[Product Category],"Not Available",0)</f>
        <v>Farmtrac</v>
      </c>
      <c r="K949" s="4">
        <v>5</v>
      </c>
      <c r="L949" s="72">
        <v>590538</v>
      </c>
      <c r="M949" s="4">
        <f>INDEX('Master Sheet'!$C$4:$C$12,MATCH(Table1[[#This Row],[Quantity]],'Master Sheet'!$B$4:$B$12,0))</f>
        <v>7</v>
      </c>
      <c r="N949" s="71">
        <f>Table1[[#This Row],[Quantity]]*Table1[[#This Row],[Unit Price]]</f>
        <v>2952690</v>
      </c>
      <c r="O949" s="73">
        <v>0.295269</v>
      </c>
      <c r="P949" s="70">
        <f>Table1[[#This Row],[Gross Amount]]*(1-(Table1[[#This Row],[Discount %]]/100))</f>
        <v>2746001.6999999997</v>
      </c>
      <c r="Q949" s="74">
        <f>(Table1[[#This Row],[Gross Amount]]*(1-(Table1[[#This Row],[Discount %]]/100)))/10000000</f>
        <v>0.27460016999999998</v>
      </c>
      <c r="R949" t="s">
        <v>42</v>
      </c>
      <c r="S949" t="str" cm="1">
        <f t="array" ref="S949">IFERROR(_xlfn.IFS(Table1[[#This Row],[Payment Status]]="Partial","In Transit",Table1[[#This Row],[Payment Status]]="Paid","Delivered",Table1[[#This Row],[Payment Status]]="Pending","Pending"),"Invalid Input")</f>
        <v>Pending</v>
      </c>
      <c r="T949" t="s">
        <v>27</v>
      </c>
      <c r="U949" t="str" cm="1">
        <f t="array" ref="U949">IFERROR(_xlfn.IFS(Table1[[#This Row],[Payment Status]]="Partial","In Transit",Table1[[#This Row],[Payment Status]]="Paid","Completed",Table1[[#This Row],[Payment Status]]="Pending","Pending"),"Invalid Input")</f>
        <v>Pending</v>
      </c>
    </row>
    <row r="950" spans="1:21" x14ac:dyDescent="0.25">
      <c r="A950" s="4" t="s">
        <v>1758</v>
      </c>
      <c r="B950" s="5">
        <v>45795</v>
      </c>
      <c r="C950" t="s">
        <v>73</v>
      </c>
      <c r="D950" t="s">
        <v>3268</v>
      </c>
      <c r="E950" t="s">
        <v>47</v>
      </c>
      <c r="F950" t="s">
        <v>3216</v>
      </c>
      <c r="G950" t="s">
        <v>48</v>
      </c>
      <c r="H950" t="str">
        <f>VLOOKUP(Table1[[#This Row],[City]],Table6[#All],2,FALSE)</f>
        <v>North</v>
      </c>
      <c r="I950" t="s">
        <v>24</v>
      </c>
      <c r="J950" t="str">
        <f>_xlfn.XLOOKUP(Table1[[#This Row],[Tractor Model]],Table7[Product Model],Table7[Product Category],"Not Available",0)</f>
        <v>Farmtrac</v>
      </c>
      <c r="K950" s="4">
        <v>2</v>
      </c>
      <c r="L950" s="72">
        <v>422821</v>
      </c>
      <c r="M950" s="4">
        <f>INDEX('Master Sheet'!$C$4:$C$12,MATCH(Table1[[#This Row],[Quantity]],'Master Sheet'!$B$4:$B$12,0))</f>
        <v>5</v>
      </c>
      <c r="N950" s="71">
        <f>Table1[[#This Row],[Quantity]]*Table1[[#This Row],[Unit Price]]</f>
        <v>845642</v>
      </c>
      <c r="O950" s="73">
        <v>8.4564200000000006E-2</v>
      </c>
      <c r="P950" s="70">
        <f>Table1[[#This Row],[Gross Amount]]*(1-(Table1[[#This Row],[Discount %]]/100))</f>
        <v>803359.89999999991</v>
      </c>
      <c r="Q950" s="74">
        <f>(Table1[[#This Row],[Gross Amount]]*(1-(Table1[[#This Row],[Discount %]]/100)))/10000000</f>
        <v>8.0335989999999996E-2</v>
      </c>
      <c r="R950" t="s">
        <v>42</v>
      </c>
      <c r="S950" t="str" cm="1">
        <f t="array" ref="S950">IFERROR(_xlfn.IFS(Table1[[#This Row],[Payment Status]]="Partial","In Transit",Table1[[#This Row],[Payment Status]]="Paid","Delivered",Table1[[#This Row],[Payment Status]]="Pending","Pending"),"Invalid Input")</f>
        <v>Pending</v>
      </c>
      <c r="T950" t="s">
        <v>44</v>
      </c>
      <c r="U950" t="str" cm="1">
        <f t="array" ref="U950">IFERROR(_xlfn.IFS(Table1[[#This Row],[Payment Status]]="Partial","In Transit",Table1[[#This Row],[Payment Status]]="Paid","Completed",Table1[[#This Row],[Payment Status]]="Pending","Pending"),"Invalid Input")</f>
        <v>Pending</v>
      </c>
    </row>
    <row r="951" spans="1:21" x14ac:dyDescent="0.25">
      <c r="A951" s="4" t="s">
        <v>1759</v>
      </c>
      <c r="B951" s="5">
        <v>45349</v>
      </c>
      <c r="C951" t="s">
        <v>41</v>
      </c>
      <c r="D951" t="s">
        <v>3269</v>
      </c>
      <c r="E951" t="s">
        <v>66</v>
      </c>
      <c r="F951" t="s">
        <v>3213</v>
      </c>
      <c r="G951" t="s">
        <v>67</v>
      </c>
      <c r="H951" t="str">
        <f>VLOOKUP(Table1[[#This Row],[City]],Table6[#All],2,FALSE)</f>
        <v>East</v>
      </c>
      <c r="I951" t="s">
        <v>3204</v>
      </c>
      <c r="J951" t="str">
        <f>_xlfn.XLOOKUP(Table1[[#This Row],[Tractor Model]],Table7[Product Model],Table7[Product Category],"Not Available",0)</f>
        <v>Kubota</v>
      </c>
      <c r="K951" s="4">
        <v>6</v>
      </c>
      <c r="L951" s="72">
        <v>346254</v>
      </c>
      <c r="M951" s="4">
        <f>INDEX('Master Sheet'!$C$4:$C$12,MATCH(Table1[[#This Row],[Quantity]],'Master Sheet'!$B$4:$B$12,0))</f>
        <v>8</v>
      </c>
      <c r="N951" s="71">
        <f>Table1[[#This Row],[Quantity]]*Table1[[#This Row],[Unit Price]]</f>
        <v>2077524</v>
      </c>
      <c r="O951" s="73">
        <v>0.2077524</v>
      </c>
      <c r="P951" s="70">
        <f>Table1[[#This Row],[Gross Amount]]*(1-(Table1[[#This Row],[Discount %]]/100))</f>
        <v>1911322.08</v>
      </c>
      <c r="Q951" s="74">
        <f>(Table1[[#This Row],[Gross Amount]]*(1-(Table1[[#This Row],[Discount %]]/100)))/10000000</f>
        <v>0.191132208</v>
      </c>
      <c r="R951" t="s">
        <v>42</v>
      </c>
      <c r="S951" t="str" cm="1">
        <f t="array" ref="S951">IFERROR(_xlfn.IFS(Table1[[#This Row],[Payment Status]]="Partial","In Transit",Table1[[#This Row],[Payment Status]]="Paid","Delivered",Table1[[#This Row],[Payment Status]]="Pending","Pending"),"Invalid Input")</f>
        <v>Pending</v>
      </c>
      <c r="T951" t="s">
        <v>27</v>
      </c>
      <c r="U951" t="str" cm="1">
        <f t="array" ref="U951">IFERROR(_xlfn.IFS(Table1[[#This Row],[Payment Status]]="Partial","In Transit",Table1[[#This Row],[Payment Status]]="Paid","Completed",Table1[[#This Row],[Payment Status]]="Pending","Pending"),"Invalid Input")</f>
        <v>Pending</v>
      </c>
    </row>
    <row r="952" spans="1:21" x14ac:dyDescent="0.25">
      <c r="A952" s="4" t="s">
        <v>1760</v>
      </c>
      <c r="B952" s="5">
        <v>45720</v>
      </c>
      <c r="C952" t="s">
        <v>33</v>
      </c>
      <c r="D952" t="s">
        <v>3269</v>
      </c>
      <c r="E952" t="s">
        <v>38</v>
      </c>
      <c r="F952" t="s">
        <v>3206</v>
      </c>
      <c r="G952" t="s">
        <v>39</v>
      </c>
      <c r="H952" t="str">
        <f>VLOOKUP(Table1[[#This Row],[City]],Table6[#All],2,FALSE)</f>
        <v>West</v>
      </c>
      <c r="I952" t="s">
        <v>24</v>
      </c>
      <c r="J952" t="str">
        <f>_xlfn.XLOOKUP(Table1[[#This Row],[Tractor Model]],Table7[Product Model],Table7[Product Category],"Not Available",0)</f>
        <v>Farmtrac</v>
      </c>
      <c r="K952" s="4">
        <v>8</v>
      </c>
      <c r="L952" s="72">
        <v>800758</v>
      </c>
      <c r="M952" s="4">
        <f>INDEX('Master Sheet'!$C$4:$C$12,MATCH(Table1[[#This Row],[Quantity]],'Master Sheet'!$B$4:$B$12,0))</f>
        <v>9</v>
      </c>
      <c r="N952" s="71">
        <f>Table1[[#This Row],[Quantity]]*Table1[[#This Row],[Unit Price]]</f>
        <v>6406064</v>
      </c>
      <c r="O952" s="73">
        <v>0.64060640000000002</v>
      </c>
      <c r="P952" s="70">
        <f>Table1[[#This Row],[Gross Amount]]*(1-(Table1[[#This Row],[Discount %]]/100))</f>
        <v>5829518.2400000002</v>
      </c>
      <c r="Q952" s="74">
        <f>(Table1[[#This Row],[Gross Amount]]*(1-(Table1[[#This Row],[Discount %]]/100)))/10000000</f>
        <v>0.58295182400000001</v>
      </c>
      <c r="R952" t="s">
        <v>25</v>
      </c>
      <c r="S952" t="str" cm="1">
        <f t="array" ref="S952">IFERROR(_xlfn.IFS(Table1[[#This Row],[Payment Status]]="Partial","In Transit",Table1[[#This Row],[Payment Status]]="Paid","Delivered",Table1[[#This Row],[Payment Status]]="Pending","Pending"),"Invalid Input")</f>
        <v>In Transit</v>
      </c>
      <c r="T952" t="s">
        <v>44</v>
      </c>
      <c r="U952" t="str" cm="1">
        <f t="array" ref="U952">IFERROR(_xlfn.IFS(Table1[[#This Row],[Payment Status]]="Partial","In Transit",Table1[[#This Row],[Payment Status]]="Paid","Completed",Table1[[#This Row],[Payment Status]]="Pending","Pending"),"Invalid Input")</f>
        <v>In Transit</v>
      </c>
    </row>
    <row r="953" spans="1:21" x14ac:dyDescent="0.25">
      <c r="A953" s="4" t="s">
        <v>1762</v>
      </c>
      <c r="B953" s="5">
        <v>45526</v>
      </c>
      <c r="C953" t="s">
        <v>73</v>
      </c>
      <c r="D953" t="s">
        <v>3268</v>
      </c>
      <c r="E953" t="s">
        <v>38</v>
      </c>
      <c r="F953" t="s">
        <v>3219</v>
      </c>
      <c r="G953" t="s">
        <v>39</v>
      </c>
      <c r="H953" t="str">
        <f>VLOOKUP(Table1[[#This Row],[City]],Table6[#All],2,FALSE)</f>
        <v>West</v>
      </c>
      <c r="I953" t="s">
        <v>3204</v>
      </c>
      <c r="J953" t="str">
        <f>_xlfn.XLOOKUP(Table1[[#This Row],[Tractor Model]],Table7[Product Model],Table7[Product Category],"Not Available",0)</f>
        <v>Kubota</v>
      </c>
      <c r="K953" s="4">
        <v>8</v>
      </c>
      <c r="L953" s="72">
        <v>442417</v>
      </c>
      <c r="M953" s="4">
        <f>INDEX('Master Sheet'!$C$4:$C$12,MATCH(Table1[[#This Row],[Quantity]],'Master Sheet'!$B$4:$B$12,0))</f>
        <v>9</v>
      </c>
      <c r="N953" s="71">
        <f>Table1[[#This Row],[Quantity]]*Table1[[#This Row],[Unit Price]]</f>
        <v>3539336</v>
      </c>
      <c r="O953" s="73">
        <v>0.35393360000000001</v>
      </c>
      <c r="P953" s="70">
        <f>Table1[[#This Row],[Gross Amount]]*(1-(Table1[[#This Row],[Discount %]]/100))</f>
        <v>3220795.7600000002</v>
      </c>
      <c r="Q953" s="74">
        <f>(Table1[[#This Row],[Gross Amount]]*(1-(Table1[[#This Row],[Discount %]]/100)))/10000000</f>
        <v>0.32207957600000003</v>
      </c>
      <c r="R953" t="s">
        <v>42</v>
      </c>
      <c r="S953" t="str" cm="1">
        <f t="array" ref="S953">IFERROR(_xlfn.IFS(Table1[[#This Row],[Payment Status]]="Partial","In Transit",Table1[[#This Row],[Payment Status]]="Paid","Delivered",Table1[[#This Row],[Payment Status]]="Pending","Pending"),"Invalid Input")</f>
        <v>Pending</v>
      </c>
      <c r="T953" t="s">
        <v>44</v>
      </c>
      <c r="U953" t="str" cm="1">
        <f t="array" ref="U953">IFERROR(_xlfn.IFS(Table1[[#This Row],[Payment Status]]="Partial","In Transit",Table1[[#This Row],[Payment Status]]="Paid","Completed",Table1[[#This Row],[Payment Status]]="Pending","Pending"),"Invalid Input")</f>
        <v>Pending</v>
      </c>
    </row>
    <row r="954" spans="1:21" x14ac:dyDescent="0.25">
      <c r="A954" s="4" t="s">
        <v>1764</v>
      </c>
      <c r="B954" s="5">
        <v>45743</v>
      </c>
      <c r="C954" t="s">
        <v>62</v>
      </c>
      <c r="D954" t="s">
        <v>3268</v>
      </c>
      <c r="E954" t="s">
        <v>119</v>
      </c>
      <c r="F954" t="s">
        <v>3227</v>
      </c>
      <c r="G954" t="s">
        <v>21</v>
      </c>
      <c r="H954" t="str">
        <f>VLOOKUP(Table1[[#This Row],[City]],Table6[#All],2,FALSE)</f>
        <v>North</v>
      </c>
      <c r="I954" t="s">
        <v>53</v>
      </c>
      <c r="J954" t="str">
        <f>_xlfn.XLOOKUP(Table1[[#This Row],[Tractor Model]],Table7[Product Model],Table7[Product Category],"Not Available",0)</f>
        <v>Farmtrac</v>
      </c>
      <c r="K954" s="4">
        <v>5</v>
      </c>
      <c r="L954" s="72">
        <v>824985</v>
      </c>
      <c r="M954" s="4">
        <f>INDEX('Master Sheet'!$C$4:$C$12,MATCH(Table1[[#This Row],[Quantity]],'Master Sheet'!$B$4:$B$12,0))</f>
        <v>7</v>
      </c>
      <c r="N954" s="71">
        <f>Table1[[#This Row],[Quantity]]*Table1[[#This Row],[Unit Price]]</f>
        <v>4124925</v>
      </c>
      <c r="O954" s="73">
        <v>0.41249249999999998</v>
      </c>
      <c r="P954" s="70">
        <f>Table1[[#This Row],[Gross Amount]]*(1-(Table1[[#This Row],[Discount %]]/100))</f>
        <v>3836180.2499999995</v>
      </c>
      <c r="Q954" s="74">
        <f>(Table1[[#This Row],[Gross Amount]]*(1-(Table1[[#This Row],[Discount %]]/100)))/10000000</f>
        <v>0.38361802499999997</v>
      </c>
      <c r="R954" t="s">
        <v>25</v>
      </c>
      <c r="S954" t="str" cm="1">
        <f t="array" ref="S954">IFERROR(_xlfn.IFS(Table1[[#This Row],[Payment Status]]="Partial","In Transit",Table1[[#This Row],[Payment Status]]="Paid","Delivered",Table1[[#This Row],[Payment Status]]="Pending","Pending"),"Invalid Input")</f>
        <v>In Transit</v>
      </c>
      <c r="T954" t="s">
        <v>44</v>
      </c>
      <c r="U954" t="str" cm="1">
        <f t="array" ref="U954">IFERROR(_xlfn.IFS(Table1[[#This Row],[Payment Status]]="Partial","In Transit",Table1[[#This Row],[Payment Status]]="Paid","Completed",Table1[[#This Row],[Payment Status]]="Pending","Pending"),"Invalid Input")</f>
        <v>In Transit</v>
      </c>
    </row>
    <row r="955" spans="1:21" x14ac:dyDescent="0.25">
      <c r="A955" s="4" t="s">
        <v>1765</v>
      </c>
      <c r="B955" s="5">
        <v>45716</v>
      </c>
      <c r="C955" t="s">
        <v>52</v>
      </c>
      <c r="D955" t="s">
        <v>3269</v>
      </c>
      <c r="E955" t="s">
        <v>47</v>
      </c>
      <c r="F955" t="s">
        <v>3209</v>
      </c>
      <c r="G955" t="s">
        <v>48</v>
      </c>
      <c r="H955" t="str">
        <f>VLOOKUP(Table1[[#This Row],[City]],Table6[#All],2,FALSE)</f>
        <v>North</v>
      </c>
      <c r="I955" t="s">
        <v>53</v>
      </c>
      <c r="J955" t="str">
        <f>_xlfn.XLOOKUP(Table1[[#This Row],[Tractor Model]],Table7[Product Model],Table7[Product Category],"Not Available",0)</f>
        <v>Farmtrac</v>
      </c>
      <c r="K955" s="4">
        <v>2</v>
      </c>
      <c r="L955" s="72">
        <v>459471</v>
      </c>
      <c r="M955" s="4">
        <f>INDEX('Master Sheet'!$C$4:$C$12,MATCH(Table1[[#This Row],[Quantity]],'Master Sheet'!$B$4:$B$12,0))</f>
        <v>5</v>
      </c>
      <c r="N955" s="71">
        <f>Table1[[#This Row],[Quantity]]*Table1[[#This Row],[Unit Price]]</f>
        <v>918942</v>
      </c>
      <c r="O955" s="73">
        <v>9.1894199999999995E-2</v>
      </c>
      <c r="P955" s="70">
        <f>Table1[[#This Row],[Gross Amount]]*(1-(Table1[[#This Row],[Discount %]]/100))</f>
        <v>872994.89999999991</v>
      </c>
      <c r="Q955" s="74">
        <f>(Table1[[#This Row],[Gross Amount]]*(1-(Table1[[#This Row],[Discount %]]/100)))/10000000</f>
        <v>8.7299489999999993E-2</v>
      </c>
      <c r="R955" t="s">
        <v>54</v>
      </c>
      <c r="S955" t="str" cm="1">
        <f t="array" ref="S955">IFERROR(_xlfn.IFS(Table1[[#This Row],[Payment Status]]="Partial","In Transit",Table1[[#This Row],[Payment Status]]="Paid","Delivered",Table1[[#This Row],[Payment Status]]="Pending","Pending"),"Invalid Input")</f>
        <v>Delivered</v>
      </c>
      <c r="T955" t="s">
        <v>27</v>
      </c>
      <c r="U955" t="str" cm="1">
        <f t="array" ref="U955">IFERROR(_xlfn.IFS(Table1[[#This Row],[Payment Status]]="Partial","In Transit",Table1[[#This Row],[Payment Status]]="Paid","Completed",Table1[[#This Row],[Payment Status]]="Pending","Pending"),"Invalid Input")</f>
        <v>Completed</v>
      </c>
    </row>
    <row r="956" spans="1:21" x14ac:dyDescent="0.25">
      <c r="A956" s="4" t="s">
        <v>1766</v>
      </c>
      <c r="B956" s="5">
        <v>45470</v>
      </c>
      <c r="C956" t="s">
        <v>62</v>
      </c>
      <c r="D956" t="s">
        <v>3268</v>
      </c>
      <c r="E956" t="s">
        <v>30</v>
      </c>
      <c r="F956" t="s">
        <v>3208</v>
      </c>
      <c r="G956" t="s">
        <v>31</v>
      </c>
      <c r="H956" t="str">
        <f>VLOOKUP(Table1[[#This Row],[City]],Table6[#All],2,FALSE)</f>
        <v>South</v>
      </c>
      <c r="I956" t="s">
        <v>58</v>
      </c>
      <c r="J956" t="str">
        <f>_xlfn.XLOOKUP(Table1[[#This Row],[Tractor Model]],Table7[Product Model],Table7[Product Category],"Not Available",0)</f>
        <v>Powertrac</v>
      </c>
      <c r="K956" s="4">
        <v>4</v>
      </c>
      <c r="L956" s="72">
        <v>84058</v>
      </c>
      <c r="M956" s="4">
        <f>INDEX('Master Sheet'!$C$4:$C$12,MATCH(Table1[[#This Row],[Quantity]],'Master Sheet'!$B$4:$B$12,0))</f>
        <v>6</v>
      </c>
      <c r="N956" s="71">
        <f>Table1[[#This Row],[Quantity]]*Table1[[#This Row],[Unit Price]]</f>
        <v>336232</v>
      </c>
      <c r="O956" s="73">
        <v>3.3623199999999999E-2</v>
      </c>
      <c r="P956" s="70">
        <f>Table1[[#This Row],[Gross Amount]]*(1-(Table1[[#This Row],[Discount %]]/100))</f>
        <v>316058.07999999996</v>
      </c>
      <c r="Q956" s="74">
        <f>(Table1[[#This Row],[Gross Amount]]*(1-(Table1[[#This Row],[Discount %]]/100)))/10000000</f>
        <v>3.1605807999999999E-2</v>
      </c>
      <c r="R956" t="s">
        <v>54</v>
      </c>
      <c r="S956" t="str" cm="1">
        <f t="array" ref="S956">IFERROR(_xlfn.IFS(Table1[[#This Row],[Payment Status]]="Partial","In Transit",Table1[[#This Row],[Payment Status]]="Paid","Delivered",Table1[[#This Row],[Payment Status]]="Pending","Pending"),"Invalid Input")</f>
        <v>Delivered</v>
      </c>
      <c r="T956" t="s">
        <v>44</v>
      </c>
      <c r="U956" t="str" cm="1">
        <f t="array" ref="U956">IFERROR(_xlfn.IFS(Table1[[#This Row],[Payment Status]]="Partial","In Transit",Table1[[#This Row],[Payment Status]]="Paid","Completed",Table1[[#This Row],[Payment Status]]="Pending","Pending"),"Invalid Input")</f>
        <v>Completed</v>
      </c>
    </row>
    <row r="957" spans="1:21" x14ac:dyDescent="0.25">
      <c r="A957" s="4" t="s">
        <v>1768</v>
      </c>
      <c r="B957" s="5">
        <v>45394</v>
      </c>
      <c r="C957" t="s">
        <v>62</v>
      </c>
      <c r="D957" t="s">
        <v>3269</v>
      </c>
      <c r="E957" t="s">
        <v>30</v>
      </c>
      <c r="F957" t="s">
        <v>3225</v>
      </c>
      <c r="G957" t="s">
        <v>31</v>
      </c>
      <c r="H957" t="str">
        <f>VLOOKUP(Table1[[#This Row],[City]],Table6[#All],2,FALSE)</f>
        <v>South</v>
      </c>
      <c r="I957" t="s">
        <v>58</v>
      </c>
      <c r="J957" t="str">
        <f>_xlfn.XLOOKUP(Table1[[#This Row],[Tractor Model]],Table7[Product Model],Table7[Product Category],"Not Available",0)</f>
        <v>Powertrac</v>
      </c>
      <c r="K957" s="4">
        <v>7</v>
      </c>
      <c r="L957" s="72">
        <v>247503</v>
      </c>
      <c r="M957" s="4">
        <f>INDEX('Master Sheet'!$C$4:$C$12,MATCH(Table1[[#This Row],[Quantity]],'Master Sheet'!$B$4:$B$12,0))</f>
        <v>9</v>
      </c>
      <c r="N957" s="71">
        <f>Table1[[#This Row],[Quantity]]*Table1[[#This Row],[Unit Price]]</f>
        <v>1732521</v>
      </c>
      <c r="O957" s="73">
        <v>0.17325209999999999</v>
      </c>
      <c r="P957" s="70">
        <f>Table1[[#This Row],[Gross Amount]]*(1-(Table1[[#This Row],[Discount %]]/100))</f>
        <v>1576594.11</v>
      </c>
      <c r="Q957" s="74">
        <f>(Table1[[#This Row],[Gross Amount]]*(1-(Table1[[#This Row],[Discount %]]/100)))/10000000</f>
        <v>0.157659411</v>
      </c>
      <c r="R957" t="s">
        <v>54</v>
      </c>
      <c r="S957" t="str" cm="1">
        <f t="array" ref="S957">IFERROR(_xlfn.IFS(Table1[[#This Row],[Payment Status]]="Partial","In Transit",Table1[[#This Row],[Payment Status]]="Paid","Delivered",Table1[[#This Row],[Payment Status]]="Pending","Pending"),"Invalid Input")</f>
        <v>Delivered</v>
      </c>
      <c r="T957" t="s">
        <v>27</v>
      </c>
      <c r="U957" t="str" cm="1">
        <f t="array" ref="U957">IFERROR(_xlfn.IFS(Table1[[#This Row],[Payment Status]]="Partial","In Transit",Table1[[#This Row],[Payment Status]]="Paid","Completed",Table1[[#This Row],[Payment Status]]="Pending","Pending"),"Invalid Input")</f>
        <v>Completed</v>
      </c>
    </row>
    <row r="958" spans="1:21" x14ac:dyDescent="0.25">
      <c r="A958" s="4" t="s">
        <v>1769</v>
      </c>
      <c r="B958" s="5">
        <v>45536</v>
      </c>
      <c r="C958" t="s">
        <v>73</v>
      </c>
      <c r="D958" t="s">
        <v>3270</v>
      </c>
      <c r="E958" t="s">
        <v>119</v>
      </c>
      <c r="F958" t="s">
        <v>3212</v>
      </c>
      <c r="G958" t="s">
        <v>21</v>
      </c>
      <c r="H958" t="str">
        <f>VLOOKUP(Table1[[#This Row],[City]],Table6[#All],2,FALSE)</f>
        <v>North</v>
      </c>
      <c r="I958" t="s">
        <v>3204</v>
      </c>
      <c r="J958" t="str">
        <f>_xlfn.XLOOKUP(Table1[[#This Row],[Tractor Model]],Table7[Product Model],Table7[Product Category],"Not Available",0)</f>
        <v>Kubota</v>
      </c>
      <c r="K958" s="4">
        <v>5</v>
      </c>
      <c r="L958" s="72">
        <v>288499</v>
      </c>
      <c r="M958" s="4">
        <f>INDEX('Master Sheet'!$C$4:$C$12,MATCH(Table1[[#This Row],[Quantity]],'Master Sheet'!$B$4:$B$12,0))</f>
        <v>7</v>
      </c>
      <c r="N958" s="71">
        <f>Table1[[#This Row],[Quantity]]*Table1[[#This Row],[Unit Price]]</f>
        <v>1442495</v>
      </c>
      <c r="O958" s="73">
        <v>0.1442495</v>
      </c>
      <c r="P958" s="70">
        <f>Table1[[#This Row],[Gross Amount]]*(1-(Table1[[#This Row],[Discount %]]/100))</f>
        <v>1341520.3499999999</v>
      </c>
      <c r="Q958" s="74">
        <f>(Table1[[#This Row],[Gross Amount]]*(1-(Table1[[#This Row],[Discount %]]/100)))/10000000</f>
        <v>0.13415203499999998</v>
      </c>
      <c r="R958" t="s">
        <v>54</v>
      </c>
      <c r="S958" t="str" cm="1">
        <f t="array" ref="S958">IFERROR(_xlfn.IFS(Table1[[#This Row],[Payment Status]]="Partial","In Transit",Table1[[#This Row],[Payment Status]]="Paid","Delivered",Table1[[#This Row],[Payment Status]]="Pending","Pending"),"Invalid Input")</f>
        <v>Delivered</v>
      </c>
      <c r="T958" t="s">
        <v>27</v>
      </c>
      <c r="U958" t="str" cm="1">
        <f t="array" ref="U958">IFERROR(_xlfn.IFS(Table1[[#This Row],[Payment Status]]="Partial","In Transit",Table1[[#This Row],[Payment Status]]="Paid","Completed",Table1[[#This Row],[Payment Status]]="Pending","Pending"),"Invalid Input")</f>
        <v>Completed</v>
      </c>
    </row>
    <row r="959" spans="1:21" x14ac:dyDescent="0.25">
      <c r="A959" s="4" t="s">
        <v>1771</v>
      </c>
      <c r="B959" s="5">
        <v>45609</v>
      </c>
      <c r="C959" t="s">
        <v>73</v>
      </c>
      <c r="D959" t="s">
        <v>3271</v>
      </c>
      <c r="E959" t="s">
        <v>47</v>
      </c>
      <c r="F959" t="s">
        <v>3221</v>
      </c>
      <c r="G959" t="s">
        <v>48</v>
      </c>
      <c r="H959" t="str">
        <f>VLOOKUP(Table1[[#This Row],[City]],Table6[#All],2,FALSE)</f>
        <v>North</v>
      </c>
      <c r="I959" t="s">
        <v>58</v>
      </c>
      <c r="J959" t="str">
        <f>_xlfn.XLOOKUP(Table1[[#This Row],[Tractor Model]],Table7[Product Model],Table7[Product Category],"Not Available",0)</f>
        <v>Powertrac</v>
      </c>
      <c r="K959" s="4">
        <v>1</v>
      </c>
      <c r="L959" s="72">
        <v>316186</v>
      </c>
      <c r="M959" s="4">
        <f>INDEX('Master Sheet'!$C$4:$C$12,MATCH(Table1[[#This Row],[Quantity]],'Master Sheet'!$B$4:$B$12,0))</f>
        <v>3</v>
      </c>
      <c r="N959" s="71">
        <f>Table1[[#This Row],[Quantity]]*Table1[[#This Row],[Unit Price]]</f>
        <v>316186</v>
      </c>
      <c r="O959" s="73">
        <v>3.1618599999999997E-2</v>
      </c>
      <c r="P959" s="70">
        <f>Table1[[#This Row],[Gross Amount]]*(1-(Table1[[#This Row],[Discount %]]/100))</f>
        <v>306700.42</v>
      </c>
      <c r="Q959" s="74">
        <f>(Table1[[#This Row],[Gross Amount]]*(1-(Table1[[#This Row],[Discount %]]/100)))/10000000</f>
        <v>3.0670041999999998E-2</v>
      </c>
      <c r="R959" t="s">
        <v>42</v>
      </c>
      <c r="S959" t="str" cm="1">
        <f t="array" ref="S959">IFERROR(_xlfn.IFS(Table1[[#This Row],[Payment Status]]="Partial","In Transit",Table1[[#This Row],[Payment Status]]="Paid","Delivered",Table1[[#This Row],[Payment Status]]="Pending","Pending"),"Invalid Input")</f>
        <v>Pending</v>
      </c>
      <c r="T959" t="s">
        <v>27</v>
      </c>
      <c r="U959" t="str" cm="1">
        <f t="array" ref="U959">IFERROR(_xlfn.IFS(Table1[[#This Row],[Payment Status]]="Partial","In Transit",Table1[[#This Row],[Payment Status]]="Paid","Completed",Table1[[#This Row],[Payment Status]]="Pending","Pending"),"Invalid Input")</f>
        <v>Pending</v>
      </c>
    </row>
    <row r="960" spans="1:21" x14ac:dyDescent="0.25">
      <c r="A960" s="4" t="s">
        <v>1772</v>
      </c>
      <c r="B960" s="5">
        <v>45582</v>
      </c>
      <c r="C960" t="s">
        <v>62</v>
      </c>
      <c r="D960" t="s">
        <v>3271</v>
      </c>
      <c r="E960" t="s">
        <v>66</v>
      </c>
      <c r="F960" t="s">
        <v>3207</v>
      </c>
      <c r="G960" t="s">
        <v>67</v>
      </c>
      <c r="H960" t="str">
        <f>VLOOKUP(Table1[[#This Row],[City]],Table6[#All],2,FALSE)</f>
        <v>East</v>
      </c>
      <c r="I960" t="s">
        <v>58</v>
      </c>
      <c r="J960" t="str">
        <f>_xlfn.XLOOKUP(Table1[[#This Row],[Tractor Model]],Table7[Product Model],Table7[Product Category],"Not Available",0)</f>
        <v>Powertrac</v>
      </c>
      <c r="K960" s="4">
        <v>2</v>
      </c>
      <c r="L960" s="72">
        <v>789839</v>
      </c>
      <c r="M960" s="4">
        <f>INDEX('Master Sheet'!$C$4:$C$12,MATCH(Table1[[#This Row],[Quantity]],'Master Sheet'!$B$4:$B$12,0))</f>
        <v>5</v>
      </c>
      <c r="N960" s="71">
        <f>Table1[[#This Row],[Quantity]]*Table1[[#This Row],[Unit Price]]</f>
        <v>1579678</v>
      </c>
      <c r="O960" s="73">
        <v>0.15796779999999999</v>
      </c>
      <c r="P960" s="70">
        <f>Table1[[#This Row],[Gross Amount]]*(1-(Table1[[#This Row],[Discount %]]/100))</f>
        <v>1500694.0999999999</v>
      </c>
      <c r="Q960" s="74">
        <f>(Table1[[#This Row],[Gross Amount]]*(1-(Table1[[#This Row],[Discount %]]/100)))/10000000</f>
        <v>0.15006940999999999</v>
      </c>
      <c r="R960" t="s">
        <v>54</v>
      </c>
      <c r="S960" t="str" cm="1">
        <f t="array" ref="S960">IFERROR(_xlfn.IFS(Table1[[#This Row],[Payment Status]]="Partial","In Transit",Table1[[#This Row],[Payment Status]]="Paid","Delivered",Table1[[#This Row],[Payment Status]]="Pending","Pending"),"Invalid Input")</f>
        <v>Delivered</v>
      </c>
      <c r="T960" t="s">
        <v>27</v>
      </c>
      <c r="U960" t="str" cm="1">
        <f t="array" ref="U960">IFERROR(_xlfn.IFS(Table1[[#This Row],[Payment Status]]="Partial","In Transit",Table1[[#This Row],[Payment Status]]="Paid","Completed",Table1[[#This Row],[Payment Status]]="Pending","Pending"),"Invalid Input")</f>
        <v>Completed</v>
      </c>
    </row>
    <row r="961" spans="1:21" x14ac:dyDescent="0.25">
      <c r="A961" s="4" t="s">
        <v>1773</v>
      </c>
      <c r="B961" s="5">
        <v>45351</v>
      </c>
      <c r="C961" t="s">
        <v>62</v>
      </c>
      <c r="D961" t="s">
        <v>3270</v>
      </c>
      <c r="E961" t="s">
        <v>30</v>
      </c>
      <c r="F961" t="s">
        <v>3223</v>
      </c>
      <c r="G961" t="s">
        <v>31</v>
      </c>
      <c r="H961" t="str">
        <f>VLOOKUP(Table1[[#This Row],[City]],Table6[#All],2,FALSE)</f>
        <v>South</v>
      </c>
      <c r="I961" t="s">
        <v>3204</v>
      </c>
      <c r="J961" t="str">
        <f>_xlfn.XLOOKUP(Table1[[#This Row],[Tractor Model]],Table7[Product Model],Table7[Product Category],"Not Available",0)</f>
        <v>Kubota</v>
      </c>
      <c r="K961" s="4">
        <v>4</v>
      </c>
      <c r="L961" s="72">
        <v>69573</v>
      </c>
      <c r="M961" s="4">
        <f>INDEX('Master Sheet'!$C$4:$C$12,MATCH(Table1[[#This Row],[Quantity]],'Master Sheet'!$B$4:$B$12,0))</f>
        <v>6</v>
      </c>
      <c r="N961" s="71">
        <f>Table1[[#This Row],[Quantity]]*Table1[[#This Row],[Unit Price]]</f>
        <v>278292</v>
      </c>
      <c r="O961" s="73">
        <v>2.7829199999999998E-2</v>
      </c>
      <c r="P961" s="70">
        <f>Table1[[#This Row],[Gross Amount]]*(1-(Table1[[#This Row],[Discount %]]/100))</f>
        <v>261594.47999999998</v>
      </c>
      <c r="Q961" s="74">
        <f>(Table1[[#This Row],[Gross Amount]]*(1-(Table1[[#This Row],[Discount %]]/100)))/10000000</f>
        <v>2.6159447999999998E-2</v>
      </c>
      <c r="R961" t="s">
        <v>42</v>
      </c>
      <c r="S961" t="str" cm="1">
        <f t="array" ref="S961">IFERROR(_xlfn.IFS(Table1[[#This Row],[Payment Status]]="Partial","In Transit",Table1[[#This Row],[Payment Status]]="Paid","Delivered",Table1[[#This Row],[Payment Status]]="Pending","Pending"),"Invalid Input")</f>
        <v>Pending</v>
      </c>
      <c r="T961" t="s">
        <v>44</v>
      </c>
      <c r="U961" t="str" cm="1">
        <f t="array" ref="U961">IFERROR(_xlfn.IFS(Table1[[#This Row],[Payment Status]]="Partial","In Transit",Table1[[#This Row],[Payment Status]]="Paid","Completed",Table1[[#This Row],[Payment Status]]="Pending","Pending"),"Invalid Input")</f>
        <v>Pending</v>
      </c>
    </row>
    <row r="962" spans="1:21" x14ac:dyDescent="0.25">
      <c r="A962" s="4" t="s">
        <v>1774</v>
      </c>
      <c r="B962" s="5">
        <v>45404</v>
      </c>
      <c r="C962" t="s">
        <v>62</v>
      </c>
      <c r="D962" t="s">
        <v>3268</v>
      </c>
      <c r="E962" t="s">
        <v>119</v>
      </c>
      <c r="F962" t="s">
        <v>3227</v>
      </c>
      <c r="G962" t="s">
        <v>21</v>
      </c>
      <c r="H962" t="str">
        <f>VLOOKUP(Table1[[#This Row],[City]],Table6[#All],2,FALSE)</f>
        <v>North</v>
      </c>
      <c r="I962" t="s">
        <v>53</v>
      </c>
      <c r="J962" t="str">
        <f>_xlfn.XLOOKUP(Table1[[#This Row],[Tractor Model]],Table7[Product Model],Table7[Product Category],"Not Available",0)</f>
        <v>Farmtrac</v>
      </c>
      <c r="K962" s="4">
        <v>5</v>
      </c>
      <c r="L962" s="72">
        <v>349263</v>
      </c>
      <c r="M962" s="4">
        <f>INDEX('Master Sheet'!$C$4:$C$12,MATCH(Table1[[#This Row],[Quantity]],'Master Sheet'!$B$4:$B$12,0))</f>
        <v>7</v>
      </c>
      <c r="N962" s="71">
        <f>Table1[[#This Row],[Quantity]]*Table1[[#This Row],[Unit Price]]</f>
        <v>1746315</v>
      </c>
      <c r="O962" s="73">
        <v>0.1746315</v>
      </c>
      <c r="P962" s="70">
        <f>Table1[[#This Row],[Gross Amount]]*(1-(Table1[[#This Row],[Discount %]]/100))</f>
        <v>1624072.95</v>
      </c>
      <c r="Q962" s="74">
        <f>(Table1[[#This Row],[Gross Amount]]*(1-(Table1[[#This Row],[Discount %]]/100)))/10000000</f>
        <v>0.16240729500000001</v>
      </c>
      <c r="R962" t="s">
        <v>42</v>
      </c>
      <c r="S962" t="str" cm="1">
        <f t="array" ref="S962">IFERROR(_xlfn.IFS(Table1[[#This Row],[Payment Status]]="Partial","In Transit",Table1[[#This Row],[Payment Status]]="Paid","Delivered",Table1[[#This Row],[Payment Status]]="Pending","Pending"),"Invalid Input")</f>
        <v>Pending</v>
      </c>
      <c r="T962" t="s">
        <v>44</v>
      </c>
      <c r="U962" t="str" cm="1">
        <f t="array" ref="U962">IFERROR(_xlfn.IFS(Table1[[#This Row],[Payment Status]]="Partial","In Transit",Table1[[#This Row],[Payment Status]]="Paid","Completed",Table1[[#This Row],[Payment Status]]="Pending","Pending"),"Invalid Input")</f>
        <v>Pending</v>
      </c>
    </row>
    <row r="963" spans="1:21" x14ac:dyDescent="0.25">
      <c r="A963" s="4" t="s">
        <v>1776</v>
      </c>
      <c r="B963" s="5">
        <v>45305</v>
      </c>
      <c r="C963" t="s">
        <v>33</v>
      </c>
      <c r="D963" t="s">
        <v>3270</v>
      </c>
      <c r="E963" t="s">
        <v>66</v>
      </c>
      <c r="F963" t="s">
        <v>3220</v>
      </c>
      <c r="G963" t="s">
        <v>67</v>
      </c>
      <c r="H963" t="str">
        <f>VLOOKUP(Table1[[#This Row],[City]],Table6[#All],2,FALSE)</f>
        <v>East</v>
      </c>
      <c r="I963" t="s">
        <v>53</v>
      </c>
      <c r="J963" t="str">
        <f>_xlfn.XLOOKUP(Table1[[#This Row],[Tractor Model]],Table7[Product Model],Table7[Product Category],"Not Available",0)</f>
        <v>Farmtrac</v>
      </c>
      <c r="K963" s="4">
        <v>2</v>
      </c>
      <c r="L963" s="72">
        <v>347577</v>
      </c>
      <c r="M963" s="4">
        <f>INDEX('Master Sheet'!$C$4:$C$12,MATCH(Table1[[#This Row],[Quantity]],'Master Sheet'!$B$4:$B$12,0))</f>
        <v>5</v>
      </c>
      <c r="N963" s="71">
        <f>Table1[[#This Row],[Quantity]]*Table1[[#This Row],[Unit Price]]</f>
        <v>695154</v>
      </c>
      <c r="O963" s="73">
        <v>6.9515400000000005E-2</v>
      </c>
      <c r="P963" s="70">
        <f>Table1[[#This Row],[Gross Amount]]*(1-(Table1[[#This Row],[Discount %]]/100))</f>
        <v>660396.29999999993</v>
      </c>
      <c r="Q963" s="74">
        <f>(Table1[[#This Row],[Gross Amount]]*(1-(Table1[[#This Row],[Discount %]]/100)))/10000000</f>
        <v>6.6039629999999988E-2</v>
      </c>
      <c r="R963" t="s">
        <v>25</v>
      </c>
      <c r="S963" t="str" cm="1">
        <f t="array" ref="S963">IFERROR(_xlfn.IFS(Table1[[#This Row],[Payment Status]]="Partial","In Transit",Table1[[#This Row],[Payment Status]]="Paid","Delivered",Table1[[#This Row],[Payment Status]]="Pending","Pending"),"Invalid Input")</f>
        <v>In Transit</v>
      </c>
      <c r="T963" t="s">
        <v>44</v>
      </c>
      <c r="U963" t="str" cm="1">
        <f t="array" ref="U963">IFERROR(_xlfn.IFS(Table1[[#This Row],[Payment Status]]="Partial","In Transit",Table1[[#This Row],[Payment Status]]="Paid","Completed",Table1[[#This Row],[Payment Status]]="Pending","Pending"),"Invalid Input")</f>
        <v>In Transit</v>
      </c>
    </row>
    <row r="964" spans="1:21" x14ac:dyDescent="0.25">
      <c r="A964" s="4" t="s">
        <v>1777</v>
      </c>
      <c r="B964" s="5">
        <v>45783</v>
      </c>
      <c r="C964" t="s">
        <v>52</v>
      </c>
      <c r="D964" t="s">
        <v>37</v>
      </c>
      <c r="E964" t="s">
        <v>47</v>
      </c>
      <c r="F964" t="s">
        <v>3215</v>
      </c>
      <c r="G964" t="s">
        <v>48</v>
      </c>
      <c r="H964" t="str">
        <f>VLOOKUP(Table1[[#This Row],[City]],Table6[#All],2,FALSE)</f>
        <v>North</v>
      </c>
      <c r="I964" t="s">
        <v>53</v>
      </c>
      <c r="J964" t="str">
        <f>_xlfn.XLOOKUP(Table1[[#This Row],[Tractor Model]],Table7[Product Model],Table7[Product Category],"Not Available",0)</f>
        <v>Farmtrac</v>
      </c>
      <c r="K964" s="4">
        <v>5</v>
      </c>
      <c r="L964" s="72">
        <v>748969</v>
      </c>
      <c r="M964" s="4">
        <f>INDEX('Master Sheet'!$C$4:$C$12,MATCH(Table1[[#This Row],[Quantity]],'Master Sheet'!$B$4:$B$12,0))</f>
        <v>7</v>
      </c>
      <c r="N964" s="71">
        <f>Table1[[#This Row],[Quantity]]*Table1[[#This Row],[Unit Price]]</f>
        <v>3744845</v>
      </c>
      <c r="O964" s="73">
        <v>0.3744845</v>
      </c>
      <c r="P964" s="70">
        <f>Table1[[#This Row],[Gross Amount]]*(1-(Table1[[#This Row],[Discount %]]/100))</f>
        <v>3482705.8499999996</v>
      </c>
      <c r="Q964" s="74">
        <f>(Table1[[#This Row],[Gross Amount]]*(1-(Table1[[#This Row],[Discount %]]/100)))/10000000</f>
        <v>0.34827058499999997</v>
      </c>
      <c r="R964" t="s">
        <v>54</v>
      </c>
      <c r="S964" t="str" cm="1">
        <f t="array" ref="S964">IFERROR(_xlfn.IFS(Table1[[#This Row],[Payment Status]]="Partial","In Transit",Table1[[#This Row],[Payment Status]]="Paid","Delivered",Table1[[#This Row],[Payment Status]]="Pending","Pending"),"Invalid Input")</f>
        <v>Delivered</v>
      </c>
      <c r="T964" t="s">
        <v>44</v>
      </c>
      <c r="U964" t="str" cm="1">
        <f t="array" ref="U964">IFERROR(_xlfn.IFS(Table1[[#This Row],[Payment Status]]="Partial","In Transit",Table1[[#This Row],[Payment Status]]="Paid","Completed",Table1[[#This Row],[Payment Status]]="Pending","Pending"),"Invalid Input")</f>
        <v>Completed</v>
      </c>
    </row>
    <row r="965" spans="1:21" x14ac:dyDescent="0.25">
      <c r="A965" s="4" t="s">
        <v>1778</v>
      </c>
      <c r="B965" s="5">
        <v>45674</v>
      </c>
      <c r="C965" t="s">
        <v>62</v>
      </c>
      <c r="D965" t="s">
        <v>37</v>
      </c>
      <c r="E965" t="s">
        <v>38</v>
      </c>
      <c r="F965" t="s">
        <v>3214</v>
      </c>
      <c r="G965" t="s">
        <v>39</v>
      </c>
      <c r="H965" t="str">
        <f>VLOOKUP(Table1[[#This Row],[City]],Table6[#All],2,FALSE)</f>
        <v>West</v>
      </c>
      <c r="I965" t="s">
        <v>53</v>
      </c>
      <c r="J965" t="str">
        <f>_xlfn.XLOOKUP(Table1[[#This Row],[Tractor Model]],Table7[Product Model],Table7[Product Category],"Not Available",0)</f>
        <v>Farmtrac</v>
      </c>
      <c r="K965" s="4">
        <v>7</v>
      </c>
      <c r="L965" s="72">
        <v>147718</v>
      </c>
      <c r="M965" s="4">
        <f>INDEX('Master Sheet'!$C$4:$C$12,MATCH(Table1[[#This Row],[Quantity]],'Master Sheet'!$B$4:$B$12,0))</f>
        <v>9</v>
      </c>
      <c r="N965" s="71">
        <f>Table1[[#This Row],[Quantity]]*Table1[[#This Row],[Unit Price]]</f>
        <v>1034026</v>
      </c>
      <c r="O965" s="73">
        <v>0.1034026</v>
      </c>
      <c r="P965" s="70">
        <f>Table1[[#This Row],[Gross Amount]]*(1-(Table1[[#This Row],[Discount %]]/100))</f>
        <v>940963.66</v>
      </c>
      <c r="Q965" s="74">
        <f>(Table1[[#This Row],[Gross Amount]]*(1-(Table1[[#This Row],[Discount %]]/100)))/10000000</f>
        <v>9.4096366000000001E-2</v>
      </c>
      <c r="R965" t="s">
        <v>42</v>
      </c>
      <c r="S965" t="str" cm="1">
        <f t="array" ref="S965">IFERROR(_xlfn.IFS(Table1[[#This Row],[Payment Status]]="Partial","In Transit",Table1[[#This Row],[Payment Status]]="Paid","Delivered",Table1[[#This Row],[Payment Status]]="Pending","Pending"),"Invalid Input")</f>
        <v>Pending</v>
      </c>
      <c r="T965" t="s">
        <v>27</v>
      </c>
      <c r="U965" t="str" cm="1">
        <f t="array" ref="U965">IFERROR(_xlfn.IFS(Table1[[#This Row],[Payment Status]]="Partial","In Transit",Table1[[#This Row],[Payment Status]]="Paid","Completed",Table1[[#This Row],[Payment Status]]="Pending","Pending"),"Invalid Input")</f>
        <v>Pending</v>
      </c>
    </row>
    <row r="966" spans="1:21" x14ac:dyDescent="0.25">
      <c r="A966" s="4" t="s">
        <v>1780</v>
      </c>
      <c r="B966" s="5">
        <v>45642</v>
      </c>
      <c r="C966" t="s">
        <v>73</v>
      </c>
      <c r="D966" t="s">
        <v>3268</v>
      </c>
      <c r="E966" t="s">
        <v>66</v>
      </c>
      <c r="F966" t="s">
        <v>3211</v>
      </c>
      <c r="G966" t="s">
        <v>67</v>
      </c>
      <c r="H966" t="str">
        <f>VLOOKUP(Table1[[#This Row],[City]],Table6[#All],2,FALSE)</f>
        <v>East</v>
      </c>
      <c r="I966" t="s">
        <v>53</v>
      </c>
      <c r="J966" t="str">
        <f>_xlfn.XLOOKUP(Table1[[#This Row],[Tractor Model]],Table7[Product Model],Table7[Product Category],"Not Available",0)</f>
        <v>Farmtrac</v>
      </c>
      <c r="K966" s="4">
        <v>2</v>
      </c>
      <c r="L966" s="72">
        <v>530970</v>
      </c>
      <c r="M966" s="4">
        <f>INDEX('Master Sheet'!$C$4:$C$12,MATCH(Table1[[#This Row],[Quantity]],'Master Sheet'!$B$4:$B$12,0))</f>
        <v>5</v>
      </c>
      <c r="N966" s="71">
        <f>Table1[[#This Row],[Quantity]]*Table1[[#This Row],[Unit Price]]</f>
        <v>1061940</v>
      </c>
      <c r="O966" s="73">
        <v>0.106194</v>
      </c>
      <c r="P966" s="70">
        <f>Table1[[#This Row],[Gross Amount]]*(1-(Table1[[#This Row],[Discount %]]/100))</f>
        <v>1008843</v>
      </c>
      <c r="Q966" s="74">
        <f>(Table1[[#This Row],[Gross Amount]]*(1-(Table1[[#This Row],[Discount %]]/100)))/10000000</f>
        <v>0.1008843</v>
      </c>
      <c r="R966" t="s">
        <v>25</v>
      </c>
      <c r="S966" t="str" cm="1">
        <f t="array" ref="S966">IFERROR(_xlfn.IFS(Table1[[#This Row],[Payment Status]]="Partial","In Transit",Table1[[#This Row],[Payment Status]]="Paid","Delivered",Table1[[#This Row],[Payment Status]]="Pending","Pending"),"Invalid Input")</f>
        <v>In Transit</v>
      </c>
      <c r="T966" t="s">
        <v>27</v>
      </c>
      <c r="U966" t="str" cm="1">
        <f t="array" ref="U966">IFERROR(_xlfn.IFS(Table1[[#This Row],[Payment Status]]="Partial","In Transit",Table1[[#This Row],[Payment Status]]="Paid","Completed",Table1[[#This Row],[Payment Status]]="Pending","Pending"),"Invalid Input")</f>
        <v>In Transit</v>
      </c>
    </row>
    <row r="967" spans="1:21" x14ac:dyDescent="0.25">
      <c r="A967" s="4" t="s">
        <v>1781</v>
      </c>
      <c r="B967" s="5">
        <v>45767</v>
      </c>
      <c r="C967" t="s">
        <v>33</v>
      </c>
      <c r="D967" t="s">
        <v>3268</v>
      </c>
      <c r="E967" t="s">
        <v>30</v>
      </c>
      <c r="F967" t="s">
        <v>3208</v>
      </c>
      <c r="G967" t="s">
        <v>31</v>
      </c>
      <c r="H967" t="str">
        <f>VLOOKUP(Table1[[#This Row],[City]],Table6[#All],2,FALSE)</f>
        <v>South</v>
      </c>
      <c r="I967" t="s">
        <v>24</v>
      </c>
      <c r="J967" t="str">
        <f>_xlfn.XLOOKUP(Table1[[#This Row],[Tractor Model]],Table7[Product Model],Table7[Product Category],"Not Available",0)</f>
        <v>Farmtrac</v>
      </c>
      <c r="K967" s="4">
        <v>2</v>
      </c>
      <c r="L967" s="72">
        <v>361621</v>
      </c>
      <c r="M967" s="4">
        <f>INDEX('Master Sheet'!$C$4:$C$12,MATCH(Table1[[#This Row],[Quantity]],'Master Sheet'!$B$4:$B$12,0))</f>
        <v>5</v>
      </c>
      <c r="N967" s="71">
        <f>Table1[[#This Row],[Quantity]]*Table1[[#This Row],[Unit Price]]</f>
        <v>723242</v>
      </c>
      <c r="O967" s="73">
        <v>7.2324200000000005E-2</v>
      </c>
      <c r="P967" s="70">
        <f>Table1[[#This Row],[Gross Amount]]*(1-(Table1[[#This Row],[Discount %]]/100))</f>
        <v>687079.9</v>
      </c>
      <c r="Q967" s="74">
        <f>(Table1[[#This Row],[Gross Amount]]*(1-(Table1[[#This Row],[Discount %]]/100)))/10000000</f>
        <v>6.8707989999999997E-2</v>
      </c>
      <c r="R967" t="s">
        <v>25</v>
      </c>
      <c r="S967" t="str" cm="1">
        <f t="array" ref="S967">IFERROR(_xlfn.IFS(Table1[[#This Row],[Payment Status]]="Partial","In Transit",Table1[[#This Row],[Payment Status]]="Paid","Delivered",Table1[[#This Row],[Payment Status]]="Pending","Pending"),"Invalid Input")</f>
        <v>In Transit</v>
      </c>
      <c r="T967" t="s">
        <v>44</v>
      </c>
      <c r="U967" t="str" cm="1">
        <f t="array" ref="U967">IFERROR(_xlfn.IFS(Table1[[#This Row],[Payment Status]]="Partial","In Transit",Table1[[#This Row],[Payment Status]]="Paid","Completed",Table1[[#This Row],[Payment Status]]="Pending","Pending"),"Invalid Input")</f>
        <v>In Transit</v>
      </c>
    </row>
    <row r="968" spans="1:21" x14ac:dyDescent="0.25">
      <c r="A968" s="4" t="s">
        <v>1783</v>
      </c>
      <c r="B968" s="5">
        <v>45571</v>
      </c>
      <c r="C968" t="s">
        <v>73</v>
      </c>
      <c r="D968" t="s">
        <v>3268</v>
      </c>
      <c r="E968" t="s">
        <v>47</v>
      </c>
      <c r="F968" t="s">
        <v>3216</v>
      </c>
      <c r="G968" t="s">
        <v>48</v>
      </c>
      <c r="H968" t="str">
        <f>VLOOKUP(Table1[[#This Row],[City]],Table6[#All],2,FALSE)</f>
        <v>North</v>
      </c>
      <c r="I968" t="s">
        <v>24</v>
      </c>
      <c r="J968" t="str">
        <f>_xlfn.XLOOKUP(Table1[[#This Row],[Tractor Model]],Table7[Product Model],Table7[Product Category],"Not Available",0)</f>
        <v>Farmtrac</v>
      </c>
      <c r="K968" s="4">
        <v>5</v>
      </c>
      <c r="L968" s="72">
        <v>416516</v>
      </c>
      <c r="M968" s="4">
        <f>INDEX('Master Sheet'!$C$4:$C$12,MATCH(Table1[[#This Row],[Quantity]],'Master Sheet'!$B$4:$B$12,0))</f>
        <v>7</v>
      </c>
      <c r="N968" s="71">
        <f>Table1[[#This Row],[Quantity]]*Table1[[#This Row],[Unit Price]]</f>
        <v>2082580</v>
      </c>
      <c r="O968" s="73">
        <v>0.208258</v>
      </c>
      <c r="P968" s="70">
        <f>Table1[[#This Row],[Gross Amount]]*(1-(Table1[[#This Row],[Discount %]]/100))</f>
        <v>1936799.4</v>
      </c>
      <c r="Q968" s="74">
        <f>(Table1[[#This Row],[Gross Amount]]*(1-(Table1[[#This Row],[Discount %]]/100)))/10000000</f>
        <v>0.19367993999999999</v>
      </c>
      <c r="R968" t="s">
        <v>54</v>
      </c>
      <c r="S968" t="str" cm="1">
        <f t="array" ref="S968">IFERROR(_xlfn.IFS(Table1[[#This Row],[Payment Status]]="Partial","In Transit",Table1[[#This Row],[Payment Status]]="Paid","Delivered",Table1[[#This Row],[Payment Status]]="Pending","Pending"),"Invalid Input")</f>
        <v>Delivered</v>
      </c>
      <c r="T968" t="s">
        <v>44</v>
      </c>
      <c r="U968" t="str" cm="1">
        <f t="array" ref="U968">IFERROR(_xlfn.IFS(Table1[[#This Row],[Payment Status]]="Partial","In Transit",Table1[[#This Row],[Payment Status]]="Paid","Completed",Table1[[#This Row],[Payment Status]]="Pending","Pending"),"Invalid Input")</f>
        <v>Completed</v>
      </c>
    </row>
    <row r="969" spans="1:21" x14ac:dyDescent="0.25">
      <c r="A969" s="4" t="s">
        <v>1785</v>
      </c>
      <c r="B969" s="5">
        <v>45352</v>
      </c>
      <c r="C969" t="s">
        <v>52</v>
      </c>
      <c r="D969" t="s">
        <v>37</v>
      </c>
      <c r="E969" t="s">
        <v>119</v>
      </c>
      <c r="F969" t="s">
        <v>3224</v>
      </c>
      <c r="G969" t="s">
        <v>21</v>
      </c>
      <c r="H969" t="str">
        <f>VLOOKUP(Table1[[#This Row],[City]],Table6[#All],2,FALSE)</f>
        <v>North</v>
      </c>
      <c r="I969" t="s">
        <v>53</v>
      </c>
      <c r="J969" t="str">
        <f>_xlfn.XLOOKUP(Table1[[#This Row],[Tractor Model]],Table7[Product Model],Table7[Product Category],"Not Available",0)</f>
        <v>Farmtrac</v>
      </c>
      <c r="K969" s="4">
        <v>7</v>
      </c>
      <c r="L969" s="72">
        <v>144722</v>
      </c>
      <c r="M969" s="4">
        <f>INDEX('Master Sheet'!$C$4:$C$12,MATCH(Table1[[#This Row],[Quantity]],'Master Sheet'!$B$4:$B$12,0))</f>
        <v>9</v>
      </c>
      <c r="N969" s="71">
        <f>Table1[[#This Row],[Quantity]]*Table1[[#This Row],[Unit Price]]</f>
        <v>1013054</v>
      </c>
      <c r="O969" s="73">
        <v>0.1013054</v>
      </c>
      <c r="P969" s="70">
        <f>Table1[[#This Row],[Gross Amount]]*(1-(Table1[[#This Row],[Discount %]]/100))</f>
        <v>921879.14</v>
      </c>
      <c r="Q969" s="74">
        <f>(Table1[[#This Row],[Gross Amount]]*(1-(Table1[[#This Row],[Discount %]]/100)))/10000000</f>
        <v>9.2187913999999996E-2</v>
      </c>
      <c r="R969" t="s">
        <v>54</v>
      </c>
      <c r="S969" t="str" cm="1">
        <f t="array" ref="S969">IFERROR(_xlfn.IFS(Table1[[#This Row],[Payment Status]]="Partial","In Transit",Table1[[#This Row],[Payment Status]]="Paid","Delivered",Table1[[#This Row],[Payment Status]]="Pending","Pending"),"Invalid Input")</f>
        <v>Delivered</v>
      </c>
      <c r="T969" t="s">
        <v>27</v>
      </c>
      <c r="U969" t="str" cm="1">
        <f t="array" ref="U969">IFERROR(_xlfn.IFS(Table1[[#This Row],[Payment Status]]="Partial","In Transit",Table1[[#This Row],[Payment Status]]="Paid","Completed",Table1[[#This Row],[Payment Status]]="Pending","Pending"),"Invalid Input")</f>
        <v>Completed</v>
      </c>
    </row>
    <row r="970" spans="1:21" x14ac:dyDescent="0.25">
      <c r="A970" s="4" t="s">
        <v>1786</v>
      </c>
      <c r="B970" s="5">
        <v>45671</v>
      </c>
      <c r="C970" t="s">
        <v>33</v>
      </c>
      <c r="D970" t="s">
        <v>3268</v>
      </c>
      <c r="E970" t="s">
        <v>66</v>
      </c>
      <c r="F970" t="s">
        <v>3211</v>
      </c>
      <c r="G970" t="s">
        <v>67</v>
      </c>
      <c r="H970" t="str">
        <f>VLOOKUP(Table1[[#This Row],[City]],Table6[#All],2,FALSE)</f>
        <v>East</v>
      </c>
      <c r="I970" t="s">
        <v>3204</v>
      </c>
      <c r="J970" t="str">
        <f>_xlfn.XLOOKUP(Table1[[#This Row],[Tractor Model]],Table7[Product Model],Table7[Product Category],"Not Available",0)</f>
        <v>Kubota</v>
      </c>
      <c r="K970" s="4">
        <v>5</v>
      </c>
      <c r="L970" s="72">
        <v>160409</v>
      </c>
      <c r="M970" s="4">
        <f>INDEX('Master Sheet'!$C$4:$C$12,MATCH(Table1[[#This Row],[Quantity]],'Master Sheet'!$B$4:$B$12,0))</f>
        <v>7</v>
      </c>
      <c r="N970" s="71">
        <f>Table1[[#This Row],[Quantity]]*Table1[[#This Row],[Unit Price]]</f>
        <v>802045</v>
      </c>
      <c r="O970" s="73">
        <v>8.0204499999999998E-2</v>
      </c>
      <c r="P970" s="70">
        <f>Table1[[#This Row],[Gross Amount]]*(1-(Table1[[#This Row],[Discount %]]/100))</f>
        <v>745901.85</v>
      </c>
      <c r="Q970" s="74">
        <f>(Table1[[#This Row],[Gross Amount]]*(1-(Table1[[#This Row],[Discount %]]/100)))/10000000</f>
        <v>7.4590185000000003E-2</v>
      </c>
      <c r="R970" t="s">
        <v>42</v>
      </c>
      <c r="S970" t="str" cm="1">
        <f t="array" ref="S970">IFERROR(_xlfn.IFS(Table1[[#This Row],[Payment Status]]="Partial","In Transit",Table1[[#This Row],[Payment Status]]="Paid","Delivered",Table1[[#This Row],[Payment Status]]="Pending","Pending"),"Invalid Input")</f>
        <v>Pending</v>
      </c>
      <c r="T970" t="s">
        <v>44</v>
      </c>
      <c r="U970" t="str" cm="1">
        <f t="array" ref="U970">IFERROR(_xlfn.IFS(Table1[[#This Row],[Payment Status]]="Partial","In Transit",Table1[[#This Row],[Payment Status]]="Paid","Completed",Table1[[#This Row],[Payment Status]]="Pending","Pending"),"Invalid Input")</f>
        <v>Pending</v>
      </c>
    </row>
    <row r="971" spans="1:21" x14ac:dyDescent="0.25">
      <c r="A971" s="4" t="s">
        <v>1788</v>
      </c>
      <c r="B971" s="5">
        <v>45671</v>
      </c>
      <c r="C971" t="s">
        <v>52</v>
      </c>
      <c r="D971" t="s">
        <v>3268</v>
      </c>
      <c r="E971" t="s">
        <v>119</v>
      </c>
      <c r="F971" t="s">
        <v>3227</v>
      </c>
      <c r="G971" t="s">
        <v>21</v>
      </c>
      <c r="H971" t="str">
        <f>VLOOKUP(Table1[[#This Row],[City]],Table6[#All],2,FALSE)</f>
        <v>North</v>
      </c>
      <c r="I971" t="s">
        <v>24</v>
      </c>
      <c r="J971" t="str">
        <f>_xlfn.XLOOKUP(Table1[[#This Row],[Tractor Model]],Table7[Product Model],Table7[Product Category],"Not Available",0)</f>
        <v>Farmtrac</v>
      </c>
      <c r="K971" s="4">
        <v>4</v>
      </c>
      <c r="L971" s="72">
        <v>167266</v>
      </c>
      <c r="M971" s="4">
        <f>INDEX('Master Sheet'!$C$4:$C$12,MATCH(Table1[[#This Row],[Quantity]],'Master Sheet'!$B$4:$B$12,0))</f>
        <v>6</v>
      </c>
      <c r="N971" s="71">
        <f>Table1[[#This Row],[Quantity]]*Table1[[#This Row],[Unit Price]]</f>
        <v>669064</v>
      </c>
      <c r="O971" s="73">
        <v>6.6906400000000005E-2</v>
      </c>
      <c r="P971" s="70">
        <f>Table1[[#This Row],[Gross Amount]]*(1-(Table1[[#This Row],[Discount %]]/100))</f>
        <v>628920.15999999992</v>
      </c>
      <c r="Q971" s="74">
        <f>(Table1[[#This Row],[Gross Amount]]*(1-(Table1[[#This Row],[Discount %]]/100)))/10000000</f>
        <v>6.2892015999999995E-2</v>
      </c>
      <c r="R971" t="s">
        <v>25</v>
      </c>
      <c r="S971" t="str" cm="1">
        <f t="array" ref="S971">IFERROR(_xlfn.IFS(Table1[[#This Row],[Payment Status]]="Partial","In Transit",Table1[[#This Row],[Payment Status]]="Paid","Delivered",Table1[[#This Row],[Payment Status]]="Pending","Pending"),"Invalid Input")</f>
        <v>In Transit</v>
      </c>
      <c r="T971" t="s">
        <v>27</v>
      </c>
      <c r="U971" t="str" cm="1">
        <f t="array" ref="U971">IFERROR(_xlfn.IFS(Table1[[#This Row],[Payment Status]]="Partial","In Transit",Table1[[#This Row],[Payment Status]]="Paid","Completed",Table1[[#This Row],[Payment Status]]="Pending","Pending"),"Invalid Input")</f>
        <v>In Transit</v>
      </c>
    </row>
    <row r="972" spans="1:21" x14ac:dyDescent="0.25">
      <c r="A972" s="4" t="s">
        <v>1789</v>
      </c>
      <c r="B972" s="5">
        <v>45804</v>
      </c>
      <c r="C972" t="s">
        <v>33</v>
      </c>
      <c r="D972" t="s">
        <v>3270</v>
      </c>
      <c r="E972" t="s">
        <v>66</v>
      </c>
      <c r="F972" t="s">
        <v>3220</v>
      </c>
      <c r="G972" t="s">
        <v>67</v>
      </c>
      <c r="H972" t="str">
        <f>VLOOKUP(Table1[[#This Row],[City]],Table6[#All],2,FALSE)</f>
        <v>East</v>
      </c>
      <c r="I972" t="s">
        <v>53</v>
      </c>
      <c r="J972" t="str">
        <f>_xlfn.XLOOKUP(Table1[[#This Row],[Tractor Model]],Table7[Product Model],Table7[Product Category],"Not Available",0)</f>
        <v>Farmtrac</v>
      </c>
      <c r="K972" s="4">
        <v>4</v>
      </c>
      <c r="L972" s="72">
        <v>430713</v>
      </c>
      <c r="M972" s="4">
        <f>INDEX('Master Sheet'!$C$4:$C$12,MATCH(Table1[[#This Row],[Quantity]],'Master Sheet'!$B$4:$B$12,0))</f>
        <v>6</v>
      </c>
      <c r="N972" s="71">
        <f>Table1[[#This Row],[Quantity]]*Table1[[#This Row],[Unit Price]]</f>
        <v>1722852</v>
      </c>
      <c r="O972" s="73">
        <v>0.1722852</v>
      </c>
      <c r="P972" s="70">
        <f>Table1[[#This Row],[Gross Amount]]*(1-(Table1[[#This Row],[Discount %]]/100))</f>
        <v>1619480.88</v>
      </c>
      <c r="Q972" s="74">
        <f>(Table1[[#This Row],[Gross Amount]]*(1-(Table1[[#This Row],[Discount %]]/100)))/10000000</f>
        <v>0.16194808799999999</v>
      </c>
      <c r="R972" t="s">
        <v>42</v>
      </c>
      <c r="S972" t="str" cm="1">
        <f t="array" ref="S972">IFERROR(_xlfn.IFS(Table1[[#This Row],[Payment Status]]="Partial","In Transit",Table1[[#This Row],[Payment Status]]="Paid","Delivered",Table1[[#This Row],[Payment Status]]="Pending","Pending"),"Invalid Input")</f>
        <v>Pending</v>
      </c>
      <c r="T972" t="s">
        <v>27</v>
      </c>
      <c r="U972" t="str" cm="1">
        <f t="array" ref="U972">IFERROR(_xlfn.IFS(Table1[[#This Row],[Payment Status]]="Partial","In Transit",Table1[[#This Row],[Payment Status]]="Paid","Completed",Table1[[#This Row],[Payment Status]]="Pending","Pending"),"Invalid Input")</f>
        <v>Pending</v>
      </c>
    </row>
    <row r="973" spans="1:21" x14ac:dyDescent="0.25">
      <c r="A973" s="4" t="s">
        <v>1790</v>
      </c>
      <c r="B973" s="5">
        <v>45401</v>
      </c>
      <c r="C973" t="s">
        <v>41</v>
      </c>
      <c r="D973" t="s">
        <v>3269</v>
      </c>
      <c r="E973" t="s">
        <v>119</v>
      </c>
      <c r="F973" t="s">
        <v>3229</v>
      </c>
      <c r="G973" t="s">
        <v>21</v>
      </c>
      <c r="H973" t="str">
        <f>VLOOKUP(Table1[[#This Row],[City]],Table6[#All],2,FALSE)</f>
        <v>North</v>
      </c>
      <c r="I973" t="s">
        <v>3204</v>
      </c>
      <c r="J973" t="str">
        <f>_xlfn.XLOOKUP(Table1[[#This Row],[Tractor Model]],Table7[Product Model],Table7[Product Category],"Not Available",0)</f>
        <v>Kubota</v>
      </c>
      <c r="K973" s="4">
        <v>5</v>
      </c>
      <c r="L973" s="72">
        <v>96910</v>
      </c>
      <c r="M973" s="4">
        <f>INDEX('Master Sheet'!$C$4:$C$12,MATCH(Table1[[#This Row],[Quantity]],'Master Sheet'!$B$4:$B$12,0))</f>
        <v>7</v>
      </c>
      <c r="N973" s="71">
        <f>Table1[[#This Row],[Quantity]]*Table1[[#This Row],[Unit Price]]</f>
        <v>484550</v>
      </c>
      <c r="O973" s="73">
        <v>4.8454999999999998E-2</v>
      </c>
      <c r="P973" s="70">
        <f>Table1[[#This Row],[Gross Amount]]*(1-(Table1[[#This Row],[Discount %]]/100))</f>
        <v>450631.49999999994</v>
      </c>
      <c r="Q973" s="74">
        <f>(Table1[[#This Row],[Gross Amount]]*(1-(Table1[[#This Row],[Discount %]]/100)))/10000000</f>
        <v>4.5063149999999996E-2</v>
      </c>
      <c r="R973" t="s">
        <v>42</v>
      </c>
      <c r="S973" t="str" cm="1">
        <f t="array" ref="S973">IFERROR(_xlfn.IFS(Table1[[#This Row],[Payment Status]]="Partial","In Transit",Table1[[#This Row],[Payment Status]]="Paid","Delivered",Table1[[#This Row],[Payment Status]]="Pending","Pending"),"Invalid Input")</f>
        <v>Pending</v>
      </c>
      <c r="T973" t="s">
        <v>44</v>
      </c>
      <c r="U973" t="str" cm="1">
        <f t="array" ref="U973">IFERROR(_xlfn.IFS(Table1[[#This Row],[Payment Status]]="Partial","In Transit",Table1[[#This Row],[Payment Status]]="Paid","Completed",Table1[[#This Row],[Payment Status]]="Pending","Pending"),"Invalid Input")</f>
        <v>Pending</v>
      </c>
    </row>
    <row r="974" spans="1:21" x14ac:dyDescent="0.25">
      <c r="A974" s="4" t="s">
        <v>1792</v>
      </c>
      <c r="B974" s="5">
        <v>45548</v>
      </c>
      <c r="C974" t="s">
        <v>62</v>
      </c>
      <c r="D974" t="s">
        <v>37</v>
      </c>
      <c r="E974" t="s">
        <v>119</v>
      </c>
      <c r="F974" t="s">
        <v>3224</v>
      </c>
      <c r="G974" t="s">
        <v>21</v>
      </c>
      <c r="H974" t="str">
        <f>VLOOKUP(Table1[[#This Row],[City]],Table6[#All],2,FALSE)</f>
        <v>North</v>
      </c>
      <c r="I974" t="s">
        <v>3204</v>
      </c>
      <c r="J974" t="str">
        <f>_xlfn.XLOOKUP(Table1[[#This Row],[Tractor Model]],Table7[Product Model],Table7[Product Category],"Not Available",0)</f>
        <v>Kubota</v>
      </c>
      <c r="K974" s="4">
        <v>6</v>
      </c>
      <c r="L974" s="72">
        <v>77211</v>
      </c>
      <c r="M974" s="4">
        <f>INDEX('Master Sheet'!$C$4:$C$12,MATCH(Table1[[#This Row],[Quantity]],'Master Sheet'!$B$4:$B$12,0))</f>
        <v>8</v>
      </c>
      <c r="N974" s="71">
        <f>Table1[[#This Row],[Quantity]]*Table1[[#This Row],[Unit Price]]</f>
        <v>463266</v>
      </c>
      <c r="O974" s="73">
        <v>4.6326600000000002E-2</v>
      </c>
      <c r="P974" s="70">
        <f>Table1[[#This Row],[Gross Amount]]*(1-(Table1[[#This Row],[Discount %]]/100))</f>
        <v>426204.72000000003</v>
      </c>
      <c r="Q974" s="74">
        <f>(Table1[[#This Row],[Gross Amount]]*(1-(Table1[[#This Row],[Discount %]]/100)))/10000000</f>
        <v>4.2620472000000006E-2</v>
      </c>
      <c r="R974" t="s">
        <v>25</v>
      </c>
      <c r="S974" t="str" cm="1">
        <f t="array" ref="S974">IFERROR(_xlfn.IFS(Table1[[#This Row],[Payment Status]]="Partial","In Transit",Table1[[#This Row],[Payment Status]]="Paid","Delivered",Table1[[#This Row],[Payment Status]]="Pending","Pending"),"Invalid Input")</f>
        <v>In Transit</v>
      </c>
      <c r="T974" t="s">
        <v>44</v>
      </c>
      <c r="U974" t="str" cm="1">
        <f t="array" ref="U974">IFERROR(_xlfn.IFS(Table1[[#This Row],[Payment Status]]="Partial","In Transit",Table1[[#This Row],[Payment Status]]="Paid","Completed",Table1[[#This Row],[Payment Status]]="Pending","Pending"),"Invalid Input")</f>
        <v>In Transit</v>
      </c>
    </row>
    <row r="975" spans="1:21" x14ac:dyDescent="0.25">
      <c r="A975" s="4" t="s">
        <v>1793</v>
      </c>
      <c r="B975" s="5">
        <v>45701</v>
      </c>
      <c r="C975" t="s">
        <v>73</v>
      </c>
      <c r="D975" t="s">
        <v>3271</v>
      </c>
      <c r="E975" t="s">
        <v>38</v>
      </c>
      <c r="F975" t="s">
        <v>3210</v>
      </c>
      <c r="G975" t="s">
        <v>39</v>
      </c>
      <c r="H975" t="str">
        <f>VLOOKUP(Table1[[#This Row],[City]],Table6[#All],2,FALSE)</f>
        <v>West</v>
      </c>
      <c r="I975" t="s">
        <v>53</v>
      </c>
      <c r="J975" t="str">
        <f>_xlfn.XLOOKUP(Table1[[#This Row],[Tractor Model]],Table7[Product Model],Table7[Product Category],"Not Available",0)</f>
        <v>Farmtrac</v>
      </c>
      <c r="K975" s="4">
        <v>1</v>
      </c>
      <c r="L975" s="72">
        <v>852708</v>
      </c>
      <c r="M975" s="4">
        <f>INDEX('Master Sheet'!$C$4:$C$12,MATCH(Table1[[#This Row],[Quantity]],'Master Sheet'!$B$4:$B$12,0))</f>
        <v>3</v>
      </c>
      <c r="N975" s="71">
        <f>Table1[[#This Row],[Quantity]]*Table1[[#This Row],[Unit Price]]</f>
        <v>852708</v>
      </c>
      <c r="O975" s="73">
        <v>8.5270799999999994E-2</v>
      </c>
      <c r="P975" s="70">
        <f>Table1[[#This Row],[Gross Amount]]*(1-(Table1[[#This Row],[Discount %]]/100))</f>
        <v>827126.76</v>
      </c>
      <c r="Q975" s="74">
        <f>(Table1[[#This Row],[Gross Amount]]*(1-(Table1[[#This Row],[Discount %]]/100)))/10000000</f>
        <v>8.2712675999999999E-2</v>
      </c>
      <c r="R975" t="s">
        <v>42</v>
      </c>
      <c r="S975" t="str" cm="1">
        <f t="array" ref="S975">IFERROR(_xlfn.IFS(Table1[[#This Row],[Payment Status]]="Partial","In Transit",Table1[[#This Row],[Payment Status]]="Paid","Delivered",Table1[[#This Row],[Payment Status]]="Pending","Pending"),"Invalid Input")</f>
        <v>Pending</v>
      </c>
      <c r="T975" t="s">
        <v>27</v>
      </c>
      <c r="U975" t="str" cm="1">
        <f t="array" ref="U975">IFERROR(_xlfn.IFS(Table1[[#This Row],[Payment Status]]="Partial","In Transit",Table1[[#This Row],[Payment Status]]="Paid","Completed",Table1[[#This Row],[Payment Status]]="Pending","Pending"),"Invalid Input")</f>
        <v>Pending</v>
      </c>
    </row>
    <row r="976" spans="1:21" x14ac:dyDescent="0.25">
      <c r="A976" s="4" t="s">
        <v>1794</v>
      </c>
      <c r="B976" s="5">
        <v>45401</v>
      </c>
      <c r="C976" t="s">
        <v>41</v>
      </c>
      <c r="D976" t="s">
        <v>3269</v>
      </c>
      <c r="E976" t="s">
        <v>30</v>
      </c>
      <c r="F976" t="s">
        <v>3225</v>
      </c>
      <c r="G976" t="s">
        <v>31</v>
      </c>
      <c r="H976" t="str">
        <f>VLOOKUP(Table1[[#This Row],[City]],Table6[#All],2,FALSE)</f>
        <v>South</v>
      </c>
      <c r="I976" t="s">
        <v>58</v>
      </c>
      <c r="J976" t="str">
        <f>_xlfn.XLOOKUP(Table1[[#This Row],[Tractor Model]],Table7[Product Model],Table7[Product Category],"Not Available",0)</f>
        <v>Powertrac</v>
      </c>
      <c r="K976" s="4">
        <v>6</v>
      </c>
      <c r="L976" s="72">
        <v>874777</v>
      </c>
      <c r="M976" s="4">
        <f>INDEX('Master Sheet'!$C$4:$C$12,MATCH(Table1[[#This Row],[Quantity]],'Master Sheet'!$B$4:$B$12,0))</f>
        <v>8</v>
      </c>
      <c r="N976" s="71">
        <f>Table1[[#This Row],[Quantity]]*Table1[[#This Row],[Unit Price]]</f>
        <v>5248662</v>
      </c>
      <c r="O976" s="73">
        <v>0.52486619999999995</v>
      </c>
      <c r="P976" s="70">
        <f>Table1[[#This Row],[Gross Amount]]*(1-(Table1[[#This Row],[Discount %]]/100))</f>
        <v>4828769.04</v>
      </c>
      <c r="Q976" s="74">
        <f>(Table1[[#This Row],[Gross Amount]]*(1-(Table1[[#This Row],[Discount %]]/100)))/10000000</f>
        <v>0.482876904</v>
      </c>
      <c r="R976" t="s">
        <v>42</v>
      </c>
      <c r="S976" t="str" cm="1">
        <f t="array" ref="S976">IFERROR(_xlfn.IFS(Table1[[#This Row],[Payment Status]]="Partial","In Transit",Table1[[#This Row],[Payment Status]]="Paid","Delivered",Table1[[#This Row],[Payment Status]]="Pending","Pending"),"Invalid Input")</f>
        <v>Pending</v>
      </c>
      <c r="T976" t="s">
        <v>44</v>
      </c>
      <c r="U976" t="str" cm="1">
        <f t="array" ref="U976">IFERROR(_xlfn.IFS(Table1[[#This Row],[Payment Status]]="Partial","In Transit",Table1[[#This Row],[Payment Status]]="Paid","Completed",Table1[[#This Row],[Payment Status]]="Pending","Pending"),"Invalid Input")</f>
        <v>Pending</v>
      </c>
    </row>
    <row r="977" spans="1:21" x14ac:dyDescent="0.25">
      <c r="A977" s="4" t="s">
        <v>1795</v>
      </c>
      <c r="B977" s="5">
        <v>45507</v>
      </c>
      <c r="C977" t="s">
        <v>41</v>
      </c>
      <c r="D977" t="s">
        <v>3269</v>
      </c>
      <c r="E977" t="s">
        <v>38</v>
      </c>
      <c r="F977" t="s">
        <v>3206</v>
      </c>
      <c r="G977" t="s">
        <v>39</v>
      </c>
      <c r="H977" t="str">
        <f>VLOOKUP(Table1[[#This Row],[City]],Table6[#All],2,FALSE)</f>
        <v>West</v>
      </c>
      <c r="I977" t="s">
        <v>3203</v>
      </c>
      <c r="J977" t="str">
        <f>_xlfn.XLOOKUP(Table1[[#This Row],[Tractor Model]],Table7[Product Model],Table7[Product Category],"Not Available",0)</f>
        <v>Kubota</v>
      </c>
      <c r="K977" s="4">
        <v>0</v>
      </c>
      <c r="L977" s="72">
        <v>585812</v>
      </c>
      <c r="M977" s="4">
        <f>INDEX('Master Sheet'!$C$4:$C$12,MATCH(Table1[[#This Row],[Quantity]],'Master Sheet'!$B$4:$B$12,0))</f>
        <v>0</v>
      </c>
      <c r="N977" s="71">
        <f>Table1[[#This Row],[Quantity]]*Table1[[#This Row],[Unit Price]]</f>
        <v>0</v>
      </c>
      <c r="O977" s="73">
        <v>0</v>
      </c>
      <c r="P977" s="70">
        <f>Table1[[#This Row],[Gross Amount]]*(1-(Table1[[#This Row],[Discount %]]/100))</f>
        <v>0</v>
      </c>
      <c r="Q977" s="74">
        <f>(Table1[[#This Row],[Gross Amount]]*(1-(Table1[[#This Row],[Discount %]]/100)))/10000000</f>
        <v>0</v>
      </c>
      <c r="R977" t="s">
        <v>42</v>
      </c>
      <c r="S977" t="str" cm="1">
        <f t="array" ref="S977">IFERROR(_xlfn.IFS(Table1[[#This Row],[Payment Status]]="Partial","In Transit",Table1[[#This Row],[Payment Status]]="Paid","Delivered",Table1[[#This Row],[Payment Status]]="Pending","Pending"),"Invalid Input")</f>
        <v>Pending</v>
      </c>
      <c r="T977" t="s">
        <v>44</v>
      </c>
      <c r="U977" t="str" cm="1">
        <f t="array" ref="U977">IFERROR(_xlfn.IFS(Table1[[#This Row],[Payment Status]]="Partial","In Transit",Table1[[#This Row],[Payment Status]]="Paid","Completed",Table1[[#This Row],[Payment Status]]="Pending","Pending"),"Invalid Input")</f>
        <v>Pending</v>
      </c>
    </row>
    <row r="978" spans="1:21" x14ac:dyDescent="0.25">
      <c r="A978" s="4" t="s">
        <v>1797</v>
      </c>
      <c r="B978" s="5">
        <v>45603</v>
      </c>
      <c r="C978" t="s">
        <v>62</v>
      </c>
      <c r="D978" t="s">
        <v>3268</v>
      </c>
      <c r="E978" t="s">
        <v>30</v>
      </c>
      <c r="F978" t="s">
        <v>3208</v>
      </c>
      <c r="G978" t="s">
        <v>31</v>
      </c>
      <c r="H978" t="str">
        <f>VLOOKUP(Table1[[#This Row],[City]],Table6[#All],2,FALSE)</f>
        <v>South</v>
      </c>
      <c r="I978" t="s">
        <v>3203</v>
      </c>
      <c r="J978" t="str">
        <f>_xlfn.XLOOKUP(Table1[[#This Row],[Tractor Model]],Table7[Product Model],Table7[Product Category],"Not Available",0)</f>
        <v>Kubota</v>
      </c>
      <c r="K978" s="4">
        <v>4</v>
      </c>
      <c r="L978" s="72">
        <v>367092</v>
      </c>
      <c r="M978" s="4">
        <f>INDEX('Master Sheet'!$C$4:$C$12,MATCH(Table1[[#This Row],[Quantity]],'Master Sheet'!$B$4:$B$12,0))</f>
        <v>6</v>
      </c>
      <c r="N978" s="71">
        <f>Table1[[#This Row],[Quantity]]*Table1[[#This Row],[Unit Price]]</f>
        <v>1468368</v>
      </c>
      <c r="O978" s="73">
        <v>0.14683679999999999</v>
      </c>
      <c r="P978" s="70">
        <f>Table1[[#This Row],[Gross Amount]]*(1-(Table1[[#This Row],[Discount %]]/100))</f>
        <v>1380265.92</v>
      </c>
      <c r="Q978" s="74">
        <f>(Table1[[#This Row],[Gross Amount]]*(1-(Table1[[#This Row],[Discount %]]/100)))/10000000</f>
        <v>0.138026592</v>
      </c>
      <c r="R978" t="s">
        <v>42</v>
      </c>
      <c r="S978" t="str" cm="1">
        <f t="array" ref="S978">IFERROR(_xlfn.IFS(Table1[[#This Row],[Payment Status]]="Partial","In Transit",Table1[[#This Row],[Payment Status]]="Paid","Delivered",Table1[[#This Row],[Payment Status]]="Pending","Pending"),"Invalid Input")</f>
        <v>Pending</v>
      </c>
      <c r="T978" t="s">
        <v>44</v>
      </c>
      <c r="U978" t="str" cm="1">
        <f t="array" ref="U978">IFERROR(_xlfn.IFS(Table1[[#This Row],[Payment Status]]="Partial","In Transit",Table1[[#This Row],[Payment Status]]="Paid","Completed",Table1[[#This Row],[Payment Status]]="Pending","Pending"),"Invalid Input")</f>
        <v>Pending</v>
      </c>
    </row>
    <row r="979" spans="1:21" x14ac:dyDescent="0.25">
      <c r="A979" s="4" t="s">
        <v>1799</v>
      </c>
      <c r="B979" s="5">
        <v>45479</v>
      </c>
      <c r="C979" t="s">
        <v>41</v>
      </c>
      <c r="D979" t="s">
        <v>3271</v>
      </c>
      <c r="E979" t="s">
        <v>30</v>
      </c>
      <c r="F979" t="s">
        <v>3217</v>
      </c>
      <c r="G979" t="s">
        <v>31</v>
      </c>
      <c r="H979" t="str">
        <f>VLOOKUP(Table1[[#This Row],[City]],Table6[#All],2,FALSE)</f>
        <v>South</v>
      </c>
      <c r="I979" t="s">
        <v>53</v>
      </c>
      <c r="J979" t="str">
        <f>_xlfn.XLOOKUP(Table1[[#This Row],[Tractor Model]],Table7[Product Model],Table7[Product Category],"Not Available",0)</f>
        <v>Farmtrac</v>
      </c>
      <c r="K979" s="4">
        <v>6</v>
      </c>
      <c r="L979" s="72">
        <v>785241</v>
      </c>
      <c r="M979" s="4">
        <f>INDEX('Master Sheet'!$C$4:$C$12,MATCH(Table1[[#This Row],[Quantity]],'Master Sheet'!$B$4:$B$12,0))</f>
        <v>8</v>
      </c>
      <c r="N979" s="71">
        <f>Table1[[#This Row],[Quantity]]*Table1[[#This Row],[Unit Price]]</f>
        <v>4711446</v>
      </c>
      <c r="O979" s="73">
        <v>0.47114460000000002</v>
      </c>
      <c r="P979" s="70">
        <f>Table1[[#This Row],[Gross Amount]]*(1-(Table1[[#This Row],[Discount %]]/100))</f>
        <v>4334530.32</v>
      </c>
      <c r="Q979" s="74">
        <f>(Table1[[#This Row],[Gross Amount]]*(1-(Table1[[#This Row],[Discount %]]/100)))/10000000</f>
        <v>0.43345303200000002</v>
      </c>
      <c r="R979" t="s">
        <v>25</v>
      </c>
      <c r="S979" t="str" cm="1">
        <f t="array" ref="S979">IFERROR(_xlfn.IFS(Table1[[#This Row],[Payment Status]]="Partial","In Transit",Table1[[#This Row],[Payment Status]]="Paid","Delivered",Table1[[#This Row],[Payment Status]]="Pending","Pending"),"Invalid Input")</f>
        <v>In Transit</v>
      </c>
      <c r="T979" t="s">
        <v>27</v>
      </c>
      <c r="U979" t="str" cm="1">
        <f t="array" ref="U979">IFERROR(_xlfn.IFS(Table1[[#This Row],[Payment Status]]="Partial","In Transit",Table1[[#This Row],[Payment Status]]="Paid","Completed",Table1[[#This Row],[Payment Status]]="Pending","Pending"),"Invalid Input")</f>
        <v>In Transit</v>
      </c>
    </row>
    <row r="980" spans="1:21" x14ac:dyDescent="0.25">
      <c r="A980" s="4" t="s">
        <v>1801</v>
      </c>
      <c r="B980" s="5">
        <v>45674</v>
      </c>
      <c r="C980" t="s">
        <v>41</v>
      </c>
      <c r="D980" t="s">
        <v>3268</v>
      </c>
      <c r="E980" t="s">
        <v>47</v>
      </c>
      <c r="F980" t="s">
        <v>3216</v>
      </c>
      <c r="G980" t="s">
        <v>48</v>
      </c>
      <c r="H980" t="str">
        <f>VLOOKUP(Table1[[#This Row],[City]],Table6[#All],2,FALSE)</f>
        <v>North</v>
      </c>
      <c r="I980" t="s">
        <v>24</v>
      </c>
      <c r="J980" t="str">
        <f>_xlfn.XLOOKUP(Table1[[#This Row],[Tractor Model]],Table7[Product Model],Table7[Product Category],"Not Available",0)</f>
        <v>Farmtrac</v>
      </c>
      <c r="K980" s="4">
        <v>6</v>
      </c>
      <c r="L980" s="72">
        <v>65130</v>
      </c>
      <c r="M980" s="4">
        <f>INDEX('Master Sheet'!$C$4:$C$12,MATCH(Table1[[#This Row],[Quantity]],'Master Sheet'!$B$4:$B$12,0))</f>
        <v>8</v>
      </c>
      <c r="N980" s="71">
        <f>Table1[[#This Row],[Quantity]]*Table1[[#This Row],[Unit Price]]</f>
        <v>390780</v>
      </c>
      <c r="O980" s="73">
        <v>3.9078000000000002E-2</v>
      </c>
      <c r="P980" s="70">
        <f>Table1[[#This Row],[Gross Amount]]*(1-(Table1[[#This Row],[Discount %]]/100))</f>
        <v>359517.60000000003</v>
      </c>
      <c r="Q980" s="74">
        <f>(Table1[[#This Row],[Gross Amount]]*(1-(Table1[[#This Row],[Discount %]]/100)))/10000000</f>
        <v>3.5951760000000006E-2</v>
      </c>
      <c r="R980" t="s">
        <v>42</v>
      </c>
      <c r="S980" t="str" cm="1">
        <f t="array" ref="S980">IFERROR(_xlfn.IFS(Table1[[#This Row],[Payment Status]]="Partial","In Transit",Table1[[#This Row],[Payment Status]]="Paid","Delivered",Table1[[#This Row],[Payment Status]]="Pending","Pending"),"Invalid Input")</f>
        <v>Pending</v>
      </c>
      <c r="T980" t="s">
        <v>27</v>
      </c>
      <c r="U980" t="str" cm="1">
        <f t="array" ref="U980">IFERROR(_xlfn.IFS(Table1[[#This Row],[Payment Status]]="Partial","In Transit",Table1[[#This Row],[Payment Status]]="Paid","Completed",Table1[[#This Row],[Payment Status]]="Pending","Pending"),"Invalid Input")</f>
        <v>Pending</v>
      </c>
    </row>
    <row r="981" spans="1:21" x14ac:dyDescent="0.25">
      <c r="A981" s="4" t="s">
        <v>1803</v>
      </c>
      <c r="B981" s="5">
        <v>45800</v>
      </c>
      <c r="C981" t="s">
        <v>62</v>
      </c>
      <c r="D981" t="s">
        <v>37</v>
      </c>
      <c r="E981" t="s">
        <v>66</v>
      </c>
      <c r="F981" t="s">
        <v>3226</v>
      </c>
      <c r="G981" t="s">
        <v>67</v>
      </c>
      <c r="H981" t="str">
        <f>VLOOKUP(Table1[[#This Row],[City]],Table6[#All],2,FALSE)</f>
        <v>East</v>
      </c>
      <c r="I981" t="s">
        <v>3203</v>
      </c>
      <c r="J981" t="str">
        <f>_xlfn.XLOOKUP(Table1[[#This Row],[Tractor Model]],Table7[Product Model],Table7[Product Category],"Not Available",0)</f>
        <v>Kubota</v>
      </c>
      <c r="K981" s="4">
        <v>7</v>
      </c>
      <c r="L981" s="72">
        <v>878677</v>
      </c>
      <c r="M981" s="4">
        <f>INDEX('Master Sheet'!$C$4:$C$12,MATCH(Table1[[#This Row],[Quantity]],'Master Sheet'!$B$4:$B$12,0))</f>
        <v>9</v>
      </c>
      <c r="N981" s="71">
        <f>Table1[[#This Row],[Quantity]]*Table1[[#This Row],[Unit Price]]</f>
        <v>6150739</v>
      </c>
      <c r="O981" s="73">
        <v>0.61507389999999995</v>
      </c>
      <c r="P981" s="70">
        <f>Table1[[#This Row],[Gross Amount]]*(1-(Table1[[#This Row],[Discount %]]/100))</f>
        <v>5597172.4900000002</v>
      </c>
      <c r="Q981" s="74">
        <f>(Table1[[#This Row],[Gross Amount]]*(1-(Table1[[#This Row],[Discount %]]/100)))/10000000</f>
        <v>0.55971724899999997</v>
      </c>
      <c r="R981" t="s">
        <v>42</v>
      </c>
      <c r="S981" t="str" cm="1">
        <f t="array" ref="S981">IFERROR(_xlfn.IFS(Table1[[#This Row],[Payment Status]]="Partial","In Transit",Table1[[#This Row],[Payment Status]]="Paid","Delivered",Table1[[#This Row],[Payment Status]]="Pending","Pending"),"Invalid Input")</f>
        <v>Pending</v>
      </c>
      <c r="T981" t="s">
        <v>27</v>
      </c>
      <c r="U981" t="str" cm="1">
        <f t="array" ref="U981">IFERROR(_xlfn.IFS(Table1[[#This Row],[Payment Status]]="Partial","In Transit",Table1[[#This Row],[Payment Status]]="Paid","Completed",Table1[[#This Row],[Payment Status]]="Pending","Pending"),"Invalid Input")</f>
        <v>Pending</v>
      </c>
    </row>
    <row r="982" spans="1:21" x14ac:dyDescent="0.25">
      <c r="A982" s="4" t="s">
        <v>1805</v>
      </c>
      <c r="B982" s="5">
        <v>45438</v>
      </c>
      <c r="C982" t="s">
        <v>33</v>
      </c>
      <c r="D982" t="s">
        <v>3270</v>
      </c>
      <c r="E982" t="s">
        <v>66</v>
      </c>
      <c r="F982" t="s">
        <v>3220</v>
      </c>
      <c r="G982" t="s">
        <v>67</v>
      </c>
      <c r="H982" t="str">
        <f>VLOOKUP(Table1[[#This Row],[City]],Table6[#All],2,FALSE)</f>
        <v>East</v>
      </c>
      <c r="I982" t="s">
        <v>58</v>
      </c>
      <c r="J982" t="str">
        <f>_xlfn.XLOOKUP(Table1[[#This Row],[Tractor Model]],Table7[Product Model],Table7[Product Category],"Not Available",0)</f>
        <v>Powertrac</v>
      </c>
      <c r="K982" s="4">
        <v>3</v>
      </c>
      <c r="L982" s="72">
        <v>706826</v>
      </c>
      <c r="M982" s="4">
        <f>INDEX('Master Sheet'!$C$4:$C$12,MATCH(Table1[[#This Row],[Quantity]],'Master Sheet'!$B$4:$B$12,0))</f>
        <v>6</v>
      </c>
      <c r="N982" s="71">
        <f>Table1[[#This Row],[Quantity]]*Table1[[#This Row],[Unit Price]]</f>
        <v>2120478</v>
      </c>
      <c r="O982" s="73">
        <v>0.21204780000000001</v>
      </c>
      <c r="P982" s="70">
        <f>Table1[[#This Row],[Gross Amount]]*(1-(Table1[[#This Row],[Discount %]]/100))</f>
        <v>1993249.3199999998</v>
      </c>
      <c r="Q982" s="74">
        <f>(Table1[[#This Row],[Gross Amount]]*(1-(Table1[[#This Row],[Discount %]]/100)))/10000000</f>
        <v>0.19932493199999998</v>
      </c>
      <c r="R982" t="s">
        <v>25</v>
      </c>
      <c r="S982" t="str" cm="1">
        <f t="array" ref="S982">IFERROR(_xlfn.IFS(Table1[[#This Row],[Payment Status]]="Partial","In Transit",Table1[[#This Row],[Payment Status]]="Paid","Delivered",Table1[[#This Row],[Payment Status]]="Pending","Pending"),"Invalid Input")</f>
        <v>In Transit</v>
      </c>
      <c r="T982" t="s">
        <v>27</v>
      </c>
      <c r="U982" t="str" cm="1">
        <f t="array" ref="U982">IFERROR(_xlfn.IFS(Table1[[#This Row],[Payment Status]]="Partial","In Transit",Table1[[#This Row],[Payment Status]]="Paid","Completed",Table1[[#This Row],[Payment Status]]="Pending","Pending"),"Invalid Input")</f>
        <v>In Transit</v>
      </c>
    </row>
    <row r="983" spans="1:21" x14ac:dyDescent="0.25">
      <c r="A983" s="4" t="s">
        <v>1806</v>
      </c>
      <c r="B983" s="5">
        <v>45657</v>
      </c>
      <c r="C983" t="s">
        <v>41</v>
      </c>
      <c r="D983" t="s">
        <v>3270</v>
      </c>
      <c r="E983" t="s">
        <v>119</v>
      </c>
      <c r="F983" t="s">
        <v>3212</v>
      </c>
      <c r="G983" t="s">
        <v>21</v>
      </c>
      <c r="H983" t="str">
        <f>VLOOKUP(Table1[[#This Row],[City]],Table6[#All],2,FALSE)</f>
        <v>North</v>
      </c>
      <c r="I983" t="s">
        <v>58</v>
      </c>
      <c r="J983" t="str">
        <f>_xlfn.XLOOKUP(Table1[[#This Row],[Tractor Model]],Table7[Product Model],Table7[Product Category],"Not Available",0)</f>
        <v>Powertrac</v>
      </c>
      <c r="K983" s="4">
        <v>3</v>
      </c>
      <c r="L983" s="72">
        <v>133714</v>
      </c>
      <c r="M983" s="4">
        <f>INDEX('Master Sheet'!$C$4:$C$12,MATCH(Table1[[#This Row],[Quantity]],'Master Sheet'!$B$4:$B$12,0))</f>
        <v>6</v>
      </c>
      <c r="N983" s="71">
        <f>Table1[[#This Row],[Quantity]]*Table1[[#This Row],[Unit Price]]</f>
        <v>401142</v>
      </c>
      <c r="O983" s="73">
        <v>4.0114200000000003E-2</v>
      </c>
      <c r="P983" s="70">
        <f>Table1[[#This Row],[Gross Amount]]*(1-(Table1[[#This Row],[Discount %]]/100))</f>
        <v>377073.48</v>
      </c>
      <c r="Q983" s="74">
        <f>(Table1[[#This Row],[Gross Amount]]*(1-(Table1[[#This Row],[Discount %]]/100)))/10000000</f>
        <v>3.7707347999999995E-2</v>
      </c>
      <c r="R983" t="s">
        <v>42</v>
      </c>
      <c r="S983" t="str" cm="1">
        <f t="array" ref="S983">IFERROR(_xlfn.IFS(Table1[[#This Row],[Payment Status]]="Partial","In Transit",Table1[[#This Row],[Payment Status]]="Paid","Delivered",Table1[[#This Row],[Payment Status]]="Pending","Pending"),"Invalid Input")</f>
        <v>Pending</v>
      </c>
      <c r="T983" t="s">
        <v>44</v>
      </c>
      <c r="U983" t="str" cm="1">
        <f t="array" ref="U983">IFERROR(_xlfn.IFS(Table1[[#This Row],[Payment Status]]="Partial","In Transit",Table1[[#This Row],[Payment Status]]="Paid","Completed",Table1[[#This Row],[Payment Status]]="Pending","Pending"),"Invalid Input")</f>
        <v>Pending</v>
      </c>
    </row>
    <row r="984" spans="1:21" x14ac:dyDescent="0.25">
      <c r="A984" s="4" t="s">
        <v>1807</v>
      </c>
      <c r="B984" s="5">
        <v>45688</v>
      </c>
      <c r="C984" t="s">
        <v>52</v>
      </c>
      <c r="D984" t="s">
        <v>3270</v>
      </c>
      <c r="E984" t="s">
        <v>119</v>
      </c>
      <c r="F984" t="s">
        <v>3212</v>
      </c>
      <c r="G984" t="s">
        <v>21</v>
      </c>
      <c r="H984" t="str">
        <f>VLOOKUP(Table1[[#This Row],[City]],Table6[#All],2,FALSE)</f>
        <v>North</v>
      </c>
      <c r="I984" t="s">
        <v>24</v>
      </c>
      <c r="J984" t="str">
        <f>_xlfn.XLOOKUP(Table1[[#This Row],[Tractor Model]],Table7[Product Model],Table7[Product Category],"Not Available",0)</f>
        <v>Farmtrac</v>
      </c>
      <c r="K984" s="4">
        <v>4</v>
      </c>
      <c r="L984" s="72">
        <v>424457</v>
      </c>
      <c r="M984" s="4">
        <f>INDEX('Master Sheet'!$C$4:$C$12,MATCH(Table1[[#This Row],[Quantity]],'Master Sheet'!$B$4:$B$12,0))</f>
        <v>6</v>
      </c>
      <c r="N984" s="71">
        <f>Table1[[#This Row],[Quantity]]*Table1[[#This Row],[Unit Price]]</f>
        <v>1697828</v>
      </c>
      <c r="O984" s="73">
        <v>0.16978280000000001</v>
      </c>
      <c r="P984" s="70">
        <f>Table1[[#This Row],[Gross Amount]]*(1-(Table1[[#This Row],[Discount %]]/100))</f>
        <v>1595958.3199999998</v>
      </c>
      <c r="Q984" s="74">
        <f>(Table1[[#This Row],[Gross Amount]]*(1-(Table1[[#This Row],[Discount %]]/100)))/10000000</f>
        <v>0.15959583199999999</v>
      </c>
      <c r="R984" t="s">
        <v>42</v>
      </c>
      <c r="S984" t="str" cm="1">
        <f t="array" ref="S984">IFERROR(_xlfn.IFS(Table1[[#This Row],[Payment Status]]="Partial","In Transit",Table1[[#This Row],[Payment Status]]="Paid","Delivered",Table1[[#This Row],[Payment Status]]="Pending","Pending"),"Invalid Input")</f>
        <v>Pending</v>
      </c>
      <c r="T984" t="s">
        <v>44</v>
      </c>
      <c r="U984" t="str" cm="1">
        <f t="array" ref="U984">IFERROR(_xlfn.IFS(Table1[[#This Row],[Payment Status]]="Partial","In Transit",Table1[[#This Row],[Payment Status]]="Paid","Completed",Table1[[#This Row],[Payment Status]]="Pending","Pending"),"Invalid Input")</f>
        <v>Pending</v>
      </c>
    </row>
    <row r="985" spans="1:21" x14ac:dyDescent="0.25">
      <c r="A985" s="4" t="s">
        <v>1809</v>
      </c>
      <c r="B985" s="5">
        <v>45300</v>
      </c>
      <c r="C985" t="s">
        <v>73</v>
      </c>
      <c r="D985" t="s">
        <v>3268</v>
      </c>
      <c r="E985" t="s">
        <v>119</v>
      </c>
      <c r="F985" t="s">
        <v>3227</v>
      </c>
      <c r="G985" t="s">
        <v>21</v>
      </c>
      <c r="H985" t="str">
        <f>VLOOKUP(Table1[[#This Row],[City]],Table6[#All],2,FALSE)</f>
        <v>North</v>
      </c>
      <c r="I985" t="s">
        <v>58</v>
      </c>
      <c r="J985" t="str">
        <f>_xlfn.XLOOKUP(Table1[[#This Row],[Tractor Model]],Table7[Product Model],Table7[Product Category],"Not Available",0)</f>
        <v>Powertrac</v>
      </c>
      <c r="K985" s="4">
        <v>3</v>
      </c>
      <c r="L985" s="72">
        <v>100647</v>
      </c>
      <c r="M985" s="4">
        <f>INDEX('Master Sheet'!$C$4:$C$12,MATCH(Table1[[#This Row],[Quantity]],'Master Sheet'!$B$4:$B$12,0))</f>
        <v>6</v>
      </c>
      <c r="N985" s="71">
        <f>Table1[[#This Row],[Quantity]]*Table1[[#This Row],[Unit Price]]</f>
        <v>301941</v>
      </c>
      <c r="O985" s="73">
        <v>3.0194100000000001E-2</v>
      </c>
      <c r="P985" s="70">
        <f>Table1[[#This Row],[Gross Amount]]*(1-(Table1[[#This Row],[Discount %]]/100))</f>
        <v>283824.53999999998</v>
      </c>
      <c r="Q985" s="74">
        <f>(Table1[[#This Row],[Gross Amount]]*(1-(Table1[[#This Row],[Discount %]]/100)))/10000000</f>
        <v>2.8382453999999998E-2</v>
      </c>
      <c r="R985" t="s">
        <v>25</v>
      </c>
      <c r="S985" t="str" cm="1">
        <f t="array" ref="S985">IFERROR(_xlfn.IFS(Table1[[#This Row],[Payment Status]]="Partial","In Transit",Table1[[#This Row],[Payment Status]]="Paid","Delivered",Table1[[#This Row],[Payment Status]]="Pending","Pending"),"Invalid Input")</f>
        <v>In Transit</v>
      </c>
      <c r="T985" t="s">
        <v>44</v>
      </c>
      <c r="U985" t="str" cm="1">
        <f t="array" ref="U985">IFERROR(_xlfn.IFS(Table1[[#This Row],[Payment Status]]="Partial","In Transit",Table1[[#This Row],[Payment Status]]="Paid","Completed",Table1[[#This Row],[Payment Status]]="Pending","Pending"),"Invalid Input")</f>
        <v>In Transit</v>
      </c>
    </row>
    <row r="986" spans="1:21" x14ac:dyDescent="0.25">
      <c r="A986" s="4" t="s">
        <v>1811</v>
      </c>
      <c r="B986" s="5">
        <v>45638</v>
      </c>
      <c r="C986" t="s">
        <v>73</v>
      </c>
      <c r="D986" t="s">
        <v>3271</v>
      </c>
      <c r="E986" t="s">
        <v>38</v>
      </c>
      <c r="F986" t="s">
        <v>3210</v>
      </c>
      <c r="G986" t="s">
        <v>39</v>
      </c>
      <c r="H986" t="str">
        <f>VLOOKUP(Table1[[#This Row],[City]],Table6[#All],2,FALSE)</f>
        <v>West</v>
      </c>
      <c r="I986" t="s">
        <v>53</v>
      </c>
      <c r="J986" t="str">
        <f>_xlfn.XLOOKUP(Table1[[#This Row],[Tractor Model]],Table7[Product Model],Table7[Product Category],"Not Available",0)</f>
        <v>Farmtrac</v>
      </c>
      <c r="K986" s="4">
        <v>0</v>
      </c>
      <c r="L986" s="72">
        <v>879748</v>
      </c>
      <c r="M986" s="4">
        <f>INDEX('Master Sheet'!$C$4:$C$12,MATCH(Table1[[#This Row],[Quantity]],'Master Sheet'!$B$4:$B$12,0))</f>
        <v>0</v>
      </c>
      <c r="N986" s="71">
        <f>Table1[[#This Row],[Quantity]]*Table1[[#This Row],[Unit Price]]</f>
        <v>0</v>
      </c>
      <c r="O986" s="73">
        <v>0</v>
      </c>
      <c r="P986" s="70">
        <f>Table1[[#This Row],[Gross Amount]]*(1-(Table1[[#This Row],[Discount %]]/100))</f>
        <v>0</v>
      </c>
      <c r="Q986" s="74">
        <f>(Table1[[#This Row],[Gross Amount]]*(1-(Table1[[#This Row],[Discount %]]/100)))/10000000</f>
        <v>0</v>
      </c>
      <c r="R986" t="s">
        <v>25</v>
      </c>
      <c r="S986" t="str" cm="1">
        <f t="array" ref="S986">IFERROR(_xlfn.IFS(Table1[[#This Row],[Payment Status]]="Partial","In Transit",Table1[[#This Row],[Payment Status]]="Paid","Delivered",Table1[[#This Row],[Payment Status]]="Pending","Pending"),"Invalid Input")</f>
        <v>In Transit</v>
      </c>
      <c r="T986" t="s">
        <v>27</v>
      </c>
      <c r="U986" t="str" cm="1">
        <f t="array" ref="U986">IFERROR(_xlfn.IFS(Table1[[#This Row],[Payment Status]]="Partial","In Transit",Table1[[#This Row],[Payment Status]]="Paid","Completed",Table1[[#This Row],[Payment Status]]="Pending","Pending"),"Invalid Input")</f>
        <v>In Transit</v>
      </c>
    </row>
    <row r="987" spans="1:21" x14ac:dyDescent="0.25">
      <c r="A987" s="4" t="s">
        <v>1813</v>
      </c>
      <c r="B987" s="5">
        <v>45368</v>
      </c>
      <c r="C987" t="s">
        <v>33</v>
      </c>
      <c r="D987" t="s">
        <v>3270</v>
      </c>
      <c r="E987" t="s">
        <v>66</v>
      </c>
      <c r="F987" t="s">
        <v>3220</v>
      </c>
      <c r="G987" t="s">
        <v>67</v>
      </c>
      <c r="H987" t="str">
        <f>VLOOKUP(Table1[[#This Row],[City]],Table6[#All],2,FALSE)</f>
        <v>East</v>
      </c>
      <c r="I987" t="s">
        <v>53</v>
      </c>
      <c r="J987" t="str">
        <f>_xlfn.XLOOKUP(Table1[[#This Row],[Tractor Model]],Table7[Product Model],Table7[Product Category],"Not Available",0)</f>
        <v>Farmtrac</v>
      </c>
      <c r="K987" s="4">
        <v>6</v>
      </c>
      <c r="L987" s="72">
        <v>368363</v>
      </c>
      <c r="M987" s="4">
        <f>INDEX('Master Sheet'!$C$4:$C$12,MATCH(Table1[[#This Row],[Quantity]],'Master Sheet'!$B$4:$B$12,0))</f>
        <v>8</v>
      </c>
      <c r="N987" s="71">
        <f>Table1[[#This Row],[Quantity]]*Table1[[#This Row],[Unit Price]]</f>
        <v>2210178</v>
      </c>
      <c r="O987" s="73">
        <v>0.22101779999999999</v>
      </c>
      <c r="P987" s="70">
        <f>Table1[[#This Row],[Gross Amount]]*(1-(Table1[[#This Row],[Discount %]]/100))</f>
        <v>2033363.76</v>
      </c>
      <c r="Q987" s="74">
        <f>(Table1[[#This Row],[Gross Amount]]*(1-(Table1[[#This Row],[Discount %]]/100)))/10000000</f>
        <v>0.20333637600000001</v>
      </c>
      <c r="R987" t="s">
        <v>25</v>
      </c>
      <c r="S987" t="str" cm="1">
        <f t="array" ref="S987">IFERROR(_xlfn.IFS(Table1[[#This Row],[Payment Status]]="Partial","In Transit",Table1[[#This Row],[Payment Status]]="Paid","Delivered",Table1[[#This Row],[Payment Status]]="Pending","Pending"),"Invalid Input")</f>
        <v>In Transit</v>
      </c>
      <c r="T987" t="s">
        <v>44</v>
      </c>
      <c r="U987" t="str" cm="1">
        <f t="array" ref="U987">IFERROR(_xlfn.IFS(Table1[[#This Row],[Payment Status]]="Partial","In Transit",Table1[[#This Row],[Payment Status]]="Paid","Completed",Table1[[#This Row],[Payment Status]]="Pending","Pending"),"Invalid Input")</f>
        <v>In Transit</v>
      </c>
    </row>
    <row r="988" spans="1:21" x14ac:dyDescent="0.25">
      <c r="A988" s="4" t="s">
        <v>1814</v>
      </c>
      <c r="B988" s="5">
        <v>45364</v>
      </c>
      <c r="C988" t="s">
        <v>33</v>
      </c>
      <c r="D988" t="s">
        <v>37</v>
      </c>
      <c r="E988" t="s">
        <v>47</v>
      </c>
      <c r="F988" t="s">
        <v>3215</v>
      </c>
      <c r="G988" t="s">
        <v>48</v>
      </c>
      <c r="H988" t="str">
        <f>VLOOKUP(Table1[[#This Row],[City]],Table6[#All],2,FALSE)</f>
        <v>North</v>
      </c>
      <c r="I988" t="s">
        <v>3204</v>
      </c>
      <c r="J988" t="str">
        <f>_xlfn.XLOOKUP(Table1[[#This Row],[Tractor Model]],Table7[Product Model],Table7[Product Category],"Not Available",0)</f>
        <v>Kubota</v>
      </c>
      <c r="K988" s="4">
        <v>5</v>
      </c>
      <c r="L988" s="72">
        <v>197813</v>
      </c>
      <c r="M988" s="4">
        <f>INDEX('Master Sheet'!$C$4:$C$12,MATCH(Table1[[#This Row],[Quantity]],'Master Sheet'!$B$4:$B$12,0))</f>
        <v>7</v>
      </c>
      <c r="N988" s="71">
        <f>Table1[[#This Row],[Quantity]]*Table1[[#This Row],[Unit Price]]</f>
        <v>989065</v>
      </c>
      <c r="O988" s="73">
        <v>9.8906499999999994E-2</v>
      </c>
      <c r="P988" s="70">
        <f>Table1[[#This Row],[Gross Amount]]*(1-(Table1[[#This Row],[Discount %]]/100))</f>
        <v>919830.45</v>
      </c>
      <c r="Q988" s="74">
        <f>(Table1[[#This Row],[Gross Amount]]*(1-(Table1[[#This Row],[Discount %]]/100)))/10000000</f>
        <v>9.1983044999999999E-2</v>
      </c>
      <c r="R988" t="s">
        <v>42</v>
      </c>
      <c r="S988" t="str" cm="1">
        <f t="array" ref="S988">IFERROR(_xlfn.IFS(Table1[[#This Row],[Payment Status]]="Partial","In Transit",Table1[[#This Row],[Payment Status]]="Paid","Delivered",Table1[[#This Row],[Payment Status]]="Pending","Pending"),"Invalid Input")</f>
        <v>Pending</v>
      </c>
      <c r="T988" t="s">
        <v>44</v>
      </c>
      <c r="U988" t="str" cm="1">
        <f t="array" ref="U988">IFERROR(_xlfn.IFS(Table1[[#This Row],[Payment Status]]="Partial","In Transit",Table1[[#This Row],[Payment Status]]="Paid","Completed",Table1[[#This Row],[Payment Status]]="Pending","Pending"),"Invalid Input")</f>
        <v>Pending</v>
      </c>
    </row>
    <row r="989" spans="1:21" x14ac:dyDescent="0.25">
      <c r="A989" s="4" t="s">
        <v>1816</v>
      </c>
      <c r="B989" s="5">
        <v>45568</v>
      </c>
      <c r="C989" t="s">
        <v>33</v>
      </c>
      <c r="D989" t="s">
        <v>37</v>
      </c>
      <c r="E989" t="s">
        <v>47</v>
      </c>
      <c r="F989" t="s">
        <v>3215</v>
      </c>
      <c r="G989" t="s">
        <v>48</v>
      </c>
      <c r="H989" t="str">
        <f>VLOOKUP(Table1[[#This Row],[City]],Table6[#All],2,FALSE)</f>
        <v>North</v>
      </c>
      <c r="I989" t="s">
        <v>3204</v>
      </c>
      <c r="J989" t="str">
        <f>_xlfn.XLOOKUP(Table1[[#This Row],[Tractor Model]],Table7[Product Model],Table7[Product Category],"Not Available",0)</f>
        <v>Kubota</v>
      </c>
      <c r="K989" s="4">
        <v>5</v>
      </c>
      <c r="L989" s="72">
        <v>209106</v>
      </c>
      <c r="M989" s="4">
        <f>INDEX('Master Sheet'!$C$4:$C$12,MATCH(Table1[[#This Row],[Quantity]],'Master Sheet'!$B$4:$B$12,0))</f>
        <v>7</v>
      </c>
      <c r="N989" s="71">
        <f>Table1[[#This Row],[Quantity]]*Table1[[#This Row],[Unit Price]]</f>
        <v>1045530</v>
      </c>
      <c r="O989" s="73">
        <v>0.10455299999999999</v>
      </c>
      <c r="P989" s="70">
        <f>Table1[[#This Row],[Gross Amount]]*(1-(Table1[[#This Row],[Discount %]]/100))</f>
        <v>972342.89999999991</v>
      </c>
      <c r="Q989" s="74">
        <f>(Table1[[#This Row],[Gross Amount]]*(1-(Table1[[#This Row],[Discount %]]/100)))/10000000</f>
        <v>9.7234289999999987E-2</v>
      </c>
      <c r="R989" t="s">
        <v>42</v>
      </c>
      <c r="S989" t="str" cm="1">
        <f t="array" ref="S989">IFERROR(_xlfn.IFS(Table1[[#This Row],[Payment Status]]="Partial","In Transit",Table1[[#This Row],[Payment Status]]="Paid","Delivered",Table1[[#This Row],[Payment Status]]="Pending","Pending"),"Invalid Input")</f>
        <v>Pending</v>
      </c>
      <c r="T989" t="s">
        <v>27</v>
      </c>
      <c r="U989" t="str" cm="1">
        <f t="array" ref="U989">IFERROR(_xlfn.IFS(Table1[[#This Row],[Payment Status]]="Partial","In Transit",Table1[[#This Row],[Payment Status]]="Paid","Completed",Table1[[#This Row],[Payment Status]]="Pending","Pending"),"Invalid Input")</f>
        <v>Pending</v>
      </c>
    </row>
    <row r="990" spans="1:21" x14ac:dyDescent="0.25">
      <c r="A990" s="4" t="s">
        <v>1817</v>
      </c>
      <c r="B990" s="5">
        <v>45689</v>
      </c>
      <c r="C990" t="s">
        <v>73</v>
      </c>
      <c r="D990" t="s">
        <v>3271</v>
      </c>
      <c r="E990" t="s">
        <v>119</v>
      </c>
      <c r="F990" t="s">
        <v>3228</v>
      </c>
      <c r="G990" t="s">
        <v>21</v>
      </c>
      <c r="H990" t="str">
        <f>VLOOKUP(Table1[[#This Row],[City]],Table6[#All],2,FALSE)</f>
        <v>North</v>
      </c>
      <c r="I990" t="s">
        <v>3203</v>
      </c>
      <c r="J990" t="str">
        <f>_xlfn.XLOOKUP(Table1[[#This Row],[Tractor Model]],Table7[Product Model],Table7[Product Category],"Not Available",0)</f>
        <v>Kubota</v>
      </c>
      <c r="K990" s="4">
        <v>5</v>
      </c>
      <c r="L990" s="72">
        <v>625007</v>
      </c>
      <c r="M990" s="4">
        <f>INDEX('Master Sheet'!$C$4:$C$12,MATCH(Table1[[#This Row],[Quantity]],'Master Sheet'!$B$4:$B$12,0))</f>
        <v>7</v>
      </c>
      <c r="N990" s="71">
        <f>Table1[[#This Row],[Quantity]]*Table1[[#This Row],[Unit Price]]</f>
        <v>3125035</v>
      </c>
      <c r="O990" s="73">
        <v>0.31250349999999999</v>
      </c>
      <c r="P990" s="70">
        <f>Table1[[#This Row],[Gross Amount]]*(1-(Table1[[#This Row],[Discount %]]/100))</f>
        <v>2906282.55</v>
      </c>
      <c r="Q990" s="74">
        <f>(Table1[[#This Row],[Gross Amount]]*(1-(Table1[[#This Row],[Discount %]]/100)))/10000000</f>
        <v>0.290628255</v>
      </c>
      <c r="R990" t="s">
        <v>42</v>
      </c>
      <c r="S990" t="str" cm="1">
        <f t="array" ref="S990">IFERROR(_xlfn.IFS(Table1[[#This Row],[Payment Status]]="Partial","In Transit",Table1[[#This Row],[Payment Status]]="Paid","Delivered",Table1[[#This Row],[Payment Status]]="Pending","Pending"),"Invalid Input")</f>
        <v>Pending</v>
      </c>
      <c r="T990" t="s">
        <v>44</v>
      </c>
      <c r="U990" t="str" cm="1">
        <f t="array" ref="U990">IFERROR(_xlfn.IFS(Table1[[#This Row],[Payment Status]]="Partial","In Transit",Table1[[#This Row],[Payment Status]]="Paid","Completed",Table1[[#This Row],[Payment Status]]="Pending","Pending"),"Invalid Input")</f>
        <v>Pending</v>
      </c>
    </row>
    <row r="991" spans="1:21" x14ac:dyDescent="0.25">
      <c r="A991" s="4" t="s">
        <v>1818</v>
      </c>
      <c r="B991" s="5">
        <v>45419</v>
      </c>
      <c r="C991" t="s">
        <v>52</v>
      </c>
      <c r="D991" t="s">
        <v>3271</v>
      </c>
      <c r="E991" t="s">
        <v>119</v>
      </c>
      <c r="F991" t="s">
        <v>3228</v>
      </c>
      <c r="G991" t="s">
        <v>21</v>
      </c>
      <c r="H991" t="str">
        <f>VLOOKUP(Table1[[#This Row],[City]],Table6[#All],2,FALSE)</f>
        <v>North</v>
      </c>
      <c r="I991" t="s">
        <v>58</v>
      </c>
      <c r="J991" t="str">
        <f>_xlfn.XLOOKUP(Table1[[#This Row],[Tractor Model]],Table7[Product Model],Table7[Product Category],"Not Available",0)</f>
        <v>Powertrac</v>
      </c>
      <c r="K991" s="4">
        <v>8</v>
      </c>
      <c r="L991" s="72">
        <v>841613</v>
      </c>
      <c r="M991" s="4">
        <f>INDEX('Master Sheet'!$C$4:$C$12,MATCH(Table1[[#This Row],[Quantity]],'Master Sheet'!$B$4:$B$12,0))</f>
        <v>9</v>
      </c>
      <c r="N991" s="71">
        <f>Table1[[#This Row],[Quantity]]*Table1[[#This Row],[Unit Price]]</f>
        <v>6732904</v>
      </c>
      <c r="O991" s="73">
        <v>0.67329039999999996</v>
      </c>
      <c r="P991" s="70">
        <f>Table1[[#This Row],[Gross Amount]]*(1-(Table1[[#This Row],[Discount %]]/100))</f>
        <v>6126942.6400000006</v>
      </c>
      <c r="Q991" s="74">
        <f>(Table1[[#This Row],[Gross Amount]]*(1-(Table1[[#This Row],[Discount %]]/100)))/10000000</f>
        <v>0.61269426400000004</v>
      </c>
      <c r="R991" t="s">
        <v>25</v>
      </c>
      <c r="S991" t="str" cm="1">
        <f t="array" ref="S991">IFERROR(_xlfn.IFS(Table1[[#This Row],[Payment Status]]="Partial","In Transit",Table1[[#This Row],[Payment Status]]="Paid","Delivered",Table1[[#This Row],[Payment Status]]="Pending","Pending"),"Invalid Input")</f>
        <v>In Transit</v>
      </c>
      <c r="T991" t="s">
        <v>27</v>
      </c>
      <c r="U991" t="str" cm="1">
        <f t="array" ref="U991">IFERROR(_xlfn.IFS(Table1[[#This Row],[Payment Status]]="Partial","In Transit",Table1[[#This Row],[Payment Status]]="Paid","Completed",Table1[[#This Row],[Payment Status]]="Pending","Pending"),"Invalid Input")</f>
        <v>In Transit</v>
      </c>
    </row>
    <row r="992" spans="1:21" x14ac:dyDescent="0.25">
      <c r="A992" s="4" t="s">
        <v>1820</v>
      </c>
      <c r="B992" s="5">
        <v>45658</v>
      </c>
      <c r="C992" t="s">
        <v>33</v>
      </c>
      <c r="D992" t="s">
        <v>3269</v>
      </c>
      <c r="E992" t="s">
        <v>38</v>
      </c>
      <c r="F992" t="s">
        <v>3206</v>
      </c>
      <c r="G992" t="s">
        <v>39</v>
      </c>
      <c r="H992" t="str">
        <f>VLOOKUP(Table1[[#This Row],[City]],Table6[#All],2,FALSE)</f>
        <v>West</v>
      </c>
      <c r="I992" t="s">
        <v>24</v>
      </c>
      <c r="J992" t="str">
        <f>_xlfn.XLOOKUP(Table1[[#This Row],[Tractor Model]],Table7[Product Model],Table7[Product Category],"Not Available",0)</f>
        <v>Farmtrac</v>
      </c>
      <c r="K992" s="4">
        <v>8</v>
      </c>
      <c r="L992" s="72">
        <v>62933</v>
      </c>
      <c r="M992" s="4">
        <f>INDEX('Master Sheet'!$C$4:$C$12,MATCH(Table1[[#This Row],[Quantity]],'Master Sheet'!$B$4:$B$12,0))</f>
        <v>9</v>
      </c>
      <c r="N992" s="71">
        <f>Table1[[#This Row],[Quantity]]*Table1[[#This Row],[Unit Price]]</f>
        <v>503464</v>
      </c>
      <c r="O992" s="73">
        <v>5.0346399999999999E-2</v>
      </c>
      <c r="P992" s="70">
        <f>Table1[[#This Row],[Gross Amount]]*(1-(Table1[[#This Row],[Discount %]]/100))</f>
        <v>458152.24</v>
      </c>
      <c r="Q992" s="74">
        <f>(Table1[[#This Row],[Gross Amount]]*(1-(Table1[[#This Row],[Discount %]]/100)))/10000000</f>
        <v>4.5815224000000002E-2</v>
      </c>
      <c r="R992" t="s">
        <v>25</v>
      </c>
      <c r="S992" t="str" cm="1">
        <f t="array" ref="S992">IFERROR(_xlfn.IFS(Table1[[#This Row],[Payment Status]]="Partial","In Transit",Table1[[#This Row],[Payment Status]]="Paid","Delivered",Table1[[#This Row],[Payment Status]]="Pending","Pending"),"Invalid Input")</f>
        <v>In Transit</v>
      </c>
      <c r="T992" t="s">
        <v>44</v>
      </c>
      <c r="U992" t="str" cm="1">
        <f t="array" ref="U992">IFERROR(_xlfn.IFS(Table1[[#This Row],[Payment Status]]="Partial","In Transit",Table1[[#This Row],[Payment Status]]="Paid","Completed",Table1[[#This Row],[Payment Status]]="Pending","Pending"),"Invalid Input")</f>
        <v>In Transit</v>
      </c>
    </row>
    <row r="993" spans="1:21" x14ac:dyDescent="0.25">
      <c r="A993" s="4" t="s">
        <v>1821</v>
      </c>
      <c r="B993" s="5">
        <v>45442</v>
      </c>
      <c r="C993" t="s">
        <v>33</v>
      </c>
      <c r="D993" t="s">
        <v>3269</v>
      </c>
      <c r="E993" t="s">
        <v>66</v>
      </c>
      <c r="F993" t="s">
        <v>3213</v>
      </c>
      <c r="G993" t="s">
        <v>67</v>
      </c>
      <c r="H993" t="str">
        <f>VLOOKUP(Table1[[#This Row],[City]],Table6[#All],2,FALSE)</f>
        <v>East</v>
      </c>
      <c r="I993" t="s">
        <v>3204</v>
      </c>
      <c r="J993" t="str">
        <f>_xlfn.XLOOKUP(Table1[[#This Row],[Tractor Model]],Table7[Product Model],Table7[Product Category],"Not Available",0)</f>
        <v>Kubota</v>
      </c>
      <c r="K993" s="4">
        <v>3</v>
      </c>
      <c r="L993" s="72">
        <v>490251</v>
      </c>
      <c r="M993" s="4">
        <f>INDEX('Master Sheet'!$C$4:$C$12,MATCH(Table1[[#This Row],[Quantity]],'Master Sheet'!$B$4:$B$12,0))</f>
        <v>6</v>
      </c>
      <c r="N993" s="71">
        <f>Table1[[#This Row],[Quantity]]*Table1[[#This Row],[Unit Price]]</f>
        <v>1470753</v>
      </c>
      <c r="O993" s="73">
        <v>0.14707529999999999</v>
      </c>
      <c r="P993" s="70">
        <f>Table1[[#This Row],[Gross Amount]]*(1-(Table1[[#This Row],[Discount %]]/100))</f>
        <v>1382507.8199999998</v>
      </c>
      <c r="Q993" s="74">
        <f>(Table1[[#This Row],[Gross Amount]]*(1-(Table1[[#This Row],[Discount %]]/100)))/10000000</f>
        <v>0.13825078199999999</v>
      </c>
      <c r="R993" t="s">
        <v>54</v>
      </c>
      <c r="S993" t="str" cm="1">
        <f t="array" ref="S993">IFERROR(_xlfn.IFS(Table1[[#This Row],[Payment Status]]="Partial","In Transit",Table1[[#This Row],[Payment Status]]="Paid","Delivered",Table1[[#This Row],[Payment Status]]="Pending","Pending"),"Invalid Input")</f>
        <v>Delivered</v>
      </c>
      <c r="T993" t="s">
        <v>27</v>
      </c>
      <c r="U993" t="str" cm="1">
        <f t="array" ref="U993">IFERROR(_xlfn.IFS(Table1[[#This Row],[Payment Status]]="Partial","In Transit",Table1[[#This Row],[Payment Status]]="Paid","Completed",Table1[[#This Row],[Payment Status]]="Pending","Pending"),"Invalid Input")</f>
        <v>Completed</v>
      </c>
    </row>
    <row r="994" spans="1:21" x14ac:dyDescent="0.25">
      <c r="A994" s="4" t="s">
        <v>1822</v>
      </c>
      <c r="B994" s="5">
        <v>45559</v>
      </c>
      <c r="C994" t="s">
        <v>73</v>
      </c>
      <c r="D994" t="s">
        <v>37</v>
      </c>
      <c r="E994" t="s">
        <v>66</v>
      </c>
      <c r="F994" t="s">
        <v>3226</v>
      </c>
      <c r="G994" t="s">
        <v>67</v>
      </c>
      <c r="H994" t="str">
        <f>VLOOKUP(Table1[[#This Row],[City]],Table6[#All],2,FALSE)</f>
        <v>East</v>
      </c>
      <c r="I994" t="s">
        <v>58</v>
      </c>
      <c r="J994" t="str">
        <f>_xlfn.XLOOKUP(Table1[[#This Row],[Tractor Model]],Table7[Product Model],Table7[Product Category],"Not Available",0)</f>
        <v>Powertrac</v>
      </c>
      <c r="K994" s="4">
        <v>4</v>
      </c>
      <c r="L994" s="72">
        <v>884050</v>
      </c>
      <c r="M994" s="4">
        <f>INDEX('Master Sheet'!$C$4:$C$12,MATCH(Table1[[#This Row],[Quantity]],'Master Sheet'!$B$4:$B$12,0))</f>
        <v>6</v>
      </c>
      <c r="N994" s="71">
        <f>Table1[[#This Row],[Quantity]]*Table1[[#This Row],[Unit Price]]</f>
        <v>3536200</v>
      </c>
      <c r="O994" s="73">
        <v>0.35361999999999999</v>
      </c>
      <c r="P994" s="70">
        <f>Table1[[#This Row],[Gross Amount]]*(1-(Table1[[#This Row],[Discount %]]/100))</f>
        <v>3324028</v>
      </c>
      <c r="Q994" s="74">
        <f>(Table1[[#This Row],[Gross Amount]]*(1-(Table1[[#This Row],[Discount %]]/100)))/10000000</f>
        <v>0.3324028</v>
      </c>
      <c r="R994" t="s">
        <v>25</v>
      </c>
      <c r="S994" t="str" cm="1">
        <f t="array" ref="S994">IFERROR(_xlfn.IFS(Table1[[#This Row],[Payment Status]]="Partial","In Transit",Table1[[#This Row],[Payment Status]]="Paid","Delivered",Table1[[#This Row],[Payment Status]]="Pending","Pending"),"Invalid Input")</f>
        <v>In Transit</v>
      </c>
      <c r="T994" t="s">
        <v>27</v>
      </c>
      <c r="U994" t="str" cm="1">
        <f t="array" ref="U994">IFERROR(_xlfn.IFS(Table1[[#This Row],[Payment Status]]="Partial","In Transit",Table1[[#This Row],[Payment Status]]="Paid","Completed",Table1[[#This Row],[Payment Status]]="Pending","Pending"),"Invalid Input")</f>
        <v>In Transit</v>
      </c>
    </row>
    <row r="995" spans="1:21" x14ac:dyDescent="0.25">
      <c r="A995" s="4" t="s">
        <v>1824</v>
      </c>
      <c r="B995" s="5">
        <v>45560</v>
      </c>
      <c r="C995" t="s">
        <v>41</v>
      </c>
      <c r="D995" t="s">
        <v>3269</v>
      </c>
      <c r="E995" t="s">
        <v>66</v>
      </c>
      <c r="F995" t="s">
        <v>3213</v>
      </c>
      <c r="G995" t="s">
        <v>67</v>
      </c>
      <c r="H995" t="str">
        <f>VLOOKUP(Table1[[#This Row],[City]],Table6[#All],2,FALSE)</f>
        <v>East</v>
      </c>
      <c r="I995" t="s">
        <v>53</v>
      </c>
      <c r="J995" t="str">
        <f>_xlfn.XLOOKUP(Table1[[#This Row],[Tractor Model]],Table7[Product Model],Table7[Product Category],"Not Available",0)</f>
        <v>Farmtrac</v>
      </c>
      <c r="K995" s="4">
        <v>4</v>
      </c>
      <c r="L995" s="72">
        <v>362136</v>
      </c>
      <c r="M995" s="4">
        <f>INDEX('Master Sheet'!$C$4:$C$12,MATCH(Table1[[#This Row],[Quantity]],'Master Sheet'!$B$4:$B$12,0))</f>
        <v>6</v>
      </c>
      <c r="N995" s="71">
        <f>Table1[[#This Row],[Quantity]]*Table1[[#This Row],[Unit Price]]</f>
        <v>1448544</v>
      </c>
      <c r="O995" s="73">
        <v>0.14485439999999999</v>
      </c>
      <c r="P995" s="70">
        <f>Table1[[#This Row],[Gross Amount]]*(1-(Table1[[#This Row],[Discount %]]/100))</f>
        <v>1361631.3599999999</v>
      </c>
      <c r="Q995" s="74">
        <f>(Table1[[#This Row],[Gross Amount]]*(1-(Table1[[#This Row],[Discount %]]/100)))/10000000</f>
        <v>0.13616313599999999</v>
      </c>
      <c r="R995" t="s">
        <v>25</v>
      </c>
      <c r="S995" t="str" cm="1">
        <f t="array" ref="S995">IFERROR(_xlfn.IFS(Table1[[#This Row],[Payment Status]]="Partial","In Transit",Table1[[#This Row],[Payment Status]]="Paid","Delivered",Table1[[#This Row],[Payment Status]]="Pending","Pending"),"Invalid Input")</f>
        <v>In Transit</v>
      </c>
      <c r="T995" t="s">
        <v>44</v>
      </c>
      <c r="U995" t="str" cm="1">
        <f t="array" ref="U995">IFERROR(_xlfn.IFS(Table1[[#This Row],[Payment Status]]="Partial","In Transit",Table1[[#This Row],[Payment Status]]="Paid","Completed",Table1[[#This Row],[Payment Status]]="Pending","Pending"),"Invalid Input")</f>
        <v>In Transit</v>
      </c>
    </row>
    <row r="996" spans="1:21" x14ac:dyDescent="0.25">
      <c r="A996" s="4" t="s">
        <v>1826</v>
      </c>
      <c r="B996" s="5">
        <v>45673</v>
      </c>
      <c r="C996" t="s">
        <v>52</v>
      </c>
      <c r="D996" t="s">
        <v>3271</v>
      </c>
      <c r="E996" t="s">
        <v>66</v>
      </c>
      <c r="F996" t="s">
        <v>3207</v>
      </c>
      <c r="G996" t="s">
        <v>67</v>
      </c>
      <c r="H996" t="str">
        <f>VLOOKUP(Table1[[#This Row],[City]],Table6[#All],2,FALSE)</f>
        <v>East</v>
      </c>
      <c r="I996" t="s">
        <v>3203</v>
      </c>
      <c r="J996" t="str">
        <f>_xlfn.XLOOKUP(Table1[[#This Row],[Tractor Model]],Table7[Product Model],Table7[Product Category],"Not Available",0)</f>
        <v>Kubota</v>
      </c>
      <c r="K996" s="4">
        <v>4</v>
      </c>
      <c r="L996" s="72">
        <v>533553</v>
      </c>
      <c r="M996" s="4">
        <f>INDEX('Master Sheet'!$C$4:$C$12,MATCH(Table1[[#This Row],[Quantity]],'Master Sheet'!$B$4:$B$12,0))</f>
        <v>6</v>
      </c>
      <c r="N996" s="71">
        <f>Table1[[#This Row],[Quantity]]*Table1[[#This Row],[Unit Price]]</f>
        <v>2134212</v>
      </c>
      <c r="O996" s="73">
        <v>0.21342120000000001</v>
      </c>
      <c r="P996" s="70">
        <f>Table1[[#This Row],[Gross Amount]]*(1-(Table1[[#This Row],[Discount %]]/100))</f>
        <v>2006159.2799999998</v>
      </c>
      <c r="Q996" s="74">
        <f>(Table1[[#This Row],[Gross Amount]]*(1-(Table1[[#This Row],[Discount %]]/100)))/10000000</f>
        <v>0.20061592799999997</v>
      </c>
      <c r="R996" t="s">
        <v>42</v>
      </c>
      <c r="S996" t="str" cm="1">
        <f t="array" ref="S996">IFERROR(_xlfn.IFS(Table1[[#This Row],[Payment Status]]="Partial","In Transit",Table1[[#This Row],[Payment Status]]="Paid","Delivered",Table1[[#This Row],[Payment Status]]="Pending","Pending"),"Invalid Input")</f>
        <v>Pending</v>
      </c>
      <c r="T996" t="s">
        <v>27</v>
      </c>
      <c r="U996" t="str" cm="1">
        <f t="array" ref="U996">IFERROR(_xlfn.IFS(Table1[[#This Row],[Payment Status]]="Partial","In Transit",Table1[[#This Row],[Payment Status]]="Paid","Completed",Table1[[#This Row],[Payment Status]]="Pending","Pending"),"Invalid Input")</f>
        <v>Pending</v>
      </c>
    </row>
    <row r="997" spans="1:21" x14ac:dyDescent="0.25">
      <c r="A997" s="4" t="s">
        <v>1827</v>
      </c>
      <c r="B997" s="5">
        <v>45610</v>
      </c>
      <c r="C997" t="s">
        <v>52</v>
      </c>
      <c r="D997" t="s">
        <v>3271</v>
      </c>
      <c r="E997" t="s">
        <v>38</v>
      </c>
      <c r="F997" t="s">
        <v>3210</v>
      </c>
      <c r="G997" t="s">
        <v>39</v>
      </c>
      <c r="H997" t="str">
        <f>VLOOKUP(Table1[[#This Row],[City]],Table6[#All],2,FALSE)</f>
        <v>West</v>
      </c>
      <c r="I997" t="s">
        <v>24</v>
      </c>
      <c r="J997" t="str">
        <f>_xlfn.XLOOKUP(Table1[[#This Row],[Tractor Model]],Table7[Product Model],Table7[Product Category],"Not Available",0)</f>
        <v>Farmtrac</v>
      </c>
      <c r="K997" s="4">
        <v>7</v>
      </c>
      <c r="L997" s="72">
        <v>302802</v>
      </c>
      <c r="M997" s="4">
        <f>INDEX('Master Sheet'!$C$4:$C$12,MATCH(Table1[[#This Row],[Quantity]],'Master Sheet'!$B$4:$B$12,0))</f>
        <v>9</v>
      </c>
      <c r="N997" s="71">
        <f>Table1[[#This Row],[Quantity]]*Table1[[#This Row],[Unit Price]]</f>
        <v>2119614</v>
      </c>
      <c r="O997" s="73">
        <v>0.21196139999999999</v>
      </c>
      <c r="P997" s="70">
        <f>Table1[[#This Row],[Gross Amount]]*(1-(Table1[[#This Row],[Discount %]]/100))</f>
        <v>1928848.74</v>
      </c>
      <c r="Q997" s="74">
        <f>(Table1[[#This Row],[Gross Amount]]*(1-(Table1[[#This Row],[Discount %]]/100)))/10000000</f>
        <v>0.19288487400000001</v>
      </c>
      <c r="R997" t="s">
        <v>25</v>
      </c>
      <c r="S997" t="str" cm="1">
        <f t="array" ref="S997">IFERROR(_xlfn.IFS(Table1[[#This Row],[Payment Status]]="Partial","In Transit",Table1[[#This Row],[Payment Status]]="Paid","Delivered",Table1[[#This Row],[Payment Status]]="Pending","Pending"),"Invalid Input")</f>
        <v>In Transit</v>
      </c>
      <c r="T997" t="s">
        <v>44</v>
      </c>
      <c r="U997" t="str" cm="1">
        <f t="array" ref="U997">IFERROR(_xlfn.IFS(Table1[[#This Row],[Payment Status]]="Partial","In Transit",Table1[[#This Row],[Payment Status]]="Paid","Completed",Table1[[#This Row],[Payment Status]]="Pending","Pending"),"Invalid Input")</f>
        <v>In Transit</v>
      </c>
    </row>
    <row r="998" spans="1:21" x14ac:dyDescent="0.25">
      <c r="A998" s="4" t="s">
        <v>1828</v>
      </c>
      <c r="B998" s="5">
        <v>45338</v>
      </c>
      <c r="C998" t="s">
        <v>33</v>
      </c>
      <c r="D998" t="s">
        <v>3270</v>
      </c>
      <c r="E998" t="s">
        <v>47</v>
      </c>
      <c r="F998" t="s">
        <v>3205</v>
      </c>
      <c r="G998" t="s">
        <v>48</v>
      </c>
      <c r="H998" t="str">
        <f>VLOOKUP(Table1[[#This Row],[City]],Table6[#All],2,FALSE)</f>
        <v>North</v>
      </c>
      <c r="I998" t="s">
        <v>53</v>
      </c>
      <c r="J998" t="str">
        <f>_xlfn.XLOOKUP(Table1[[#This Row],[Tractor Model]],Table7[Product Model],Table7[Product Category],"Not Available",0)</f>
        <v>Farmtrac</v>
      </c>
      <c r="K998" s="4">
        <v>5</v>
      </c>
      <c r="L998" s="72">
        <v>781621</v>
      </c>
      <c r="M998" s="4">
        <f>INDEX('Master Sheet'!$C$4:$C$12,MATCH(Table1[[#This Row],[Quantity]],'Master Sheet'!$B$4:$B$12,0))</f>
        <v>7</v>
      </c>
      <c r="N998" s="71">
        <f>Table1[[#This Row],[Quantity]]*Table1[[#This Row],[Unit Price]]</f>
        <v>3908105</v>
      </c>
      <c r="O998" s="73">
        <v>0.39081050000000001</v>
      </c>
      <c r="P998" s="70">
        <f>Table1[[#This Row],[Gross Amount]]*(1-(Table1[[#This Row],[Discount %]]/100))</f>
        <v>3634537.65</v>
      </c>
      <c r="Q998" s="74">
        <f>(Table1[[#This Row],[Gross Amount]]*(1-(Table1[[#This Row],[Discount %]]/100)))/10000000</f>
        <v>0.36345376499999998</v>
      </c>
      <c r="R998" t="s">
        <v>25</v>
      </c>
      <c r="S998" t="str" cm="1">
        <f t="array" ref="S998">IFERROR(_xlfn.IFS(Table1[[#This Row],[Payment Status]]="Partial","In Transit",Table1[[#This Row],[Payment Status]]="Paid","Delivered",Table1[[#This Row],[Payment Status]]="Pending","Pending"),"Invalid Input")</f>
        <v>In Transit</v>
      </c>
      <c r="T998" t="s">
        <v>27</v>
      </c>
      <c r="U998" t="str" cm="1">
        <f t="array" ref="U998">IFERROR(_xlfn.IFS(Table1[[#This Row],[Payment Status]]="Partial","In Transit",Table1[[#This Row],[Payment Status]]="Paid","Completed",Table1[[#This Row],[Payment Status]]="Pending","Pending"),"Invalid Input")</f>
        <v>In Transit</v>
      </c>
    </row>
    <row r="999" spans="1:21" x14ac:dyDescent="0.25">
      <c r="A999" s="4" t="s">
        <v>1829</v>
      </c>
      <c r="B999" s="5">
        <v>45777</v>
      </c>
      <c r="C999" t="s">
        <v>41</v>
      </c>
      <c r="D999" t="s">
        <v>3271</v>
      </c>
      <c r="E999" t="s">
        <v>66</v>
      </c>
      <c r="F999" t="s">
        <v>3207</v>
      </c>
      <c r="G999" t="s">
        <v>67</v>
      </c>
      <c r="H999" t="str">
        <f>VLOOKUP(Table1[[#This Row],[City]],Table6[#All],2,FALSE)</f>
        <v>East</v>
      </c>
      <c r="I999" t="s">
        <v>3203</v>
      </c>
      <c r="J999" t="str">
        <f>_xlfn.XLOOKUP(Table1[[#This Row],[Tractor Model]],Table7[Product Model],Table7[Product Category],"Not Available",0)</f>
        <v>Kubota</v>
      </c>
      <c r="K999" s="4">
        <v>8</v>
      </c>
      <c r="L999" s="72">
        <v>501503</v>
      </c>
      <c r="M999" s="4">
        <f>INDEX('Master Sheet'!$C$4:$C$12,MATCH(Table1[[#This Row],[Quantity]],'Master Sheet'!$B$4:$B$12,0))</f>
        <v>9</v>
      </c>
      <c r="N999" s="71">
        <f>Table1[[#This Row],[Quantity]]*Table1[[#This Row],[Unit Price]]</f>
        <v>4012024</v>
      </c>
      <c r="O999" s="73">
        <v>0.40120240000000001</v>
      </c>
      <c r="P999" s="70">
        <f>Table1[[#This Row],[Gross Amount]]*(1-(Table1[[#This Row],[Discount %]]/100))</f>
        <v>3650941.8400000003</v>
      </c>
      <c r="Q999" s="74">
        <f>(Table1[[#This Row],[Gross Amount]]*(1-(Table1[[#This Row],[Discount %]]/100)))/10000000</f>
        <v>0.36509418400000004</v>
      </c>
      <c r="R999" t="s">
        <v>42</v>
      </c>
      <c r="S999" t="str" cm="1">
        <f t="array" ref="S999">IFERROR(_xlfn.IFS(Table1[[#This Row],[Payment Status]]="Partial","In Transit",Table1[[#This Row],[Payment Status]]="Paid","Delivered",Table1[[#This Row],[Payment Status]]="Pending","Pending"),"Invalid Input")</f>
        <v>Pending</v>
      </c>
      <c r="T999" t="s">
        <v>27</v>
      </c>
      <c r="U999" t="str" cm="1">
        <f t="array" ref="U999">IFERROR(_xlfn.IFS(Table1[[#This Row],[Payment Status]]="Partial","In Transit",Table1[[#This Row],[Payment Status]]="Paid","Completed",Table1[[#This Row],[Payment Status]]="Pending","Pending"),"Invalid Input")</f>
        <v>Pending</v>
      </c>
    </row>
    <row r="1000" spans="1:21" x14ac:dyDescent="0.25">
      <c r="A1000" s="4" t="s">
        <v>1830</v>
      </c>
      <c r="B1000" s="5">
        <v>45763</v>
      </c>
      <c r="C1000" t="s">
        <v>62</v>
      </c>
      <c r="D1000" t="s">
        <v>37</v>
      </c>
      <c r="E1000" t="s">
        <v>47</v>
      </c>
      <c r="F1000" t="s">
        <v>3215</v>
      </c>
      <c r="G1000" t="s">
        <v>48</v>
      </c>
      <c r="H1000" t="str">
        <f>VLOOKUP(Table1[[#This Row],[City]],Table6[#All],2,FALSE)</f>
        <v>North</v>
      </c>
      <c r="I1000" t="s">
        <v>24</v>
      </c>
      <c r="J1000" t="str">
        <f>_xlfn.XLOOKUP(Table1[[#This Row],[Tractor Model]],Table7[Product Model],Table7[Product Category],"Not Available",0)</f>
        <v>Farmtrac</v>
      </c>
      <c r="K1000" s="4">
        <v>2</v>
      </c>
      <c r="L1000" s="72">
        <v>877381</v>
      </c>
      <c r="M1000" s="4">
        <f>INDEX('Master Sheet'!$C$4:$C$12,MATCH(Table1[[#This Row],[Quantity]],'Master Sheet'!$B$4:$B$12,0))</f>
        <v>5</v>
      </c>
      <c r="N1000" s="71">
        <f>Table1[[#This Row],[Quantity]]*Table1[[#This Row],[Unit Price]]</f>
        <v>1754762</v>
      </c>
      <c r="O1000" s="73">
        <v>0.1754762</v>
      </c>
      <c r="P1000" s="70">
        <f>Table1[[#This Row],[Gross Amount]]*(1-(Table1[[#This Row],[Discount %]]/100))</f>
        <v>1667023.9</v>
      </c>
      <c r="Q1000" s="74">
        <f>(Table1[[#This Row],[Gross Amount]]*(1-(Table1[[#This Row],[Discount %]]/100)))/10000000</f>
        <v>0.16670238999999998</v>
      </c>
      <c r="R1000" t="s">
        <v>25</v>
      </c>
      <c r="S1000" t="str" cm="1">
        <f t="array" ref="S1000">IFERROR(_xlfn.IFS(Table1[[#This Row],[Payment Status]]="Partial","In Transit",Table1[[#This Row],[Payment Status]]="Paid","Delivered",Table1[[#This Row],[Payment Status]]="Pending","Pending"),"Invalid Input")</f>
        <v>In Transit</v>
      </c>
      <c r="T1000" t="s">
        <v>27</v>
      </c>
      <c r="U1000" t="str" cm="1">
        <f t="array" ref="U1000">IFERROR(_xlfn.IFS(Table1[[#This Row],[Payment Status]]="Partial","In Transit",Table1[[#This Row],[Payment Status]]="Paid","Completed",Table1[[#This Row],[Payment Status]]="Pending","Pending"),"Invalid Input")</f>
        <v>In Transit</v>
      </c>
    </row>
    <row r="1001" spans="1:21" x14ac:dyDescent="0.25">
      <c r="A1001" s="4" t="s">
        <v>1832</v>
      </c>
      <c r="B1001" s="5">
        <v>45707</v>
      </c>
      <c r="C1001" t="s">
        <v>62</v>
      </c>
      <c r="D1001" t="s">
        <v>3269</v>
      </c>
      <c r="E1001" t="s">
        <v>119</v>
      </c>
      <c r="F1001" t="s">
        <v>3229</v>
      </c>
      <c r="G1001" t="s">
        <v>21</v>
      </c>
      <c r="H1001" t="str">
        <f>VLOOKUP(Table1[[#This Row],[City]],Table6[#All],2,FALSE)</f>
        <v>North</v>
      </c>
      <c r="I1001" t="s">
        <v>53</v>
      </c>
      <c r="J1001" t="str">
        <f>_xlfn.XLOOKUP(Table1[[#This Row],[Tractor Model]],Table7[Product Model],Table7[Product Category],"Not Available",0)</f>
        <v>Farmtrac</v>
      </c>
      <c r="K1001" s="4">
        <v>4</v>
      </c>
      <c r="L1001" s="72">
        <v>647540</v>
      </c>
      <c r="M1001" s="4">
        <f>INDEX('Master Sheet'!$C$4:$C$12,MATCH(Table1[[#This Row],[Quantity]],'Master Sheet'!$B$4:$B$12,0))</f>
        <v>6</v>
      </c>
      <c r="N1001" s="71">
        <f>Table1[[#This Row],[Quantity]]*Table1[[#This Row],[Unit Price]]</f>
        <v>2590160</v>
      </c>
      <c r="O1001" s="73">
        <v>0.25901600000000002</v>
      </c>
      <c r="P1001" s="70">
        <f>Table1[[#This Row],[Gross Amount]]*(1-(Table1[[#This Row],[Discount %]]/100))</f>
        <v>2434750.4</v>
      </c>
      <c r="Q1001" s="74">
        <f>(Table1[[#This Row],[Gross Amount]]*(1-(Table1[[#This Row],[Discount %]]/100)))/10000000</f>
        <v>0.24347504</v>
      </c>
      <c r="R1001" t="s">
        <v>25</v>
      </c>
      <c r="S1001" t="str" cm="1">
        <f t="array" ref="S1001">IFERROR(_xlfn.IFS(Table1[[#This Row],[Payment Status]]="Partial","In Transit",Table1[[#This Row],[Payment Status]]="Paid","Delivered",Table1[[#This Row],[Payment Status]]="Pending","Pending"),"Invalid Input")</f>
        <v>In Transit</v>
      </c>
      <c r="T1001" t="s">
        <v>27</v>
      </c>
      <c r="U1001" t="str" cm="1">
        <f t="array" ref="U1001">IFERROR(_xlfn.IFS(Table1[[#This Row],[Payment Status]]="Partial","In Transit",Table1[[#This Row],[Payment Status]]="Paid","Completed",Table1[[#This Row],[Payment Status]]="Pending","Pending"),"Invalid Input")</f>
        <v>In Transit</v>
      </c>
    </row>
    <row r="1002" spans="1:21" x14ac:dyDescent="0.25">
      <c r="A1002" s="4" t="s">
        <v>1834</v>
      </c>
      <c r="B1002" s="5">
        <v>45603</v>
      </c>
      <c r="C1002" t="s">
        <v>62</v>
      </c>
      <c r="D1002" t="s">
        <v>3268</v>
      </c>
      <c r="E1002" t="s">
        <v>47</v>
      </c>
      <c r="F1002" t="s">
        <v>3216</v>
      </c>
      <c r="G1002" t="s">
        <v>48</v>
      </c>
      <c r="H1002" t="str">
        <f>VLOOKUP(Table1[[#This Row],[City]],Table6[#All],2,FALSE)</f>
        <v>North</v>
      </c>
      <c r="I1002" t="s">
        <v>3204</v>
      </c>
      <c r="J1002" t="str">
        <f>_xlfn.XLOOKUP(Table1[[#This Row],[Tractor Model]],Table7[Product Model],Table7[Product Category],"Not Available",0)</f>
        <v>Kubota</v>
      </c>
      <c r="K1002" s="4">
        <v>8</v>
      </c>
      <c r="L1002" s="72">
        <v>615297</v>
      </c>
      <c r="M1002" s="4">
        <f>INDEX('Master Sheet'!$C$4:$C$12,MATCH(Table1[[#This Row],[Quantity]],'Master Sheet'!$B$4:$B$12,0))</f>
        <v>9</v>
      </c>
      <c r="N1002" s="71">
        <f>Table1[[#This Row],[Quantity]]*Table1[[#This Row],[Unit Price]]</f>
        <v>4922376</v>
      </c>
      <c r="O1002" s="73">
        <v>0.4922376</v>
      </c>
      <c r="P1002" s="70">
        <f>Table1[[#This Row],[Gross Amount]]*(1-(Table1[[#This Row],[Discount %]]/100))</f>
        <v>4479362.16</v>
      </c>
      <c r="Q1002" s="74">
        <f>(Table1[[#This Row],[Gross Amount]]*(1-(Table1[[#This Row],[Discount %]]/100)))/10000000</f>
        <v>0.447936216</v>
      </c>
      <c r="R1002" t="s">
        <v>42</v>
      </c>
      <c r="S1002" t="str" cm="1">
        <f t="array" ref="S1002">IFERROR(_xlfn.IFS(Table1[[#This Row],[Payment Status]]="Partial","In Transit",Table1[[#This Row],[Payment Status]]="Paid","Delivered",Table1[[#This Row],[Payment Status]]="Pending","Pending"),"Invalid Input")</f>
        <v>Pending</v>
      </c>
      <c r="T1002" t="s">
        <v>27</v>
      </c>
      <c r="U1002" t="str" cm="1">
        <f t="array" ref="U1002">IFERROR(_xlfn.IFS(Table1[[#This Row],[Payment Status]]="Partial","In Transit",Table1[[#This Row],[Payment Status]]="Paid","Completed",Table1[[#This Row],[Payment Status]]="Pending","Pending"),"Invalid Input")</f>
        <v>Pending</v>
      </c>
    </row>
    <row r="1003" spans="1:21" x14ac:dyDescent="0.25">
      <c r="A1003" s="4" t="s">
        <v>1835</v>
      </c>
      <c r="B1003" s="5">
        <v>45695</v>
      </c>
      <c r="C1003" t="s">
        <v>41</v>
      </c>
      <c r="D1003" t="s">
        <v>3271</v>
      </c>
      <c r="E1003" t="s">
        <v>47</v>
      </c>
      <c r="F1003" t="s">
        <v>3221</v>
      </c>
      <c r="G1003" t="s">
        <v>48</v>
      </c>
      <c r="H1003" t="str">
        <f>VLOOKUP(Table1[[#This Row],[City]],Table6[#All],2,FALSE)</f>
        <v>North</v>
      </c>
      <c r="I1003" t="s">
        <v>3203</v>
      </c>
      <c r="J1003" t="str">
        <f>_xlfn.XLOOKUP(Table1[[#This Row],[Tractor Model]],Table7[Product Model],Table7[Product Category],"Not Available",0)</f>
        <v>Kubota</v>
      </c>
      <c r="K1003" s="4">
        <v>4</v>
      </c>
      <c r="L1003" s="72">
        <v>293791</v>
      </c>
      <c r="M1003" s="4">
        <f>INDEX('Master Sheet'!$C$4:$C$12,MATCH(Table1[[#This Row],[Quantity]],'Master Sheet'!$B$4:$B$12,0))</f>
        <v>6</v>
      </c>
      <c r="N1003" s="71">
        <f>Table1[[#This Row],[Quantity]]*Table1[[#This Row],[Unit Price]]</f>
        <v>1175164</v>
      </c>
      <c r="O1003" s="73">
        <v>0.11751639999999999</v>
      </c>
      <c r="P1003" s="70">
        <f>Table1[[#This Row],[Gross Amount]]*(1-(Table1[[#This Row],[Discount %]]/100))</f>
        <v>1104654.1599999999</v>
      </c>
      <c r="Q1003" s="74">
        <f>(Table1[[#This Row],[Gross Amount]]*(1-(Table1[[#This Row],[Discount %]]/100)))/10000000</f>
        <v>0.110465416</v>
      </c>
      <c r="R1003" t="s">
        <v>42</v>
      </c>
      <c r="S1003" t="str" cm="1">
        <f t="array" ref="S1003">IFERROR(_xlfn.IFS(Table1[[#This Row],[Payment Status]]="Partial","In Transit",Table1[[#This Row],[Payment Status]]="Paid","Delivered",Table1[[#This Row],[Payment Status]]="Pending","Pending"),"Invalid Input")</f>
        <v>Pending</v>
      </c>
      <c r="T1003" t="s">
        <v>27</v>
      </c>
      <c r="U1003" t="str" cm="1">
        <f t="array" ref="U1003">IFERROR(_xlfn.IFS(Table1[[#This Row],[Payment Status]]="Partial","In Transit",Table1[[#This Row],[Payment Status]]="Paid","Completed",Table1[[#This Row],[Payment Status]]="Pending","Pending"),"Invalid Input")</f>
        <v>Pending</v>
      </c>
    </row>
    <row r="1004" spans="1:21" x14ac:dyDescent="0.25">
      <c r="A1004" s="4" t="s">
        <v>1836</v>
      </c>
      <c r="B1004" s="5">
        <v>45329</v>
      </c>
      <c r="C1004" t="s">
        <v>41</v>
      </c>
      <c r="D1004" t="s">
        <v>3271</v>
      </c>
      <c r="E1004" t="s">
        <v>38</v>
      </c>
      <c r="F1004" t="s">
        <v>3210</v>
      </c>
      <c r="G1004" t="s">
        <v>39</v>
      </c>
      <c r="H1004" t="str">
        <f>VLOOKUP(Table1[[#This Row],[City]],Table6[#All],2,FALSE)</f>
        <v>West</v>
      </c>
      <c r="I1004" t="s">
        <v>53</v>
      </c>
      <c r="J1004" t="str">
        <f>_xlfn.XLOOKUP(Table1[[#This Row],[Tractor Model]],Table7[Product Model],Table7[Product Category],"Not Available",0)</f>
        <v>Farmtrac</v>
      </c>
      <c r="K1004" s="4">
        <v>2</v>
      </c>
      <c r="L1004" s="72">
        <v>353064</v>
      </c>
      <c r="M1004" s="4">
        <f>INDEX('Master Sheet'!$C$4:$C$12,MATCH(Table1[[#This Row],[Quantity]],'Master Sheet'!$B$4:$B$12,0))</f>
        <v>5</v>
      </c>
      <c r="N1004" s="71">
        <f>Table1[[#This Row],[Quantity]]*Table1[[#This Row],[Unit Price]]</f>
        <v>706128</v>
      </c>
      <c r="O1004" s="73">
        <v>7.0612800000000003E-2</v>
      </c>
      <c r="P1004" s="70">
        <f>Table1[[#This Row],[Gross Amount]]*(1-(Table1[[#This Row],[Discount %]]/100))</f>
        <v>670821.6</v>
      </c>
      <c r="Q1004" s="74">
        <f>(Table1[[#This Row],[Gross Amount]]*(1-(Table1[[#This Row],[Discount %]]/100)))/10000000</f>
        <v>6.7082160000000002E-2</v>
      </c>
      <c r="R1004" t="s">
        <v>25</v>
      </c>
      <c r="S1004" t="str" cm="1">
        <f t="array" ref="S1004">IFERROR(_xlfn.IFS(Table1[[#This Row],[Payment Status]]="Partial","In Transit",Table1[[#This Row],[Payment Status]]="Paid","Delivered",Table1[[#This Row],[Payment Status]]="Pending","Pending"),"Invalid Input")</f>
        <v>In Transit</v>
      </c>
      <c r="T1004" t="s">
        <v>27</v>
      </c>
      <c r="U1004" t="str" cm="1">
        <f t="array" ref="U1004">IFERROR(_xlfn.IFS(Table1[[#This Row],[Payment Status]]="Partial","In Transit",Table1[[#This Row],[Payment Status]]="Paid","Completed",Table1[[#This Row],[Payment Status]]="Pending","Pending"),"Invalid Input")</f>
        <v>In Transit</v>
      </c>
    </row>
    <row r="1005" spans="1:21" x14ac:dyDescent="0.25">
      <c r="A1005" s="4" t="s">
        <v>1837</v>
      </c>
      <c r="B1005" s="5">
        <v>45530</v>
      </c>
      <c r="C1005" t="s">
        <v>33</v>
      </c>
      <c r="D1005" t="s">
        <v>3270</v>
      </c>
      <c r="E1005" t="s">
        <v>30</v>
      </c>
      <c r="F1005" t="s">
        <v>3223</v>
      </c>
      <c r="G1005" t="s">
        <v>31</v>
      </c>
      <c r="H1005" t="str">
        <f>VLOOKUP(Table1[[#This Row],[City]],Table6[#All],2,FALSE)</f>
        <v>South</v>
      </c>
      <c r="I1005" t="s">
        <v>24</v>
      </c>
      <c r="J1005" t="str">
        <f>_xlfn.XLOOKUP(Table1[[#This Row],[Tractor Model]],Table7[Product Model],Table7[Product Category],"Not Available",0)</f>
        <v>Farmtrac</v>
      </c>
      <c r="K1005" s="4">
        <v>6</v>
      </c>
      <c r="L1005" s="72">
        <v>594682</v>
      </c>
      <c r="M1005" s="4">
        <f>INDEX('Master Sheet'!$C$4:$C$12,MATCH(Table1[[#This Row],[Quantity]],'Master Sheet'!$B$4:$B$12,0))</f>
        <v>8</v>
      </c>
      <c r="N1005" s="71">
        <f>Table1[[#This Row],[Quantity]]*Table1[[#This Row],[Unit Price]]</f>
        <v>3568092</v>
      </c>
      <c r="O1005" s="73">
        <v>0.35680919999999999</v>
      </c>
      <c r="P1005" s="70">
        <f>Table1[[#This Row],[Gross Amount]]*(1-(Table1[[#This Row],[Discount %]]/100))</f>
        <v>3282644.64</v>
      </c>
      <c r="Q1005" s="74">
        <f>(Table1[[#This Row],[Gross Amount]]*(1-(Table1[[#This Row],[Discount %]]/100)))/10000000</f>
        <v>0.32826446400000003</v>
      </c>
      <c r="R1005" t="s">
        <v>25</v>
      </c>
      <c r="S1005" t="str" cm="1">
        <f t="array" ref="S1005">IFERROR(_xlfn.IFS(Table1[[#This Row],[Payment Status]]="Partial","In Transit",Table1[[#This Row],[Payment Status]]="Paid","Delivered",Table1[[#This Row],[Payment Status]]="Pending","Pending"),"Invalid Input")</f>
        <v>In Transit</v>
      </c>
      <c r="T1005" t="s">
        <v>27</v>
      </c>
      <c r="U1005" t="str" cm="1">
        <f t="array" ref="U1005">IFERROR(_xlfn.IFS(Table1[[#This Row],[Payment Status]]="Partial","In Transit",Table1[[#This Row],[Payment Status]]="Paid","Completed",Table1[[#This Row],[Payment Status]]="Pending","Pending"),"Invalid Input")</f>
        <v>In Transit</v>
      </c>
    </row>
    <row r="1006" spans="1:21" x14ac:dyDescent="0.25">
      <c r="A1006" s="4" t="s">
        <v>1838</v>
      </c>
      <c r="B1006" s="5">
        <v>45753</v>
      </c>
      <c r="C1006" t="s">
        <v>62</v>
      </c>
      <c r="D1006" t="s">
        <v>3268</v>
      </c>
      <c r="E1006" t="s">
        <v>119</v>
      </c>
      <c r="F1006" t="s">
        <v>3227</v>
      </c>
      <c r="G1006" t="s">
        <v>21</v>
      </c>
      <c r="H1006" t="str">
        <f>VLOOKUP(Table1[[#This Row],[City]],Table6[#All],2,FALSE)</f>
        <v>North</v>
      </c>
      <c r="I1006" t="s">
        <v>3203</v>
      </c>
      <c r="J1006" t="str">
        <f>_xlfn.XLOOKUP(Table1[[#This Row],[Tractor Model]],Table7[Product Model],Table7[Product Category],"Not Available",0)</f>
        <v>Kubota</v>
      </c>
      <c r="K1006" s="4">
        <v>8</v>
      </c>
      <c r="L1006" s="72">
        <v>202387</v>
      </c>
      <c r="M1006" s="4">
        <f>INDEX('Master Sheet'!$C$4:$C$12,MATCH(Table1[[#This Row],[Quantity]],'Master Sheet'!$B$4:$B$12,0))</f>
        <v>9</v>
      </c>
      <c r="N1006" s="71">
        <f>Table1[[#This Row],[Quantity]]*Table1[[#This Row],[Unit Price]]</f>
        <v>1619096</v>
      </c>
      <c r="O1006" s="73">
        <v>0.16190959999999999</v>
      </c>
      <c r="P1006" s="70">
        <f>Table1[[#This Row],[Gross Amount]]*(1-(Table1[[#This Row],[Discount %]]/100))</f>
        <v>1473377.36</v>
      </c>
      <c r="Q1006" s="74">
        <f>(Table1[[#This Row],[Gross Amount]]*(1-(Table1[[#This Row],[Discount %]]/100)))/10000000</f>
        <v>0.147337736</v>
      </c>
      <c r="R1006" t="s">
        <v>25</v>
      </c>
      <c r="S1006" t="str" cm="1">
        <f t="array" ref="S1006">IFERROR(_xlfn.IFS(Table1[[#This Row],[Payment Status]]="Partial","In Transit",Table1[[#This Row],[Payment Status]]="Paid","Delivered",Table1[[#This Row],[Payment Status]]="Pending","Pending"),"Invalid Input")</f>
        <v>In Transit</v>
      </c>
      <c r="T1006" t="s">
        <v>27</v>
      </c>
      <c r="U1006" t="str" cm="1">
        <f t="array" ref="U1006">IFERROR(_xlfn.IFS(Table1[[#This Row],[Payment Status]]="Partial","In Transit",Table1[[#This Row],[Payment Status]]="Paid","Completed",Table1[[#This Row],[Payment Status]]="Pending","Pending"),"Invalid Input")</f>
        <v>In Transit</v>
      </c>
    </row>
    <row r="1007" spans="1:21" x14ac:dyDescent="0.25">
      <c r="A1007" s="4" t="s">
        <v>1839</v>
      </c>
      <c r="B1007" s="5">
        <v>45775</v>
      </c>
      <c r="C1007" t="s">
        <v>52</v>
      </c>
      <c r="D1007" t="s">
        <v>3270</v>
      </c>
      <c r="E1007" t="s">
        <v>47</v>
      </c>
      <c r="F1007" t="s">
        <v>3205</v>
      </c>
      <c r="G1007" t="s">
        <v>48</v>
      </c>
      <c r="H1007" t="str">
        <f>VLOOKUP(Table1[[#This Row],[City]],Table6[#All],2,FALSE)</f>
        <v>North</v>
      </c>
      <c r="I1007" t="s">
        <v>58</v>
      </c>
      <c r="J1007" t="str">
        <f>_xlfn.XLOOKUP(Table1[[#This Row],[Tractor Model]],Table7[Product Model],Table7[Product Category],"Not Available",0)</f>
        <v>Powertrac</v>
      </c>
      <c r="K1007" s="4">
        <v>6</v>
      </c>
      <c r="L1007" s="72">
        <v>488795</v>
      </c>
      <c r="M1007" s="4">
        <f>INDEX('Master Sheet'!$C$4:$C$12,MATCH(Table1[[#This Row],[Quantity]],'Master Sheet'!$B$4:$B$12,0))</f>
        <v>8</v>
      </c>
      <c r="N1007" s="71">
        <f>Table1[[#This Row],[Quantity]]*Table1[[#This Row],[Unit Price]]</f>
        <v>2932770</v>
      </c>
      <c r="O1007" s="73">
        <v>0.29327700000000001</v>
      </c>
      <c r="P1007" s="70">
        <f>Table1[[#This Row],[Gross Amount]]*(1-(Table1[[#This Row],[Discount %]]/100))</f>
        <v>2698148.4</v>
      </c>
      <c r="Q1007" s="74">
        <f>(Table1[[#This Row],[Gross Amount]]*(1-(Table1[[#This Row],[Discount %]]/100)))/10000000</f>
        <v>0.26981484</v>
      </c>
      <c r="R1007" t="s">
        <v>25</v>
      </c>
      <c r="S1007" t="str" cm="1">
        <f t="array" ref="S1007">IFERROR(_xlfn.IFS(Table1[[#This Row],[Payment Status]]="Partial","In Transit",Table1[[#This Row],[Payment Status]]="Paid","Delivered",Table1[[#This Row],[Payment Status]]="Pending","Pending"),"Invalid Input")</f>
        <v>In Transit</v>
      </c>
      <c r="T1007" t="s">
        <v>27</v>
      </c>
      <c r="U1007" t="str" cm="1">
        <f t="array" ref="U1007">IFERROR(_xlfn.IFS(Table1[[#This Row],[Payment Status]]="Partial","In Transit",Table1[[#This Row],[Payment Status]]="Paid","Completed",Table1[[#This Row],[Payment Status]]="Pending","Pending"),"Invalid Input")</f>
        <v>In Transit</v>
      </c>
    </row>
    <row r="1008" spans="1:21" x14ac:dyDescent="0.25">
      <c r="A1008" s="4" t="s">
        <v>1840</v>
      </c>
      <c r="B1008" s="5">
        <v>45431</v>
      </c>
      <c r="C1008" t="s">
        <v>52</v>
      </c>
      <c r="D1008" t="s">
        <v>3271</v>
      </c>
      <c r="E1008" t="s">
        <v>47</v>
      </c>
      <c r="F1008" t="s">
        <v>3221</v>
      </c>
      <c r="G1008" t="s">
        <v>48</v>
      </c>
      <c r="H1008" t="str">
        <f>VLOOKUP(Table1[[#This Row],[City]],Table6[#All],2,FALSE)</f>
        <v>North</v>
      </c>
      <c r="I1008" t="s">
        <v>58</v>
      </c>
      <c r="J1008" t="str">
        <f>_xlfn.XLOOKUP(Table1[[#This Row],[Tractor Model]],Table7[Product Model],Table7[Product Category],"Not Available",0)</f>
        <v>Powertrac</v>
      </c>
      <c r="K1008" s="4">
        <v>2</v>
      </c>
      <c r="L1008" s="72">
        <v>807712</v>
      </c>
      <c r="M1008" s="4">
        <f>INDEX('Master Sheet'!$C$4:$C$12,MATCH(Table1[[#This Row],[Quantity]],'Master Sheet'!$B$4:$B$12,0))</f>
        <v>5</v>
      </c>
      <c r="N1008" s="71">
        <f>Table1[[#This Row],[Quantity]]*Table1[[#This Row],[Unit Price]]</f>
        <v>1615424</v>
      </c>
      <c r="O1008" s="73">
        <v>0.1615424</v>
      </c>
      <c r="P1008" s="70">
        <f>Table1[[#This Row],[Gross Amount]]*(1-(Table1[[#This Row],[Discount %]]/100))</f>
        <v>1534652.7999999998</v>
      </c>
      <c r="Q1008" s="74">
        <f>(Table1[[#This Row],[Gross Amount]]*(1-(Table1[[#This Row],[Discount %]]/100)))/10000000</f>
        <v>0.15346527999999998</v>
      </c>
      <c r="R1008" t="s">
        <v>54</v>
      </c>
      <c r="S1008" t="str" cm="1">
        <f t="array" ref="S1008">IFERROR(_xlfn.IFS(Table1[[#This Row],[Payment Status]]="Partial","In Transit",Table1[[#This Row],[Payment Status]]="Paid","Delivered",Table1[[#This Row],[Payment Status]]="Pending","Pending"),"Invalid Input")</f>
        <v>Delivered</v>
      </c>
      <c r="T1008" t="s">
        <v>44</v>
      </c>
      <c r="U1008" t="str" cm="1">
        <f t="array" ref="U1008">IFERROR(_xlfn.IFS(Table1[[#This Row],[Payment Status]]="Partial","In Transit",Table1[[#This Row],[Payment Status]]="Paid","Completed",Table1[[#This Row],[Payment Status]]="Pending","Pending"),"Invalid Input")</f>
        <v>Completed</v>
      </c>
    </row>
    <row r="1009" spans="1:21" x14ac:dyDescent="0.25">
      <c r="A1009" s="4" t="s">
        <v>1842</v>
      </c>
      <c r="B1009" s="5">
        <v>45406</v>
      </c>
      <c r="C1009" t="s">
        <v>33</v>
      </c>
      <c r="D1009" t="s">
        <v>37</v>
      </c>
      <c r="E1009" t="s">
        <v>47</v>
      </c>
      <c r="F1009" t="s">
        <v>3215</v>
      </c>
      <c r="G1009" t="s">
        <v>48</v>
      </c>
      <c r="H1009" t="str">
        <f>VLOOKUP(Table1[[#This Row],[City]],Table6[#All],2,FALSE)</f>
        <v>North</v>
      </c>
      <c r="I1009" t="s">
        <v>24</v>
      </c>
      <c r="J1009" t="str">
        <f>_xlfn.XLOOKUP(Table1[[#This Row],[Tractor Model]],Table7[Product Model],Table7[Product Category],"Not Available",0)</f>
        <v>Farmtrac</v>
      </c>
      <c r="K1009" s="4">
        <v>2</v>
      </c>
      <c r="L1009" s="72">
        <v>722838</v>
      </c>
      <c r="M1009" s="4">
        <f>INDEX('Master Sheet'!$C$4:$C$12,MATCH(Table1[[#This Row],[Quantity]],'Master Sheet'!$B$4:$B$12,0))</f>
        <v>5</v>
      </c>
      <c r="N1009" s="71">
        <f>Table1[[#This Row],[Quantity]]*Table1[[#This Row],[Unit Price]]</f>
        <v>1445676</v>
      </c>
      <c r="O1009" s="73">
        <v>0.14456759999999999</v>
      </c>
      <c r="P1009" s="70">
        <f>Table1[[#This Row],[Gross Amount]]*(1-(Table1[[#This Row],[Discount %]]/100))</f>
        <v>1373392.2</v>
      </c>
      <c r="Q1009" s="74">
        <f>(Table1[[#This Row],[Gross Amount]]*(1-(Table1[[#This Row],[Discount %]]/100)))/10000000</f>
        <v>0.13733921999999998</v>
      </c>
      <c r="R1009" t="s">
        <v>54</v>
      </c>
      <c r="S1009" t="str" cm="1">
        <f t="array" ref="S1009">IFERROR(_xlfn.IFS(Table1[[#This Row],[Payment Status]]="Partial","In Transit",Table1[[#This Row],[Payment Status]]="Paid","Delivered",Table1[[#This Row],[Payment Status]]="Pending","Pending"),"Invalid Input")</f>
        <v>Delivered</v>
      </c>
      <c r="T1009" t="s">
        <v>27</v>
      </c>
      <c r="U1009" t="str" cm="1">
        <f t="array" ref="U1009">IFERROR(_xlfn.IFS(Table1[[#This Row],[Payment Status]]="Partial","In Transit",Table1[[#This Row],[Payment Status]]="Paid","Completed",Table1[[#This Row],[Payment Status]]="Pending","Pending"),"Invalid Input")</f>
        <v>Completed</v>
      </c>
    </row>
    <row r="1010" spans="1:21" x14ac:dyDescent="0.25">
      <c r="A1010" s="4" t="s">
        <v>1843</v>
      </c>
      <c r="B1010" s="5">
        <v>45401</v>
      </c>
      <c r="C1010" t="s">
        <v>33</v>
      </c>
      <c r="D1010" t="s">
        <v>3269</v>
      </c>
      <c r="E1010" t="s">
        <v>119</v>
      </c>
      <c r="F1010" t="s">
        <v>3229</v>
      </c>
      <c r="G1010" t="s">
        <v>21</v>
      </c>
      <c r="H1010" t="str">
        <f>VLOOKUP(Table1[[#This Row],[City]],Table6[#All],2,FALSE)</f>
        <v>North</v>
      </c>
      <c r="I1010" t="s">
        <v>3203</v>
      </c>
      <c r="J1010" t="str">
        <f>_xlfn.XLOOKUP(Table1[[#This Row],[Tractor Model]],Table7[Product Model],Table7[Product Category],"Not Available",0)</f>
        <v>Kubota</v>
      </c>
      <c r="K1010" s="4">
        <v>6</v>
      </c>
      <c r="L1010" s="72">
        <v>227758</v>
      </c>
      <c r="M1010" s="4">
        <f>INDEX('Master Sheet'!$C$4:$C$12,MATCH(Table1[[#This Row],[Quantity]],'Master Sheet'!$B$4:$B$12,0))</f>
        <v>8</v>
      </c>
      <c r="N1010" s="71">
        <f>Table1[[#This Row],[Quantity]]*Table1[[#This Row],[Unit Price]]</f>
        <v>1366548</v>
      </c>
      <c r="O1010" s="73">
        <v>0.13665479999999999</v>
      </c>
      <c r="P1010" s="70">
        <f>Table1[[#This Row],[Gross Amount]]*(1-(Table1[[#This Row],[Discount %]]/100))</f>
        <v>1257224.1600000001</v>
      </c>
      <c r="Q1010" s="74">
        <f>(Table1[[#This Row],[Gross Amount]]*(1-(Table1[[#This Row],[Discount %]]/100)))/10000000</f>
        <v>0.125722416</v>
      </c>
      <c r="R1010" t="s">
        <v>25</v>
      </c>
      <c r="S1010" t="str" cm="1">
        <f t="array" ref="S1010">IFERROR(_xlfn.IFS(Table1[[#This Row],[Payment Status]]="Partial","In Transit",Table1[[#This Row],[Payment Status]]="Paid","Delivered",Table1[[#This Row],[Payment Status]]="Pending","Pending"),"Invalid Input")</f>
        <v>In Transit</v>
      </c>
      <c r="T1010" t="s">
        <v>27</v>
      </c>
      <c r="U1010" t="str" cm="1">
        <f t="array" ref="U1010">IFERROR(_xlfn.IFS(Table1[[#This Row],[Payment Status]]="Partial","In Transit",Table1[[#This Row],[Payment Status]]="Paid","Completed",Table1[[#This Row],[Payment Status]]="Pending","Pending"),"Invalid Input")</f>
        <v>In Transit</v>
      </c>
    </row>
    <row r="1011" spans="1:21" x14ac:dyDescent="0.25">
      <c r="A1011" s="4" t="s">
        <v>1845</v>
      </c>
      <c r="B1011" s="5">
        <v>45449</v>
      </c>
      <c r="C1011" t="s">
        <v>73</v>
      </c>
      <c r="D1011" t="s">
        <v>3269</v>
      </c>
      <c r="E1011" t="s">
        <v>38</v>
      </c>
      <c r="F1011" t="s">
        <v>3206</v>
      </c>
      <c r="G1011" t="s">
        <v>39</v>
      </c>
      <c r="H1011" t="str">
        <f>VLOOKUP(Table1[[#This Row],[City]],Table6[#All],2,FALSE)</f>
        <v>West</v>
      </c>
      <c r="I1011" t="s">
        <v>3204</v>
      </c>
      <c r="J1011" t="str">
        <f>_xlfn.XLOOKUP(Table1[[#This Row],[Tractor Model]],Table7[Product Model],Table7[Product Category],"Not Available",0)</f>
        <v>Kubota</v>
      </c>
      <c r="K1011" s="4">
        <v>1</v>
      </c>
      <c r="L1011" s="72">
        <v>732708</v>
      </c>
      <c r="M1011" s="4">
        <f>INDEX('Master Sheet'!$C$4:$C$12,MATCH(Table1[[#This Row],[Quantity]],'Master Sheet'!$B$4:$B$12,0))</f>
        <v>3</v>
      </c>
      <c r="N1011" s="71">
        <f>Table1[[#This Row],[Quantity]]*Table1[[#This Row],[Unit Price]]</f>
        <v>732708</v>
      </c>
      <c r="O1011" s="73">
        <v>7.3270799999999997E-2</v>
      </c>
      <c r="P1011" s="70">
        <f>Table1[[#This Row],[Gross Amount]]*(1-(Table1[[#This Row],[Discount %]]/100))</f>
        <v>710726.76</v>
      </c>
      <c r="Q1011" s="74">
        <f>(Table1[[#This Row],[Gross Amount]]*(1-(Table1[[#This Row],[Discount %]]/100)))/10000000</f>
        <v>7.1072676000000001E-2</v>
      </c>
      <c r="R1011" t="s">
        <v>54</v>
      </c>
      <c r="S1011" t="str" cm="1">
        <f t="array" ref="S1011">IFERROR(_xlfn.IFS(Table1[[#This Row],[Payment Status]]="Partial","In Transit",Table1[[#This Row],[Payment Status]]="Paid","Delivered",Table1[[#This Row],[Payment Status]]="Pending","Pending"),"Invalid Input")</f>
        <v>Delivered</v>
      </c>
      <c r="T1011" t="s">
        <v>44</v>
      </c>
      <c r="U1011" t="str" cm="1">
        <f t="array" ref="U1011">IFERROR(_xlfn.IFS(Table1[[#This Row],[Payment Status]]="Partial","In Transit",Table1[[#This Row],[Payment Status]]="Paid","Completed",Table1[[#This Row],[Payment Status]]="Pending","Pending"),"Invalid Input")</f>
        <v>Completed</v>
      </c>
    </row>
    <row r="1012" spans="1:21" x14ac:dyDescent="0.25">
      <c r="A1012" s="4" t="s">
        <v>1847</v>
      </c>
      <c r="B1012" s="5">
        <v>45398</v>
      </c>
      <c r="C1012" t="s">
        <v>62</v>
      </c>
      <c r="D1012" t="s">
        <v>3269</v>
      </c>
      <c r="E1012" t="s">
        <v>47</v>
      </c>
      <c r="F1012" t="s">
        <v>3209</v>
      </c>
      <c r="G1012" t="s">
        <v>48</v>
      </c>
      <c r="H1012" t="str">
        <f>VLOOKUP(Table1[[#This Row],[City]],Table6[#All],2,FALSE)</f>
        <v>North</v>
      </c>
      <c r="I1012" t="s">
        <v>3204</v>
      </c>
      <c r="J1012" t="str">
        <f>_xlfn.XLOOKUP(Table1[[#This Row],[Tractor Model]],Table7[Product Model],Table7[Product Category],"Not Available",0)</f>
        <v>Kubota</v>
      </c>
      <c r="K1012" s="4">
        <v>1</v>
      </c>
      <c r="L1012" s="72">
        <v>567662</v>
      </c>
      <c r="M1012" s="4">
        <f>INDEX('Master Sheet'!$C$4:$C$12,MATCH(Table1[[#This Row],[Quantity]],'Master Sheet'!$B$4:$B$12,0))</f>
        <v>3</v>
      </c>
      <c r="N1012" s="71">
        <f>Table1[[#This Row],[Quantity]]*Table1[[#This Row],[Unit Price]]</f>
        <v>567662</v>
      </c>
      <c r="O1012" s="73">
        <v>5.6766200000000003E-2</v>
      </c>
      <c r="P1012" s="70">
        <f>Table1[[#This Row],[Gross Amount]]*(1-(Table1[[#This Row],[Discount %]]/100))</f>
        <v>550632.14</v>
      </c>
      <c r="Q1012" s="74">
        <f>(Table1[[#This Row],[Gross Amount]]*(1-(Table1[[#This Row],[Discount %]]/100)))/10000000</f>
        <v>5.5063213999999999E-2</v>
      </c>
      <c r="R1012" t="s">
        <v>25</v>
      </c>
      <c r="S1012" t="str" cm="1">
        <f t="array" ref="S1012">IFERROR(_xlfn.IFS(Table1[[#This Row],[Payment Status]]="Partial","In Transit",Table1[[#This Row],[Payment Status]]="Paid","Delivered",Table1[[#This Row],[Payment Status]]="Pending","Pending"),"Invalid Input")</f>
        <v>In Transit</v>
      </c>
      <c r="T1012" t="s">
        <v>27</v>
      </c>
      <c r="U1012" t="str" cm="1">
        <f t="array" ref="U1012">IFERROR(_xlfn.IFS(Table1[[#This Row],[Payment Status]]="Partial","In Transit",Table1[[#This Row],[Payment Status]]="Paid","Completed",Table1[[#This Row],[Payment Status]]="Pending","Pending"),"Invalid Input")</f>
        <v>In Transit</v>
      </c>
    </row>
    <row r="1013" spans="1:21" x14ac:dyDescent="0.25">
      <c r="A1013" s="4" t="s">
        <v>1848</v>
      </c>
      <c r="B1013" s="5">
        <v>45754</v>
      </c>
      <c r="C1013" t="s">
        <v>52</v>
      </c>
      <c r="D1013" t="s">
        <v>3268</v>
      </c>
      <c r="E1013" t="s">
        <v>38</v>
      </c>
      <c r="F1013" t="s">
        <v>3219</v>
      </c>
      <c r="G1013" t="s">
        <v>39</v>
      </c>
      <c r="H1013" t="str">
        <f>VLOOKUP(Table1[[#This Row],[City]],Table6[#All],2,FALSE)</f>
        <v>West</v>
      </c>
      <c r="I1013" t="s">
        <v>3204</v>
      </c>
      <c r="J1013" t="str">
        <f>_xlfn.XLOOKUP(Table1[[#This Row],[Tractor Model]],Table7[Product Model],Table7[Product Category],"Not Available",0)</f>
        <v>Kubota</v>
      </c>
      <c r="K1013" s="4">
        <v>1</v>
      </c>
      <c r="L1013" s="72">
        <v>397315</v>
      </c>
      <c r="M1013" s="4">
        <f>INDEX('Master Sheet'!$C$4:$C$12,MATCH(Table1[[#This Row],[Quantity]],'Master Sheet'!$B$4:$B$12,0))</f>
        <v>3</v>
      </c>
      <c r="N1013" s="71">
        <f>Table1[[#This Row],[Quantity]]*Table1[[#This Row],[Unit Price]]</f>
        <v>397315</v>
      </c>
      <c r="O1013" s="73">
        <v>3.9731500000000003E-2</v>
      </c>
      <c r="P1013" s="70">
        <f>Table1[[#This Row],[Gross Amount]]*(1-(Table1[[#This Row],[Discount %]]/100))</f>
        <v>385395.55</v>
      </c>
      <c r="Q1013" s="74">
        <f>(Table1[[#This Row],[Gross Amount]]*(1-(Table1[[#This Row],[Discount %]]/100)))/10000000</f>
        <v>3.8539554999999996E-2</v>
      </c>
      <c r="R1013" t="s">
        <v>25</v>
      </c>
      <c r="S1013" t="str" cm="1">
        <f t="array" ref="S1013">IFERROR(_xlfn.IFS(Table1[[#This Row],[Payment Status]]="Partial","In Transit",Table1[[#This Row],[Payment Status]]="Paid","Delivered",Table1[[#This Row],[Payment Status]]="Pending","Pending"),"Invalid Input")</f>
        <v>In Transit</v>
      </c>
      <c r="T1013" t="s">
        <v>44</v>
      </c>
      <c r="U1013" t="str" cm="1">
        <f t="array" ref="U1013">IFERROR(_xlfn.IFS(Table1[[#This Row],[Payment Status]]="Partial","In Transit",Table1[[#This Row],[Payment Status]]="Paid","Completed",Table1[[#This Row],[Payment Status]]="Pending","Pending"),"Invalid Input")</f>
        <v>In Transit</v>
      </c>
    </row>
    <row r="1014" spans="1:21" x14ac:dyDescent="0.25">
      <c r="A1014" s="4" t="s">
        <v>1849</v>
      </c>
      <c r="B1014" s="5">
        <v>45731</v>
      </c>
      <c r="C1014" t="s">
        <v>41</v>
      </c>
      <c r="D1014" t="s">
        <v>3270</v>
      </c>
      <c r="E1014" t="s">
        <v>47</v>
      </c>
      <c r="F1014" t="s">
        <v>3205</v>
      </c>
      <c r="G1014" t="s">
        <v>48</v>
      </c>
      <c r="H1014" t="str">
        <f>VLOOKUP(Table1[[#This Row],[City]],Table6[#All],2,FALSE)</f>
        <v>North</v>
      </c>
      <c r="I1014" t="s">
        <v>3204</v>
      </c>
      <c r="J1014" t="str">
        <f>_xlfn.XLOOKUP(Table1[[#This Row],[Tractor Model]],Table7[Product Model],Table7[Product Category],"Not Available",0)</f>
        <v>Kubota</v>
      </c>
      <c r="K1014" s="4">
        <v>6</v>
      </c>
      <c r="L1014" s="72">
        <v>816316</v>
      </c>
      <c r="M1014" s="4">
        <f>INDEX('Master Sheet'!$C$4:$C$12,MATCH(Table1[[#This Row],[Quantity]],'Master Sheet'!$B$4:$B$12,0))</f>
        <v>8</v>
      </c>
      <c r="N1014" s="71">
        <f>Table1[[#This Row],[Quantity]]*Table1[[#This Row],[Unit Price]]</f>
        <v>4897896</v>
      </c>
      <c r="O1014" s="73">
        <v>0.48978959999999999</v>
      </c>
      <c r="P1014" s="70">
        <f>Table1[[#This Row],[Gross Amount]]*(1-(Table1[[#This Row],[Discount %]]/100))</f>
        <v>4506064.32</v>
      </c>
      <c r="Q1014" s="74">
        <f>(Table1[[#This Row],[Gross Amount]]*(1-(Table1[[#This Row],[Discount %]]/100)))/10000000</f>
        <v>0.45060643200000006</v>
      </c>
      <c r="R1014" t="s">
        <v>54</v>
      </c>
      <c r="S1014" t="str" cm="1">
        <f t="array" ref="S1014">IFERROR(_xlfn.IFS(Table1[[#This Row],[Payment Status]]="Partial","In Transit",Table1[[#This Row],[Payment Status]]="Paid","Delivered",Table1[[#This Row],[Payment Status]]="Pending","Pending"),"Invalid Input")</f>
        <v>Delivered</v>
      </c>
      <c r="T1014" t="s">
        <v>27</v>
      </c>
      <c r="U1014" t="str" cm="1">
        <f t="array" ref="U1014">IFERROR(_xlfn.IFS(Table1[[#This Row],[Payment Status]]="Partial","In Transit",Table1[[#This Row],[Payment Status]]="Paid","Completed",Table1[[#This Row],[Payment Status]]="Pending","Pending"),"Invalid Input")</f>
        <v>Completed</v>
      </c>
    </row>
    <row r="1015" spans="1:21" x14ac:dyDescent="0.25">
      <c r="A1015" s="4" t="s">
        <v>1851</v>
      </c>
      <c r="B1015" s="5">
        <v>45558</v>
      </c>
      <c r="C1015" t="s">
        <v>73</v>
      </c>
      <c r="D1015" t="s">
        <v>37</v>
      </c>
      <c r="E1015" t="s">
        <v>66</v>
      </c>
      <c r="F1015" t="s">
        <v>3226</v>
      </c>
      <c r="G1015" t="s">
        <v>67</v>
      </c>
      <c r="H1015" t="str">
        <f>VLOOKUP(Table1[[#This Row],[City]],Table6[#All],2,FALSE)</f>
        <v>East</v>
      </c>
      <c r="I1015" t="s">
        <v>58</v>
      </c>
      <c r="J1015" t="str">
        <f>_xlfn.XLOOKUP(Table1[[#This Row],[Tractor Model]],Table7[Product Model],Table7[Product Category],"Not Available",0)</f>
        <v>Powertrac</v>
      </c>
      <c r="K1015" s="4">
        <v>8</v>
      </c>
      <c r="L1015" s="72">
        <v>132873</v>
      </c>
      <c r="M1015" s="4">
        <f>INDEX('Master Sheet'!$C$4:$C$12,MATCH(Table1[[#This Row],[Quantity]],'Master Sheet'!$B$4:$B$12,0))</f>
        <v>9</v>
      </c>
      <c r="N1015" s="71">
        <f>Table1[[#This Row],[Quantity]]*Table1[[#This Row],[Unit Price]]</f>
        <v>1062984</v>
      </c>
      <c r="O1015" s="73">
        <v>0.1062984</v>
      </c>
      <c r="P1015" s="70">
        <f>Table1[[#This Row],[Gross Amount]]*(1-(Table1[[#This Row],[Discount %]]/100))</f>
        <v>967315.44000000006</v>
      </c>
      <c r="Q1015" s="74">
        <f>(Table1[[#This Row],[Gross Amount]]*(1-(Table1[[#This Row],[Discount %]]/100)))/10000000</f>
        <v>9.6731544000000003E-2</v>
      </c>
      <c r="R1015" t="s">
        <v>42</v>
      </c>
      <c r="S1015" t="str" cm="1">
        <f t="array" ref="S1015">IFERROR(_xlfn.IFS(Table1[[#This Row],[Payment Status]]="Partial","In Transit",Table1[[#This Row],[Payment Status]]="Paid","Delivered",Table1[[#This Row],[Payment Status]]="Pending","Pending"),"Invalid Input")</f>
        <v>Pending</v>
      </c>
      <c r="T1015" t="s">
        <v>44</v>
      </c>
      <c r="U1015" t="str" cm="1">
        <f t="array" ref="U1015">IFERROR(_xlfn.IFS(Table1[[#This Row],[Payment Status]]="Partial","In Transit",Table1[[#This Row],[Payment Status]]="Paid","Completed",Table1[[#This Row],[Payment Status]]="Pending","Pending"),"Invalid Input")</f>
        <v>Pending</v>
      </c>
    </row>
    <row r="1016" spans="1:21" x14ac:dyDescent="0.25">
      <c r="A1016" s="4" t="s">
        <v>1852</v>
      </c>
      <c r="B1016" s="5">
        <v>45598</v>
      </c>
      <c r="C1016" t="s">
        <v>62</v>
      </c>
      <c r="D1016" t="s">
        <v>3270</v>
      </c>
      <c r="E1016" t="s">
        <v>66</v>
      </c>
      <c r="F1016" t="s">
        <v>3220</v>
      </c>
      <c r="G1016" t="s">
        <v>67</v>
      </c>
      <c r="H1016" t="str">
        <f>VLOOKUP(Table1[[#This Row],[City]],Table6[#All],2,FALSE)</f>
        <v>East</v>
      </c>
      <c r="I1016" t="s">
        <v>24</v>
      </c>
      <c r="J1016" t="str">
        <f>_xlfn.XLOOKUP(Table1[[#This Row],[Tractor Model]],Table7[Product Model],Table7[Product Category],"Not Available",0)</f>
        <v>Farmtrac</v>
      </c>
      <c r="K1016" s="4">
        <v>8</v>
      </c>
      <c r="L1016" s="72">
        <v>647783</v>
      </c>
      <c r="M1016" s="4">
        <f>INDEX('Master Sheet'!$C$4:$C$12,MATCH(Table1[[#This Row],[Quantity]],'Master Sheet'!$B$4:$B$12,0))</f>
        <v>9</v>
      </c>
      <c r="N1016" s="71">
        <f>Table1[[#This Row],[Quantity]]*Table1[[#This Row],[Unit Price]]</f>
        <v>5182264</v>
      </c>
      <c r="O1016" s="73">
        <v>0.51822639999999998</v>
      </c>
      <c r="P1016" s="70">
        <f>Table1[[#This Row],[Gross Amount]]*(1-(Table1[[#This Row],[Discount %]]/100))</f>
        <v>4715860.24</v>
      </c>
      <c r="Q1016" s="74">
        <f>(Table1[[#This Row],[Gross Amount]]*(1-(Table1[[#This Row],[Discount %]]/100)))/10000000</f>
        <v>0.47158602400000005</v>
      </c>
      <c r="R1016" t="s">
        <v>25</v>
      </c>
      <c r="S1016" t="str" cm="1">
        <f t="array" ref="S1016">IFERROR(_xlfn.IFS(Table1[[#This Row],[Payment Status]]="Partial","In Transit",Table1[[#This Row],[Payment Status]]="Paid","Delivered",Table1[[#This Row],[Payment Status]]="Pending","Pending"),"Invalid Input")</f>
        <v>In Transit</v>
      </c>
      <c r="T1016" t="s">
        <v>27</v>
      </c>
      <c r="U1016" t="str" cm="1">
        <f t="array" ref="U1016">IFERROR(_xlfn.IFS(Table1[[#This Row],[Payment Status]]="Partial","In Transit",Table1[[#This Row],[Payment Status]]="Paid","Completed",Table1[[#This Row],[Payment Status]]="Pending","Pending"),"Invalid Input")</f>
        <v>In Transit</v>
      </c>
    </row>
    <row r="1017" spans="1:21" x14ac:dyDescent="0.25">
      <c r="A1017" s="4" t="s">
        <v>1853</v>
      </c>
      <c r="B1017" s="5">
        <v>45489</v>
      </c>
      <c r="C1017" t="s">
        <v>41</v>
      </c>
      <c r="D1017" t="s">
        <v>3268</v>
      </c>
      <c r="E1017" t="s">
        <v>30</v>
      </c>
      <c r="F1017" t="s">
        <v>3208</v>
      </c>
      <c r="G1017" t="s">
        <v>31</v>
      </c>
      <c r="H1017" t="str">
        <f>VLOOKUP(Table1[[#This Row],[City]],Table6[#All],2,FALSE)</f>
        <v>South</v>
      </c>
      <c r="I1017" t="s">
        <v>3203</v>
      </c>
      <c r="J1017" t="str">
        <f>_xlfn.XLOOKUP(Table1[[#This Row],[Tractor Model]],Table7[Product Model],Table7[Product Category],"Not Available",0)</f>
        <v>Kubota</v>
      </c>
      <c r="K1017" s="4">
        <v>4</v>
      </c>
      <c r="L1017" s="72">
        <v>635200</v>
      </c>
      <c r="M1017" s="4">
        <f>INDEX('Master Sheet'!$C$4:$C$12,MATCH(Table1[[#This Row],[Quantity]],'Master Sheet'!$B$4:$B$12,0))</f>
        <v>6</v>
      </c>
      <c r="N1017" s="71">
        <f>Table1[[#This Row],[Quantity]]*Table1[[#This Row],[Unit Price]]</f>
        <v>2540800</v>
      </c>
      <c r="O1017" s="73">
        <v>0.25407999999999997</v>
      </c>
      <c r="P1017" s="70">
        <f>Table1[[#This Row],[Gross Amount]]*(1-(Table1[[#This Row],[Discount %]]/100))</f>
        <v>2388352</v>
      </c>
      <c r="Q1017" s="74">
        <f>(Table1[[#This Row],[Gross Amount]]*(1-(Table1[[#This Row],[Discount %]]/100)))/10000000</f>
        <v>0.2388352</v>
      </c>
      <c r="R1017" t="s">
        <v>42</v>
      </c>
      <c r="S1017" t="str" cm="1">
        <f t="array" ref="S1017">IFERROR(_xlfn.IFS(Table1[[#This Row],[Payment Status]]="Partial","In Transit",Table1[[#This Row],[Payment Status]]="Paid","Delivered",Table1[[#This Row],[Payment Status]]="Pending","Pending"),"Invalid Input")</f>
        <v>Pending</v>
      </c>
      <c r="T1017" t="s">
        <v>27</v>
      </c>
      <c r="U1017" t="str" cm="1">
        <f t="array" ref="U1017">IFERROR(_xlfn.IFS(Table1[[#This Row],[Payment Status]]="Partial","In Transit",Table1[[#This Row],[Payment Status]]="Paid","Completed",Table1[[#This Row],[Payment Status]]="Pending","Pending"),"Invalid Input")</f>
        <v>Pending</v>
      </c>
    </row>
    <row r="1018" spans="1:21" x14ac:dyDescent="0.25">
      <c r="A1018" s="4" t="s">
        <v>1854</v>
      </c>
      <c r="B1018" s="5">
        <v>45473</v>
      </c>
      <c r="C1018" t="s">
        <v>52</v>
      </c>
      <c r="D1018" t="s">
        <v>3270</v>
      </c>
      <c r="E1018" t="s">
        <v>47</v>
      </c>
      <c r="F1018" t="s">
        <v>3205</v>
      </c>
      <c r="G1018" t="s">
        <v>48</v>
      </c>
      <c r="H1018" t="str">
        <f>VLOOKUP(Table1[[#This Row],[City]],Table6[#All],2,FALSE)</f>
        <v>North</v>
      </c>
      <c r="I1018" t="s">
        <v>24</v>
      </c>
      <c r="J1018" t="str">
        <f>_xlfn.XLOOKUP(Table1[[#This Row],[Tractor Model]],Table7[Product Model],Table7[Product Category],"Not Available",0)</f>
        <v>Farmtrac</v>
      </c>
      <c r="K1018" s="4">
        <v>5</v>
      </c>
      <c r="L1018" s="72">
        <v>427091</v>
      </c>
      <c r="M1018" s="4">
        <f>INDEX('Master Sheet'!$C$4:$C$12,MATCH(Table1[[#This Row],[Quantity]],'Master Sheet'!$B$4:$B$12,0))</f>
        <v>7</v>
      </c>
      <c r="N1018" s="71">
        <f>Table1[[#This Row],[Quantity]]*Table1[[#This Row],[Unit Price]]</f>
        <v>2135455</v>
      </c>
      <c r="O1018" s="73">
        <v>0.2135455</v>
      </c>
      <c r="P1018" s="70">
        <f>Table1[[#This Row],[Gross Amount]]*(1-(Table1[[#This Row],[Discount %]]/100))</f>
        <v>1985973.15</v>
      </c>
      <c r="Q1018" s="74">
        <f>(Table1[[#This Row],[Gross Amount]]*(1-(Table1[[#This Row],[Discount %]]/100)))/10000000</f>
        <v>0.198597315</v>
      </c>
      <c r="R1018" t="s">
        <v>54</v>
      </c>
      <c r="S1018" t="str" cm="1">
        <f t="array" ref="S1018">IFERROR(_xlfn.IFS(Table1[[#This Row],[Payment Status]]="Partial","In Transit",Table1[[#This Row],[Payment Status]]="Paid","Delivered",Table1[[#This Row],[Payment Status]]="Pending","Pending"),"Invalid Input")</f>
        <v>Delivered</v>
      </c>
      <c r="T1018" t="s">
        <v>44</v>
      </c>
      <c r="U1018" t="str" cm="1">
        <f t="array" ref="U1018">IFERROR(_xlfn.IFS(Table1[[#This Row],[Payment Status]]="Partial","In Transit",Table1[[#This Row],[Payment Status]]="Paid","Completed",Table1[[#This Row],[Payment Status]]="Pending","Pending"),"Invalid Input")</f>
        <v>Completed</v>
      </c>
    </row>
    <row r="1019" spans="1:21" x14ac:dyDescent="0.25">
      <c r="A1019" s="4" t="s">
        <v>1856</v>
      </c>
      <c r="B1019" s="5">
        <v>45553</v>
      </c>
      <c r="C1019" t="s">
        <v>52</v>
      </c>
      <c r="D1019" t="s">
        <v>37</v>
      </c>
      <c r="E1019" t="s">
        <v>66</v>
      </c>
      <c r="F1019" t="s">
        <v>3226</v>
      </c>
      <c r="G1019" t="s">
        <v>67</v>
      </c>
      <c r="H1019" t="str">
        <f>VLOOKUP(Table1[[#This Row],[City]],Table6[#All],2,FALSE)</f>
        <v>East</v>
      </c>
      <c r="I1019" t="s">
        <v>53</v>
      </c>
      <c r="J1019" t="str">
        <f>_xlfn.XLOOKUP(Table1[[#This Row],[Tractor Model]],Table7[Product Model],Table7[Product Category],"Not Available",0)</f>
        <v>Farmtrac</v>
      </c>
      <c r="K1019" s="4">
        <v>6</v>
      </c>
      <c r="L1019" s="72">
        <v>416356</v>
      </c>
      <c r="M1019" s="4">
        <f>INDEX('Master Sheet'!$C$4:$C$12,MATCH(Table1[[#This Row],[Quantity]],'Master Sheet'!$B$4:$B$12,0))</f>
        <v>8</v>
      </c>
      <c r="N1019" s="71">
        <f>Table1[[#This Row],[Quantity]]*Table1[[#This Row],[Unit Price]]</f>
        <v>2498136</v>
      </c>
      <c r="O1019" s="73">
        <v>0.2498136</v>
      </c>
      <c r="P1019" s="70">
        <f>Table1[[#This Row],[Gross Amount]]*(1-(Table1[[#This Row],[Discount %]]/100))</f>
        <v>2298285.12</v>
      </c>
      <c r="Q1019" s="74">
        <f>(Table1[[#This Row],[Gross Amount]]*(1-(Table1[[#This Row],[Discount %]]/100)))/10000000</f>
        <v>0.22982851200000001</v>
      </c>
      <c r="R1019" t="s">
        <v>25</v>
      </c>
      <c r="S1019" t="str" cm="1">
        <f t="array" ref="S1019">IFERROR(_xlfn.IFS(Table1[[#This Row],[Payment Status]]="Partial","In Transit",Table1[[#This Row],[Payment Status]]="Paid","Delivered",Table1[[#This Row],[Payment Status]]="Pending","Pending"),"Invalid Input")</f>
        <v>In Transit</v>
      </c>
      <c r="T1019" t="s">
        <v>44</v>
      </c>
      <c r="U1019" t="str" cm="1">
        <f t="array" ref="U1019">IFERROR(_xlfn.IFS(Table1[[#This Row],[Payment Status]]="Partial","In Transit",Table1[[#This Row],[Payment Status]]="Paid","Completed",Table1[[#This Row],[Payment Status]]="Pending","Pending"),"Invalid Input")</f>
        <v>In Transit</v>
      </c>
    </row>
    <row r="1020" spans="1:21" x14ac:dyDescent="0.25">
      <c r="A1020" s="4" t="s">
        <v>1858</v>
      </c>
      <c r="B1020" s="5">
        <v>45435</v>
      </c>
      <c r="C1020" t="s">
        <v>41</v>
      </c>
      <c r="D1020" t="s">
        <v>3270</v>
      </c>
      <c r="E1020" t="s">
        <v>47</v>
      </c>
      <c r="F1020" t="s">
        <v>3205</v>
      </c>
      <c r="G1020" t="s">
        <v>48</v>
      </c>
      <c r="H1020" t="str">
        <f>VLOOKUP(Table1[[#This Row],[City]],Table6[#All],2,FALSE)</f>
        <v>North</v>
      </c>
      <c r="I1020" t="s">
        <v>3204</v>
      </c>
      <c r="J1020" t="str">
        <f>_xlfn.XLOOKUP(Table1[[#This Row],[Tractor Model]],Table7[Product Model],Table7[Product Category],"Not Available",0)</f>
        <v>Kubota</v>
      </c>
      <c r="K1020" s="4">
        <v>7</v>
      </c>
      <c r="L1020" s="72">
        <v>830184</v>
      </c>
      <c r="M1020" s="4">
        <f>INDEX('Master Sheet'!$C$4:$C$12,MATCH(Table1[[#This Row],[Quantity]],'Master Sheet'!$B$4:$B$12,0))</f>
        <v>9</v>
      </c>
      <c r="N1020" s="71">
        <f>Table1[[#This Row],[Quantity]]*Table1[[#This Row],[Unit Price]]</f>
        <v>5811288</v>
      </c>
      <c r="O1020" s="73">
        <v>0.5811288</v>
      </c>
      <c r="P1020" s="70">
        <f>Table1[[#This Row],[Gross Amount]]*(1-(Table1[[#This Row],[Discount %]]/100))</f>
        <v>5288272.08</v>
      </c>
      <c r="Q1020" s="74">
        <f>(Table1[[#This Row],[Gross Amount]]*(1-(Table1[[#This Row],[Discount %]]/100)))/10000000</f>
        <v>0.52882720800000005</v>
      </c>
      <c r="R1020" t="s">
        <v>42</v>
      </c>
      <c r="S1020" t="str" cm="1">
        <f t="array" ref="S1020">IFERROR(_xlfn.IFS(Table1[[#This Row],[Payment Status]]="Partial","In Transit",Table1[[#This Row],[Payment Status]]="Paid","Delivered",Table1[[#This Row],[Payment Status]]="Pending","Pending"),"Invalid Input")</f>
        <v>Pending</v>
      </c>
      <c r="T1020" t="s">
        <v>27</v>
      </c>
      <c r="U1020" t="str" cm="1">
        <f t="array" ref="U1020">IFERROR(_xlfn.IFS(Table1[[#This Row],[Payment Status]]="Partial","In Transit",Table1[[#This Row],[Payment Status]]="Paid","Completed",Table1[[#This Row],[Payment Status]]="Pending","Pending"),"Invalid Input")</f>
        <v>Pending</v>
      </c>
    </row>
    <row r="1021" spans="1:21" x14ac:dyDescent="0.25">
      <c r="A1021" s="4" t="s">
        <v>1859</v>
      </c>
      <c r="B1021" s="5">
        <v>45707</v>
      </c>
      <c r="C1021" t="s">
        <v>73</v>
      </c>
      <c r="D1021" t="s">
        <v>3271</v>
      </c>
      <c r="E1021" t="s">
        <v>119</v>
      </c>
      <c r="F1021" t="s">
        <v>3228</v>
      </c>
      <c r="G1021" t="s">
        <v>21</v>
      </c>
      <c r="H1021" t="str">
        <f>VLOOKUP(Table1[[#This Row],[City]],Table6[#All],2,FALSE)</f>
        <v>North</v>
      </c>
      <c r="I1021" t="s">
        <v>53</v>
      </c>
      <c r="J1021" t="str">
        <f>_xlfn.XLOOKUP(Table1[[#This Row],[Tractor Model]],Table7[Product Model],Table7[Product Category],"Not Available",0)</f>
        <v>Farmtrac</v>
      </c>
      <c r="K1021" s="4">
        <v>1</v>
      </c>
      <c r="L1021" s="72">
        <v>496466</v>
      </c>
      <c r="M1021" s="4">
        <f>INDEX('Master Sheet'!$C$4:$C$12,MATCH(Table1[[#This Row],[Quantity]],'Master Sheet'!$B$4:$B$12,0))</f>
        <v>3</v>
      </c>
      <c r="N1021" s="71">
        <f>Table1[[#This Row],[Quantity]]*Table1[[#This Row],[Unit Price]]</f>
        <v>496466</v>
      </c>
      <c r="O1021" s="73">
        <v>4.9646599999999999E-2</v>
      </c>
      <c r="P1021" s="70">
        <f>Table1[[#This Row],[Gross Amount]]*(1-(Table1[[#This Row],[Discount %]]/100))</f>
        <v>481572.01999999996</v>
      </c>
      <c r="Q1021" s="74">
        <f>(Table1[[#This Row],[Gross Amount]]*(1-(Table1[[#This Row],[Discount %]]/100)))/10000000</f>
        <v>4.8157201999999996E-2</v>
      </c>
      <c r="R1021" t="s">
        <v>25</v>
      </c>
      <c r="S1021" t="str" cm="1">
        <f t="array" ref="S1021">IFERROR(_xlfn.IFS(Table1[[#This Row],[Payment Status]]="Partial","In Transit",Table1[[#This Row],[Payment Status]]="Paid","Delivered",Table1[[#This Row],[Payment Status]]="Pending","Pending"),"Invalid Input")</f>
        <v>In Transit</v>
      </c>
      <c r="T1021" t="s">
        <v>27</v>
      </c>
      <c r="U1021" t="str" cm="1">
        <f t="array" ref="U1021">IFERROR(_xlfn.IFS(Table1[[#This Row],[Payment Status]]="Partial","In Transit",Table1[[#This Row],[Payment Status]]="Paid","Completed",Table1[[#This Row],[Payment Status]]="Pending","Pending"),"Invalid Input")</f>
        <v>In Transit</v>
      </c>
    </row>
    <row r="1022" spans="1:21" x14ac:dyDescent="0.25">
      <c r="A1022" s="4" t="s">
        <v>1860</v>
      </c>
      <c r="B1022" s="5">
        <v>45780</v>
      </c>
      <c r="C1022" t="s">
        <v>73</v>
      </c>
      <c r="D1022" t="s">
        <v>3268</v>
      </c>
      <c r="E1022" t="s">
        <v>30</v>
      </c>
      <c r="F1022" t="s">
        <v>3208</v>
      </c>
      <c r="G1022" t="s">
        <v>31</v>
      </c>
      <c r="H1022" t="str">
        <f>VLOOKUP(Table1[[#This Row],[City]],Table6[#All],2,FALSE)</f>
        <v>South</v>
      </c>
      <c r="I1022" t="s">
        <v>3203</v>
      </c>
      <c r="J1022" t="str">
        <f>_xlfn.XLOOKUP(Table1[[#This Row],[Tractor Model]],Table7[Product Model],Table7[Product Category],"Not Available",0)</f>
        <v>Kubota</v>
      </c>
      <c r="K1022" s="4">
        <v>5</v>
      </c>
      <c r="L1022" s="72">
        <v>757256</v>
      </c>
      <c r="M1022" s="4">
        <f>INDEX('Master Sheet'!$C$4:$C$12,MATCH(Table1[[#This Row],[Quantity]],'Master Sheet'!$B$4:$B$12,0))</f>
        <v>7</v>
      </c>
      <c r="N1022" s="71">
        <f>Table1[[#This Row],[Quantity]]*Table1[[#This Row],[Unit Price]]</f>
        <v>3786280</v>
      </c>
      <c r="O1022" s="73">
        <v>0.37862800000000002</v>
      </c>
      <c r="P1022" s="70">
        <f>Table1[[#This Row],[Gross Amount]]*(1-(Table1[[#This Row],[Discount %]]/100))</f>
        <v>3521240.4</v>
      </c>
      <c r="Q1022" s="74">
        <f>(Table1[[#This Row],[Gross Amount]]*(1-(Table1[[#This Row],[Discount %]]/100)))/10000000</f>
        <v>0.35212403999999997</v>
      </c>
      <c r="R1022" t="s">
        <v>54</v>
      </c>
      <c r="S1022" t="str" cm="1">
        <f t="array" ref="S1022">IFERROR(_xlfn.IFS(Table1[[#This Row],[Payment Status]]="Partial","In Transit",Table1[[#This Row],[Payment Status]]="Paid","Delivered",Table1[[#This Row],[Payment Status]]="Pending","Pending"),"Invalid Input")</f>
        <v>Delivered</v>
      </c>
      <c r="T1022" t="s">
        <v>44</v>
      </c>
      <c r="U1022" t="str" cm="1">
        <f t="array" ref="U1022">IFERROR(_xlfn.IFS(Table1[[#This Row],[Payment Status]]="Partial","In Transit",Table1[[#This Row],[Payment Status]]="Paid","Completed",Table1[[#This Row],[Payment Status]]="Pending","Pending"),"Invalid Input")</f>
        <v>Completed</v>
      </c>
    </row>
    <row r="1023" spans="1:21" x14ac:dyDescent="0.25">
      <c r="A1023" s="4" t="s">
        <v>1861</v>
      </c>
      <c r="B1023" s="5">
        <v>45997</v>
      </c>
      <c r="C1023" t="s">
        <v>73</v>
      </c>
      <c r="D1023" t="s">
        <v>3268</v>
      </c>
      <c r="E1023" t="s">
        <v>30</v>
      </c>
      <c r="F1023" t="s">
        <v>3208</v>
      </c>
      <c r="G1023" t="s">
        <v>31</v>
      </c>
      <c r="H1023" t="str">
        <f>VLOOKUP(Table1[[#This Row],[City]],Table6[#All],2,FALSE)</f>
        <v>South</v>
      </c>
      <c r="I1023" t="s">
        <v>24</v>
      </c>
      <c r="J1023" t="str">
        <f>_xlfn.XLOOKUP(Table1[[#This Row],[Tractor Model]],Table7[Product Model],Table7[Product Category],"Not Available",0)</f>
        <v>Farmtrac</v>
      </c>
      <c r="K1023" s="4">
        <v>2</v>
      </c>
      <c r="L1023" s="72">
        <v>780928</v>
      </c>
      <c r="M1023" s="4">
        <f>INDEX('Master Sheet'!$C$4:$C$12,MATCH(Table1[[#This Row],[Quantity]],'Master Sheet'!$B$4:$B$12,0))</f>
        <v>5</v>
      </c>
      <c r="N1023" s="71">
        <f>Table1[[#This Row],[Quantity]]*Table1[[#This Row],[Unit Price]]</f>
        <v>1561856</v>
      </c>
      <c r="O1023" s="73">
        <v>0.15618560000000001</v>
      </c>
      <c r="P1023" s="70">
        <f>Table1[[#This Row],[Gross Amount]]*(1-(Table1[[#This Row],[Discount %]]/100))</f>
        <v>1483763.2</v>
      </c>
      <c r="Q1023" s="74">
        <f>(Table1[[#This Row],[Gross Amount]]*(1-(Table1[[#This Row],[Discount %]]/100)))/10000000</f>
        <v>0.14837632000000001</v>
      </c>
      <c r="R1023" t="s">
        <v>42</v>
      </c>
      <c r="S1023" t="str" cm="1">
        <f t="array" ref="S1023">IFERROR(_xlfn.IFS(Table1[[#This Row],[Payment Status]]="Partial","In Transit",Table1[[#This Row],[Payment Status]]="Paid","Delivered",Table1[[#This Row],[Payment Status]]="Pending","Pending"),"Invalid Input")</f>
        <v>Pending</v>
      </c>
      <c r="T1023" t="s">
        <v>44</v>
      </c>
      <c r="U1023" t="str" cm="1">
        <f t="array" ref="U1023">IFERROR(_xlfn.IFS(Table1[[#This Row],[Payment Status]]="Partial","In Transit",Table1[[#This Row],[Payment Status]]="Paid","Completed",Table1[[#This Row],[Payment Status]]="Pending","Pending"),"Invalid Input")</f>
        <v>Pending</v>
      </c>
    </row>
    <row r="1024" spans="1:21" x14ac:dyDescent="0.25">
      <c r="A1024" s="4" t="s">
        <v>1863</v>
      </c>
      <c r="B1024" s="5">
        <v>45617</v>
      </c>
      <c r="C1024" t="s">
        <v>33</v>
      </c>
      <c r="D1024" t="s">
        <v>3271</v>
      </c>
      <c r="E1024" t="s">
        <v>47</v>
      </c>
      <c r="F1024" t="s">
        <v>3221</v>
      </c>
      <c r="G1024" t="s">
        <v>48</v>
      </c>
      <c r="H1024" t="str">
        <f>VLOOKUP(Table1[[#This Row],[City]],Table6[#All],2,FALSE)</f>
        <v>North</v>
      </c>
      <c r="I1024" t="s">
        <v>58</v>
      </c>
      <c r="J1024" t="str">
        <f>_xlfn.XLOOKUP(Table1[[#This Row],[Tractor Model]],Table7[Product Model],Table7[Product Category],"Not Available",0)</f>
        <v>Powertrac</v>
      </c>
      <c r="K1024" s="4">
        <v>8</v>
      </c>
      <c r="L1024" s="72">
        <v>689904</v>
      </c>
      <c r="M1024" s="4">
        <f>INDEX('Master Sheet'!$C$4:$C$12,MATCH(Table1[[#This Row],[Quantity]],'Master Sheet'!$B$4:$B$12,0))</f>
        <v>9</v>
      </c>
      <c r="N1024" s="71">
        <f>Table1[[#This Row],[Quantity]]*Table1[[#This Row],[Unit Price]]</f>
        <v>5519232</v>
      </c>
      <c r="O1024" s="73">
        <v>0.55192319999999995</v>
      </c>
      <c r="P1024" s="70">
        <f>Table1[[#This Row],[Gross Amount]]*(1-(Table1[[#This Row],[Discount %]]/100))</f>
        <v>5022501.12</v>
      </c>
      <c r="Q1024" s="74">
        <f>(Table1[[#This Row],[Gross Amount]]*(1-(Table1[[#This Row],[Discount %]]/100)))/10000000</f>
        <v>0.50225011200000003</v>
      </c>
      <c r="R1024" t="s">
        <v>25</v>
      </c>
      <c r="S1024" t="str" cm="1">
        <f t="array" ref="S1024">IFERROR(_xlfn.IFS(Table1[[#This Row],[Payment Status]]="Partial","In Transit",Table1[[#This Row],[Payment Status]]="Paid","Delivered",Table1[[#This Row],[Payment Status]]="Pending","Pending"),"Invalid Input")</f>
        <v>In Transit</v>
      </c>
      <c r="T1024" t="s">
        <v>27</v>
      </c>
      <c r="U1024" t="str" cm="1">
        <f t="array" ref="U1024">IFERROR(_xlfn.IFS(Table1[[#This Row],[Payment Status]]="Partial","In Transit",Table1[[#This Row],[Payment Status]]="Paid","Completed",Table1[[#This Row],[Payment Status]]="Pending","Pending"),"Invalid Input")</f>
        <v>In Transit</v>
      </c>
    </row>
    <row r="1025" spans="1:21" x14ac:dyDescent="0.25">
      <c r="A1025" s="4" t="s">
        <v>1864</v>
      </c>
      <c r="B1025" s="5">
        <v>45544</v>
      </c>
      <c r="C1025" t="s">
        <v>33</v>
      </c>
      <c r="D1025" t="s">
        <v>3268</v>
      </c>
      <c r="E1025" t="s">
        <v>47</v>
      </c>
      <c r="F1025" t="s">
        <v>3216</v>
      </c>
      <c r="G1025" t="s">
        <v>48</v>
      </c>
      <c r="H1025" t="str">
        <f>VLOOKUP(Table1[[#This Row],[City]],Table6[#All],2,FALSE)</f>
        <v>North</v>
      </c>
      <c r="I1025" t="s">
        <v>58</v>
      </c>
      <c r="J1025" t="str">
        <f>_xlfn.XLOOKUP(Table1[[#This Row],[Tractor Model]],Table7[Product Model],Table7[Product Category],"Not Available",0)</f>
        <v>Powertrac</v>
      </c>
      <c r="K1025" s="4">
        <v>7</v>
      </c>
      <c r="L1025" s="72">
        <v>816506</v>
      </c>
      <c r="M1025" s="4">
        <f>INDEX('Master Sheet'!$C$4:$C$12,MATCH(Table1[[#This Row],[Quantity]],'Master Sheet'!$B$4:$B$12,0))</f>
        <v>9</v>
      </c>
      <c r="N1025" s="71">
        <f>Table1[[#This Row],[Quantity]]*Table1[[#This Row],[Unit Price]]</f>
        <v>5715542</v>
      </c>
      <c r="O1025" s="73">
        <v>0.57155420000000001</v>
      </c>
      <c r="P1025" s="70">
        <f>Table1[[#This Row],[Gross Amount]]*(1-(Table1[[#This Row],[Discount %]]/100))</f>
        <v>5201143.22</v>
      </c>
      <c r="Q1025" s="74">
        <f>(Table1[[#This Row],[Gross Amount]]*(1-(Table1[[#This Row],[Discount %]]/100)))/10000000</f>
        <v>0.52011432199999996</v>
      </c>
      <c r="R1025" t="s">
        <v>54</v>
      </c>
      <c r="S1025" t="str" cm="1">
        <f t="array" ref="S1025">IFERROR(_xlfn.IFS(Table1[[#This Row],[Payment Status]]="Partial","In Transit",Table1[[#This Row],[Payment Status]]="Paid","Delivered",Table1[[#This Row],[Payment Status]]="Pending","Pending"),"Invalid Input")</f>
        <v>Delivered</v>
      </c>
      <c r="T1025" t="s">
        <v>44</v>
      </c>
      <c r="U1025" t="str" cm="1">
        <f t="array" ref="U1025">IFERROR(_xlfn.IFS(Table1[[#This Row],[Payment Status]]="Partial","In Transit",Table1[[#This Row],[Payment Status]]="Paid","Completed",Table1[[#This Row],[Payment Status]]="Pending","Pending"),"Invalid Input")</f>
        <v>Completed</v>
      </c>
    </row>
    <row r="1026" spans="1:21" x14ac:dyDescent="0.25">
      <c r="A1026" s="4" t="s">
        <v>1865</v>
      </c>
      <c r="B1026" s="5">
        <v>45406</v>
      </c>
      <c r="C1026" t="s">
        <v>41</v>
      </c>
      <c r="D1026" t="s">
        <v>3271</v>
      </c>
      <c r="E1026" t="s">
        <v>30</v>
      </c>
      <c r="F1026" t="s">
        <v>3217</v>
      </c>
      <c r="G1026" t="s">
        <v>31</v>
      </c>
      <c r="H1026" t="str">
        <f>VLOOKUP(Table1[[#This Row],[City]],Table6[#All],2,FALSE)</f>
        <v>South</v>
      </c>
      <c r="I1026" t="s">
        <v>58</v>
      </c>
      <c r="J1026" t="str">
        <f>_xlfn.XLOOKUP(Table1[[#This Row],[Tractor Model]],Table7[Product Model],Table7[Product Category],"Not Available",0)</f>
        <v>Powertrac</v>
      </c>
      <c r="K1026" s="4">
        <v>1</v>
      </c>
      <c r="L1026" s="72">
        <v>149032</v>
      </c>
      <c r="M1026" s="4">
        <f>INDEX('Master Sheet'!$C$4:$C$12,MATCH(Table1[[#This Row],[Quantity]],'Master Sheet'!$B$4:$B$12,0))</f>
        <v>3</v>
      </c>
      <c r="N1026" s="71">
        <f>Table1[[#This Row],[Quantity]]*Table1[[#This Row],[Unit Price]]</f>
        <v>149032</v>
      </c>
      <c r="O1026" s="73">
        <v>1.49032E-2</v>
      </c>
      <c r="P1026" s="70">
        <f>Table1[[#This Row],[Gross Amount]]*(1-(Table1[[#This Row],[Discount %]]/100))</f>
        <v>144561.04</v>
      </c>
      <c r="Q1026" s="74">
        <f>(Table1[[#This Row],[Gross Amount]]*(1-(Table1[[#This Row],[Discount %]]/100)))/10000000</f>
        <v>1.4456104000000001E-2</v>
      </c>
      <c r="R1026" t="s">
        <v>42</v>
      </c>
      <c r="S1026" t="str" cm="1">
        <f t="array" ref="S1026">IFERROR(_xlfn.IFS(Table1[[#This Row],[Payment Status]]="Partial","In Transit",Table1[[#This Row],[Payment Status]]="Paid","Delivered",Table1[[#This Row],[Payment Status]]="Pending","Pending"),"Invalid Input")</f>
        <v>Pending</v>
      </c>
      <c r="T1026" t="s">
        <v>27</v>
      </c>
      <c r="U1026" t="str" cm="1">
        <f t="array" ref="U1026">IFERROR(_xlfn.IFS(Table1[[#This Row],[Payment Status]]="Partial","In Transit",Table1[[#This Row],[Payment Status]]="Paid","Completed",Table1[[#This Row],[Payment Status]]="Pending","Pending"),"Invalid Input")</f>
        <v>Pending</v>
      </c>
    </row>
    <row r="1027" spans="1:21" x14ac:dyDescent="0.25">
      <c r="A1027" s="4" t="s">
        <v>1867</v>
      </c>
      <c r="B1027" s="5">
        <v>45357</v>
      </c>
      <c r="C1027" t="s">
        <v>52</v>
      </c>
      <c r="D1027" t="s">
        <v>37</v>
      </c>
      <c r="E1027" t="s">
        <v>38</v>
      </c>
      <c r="F1027" t="s">
        <v>3214</v>
      </c>
      <c r="G1027" t="s">
        <v>39</v>
      </c>
      <c r="H1027" t="str">
        <f>VLOOKUP(Table1[[#This Row],[City]],Table6[#All],2,FALSE)</f>
        <v>West</v>
      </c>
      <c r="I1027" t="s">
        <v>3203</v>
      </c>
      <c r="J1027" t="str">
        <f>_xlfn.XLOOKUP(Table1[[#This Row],[Tractor Model]],Table7[Product Model],Table7[Product Category],"Not Available",0)</f>
        <v>Kubota</v>
      </c>
      <c r="K1027" s="4">
        <v>7</v>
      </c>
      <c r="L1027" s="72">
        <v>890682</v>
      </c>
      <c r="M1027" s="4">
        <f>INDEX('Master Sheet'!$C$4:$C$12,MATCH(Table1[[#This Row],[Quantity]],'Master Sheet'!$B$4:$B$12,0))</f>
        <v>9</v>
      </c>
      <c r="N1027" s="71">
        <f>Table1[[#This Row],[Quantity]]*Table1[[#This Row],[Unit Price]]</f>
        <v>6234774</v>
      </c>
      <c r="O1027" s="73">
        <v>0.62347739999999996</v>
      </c>
      <c r="P1027" s="70">
        <f>Table1[[#This Row],[Gross Amount]]*(1-(Table1[[#This Row],[Discount %]]/100))</f>
        <v>5673644.3399999999</v>
      </c>
      <c r="Q1027" s="74">
        <f>(Table1[[#This Row],[Gross Amount]]*(1-(Table1[[#This Row],[Discount %]]/100)))/10000000</f>
        <v>0.56736443400000003</v>
      </c>
      <c r="R1027" t="s">
        <v>54</v>
      </c>
      <c r="S1027" t="str" cm="1">
        <f t="array" ref="S1027">IFERROR(_xlfn.IFS(Table1[[#This Row],[Payment Status]]="Partial","In Transit",Table1[[#This Row],[Payment Status]]="Paid","Delivered",Table1[[#This Row],[Payment Status]]="Pending","Pending"),"Invalid Input")</f>
        <v>Delivered</v>
      </c>
      <c r="T1027" t="s">
        <v>27</v>
      </c>
      <c r="U1027" t="str" cm="1">
        <f t="array" ref="U1027">IFERROR(_xlfn.IFS(Table1[[#This Row],[Payment Status]]="Partial","In Transit",Table1[[#This Row],[Payment Status]]="Paid","Completed",Table1[[#This Row],[Payment Status]]="Pending","Pending"),"Invalid Input")</f>
        <v>Completed</v>
      </c>
    </row>
    <row r="1028" spans="1:21" x14ac:dyDescent="0.25">
      <c r="A1028" s="4" t="s">
        <v>1869</v>
      </c>
      <c r="B1028" s="5">
        <v>45324</v>
      </c>
      <c r="C1028" t="s">
        <v>41</v>
      </c>
      <c r="D1028" t="s">
        <v>37</v>
      </c>
      <c r="E1028" t="s">
        <v>47</v>
      </c>
      <c r="F1028" t="s">
        <v>3215</v>
      </c>
      <c r="G1028" t="s">
        <v>48</v>
      </c>
      <c r="H1028" t="str">
        <f>VLOOKUP(Table1[[#This Row],[City]],Table6[#All],2,FALSE)</f>
        <v>North</v>
      </c>
      <c r="I1028" t="s">
        <v>3204</v>
      </c>
      <c r="J1028" t="str">
        <f>_xlfn.XLOOKUP(Table1[[#This Row],[Tractor Model]],Table7[Product Model],Table7[Product Category],"Not Available",0)</f>
        <v>Kubota</v>
      </c>
      <c r="K1028" s="4">
        <v>5</v>
      </c>
      <c r="L1028" s="72">
        <v>798844</v>
      </c>
      <c r="M1028" s="4">
        <f>INDEX('Master Sheet'!$C$4:$C$12,MATCH(Table1[[#This Row],[Quantity]],'Master Sheet'!$B$4:$B$12,0))</f>
        <v>7</v>
      </c>
      <c r="N1028" s="71">
        <f>Table1[[#This Row],[Quantity]]*Table1[[#This Row],[Unit Price]]</f>
        <v>3994220</v>
      </c>
      <c r="O1028" s="73">
        <v>0.399422</v>
      </c>
      <c r="P1028" s="70">
        <f>Table1[[#This Row],[Gross Amount]]*(1-(Table1[[#This Row],[Discount %]]/100))</f>
        <v>3714624.5999999996</v>
      </c>
      <c r="Q1028" s="74">
        <f>(Table1[[#This Row],[Gross Amount]]*(1-(Table1[[#This Row],[Discount %]]/100)))/10000000</f>
        <v>0.37146245999999994</v>
      </c>
      <c r="R1028" t="s">
        <v>25</v>
      </c>
      <c r="S1028" t="str" cm="1">
        <f t="array" ref="S1028">IFERROR(_xlfn.IFS(Table1[[#This Row],[Payment Status]]="Partial","In Transit",Table1[[#This Row],[Payment Status]]="Paid","Delivered",Table1[[#This Row],[Payment Status]]="Pending","Pending"),"Invalid Input")</f>
        <v>In Transit</v>
      </c>
      <c r="T1028" t="s">
        <v>27</v>
      </c>
      <c r="U1028" t="str" cm="1">
        <f t="array" ref="U1028">IFERROR(_xlfn.IFS(Table1[[#This Row],[Payment Status]]="Partial","In Transit",Table1[[#This Row],[Payment Status]]="Paid","Completed",Table1[[#This Row],[Payment Status]]="Pending","Pending"),"Invalid Input")</f>
        <v>In Transit</v>
      </c>
    </row>
    <row r="1029" spans="1:21" x14ac:dyDescent="0.25">
      <c r="A1029" s="4" t="s">
        <v>1870</v>
      </c>
      <c r="B1029" s="5">
        <v>45410</v>
      </c>
      <c r="C1029" t="s">
        <v>52</v>
      </c>
      <c r="D1029" t="s">
        <v>3268</v>
      </c>
      <c r="E1029" t="s">
        <v>38</v>
      </c>
      <c r="F1029" t="s">
        <v>3219</v>
      </c>
      <c r="G1029" t="s">
        <v>39</v>
      </c>
      <c r="H1029" t="str">
        <f>VLOOKUP(Table1[[#This Row],[City]],Table6[#All],2,FALSE)</f>
        <v>West</v>
      </c>
      <c r="I1029" t="s">
        <v>53</v>
      </c>
      <c r="J1029" t="str">
        <f>_xlfn.XLOOKUP(Table1[[#This Row],[Tractor Model]],Table7[Product Model],Table7[Product Category],"Not Available",0)</f>
        <v>Farmtrac</v>
      </c>
      <c r="K1029" s="4">
        <v>1</v>
      </c>
      <c r="L1029" s="72">
        <v>614987</v>
      </c>
      <c r="M1029" s="4">
        <f>INDEX('Master Sheet'!$C$4:$C$12,MATCH(Table1[[#This Row],[Quantity]],'Master Sheet'!$B$4:$B$12,0))</f>
        <v>3</v>
      </c>
      <c r="N1029" s="71">
        <f>Table1[[#This Row],[Quantity]]*Table1[[#This Row],[Unit Price]]</f>
        <v>614987</v>
      </c>
      <c r="O1029" s="73">
        <v>6.1498700000000003E-2</v>
      </c>
      <c r="P1029" s="70">
        <f>Table1[[#This Row],[Gross Amount]]*(1-(Table1[[#This Row],[Discount %]]/100))</f>
        <v>596537.39</v>
      </c>
      <c r="Q1029" s="74">
        <f>(Table1[[#This Row],[Gross Amount]]*(1-(Table1[[#This Row],[Discount %]]/100)))/10000000</f>
        <v>5.9653739000000004E-2</v>
      </c>
      <c r="R1029" t="s">
        <v>42</v>
      </c>
      <c r="S1029" t="str" cm="1">
        <f t="array" ref="S1029">IFERROR(_xlfn.IFS(Table1[[#This Row],[Payment Status]]="Partial","In Transit",Table1[[#This Row],[Payment Status]]="Paid","Delivered",Table1[[#This Row],[Payment Status]]="Pending","Pending"),"Invalid Input")</f>
        <v>Pending</v>
      </c>
      <c r="T1029" t="s">
        <v>27</v>
      </c>
      <c r="U1029" t="str" cm="1">
        <f t="array" ref="U1029">IFERROR(_xlfn.IFS(Table1[[#This Row],[Payment Status]]="Partial","In Transit",Table1[[#This Row],[Payment Status]]="Paid","Completed",Table1[[#This Row],[Payment Status]]="Pending","Pending"),"Invalid Input")</f>
        <v>Pending</v>
      </c>
    </row>
    <row r="1030" spans="1:21" x14ac:dyDescent="0.25">
      <c r="A1030" s="4" t="s">
        <v>1871</v>
      </c>
      <c r="B1030" s="5">
        <v>45342</v>
      </c>
      <c r="C1030" t="s">
        <v>33</v>
      </c>
      <c r="D1030" t="s">
        <v>37</v>
      </c>
      <c r="E1030" t="s">
        <v>38</v>
      </c>
      <c r="F1030" t="s">
        <v>3214</v>
      </c>
      <c r="G1030" t="s">
        <v>39</v>
      </c>
      <c r="H1030" t="str">
        <f>VLOOKUP(Table1[[#This Row],[City]],Table6[#All],2,FALSE)</f>
        <v>West</v>
      </c>
      <c r="I1030" t="s">
        <v>53</v>
      </c>
      <c r="J1030" t="str">
        <f>_xlfn.XLOOKUP(Table1[[#This Row],[Tractor Model]],Table7[Product Model],Table7[Product Category],"Not Available",0)</f>
        <v>Farmtrac</v>
      </c>
      <c r="K1030" s="4">
        <v>5</v>
      </c>
      <c r="L1030" s="72">
        <v>540575</v>
      </c>
      <c r="M1030" s="4">
        <f>INDEX('Master Sheet'!$C$4:$C$12,MATCH(Table1[[#This Row],[Quantity]],'Master Sheet'!$B$4:$B$12,0))</f>
        <v>7</v>
      </c>
      <c r="N1030" s="71">
        <f>Table1[[#This Row],[Quantity]]*Table1[[#This Row],[Unit Price]]</f>
        <v>2702875</v>
      </c>
      <c r="O1030" s="73">
        <v>0.27028750000000001</v>
      </c>
      <c r="P1030" s="70">
        <f>Table1[[#This Row],[Gross Amount]]*(1-(Table1[[#This Row],[Discount %]]/100))</f>
        <v>2513673.75</v>
      </c>
      <c r="Q1030" s="74">
        <f>(Table1[[#This Row],[Gross Amount]]*(1-(Table1[[#This Row],[Discount %]]/100)))/10000000</f>
        <v>0.251367375</v>
      </c>
      <c r="R1030" t="s">
        <v>42</v>
      </c>
      <c r="S1030" t="str" cm="1">
        <f t="array" ref="S1030">IFERROR(_xlfn.IFS(Table1[[#This Row],[Payment Status]]="Partial","In Transit",Table1[[#This Row],[Payment Status]]="Paid","Delivered",Table1[[#This Row],[Payment Status]]="Pending","Pending"),"Invalid Input")</f>
        <v>Pending</v>
      </c>
      <c r="T1030" t="s">
        <v>27</v>
      </c>
      <c r="U1030" t="str" cm="1">
        <f t="array" ref="U1030">IFERROR(_xlfn.IFS(Table1[[#This Row],[Payment Status]]="Partial","In Transit",Table1[[#This Row],[Payment Status]]="Paid","Completed",Table1[[#This Row],[Payment Status]]="Pending","Pending"),"Invalid Input")</f>
        <v>Pending</v>
      </c>
    </row>
    <row r="1031" spans="1:21" x14ac:dyDescent="0.25">
      <c r="A1031" s="4" t="s">
        <v>1873</v>
      </c>
      <c r="B1031" s="5">
        <v>45605</v>
      </c>
      <c r="C1031" t="s">
        <v>62</v>
      </c>
      <c r="D1031" t="s">
        <v>3269</v>
      </c>
      <c r="E1031" t="s">
        <v>38</v>
      </c>
      <c r="F1031" t="s">
        <v>3206</v>
      </c>
      <c r="G1031" t="s">
        <v>39</v>
      </c>
      <c r="H1031" t="str">
        <f>VLOOKUP(Table1[[#This Row],[City]],Table6[#All],2,FALSE)</f>
        <v>West</v>
      </c>
      <c r="I1031" t="s">
        <v>3203</v>
      </c>
      <c r="J1031" t="str">
        <f>_xlfn.XLOOKUP(Table1[[#This Row],[Tractor Model]],Table7[Product Model],Table7[Product Category],"Not Available",0)</f>
        <v>Kubota</v>
      </c>
      <c r="K1031" s="4">
        <v>2</v>
      </c>
      <c r="L1031" s="72">
        <v>406231</v>
      </c>
      <c r="M1031" s="4">
        <f>INDEX('Master Sheet'!$C$4:$C$12,MATCH(Table1[[#This Row],[Quantity]],'Master Sheet'!$B$4:$B$12,0))</f>
        <v>5</v>
      </c>
      <c r="N1031" s="71">
        <f>Table1[[#This Row],[Quantity]]*Table1[[#This Row],[Unit Price]]</f>
        <v>812462</v>
      </c>
      <c r="O1031" s="73">
        <v>8.1246200000000005E-2</v>
      </c>
      <c r="P1031" s="70">
        <f>Table1[[#This Row],[Gross Amount]]*(1-(Table1[[#This Row],[Discount %]]/100))</f>
        <v>771838.89999999991</v>
      </c>
      <c r="Q1031" s="74">
        <f>(Table1[[#This Row],[Gross Amount]]*(1-(Table1[[#This Row],[Discount %]]/100)))/10000000</f>
        <v>7.7183889999999991E-2</v>
      </c>
      <c r="R1031" t="s">
        <v>42</v>
      </c>
      <c r="S1031" t="str" cm="1">
        <f t="array" ref="S1031">IFERROR(_xlfn.IFS(Table1[[#This Row],[Payment Status]]="Partial","In Transit",Table1[[#This Row],[Payment Status]]="Paid","Delivered",Table1[[#This Row],[Payment Status]]="Pending","Pending"),"Invalid Input")</f>
        <v>Pending</v>
      </c>
      <c r="T1031" t="s">
        <v>27</v>
      </c>
      <c r="U1031" t="str" cm="1">
        <f t="array" ref="U1031">IFERROR(_xlfn.IFS(Table1[[#This Row],[Payment Status]]="Partial","In Transit",Table1[[#This Row],[Payment Status]]="Paid","Completed",Table1[[#This Row],[Payment Status]]="Pending","Pending"),"Invalid Input")</f>
        <v>Pending</v>
      </c>
    </row>
    <row r="1032" spans="1:21" x14ac:dyDescent="0.25">
      <c r="A1032" s="4" t="s">
        <v>1874</v>
      </c>
      <c r="B1032" s="5">
        <v>45653</v>
      </c>
      <c r="C1032" t="s">
        <v>62</v>
      </c>
      <c r="D1032" t="s">
        <v>3269</v>
      </c>
      <c r="E1032" t="s">
        <v>119</v>
      </c>
      <c r="F1032" t="s">
        <v>3229</v>
      </c>
      <c r="G1032" t="s">
        <v>21</v>
      </c>
      <c r="H1032" t="str">
        <f>VLOOKUP(Table1[[#This Row],[City]],Table6[#All],2,FALSE)</f>
        <v>North</v>
      </c>
      <c r="I1032" t="s">
        <v>3204</v>
      </c>
      <c r="J1032" t="str">
        <f>_xlfn.XLOOKUP(Table1[[#This Row],[Tractor Model]],Table7[Product Model],Table7[Product Category],"Not Available",0)</f>
        <v>Kubota</v>
      </c>
      <c r="K1032" s="4">
        <v>7</v>
      </c>
      <c r="L1032" s="72">
        <v>839680</v>
      </c>
      <c r="M1032" s="4">
        <f>INDEX('Master Sheet'!$C$4:$C$12,MATCH(Table1[[#This Row],[Quantity]],'Master Sheet'!$B$4:$B$12,0))</f>
        <v>9</v>
      </c>
      <c r="N1032" s="71">
        <f>Table1[[#This Row],[Quantity]]*Table1[[#This Row],[Unit Price]]</f>
        <v>5877760</v>
      </c>
      <c r="O1032" s="73">
        <v>0.58777599999999997</v>
      </c>
      <c r="P1032" s="70">
        <f>Table1[[#This Row],[Gross Amount]]*(1-(Table1[[#This Row],[Discount %]]/100))</f>
        <v>5348761.6000000006</v>
      </c>
      <c r="Q1032" s="74">
        <f>(Table1[[#This Row],[Gross Amount]]*(1-(Table1[[#This Row],[Discount %]]/100)))/10000000</f>
        <v>0.53487616000000004</v>
      </c>
      <c r="R1032" t="s">
        <v>54</v>
      </c>
      <c r="S1032" t="str" cm="1">
        <f t="array" ref="S1032">IFERROR(_xlfn.IFS(Table1[[#This Row],[Payment Status]]="Partial","In Transit",Table1[[#This Row],[Payment Status]]="Paid","Delivered",Table1[[#This Row],[Payment Status]]="Pending","Pending"),"Invalid Input")</f>
        <v>Delivered</v>
      </c>
      <c r="T1032" t="s">
        <v>44</v>
      </c>
      <c r="U1032" t="str" cm="1">
        <f t="array" ref="U1032">IFERROR(_xlfn.IFS(Table1[[#This Row],[Payment Status]]="Partial","In Transit",Table1[[#This Row],[Payment Status]]="Paid","Completed",Table1[[#This Row],[Payment Status]]="Pending","Pending"),"Invalid Input")</f>
        <v>Completed</v>
      </c>
    </row>
    <row r="1033" spans="1:21" x14ac:dyDescent="0.25">
      <c r="A1033" s="4" t="s">
        <v>1876</v>
      </c>
      <c r="B1033" s="5">
        <v>45822</v>
      </c>
      <c r="C1033" t="s">
        <v>62</v>
      </c>
      <c r="D1033" t="s">
        <v>3268</v>
      </c>
      <c r="E1033" t="s">
        <v>38</v>
      </c>
      <c r="F1033" t="s">
        <v>3219</v>
      </c>
      <c r="G1033" t="s">
        <v>39</v>
      </c>
      <c r="H1033" t="str">
        <f>VLOOKUP(Table1[[#This Row],[City]],Table6[#All],2,FALSE)</f>
        <v>West</v>
      </c>
      <c r="I1033" t="s">
        <v>3203</v>
      </c>
      <c r="J1033" t="str">
        <f>_xlfn.XLOOKUP(Table1[[#This Row],[Tractor Model]],Table7[Product Model],Table7[Product Category],"Not Available",0)</f>
        <v>Kubota</v>
      </c>
      <c r="K1033" s="4">
        <v>7</v>
      </c>
      <c r="L1033" s="72">
        <v>648852</v>
      </c>
      <c r="M1033" s="4">
        <f>INDEX('Master Sheet'!$C$4:$C$12,MATCH(Table1[[#This Row],[Quantity]],'Master Sheet'!$B$4:$B$12,0))</f>
        <v>9</v>
      </c>
      <c r="N1033" s="71">
        <f>Table1[[#This Row],[Quantity]]*Table1[[#This Row],[Unit Price]]</f>
        <v>4541964</v>
      </c>
      <c r="O1033" s="73">
        <v>0.4541964</v>
      </c>
      <c r="P1033" s="70">
        <f>Table1[[#This Row],[Gross Amount]]*(1-(Table1[[#This Row],[Discount %]]/100))</f>
        <v>4133187.24</v>
      </c>
      <c r="Q1033" s="74">
        <f>(Table1[[#This Row],[Gross Amount]]*(1-(Table1[[#This Row],[Discount %]]/100)))/10000000</f>
        <v>0.41331872400000003</v>
      </c>
      <c r="R1033" t="s">
        <v>54</v>
      </c>
      <c r="S1033" t="str" cm="1">
        <f t="array" ref="S1033">IFERROR(_xlfn.IFS(Table1[[#This Row],[Payment Status]]="Partial","In Transit",Table1[[#This Row],[Payment Status]]="Paid","Delivered",Table1[[#This Row],[Payment Status]]="Pending","Pending"),"Invalid Input")</f>
        <v>Delivered</v>
      </c>
      <c r="T1033" t="s">
        <v>27</v>
      </c>
      <c r="U1033" t="str" cm="1">
        <f t="array" ref="U1033">IFERROR(_xlfn.IFS(Table1[[#This Row],[Payment Status]]="Partial","In Transit",Table1[[#This Row],[Payment Status]]="Paid","Completed",Table1[[#This Row],[Payment Status]]="Pending","Pending"),"Invalid Input")</f>
        <v>Completed</v>
      </c>
    </row>
    <row r="1034" spans="1:21" x14ac:dyDescent="0.25">
      <c r="A1034" s="4" t="s">
        <v>1877</v>
      </c>
      <c r="B1034" s="5">
        <v>45609</v>
      </c>
      <c r="C1034" t="s">
        <v>62</v>
      </c>
      <c r="D1034" t="s">
        <v>37</v>
      </c>
      <c r="E1034" t="s">
        <v>119</v>
      </c>
      <c r="F1034" t="s">
        <v>3224</v>
      </c>
      <c r="G1034" t="s">
        <v>21</v>
      </c>
      <c r="H1034" t="str">
        <f>VLOOKUP(Table1[[#This Row],[City]],Table6[#All],2,FALSE)</f>
        <v>North</v>
      </c>
      <c r="I1034" t="s">
        <v>3203</v>
      </c>
      <c r="J1034" t="str">
        <f>_xlfn.XLOOKUP(Table1[[#This Row],[Tractor Model]],Table7[Product Model],Table7[Product Category],"Not Available",0)</f>
        <v>Kubota</v>
      </c>
      <c r="K1034" s="4">
        <v>1</v>
      </c>
      <c r="L1034" s="72">
        <v>662008</v>
      </c>
      <c r="M1034" s="4">
        <f>INDEX('Master Sheet'!$C$4:$C$12,MATCH(Table1[[#This Row],[Quantity]],'Master Sheet'!$B$4:$B$12,0))</f>
        <v>3</v>
      </c>
      <c r="N1034" s="71">
        <f>Table1[[#This Row],[Quantity]]*Table1[[#This Row],[Unit Price]]</f>
        <v>662008</v>
      </c>
      <c r="O1034" s="73">
        <v>6.6200800000000004E-2</v>
      </c>
      <c r="P1034" s="70">
        <f>Table1[[#This Row],[Gross Amount]]*(1-(Table1[[#This Row],[Discount %]]/100))</f>
        <v>642147.76</v>
      </c>
      <c r="Q1034" s="74">
        <f>(Table1[[#This Row],[Gross Amount]]*(1-(Table1[[#This Row],[Discount %]]/100)))/10000000</f>
        <v>6.4214776000000001E-2</v>
      </c>
      <c r="R1034" t="s">
        <v>42</v>
      </c>
      <c r="S1034" t="str" cm="1">
        <f t="array" ref="S1034">IFERROR(_xlfn.IFS(Table1[[#This Row],[Payment Status]]="Partial","In Transit",Table1[[#This Row],[Payment Status]]="Paid","Delivered",Table1[[#This Row],[Payment Status]]="Pending","Pending"),"Invalid Input")</f>
        <v>Pending</v>
      </c>
      <c r="T1034" t="s">
        <v>44</v>
      </c>
      <c r="U1034" t="str" cm="1">
        <f t="array" ref="U1034">IFERROR(_xlfn.IFS(Table1[[#This Row],[Payment Status]]="Partial","In Transit",Table1[[#This Row],[Payment Status]]="Paid","Completed",Table1[[#This Row],[Payment Status]]="Pending","Pending"),"Invalid Input")</f>
        <v>Pending</v>
      </c>
    </row>
    <row r="1035" spans="1:21" x14ac:dyDescent="0.25">
      <c r="A1035" s="4" t="s">
        <v>1878</v>
      </c>
      <c r="B1035" s="5">
        <v>45482</v>
      </c>
      <c r="C1035" t="s">
        <v>33</v>
      </c>
      <c r="D1035" t="s">
        <v>3271</v>
      </c>
      <c r="E1035" t="s">
        <v>66</v>
      </c>
      <c r="F1035" t="s">
        <v>3207</v>
      </c>
      <c r="G1035" t="s">
        <v>67</v>
      </c>
      <c r="H1035" t="str">
        <f>VLOOKUP(Table1[[#This Row],[City]],Table6[#All],2,FALSE)</f>
        <v>East</v>
      </c>
      <c r="I1035" t="s">
        <v>24</v>
      </c>
      <c r="J1035" t="str">
        <f>_xlfn.XLOOKUP(Table1[[#This Row],[Tractor Model]],Table7[Product Model],Table7[Product Category],"Not Available",0)</f>
        <v>Farmtrac</v>
      </c>
      <c r="K1035" s="4">
        <v>7</v>
      </c>
      <c r="L1035" s="72">
        <v>399845</v>
      </c>
      <c r="M1035" s="4">
        <f>INDEX('Master Sheet'!$C$4:$C$12,MATCH(Table1[[#This Row],[Quantity]],'Master Sheet'!$B$4:$B$12,0))</f>
        <v>9</v>
      </c>
      <c r="N1035" s="71">
        <f>Table1[[#This Row],[Quantity]]*Table1[[#This Row],[Unit Price]]</f>
        <v>2798915</v>
      </c>
      <c r="O1035" s="73">
        <v>0.27989150000000002</v>
      </c>
      <c r="P1035" s="70">
        <f>Table1[[#This Row],[Gross Amount]]*(1-(Table1[[#This Row],[Discount %]]/100))</f>
        <v>2547012.65</v>
      </c>
      <c r="Q1035" s="74">
        <f>(Table1[[#This Row],[Gross Amount]]*(1-(Table1[[#This Row],[Discount %]]/100)))/10000000</f>
        <v>0.25470126500000001</v>
      </c>
      <c r="R1035" t="s">
        <v>54</v>
      </c>
      <c r="S1035" t="str" cm="1">
        <f t="array" ref="S1035">IFERROR(_xlfn.IFS(Table1[[#This Row],[Payment Status]]="Partial","In Transit",Table1[[#This Row],[Payment Status]]="Paid","Delivered",Table1[[#This Row],[Payment Status]]="Pending","Pending"),"Invalid Input")</f>
        <v>Delivered</v>
      </c>
      <c r="T1035" t="s">
        <v>27</v>
      </c>
      <c r="U1035" t="str" cm="1">
        <f t="array" ref="U1035">IFERROR(_xlfn.IFS(Table1[[#This Row],[Payment Status]]="Partial","In Transit",Table1[[#This Row],[Payment Status]]="Paid","Completed",Table1[[#This Row],[Payment Status]]="Pending","Pending"),"Invalid Input")</f>
        <v>Completed</v>
      </c>
    </row>
    <row r="1036" spans="1:21" x14ac:dyDescent="0.25">
      <c r="A1036" s="4" t="s">
        <v>1880</v>
      </c>
      <c r="B1036" s="5">
        <v>45555</v>
      </c>
      <c r="C1036" t="s">
        <v>62</v>
      </c>
      <c r="D1036" t="s">
        <v>37</v>
      </c>
      <c r="E1036" t="s">
        <v>119</v>
      </c>
      <c r="F1036" t="s">
        <v>3224</v>
      </c>
      <c r="G1036" t="s">
        <v>21</v>
      </c>
      <c r="H1036" t="str">
        <f>VLOOKUP(Table1[[#This Row],[City]],Table6[#All],2,FALSE)</f>
        <v>North</v>
      </c>
      <c r="I1036" t="s">
        <v>24</v>
      </c>
      <c r="J1036" t="str">
        <f>_xlfn.XLOOKUP(Table1[[#This Row],[Tractor Model]],Table7[Product Model],Table7[Product Category],"Not Available",0)</f>
        <v>Farmtrac</v>
      </c>
      <c r="K1036" s="4">
        <v>7</v>
      </c>
      <c r="L1036" s="72">
        <v>121050</v>
      </c>
      <c r="M1036" s="4">
        <f>INDEX('Master Sheet'!$C$4:$C$12,MATCH(Table1[[#This Row],[Quantity]],'Master Sheet'!$B$4:$B$12,0))</f>
        <v>9</v>
      </c>
      <c r="N1036" s="71">
        <f>Table1[[#This Row],[Quantity]]*Table1[[#This Row],[Unit Price]]</f>
        <v>847350</v>
      </c>
      <c r="O1036" s="73">
        <v>8.4735000000000005E-2</v>
      </c>
      <c r="P1036" s="70">
        <f>Table1[[#This Row],[Gross Amount]]*(1-(Table1[[#This Row],[Discount %]]/100))</f>
        <v>771088.5</v>
      </c>
      <c r="Q1036" s="74">
        <f>(Table1[[#This Row],[Gross Amount]]*(1-(Table1[[#This Row],[Discount %]]/100)))/10000000</f>
        <v>7.7108850000000007E-2</v>
      </c>
      <c r="R1036" t="s">
        <v>54</v>
      </c>
      <c r="S1036" t="str" cm="1">
        <f t="array" ref="S1036">IFERROR(_xlfn.IFS(Table1[[#This Row],[Payment Status]]="Partial","In Transit",Table1[[#This Row],[Payment Status]]="Paid","Delivered",Table1[[#This Row],[Payment Status]]="Pending","Pending"),"Invalid Input")</f>
        <v>Delivered</v>
      </c>
      <c r="T1036" t="s">
        <v>44</v>
      </c>
      <c r="U1036" t="str" cm="1">
        <f t="array" ref="U1036">IFERROR(_xlfn.IFS(Table1[[#This Row],[Payment Status]]="Partial","In Transit",Table1[[#This Row],[Payment Status]]="Paid","Completed",Table1[[#This Row],[Payment Status]]="Pending","Pending"),"Invalid Input")</f>
        <v>Completed</v>
      </c>
    </row>
    <row r="1037" spans="1:21" x14ac:dyDescent="0.25">
      <c r="A1037" s="4" t="s">
        <v>1881</v>
      </c>
      <c r="B1037" s="5">
        <v>45324</v>
      </c>
      <c r="C1037" t="s">
        <v>41</v>
      </c>
      <c r="D1037" t="s">
        <v>37</v>
      </c>
      <c r="E1037" t="s">
        <v>66</v>
      </c>
      <c r="F1037" t="s">
        <v>3226</v>
      </c>
      <c r="G1037" t="s">
        <v>67</v>
      </c>
      <c r="H1037" t="str">
        <f>VLOOKUP(Table1[[#This Row],[City]],Table6[#All],2,FALSE)</f>
        <v>East</v>
      </c>
      <c r="I1037" t="s">
        <v>3204</v>
      </c>
      <c r="J1037" t="str">
        <f>_xlfn.XLOOKUP(Table1[[#This Row],[Tractor Model]],Table7[Product Model],Table7[Product Category],"Not Available",0)</f>
        <v>Kubota</v>
      </c>
      <c r="K1037" s="4">
        <v>7</v>
      </c>
      <c r="L1037" s="72">
        <v>599508</v>
      </c>
      <c r="M1037" s="4">
        <f>INDEX('Master Sheet'!$C$4:$C$12,MATCH(Table1[[#This Row],[Quantity]],'Master Sheet'!$B$4:$B$12,0))</f>
        <v>9</v>
      </c>
      <c r="N1037" s="71">
        <f>Table1[[#This Row],[Quantity]]*Table1[[#This Row],[Unit Price]]</f>
        <v>4196556</v>
      </c>
      <c r="O1037" s="73">
        <v>0.41965560000000002</v>
      </c>
      <c r="P1037" s="70">
        <f>Table1[[#This Row],[Gross Amount]]*(1-(Table1[[#This Row],[Discount %]]/100))</f>
        <v>3818865.96</v>
      </c>
      <c r="Q1037" s="74">
        <f>(Table1[[#This Row],[Gross Amount]]*(1-(Table1[[#This Row],[Discount %]]/100)))/10000000</f>
        <v>0.38188659600000002</v>
      </c>
      <c r="R1037" t="s">
        <v>54</v>
      </c>
      <c r="S1037" t="str" cm="1">
        <f t="array" ref="S1037">IFERROR(_xlfn.IFS(Table1[[#This Row],[Payment Status]]="Partial","In Transit",Table1[[#This Row],[Payment Status]]="Paid","Delivered",Table1[[#This Row],[Payment Status]]="Pending","Pending"),"Invalid Input")</f>
        <v>Delivered</v>
      </c>
      <c r="T1037" t="s">
        <v>27</v>
      </c>
      <c r="U1037" t="str" cm="1">
        <f t="array" ref="U1037">IFERROR(_xlfn.IFS(Table1[[#This Row],[Payment Status]]="Partial","In Transit",Table1[[#This Row],[Payment Status]]="Paid","Completed",Table1[[#This Row],[Payment Status]]="Pending","Pending"),"Invalid Input")</f>
        <v>Completed</v>
      </c>
    </row>
    <row r="1038" spans="1:21" x14ac:dyDescent="0.25">
      <c r="A1038" s="4" t="s">
        <v>1882</v>
      </c>
      <c r="B1038" s="5">
        <v>45738</v>
      </c>
      <c r="C1038" t="s">
        <v>33</v>
      </c>
      <c r="D1038" t="s">
        <v>3270</v>
      </c>
      <c r="E1038" t="s">
        <v>66</v>
      </c>
      <c r="F1038" t="s">
        <v>3220</v>
      </c>
      <c r="G1038" t="s">
        <v>67</v>
      </c>
      <c r="H1038" t="str">
        <f>VLOOKUP(Table1[[#This Row],[City]],Table6[#All],2,FALSE)</f>
        <v>East</v>
      </c>
      <c r="I1038" t="s">
        <v>24</v>
      </c>
      <c r="J1038" t="str">
        <f>_xlfn.XLOOKUP(Table1[[#This Row],[Tractor Model]],Table7[Product Model],Table7[Product Category],"Not Available",0)</f>
        <v>Farmtrac</v>
      </c>
      <c r="K1038" s="4">
        <v>1</v>
      </c>
      <c r="L1038" s="72">
        <v>331541</v>
      </c>
      <c r="M1038" s="4">
        <f>INDEX('Master Sheet'!$C$4:$C$12,MATCH(Table1[[#This Row],[Quantity]],'Master Sheet'!$B$4:$B$12,0))</f>
        <v>3</v>
      </c>
      <c r="N1038" s="71">
        <f>Table1[[#This Row],[Quantity]]*Table1[[#This Row],[Unit Price]]</f>
        <v>331541</v>
      </c>
      <c r="O1038" s="73">
        <v>3.3154099999999999E-2</v>
      </c>
      <c r="P1038" s="70">
        <f>Table1[[#This Row],[Gross Amount]]*(1-(Table1[[#This Row],[Discount %]]/100))</f>
        <v>321594.77</v>
      </c>
      <c r="Q1038" s="74">
        <f>(Table1[[#This Row],[Gross Amount]]*(1-(Table1[[#This Row],[Discount %]]/100)))/10000000</f>
        <v>3.2159476999999999E-2</v>
      </c>
      <c r="R1038" t="s">
        <v>54</v>
      </c>
      <c r="S1038" t="str" cm="1">
        <f t="array" ref="S1038">IFERROR(_xlfn.IFS(Table1[[#This Row],[Payment Status]]="Partial","In Transit",Table1[[#This Row],[Payment Status]]="Paid","Delivered",Table1[[#This Row],[Payment Status]]="Pending","Pending"),"Invalid Input")</f>
        <v>Delivered</v>
      </c>
      <c r="T1038" t="s">
        <v>27</v>
      </c>
      <c r="U1038" t="str" cm="1">
        <f t="array" ref="U1038">IFERROR(_xlfn.IFS(Table1[[#This Row],[Payment Status]]="Partial","In Transit",Table1[[#This Row],[Payment Status]]="Paid","Completed",Table1[[#This Row],[Payment Status]]="Pending","Pending"),"Invalid Input")</f>
        <v>Completed</v>
      </c>
    </row>
    <row r="1039" spans="1:21" x14ac:dyDescent="0.25">
      <c r="A1039" s="4" t="s">
        <v>1884</v>
      </c>
      <c r="B1039" s="5">
        <v>45500</v>
      </c>
      <c r="C1039" t="s">
        <v>62</v>
      </c>
      <c r="D1039" t="s">
        <v>3269</v>
      </c>
      <c r="E1039" t="s">
        <v>47</v>
      </c>
      <c r="F1039" t="s">
        <v>3209</v>
      </c>
      <c r="G1039" t="s">
        <v>48</v>
      </c>
      <c r="H1039" t="str">
        <f>VLOOKUP(Table1[[#This Row],[City]],Table6[#All],2,FALSE)</f>
        <v>North</v>
      </c>
      <c r="I1039" t="s">
        <v>3203</v>
      </c>
      <c r="J1039" t="str">
        <f>_xlfn.XLOOKUP(Table1[[#This Row],[Tractor Model]],Table7[Product Model],Table7[Product Category],"Not Available",0)</f>
        <v>Kubota</v>
      </c>
      <c r="K1039" s="4">
        <v>6</v>
      </c>
      <c r="L1039" s="72">
        <v>238724</v>
      </c>
      <c r="M1039" s="4">
        <f>INDEX('Master Sheet'!$C$4:$C$12,MATCH(Table1[[#This Row],[Quantity]],'Master Sheet'!$B$4:$B$12,0))</f>
        <v>8</v>
      </c>
      <c r="N1039" s="71">
        <f>Table1[[#This Row],[Quantity]]*Table1[[#This Row],[Unit Price]]</f>
        <v>1432344</v>
      </c>
      <c r="O1039" s="73">
        <v>0.14323440000000001</v>
      </c>
      <c r="P1039" s="70">
        <f>Table1[[#This Row],[Gross Amount]]*(1-(Table1[[#This Row],[Discount %]]/100))</f>
        <v>1317756.48</v>
      </c>
      <c r="Q1039" s="74">
        <f>(Table1[[#This Row],[Gross Amount]]*(1-(Table1[[#This Row],[Discount %]]/100)))/10000000</f>
        <v>0.131775648</v>
      </c>
      <c r="R1039" t="s">
        <v>42</v>
      </c>
      <c r="S1039" t="str" cm="1">
        <f t="array" ref="S1039">IFERROR(_xlfn.IFS(Table1[[#This Row],[Payment Status]]="Partial","In Transit",Table1[[#This Row],[Payment Status]]="Paid","Delivered",Table1[[#This Row],[Payment Status]]="Pending","Pending"),"Invalid Input")</f>
        <v>Pending</v>
      </c>
      <c r="T1039" t="s">
        <v>27</v>
      </c>
      <c r="U1039" t="str" cm="1">
        <f t="array" ref="U1039">IFERROR(_xlfn.IFS(Table1[[#This Row],[Payment Status]]="Partial","In Transit",Table1[[#This Row],[Payment Status]]="Paid","Completed",Table1[[#This Row],[Payment Status]]="Pending","Pending"),"Invalid Input")</f>
        <v>Pending</v>
      </c>
    </row>
    <row r="1040" spans="1:21" x14ac:dyDescent="0.25">
      <c r="A1040" s="4" t="s">
        <v>1886</v>
      </c>
      <c r="B1040" s="5">
        <v>45413</v>
      </c>
      <c r="C1040" t="s">
        <v>52</v>
      </c>
      <c r="D1040" t="s">
        <v>3270</v>
      </c>
      <c r="E1040" t="s">
        <v>30</v>
      </c>
      <c r="F1040" t="s">
        <v>3223</v>
      </c>
      <c r="G1040" t="s">
        <v>31</v>
      </c>
      <c r="H1040" t="str">
        <f>VLOOKUP(Table1[[#This Row],[City]],Table6[#All],2,FALSE)</f>
        <v>South</v>
      </c>
      <c r="I1040" t="s">
        <v>53</v>
      </c>
      <c r="J1040" t="str">
        <f>_xlfn.XLOOKUP(Table1[[#This Row],[Tractor Model]],Table7[Product Model],Table7[Product Category],"Not Available",0)</f>
        <v>Farmtrac</v>
      </c>
      <c r="K1040" s="4">
        <v>5</v>
      </c>
      <c r="L1040" s="72">
        <v>527378</v>
      </c>
      <c r="M1040" s="4">
        <f>INDEX('Master Sheet'!$C$4:$C$12,MATCH(Table1[[#This Row],[Quantity]],'Master Sheet'!$B$4:$B$12,0))</f>
        <v>7</v>
      </c>
      <c r="N1040" s="71">
        <f>Table1[[#This Row],[Quantity]]*Table1[[#This Row],[Unit Price]]</f>
        <v>2636890</v>
      </c>
      <c r="O1040" s="73">
        <v>0.26368900000000001</v>
      </c>
      <c r="P1040" s="70">
        <f>Table1[[#This Row],[Gross Amount]]*(1-(Table1[[#This Row],[Discount %]]/100))</f>
        <v>2452307.6999999997</v>
      </c>
      <c r="Q1040" s="74">
        <f>(Table1[[#This Row],[Gross Amount]]*(1-(Table1[[#This Row],[Discount %]]/100)))/10000000</f>
        <v>0.24523076999999996</v>
      </c>
      <c r="R1040" t="s">
        <v>25</v>
      </c>
      <c r="S1040" t="str" cm="1">
        <f t="array" ref="S1040">IFERROR(_xlfn.IFS(Table1[[#This Row],[Payment Status]]="Partial","In Transit",Table1[[#This Row],[Payment Status]]="Paid","Delivered",Table1[[#This Row],[Payment Status]]="Pending","Pending"),"Invalid Input")</f>
        <v>In Transit</v>
      </c>
      <c r="T1040" t="s">
        <v>27</v>
      </c>
      <c r="U1040" t="str" cm="1">
        <f t="array" ref="U1040">IFERROR(_xlfn.IFS(Table1[[#This Row],[Payment Status]]="Partial","In Transit",Table1[[#This Row],[Payment Status]]="Paid","Completed",Table1[[#This Row],[Payment Status]]="Pending","Pending"),"Invalid Input")</f>
        <v>In Transit</v>
      </c>
    </row>
    <row r="1041" spans="1:21" x14ac:dyDescent="0.25">
      <c r="A1041" s="4" t="s">
        <v>1887</v>
      </c>
      <c r="B1041" s="5">
        <v>45467</v>
      </c>
      <c r="C1041" t="s">
        <v>41</v>
      </c>
      <c r="D1041" t="s">
        <v>3268</v>
      </c>
      <c r="E1041" t="s">
        <v>66</v>
      </c>
      <c r="F1041" t="s">
        <v>3211</v>
      </c>
      <c r="G1041" t="s">
        <v>67</v>
      </c>
      <c r="H1041" t="str">
        <f>VLOOKUP(Table1[[#This Row],[City]],Table6[#All],2,FALSE)</f>
        <v>East</v>
      </c>
      <c r="I1041" t="s">
        <v>3204</v>
      </c>
      <c r="J1041" t="str">
        <f>_xlfn.XLOOKUP(Table1[[#This Row],[Tractor Model]],Table7[Product Model],Table7[Product Category],"Not Available",0)</f>
        <v>Kubota</v>
      </c>
      <c r="K1041" s="4">
        <v>1</v>
      </c>
      <c r="L1041" s="72">
        <v>694776</v>
      </c>
      <c r="M1041" s="4">
        <f>INDEX('Master Sheet'!$C$4:$C$12,MATCH(Table1[[#This Row],[Quantity]],'Master Sheet'!$B$4:$B$12,0))</f>
        <v>3</v>
      </c>
      <c r="N1041" s="71">
        <f>Table1[[#This Row],[Quantity]]*Table1[[#This Row],[Unit Price]]</f>
        <v>694776</v>
      </c>
      <c r="O1041" s="73">
        <v>6.94776E-2</v>
      </c>
      <c r="P1041" s="70">
        <f>Table1[[#This Row],[Gross Amount]]*(1-(Table1[[#This Row],[Discount %]]/100))</f>
        <v>673932.72</v>
      </c>
      <c r="Q1041" s="74">
        <f>(Table1[[#This Row],[Gross Amount]]*(1-(Table1[[#This Row],[Discount %]]/100)))/10000000</f>
        <v>6.7393272000000004E-2</v>
      </c>
      <c r="R1041" t="s">
        <v>42</v>
      </c>
      <c r="S1041" t="str" cm="1">
        <f t="array" ref="S1041">IFERROR(_xlfn.IFS(Table1[[#This Row],[Payment Status]]="Partial","In Transit",Table1[[#This Row],[Payment Status]]="Paid","Delivered",Table1[[#This Row],[Payment Status]]="Pending","Pending"),"Invalid Input")</f>
        <v>Pending</v>
      </c>
      <c r="T1041" t="s">
        <v>27</v>
      </c>
      <c r="U1041" t="str" cm="1">
        <f t="array" ref="U1041">IFERROR(_xlfn.IFS(Table1[[#This Row],[Payment Status]]="Partial","In Transit",Table1[[#This Row],[Payment Status]]="Paid","Completed",Table1[[#This Row],[Payment Status]]="Pending","Pending"),"Invalid Input")</f>
        <v>Pending</v>
      </c>
    </row>
    <row r="1042" spans="1:21" x14ac:dyDescent="0.25">
      <c r="A1042" s="4" t="s">
        <v>1889</v>
      </c>
      <c r="B1042" s="5">
        <v>45543</v>
      </c>
      <c r="C1042" t="s">
        <v>41</v>
      </c>
      <c r="D1042" t="s">
        <v>3271</v>
      </c>
      <c r="E1042" t="s">
        <v>66</v>
      </c>
      <c r="F1042" t="s">
        <v>3207</v>
      </c>
      <c r="G1042" t="s">
        <v>67</v>
      </c>
      <c r="H1042" t="str">
        <f>VLOOKUP(Table1[[#This Row],[City]],Table6[#All],2,FALSE)</f>
        <v>East</v>
      </c>
      <c r="I1042" t="s">
        <v>58</v>
      </c>
      <c r="J1042" t="str">
        <f>_xlfn.XLOOKUP(Table1[[#This Row],[Tractor Model]],Table7[Product Model],Table7[Product Category],"Not Available",0)</f>
        <v>Powertrac</v>
      </c>
      <c r="K1042" s="4">
        <v>6</v>
      </c>
      <c r="L1042" s="72">
        <v>758836</v>
      </c>
      <c r="M1042" s="4">
        <f>INDEX('Master Sheet'!$C$4:$C$12,MATCH(Table1[[#This Row],[Quantity]],'Master Sheet'!$B$4:$B$12,0))</f>
        <v>8</v>
      </c>
      <c r="N1042" s="71">
        <f>Table1[[#This Row],[Quantity]]*Table1[[#This Row],[Unit Price]]</f>
        <v>4553016</v>
      </c>
      <c r="O1042" s="73">
        <v>0.45530159999999997</v>
      </c>
      <c r="P1042" s="70">
        <f>Table1[[#This Row],[Gross Amount]]*(1-(Table1[[#This Row],[Discount %]]/100))</f>
        <v>4188774.72</v>
      </c>
      <c r="Q1042" s="74">
        <f>(Table1[[#This Row],[Gross Amount]]*(1-(Table1[[#This Row],[Discount %]]/100)))/10000000</f>
        <v>0.41887747200000003</v>
      </c>
      <c r="R1042" t="s">
        <v>42</v>
      </c>
      <c r="S1042" t="str" cm="1">
        <f t="array" ref="S1042">IFERROR(_xlfn.IFS(Table1[[#This Row],[Payment Status]]="Partial","In Transit",Table1[[#This Row],[Payment Status]]="Paid","Delivered",Table1[[#This Row],[Payment Status]]="Pending","Pending"),"Invalid Input")</f>
        <v>Pending</v>
      </c>
      <c r="T1042" t="s">
        <v>27</v>
      </c>
      <c r="U1042" t="str" cm="1">
        <f t="array" ref="U1042">IFERROR(_xlfn.IFS(Table1[[#This Row],[Payment Status]]="Partial","In Transit",Table1[[#This Row],[Payment Status]]="Paid","Completed",Table1[[#This Row],[Payment Status]]="Pending","Pending"),"Invalid Input")</f>
        <v>Pending</v>
      </c>
    </row>
    <row r="1043" spans="1:21" x14ac:dyDescent="0.25">
      <c r="A1043" s="4" t="s">
        <v>1891</v>
      </c>
      <c r="B1043" s="5">
        <v>45702</v>
      </c>
      <c r="C1043" t="s">
        <v>62</v>
      </c>
      <c r="D1043" t="s">
        <v>37</v>
      </c>
      <c r="E1043" t="s">
        <v>30</v>
      </c>
      <c r="F1043" t="s">
        <v>3222</v>
      </c>
      <c r="G1043" t="s">
        <v>31</v>
      </c>
      <c r="H1043" t="str">
        <f>VLOOKUP(Table1[[#This Row],[City]],Table6[#All],2,FALSE)</f>
        <v>South</v>
      </c>
      <c r="I1043" t="s">
        <v>3203</v>
      </c>
      <c r="J1043" t="str">
        <f>_xlfn.XLOOKUP(Table1[[#This Row],[Tractor Model]],Table7[Product Model],Table7[Product Category],"Not Available",0)</f>
        <v>Kubota</v>
      </c>
      <c r="K1043" s="4">
        <v>7</v>
      </c>
      <c r="L1043" s="72">
        <v>375308</v>
      </c>
      <c r="M1043" s="4">
        <f>INDEX('Master Sheet'!$C$4:$C$12,MATCH(Table1[[#This Row],[Quantity]],'Master Sheet'!$B$4:$B$12,0))</f>
        <v>9</v>
      </c>
      <c r="N1043" s="71">
        <f>Table1[[#This Row],[Quantity]]*Table1[[#This Row],[Unit Price]]</f>
        <v>2627156</v>
      </c>
      <c r="O1043" s="73">
        <v>0.26271559999999999</v>
      </c>
      <c r="P1043" s="70">
        <f>Table1[[#This Row],[Gross Amount]]*(1-(Table1[[#This Row],[Discount %]]/100))</f>
        <v>2390711.96</v>
      </c>
      <c r="Q1043" s="74">
        <f>(Table1[[#This Row],[Gross Amount]]*(1-(Table1[[#This Row],[Discount %]]/100)))/10000000</f>
        <v>0.23907119599999999</v>
      </c>
      <c r="R1043" t="s">
        <v>54</v>
      </c>
      <c r="S1043" t="str" cm="1">
        <f t="array" ref="S1043">IFERROR(_xlfn.IFS(Table1[[#This Row],[Payment Status]]="Partial","In Transit",Table1[[#This Row],[Payment Status]]="Paid","Delivered",Table1[[#This Row],[Payment Status]]="Pending","Pending"),"Invalid Input")</f>
        <v>Delivered</v>
      </c>
      <c r="T1043" t="s">
        <v>44</v>
      </c>
      <c r="U1043" t="str" cm="1">
        <f t="array" ref="U1043">IFERROR(_xlfn.IFS(Table1[[#This Row],[Payment Status]]="Partial","In Transit",Table1[[#This Row],[Payment Status]]="Paid","Completed",Table1[[#This Row],[Payment Status]]="Pending","Pending"),"Invalid Input")</f>
        <v>Completed</v>
      </c>
    </row>
    <row r="1044" spans="1:21" x14ac:dyDescent="0.25">
      <c r="A1044" s="4" t="s">
        <v>1893</v>
      </c>
      <c r="B1044" s="5">
        <v>45764</v>
      </c>
      <c r="C1044" t="s">
        <v>52</v>
      </c>
      <c r="D1044" t="s">
        <v>3270</v>
      </c>
      <c r="E1044" t="s">
        <v>47</v>
      </c>
      <c r="F1044" t="s">
        <v>3205</v>
      </c>
      <c r="G1044" t="s">
        <v>48</v>
      </c>
      <c r="H1044" t="str">
        <f>VLOOKUP(Table1[[#This Row],[City]],Table6[#All],2,FALSE)</f>
        <v>North</v>
      </c>
      <c r="I1044" t="s">
        <v>24</v>
      </c>
      <c r="J1044" t="str">
        <f>_xlfn.XLOOKUP(Table1[[#This Row],[Tractor Model]],Table7[Product Model],Table7[Product Category],"Not Available",0)</f>
        <v>Farmtrac</v>
      </c>
      <c r="K1044" s="4">
        <v>2</v>
      </c>
      <c r="L1044" s="72">
        <v>842126</v>
      </c>
      <c r="M1044" s="4">
        <f>INDEX('Master Sheet'!$C$4:$C$12,MATCH(Table1[[#This Row],[Quantity]],'Master Sheet'!$B$4:$B$12,0))</f>
        <v>5</v>
      </c>
      <c r="N1044" s="71">
        <f>Table1[[#This Row],[Quantity]]*Table1[[#This Row],[Unit Price]]</f>
        <v>1684252</v>
      </c>
      <c r="O1044" s="73">
        <v>0.1684252</v>
      </c>
      <c r="P1044" s="70">
        <f>Table1[[#This Row],[Gross Amount]]*(1-(Table1[[#This Row],[Discount %]]/100))</f>
        <v>1600039.4</v>
      </c>
      <c r="Q1044" s="74">
        <f>(Table1[[#This Row],[Gross Amount]]*(1-(Table1[[#This Row],[Discount %]]/100)))/10000000</f>
        <v>0.16000393999999998</v>
      </c>
      <c r="R1044" t="s">
        <v>42</v>
      </c>
      <c r="S1044" t="str" cm="1">
        <f t="array" ref="S1044">IFERROR(_xlfn.IFS(Table1[[#This Row],[Payment Status]]="Partial","In Transit",Table1[[#This Row],[Payment Status]]="Paid","Delivered",Table1[[#This Row],[Payment Status]]="Pending","Pending"),"Invalid Input")</f>
        <v>Pending</v>
      </c>
      <c r="T1044" t="s">
        <v>27</v>
      </c>
      <c r="U1044" t="str" cm="1">
        <f t="array" ref="U1044">IFERROR(_xlfn.IFS(Table1[[#This Row],[Payment Status]]="Partial","In Transit",Table1[[#This Row],[Payment Status]]="Paid","Completed",Table1[[#This Row],[Payment Status]]="Pending","Pending"),"Invalid Input")</f>
        <v>Pending</v>
      </c>
    </row>
    <row r="1045" spans="1:21" x14ac:dyDescent="0.25">
      <c r="A1045" s="4" t="s">
        <v>1894</v>
      </c>
      <c r="B1045" s="5">
        <v>45393</v>
      </c>
      <c r="C1045" t="s">
        <v>62</v>
      </c>
      <c r="D1045" t="s">
        <v>37</v>
      </c>
      <c r="E1045" t="s">
        <v>47</v>
      </c>
      <c r="F1045" t="s">
        <v>3215</v>
      </c>
      <c r="G1045" t="s">
        <v>48</v>
      </c>
      <c r="H1045" t="str">
        <f>VLOOKUP(Table1[[#This Row],[City]],Table6[#All],2,FALSE)</f>
        <v>North</v>
      </c>
      <c r="I1045" t="s">
        <v>3204</v>
      </c>
      <c r="J1045" t="str">
        <f>_xlfn.XLOOKUP(Table1[[#This Row],[Tractor Model]],Table7[Product Model],Table7[Product Category],"Not Available",0)</f>
        <v>Kubota</v>
      </c>
      <c r="K1045" s="4">
        <v>2</v>
      </c>
      <c r="L1045" s="72">
        <v>312559</v>
      </c>
      <c r="M1045" s="4">
        <f>INDEX('Master Sheet'!$C$4:$C$12,MATCH(Table1[[#This Row],[Quantity]],'Master Sheet'!$B$4:$B$12,0))</f>
        <v>5</v>
      </c>
      <c r="N1045" s="71">
        <f>Table1[[#This Row],[Quantity]]*Table1[[#This Row],[Unit Price]]</f>
        <v>625118</v>
      </c>
      <c r="O1045" s="73">
        <v>6.2511800000000006E-2</v>
      </c>
      <c r="P1045" s="70">
        <f>Table1[[#This Row],[Gross Amount]]*(1-(Table1[[#This Row],[Discount %]]/100))</f>
        <v>593862.1</v>
      </c>
      <c r="Q1045" s="74">
        <f>(Table1[[#This Row],[Gross Amount]]*(1-(Table1[[#This Row],[Discount %]]/100)))/10000000</f>
        <v>5.9386209999999995E-2</v>
      </c>
      <c r="R1045" t="s">
        <v>25</v>
      </c>
      <c r="S1045" t="str" cm="1">
        <f t="array" ref="S1045">IFERROR(_xlfn.IFS(Table1[[#This Row],[Payment Status]]="Partial","In Transit",Table1[[#This Row],[Payment Status]]="Paid","Delivered",Table1[[#This Row],[Payment Status]]="Pending","Pending"),"Invalid Input")</f>
        <v>In Transit</v>
      </c>
      <c r="T1045" t="s">
        <v>44</v>
      </c>
      <c r="U1045" t="str" cm="1">
        <f t="array" ref="U1045">IFERROR(_xlfn.IFS(Table1[[#This Row],[Payment Status]]="Partial","In Transit",Table1[[#This Row],[Payment Status]]="Paid","Completed",Table1[[#This Row],[Payment Status]]="Pending","Pending"),"Invalid Input")</f>
        <v>In Transit</v>
      </c>
    </row>
    <row r="1046" spans="1:21" x14ac:dyDescent="0.25">
      <c r="A1046" s="4" t="s">
        <v>1895</v>
      </c>
      <c r="B1046" s="5">
        <v>45419</v>
      </c>
      <c r="C1046" t="s">
        <v>33</v>
      </c>
      <c r="D1046" t="s">
        <v>3271</v>
      </c>
      <c r="E1046" t="s">
        <v>30</v>
      </c>
      <c r="F1046" t="s">
        <v>3217</v>
      </c>
      <c r="G1046" t="s">
        <v>31</v>
      </c>
      <c r="H1046" t="str">
        <f>VLOOKUP(Table1[[#This Row],[City]],Table6[#All],2,FALSE)</f>
        <v>South</v>
      </c>
      <c r="I1046" t="s">
        <v>24</v>
      </c>
      <c r="J1046" t="str">
        <f>_xlfn.XLOOKUP(Table1[[#This Row],[Tractor Model]],Table7[Product Model],Table7[Product Category],"Not Available",0)</f>
        <v>Farmtrac</v>
      </c>
      <c r="K1046" s="4">
        <v>6</v>
      </c>
      <c r="L1046" s="72">
        <v>698344</v>
      </c>
      <c r="M1046" s="4">
        <f>INDEX('Master Sheet'!$C$4:$C$12,MATCH(Table1[[#This Row],[Quantity]],'Master Sheet'!$B$4:$B$12,0))</f>
        <v>8</v>
      </c>
      <c r="N1046" s="71">
        <f>Table1[[#This Row],[Quantity]]*Table1[[#This Row],[Unit Price]]</f>
        <v>4190064</v>
      </c>
      <c r="O1046" s="73">
        <v>0.4190064</v>
      </c>
      <c r="P1046" s="70">
        <f>Table1[[#This Row],[Gross Amount]]*(1-(Table1[[#This Row],[Discount %]]/100))</f>
        <v>3854858.8800000004</v>
      </c>
      <c r="Q1046" s="74">
        <f>(Table1[[#This Row],[Gross Amount]]*(1-(Table1[[#This Row],[Discount %]]/100)))/10000000</f>
        <v>0.38548588800000005</v>
      </c>
      <c r="R1046" t="s">
        <v>42</v>
      </c>
      <c r="S1046" t="str" cm="1">
        <f t="array" ref="S1046">IFERROR(_xlfn.IFS(Table1[[#This Row],[Payment Status]]="Partial","In Transit",Table1[[#This Row],[Payment Status]]="Paid","Delivered",Table1[[#This Row],[Payment Status]]="Pending","Pending"),"Invalid Input")</f>
        <v>Pending</v>
      </c>
      <c r="T1046" t="s">
        <v>27</v>
      </c>
      <c r="U1046" t="str" cm="1">
        <f t="array" ref="U1046">IFERROR(_xlfn.IFS(Table1[[#This Row],[Payment Status]]="Partial","In Transit",Table1[[#This Row],[Payment Status]]="Paid","Completed",Table1[[#This Row],[Payment Status]]="Pending","Pending"),"Invalid Input")</f>
        <v>Pending</v>
      </c>
    </row>
    <row r="1047" spans="1:21" x14ac:dyDescent="0.25">
      <c r="A1047" s="4" t="s">
        <v>1897</v>
      </c>
      <c r="B1047" s="5">
        <v>45396</v>
      </c>
      <c r="C1047" t="s">
        <v>41</v>
      </c>
      <c r="D1047" t="s">
        <v>3268</v>
      </c>
      <c r="E1047" t="s">
        <v>119</v>
      </c>
      <c r="F1047" t="s">
        <v>3227</v>
      </c>
      <c r="G1047" t="s">
        <v>21</v>
      </c>
      <c r="H1047" t="str">
        <f>VLOOKUP(Table1[[#This Row],[City]],Table6[#All],2,FALSE)</f>
        <v>North</v>
      </c>
      <c r="I1047" t="s">
        <v>24</v>
      </c>
      <c r="J1047" t="str">
        <f>_xlfn.XLOOKUP(Table1[[#This Row],[Tractor Model]],Table7[Product Model],Table7[Product Category],"Not Available",0)</f>
        <v>Farmtrac</v>
      </c>
      <c r="K1047" s="4">
        <v>5</v>
      </c>
      <c r="L1047" s="72">
        <v>749004</v>
      </c>
      <c r="M1047" s="4">
        <f>INDEX('Master Sheet'!$C$4:$C$12,MATCH(Table1[[#This Row],[Quantity]],'Master Sheet'!$B$4:$B$12,0))</f>
        <v>7</v>
      </c>
      <c r="N1047" s="71">
        <f>Table1[[#This Row],[Quantity]]*Table1[[#This Row],[Unit Price]]</f>
        <v>3745020</v>
      </c>
      <c r="O1047" s="73">
        <v>0.374502</v>
      </c>
      <c r="P1047" s="70">
        <f>Table1[[#This Row],[Gross Amount]]*(1-(Table1[[#This Row],[Discount %]]/100))</f>
        <v>3482868.5999999996</v>
      </c>
      <c r="Q1047" s="74">
        <f>(Table1[[#This Row],[Gross Amount]]*(1-(Table1[[#This Row],[Discount %]]/100)))/10000000</f>
        <v>0.34828685999999998</v>
      </c>
      <c r="R1047" t="s">
        <v>42</v>
      </c>
      <c r="S1047" t="str" cm="1">
        <f t="array" ref="S1047">IFERROR(_xlfn.IFS(Table1[[#This Row],[Payment Status]]="Partial","In Transit",Table1[[#This Row],[Payment Status]]="Paid","Delivered",Table1[[#This Row],[Payment Status]]="Pending","Pending"),"Invalid Input")</f>
        <v>Pending</v>
      </c>
      <c r="T1047" t="s">
        <v>27</v>
      </c>
      <c r="U1047" t="str" cm="1">
        <f t="array" ref="U1047">IFERROR(_xlfn.IFS(Table1[[#This Row],[Payment Status]]="Partial","In Transit",Table1[[#This Row],[Payment Status]]="Paid","Completed",Table1[[#This Row],[Payment Status]]="Pending","Pending"),"Invalid Input")</f>
        <v>Pending</v>
      </c>
    </row>
    <row r="1048" spans="1:21" x14ac:dyDescent="0.25">
      <c r="A1048" s="4" t="s">
        <v>1898</v>
      </c>
      <c r="B1048" s="5">
        <v>45675</v>
      </c>
      <c r="C1048" t="s">
        <v>62</v>
      </c>
      <c r="D1048" t="s">
        <v>3270</v>
      </c>
      <c r="E1048" t="s">
        <v>119</v>
      </c>
      <c r="F1048" t="s">
        <v>3212</v>
      </c>
      <c r="G1048" t="s">
        <v>21</v>
      </c>
      <c r="H1048" t="str">
        <f>VLOOKUP(Table1[[#This Row],[City]],Table6[#All],2,FALSE)</f>
        <v>North</v>
      </c>
      <c r="I1048" t="s">
        <v>24</v>
      </c>
      <c r="J1048" t="str">
        <f>_xlfn.XLOOKUP(Table1[[#This Row],[Tractor Model]],Table7[Product Model],Table7[Product Category],"Not Available",0)</f>
        <v>Farmtrac</v>
      </c>
      <c r="K1048" s="4">
        <v>5</v>
      </c>
      <c r="L1048" s="72">
        <v>689569</v>
      </c>
      <c r="M1048" s="4">
        <f>INDEX('Master Sheet'!$C$4:$C$12,MATCH(Table1[[#This Row],[Quantity]],'Master Sheet'!$B$4:$B$12,0))</f>
        <v>7</v>
      </c>
      <c r="N1048" s="71">
        <f>Table1[[#This Row],[Quantity]]*Table1[[#This Row],[Unit Price]]</f>
        <v>3447845</v>
      </c>
      <c r="O1048" s="73">
        <v>0.34478449999999999</v>
      </c>
      <c r="P1048" s="70">
        <f>Table1[[#This Row],[Gross Amount]]*(1-(Table1[[#This Row],[Discount %]]/100))</f>
        <v>3206495.8499999996</v>
      </c>
      <c r="Q1048" s="74">
        <f>(Table1[[#This Row],[Gross Amount]]*(1-(Table1[[#This Row],[Discount %]]/100)))/10000000</f>
        <v>0.32064958499999996</v>
      </c>
      <c r="R1048" t="s">
        <v>42</v>
      </c>
      <c r="S1048" t="str" cm="1">
        <f t="array" ref="S1048">IFERROR(_xlfn.IFS(Table1[[#This Row],[Payment Status]]="Partial","In Transit",Table1[[#This Row],[Payment Status]]="Paid","Delivered",Table1[[#This Row],[Payment Status]]="Pending","Pending"),"Invalid Input")</f>
        <v>Pending</v>
      </c>
      <c r="T1048" t="s">
        <v>44</v>
      </c>
      <c r="U1048" t="str" cm="1">
        <f t="array" ref="U1048">IFERROR(_xlfn.IFS(Table1[[#This Row],[Payment Status]]="Partial","In Transit",Table1[[#This Row],[Payment Status]]="Paid","Completed",Table1[[#This Row],[Payment Status]]="Pending","Pending"),"Invalid Input")</f>
        <v>Pending</v>
      </c>
    </row>
    <row r="1049" spans="1:21" x14ac:dyDescent="0.25">
      <c r="A1049" s="4" t="s">
        <v>1899</v>
      </c>
      <c r="B1049" s="5">
        <v>45656</v>
      </c>
      <c r="C1049" t="s">
        <v>41</v>
      </c>
      <c r="D1049" t="s">
        <v>3270</v>
      </c>
      <c r="E1049" t="s">
        <v>30</v>
      </c>
      <c r="F1049" t="s">
        <v>3223</v>
      </c>
      <c r="G1049" t="s">
        <v>31</v>
      </c>
      <c r="H1049" t="str">
        <f>VLOOKUP(Table1[[#This Row],[City]],Table6[#All],2,FALSE)</f>
        <v>South</v>
      </c>
      <c r="I1049" t="s">
        <v>53</v>
      </c>
      <c r="J1049" t="str">
        <f>_xlfn.XLOOKUP(Table1[[#This Row],[Tractor Model]],Table7[Product Model],Table7[Product Category],"Not Available",0)</f>
        <v>Farmtrac</v>
      </c>
      <c r="K1049" s="4">
        <v>3</v>
      </c>
      <c r="L1049" s="72">
        <v>803504</v>
      </c>
      <c r="M1049" s="4">
        <f>INDEX('Master Sheet'!$C$4:$C$12,MATCH(Table1[[#This Row],[Quantity]],'Master Sheet'!$B$4:$B$12,0))</f>
        <v>6</v>
      </c>
      <c r="N1049" s="71">
        <f>Table1[[#This Row],[Quantity]]*Table1[[#This Row],[Unit Price]]</f>
        <v>2410512</v>
      </c>
      <c r="O1049" s="73">
        <v>0.24105119999999999</v>
      </c>
      <c r="P1049" s="70">
        <f>Table1[[#This Row],[Gross Amount]]*(1-(Table1[[#This Row],[Discount %]]/100))</f>
        <v>2265881.2799999998</v>
      </c>
      <c r="Q1049" s="74">
        <f>(Table1[[#This Row],[Gross Amount]]*(1-(Table1[[#This Row],[Discount %]]/100)))/10000000</f>
        <v>0.22658812799999997</v>
      </c>
      <c r="R1049" t="s">
        <v>42</v>
      </c>
      <c r="S1049" t="str" cm="1">
        <f t="array" ref="S1049">IFERROR(_xlfn.IFS(Table1[[#This Row],[Payment Status]]="Partial","In Transit",Table1[[#This Row],[Payment Status]]="Paid","Delivered",Table1[[#This Row],[Payment Status]]="Pending","Pending"),"Invalid Input")</f>
        <v>Pending</v>
      </c>
      <c r="T1049" t="s">
        <v>27</v>
      </c>
      <c r="U1049" t="str" cm="1">
        <f t="array" ref="U1049">IFERROR(_xlfn.IFS(Table1[[#This Row],[Payment Status]]="Partial","In Transit",Table1[[#This Row],[Payment Status]]="Paid","Completed",Table1[[#This Row],[Payment Status]]="Pending","Pending"),"Invalid Input")</f>
        <v>Pending</v>
      </c>
    </row>
    <row r="1050" spans="1:21" x14ac:dyDescent="0.25">
      <c r="A1050" s="4" t="s">
        <v>1901</v>
      </c>
      <c r="B1050" s="5">
        <v>45843</v>
      </c>
      <c r="C1050" t="s">
        <v>33</v>
      </c>
      <c r="D1050" t="s">
        <v>3268</v>
      </c>
      <c r="E1050" t="s">
        <v>119</v>
      </c>
      <c r="F1050" t="s">
        <v>3227</v>
      </c>
      <c r="G1050" t="s">
        <v>21</v>
      </c>
      <c r="H1050" t="str">
        <f>VLOOKUP(Table1[[#This Row],[City]],Table6[#All],2,FALSE)</f>
        <v>North</v>
      </c>
      <c r="I1050" t="s">
        <v>24</v>
      </c>
      <c r="J1050" t="str">
        <f>_xlfn.XLOOKUP(Table1[[#This Row],[Tractor Model]],Table7[Product Model],Table7[Product Category],"Not Available",0)</f>
        <v>Farmtrac</v>
      </c>
      <c r="K1050" s="4">
        <v>2</v>
      </c>
      <c r="L1050" s="72">
        <v>817650</v>
      </c>
      <c r="M1050" s="4">
        <f>INDEX('Master Sheet'!$C$4:$C$12,MATCH(Table1[[#This Row],[Quantity]],'Master Sheet'!$B$4:$B$12,0))</f>
        <v>5</v>
      </c>
      <c r="N1050" s="71">
        <f>Table1[[#This Row],[Quantity]]*Table1[[#This Row],[Unit Price]]</f>
        <v>1635300</v>
      </c>
      <c r="O1050" s="73">
        <v>0.16353000000000001</v>
      </c>
      <c r="P1050" s="70">
        <f>Table1[[#This Row],[Gross Amount]]*(1-(Table1[[#This Row],[Discount %]]/100))</f>
        <v>1553535</v>
      </c>
      <c r="Q1050" s="74">
        <f>(Table1[[#This Row],[Gross Amount]]*(1-(Table1[[#This Row],[Discount %]]/100)))/10000000</f>
        <v>0.15535350000000001</v>
      </c>
      <c r="R1050" t="s">
        <v>42</v>
      </c>
      <c r="S1050" t="str" cm="1">
        <f t="array" ref="S1050">IFERROR(_xlfn.IFS(Table1[[#This Row],[Payment Status]]="Partial","In Transit",Table1[[#This Row],[Payment Status]]="Paid","Delivered",Table1[[#This Row],[Payment Status]]="Pending","Pending"),"Invalid Input")</f>
        <v>Pending</v>
      </c>
      <c r="T1050" t="s">
        <v>27</v>
      </c>
      <c r="U1050" t="str" cm="1">
        <f t="array" ref="U1050">IFERROR(_xlfn.IFS(Table1[[#This Row],[Payment Status]]="Partial","In Transit",Table1[[#This Row],[Payment Status]]="Paid","Completed",Table1[[#This Row],[Payment Status]]="Pending","Pending"),"Invalid Input")</f>
        <v>Pending</v>
      </c>
    </row>
    <row r="1051" spans="1:21" x14ac:dyDescent="0.25">
      <c r="A1051" s="4" t="s">
        <v>1903</v>
      </c>
      <c r="B1051" s="5">
        <v>45631</v>
      </c>
      <c r="C1051" t="s">
        <v>52</v>
      </c>
      <c r="D1051" t="s">
        <v>3269</v>
      </c>
      <c r="E1051" t="s">
        <v>119</v>
      </c>
      <c r="F1051" t="s">
        <v>3229</v>
      </c>
      <c r="G1051" t="s">
        <v>21</v>
      </c>
      <c r="H1051" t="str">
        <f>VLOOKUP(Table1[[#This Row],[City]],Table6[#All],2,FALSE)</f>
        <v>North</v>
      </c>
      <c r="I1051" t="s">
        <v>3203</v>
      </c>
      <c r="J1051" t="str">
        <f>_xlfn.XLOOKUP(Table1[[#This Row],[Tractor Model]],Table7[Product Model],Table7[Product Category],"Not Available",0)</f>
        <v>Kubota</v>
      </c>
      <c r="K1051" s="4">
        <v>4</v>
      </c>
      <c r="L1051" s="72">
        <v>521145</v>
      </c>
      <c r="M1051" s="4">
        <f>INDEX('Master Sheet'!$C$4:$C$12,MATCH(Table1[[#This Row],[Quantity]],'Master Sheet'!$B$4:$B$12,0))</f>
        <v>6</v>
      </c>
      <c r="N1051" s="71">
        <f>Table1[[#This Row],[Quantity]]*Table1[[#This Row],[Unit Price]]</f>
        <v>2084580</v>
      </c>
      <c r="O1051" s="73">
        <v>0.208458</v>
      </c>
      <c r="P1051" s="70">
        <f>Table1[[#This Row],[Gross Amount]]*(1-(Table1[[#This Row],[Discount %]]/100))</f>
        <v>1959505.2</v>
      </c>
      <c r="Q1051" s="74">
        <f>(Table1[[#This Row],[Gross Amount]]*(1-(Table1[[#This Row],[Discount %]]/100)))/10000000</f>
        <v>0.19595051999999999</v>
      </c>
      <c r="R1051" t="s">
        <v>25</v>
      </c>
      <c r="S1051" t="str" cm="1">
        <f t="array" ref="S1051">IFERROR(_xlfn.IFS(Table1[[#This Row],[Payment Status]]="Partial","In Transit",Table1[[#This Row],[Payment Status]]="Paid","Delivered",Table1[[#This Row],[Payment Status]]="Pending","Pending"),"Invalid Input")</f>
        <v>In Transit</v>
      </c>
      <c r="T1051" t="s">
        <v>27</v>
      </c>
      <c r="U1051" t="str" cm="1">
        <f t="array" ref="U1051">IFERROR(_xlfn.IFS(Table1[[#This Row],[Payment Status]]="Partial","In Transit",Table1[[#This Row],[Payment Status]]="Paid","Completed",Table1[[#This Row],[Payment Status]]="Pending","Pending"),"Invalid Input")</f>
        <v>In Transit</v>
      </c>
    </row>
    <row r="1052" spans="1:21" x14ac:dyDescent="0.25">
      <c r="A1052" s="4" t="s">
        <v>1904</v>
      </c>
      <c r="B1052" s="5">
        <v>45303</v>
      </c>
      <c r="C1052" t="s">
        <v>41</v>
      </c>
      <c r="D1052" t="s">
        <v>3270</v>
      </c>
      <c r="E1052" t="s">
        <v>66</v>
      </c>
      <c r="F1052" t="s">
        <v>3220</v>
      </c>
      <c r="G1052" t="s">
        <v>67</v>
      </c>
      <c r="H1052" t="str">
        <f>VLOOKUP(Table1[[#This Row],[City]],Table6[#All],2,FALSE)</f>
        <v>East</v>
      </c>
      <c r="I1052" t="s">
        <v>3204</v>
      </c>
      <c r="J1052" t="str">
        <f>_xlfn.XLOOKUP(Table1[[#This Row],[Tractor Model]],Table7[Product Model],Table7[Product Category],"Not Available",0)</f>
        <v>Kubota</v>
      </c>
      <c r="K1052" s="4">
        <v>8</v>
      </c>
      <c r="L1052" s="72">
        <v>330787</v>
      </c>
      <c r="M1052" s="4">
        <f>INDEX('Master Sheet'!$C$4:$C$12,MATCH(Table1[[#This Row],[Quantity]],'Master Sheet'!$B$4:$B$12,0))</f>
        <v>9</v>
      </c>
      <c r="N1052" s="71">
        <f>Table1[[#This Row],[Quantity]]*Table1[[#This Row],[Unit Price]]</f>
        <v>2646296</v>
      </c>
      <c r="O1052" s="73">
        <v>0.26462960000000002</v>
      </c>
      <c r="P1052" s="70">
        <f>Table1[[#This Row],[Gross Amount]]*(1-(Table1[[#This Row],[Discount %]]/100))</f>
        <v>2408129.36</v>
      </c>
      <c r="Q1052" s="74">
        <f>(Table1[[#This Row],[Gross Amount]]*(1-(Table1[[#This Row],[Discount %]]/100)))/10000000</f>
        <v>0.24081293599999998</v>
      </c>
      <c r="R1052" t="s">
        <v>25</v>
      </c>
      <c r="S1052" t="str" cm="1">
        <f t="array" ref="S1052">IFERROR(_xlfn.IFS(Table1[[#This Row],[Payment Status]]="Partial","In Transit",Table1[[#This Row],[Payment Status]]="Paid","Delivered",Table1[[#This Row],[Payment Status]]="Pending","Pending"),"Invalid Input")</f>
        <v>In Transit</v>
      </c>
      <c r="T1052" t="s">
        <v>27</v>
      </c>
      <c r="U1052" t="str" cm="1">
        <f t="array" ref="U1052">IFERROR(_xlfn.IFS(Table1[[#This Row],[Payment Status]]="Partial","In Transit",Table1[[#This Row],[Payment Status]]="Paid","Completed",Table1[[#This Row],[Payment Status]]="Pending","Pending"),"Invalid Input")</f>
        <v>In Transit</v>
      </c>
    </row>
    <row r="1053" spans="1:21" x14ac:dyDescent="0.25">
      <c r="A1053" s="4" t="s">
        <v>1905</v>
      </c>
      <c r="B1053" s="5">
        <v>45667</v>
      </c>
      <c r="C1053" t="s">
        <v>73</v>
      </c>
      <c r="D1053" t="s">
        <v>37</v>
      </c>
      <c r="E1053" t="s">
        <v>38</v>
      </c>
      <c r="F1053" t="s">
        <v>3214</v>
      </c>
      <c r="G1053" t="s">
        <v>39</v>
      </c>
      <c r="H1053" t="str">
        <f>VLOOKUP(Table1[[#This Row],[City]],Table6[#All],2,FALSE)</f>
        <v>West</v>
      </c>
      <c r="I1053" t="s">
        <v>24</v>
      </c>
      <c r="J1053" t="str">
        <f>_xlfn.XLOOKUP(Table1[[#This Row],[Tractor Model]],Table7[Product Model],Table7[Product Category],"Not Available",0)</f>
        <v>Farmtrac</v>
      </c>
      <c r="K1053" s="4">
        <v>7</v>
      </c>
      <c r="L1053" s="72">
        <v>703605</v>
      </c>
      <c r="M1053" s="4">
        <f>INDEX('Master Sheet'!$C$4:$C$12,MATCH(Table1[[#This Row],[Quantity]],'Master Sheet'!$B$4:$B$12,0))</f>
        <v>9</v>
      </c>
      <c r="N1053" s="71">
        <f>Table1[[#This Row],[Quantity]]*Table1[[#This Row],[Unit Price]]</f>
        <v>4925235</v>
      </c>
      <c r="O1053" s="73">
        <v>0.4925235</v>
      </c>
      <c r="P1053" s="70">
        <f>Table1[[#This Row],[Gross Amount]]*(1-(Table1[[#This Row],[Discount %]]/100))</f>
        <v>4481963.8500000006</v>
      </c>
      <c r="Q1053" s="74">
        <f>(Table1[[#This Row],[Gross Amount]]*(1-(Table1[[#This Row],[Discount %]]/100)))/10000000</f>
        <v>0.44819638500000003</v>
      </c>
      <c r="R1053" t="s">
        <v>42</v>
      </c>
      <c r="S1053" t="str" cm="1">
        <f t="array" ref="S1053">IFERROR(_xlfn.IFS(Table1[[#This Row],[Payment Status]]="Partial","In Transit",Table1[[#This Row],[Payment Status]]="Paid","Delivered",Table1[[#This Row],[Payment Status]]="Pending","Pending"),"Invalid Input")</f>
        <v>Pending</v>
      </c>
      <c r="T1053" t="s">
        <v>44</v>
      </c>
      <c r="U1053" t="str" cm="1">
        <f t="array" ref="U1053">IFERROR(_xlfn.IFS(Table1[[#This Row],[Payment Status]]="Partial","In Transit",Table1[[#This Row],[Payment Status]]="Paid","Completed",Table1[[#This Row],[Payment Status]]="Pending","Pending"),"Invalid Input")</f>
        <v>Pending</v>
      </c>
    </row>
    <row r="1054" spans="1:21" x14ac:dyDescent="0.25">
      <c r="A1054" s="4" t="s">
        <v>1906</v>
      </c>
      <c r="B1054" s="5">
        <v>45539</v>
      </c>
      <c r="C1054" t="s">
        <v>52</v>
      </c>
      <c r="D1054" t="s">
        <v>3269</v>
      </c>
      <c r="E1054" t="s">
        <v>119</v>
      </c>
      <c r="F1054" t="s">
        <v>3229</v>
      </c>
      <c r="G1054" t="s">
        <v>21</v>
      </c>
      <c r="H1054" t="str">
        <f>VLOOKUP(Table1[[#This Row],[City]],Table6[#All],2,FALSE)</f>
        <v>North</v>
      </c>
      <c r="I1054" t="s">
        <v>53</v>
      </c>
      <c r="J1054" t="str">
        <f>_xlfn.XLOOKUP(Table1[[#This Row],[Tractor Model]],Table7[Product Model],Table7[Product Category],"Not Available",0)</f>
        <v>Farmtrac</v>
      </c>
      <c r="K1054" s="4">
        <v>1</v>
      </c>
      <c r="L1054" s="72">
        <v>776290</v>
      </c>
      <c r="M1054" s="4">
        <f>INDEX('Master Sheet'!$C$4:$C$12,MATCH(Table1[[#This Row],[Quantity]],'Master Sheet'!$B$4:$B$12,0))</f>
        <v>3</v>
      </c>
      <c r="N1054" s="71">
        <f>Table1[[#This Row],[Quantity]]*Table1[[#This Row],[Unit Price]]</f>
        <v>776290</v>
      </c>
      <c r="O1054" s="73">
        <v>7.7629000000000004E-2</v>
      </c>
      <c r="P1054" s="70">
        <f>Table1[[#This Row],[Gross Amount]]*(1-(Table1[[#This Row],[Discount %]]/100))</f>
        <v>753001.29999999993</v>
      </c>
      <c r="Q1054" s="74">
        <f>(Table1[[#This Row],[Gross Amount]]*(1-(Table1[[#This Row],[Discount %]]/100)))/10000000</f>
        <v>7.5300129999999993E-2</v>
      </c>
      <c r="R1054" t="s">
        <v>42</v>
      </c>
      <c r="S1054" t="str" cm="1">
        <f t="array" ref="S1054">IFERROR(_xlfn.IFS(Table1[[#This Row],[Payment Status]]="Partial","In Transit",Table1[[#This Row],[Payment Status]]="Paid","Delivered",Table1[[#This Row],[Payment Status]]="Pending","Pending"),"Invalid Input")</f>
        <v>Pending</v>
      </c>
      <c r="T1054" t="s">
        <v>44</v>
      </c>
      <c r="U1054" t="str" cm="1">
        <f t="array" ref="U1054">IFERROR(_xlfn.IFS(Table1[[#This Row],[Payment Status]]="Partial","In Transit",Table1[[#This Row],[Payment Status]]="Paid","Completed",Table1[[#This Row],[Payment Status]]="Pending","Pending"),"Invalid Input")</f>
        <v>Pending</v>
      </c>
    </row>
    <row r="1055" spans="1:21" x14ac:dyDescent="0.25">
      <c r="A1055" s="4" t="s">
        <v>1907</v>
      </c>
      <c r="B1055" s="5">
        <v>45406</v>
      </c>
      <c r="C1055" t="s">
        <v>52</v>
      </c>
      <c r="D1055" t="s">
        <v>3270</v>
      </c>
      <c r="E1055" t="s">
        <v>119</v>
      </c>
      <c r="F1055" t="s">
        <v>3212</v>
      </c>
      <c r="G1055" t="s">
        <v>21</v>
      </c>
      <c r="H1055" t="str">
        <f>VLOOKUP(Table1[[#This Row],[City]],Table6[#All],2,FALSE)</f>
        <v>North</v>
      </c>
      <c r="I1055" t="s">
        <v>53</v>
      </c>
      <c r="J1055" t="str">
        <f>_xlfn.XLOOKUP(Table1[[#This Row],[Tractor Model]],Table7[Product Model],Table7[Product Category],"Not Available",0)</f>
        <v>Farmtrac</v>
      </c>
      <c r="K1055" s="4">
        <v>3</v>
      </c>
      <c r="L1055" s="72">
        <v>472016</v>
      </c>
      <c r="M1055" s="4">
        <f>INDEX('Master Sheet'!$C$4:$C$12,MATCH(Table1[[#This Row],[Quantity]],'Master Sheet'!$B$4:$B$12,0))</f>
        <v>6</v>
      </c>
      <c r="N1055" s="71">
        <f>Table1[[#This Row],[Quantity]]*Table1[[#This Row],[Unit Price]]</f>
        <v>1416048</v>
      </c>
      <c r="O1055" s="73">
        <v>0.1416048</v>
      </c>
      <c r="P1055" s="70">
        <f>Table1[[#This Row],[Gross Amount]]*(1-(Table1[[#This Row],[Discount %]]/100))</f>
        <v>1331085.1199999999</v>
      </c>
      <c r="Q1055" s="74">
        <f>(Table1[[#This Row],[Gross Amount]]*(1-(Table1[[#This Row],[Discount %]]/100)))/10000000</f>
        <v>0.13310851199999998</v>
      </c>
      <c r="R1055" t="s">
        <v>25</v>
      </c>
      <c r="S1055" t="str" cm="1">
        <f t="array" ref="S1055">IFERROR(_xlfn.IFS(Table1[[#This Row],[Payment Status]]="Partial","In Transit",Table1[[#This Row],[Payment Status]]="Paid","Delivered",Table1[[#This Row],[Payment Status]]="Pending","Pending"),"Invalid Input")</f>
        <v>In Transit</v>
      </c>
      <c r="T1055" t="s">
        <v>27</v>
      </c>
      <c r="U1055" t="str" cm="1">
        <f t="array" ref="U1055">IFERROR(_xlfn.IFS(Table1[[#This Row],[Payment Status]]="Partial","In Transit",Table1[[#This Row],[Payment Status]]="Paid","Completed",Table1[[#This Row],[Payment Status]]="Pending","Pending"),"Invalid Input")</f>
        <v>In Transit</v>
      </c>
    </row>
    <row r="1056" spans="1:21" x14ac:dyDescent="0.25">
      <c r="A1056" s="4" t="s">
        <v>1908</v>
      </c>
      <c r="B1056" s="5">
        <v>45433</v>
      </c>
      <c r="C1056" t="s">
        <v>62</v>
      </c>
      <c r="D1056" t="s">
        <v>3269</v>
      </c>
      <c r="E1056" t="s">
        <v>119</v>
      </c>
      <c r="F1056" t="s">
        <v>3229</v>
      </c>
      <c r="G1056" t="s">
        <v>21</v>
      </c>
      <c r="H1056" t="str">
        <f>VLOOKUP(Table1[[#This Row],[City]],Table6[#All],2,FALSE)</f>
        <v>North</v>
      </c>
      <c r="I1056" t="s">
        <v>53</v>
      </c>
      <c r="J1056" t="str">
        <f>_xlfn.XLOOKUP(Table1[[#This Row],[Tractor Model]],Table7[Product Model],Table7[Product Category],"Not Available",0)</f>
        <v>Farmtrac</v>
      </c>
      <c r="K1056" s="4">
        <v>3</v>
      </c>
      <c r="L1056" s="72">
        <v>264479</v>
      </c>
      <c r="M1056" s="4">
        <f>INDEX('Master Sheet'!$C$4:$C$12,MATCH(Table1[[#This Row],[Quantity]],'Master Sheet'!$B$4:$B$12,0))</f>
        <v>6</v>
      </c>
      <c r="N1056" s="71">
        <f>Table1[[#This Row],[Quantity]]*Table1[[#This Row],[Unit Price]]</f>
        <v>793437</v>
      </c>
      <c r="O1056" s="73">
        <v>7.9343700000000003E-2</v>
      </c>
      <c r="P1056" s="70">
        <f>Table1[[#This Row],[Gross Amount]]*(1-(Table1[[#This Row],[Discount %]]/100))</f>
        <v>745830.77999999991</v>
      </c>
      <c r="Q1056" s="74">
        <f>(Table1[[#This Row],[Gross Amount]]*(1-(Table1[[#This Row],[Discount %]]/100)))/10000000</f>
        <v>7.4583077999999997E-2</v>
      </c>
      <c r="R1056" t="s">
        <v>54</v>
      </c>
      <c r="S1056" t="str" cm="1">
        <f t="array" ref="S1056">IFERROR(_xlfn.IFS(Table1[[#This Row],[Payment Status]]="Partial","In Transit",Table1[[#This Row],[Payment Status]]="Paid","Delivered",Table1[[#This Row],[Payment Status]]="Pending","Pending"),"Invalid Input")</f>
        <v>Delivered</v>
      </c>
      <c r="T1056" t="s">
        <v>27</v>
      </c>
      <c r="U1056" t="str" cm="1">
        <f t="array" ref="U1056">IFERROR(_xlfn.IFS(Table1[[#This Row],[Payment Status]]="Partial","In Transit",Table1[[#This Row],[Payment Status]]="Paid","Completed",Table1[[#This Row],[Payment Status]]="Pending","Pending"),"Invalid Input")</f>
        <v>Completed</v>
      </c>
    </row>
    <row r="1057" spans="1:21" x14ac:dyDescent="0.25">
      <c r="A1057" s="4" t="s">
        <v>1909</v>
      </c>
      <c r="B1057" s="5">
        <v>45743</v>
      </c>
      <c r="C1057" t="s">
        <v>52</v>
      </c>
      <c r="D1057" t="s">
        <v>3269</v>
      </c>
      <c r="E1057" t="s">
        <v>38</v>
      </c>
      <c r="F1057" t="s">
        <v>3206</v>
      </c>
      <c r="G1057" t="s">
        <v>39</v>
      </c>
      <c r="H1057" t="str">
        <f>VLOOKUP(Table1[[#This Row],[City]],Table6[#All],2,FALSE)</f>
        <v>West</v>
      </c>
      <c r="I1057" t="s">
        <v>3204</v>
      </c>
      <c r="J1057" t="str">
        <f>_xlfn.XLOOKUP(Table1[[#This Row],[Tractor Model]],Table7[Product Model],Table7[Product Category],"Not Available",0)</f>
        <v>Kubota</v>
      </c>
      <c r="K1057" s="4">
        <v>3</v>
      </c>
      <c r="L1057" s="72">
        <v>187345</v>
      </c>
      <c r="M1057" s="4">
        <f>INDEX('Master Sheet'!$C$4:$C$12,MATCH(Table1[[#This Row],[Quantity]],'Master Sheet'!$B$4:$B$12,0))</f>
        <v>6</v>
      </c>
      <c r="N1057" s="71">
        <f>Table1[[#This Row],[Quantity]]*Table1[[#This Row],[Unit Price]]</f>
        <v>562035</v>
      </c>
      <c r="O1057" s="73">
        <v>5.6203500000000003E-2</v>
      </c>
      <c r="P1057" s="70">
        <f>Table1[[#This Row],[Gross Amount]]*(1-(Table1[[#This Row],[Discount %]]/100))</f>
        <v>528312.9</v>
      </c>
      <c r="Q1057" s="74">
        <f>(Table1[[#This Row],[Gross Amount]]*(1-(Table1[[#This Row],[Discount %]]/100)))/10000000</f>
        <v>5.2831290000000003E-2</v>
      </c>
      <c r="R1057" t="s">
        <v>54</v>
      </c>
      <c r="S1057" t="str" cm="1">
        <f t="array" ref="S1057">IFERROR(_xlfn.IFS(Table1[[#This Row],[Payment Status]]="Partial","In Transit",Table1[[#This Row],[Payment Status]]="Paid","Delivered",Table1[[#This Row],[Payment Status]]="Pending","Pending"),"Invalid Input")</f>
        <v>Delivered</v>
      </c>
      <c r="T1057" t="s">
        <v>27</v>
      </c>
      <c r="U1057" t="str" cm="1">
        <f t="array" ref="U1057">IFERROR(_xlfn.IFS(Table1[[#This Row],[Payment Status]]="Partial","In Transit",Table1[[#This Row],[Payment Status]]="Paid","Completed",Table1[[#This Row],[Payment Status]]="Pending","Pending"),"Invalid Input")</f>
        <v>Completed</v>
      </c>
    </row>
    <row r="1058" spans="1:21" x14ac:dyDescent="0.25">
      <c r="A1058" s="4" t="s">
        <v>1911</v>
      </c>
      <c r="B1058" s="5">
        <v>45403</v>
      </c>
      <c r="C1058" t="s">
        <v>62</v>
      </c>
      <c r="D1058" t="s">
        <v>3271</v>
      </c>
      <c r="E1058" t="s">
        <v>119</v>
      </c>
      <c r="F1058" t="s">
        <v>3228</v>
      </c>
      <c r="G1058" t="s">
        <v>21</v>
      </c>
      <c r="H1058" t="str">
        <f>VLOOKUP(Table1[[#This Row],[City]],Table6[#All],2,FALSE)</f>
        <v>North</v>
      </c>
      <c r="I1058" t="s">
        <v>53</v>
      </c>
      <c r="J1058" t="str">
        <f>_xlfn.XLOOKUP(Table1[[#This Row],[Tractor Model]],Table7[Product Model],Table7[Product Category],"Not Available",0)</f>
        <v>Farmtrac</v>
      </c>
      <c r="K1058" s="4">
        <v>2</v>
      </c>
      <c r="L1058" s="72">
        <v>372483</v>
      </c>
      <c r="M1058" s="4">
        <f>INDEX('Master Sheet'!$C$4:$C$12,MATCH(Table1[[#This Row],[Quantity]],'Master Sheet'!$B$4:$B$12,0))</f>
        <v>5</v>
      </c>
      <c r="N1058" s="71">
        <f>Table1[[#This Row],[Quantity]]*Table1[[#This Row],[Unit Price]]</f>
        <v>744966</v>
      </c>
      <c r="O1058" s="73">
        <v>7.4496599999999996E-2</v>
      </c>
      <c r="P1058" s="70">
        <f>Table1[[#This Row],[Gross Amount]]*(1-(Table1[[#This Row],[Discount %]]/100))</f>
        <v>707717.7</v>
      </c>
      <c r="Q1058" s="74">
        <f>(Table1[[#This Row],[Gross Amount]]*(1-(Table1[[#This Row],[Discount %]]/100)))/10000000</f>
        <v>7.0771769999999998E-2</v>
      </c>
      <c r="R1058" t="s">
        <v>42</v>
      </c>
      <c r="S1058" t="str" cm="1">
        <f t="array" ref="S1058">IFERROR(_xlfn.IFS(Table1[[#This Row],[Payment Status]]="Partial","In Transit",Table1[[#This Row],[Payment Status]]="Paid","Delivered",Table1[[#This Row],[Payment Status]]="Pending","Pending"),"Invalid Input")</f>
        <v>Pending</v>
      </c>
      <c r="T1058" t="s">
        <v>27</v>
      </c>
      <c r="U1058" t="str" cm="1">
        <f t="array" ref="U1058">IFERROR(_xlfn.IFS(Table1[[#This Row],[Payment Status]]="Partial","In Transit",Table1[[#This Row],[Payment Status]]="Paid","Completed",Table1[[#This Row],[Payment Status]]="Pending","Pending"),"Invalid Input")</f>
        <v>Pending</v>
      </c>
    </row>
    <row r="1059" spans="1:21" x14ac:dyDescent="0.25">
      <c r="A1059" s="4" t="s">
        <v>1913</v>
      </c>
      <c r="B1059" s="5">
        <v>45617</v>
      </c>
      <c r="C1059" t="s">
        <v>33</v>
      </c>
      <c r="D1059" t="s">
        <v>3268</v>
      </c>
      <c r="E1059" t="s">
        <v>38</v>
      </c>
      <c r="F1059" t="s">
        <v>3219</v>
      </c>
      <c r="G1059" t="s">
        <v>39</v>
      </c>
      <c r="H1059" t="str">
        <f>VLOOKUP(Table1[[#This Row],[City]],Table6[#All],2,FALSE)</f>
        <v>West</v>
      </c>
      <c r="I1059" t="s">
        <v>58</v>
      </c>
      <c r="J1059" t="str">
        <f>_xlfn.XLOOKUP(Table1[[#This Row],[Tractor Model]],Table7[Product Model],Table7[Product Category],"Not Available",0)</f>
        <v>Powertrac</v>
      </c>
      <c r="K1059" s="4">
        <v>5</v>
      </c>
      <c r="L1059" s="72">
        <v>385611</v>
      </c>
      <c r="M1059" s="4">
        <f>INDEX('Master Sheet'!$C$4:$C$12,MATCH(Table1[[#This Row],[Quantity]],'Master Sheet'!$B$4:$B$12,0))</f>
        <v>7</v>
      </c>
      <c r="N1059" s="71">
        <f>Table1[[#This Row],[Quantity]]*Table1[[#This Row],[Unit Price]]</f>
        <v>1928055</v>
      </c>
      <c r="O1059" s="73">
        <v>0.19280549999999999</v>
      </c>
      <c r="P1059" s="70">
        <f>Table1[[#This Row],[Gross Amount]]*(1-(Table1[[#This Row],[Discount %]]/100))</f>
        <v>1793091.15</v>
      </c>
      <c r="Q1059" s="74">
        <f>(Table1[[#This Row],[Gross Amount]]*(1-(Table1[[#This Row],[Discount %]]/100)))/10000000</f>
        <v>0.17930911499999999</v>
      </c>
      <c r="R1059" t="s">
        <v>25</v>
      </c>
      <c r="S1059" t="str" cm="1">
        <f t="array" ref="S1059">IFERROR(_xlfn.IFS(Table1[[#This Row],[Payment Status]]="Partial","In Transit",Table1[[#This Row],[Payment Status]]="Paid","Delivered",Table1[[#This Row],[Payment Status]]="Pending","Pending"),"Invalid Input")</f>
        <v>In Transit</v>
      </c>
      <c r="T1059" t="s">
        <v>27</v>
      </c>
      <c r="U1059" t="str" cm="1">
        <f t="array" ref="U1059">IFERROR(_xlfn.IFS(Table1[[#This Row],[Payment Status]]="Partial","In Transit",Table1[[#This Row],[Payment Status]]="Paid","Completed",Table1[[#This Row],[Payment Status]]="Pending","Pending"),"Invalid Input")</f>
        <v>In Transit</v>
      </c>
    </row>
    <row r="1060" spans="1:21" x14ac:dyDescent="0.25">
      <c r="A1060" s="4" t="s">
        <v>1914</v>
      </c>
      <c r="B1060" s="5">
        <v>45639</v>
      </c>
      <c r="C1060" t="s">
        <v>52</v>
      </c>
      <c r="D1060" t="s">
        <v>3271</v>
      </c>
      <c r="E1060" t="s">
        <v>38</v>
      </c>
      <c r="F1060" t="s">
        <v>3210</v>
      </c>
      <c r="G1060" t="s">
        <v>39</v>
      </c>
      <c r="H1060" t="str">
        <f>VLOOKUP(Table1[[#This Row],[City]],Table6[#All],2,FALSE)</f>
        <v>West</v>
      </c>
      <c r="I1060" t="s">
        <v>3204</v>
      </c>
      <c r="J1060" t="str">
        <f>_xlfn.XLOOKUP(Table1[[#This Row],[Tractor Model]],Table7[Product Model],Table7[Product Category],"Not Available",0)</f>
        <v>Kubota</v>
      </c>
      <c r="K1060" s="4">
        <v>7</v>
      </c>
      <c r="L1060" s="72">
        <v>512777</v>
      </c>
      <c r="M1060" s="4">
        <f>INDEX('Master Sheet'!$C$4:$C$12,MATCH(Table1[[#This Row],[Quantity]],'Master Sheet'!$B$4:$B$12,0))</f>
        <v>9</v>
      </c>
      <c r="N1060" s="71">
        <f>Table1[[#This Row],[Quantity]]*Table1[[#This Row],[Unit Price]]</f>
        <v>3589439</v>
      </c>
      <c r="O1060" s="73">
        <v>0.35894389999999998</v>
      </c>
      <c r="P1060" s="70">
        <f>Table1[[#This Row],[Gross Amount]]*(1-(Table1[[#This Row],[Discount %]]/100))</f>
        <v>3266389.49</v>
      </c>
      <c r="Q1060" s="74">
        <f>(Table1[[#This Row],[Gross Amount]]*(1-(Table1[[#This Row],[Discount %]]/100)))/10000000</f>
        <v>0.32663894900000001</v>
      </c>
      <c r="R1060" t="s">
        <v>25</v>
      </c>
      <c r="S1060" t="str" cm="1">
        <f t="array" ref="S1060">IFERROR(_xlfn.IFS(Table1[[#This Row],[Payment Status]]="Partial","In Transit",Table1[[#This Row],[Payment Status]]="Paid","Delivered",Table1[[#This Row],[Payment Status]]="Pending","Pending"),"Invalid Input")</f>
        <v>In Transit</v>
      </c>
      <c r="T1060" t="s">
        <v>44</v>
      </c>
      <c r="U1060" t="str" cm="1">
        <f t="array" ref="U1060">IFERROR(_xlfn.IFS(Table1[[#This Row],[Payment Status]]="Partial","In Transit",Table1[[#This Row],[Payment Status]]="Paid","Completed",Table1[[#This Row],[Payment Status]]="Pending","Pending"),"Invalid Input")</f>
        <v>In Transit</v>
      </c>
    </row>
    <row r="1061" spans="1:21" x14ac:dyDescent="0.25">
      <c r="A1061" s="4" t="s">
        <v>1916</v>
      </c>
      <c r="B1061" s="5">
        <v>45501</v>
      </c>
      <c r="C1061" t="s">
        <v>62</v>
      </c>
      <c r="D1061" t="s">
        <v>3268</v>
      </c>
      <c r="E1061" t="s">
        <v>119</v>
      </c>
      <c r="F1061" t="s">
        <v>3227</v>
      </c>
      <c r="G1061" t="s">
        <v>21</v>
      </c>
      <c r="H1061" t="str">
        <f>VLOOKUP(Table1[[#This Row],[City]],Table6[#All],2,FALSE)</f>
        <v>North</v>
      </c>
      <c r="I1061" t="s">
        <v>3204</v>
      </c>
      <c r="J1061" t="str">
        <f>_xlfn.XLOOKUP(Table1[[#This Row],[Tractor Model]],Table7[Product Model],Table7[Product Category],"Not Available",0)</f>
        <v>Kubota</v>
      </c>
      <c r="K1061" s="4">
        <v>3</v>
      </c>
      <c r="L1061" s="72">
        <v>546964</v>
      </c>
      <c r="M1061" s="4">
        <f>INDEX('Master Sheet'!$C$4:$C$12,MATCH(Table1[[#This Row],[Quantity]],'Master Sheet'!$B$4:$B$12,0))</f>
        <v>6</v>
      </c>
      <c r="N1061" s="71">
        <f>Table1[[#This Row],[Quantity]]*Table1[[#This Row],[Unit Price]]</f>
        <v>1640892</v>
      </c>
      <c r="O1061" s="73">
        <v>0.16408919999999999</v>
      </c>
      <c r="P1061" s="70">
        <f>Table1[[#This Row],[Gross Amount]]*(1-(Table1[[#This Row],[Discount %]]/100))</f>
        <v>1542438.48</v>
      </c>
      <c r="Q1061" s="74">
        <f>(Table1[[#This Row],[Gross Amount]]*(1-(Table1[[#This Row],[Discount %]]/100)))/10000000</f>
        <v>0.15424384799999999</v>
      </c>
      <c r="R1061" t="s">
        <v>25</v>
      </c>
      <c r="S1061" t="str" cm="1">
        <f t="array" ref="S1061">IFERROR(_xlfn.IFS(Table1[[#This Row],[Payment Status]]="Partial","In Transit",Table1[[#This Row],[Payment Status]]="Paid","Delivered",Table1[[#This Row],[Payment Status]]="Pending","Pending"),"Invalid Input")</f>
        <v>In Transit</v>
      </c>
      <c r="T1061" t="s">
        <v>44</v>
      </c>
      <c r="U1061" t="str" cm="1">
        <f t="array" ref="U1061">IFERROR(_xlfn.IFS(Table1[[#This Row],[Payment Status]]="Partial","In Transit",Table1[[#This Row],[Payment Status]]="Paid","Completed",Table1[[#This Row],[Payment Status]]="Pending","Pending"),"Invalid Input")</f>
        <v>In Transit</v>
      </c>
    </row>
    <row r="1062" spans="1:21" x14ac:dyDescent="0.25">
      <c r="A1062" s="4" t="s">
        <v>1918</v>
      </c>
      <c r="B1062" s="5">
        <v>45769</v>
      </c>
      <c r="C1062" t="s">
        <v>73</v>
      </c>
      <c r="D1062" t="s">
        <v>37</v>
      </c>
      <c r="E1062" t="s">
        <v>66</v>
      </c>
      <c r="F1062" t="s">
        <v>3226</v>
      </c>
      <c r="G1062" t="s">
        <v>67</v>
      </c>
      <c r="H1062" t="str">
        <f>VLOOKUP(Table1[[#This Row],[City]],Table6[#All],2,FALSE)</f>
        <v>East</v>
      </c>
      <c r="I1062" t="s">
        <v>3203</v>
      </c>
      <c r="J1062" t="str">
        <f>_xlfn.XLOOKUP(Table1[[#This Row],[Tractor Model]],Table7[Product Model],Table7[Product Category],"Not Available",0)</f>
        <v>Kubota</v>
      </c>
      <c r="K1062" s="4">
        <v>1</v>
      </c>
      <c r="L1062" s="72">
        <v>356578</v>
      </c>
      <c r="M1062" s="4">
        <f>INDEX('Master Sheet'!$C$4:$C$12,MATCH(Table1[[#This Row],[Quantity]],'Master Sheet'!$B$4:$B$12,0))</f>
        <v>3</v>
      </c>
      <c r="N1062" s="71">
        <f>Table1[[#This Row],[Quantity]]*Table1[[#This Row],[Unit Price]]</f>
        <v>356578</v>
      </c>
      <c r="O1062" s="73">
        <v>3.5657800000000003E-2</v>
      </c>
      <c r="P1062" s="70">
        <f>Table1[[#This Row],[Gross Amount]]*(1-(Table1[[#This Row],[Discount %]]/100))</f>
        <v>345880.66</v>
      </c>
      <c r="Q1062" s="74">
        <f>(Table1[[#This Row],[Gross Amount]]*(1-(Table1[[#This Row],[Discount %]]/100)))/10000000</f>
        <v>3.4588066000000001E-2</v>
      </c>
      <c r="R1062" t="s">
        <v>25</v>
      </c>
      <c r="S1062" t="str" cm="1">
        <f t="array" ref="S1062">IFERROR(_xlfn.IFS(Table1[[#This Row],[Payment Status]]="Partial","In Transit",Table1[[#This Row],[Payment Status]]="Paid","Delivered",Table1[[#This Row],[Payment Status]]="Pending","Pending"),"Invalid Input")</f>
        <v>In Transit</v>
      </c>
      <c r="T1062" t="s">
        <v>44</v>
      </c>
      <c r="U1062" t="str" cm="1">
        <f t="array" ref="U1062">IFERROR(_xlfn.IFS(Table1[[#This Row],[Payment Status]]="Partial","In Transit",Table1[[#This Row],[Payment Status]]="Paid","Completed",Table1[[#This Row],[Payment Status]]="Pending","Pending"),"Invalid Input")</f>
        <v>In Transit</v>
      </c>
    </row>
    <row r="1063" spans="1:21" x14ac:dyDescent="0.25">
      <c r="A1063" s="4" t="s">
        <v>1920</v>
      </c>
      <c r="B1063" s="5">
        <v>45627</v>
      </c>
      <c r="C1063" t="s">
        <v>52</v>
      </c>
      <c r="D1063" t="s">
        <v>37</v>
      </c>
      <c r="E1063" t="s">
        <v>47</v>
      </c>
      <c r="F1063" t="s">
        <v>3215</v>
      </c>
      <c r="G1063" t="s">
        <v>48</v>
      </c>
      <c r="H1063" t="str">
        <f>VLOOKUP(Table1[[#This Row],[City]],Table6[#All],2,FALSE)</f>
        <v>North</v>
      </c>
      <c r="I1063" t="s">
        <v>24</v>
      </c>
      <c r="J1063" t="str">
        <f>_xlfn.XLOOKUP(Table1[[#This Row],[Tractor Model]],Table7[Product Model],Table7[Product Category],"Not Available",0)</f>
        <v>Farmtrac</v>
      </c>
      <c r="K1063" s="4">
        <v>8</v>
      </c>
      <c r="L1063" s="72">
        <v>199113</v>
      </c>
      <c r="M1063" s="4">
        <f>INDEX('Master Sheet'!$C$4:$C$12,MATCH(Table1[[#This Row],[Quantity]],'Master Sheet'!$B$4:$B$12,0))</f>
        <v>9</v>
      </c>
      <c r="N1063" s="71">
        <f>Table1[[#This Row],[Quantity]]*Table1[[#This Row],[Unit Price]]</f>
        <v>1592904</v>
      </c>
      <c r="O1063" s="73">
        <v>0.1592904</v>
      </c>
      <c r="P1063" s="70">
        <f>Table1[[#This Row],[Gross Amount]]*(1-(Table1[[#This Row],[Discount %]]/100))</f>
        <v>1449542.6400000001</v>
      </c>
      <c r="Q1063" s="74">
        <f>(Table1[[#This Row],[Gross Amount]]*(1-(Table1[[#This Row],[Discount %]]/100)))/10000000</f>
        <v>0.144954264</v>
      </c>
      <c r="R1063" t="s">
        <v>54</v>
      </c>
      <c r="S1063" t="str" cm="1">
        <f t="array" ref="S1063">IFERROR(_xlfn.IFS(Table1[[#This Row],[Payment Status]]="Partial","In Transit",Table1[[#This Row],[Payment Status]]="Paid","Delivered",Table1[[#This Row],[Payment Status]]="Pending","Pending"),"Invalid Input")</f>
        <v>Delivered</v>
      </c>
      <c r="T1063" t="s">
        <v>27</v>
      </c>
      <c r="U1063" t="str" cm="1">
        <f t="array" ref="U1063">IFERROR(_xlfn.IFS(Table1[[#This Row],[Payment Status]]="Partial","In Transit",Table1[[#This Row],[Payment Status]]="Paid","Completed",Table1[[#This Row],[Payment Status]]="Pending","Pending"),"Invalid Input")</f>
        <v>Completed</v>
      </c>
    </row>
    <row r="1064" spans="1:21" x14ac:dyDescent="0.25">
      <c r="A1064" s="4" t="s">
        <v>1922</v>
      </c>
      <c r="B1064" s="5">
        <v>45795</v>
      </c>
      <c r="C1064" t="s">
        <v>52</v>
      </c>
      <c r="D1064" t="s">
        <v>3271</v>
      </c>
      <c r="E1064" t="s">
        <v>47</v>
      </c>
      <c r="F1064" t="s">
        <v>3221</v>
      </c>
      <c r="G1064" t="s">
        <v>48</v>
      </c>
      <c r="H1064" t="str">
        <f>VLOOKUP(Table1[[#This Row],[City]],Table6[#All],2,FALSE)</f>
        <v>North</v>
      </c>
      <c r="I1064" t="s">
        <v>3204</v>
      </c>
      <c r="J1064" t="str">
        <f>_xlfn.XLOOKUP(Table1[[#This Row],[Tractor Model]],Table7[Product Model],Table7[Product Category],"Not Available",0)</f>
        <v>Kubota</v>
      </c>
      <c r="K1064" s="4">
        <v>8</v>
      </c>
      <c r="L1064" s="72">
        <v>567350</v>
      </c>
      <c r="M1064" s="4">
        <f>INDEX('Master Sheet'!$C$4:$C$12,MATCH(Table1[[#This Row],[Quantity]],'Master Sheet'!$B$4:$B$12,0))</f>
        <v>9</v>
      </c>
      <c r="N1064" s="71">
        <f>Table1[[#This Row],[Quantity]]*Table1[[#This Row],[Unit Price]]</f>
        <v>4538800</v>
      </c>
      <c r="O1064" s="73">
        <v>0.45388000000000001</v>
      </c>
      <c r="P1064" s="70">
        <f>Table1[[#This Row],[Gross Amount]]*(1-(Table1[[#This Row],[Discount %]]/100))</f>
        <v>4130308</v>
      </c>
      <c r="Q1064" s="74">
        <f>(Table1[[#This Row],[Gross Amount]]*(1-(Table1[[#This Row],[Discount %]]/100)))/10000000</f>
        <v>0.41303079999999998</v>
      </c>
      <c r="R1064" t="s">
        <v>25</v>
      </c>
      <c r="S1064" t="str" cm="1">
        <f t="array" ref="S1064">IFERROR(_xlfn.IFS(Table1[[#This Row],[Payment Status]]="Partial","In Transit",Table1[[#This Row],[Payment Status]]="Paid","Delivered",Table1[[#This Row],[Payment Status]]="Pending","Pending"),"Invalid Input")</f>
        <v>In Transit</v>
      </c>
      <c r="T1064" t="s">
        <v>27</v>
      </c>
      <c r="U1064" t="str" cm="1">
        <f t="array" ref="U1064">IFERROR(_xlfn.IFS(Table1[[#This Row],[Payment Status]]="Partial","In Transit",Table1[[#This Row],[Payment Status]]="Paid","Completed",Table1[[#This Row],[Payment Status]]="Pending","Pending"),"Invalid Input")</f>
        <v>In Transit</v>
      </c>
    </row>
    <row r="1065" spans="1:21" x14ac:dyDescent="0.25">
      <c r="A1065" s="4" t="s">
        <v>1924</v>
      </c>
      <c r="B1065" s="5">
        <v>45552</v>
      </c>
      <c r="C1065" t="s">
        <v>62</v>
      </c>
      <c r="D1065" t="s">
        <v>37</v>
      </c>
      <c r="E1065" t="s">
        <v>66</v>
      </c>
      <c r="F1065" t="s">
        <v>3226</v>
      </c>
      <c r="G1065" t="s">
        <v>67</v>
      </c>
      <c r="H1065" t="str">
        <f>VLOOKUP(Table1[[#This Row],[City]],Table6[#All],2,FALSE)</f>
        <v>East</v>
      </c>
      <c r="I1065" t="s">
        <v>58</v>
      </c>
      <c r="J1065" t="str">
        <f>_xlfn.XLOOKUP(Table1[[#This Row],[Tractor Model]],Table7[Product Model],Table7[Product Category],"Not Available",0)</f>
        <v>Powertrac</v>
      </c>
      <c r="K1065" s="4">
        <v>7</v>
      </c>
      <c r="L1065" s="72">
        <v>260255</v>
      </c>
      <c r="M1065" s="4">
        <f>INDEX('Master Sheet'!$C$4:$C$12,MATCH(Table1[[#This Row],[Quantity]],'Master Sheet'!$B$4:$B$12,0))</f>
        <v>9</v>
      </c>
      <c r="N1065" s="71">
        <f>Table1[[#This Row],[Quantity]]*Table1[[#This Row],[Unit Price]]</f>
        <v>1821785</v>
      </c>
      <c r="O1065" s="73">
        <v>0.18217849999999999</v>
      </c>
      <c r="P1065" s="70">
        <f>Table1[[#This Row],[Gross Amount]]*(1-(Table1[[#This Row],[Discount %]]/100))</f>
        <v>1657824.35</v>
      </c>
      <c r="Q1065" s="74">
        <f>(Table1[[#This Row],[Gross Amount]]*(1-(Table1[[#This Row],[Discount %]]/100)))/10000000</f>
        <v>0.16578243500000001</v>
      </c>
      <c r="R1065" t="s">
        <v>54</v>
      </c>
      <c r="S1065" t="str" cm="1">
        <f t="array" ref="S1065">IFERROR(_xlfn.IFS(Table1[[#This Row],[Payment Status]]="Partial","In Transit",Table1[[#This Row],[Payment Status]]="Paid","Delivered",Table1[[#This Row],[Payment Status]]="Pending","Pending"),"Invalid Input")</f>
        <v>Delivered</v>
      </c>
      <c r="T1065" t="s">
        <v>27</v>
      </c>
      <c r="U1065" t="str" cm="1">
        <f t="array" ref="U1065">IFERROR(_xlfn.IFS(Table1[[#This Row],[Payment Status]]="Partial","In Transit",Table1[[#This Row],[Payment Status]]="Paid","Completed",Table1[[#This Row],[Payment Status]]="Pending","Pending"),"Invalid Input")</f>
        <v>Completed</v>
      </c>
    </row>
    <row r="1066" spans="1:21" x14ac:dyDescent="0.25">
      <c r="A1066" s="4" t="s">
        <v>1925</v>
      </c>
      <c r="B1066" s="5">
        <v>45319</v>
      </c>
      <c r="C1066" t="s">
        <v>41</v>
      </c>
      <c r="D1066" t="s">
        <v>3269</v>
      </c>
      <c r="E1066" t="s">
        <v>47</v>
      </c>
      <c r="F1066" t="s">
        <v>3209</v>
      </c>
      <c r="G1066" t="s">
        <v>48</v>
      </c>
      <c r="H1066" t="str">
        <f>VLOOKUP(Table1[[#This Row],[City]],Table6[#All],2,FALSE)</f>
        <v>North</v>
      </c>
      <c r="I1066" t="s">
        <v>3204</v>
      </c>
      <c r="J1066" t="str">
        <f>_xlfn.XLOOKUP(Table1[[#This Row],[Tractor Model]],Table7[Product Model],Table7[Product Category],"Not Available",0)</f>
        <v>Kubota</v>
      </c>
      <c r="K1066" s="4">
        <v>4</v>
      </c>
      <c r="L1066" s="72">
        <v>490464</v>
      </c>
      <c r="M1066" s="4">
        <f>INDEX('Master Sheet'!$C$4:$C$12,MATCH(Table1[[#This Row],[Quantity]],'Master Sheet'!$B$4:$B$12,0))</f>
        <v>6</v>
      </c>
      <c r="N1066" s="71">
        <f>Table1[[#This Row],[Quantity]]*Table1[[#This Row],[Unit Price]]</f>
        <v>1961856</v>
      </c>
      <c r="O1066" s="73">
        <v>0.19618559999999999</v>
      </c>
      <c r="P1066" s="70">
        <f>Table1[[#This Row],[Gross Amount]]*(1-(Table1[[#This Row],[Discount %]]/100))</f>
        <v>1844144.64</v>
      </c>
      <c r="Q1066" s="74">
        <f>(Table1[[#This Row],[Gross Amount]]*(1-(Table1[[#This Row],[Discount %]]/100)))/10000000</f>
        <v>0.184414464</v>
      </c>
      <c r="R1066" t="s">
        <v>54</v>
      </c>
      <c r="S1066" t="str" cm="1">
        <f t="array" ref="S1066">IFERROR(_xlfn.IFS(Table1[[#This Row],[Payment Status]]="Partial","In Transit",Table1[[#This Row],[Payment Status]]="Paid","Delivered",Table1[[#This Row],[Payment Status]]="Pending","Pending"),"Invalid Input")</f>
        <v>Delivered</v>
      </c>
      <c r="T1066" t="s">
        <v>44</v>
      </c>
      <c r="U1066" t="str" cm="1">
        <f t="array" ref="U1066">IFERROR(_xlfn.IFS(Table1[[#This Row],[Payment Status]]="Partial","In Transit",Table1[[#This Row],[Payment Status]]="Paid","Completed",Table1[[#This Row],[Payment Status]]="Pending","Pending"),"Invalid Input")</f>
        <v>Completed</v>
      </c>
    </row>
    <row r="1067" spans="1:21" x14ac:dyDescent="0.25">
      <c r="A1067" s="4" t="s">
        <v>1927</v>
      </c>
      <c r="B1067" s="5">
        <v>45903</v>
      </c>
      <c r="C1067" t="s">
        <v>33</v>
      </c>
      <c r="D1067" t="s">
        <v>3269</v>
      </c>
      <c r="E1067" t="s">
        <v>66</v>
      </c>
      <c r="F1067" t="s">
        <v>3213</v>
      </c>
      <c r="G1067" t="s">
        <v>67</v>
      </c>
      <c r="H1067" t="str">
        <f>VLOOKUP(Table1[[#This Row],[City]],Table6[#All],2,FALSE)</f>
        <v>East</v>
      </c>
      <c r="I1067" t="s">
        <v>3204</v>
      </c>
      <c r="J1067" t="str">
        <f>_xlfn.XLOOKUP(Table1[[#This Row],[Tractor Model]],Table7[Product Model],Table7[Product Category],"Not Available",0)</f>
        <v>Kubota</v>
      </c>
      <c r="K1067" s="4">
        <v>1</v>
      </c>
      <c r="L1067" s="72">
        <v>766692</v>
      </c>
      <c r="M1067" s="4">
        <f>INDEX('Master Sheet'!$C$4:$C$12,MATCH(Table1[[#This Row],[Quantity]],'Master Sheet'!$B$4:$B$12,0))</f>
        <v>3</v>
      </c>
      <c r="N1067" s="71">
        <f>Table1[[#This Row],[Quantity]]*Table1[[#This Row],[Unit Price]]</f>
        <v>766692</v>
      </c>
      <c r="O1067" s="73">
        <v>7.6669200000000007E-2</v>
      </c>
      <c r="P1067" s="70">
        <f>Table1[[#This Row],[Gross Amount]]*(1-(Table1[[#This Row],[Discount %]]/100))</f>
        <v>743691.24</v>
      </c>
      <c r="Q1067" s="74">
        <f>(Table1[[#This Row],[Gross Amount]]*(1-(Table1[[#This Row],[Discount %]]/100)))/10000000</f>
        <v>7.4369123999999995E-2</v>
      </c>
      <c r="R1067" t="s">
        <v>54</v>
      </c>
      <c r="S1067" t="str" cm="1">
        <f t="array" ref="S1067">IFERROR(_xlfn.IFS(Table1[[#This Row],[Payment Status]]="Partial","In Transit",Table1[[#This Row],[Payment Status]]="Paid","Delivered",Table1[[#This Row],[Payment Status]]="Pending","Pending"),"Invalid Input")</f>
        <v>Delivered</v>
      </c>
      <c r="T1067" t="s">
        <v>44</v>
      </c>
      <c r="U1067" t="str" cm="1">
        <f t="array" ref="U1067">IFERROR(_xlfn.IFS(Table1[[#This Row],[Payment Status]]="Partial","In Transit",Table1[[#This Row],[Payment Status]]="Paid","Completed",Table1[[#This Row],[Payment Status]]="Pending","Pending"),"Invalid Input")</f>
        <v>Completed</v>
      </c>
    </row>
    <row r="1068" spans="1:21" x14ac:dyDescent="0.25">
      <c r="A1068" s="4" t="s">
        <v>1929</v>
      </c>
      <c r="B1068" s="5">
        <v>45508</v>
      </c>
      <c r="C1068" t="s">
        <v>52</v>
      </c>
      <c r="D1068" t="s">
        <v>3271</v>
      </c>
      <c r="E1068" t="s">
        <v>30</v>
      </c>
      <c r="F1068" t="s">
        <v>3217</v>
      </c>
      <c r="G1068" t="s">
        <v>31</v>
      </c>
      <c r="H1068" t="str">
        <f>VLOOKUP(Table1[[#This Row],[City]],Table6[#All],2,FALSE)</f>
        <v>South</v>
      </c>
      <c r="I1068" t="s">
        <v>24</v>
      </c>
      <c r="J1068" t="str">
        <f>_xlfn.XLOOKUP(Table1[[#This Row],[Tractor Model]],Table7[Product Model],Table7[Product Category],"Not Available",0)</f>
        <v>Farmtrac</v>
      </c>
      <c r="K1068" s="4">
        <v>2</v>
      </c>
      <c r="L1068" s="72">
        <v>144987</v>
      </c>
      <c r="M1068" s="4">
        <f>INDEX('Master Sheet'!$C$4:$C$12,MATCH(Table1[[#This Row],[Quantity]],'Master Sheet'!$B$4:$B$12,0))</f>
        <v>5</v>
      </c>
      <c r="N1068" s="71">
        <f>Table1[[#This Row],[Quantity]]*Table1[[#This Row],[Unit Price]]</f>
        <v>289974</v>
      </c>
      <c r="O1068" s="73">
        <v>2.89974E-2</v>
      </c>
      <c r="P1068" s="70">
        <f>Table1[[#This Row],[Gross Amount]]*(1-(Table1[[#This Row],[Discount %]]/100))</f>
        <v>275475.3</v>
      </c>
      <c r="Q1068" s="74">
        <f>(Table1[[#This Row],[Gross Amount]]*(1-(Table1[[#This Row],[Discount %]]/100)))/10000000</f>
        <v>2.7547529999999997E-2</v>
      </c>
      <c r="R1068" t="s">
        <v>25</v>
      </c>
      <c r="S1068" t="str" cm="1">
        <f t="array" ref="S1068">IFERROR(_xlfn.IFS(Table1[[#This Row],[Payment Status]]="Partial","In Transit",Table1[[#This Row],[Payment Status]]="Paid","Delivered",Table1[[#This Row],[Payment Status]]="Pending","Pending"),"Invalid Input")</f>
        <v>In Transit</v>
      </c>
      <c r="T1068" t="s">
        <v>27</v>
      </c>
      <c r="U1068" t="str" cm="1">
        <f t="array" ref="U1068">IFERROR(_xlfn.IFS(Table1[[#This Row],[Payment Status]]="Partial","In Transit",Table1[[#This Row],[Payment Status]]="Paid","Completed",Table1[[#This Row],[Payment Status]]="Pending","Pending"),"Invalid Input")</f>
        <v>In Transit</v>
      </c>
    </row>
    <row r="1069" spans="1:21" x14ac:dyDescent="0.25">
      <c r="A1069" s="4" t="s">
        <v>1930</v>
      </c>
      <c r="B1069" s="5">
        <v>45471</v>
      </c>
      <c r="C1069" t="s">
        <v>73</v>
      </c>
      <c r="D1069" t="s">
        <v>3269</v>
      </c>
      <c r="E1069" t="s">
        <v>119</v>
      </c>
      <c r="F1069" t="s">
        <v>3229</v>
      </c>
      <c r="G1069" t="s">
        <v>21</v>
      </c>
      <c r="H1069" t="str">
        <f>VLOOKUP(Table1[[#This Row],[City]],Table6[#All],2,FALSE)</f>
        <v>North</v>
      </c>
      <c r="I1069" t="s">
        <v>53</v>
      </c>
      <c r="J1069" t="str">
        <f>_xlfn.XLOOKUP(Table1[[#This Row],[Tractor Model]],Table7[Product Model],Table7[Product Category],"Not Available",0)</f>
        <v>Farmtrac</v>
      </c>
      <c r="K1069" s="4">
        <v>6</v>
      </c>
      <c r="L1069" s="72">
        <v>675650</v>
      </c>
      <c r="M1069" s="4">
        <f>INDEX('Master Sheet'!$C$4:$C$12,MATCH(Table1[[#This Row],[Quantity]],'Master Sheet'!$B$4:$B$12,0))</f>
        <v>8</v>
      </c>
      <c r="N1069" s="71">
        <f>Table1[[#This Row],[Quantity]]*Table1[[#This Row],[Unit Price]]</f>
        <v>4053900</v>
      </c>
      <c r="O1069" s="73">
        <v>0.40538999999999997</v>
      </c>
      <c r="P1069" s="70">
        <f>Table1[[#This Row],[Gross Amount]]*(1-(Table1[[#This Row],[Discount %]]/100))</f>
        <v>3729588</v>
      </c>
      <c r="Q1069" s="74">
        <f>(Table1[[#This Row],[Gross Amount]]*(1-(Table1[[#This Row],[Discount %]]/100)))/10000000</f>
        <v>0.37295879999999998</v>
      </c>
      <c r="R1069" t="s">
        <v>54</v>
      </c>
      <c r="S1069" t="str" cm="1">
        <f t="array" ref="S1069">IFERROR(_xlfn.IFS(Table1[[#This Row],[Payment Status]]="Partial","In Transit",Table1[[#This Row],[Payment Status]]="Paid","Delivered",Table1[[#This Row],[Payment Status]]="Pending","Pending"),"Invalid Input")</f>
        <v>Delivered</v>
      </c>
      <c r="T1069" t="s">
        <v>27</v>
      </c>
      <c r="U1069" t="str" cm="1">
        <f t="array" ref="U1069">IFERROR(_xlfn.IFS(Table1[[#This Row],[Payment Status]]="Partial","In Transit",Table1[[#This Row],[Payment Status]]="Paid","Completed",Table1[[#This Row],[Payment Status]]="Pending","Pending"),"Invalid Input")</f>
        <v>Completed</v>
      </c>
    </row>
    <row r="1070" spans="1:21" x14ac:dyDescent="0.25">
      <c r="A1070" s="4" t="s">
        <v>1932</v>
      </c>
      <c r="B1070" s="5">
        <v>45759</v>
      </c>
      <c r="C1070" t="s">
        <v>73</v>
      </c>
      <c r="D1070" t="s">
        <v>3268</v>
      </c>
      <c r="E1070" t="s">
        <v>38</v>
      </c>
      <c r="F1070" t="s">
        <v>3219</v>
      </c>
      <c r="G1070" t="s">
        <v>39</v>
      </c>
      <c r="H1070" t="str">
        <f>VLOOKUP(Table1[[#This Row],[City]],Table6[#All],2,FALSE)</f>
        <v>West</v>
      </c>
      <c r="I1070" t="s">
        <v>58</v>
      </c>
      <c r="J1070" t="str">
        <f>_xlfn.XLOOKUP(Table1[[#This Row],[Tractor Model]],Table7[Product Model],Table7[Product Category],"Not Available",0)</f>
        <v>Powertrac</v>
      </c>
      <c r="K1070" s="4">
        <v>6</v>
      </c>
      <c r="L1070" s="72">
        <v>223577</v>
      </c>
      <c r="M1070" s="4">
        <f>INDEX('Master Sheet'!$C$4:$C$12,MATCH(Table1[[#This Row],[Quantity]],'Master Sheet'!$B$4:$B$12,0))</f>
        <v>8</v>
      </c>
      <c r="N1070" s="71">
        <f>Table1[[#This Row],[Quantity]]*Table1[[#This Row],[Unit Price]]</f>
        <v>1341462</v>
      </c>
      <c r="O1070" s="73">
        <v>0.13414619999999999</v>
      </c>
      <c r="P1070" s="70">
        <f>Table1[[#This Row],[Gross Amount]]*(1-(Table1[[#This Row],[Discount %]]/100))</f>
        <v>1234145.04</v>
      </c>
      <c r="Q1070" s="74">
        <f>(Table1[[#This Row],[Gross Amount]]*(1-(Table1[[#This Row],[Discount %]]/100)))/10000000</f>
        <v>0.12341450400000001</v>
      </c>
      <c r="R1070" t="s">
        <v>42</v>
      </c>
      <c r="S1070" t="str" cm="1">
        <f t="array" ref="S1070">IFERROR(_xlfn.IFS(Table1[[#This Row],[Payment Status]]="Partial","In Transit",Table1[[#This Row],[Payment Status]]="Paid","Delivered",Table1[[#This Row],[Payment Status]]="Pending","Pending"),"Invalid Input")</f>
        <v>Pending</v>
      </c>
      <c r="T1070" t="s">
        <v>27</v>
      </c>
      <c r="U1070" t="str" cm="1">
        <f t="array" ref="U1070">IFERROR(_xlfn.IFS(Table1[[#This Row],[Payment Status]]="Partial","In Transit",Table1[[#This Row],[Payment Status]]="Paid","Completed",Table1[[#This Row],[Payment Status]]="Pending","Pending"),"Invalid Input")</f>
        <v>Pending</v>
      </c>
    </row>
    <row r="1071" spans="1:21" x14ac:dyDescent="0.25">
      <c r="A1071" s="4" t="s">
        <v>1933</v>
      </c>
      <c r="B1071" s="5">
        <v>45932</v>
      </c>
      <c r="C1071" t="s">
        <v>73</v>
      </c>
      <c r="D1071" t="s">
        <v>3270</v>
      </c>
      <c r="E1071" t="s">
        <v>66</v>
      </c>
      <c r="F1071" t="s">
        <v>3220</v>
      </c>
      <c r="G1071" t="s">
        <v>67</v>
      </c>
      <c r="H1071" t="str">
        <f>VLOOKUP(Table1[[#This Row],[City]],Table6[#All],2,FALSE)</f>
        <v>East</v>
      </c>
      <c r="I1071" t="s">
        <v>3204</v>
      </c>
      <c r="J1071" t="str">
        <f>_xlfn.XLOOKUP(Table1[[#This Row],[Tractor Model]],Table7[Product Model],Table7[Product Category],"Not Available",0)</f>
        <v>Kubota</v>
      </c>
      <c r="K1071" s="4">
        <v>1</v>
      </c>
      <c r="L1071" s="72">
        <v>736404</v>
      </c>
      <c r="M1071" s="4">
        <f>INDEX('Master Sheet'!$C$4:$C$12,MATCH(Table1[[#This Row],[Quantity]],'Master Sheet'!$B$4:$B$12,0))</f>
        <v>3</v>
      </c>
      <c r="N1071" s="71">
        <f>Table1[[#This Row],[Quantity]]*Table1[[#This Row],[Unit Price]]</f>
        <v>736404</v>
      </c>
      <c r="O1071" s="73">
        <v>7.3640399999999995E-2</v>
      </c>
      <c r="P1071" s="70">
        <f>Table1[[#This Row],[Gross Amount]]*(1-(Table1[[#This Row],[Discount %]]/100))</f>
        <v>714311.88</v>
      </c>
      <c r="Q1071" s="74">
        <f>(Table1[[#This Row],[Gross Amount]]*(1-(Table1[[#This Row],[Discount %]]/100)))/10000000</f>
        <v>7.1431188000000007E-2</v>
      </c>
      <c r="R1071" t="s">
        <v>42</v>
      </c>
      <c r="S1071" t="str" cm="1">
        <f t="array" ref="S1071">IFERROR(_xlfn.IFS(Table1[[#This Row],[Payment Status]]="Partial","In Transit",Table1[[#This Row],[Payment Status]]="Paid","Delivered",Table1[[#This Row],[Payment Status]]="Pending","Pending"),"Invalid Input")</f>
        <v>Pending</v>
      </c>
      <c r="T1071" t="s">
        <v>27</v>
      </c>
      <c r="U1071" t="str" cm="1">
        <f t="array" ref="U1071">IFERROR(_xlfn.IFS(Table1[[#This Row],[Payment Status]]="Partial","In Transit",Table1[[#This Row],[Payment Status]]="Paid","Completed",Table1[[#This Row],[Payment Status]]="Pending","Pending"),"Invalid Input")</f>
        <v>Pending</v>
      </c>
    </row>
    <row r="1072" spans="1:21" x14ac:dyDescent="0.25">
      <c r="A1072" s="4" t="s">
        <v>1935</v>
      </c>
      <c r="B1072" s="5">
        <v>45831</v>
      </c>
      <c r="C1072" t="s">
        <v>62</v>
      </c>
      <c r="D1072" t="s">
        <v>3271</v>
      </c>
      <c r="E1072" t="s">
        <v>119</v>
      </c>
      <c r="F1072" t="s">
        <v>3228</v>
      </c>
      <c r="G1072" t="s">
        <v>21</v>
      </c>
      <c r="H1072" t="str">
        <f>VLOOKUP(Table1[[#This Row],[City]],Table6[#All],2,FALSE)</f>
        <v>North</v>
      </c>
      <c r="I1072" t="s">
        <v>24</v>
      </c>
      <c r="J1072" t="str">
        <f>_xlfn.XLOOKUP(Table1[[#This Row],[Tractor Model]],Table7[Product Model],Table7[Product Category],"Not Available",0)</f>
        <v>Farmtrac</v>
      </c>
      <c r="K1072" s="4">
        <v>2</v>
      </c>
      <c r="L1072" s="72">
        <v>500143</v>
      </c>
      <c r="M1072" s="4">
        <f>INDEX('Master Sheet'!$C$4:$C$12,MATCH(Table1[[#This Row],[Quantity]],'Master Sheet'!$B$4:$B$12,0))</f>
        <v>5</v>
      </c>
      <c r="N1072" s="71">
        <f>Table1[[#This Row],[Quantity]]*Table1[[#This Row],[Unit Price]]</f>
        <v>1000286</v>
      </c>
      <c r="O1072" s="73">
        <v>0.1000286</v>
      </c>
      <c r="P1072" s="70">
        <f>Table1[[#This Row],[Gross Amount]]*(1-(Table1[[#This Row],[Discount %]]/100))</f>
        <v>950271.7</v>
      </c>
      <c r="Q1072" s="74">
        <f>(Table1[[#This Row],[Gross Amount]]*(1-(Table1[[#This Row],[Discount %]]/100)))/10000000</f>
        <v>9.5027169999999994E-2</v>
      </c>
      <c r="R1072" t="s">
        <v>54</v>
      </c>
      <c r="S1072" t="str" cm="1">
        <f t="array" ref="S1072">IFERROR(_xlfn.IFS(Table1[[#This Row],[Payment Status]]="Partial","In Transit",Table1[[#This Row],[Payment Status]]="Paid","Delivered",Table1[[#This Row],[Payment Status]]="Pending","Pending"),"Invalid Input")</f>
        <v>Delivered</v>
      </c>
      <c r="T1072" t="s">
        <v>27</v>
      </c>
      <c r="U1072" t="str" cm="1">
        <f t="array" ref="U1072">IFERROR(_xlfn.IFS(Table1[[#This Row],[Payment Status]]="Partial","In Transit",Table1[[#This Row],[Payment Status]]="Paid","Completed",Table1[[#This Row],[Payment Status]]="Pending","Pending"),"Invalid Input")</f>
        <v>Completed</v>
      </c>
    </row>
    <row r="1073" spans="1:21" x14ac:dyDescent="0.25">
      <c r="A1073" s="4" t="s">
        <v>1937</v>
      </c>
      <c r="B1073" s="5">
        <v>45453</v>
      </c>
      <c r="C1073" t="s">
        <v>52</v>
      </c>
      <c r="D1073" t="s">
        <v>3269</v>
      </c>
      <c r="E1073" t="s">
        <v>38</v>
      </c>
      <c r="F1073" t="s">
        <v>3206</v>
      </c>
      <c r="G1073" t="s">
        <v>39</v>
      </c>
      <c r="H1073" t="str">
        <f>VLOOKUP(Table1[[#This Row],[City]],Table6[#All],2,FALSE)</f>
        <v>West</v>
      </c>
      <c r="I1073" t="s">
        <v>58</v>
      </c>
      <c r="J1073" t="str">
        <f>_xlfn.XLOOKUP(Table1[[#This Row],[Tractor Model]],Table7[Product Model],Table7[Product Category],"Not Available",0)</f>
        <v>Powertrac</v>
      </c>
      <c r="K1073" s="4">
        <v>3</v>
      </c>
      <c r="L1073" s="72">
        <v>723661</v>
      </c>
      <c r="M1073" s="4">
        <f>INDEX('Master Sheet'!$C$4:$C$12,MATCH(Table1[[#This Row],[Quantity]],'Master Sheet'!$B$4:$B$12,0))</f>
        <v>6</v>
      </c>
      <c r="N1073" s="71">
        <f>Table1[[#This Row],[Quantity]]*Table1[[#This Row],[Unit Price]]</f>
        <v>2170983</v>
      </c>
      <c r="O1073" s="73">
        <v>0.21709829999999999</v>
      </c>
      <c r="P1073" s="70">
        <f>Table1[[#This Row],[Gross Amount]]*(1-(Table1[[#This Row],[Discount %]]/100))</f>
        <v>2040724.0199999998</v>
      </c>
      <c r="Q1073" s="74">
        <f>(Table1[[#This Row],[Gross Amount]]*(1-(Table1[[#This Row],[Discount %]]/100)))/10000000</f>
        <v>0.20407240199999999</v>
      </c>
      <c r="R1073" t="s">
        <v>42</v>
      </c>
      <c r="S1073" t="str" cm="1">
        <f t="array" ref="S1073">IFERROR(_xlfn.IFS(Table1[[#This Row],[Payment Status]]="Partial","In Transit",Table1[[#This Row],[Payment Status]]="Paid","Delivered",Table1[[#This Row],[Payment Status]]="Pending","Pending"),"Invalid Input")</f>
        <v>Pending</v>
      </c>
      <c r="T1073" t="s">
        <v>27</v>
      </c>
      <c r="U1073" t="str" cm="1">
        <f t="array" ref="U1073">IFERROR(_xlfn.IFS(Table1[[#This Row],[Payment Status]]="Partial","In Transit",Table1[[#This Row],[Payment Status]]="Paid","Completed",Table1[[#This Row],[Payment Status]]="Pending","Pending"),"Invalid Input")</f>
        <v>Pending</v>
      </c>
    </row>
    <row r="1074" spans="1:21" x14ac:dyDescent="0.25">
      <c r="A1074" s="4" t="s">
        <v>1939</v>
      </c>
      <c r="B1074" s="5">
        <v>45329</v>
      </c>
      <c r="C1074" t="s">
        <v>41</v>
      </c>
      <c r="D1074" t="s">
        <v>3270</v>
      </c>
      <c r="E1074" t="s">
        <v>30</v>
      </c>
      <c r="F1074" t="s">
        <v>3223</v>
      </c>
      <c r="G1074" t="s">
        <v>31</v>
      </c>
      <c r="H1074" t="str">
        <f>VLOOKUP(Table1[[#This Row],[City]],Table6[#All],2,FALSE)</f>
        <v>South</v>
      </c>
      <c r="I1074" t="s">
        <v>3203</v>
      </c>
      <c r="J1074" t="str">
        <f>_xlfn.XLOOKUP(Table1[[#This Row],[Tractor Model]],Table7[Product Model],Table7[Product Category],"Not Available",0)</f>
        <v>Kubota</v>
      </c>
      <c r="K1074" s="4">
        <v>5</v>
      </c>
      <c r="L1074" s="72">
        <v>175181</v>
      </c>
      <c r="M1074" s="4">
        <f>INDEX('Master Sheet'!$C$4:$C$12,MATCH(Table1[[#This Row],[Quantity]],'Master Sheet'!$B$4:$B$12,0))</f>
        <v>7</v>
      </c>
      <c r="N1074" s="71">
        <f>Table1[[#This Row],[Quantity]]*Table1[[#This Row],[Unit Price]]</f>
        <v>875905</v>
      </c>
      <c r="O1074" s="73">
        <v>8.7590500000000002E-2</v>
      </c>
      <c r="P1074" s="70">
        <f>Table1[[#This Row],[Gross Amount]]*(1-(Table1[[#This Row],[Discount %]]/100))</f>
        <v>814591.64999999991</v>
      </c>
      <c r="Q1074" s="74">
        <f>(Table1[[#This Row],[Gross Amount]]*(1-(Table1[[#This Row],[Discount %]]/100)))/10000000</f>
        <v>8.1459164999999986E-2</v>
      </c>
      <c r="R1074" t="s">
        <v>54</v>
      </c>
      <c r="S1074" t="str" cm="1">
        <f t="array" ref="S1074">IFERROR(_xlfn.IFS(Table1[[#This Row],[Payment Status]]="Partial","In Transit",Table1[[#This Row],[Payment Status]]="Paid","Delivered",Table1[[#This Row],[Payment Status]]="Pending","Pending"),"Invalid Input")</f>
        <v>Delivered</v>
      </c>
      <c r="T1074" t="s">
        <v>27</v>
      </c>
      <c r="U1074" t="str" cm="1">
        <f t="array" ref="U1074">IFERROR(_xlfn.IFS(Table1[[#This Row],[Payment Status]]="Partial","In Transit",Table1[[#This Row],[Payment Status]]="Paid","Completed",Table1[[#This Row],[Payment Status]]="Pending","Pending"),"Invalid Input")</f>
        <v>Completed</v>
      </c>
    </row>
    <row r="1075" spans="1:21" x14ac:dyDescent="0.25">
      <c r="A1075" s="4" t="s">
        <v>1940</v>
      </c>
      <c r="B1075" s="5">
        <v>45617</v>
      </c>
      <c r="C1075" t="s">
        <v>41</v>
      </c>
      <c r="D1075" t="s">
        <v>3270</v>
      </c>
      <c r="E1075" t="s">
        <v>38</v>
      </c>
      <c r="F1075" t="s">
        <v>3218</v>
      </c>
      <c r="G1075" t="s">
        <v>39</v>
      </c>
      <c r="H1075" t="str">
        <f>VLOOKUP(Table1[[#This Row],[City]],Table6[#All],2,FALSE)</f>
        <v>West</v>
      </c>
      <c r="I1075" t="s">
        <v>53</v>
      </c>
      <c r="J1075" t="str">
        <f>_xlfn.XLOOKUP(Table1[[#This Row],[Tractor Model]],Table7[Product Model],Table7[Product Category],"Not Available",0)</f>
        <v>Farmtrac</v>
      </c>
      <c r="K1075" s="4">
        <v>7</v>
      </c>
      <c r="L1075" s="72">
        <v>388169</v>
      </c>
      <c r="M1075" s="4">
        <f>INDEX('Master Sheet'!$C$4:$C$12,MATCH(Table1[[#This Row],[Quantity]],'Master Sheet'!$B$4:$B$12,0))</f>
        <v>9</v>
      </c>
      <c r="N1075" s="71">
        <f>Table1[[#This Row],[Quantity]]*Table1[[#This Row],[Unit Price]]</f>
        <v>2717183</v>
      </c>
      <c r="O1075" s="73">
        <v>0.27171830000000002</v>
      </c>
      <c r="P1075" s="70">
        <f>Table1[[#This Row],[Gross Amount]]*(1-(Table1[[#This Row],[Discount %]]/100))</f>
        <v>2472636.5300000003</v>
      </c>
      <c r="Q1075" s="74">
        <f>(Table1[[#This Row],[Gross Amount]]*(1-(Table1[[#This Row],[Discount %]]/100)))/10000000</f>
        <v>0.24726365300000003</v>
      </c>
      <c r="R1075" t="s">
        <v>54</v>
      </c>
      <c r="S1075" t="str" cm="1">
        <f t="array" ref="S1075">IFERROR(_xlfn.IFS(Table1[[#This Row],[Payment Status]]="Partial","In Transit",Table1[[#This Row],[Payment Status]]="Paid","Delivered",Table1[[#This Row],[Payment Status]]="Pending","Pending"),"Invalid Input")</f>
        <v>Delivered</v>
      </c>
      <c r="T1075" t="s">
        <v>44</v>
      </c>
      <c r="U1075" t="str" cm="1">
        <f t="array" ref="U1075">IFERROR(_xlfn.IFS(Table1[[#This Row],[Payment Status]]="Partial","In Transit",Table1[[#This Row],[Payment Status]]="Paid","Completed",Table1[[#This Row],[Payment Status]]="Pending","Pending"),"Invalid Input")</f>
        <v>Completed</v>
      </c>
    </row>
    <row r="1076" spans="1:21" x14ac:dyDescent="0.25">
      <c r="A1076" s="4" t="s">
        <v>1941</v>
      </c>
      <c r="B1076" s="5">
        <v>45672</v>
      </c>
      <c r="C1076" t="s">
        <v>33</v>
      </c>
      <c r="D1076" t="s">
        <v>37</v>
      </c>
      <c r="E1076" t="s">
        <v>38</v>
      </c>
      <c r="F1076" t="s">
        <v>3214</v>
      </c>
      <c r="G1076" t="s">
        <v>39</v>
      </c>
      <c r="H1076" t="str">
        <f>VLOOKUP(Table1[[#This Row],[City]],Table6[#All],2,FALSE)</f>
        <v>West</v>
      </c>
      <c r="I1076" t="s">
        <v>58</v>
      </c>
      <c r="J1076" t="str">
        <f>_xlfn.XLOOKUP(Table1[[#This Row],[Tractor Model]],Table7[Product Model],Table7[Product Category],"Not Available",0)</f>
        <v>Powertrac</v>
      </c>
      <c r="K1076" s="4">
        <v>1</v>
      </c>
      <c r="L1076" s="72">
        <v>750406</v>
      </c>
      <c r="M1076" s="4">
        <f>INDEX('Master Sheet'!$C$4:$C$12,MATCH(Table1[[#This Row],[Quantity]],'Master Sheet'!$B$4:$B$12,0))</f>
        <v>3</v>
      </c>
      <c r="N1076" s="71">
        <f>Table1[[#This Row],[Quantity]]*Table1[[#This Row],[Unit Price]]</f>
        <v>750406</v>
      </c>
      <c r="O1076" s="73">
        <v>7.5040599999999999E-2</v>
      </c>
      <c r="P1076" s="70">
        <f>Table1[[#This Row],[Gross Amount]]*(1-(Table1[[#This Row],[Discount %]]/100))</f>
        <v>727893.82</v>
      </c>
      <c r="Q1076" s="74">
        <f>(Table1[[#This Row],[Gross Amount]]*(1-(Table1[[#This Row],[Discount %]]/100)))/10000000</f>
        <v>7.2789382E-2</v>
      </c>
      <c r="R1076" t="s">
        <v>25</v>
      </c>
      <c r="S1076" t="str" cm="1">
        <f t="array" ref="S1076">IFERROR(_xlfn.IFS(Table1[[#This Row],[Payment Status]]="Partial","In Transit",Table1[[#This Row],[Payment Status]]="Paid","Delivered",Table1[[#This Row],[Payment Status]]="Pending","Pending"),"Invalid Input")</f>
        <v>In Transit</v>
      </c>
      <c r="T1076" t="s">
        <v>27</v>
      </c>
      <c r="U1076" t="str" cm="1">
        <f t="array" ref="U1076">IFERROR(_xlfn.IFS(Table1[[#This Row],[Payment Status]]="Partial","In Transit",Table1[[#This Row],[Payment Status]]="Paid","Completed",Table1[[#This Row],[Payment Status]]="Pending","Pending"),"Invalid Input")</f>
        <v>In Transit</v>
      </c>
    </row>
    <row r="1077" spans="1:21" x14ac:dyDescent="0.25">
      <c r="A1077" s="4" t="s">
        <v>1943</v>
      </c>
      <c r="B1077" s="5">
        <v>45508</v>
      </c>
      <c r="C1077" t="s">
        <v>62</v>
      </c>
      <c r="D1077" t="s">
        <v>3271</v>
      </c>
      <c r="E1077" t="s">
        <v>30</v>
      </c>
      <c r="F1077" t="s">
        <v>3217</v>
      </c>
      <c r="G1077" t="s">
        <v>31</v>
      </c>
      <c r="H1077" t="str">
        <f>VLOOKUP(Table1[[#This Row],[City]],Table6[#All],2,FALSE)</f>
        <v>South</v>
      </c>
      <c r="I1077" t="s">
        <v>58</v>
      </c>
      <c r="J1077" t="str">
        <f>_xlfn.XLOOKUP(Table1[[#This Row],[Tractor Model]],Table7[Product Model],Table7[Product Category],"Not Available",0)</f>
        <v>Powertrac</v>
      </c>
      <c r="K1077" s="4">
        <v>1</v>
      </c>
      <c r="L1077" s="72">
        <v>802725</v>
      </c>
      <c r="M1077" s="4">
        <f>INDEX('Master Sheet'!$C$4:$C$12,MATCH(Table1[[#This Row],[Quantity]],'Master Sheet'!$B$4:$B$12,0))</f>
        <v>3</v>
      </c>
      <c r="N1077" s="71">
        <f>Table1[[#This Row],[Quantity]]*Table1[[#This Row],[Unit Price]]</f>
        <v>802725</v>
      </c>
      <c r="O1077" s="73">
        <v>8.0272499999999997E-2</v>
      </c>
      <c r="P1077" s="70">
        <f>Table1[[#This Row],[Gross Amount]]*(1-(Table1[[#This Row],[Discount %]]/100))</f>
        <v>778643.25</v>
      </c>
      <c r="Q1077" s="74">
        <f>(Table1[[#This Row],[Gross Amount]]*(1-(Table1[[#This Row],[Discount %]]/100)))/10000000</f>
        <v>7.7864324999999998E-2</v>
      </c>
      <c r="R1077" t="s">
        <v>42</v>
      </c>
      <c r="S1077" t="str" cm="1">
        <f t="array" ref="S1077">IFERROR(_xlfn.IFS(Table1[[#This Row],[Payment Status]]="Partial","In Transit",Table1[[#This Row],[Payment Status]]="Paid","Delivered",Table1[[#This Row],[Payment Status]]="Pending","Pending"),"Invalid Input")</f>
        <v>Pending</v>
      </c>
      <c r="T1077" t="s">
        <v>27</v>
      </c>
      <c r="U1077" t="str" cm="1">
        <f t="array" ref="U1077">IFERROR(_xlfn.IFS(Table1[[#This Row],[Payment Status]]="Partial","In Transit",Table1[[#This Row],[Payment Status]]="Paid","Completed",Table1[[#This Row],[Payment Status]]="Pending","Pending"),"Invalid Input")</f>
        <v>Pending</v>
      </c>
    </row>
    <row r="1078" spans="1:21" x14ac:dyDescent="0.25">
      <c r="A1078" s="4" t="s">
        <v>1944</v>
      </c>
      <c r="B1078" s="5">
        <v>45902</v>
      </c>
      <c r="C1078" t="s">
        <v>52</v>
      </c>
      <c r="D1078" t="s">
        <v>3269</v>
      </c>
      <c r="E1078" t="s">
        <v>38</v>
      </c>
      <c r="F1078" t="s">
        <v>3206</v>
      </c>
      <c r="G1078" t="s">
        <v>39</v>
      </c>
      <c r="H1078" t="str">
        <f>VLOOKUP(Table1[[#This Row],[City]],Table6[#All],2,FALSE)</f>
        <v>West</v>
      </c>
      <c r="I1078" t="s">
        <v>53</v>
      </c>
      <c r="J1078" t="str">
        <f>_xlfn.XLOOKUP(Table1[[#This Row],[Tractor Model]],Table7[Product Model],Table7[Product Category],"Not Available",0)</f>
        <v>Farmtrac</v>
      </c>
      <c r="K1078" s="4">
        <v>4</v>
      </c>
      <c r="L1078" s="72">
        <v>537766</v>
      </c>
      <c r="M1078" s="4">
        <f>INDEX('Master Sheet'!$C$4:$C$12,MATCH(Table1[[#This Row],[Quantity]],'Master Sheet'!$B$4:$B$12,0))</f>
        <v>6</v>
      </c>
      <c r="N1078" s="71">
        <f>Table1[[#This Row],[Quantity]]*Table1[[#This Row],[Unit Price]]</f>
        <v>2151064</v>
      </c>
      <c r="O1078" s="73">
        <v>0.2151064</v>
      </c>
      <c r="P1078" s="70">
        <f>Table1[[#This Row],[Gross Amount]]*(1-(Table1[[#This Row],[Discount %]]/100))</f>
        <v>2022000.16</v>
      </c>
      <c r="Q1078" s="74">
        <f>(Table1[[#This Row],[Gross Amount]]*(1-(Table1[[#This Row],[Discount %]]/100)))/10000000</f>
        <v>0.20220001599999998</v>
      </c>
      <c r="R1078" t="s">
        <v>54</v>
      </c>
      <c r="S1078" t="str" cm="1">
        <f t="array" ref="S1078">IFERROR(_xlfn.IFS(Table1[[#This Row],[Payment Status]]="Partial","In Transit",Table1[[#This Row],[Payment Status]]="Paid","Delivered",Table1[[#This Row],[Payment Status]]="Pending","Pending"),"Invalid Input")</f>
        <v>Delivered</v>
      </c>
      <c r="T1078" t="s">
        <v>27</v>
      </c>
      <c r="U1078" t="str" cm="1">
        <f t="array" ref="U1078">IFERROR(_xlfn.IFS(Table1[[#This Row],[Payment Status]]="Partial","In Transit",Table1[[#This Row],[Payment Status]]="Paid","Completed",Table1[[#This Row],[Payment Status]]="Pending","Pending"),"Invalid Input")</f>
        <v>Completed</v>
      </c>
    </row>
    <row r="1079" spans="1:21" x14ac:dyDescent="0.25">
      <c r="A1079" s="4" t="s">
        <v>1945</v>
      </c>
      <c r="B1079" s="5">
        <v>45627</v>
      </c>
      <c r="C1079" t="s">
        <v>73</v>
      </c>
      <c r="D1079" t="s">
        <v>37</v>
      </c>
      <c r="E1079" t="s">
        <v>119</v>
      </c>
      <c r="F1079" t="s">
        <v>3224</v>
      </c>
      <c r="G1079" t="s">
        <v>21</v>
      </c>
      <c r="H1079" t="str">
        <f>VLOOKUP(Table1[[#This Row],[City]],Table6[#All],2,FALSE)</f>
        <v>North</v>
      </c>
      <c r="I1079" t="s">
        <v>3203</v>
      </c>
      <c r="J1079" t="str">
        <f>_xlfn.XLOOKUP(Table1[[#This Row],[Tractor Model]],Table7[Product Model],Table7[Product Category],"Not Available",0)</f>
        <v>Kubota</v>
      </c>
      <c r="K1079" s="4">
        <v>5</v>
      </c>
      <c r="L1079" s="72">
        <v>216991</v>
      </c>
      <c r="M1079" s="4">
        <f>INDEX('Master Sheet'!$C$4:$C$12,MATCH(Table1[[#This Row],[Quantity]],'Master Sheet'!$B$4:$B$12,0))</f>
        <v>7</v>
      </c>
      <c r="N1079" s="71">
        <f>Table1[[#This Row],[Quantity]]*Table1[[#This Row],[Unit Price]]</f>
        <v>1084955</v>
      </c>
      <c r="O1079" s="73">
        <v>0.10849549999999999</v>
      </c>
      <c r="P1079" s="70">
        <f>Table1[[#This Row],[Gross Amount]]*(1-(Table1[[#This Row],[Discount %]]/100))</f>
        <v>1009008.1499999999</v>
      </c>
      <c r="Q1079" s="74">
        <f>(Table1[[#This Row],[Gross Amount]]*(1-(Table1[[#This Row],[Discount %]]/100)))/10000000</f>
        <v>0.10090081499999999</v>
      </c>
      <c r="R1079" t="s">
        <v>42</v>
      </c>
      <c r="S1079" t="str" cm="1">
        <f t="array" ref="S1079">IFERROR(_xlfn.IFS(Table1[[#This Row],[Payment Status]]="Partial","In Transit",Table1[[#This Row],[Payment Status]]="Paid","Delivered",Table1[[#This Row],[Payment Status]]="Pending","Pending"),"Invalid Input")</f>
        <v>Pending</v>
      </c>
      <c r="T1079" t="s">
        <v>44</v>
      </c>
      <c r="U1079" t="str" cm="1">
        <f t="array" ref="U1079">IFERROR(_xlfn.IFS(Table1[[#This Row],[Payment Status]]="Partial","In Transit",Table1[[#This Row],[Payment Status]]="Paid","Completed",Table1[[#This Row],[Payment Status]]="Pending","Pending"),"Invalid Input")</f>
        <v>Pending</v>
      </c>
    </row>
    <row r="1080" spans="1:21" x14ac:dyDescent="0.25">
      <c r="A1080" s="4" t="s">
        <v>1946</v>
      </c>
      <c r="B1080" s="5">
        <v>45304</v>
      </c>
      <c r="C1080" t="s">
        <v>62</v>
      </c>
      <c r="D1080" t="s">
        <v>3269</v>
      </c>
      <c r="E1080" t="s">
        <v>66</v>
      </c>
      <c r="F1080" t="s">
        <v>3213</v>
      </c>
      <c r="G1080" t="s">
        <v>67</v>
      </c>
      <c r="H1080" t="str">
        <f>VLOOKUP(Table1[[#This Row],[City]],Table6[#All],2,FALSE)</f>
        <v>East</v>
      </c>
      <c r="I1080" t="s">
        <v>53</v>
      </c>
      <c r="J1080" t="str">
        <f>_xlfn.XLOOKUP(Table1[[#This Row],[Tractor Model]],Table7[Product Model],Table7[Product Category],"Not Available",0)</f>
        <v>Farmtrac</v>
      </c>
      <c r="K1080" s="4">
        <v>2</v>
      </c>
      <c r="L1080" s="72">
        <v>813166</v>
      </c>
      <c r="M1080" s="4">
        <f>INDEX('Master Sheet'!$C$4:$C$12,MATCH(Table1[[#This Row],[Quantity]],'Master Sheet'!$B$4:$B$12,0))</f>
        <v>5</v>
      </c>
      <c r="N1080" s="71">
        <f>Table1[[#This Row],[Quantity]]*Table1[[#This Row],[Unit Price]]</f>
        <v>1626332</v>
      </c>
      <c r="O1080" s="73">
        <v>0.16263320000000001</v>
      </c>
      <c r="P1080" s="70">
        <f>Table1[[#This Row],[Gross Amount]]*(1-(Table1[[#This Row],[Discount %]]/100))</f>
        <v>1545015.4</v>
      </c>
      <c r="Q1080" s="74">
        <f>(Table1[[#This Row],[Gross Amount]]*(1-(Table1[[#This Row],[Discount %]]/100)))/10000000</f>
        <v>0.15450153999999999</v>
      </c>
      <c r="R1080" t="s">
        <v>54</v>
      </c>
      <c r="S1080" t="str" cm="1">
        <f t="array" ref="S1080">IFERROR(_xlfn.IFS(Table1[[#This Row],[Payment Status]]="Partial","In Transit",Table1[[#This Row],[Payment Status]]="Paid","Delivered",Table1[[#This Row],[Payment Status]]="Pending","Pending"),"Invalid Input")</f>
        <v>Delivered</v>
      </c>
      <c r="T1080" t="s">
        <v>44</v>
      </c>
      <c r="U1080" t="str" cm="1">
        <f t="array" ref="U1080">IFERROR(_xlfn.IFS(Table1[[#This Row],[Payment Status]]="Partial","In Transit",Table1[[#This Row],[Payment Status]]="Paid","Completed",Table1[[#This Row],[Payment Status]]="Pending","Pending"),"Invalid Input")</f>
        <v>Completed</v>
      </c>
    </row>
    <row r="1081" spans="1:21" x14ac:dyDescent="0.25">
      <c r="A1081" s="4" t="s">
        <v>1948</v>
      </c>
      <c r="B1081" s="5">
        <v>45672</v>
      </c>
      <c r="C1081" t="s">
        <v>62</v>
      </c>
      <c r="D1081" t="s">
        <v>3271</v>
      </c>
      <c r="E1081" t="s">
        <v>47</v>
      </c>
      <c r="F1081" t="s">
        <v>3221</v>
      </c>
      <c r="G1081" t="s">
        <v>48</v>
      </c>
      <c r="H1081" t="str">
        <f>VLOOKUP(Table1[[#This Row],[City]],Table6[#All],2,FALSE)</f>
        <v>North</v>
      </c>
      <c r="I1081" t="s">
        <v>53</v>
      </c>
      <c r="J1081" t="str">
        <f>_xlfn.XLOOKUP(Table1[[#This Row],[Tractor Model]],Table7[Product Model],Table7[Product Category],"Not Available",0)</f>
        <v>Farmtrac</v>
      </c>
      <c r="K1081" s="4">
        <v>4</v>
      </c>
      <c r="L1081" s="72">
        <v>243423</v>
      </c>
      <c r="M1081" s="4">
        <f>INDEX('Master Sheet'!$C$4:$C$12,MATCH(Table1[[#This Row],[Quantity]],'Master Sheet'!$B$4:$B$12,0))</f>
        <v>6</v>
      </c>
      <c r="N1081" s="71">
        <f>Table1[[#This Row],[Quantity]]*Table1[[#This Row],[Unit Price]]</f>
        <v>973692</v>
      </c>
      <c r="O1081" s="73">
        <v>9.7369200000000003E-2</v>
      </c>
      <c r="P1081" s="70">
        <f>Table1[[#This Row],[Gross Amount]]*(1-(Table1[[#This Row],[Discount %]]/100))</f>
        <v>915270.48</v>
      </c>
      <c r="Q1081" s="74">
        <f>(Table1[[#This Row],[Gross Amount]]*(1-(Table1[[#This Row],[Discount %]]/100)))/10000000</f>
        <v>9.1527048E-2</v>
      </c>
      <c r="R1081" t="s">
        <v>54</v>
      </c>
      <c r="S1081" t="str" cm="1">
        <f t="array" ref="S1081">IFERROR(_xlfn.IFS(Table1[[#This Row],[Payment Status]]="Partial","In Transit",Table1[[#This Row],[Payment Status]]="Paid","Delivered",Table1[[#This Row],[Payment Status]]="Pending","Pending"),"Invalid Input")</f>
        <v>Delivered</v>
      </c>
      <c r="T1081" t="s">
        <v>44</v>
      </c>
      <c r="U1081" t="str" cm="1">
        <f t="array" ref="U1081">IFERROR(_xlfn.IFS(Table1[[#This Row],[Payment Status]]="Partial","In Transit",Table1[[#This Row],[Payment Status]]="Paid","Completed",Table1[[#This Row],[Payment Status]]="Pending","Pending"),"Invalid Input")</f>
        <v>Completed</v>
      </c>
    </row>
    <row r="1082" spans="1:21" x14ac:dyDescent="0.25">
      <c r="A1082" s="4" t="s">
        <v>1949</v>
      </c>
      <c r="B1082" s="5">
        <v>45359</v>
      </c>
      <c r="C1082" t="s">
        <v>33</v>
      </c>
      <c r="D1082" t="s">
        <v>3268</v>
      </c>
      <c r="E1082" t="s">
        <v>119</v>
      </c>
      <c r="F1082" t="s">
        <v>3227</v>
      </c>
      <c r="G1082" t="s">
        <v>21</v>
      </c>
      <c r="H1082" t="str">
        <f>VLOOKUP(Table1[[#This Row],[City]],Table6[#All],2,FALSE)</f>
        <v>North</v>
      </c>
      <c r="I1082" t="s">
        <v>53</v>
      </c>
      <c r="J1082" t="str">
        <f>_xlfn.XLOOKUP(Table1[[#This Row],[Tractor Model]],Table7[Product Model],Table7[Product Category],"Not Available",0)</f>
        <v>Farmtrac</v>
      </c>
      <c r="K1082" s="4">
        <v>0</v>
      </c>
      <c r="L1082" s="72">
        <v>769858</v>
      </c>
      <c r="M1082" s="4">
        <f>INDEX('Master Sheet'!$C$4:$C$12,MATCH(Table1[[#This Row],[Quantity]],'Master Sheet'!$B$4:$B$12,0))</f>
        <v>0</v>
      </c>
      <c r="N1082" s="71">
        <f>Table1[[#This Row],[Quantity]]*Table1[[#This Row],[Unit Price]]</f>
        <v>0</v>
      </c>
      <c r="O1082" s="73">
        <v>0</v>
      </c>
      <c r="P1082" s="70">
        <f>Table1[[#This Row],[Gross Amount]]*(1-(Table1[[#This Row],[Discount %]]/100))</f>
        <v>0</v>
      </c>
      <c r="Q1082" s="74">
        <f>(Table1[[#This Row],[Gross Amount]]*(1-(Table1[[#This Row],[Discount %]]/100)))/10000000</f>
        <v>0</v>
      </c>
      <c r="R1082" t="s">
        <v>42</v>
      </c>
      <c r="S1082" t="str" cm="1">
        <f t="array" ref="S1082">IFERROR(_xlfn.IFS(Table1[[#This Row],[Payment Status]]="Partial","In Transit",Table1[[#This Row],[Payment Status]]="Paid","Delivered",Table1[[#This Row],[Payment Status]]="Pending","Pending"),"Invalid Input")</f>
        <v>Pending</v>
      </c>
      <c r="T1082" t="s">
        <v>27</v>
      </c>
      <c r="U1082" t="str" cm="1">
        <f t="array" ref="U1082">IFERROR(_xlfn.IFS(Table1[[#This Row],[Payment Status]]="Partial","In Transit",Table1[[#This Row],[Payment Status]]="Paid","Completed",Table1[[#This Row],[Payment Status]]="Pending","Pending"),"Invalid Input")</f>
        <v>Pending</v>
      </c>
    </row>
    <row r="1083" spans="1:21" x14ac:dyDescent="0.25">
      <c r="A1083" s="4" t="s">
        <v>1950</v>
      </c>
      <c r="B1083" s="5">
        <v>45308</v>
      </c>
      <c r="C1083" t="s">
        <v>41</v>
      </c>
      <c r="D1083" t="s">
        <v>3271</v>
      </c>
      <c r="E1083" t="s">
        <v>119</v>
      </c>
      <c r="F1083" t="s">
        <v>3228</v>
      </c>
      <c r="G1083" t="s">
        <v>21</v>
      </c>
      <c r="H1083" t="str">
        <f>VLOOKUP(Table1[[#This Row],[City]],Table6[#All],2,FALSE)</f>
        <v>North</v>
      </c>
      <c r="I1083" t="s">
        <v>3204</v>
      </c>
      <c r="J1083" t="str">
        <f>_xlfn.XLOOKUP(Table1[[#This Row],[Tractor Model]],Table7[Product Model],Table7[Product Category],"Not Available",0)</f>
        <v>Kubota</v>
      </c>
      <c r="K1083" s="4">
        <v>8</v>
      </c>
      <c r="L1083" s="72">
        <v>643759</v>
      </c>
      <c r="M1083" s="4">
        <f>INDEX('Master Sheet'!$C$4:$C$12,MATCH(Table1[[#This Row],[Quantity]],'Master Sheet'!$B$4:$B$12,0))</f>
        <v>9</v>
      </c>
      <c r="N1083" s="71">
        <f>Table1[[#This Row],[Quantity]]*Table1[[#This Row],[Unit Price]]</f>
        <v>5150072</v>
      </c>
      <c r="O1083" s="73">
        <v>0.5150072</v>
      </c>
      <c r="P1083" s="70">
        <f>Table1[[#This Row],[Gross Amount]]*(1-(Table1[[#This Row],[Discount %]]/100))</f>
        <v>4686565.5200000005</v>
      </c>
      <c r="Q1083" s="74">
        <f>(Table1[[#This Row],[Gross Amount]]*(1-(Table1[[#This Row],[Discount %]]/100)))/10000000</f>
        <v>0.46865655200000006</v>
      </c>
      <c r="R1083" t="s">
        <v>25</v>
      </c>
      <c r="S1083" t="str" cm="1">
        <f t="array" ref="S1083">IFERROR(_xlfn.IFS(Table1[[#This Row],[Payment Status]]="Partial","In Transit",Table1[[#This Row],[Payment Status]]="Paid","Delivered",Table1[[#This Row],[Payment Status]]="Pending","Pending"),"Invalid Input")</f>
        <v>In Transit</v>
      </c>
      <c r="T1083" t="s">
        <v>44</v>
      </c>
      <c r="U1083" t="str" cm="1">
        <f t="array" ref="U1083">IFERROR(_xlfn.IFS(Table1[[#This Row],[Payment Status]]="Partial","In Transit",Table1[[#This Row],[Payment Status]]="Paid","Completed",Table1[[#This Row],[Payment Status]]="Pending","Pending"),"Invalid Input")</f>
        <v>In Transit</v>
      </c>
    </row>
    <row r="1084" spans="1:21" x14ac:dyDescent="0.25">
      <c r="A1084" s="4" t="s">
        <v>1952</v>
      </c>
      <c r="B1084" s="5">
        <v>45484</v>
      </c>
      <c r="C1084" t="s">
        <v>52</v>
      </c>
      <c r="D1084" t="s">
        <v>3268</v>
      </c>
      <c r="E1084" t="s">
        <v>66</v>
      </c>
      <c r="F1084" t="s">
        <v>3211</v>
      </c>
      <c r="G1084" t="s">
        <v>67</v>
      </c>
      <c r="H1084" t="str">
        <f>VLOOKUP(Table1[[#This Row],[City]],Table6[#All],2,FALSE)</f>
        <v>East</v>
      </c>
      <c r="I1084" t="s">
        <v>3204</v>
      </c>
      <c r="J1084" t="str">
        <f>_xlfn.XLOOKUP(Table1[[#This Row],[Tractor Model]],Table7[Product Model],Table7[Product Category],"Not Available",0)</f>
        <v>Kubota</v>
      </c>
      <c r="K1084" s="4">
        <v>5</v>
      </c>
      <c r="L1084" s="72">
        <v>479019</v>
      </c>
      <c r="M1084" s="4">
        <f>INDEX('Master Sheet'!$C$4:$C$12,MATCH(Table1[[#This Row],[Quantity]],'Master Sheet'!$B$4:$B$12,0))</f>
        <v>7</v>
      </c>
      <c r="N1084" s="71">
        <f>Table1[[#This Row],[Quantity]]*Table1[[#This Row],[Unit Price]]</f>
        <v>2395095</v>
      </c>
      <c r="O1084" s="73">
        <v>0.23950949999999999</v>
      </c>
      <c r="P1084" s="70">
        <f>Table1[[#This Row],[Gross Amount]]*(1-(Table1[[#This Row],[Discount %]]/100))</f>
        <v>2227438.3499999996</v>
      </c>
      <c r="Q1084" s="74">
        <f>(Table1[[#This Row],[Gross Amount]]*(1-(Table1[[#This Row],[Discount %]]/100)))/10000000</f>
        <v>0.22274383499999997</v>
      </c>
      <c r="R1084" t="s">
        <v>25</v>
      </c>
      <c r="S1084" t="str" cm="1">
        <f t="array" ref="S1084">IFERROR(_xlfn.IFS(Table1[[#This Row],[Payment Status]]="Partial","In Transit",Table1[[#This Row],[Payment Status]]="Paid","Delivered",Table1[[#This Row],[Payment Status]]="Pending","Pending"),"Invalid Input")</f>
        <v>In Transit</v>
      </c>
      <c r="T1084" t="s">
        <v>27</v>
      </c>
      <c r="U1084" t="str" cm="1">
        <f t="array" ref="U1084">IFERROR(_xlfn.IFS(Table1[[#This Row],[Payment Status]]="Partial","In Transit",Table1[[#This Row],[Payment Status]]="Paid","Completed",Table1[[#This Row],[Payment Status]]="Pending","Pending"),"Invalid Input")</f>
        <v>In Transit</v>
      </c>
    </row>
    <row r="1085" spans="1:21" x14ac:dyDescent="0.25">
      <c r="A1085" s="4" t="s">
        <v>1954</v>
      </c>
      <c r="B1085" s="5">
        <v>45690</v>
      </c>
      <c r="C1085" t="s">
        <v>33</v>
      </c>
      <c r="D1085" t="s">
        <v>3269</v>
      </c>
      <c r="E1085" t="s">
        <v>47</v>
      </c>
      <c r="F1085" t="s">
        <v>3209</v>
      </c>
      <c r="G1085" t="s">
        <v>48</v>
      </c>
      <c r="H1085" t="str">
        <f>VLOOKUP(Table1[[#This Row],[City]],Table6[#All],2,FALSE)</f>
        <v>North</v>
      </c>
      <c r="I1085" t="s">
        <v>3204</v>
      </c>
      <c r="J1085" t="str">
        <f>_xlfn.XLOOKUP(Table1[[#This Row],[Tractor Model]],Table7[Product Model],Table7[Product Category],"Not Available",0)</f>
        <v>Kubota</v>
      </c>
      <c r="K1085" s="4">
        <v>2</v>
      </c>
      <c r="L1085" s="72">
        <v>611354</v>
      </c>
      <c r="M1085" s="4">
        <f>INDEX('Master Sheet'!$C$4:$C$12,MATCH(Table1[[#This Row],[Quantity]],'Master Sheet'!$B$4:$B$12,0))</f>
        <v>5</v>
      </c>
      <c r="N1085" s="71">
        <f>Table1[[#This Row],[Quantity]]*Table1[[#This Row],[Unit Price]]</f>
        <v>1222708</v>
      </c>
      <c r="O1085" s="73">
        <v>0.1222708</v>
      </c>
      <c r="P1085" s="70">
        <f>Table1[[#This Row],[Gross Amount]]*(1-(Table1[[#This Row],[Discount %]]/100))</f>
        <v>1161572.5999999999</v>
      </c>
      <c r="Q1085" s="74">
        <f>(Table1[[#This Row],[Gross Amount]]*(1-(Table1[[#This Row],[Discount %]]/100)))/10000000</f>
        <v>0.11615725999999998</v>
      </c>
      <c r="R1085" t="s">
        <v>42</v>
      </c>
      <c r="S1085" t="str" cm="1">
        <f t="array" ref="S1085">IFERROR(_xlfn.IFS(Table1[[#This Row],[Payment Status]]="Partial","In Transit",Table1[[#This Row],[Payment Status]]="Paid","Delivered",Table1[[#This Row],[Payment Status]]="Pending","Pending"),"Invalid Input")</f>
        <v>Pending</v>
      </c>
      <c r="T1085" t="s">
        <v>27</v>
      </c>
      <c r="U1085" t="str" cm="1">
        <f t="array" ref="U1085">IFERROR(_xlfn.IFS(Table1[[#This Row],[Payment Status]]="Partial","In Transit",Table1[[#This Row],[Payment Status]]="Paid","Completed",Table1[[#This Row],[Payment Status]]="Pending","Pending"),"Invalid Input")</f>
        <v>Pending</v>
      </c>
    </row>
    <row r="1086" spans="1:21" x14ac:dyDescent="0.25">
      <c r="A1086" s="4" t="s">
        <v>1956</v>
      </c>
      <c r="B1086" s="5">
        <v>45572</v>
      </c>
      <c r="C1086" t="s">
        <v>52</v>
      </c>
      <c r="D1086" t="s">
        <v>3271</v>
      </c>
      <c r="E1086" t="s">
        <v>30</v>
      </c>
      <c r="F1086" t="s">
        <v>3217</v>
      </c>
      <c r="G1086" t="s">
        <v>31</v>
      </c>
      <c r="H1086" t="str">
        <f>VLOOKUP(Table1[[#This Row],[City]],Table6[#All],2,FALSE)</f>
        <v>South</v>
      </c>
      <c r="I1086" t="s">
        <v>53</v>
      </c>
      <c r="J1086" t="str">
        <f>_xlfn.XLOOKUP(Table1[[#This Row],[Tractor Model]],Table7[Product Model],Table7[Product Category],"Not Available",0)</f>
        <v>Farmtrac</v>
      </c>
      <c r="K1086" s="4">
        <v>6</v>
      </c>
      <c r="L1086" s="72">
        <v>417967</v>
      </c>
      <c r="M1086" s="4">
        <f>INDEX('Master Sheet'!$C$4:$C$12,MATCH(Table1[[#This Row],[Quantity]],'Master Sheet'!$B$4:$B$12,0))</f>
        <v>8</v>
      </c>
      <c r="N1086" s="71">
        <f>Table1[[#This Row],[Quantity]]*Table1[[#This Row],[Unit Price]]</f>
        <v>2507802</v>
      </c>
      <c r="O1086" s="73">
        <v>0.25078020000000001</v>
      </c>
      <c r="P1086" s="70">
        <f>Table1[[#This Row],[Gross Amount]]*(1-(Table1[[#This Row],[Discount %]]/100))</f>
        <v>2307177.8400000003</v>
      </c>
      <c r="Q1086" s="74">
        <f>(Table1[[#This Row],[Gross Amount]]*(1-(Table1[[#This Row],[Discount %]]/100)))/10000000</f>
        <v>0.23071778400000004</v>
      </c>
      <c r="R1086" t="s">
        <v>54</v>
      </c>
      <c r="S1086" t="str" cm="1">
        <f t="array" ref="S1086">IFERROR(_xlfn.IFS(Table1[[#This Row],[Payment Status]]="Partial","In Transit",Table1[[#This Row],[Payment Status]]="Paid","Delivered",Table1[[#This Row],[Payment Status]]="Pending","Pending"),"Invalid Input")</f>
        <v>Delivered</v>
      </c>
      <c r="T1086" t="s">
        <v>44</v>
      </c>
      <c r="U1086" t="str" cm="1">
        <f t="array" ref="U1086">IFERROR(_xlfn.IFS(Table1[[#This Row],[Payment Status]]="Partial","In Transit",Table1[[#This Row],[Payment Status]]="Paid","Completed",Table1[[#This Row],[Payment Status]]="Pending","Pending"),"Invalid Input")</f>
        <v>Completed</v>
      </c>
    </row>
    <row r="1087" spans="1:21" x14ac:dyDescent="0.25">
      <c r="A1087" s="4" t="s">
        <v>1957</v>
      </c>
      <c r="B1087" s="5">
        <v>45574</v>
      </c>
      <c r="C1087" t="s">
        <v>33</v>
      </c>
      <c r="D1087" t="s">
        <v>3268</v>
      </c>
      <c r="E1087" t="s">
        <v>38</v>
      </c>
      <c r="F1087" t="s">
        <v>3219</v>
      </c>
      <c r="G1087" t="s">
        <v>39</v>
      </c>
      <c r="H1087" t="str">
        <f>VLOOKUP(Table1[[#This Row],[City]],Table6[#All],2,FALSE)</f>
        <v>West</v>
      </c>
      <c r="I1087" t="s">
        <v>58</v>
      </c>
      <c r="J1087" t="str">
        <f>_xlfn.XLOOKUP(Table1[[#This Row],[Tractor Model]],Table7[Product Model],Table7[Product Category],"Not Available",0)</f>
        <v>Powertrac</v>
      </c>
      <c r="K1087" s="4">
        <v>7</v>
      </c>
      <c r="L1087" s="72">
        <v>507626</v>
      </c>
      <c r="M1087" s="4">
        <f>INDEX('Master Sheet'!$C$4:$C$12,MATCH(Table1[[#This Row],[Quantity]],'Master Sheet'!$B$4:$B$12,0))</f>
        <v>9</v>
      </c>
      <c r="N1087" s="71">
        <f>Table1[[#This Row],[Quantity]]*Table1[[#This Row],[Unit Price]]</f>
        <v>3553382</v>
      </c>
      <c r="O1087" s="73">
        <v>0.35533819999999999</v>
      </c>
      <c r="P1087" s="70">
        <f>Table1[[#This Row],[Gross Amount]]*(1-(Table1[[#This Row],[Discount %]]/100))</f>
        <v>3233577.62</v>
      </c>
      <c r="Q1087" s="74">
        <f>(Table1[[#This Row],[Gross Amount]]*(1-(Table1[[#This Row],[Discount %]]/100)))/10000000</f>
        <v>0.32335776199999999</v>
      </c>
      <c r="R1087" t="s">
        <v>25</v>
      </c>
      <c r="S1087" t="str" cm="1">
        <f t="array" ref="S1087">IFERROR(_xlfn.IFS(Table1[[#This Row],[Payment Status]]="Partial","In Transit",Table1[[#This Row],[Payment Status]]="Paid","Delivered",Table1[[#This Row],[Payment Status]]="Pending","Pending"),"Invalid Input")</f>
        <v>In Transit</v>
      </c>
      <c r="T1087" t="s">
        <v>27</v>
      </c>
      <c r="U1087" t="str" cm="1">
        <f t="array" ref="U1087">IFERROR(_xlfn.IFS(Table1[[#This Row],[Payment Status]]="Partial","In Transit",Table1[[#This Row],[Payment Status]]="Paid","Completed",Table1[[#This Row],[Payment Status]]="Pending","Pending"),"Invalid Input")</f>
        <v>In Transit</v>
      </c>
    </row>
    <row r="1088" spans="1:21" x14ac:dyDescent="0.25">
      <c r="A1088" s="4" t="s">
        <v>1958</v>
      </c>
      <c r="B1088" s="5">
        <v>45737</v>
      </c>
      <c r="C1088" t="s">
        <v>73</v>
      </c>
      <c r="D1088" t="s">
        <v>3270</v>
      </c>
      <c r="E1088" t="s">
        <v>38</v>
      </c>
      <c r="F1088" t="s">
        <v>3218</v>
      </c>
      <c r="G1088" t="s">
        <v>39</v>
      </c>
      <c r="H1088" t="str">
        <f>VLOOKUP(Table1[[#This Row],[City]],Table6[#All],2,FALSE)</f>
        <v>West</v>
      </c>
      <c r="I1088" t="s">
        <v>24</v>
      </c>
      <c r="J1088" t="str">
        <f>_xlfn.XLOOKUP(Table1[[#This Row],[Tractor Model]],Table7[Product Model],Table7[Product Category],"Not Available",0)</f>
        <v>Farmtrac</v>
      </c>
      <c r="K1088" s="4">
        <v>8</v>
      </c>
      <c r="L1088" s="72">
        <v>721804</v>
      </c>
      <c r="M1088" s="4">
        <f>INDEX('Master Sheet'!$C$4:$C$12,MATCH(Table1[[#This Row],[Quantity]],'Master Sheet'!$B$4:$B$12,0))</f>
        <v>9</v>
      </c>
      <c r="N1088" s="71">
        <f>Table1[[#This Row],[Quantity]]*Table1[[#This Row],[Unit Price]]</f>
        <v>5774432</v>
      </c>
      <c r="O1088" s="73">
        <v>0.57744320000000005</v>
      </c>
      <c r="P1088" s="70">
        <f>Table1[[#This Row],[Gross Amount]]*(1-(Table1[[#This Row],[Discount %]]/100))</f>
        <v>5254733.12</v>
      </c>
      <c r="Q1088" s="74">
        <f>(Table1[[#This Row],[Gross Amount]]*(1-(Table1[[#This Row],[Discount %]]/100)))/10000000</f>
        <v>0.52547331200000003</v>
      </c>
      <c r="R1088" t="s">
        <v>54</v>
      </c>
      <c r="S1088" t="str" cm="1">
        <f t="array" ref="S1088">IFERROR(_xlfn.IFS(Table1[[#This Row],[Payment Status]]="Partial","In Transit",Table1[[#This Row],[Payment Status]]="Paid","Delivered",Table1[[#This Row],[Payment Status]]="Pending","Pending"),"Invalid Input")</f>
        <v>Delivered</v>
      </c>
      <c r="T1088" t="s">
        <v>44</v>
      </c>
      <c r="U1088" t="str" cm="1">
        <f t="array" ref="U1088">IFERROR(_xlfn.IFS(Table1[[#This Row],[Payment Status]]="Partial","In Transit",Table1[[#This Row],[Payment Status]]="Paid","Completed",Table1[[#This Row],[Payment Status]]="Pending","Pending"),"Invalid Input")</f>
        <v>Completed</v>
      </c>
    </row>
    <row r="1089" spans="1:21" x14ac:dyDescent="0.25">
      <c r="A1089" s="4" t="s">
        <v>1960</v>
      </c>
      <c r="B1089" s="5">
        <v>45660</v>
      </c>
      <c r="C1089" t="s">
        <v>62</v>
      </c>
      <c r="D1089" t="s">
        <v>3268</v>
      </c>
      <c r="E1089" t="s">
        <v>38</v>
      </c>
      <c r="F1089" t="s">
        <v>3219</v>
      </c>
      <c r="G1089" t="s">
        <v>39</v>
      </c>
      <c r="H1089" t="str">
        <f>VLOOKUP(Table1[[#This Row],[City]],Table6[#All],2,FALSE)</f>
        <v>West</v>
      </c>
      <c r="I1089" t="s">
        <v>3204</v>
      </c>
      <c r="J1089" t="str">
        <f>_xlfn.XLOOKUP(Table1[[#This Row],[Tractor Model]],Table7[Product Model],Table7[Product Category],"Not Available",0)</f>
        <v>Kubota</v>
      </c>
      <c r="K1089" s="4">
        <v>5</v>
      </c>
      <c r="L1089" s="72">
        <v>889082</v>
      </c>
      <c r="M1089" s="4">
        <f>INDEX('Master Sheet'!$C$4:$C$12,MATCH(Table1[[#This Row],[Quantity]],'Master Sheet'!$B$4:$B$12,0))</f>
        <v>7</v>
      </c>
      <c r="N1089" s="71">
        <f>Table1[[#This Row],[Quantity]]*Table1[[#This Row],[Unit Price]]</f>
        <v>4445410</v>
      </c>
      <c r="O1089" s="73">
        <v>0.44454100000000002</v>
      </c>
      <c r="P1089" s="70">
        <f>Table1[[#This Row],[Gross Amount]]*(1-(Table1[[#This Row],[Discount %]]/100))</f>
        <v>4134231.3</v>
      </c>
      <c r="Q1089" s="74">
        <f>(Table1[[#This Row],[Gross Amount]]*(1-(Table1[[#This Row],[Discount %]]/100)))/10000000</f>
        <v>0.41342312999999997</v>
      </c>
      <c r="R1089" t="s">
        <v>25</v>
      </c>
      <c r="S1089" t="str" cm="1">
        <f t="array" ref="S1089">IFERROR(_xlfn.IFS(Table1[[#This Row],[Payment Status]]="Partial","In Transit",Table1[[#This Row],[Payment Status]]="Paid","Delivered",Table1[[#This Row],[Payment Status]]="Pending","Pending"),"Invalid Input")</f>
        <v>In Transit</v>
      </c>
      <c r="T1089" t="s">
        <v>27</v>
      </c>
      <c r="U1089" t="str" cm="1">
        <f t="array" ref="U1089">IFERROR(_xlfn.IFS(Table1[[#This Row],[Payment Status]]="Partial","In Transit",Table1[[#This Row],[Payment Status]]="Paid","Completed",Table1[[#This Row],[Payment Status]]="Pending","Pending"),"Invalid Input")</f>
        <v>In Transit</v>
      </c>
    </row>
    <row r="1090" spans="1:21" x14ac:dyDescent="0.25">
      <c r="A1090" s="4" t="s">
        <v>1961</v>
      </c>
      <c r="B1090" s="5">
        <v>45704</v>
      </c>
      <c r="C1090" t="s">
        <v>52</v>
      </c>
      <c r="D1090" t="s">
        <v>3270</v>
      </c>
      <c r="E1090" t="s">
        <v>47</v>
      </c>
      <c r="F1090" t="s">
        <v>3205</v>
      </c>
      <c r="G1090" t="s">
        <v>48</v>
      </c>
      <c r="H1090" t="str">
        <f>VLOOKUP(Table1[[#This Row],[City]],Table6[#All],2,FALSE)</f>
        <v>North</v>
      </c>
      <c r="I1090" t="s">
        <v>24</v>
      </c>
      <c r="J1090" t="str">
        <f>_xlfn.XLOOKUP(Table1[[#This Row],[Tractor Model]],Table7[Product Model],Table7[Product Category],"Not Available",0)</f>
        <v>Farmtrac</v>
      </c>
      <c r="K1090" s="4">
        <v>4</v>
      </c>
      <c r="L1090" s="72">
        <v>175361</v>
      </c>
      <c r="M1090" s="4">
        <f>INDEX('Master Sheet'!$C$4:$C$12,MATCH(Table1[[#This Row],[Quantity]],'Master Sheet'!$B$4:$B$12,0))</f>
        <v>6</v>
      </c>
      <c r="N1090" s="71">
        <f>Table1[[#This Row],[Quantity]]*Table1[[#This Row],[Unit Price]]</f>
        <v>701444</v>
      </c>
      <c r="O1090" s="73">
        <v>7.0144399999999996E-2</v>
      </c>
      <c r="P1090" s="70">
        <f>Table1[[#This Row],[Gross Amount]]*(1-(Table1[[#This Row],[Discount %]]/100))</f>
        <v>659357.36</v>
      </c>
      <c r="Q1090" s="74">
        <f>(Table1[[#This Row],[Gross Amount]]*(1-(Table1[[#This Row],[Discount %]]/100)))/10000000</f>
        <v>6.5935735999999995E-2</v>
      </c>
      <c r="R1090" t="s">
        <v>25</v>
      </c>
      <c r="S1090" t="str" cm="1">
        <f t="array" ref="S1090">IFERROR(_xlfn.IFS(Table1[[#This Row],[Payment Status]]="Partial","In Transit",Table1[[#This Row],[Payment Status]]="Paid","Delivered",Table1[[#This Row],[Payment Status]]="Pending","Pending"),"Invalid Input")</f>
        <v>In Transit</v>
      </c>
      <c r="T1090" t="s">
        <v>44</v>
      </c>
      <c r="U1090" t="str" cm="1">
        <f t="array" ref="U1090">IFERROR(_xlfn.IFS(Table1[[#This Row],[Payment Status]]="Partial","In Transit",Table1[[#This Row],[Payment Status]]="Paid","Completed",Table1[[#This Row],[Payment Status]]="Pending","Pending"),"Invalid Input")</f>
        <v>In Transit</v>
      </c>
    </row>
    <row r="1091" spans="1:21" x14ac:dyDescent="0.25">
      <c r="A1091" s="4" t="s">
        <v>1962</v>
      </c>
      <c r="B1091" s="5">
        <v>45323</v>
      </c>
      <c r="C1091" t="s">
        <v>33</v>
      </c>
      <c r="D1091" t="s">
        <v>3270</v>
      </c>
      <c r="E1091" t="s">
        <v>119</v>
      </c>
      <c r="F1091" t="s">
        <v>3212</v>
      </c>
      <c r="G1091" t="s">
        <v>21</v>
      </c>
      <c r="H1091" t="str">
        <f>VLOOKUP(Table1[[#This Row],[City]],Table6[#All],2,FALSE)</f>
        <v>North</v>
      </c>
      <c r="I1091" t="s">
        <v>3204</v>
      </c>
      <c r="J1091" t="str">
        <f>_xlfn.XLOOKUP(Table1[[#This Row],[Tractor Model]],Table7[Product Model],Table7[Product Category],"Not Available",0)</f>
        <v>Kubota</v>
      </c>
      <c r="K1091" s="4">
        <v>3</v>
      </c>
      <c r="L1091" s="72">
        <v>807597</v>
      </c>
      <c r="M1091" s="4">
        <f>INDEX('Master Sheet'!$C$4:$C$12,MATCH(Table1[[#This Row],[Quantity]],'Master Sheet'!$B$4:$B$12,0))</f>
        <v>6</v>
      </c>
      <c r="N1091" s="71">
        <f>Table1[[#This Row],[Quantity]]*Table1[[#This Row],[Unit Price]]</f>
        <v>2422791</v>
      </c>
      <c r="O1091" s="73">
        <v>0.2422791</v>
      </c>
      <c r="P1091" s="70">
        <f>Table1[[#This Row],[Gross Amount]]*(1-(Table1[[#This Row],[Discount %]]/100))</f>
        <v>2277423.54</v>
      </c>
      <c r="Q1091" s="74">
        <f>(Table1[[#This Row],[Gross Amount]]*(1-(Table1[[#This Row],[Discount %]]/100)))/10000000</f>
        <v>0.22774235400000001</v>
      </c>
      <c r="R1091" t="s">
        <v>54</v>
      </c>
      <c r="S1091" t="str" cm="1">
        <f t="array" ref="S1091">IFERROR(_xlfn.IFS(Table1[[#This Row],[Payment Status]]="Partial","In Transit",Table1[[#This Row],[Payment Status]]="Paid","Delivered",Table1[[#This Row],[Payment Status]]="Pending","Pending"),"Invalid Input")</f>
        <v>Delivered</v>
      </c>
      <c r="T1091" t="s">
        <v>44</v>
      </c>
      <c r="U1091" t="str" cm="1">
        <f t="array" ref="U1091">IFERROR(_xlfn.IFS(Table1[[#This Row],[Payment Status]]="Partial","In Transit",Table1[[#This Row],[Payment Status]]="Paid","Completed",Table1[[#This Row],[Payment Status]]="Pending","Pending"),"Invalid Input")</f>
        <v>Completed</v>
      </c>
    </row>
    <row r="1092" spans="1:21" x14ac:dyDescent="0.25">
      <c r="A1092" s="4" t="s">
        <v>1963</v>
      </c>
      <c r="B1092" s="5">
        <v>45726</v>
      </c>
      <c r="C1092" t="s">
        <v>41</v>
      </c>
      <c r="D1092" t="s">
        <v>37</v>
      </c>
      <c r="E1092" t="s">
        <v>30</v>
      </c>
      <c r="F1092" t="s">
        <v>3222</v>
      </c>
      <c r="G1092" t="s">
        <v>31</v>
      </c>
      <c r="H1092" t="str">
        <f>VLOOKUP(Table1[[#This Row],[City]],Table6[#All],2,FALSE)</f>
        <v>South</v>
      </c>
      <c r="I1092" t="s">
        <v>3204</v>
      </c>
      <c r="J1092" t="str">
        <f>_xlfn.XLOOKUP(Table1[[#This Row],[Tractor Model]],Table7[Product Model],Table7[Product Category],"Not Available",0)</f>
        <v>Kubota</v>
      </c>
      <c r="K1092" s="4">
        <v>2</v>
      </c>
      <c r="L1092" s="72">
        <v>441204</v>
      </c>
      <c r="M1092" s="4">
        <f>INDEX('Master Sheet'!$C$4:$C$12,MATCH(Table1[[#This Row],[Quantity]],'Master Sheet'!$B$4:$B$12,0))</f>
        <v>5</v>
      </c>
      <c r="N1092" s="71">
        <f>Table1[[#This Row],[Quantity]]*Table1[[#This Row],[Unit Price]]</f>
        <v>882408</v>
      </c>
      <c r="O1092" s="73">
        <v>8.8240799999999994E-2</v>
      </c>
      <c r="P1092" s="70">
        <f>Table1[[#This Row],[Gross Amount]]*(1-(Table1[[#This Row],[Discount %]]/100))</f>
        <v>838287.6</v>
      </c>
      <c r="Q1092" s="74">
        <f>(Table1[[#This Row],[Gross Amount]]*(1-(Table1[[#This Row],[Discount %]]/100)))/10000000</f>
        <v>8.3828760000000002E-2</v>
      </c>
      <c r="R1092" t="s">
        <v>42</v>
      </c>
      <c r="S1092" t="str" cm="1">
        <f t="array" ref="S1092">IFERROR(_xlfn.IFS(Table1[[#This Row],[Payment Status]]="Partial","In Transit",Table1[[#This Row],[Payment Status]]="Paid","Delivered",Table1[[#This Row],[Payment Status]]="Pending","Pending"),"Invalid Input")</f>
        <v>Pending</v>
      </c>
      <c r="T1092" t="s">
        <v>27</v>
      </c>
      <c r="U1092" t="str" cm="1">
        <f t="array" ref="U1092">IFERROR(_xlfn.IFS(Table1[[#This Row],[Payment Status]]="Partial","In Transit",Table1[[#This Row],[Payment Status]]="Paid","Completed",Table1[[#This Row],[Payment Status]]="Pending","Pending"),"Invalid Input")</f>
        <v>Pending</v>
      </c>
    </row>
    <row r="1093" spans="1:21" x14ac:dyDescent="0.25">
      <c r="A1093" s="4" t="s">
        <v>1964</v>
      </c>
      <c r="B1093" s="5">
        <v>45513</v>
      </c>
      <c r="C1093" t="s">
        <v>33</v>
      </c>
      <c r="D1093" t="s">
        <v>37</v>
      </c>
      <c r="E1093" t="s">
        <v>30</v>
      </c>
      <c r="F1093" t="s">
        <v>3222</v>
      </c>
      <c r="G1093" t="s">
        <v>31</v>
      </c>
      <c r="H1093" t="str">
        <f>VLOOKUP(Table1[[#This Row],[City]],Table6[#All],2,FALSE)</f>
        <v>South</v>
      </c>
      <c r="I1093" t="s">
        <v>58</v>
      </c>
      <c r="J1093" t="str">
        <f>_xlfn.XLOOKUP(Table1[[#This Row],[Tractor Model]],Table7[Product Model],Table7[Product Category],"Not Available",0)</f>
        <v>Powertrac</v>
      </c>
      <c r="K1093" s="4">
        <v>1</v>
      </c>
      <c r="L1093" s="72">
        <v>229436</v>
      </c>
      <c r="M1093" s="4">
        <f>INDEX('Master Sheet'!$C$4:$C$12,MATCH(Table1[[#This Row],[Quantity]],'Master Sheet'!$B$4:$B$12,0))</f>
        <v>3</v>
      </c>
      <c r="N1093" s="71">
        <f>Table1[[#This Row],[Quantity]]*Table1[[#This Row],[Unit Price]]</f>
        <v>229436</v>
      </c>
      <c r="O1093" s="73">
        <v>2.2943600000000001E-2</v>
      </c>
      <c r="P1093" s="70">
        <f>Table1[[#This Row],[Gross Amount]]*(1-(Table1[[#This Row],[Discount %]]/100))</f>
        <v>222552.91999999998</v>
      </c>
      <c r="Q1093" s="74">
        <f>(Table1[[#This Row],[Gross Amount]]*(1-(Table1[[#This Row],[Discount %]]/100)))/10000000</f>
        <v>2.2255291999999999E-2</v>
      </c>
      <c r="R1093" t="s">
        <v>25</v>
      </c>
      <c r="S1093" t="str" cm="1">
        <f t="array" ref="S1093">IFERROR(_xlfn.IFS(Table1[[#This Row],[Payment Status]]="Partial","In Transit",Table1[[#This Row],[Payment Status]]="Paid","Delivered",Table1[[#This Row],[Payment Status]]="Pending","Pending"),"Invalid Input")</f>
        <v>In Transit</v>
      </c>
      <c r="T1093" t="s">
        <v>44</v>
      </c>
      <c r="U1093" t="str" cm="1">
        <f t="array" ref="U1093">IFERROR(_xlfn.IFS(Table1[[#This Row],[Payment Status]]="Partial","In Transit",Table1[[#This Row],[Payment Status]]="Paid","Completed",Table1[[#This Row],[Payment Status]]="Pending","Pending"),"Invalid Input")</f>
        <v>In Transit</v>
      </c>
    </row>
    <row r="1094" spans="1:21" x14ac:dyDescent="0.25">
      <c r="A1094" s="4" t="s">
        <v>1965</v>
      </c>
      <c r="B1094" s="5">
        <v>45499</v>
      </c>
      <c r="C1094" t="s">
        <v>73</v>
      </c>
      <c r="D1094" t="s">
        <v>3270</v>
      </c>
      <c r="E1094" t="s">
        <v>47</v>
      </c>
      <c r="F1094" t="s">
        <v>3205</v>
      </c>
      <c r="G1094" t="s">
        <v>48</v>
      </c>
      <c r="H1094" t="str">
        <f>VLOOKUP(Table1[[#This Row],[City]],Table6[#All],2,FALSE)</f>
        <v>North</v>
      </c>
      <c r="I1094" t="s">
        <v>58</v>
      </c>
      <c r="J1094" t="str">
        <f>_xlfn.XLOOKUP(Table1[[#This Row],[Tractor Model]],Table7[Product Model],Table7[Product Category],"Not Available",0)</f>
        <v>Powertrac</v>
      </c>
      <c r="K1094" s="4">
        <v>6</v>
      </c>
      <c r="L1094" s="72">
        <v>456364</v>
      </c>
      <c r="M1094" s="4">
        <f>INDEX('Master Sheet'!$C$4:$C$12,MATCH(Table1[[#This Row],[Quantity]],'Master Sheet'!$B$4:$B$12,0))</f>
        <v>8</v>
      </c>
      <c r="N1094" s="71">
        <f>Table1[[#This Row],[Quantity]]*Table1[[#This Row],[Unit Price]]</f>
        <v>2738184</v>
      </c>
      <c r="O1094" s="73">
        <v>0.27381840000000002</v>
      </c>
      <c r="P1094" s="70">
        <f>Table1[[#This Row],[Gross Amount]]*(1-(Table1[[#This Row],[Discount %]]/100))</f>
        <v>2519129.2800000003</v>
      </c>
      <c r="Q1094" s="74">
        <f>(Table1[[#This Row],[Gross Amount]]*(1-(Table1[[#This Row],[Discount %]]/100)))/10000000</f>
        <v>0.25191292800000004</v>
      </c>
      <c r="R1094" t="s">
        <v>42</v>
      </c>
      <c r="S1094" t="str" cm="1">
        <f t="array" ref="S1094">IFERROR(_xlfn.IFS(Table1[[#This Row],[Payment Status]]="Partial","In Transit",Table1[[#This Row],[Payment Status]]="Paid","Delivered",Table1[[#This Row],[Payment Status]]="Pending","Pending"),"Invalid Input")</f>
        <v>Pending</v>
      </c>
      <c r="T1094" t="s">
        <v>27</v>
      </c>
      <c r="U1094" t="str" cm="1">
        <f t="array" ref="U1094">IFERROR(_xlfn.IFS(Table1[[#This Row],[Payment Status]]="Partial","In Transit",Table1[[#This Row],[Payment Status]]="Paid","Completed",Table1[[#This Row],[Payment Status]]="Pending","Pending"),"Invalid Input")</f>
        <v>Pending</v>
      </c>
    </row>
    <row r="1095" spans="1:21" x14ac:dyDescent="0.25">
      <c r="A1095" s="4" t="s">
        <v>1967</v>
      </c>
      <c r="B1095" s="5">
        <v>45493</v>
      </c>
      <c r="C1095" t="s">
        <v>62</v>
      </c>
      <c r="D1095" t="s">
        <v>3269</v>
      </c>
      <c r="E1095" t="s">
        <v>119</v>
      </c>
      <c r="F1095" t="s">
        <v>3229</v>
      </c>
      <c r="G1095" t="s">
        <v>21</v>
      </c>
      <c r="H1095" t="str">
        <f>VLOOKUP(Table1[[#This Row],[City]],Table6[#All],2,FALSE)</f>
        <v>North</v>
      </c>
      <c r="I1095" t="s">
        <v>3204</v>
      </c>
      <c r="J1095" t="str">
        <f>_xlfn.XLOOKUP(Table1[[#This Row],[Tractor Model]],Table7[Product Model],Table7[Product Category],"Not Available",0)</f>
        <v>Kubota</v>
      </c>
      <c r="K1095" s="4">
        <v>2</v>
      </c>
      <c r="L1095" s="72">
        <v>342863</v>
      </c>
      <c r="M1095" s="4">
        <f>INDEX('Master Sheet'!$C$4:$C$12,MATCH(Table1[[#This Row],[Quantity]],'Master Sheet'!$B$4:$B$12,0))</f>
        <v>5</v>
      </c>
      <c r="N1095" s="71">
        <f>Table1[[#This Row],[Quantity]]*Table1[[#This Row],[Unit Price]]</f>
        <v>685726</v>
      </c>
      <c r="O1095" s="73">
        <v>6.8572599999999997E-2</v>
      </c>
      <c r="P1095" s="70">
        <f>Table1[[#This Row],[Gross Amount]]*(1-(Table1[[#This Row],[Discount %]]/100))</f>
        <v>651439.69999999995</v>
      </c>
      <c r="Q1095" s="74">
        <f>(Table1[[#This Row],[Gross Amount]]*(1-(Table1[[#This Row],[Discount %]]/100)))/10000000</f>
        <v>6.5143969999999995E-2</v>
      </c>
      <c r="R1095" t="s">
        <v>54</v>
      </c>
      <c r="S1095" t="str" cm="1">
        <f t="array" ref="S1095">IFERROR(_xlfn.IFS(Table1[[#This Row],[Payment Status]]="Partial","In Transit",Table1[[#This Row],[Payment Status]]="Paid","Delivered",Table1[[#This Row],[Payment Status]]="Pending","Pending"),"Invalid Input")</f>
        <v>Delivered</v>
      </c>
      <c r="T1095" t="s">
        <v>27</v>
      </c>
      <c r="U1095" t="str" cm="1">
        <f t="array" ref="U1095">IFERROR(_xlfn.IFS(Table1[[#This Row],[Payment Status]]="Partial","In Transit",Table1[[#This Row],[Payment Status]]="Paid","Completed",Table1[[#This Row],[Payment Status]]="Pending","Pending"),"Invalid Input")</f>
        <v>Completed</v>
      </c>
    </row>
    <row r="1096" spans="1:21" x14ac:dyDescent="0.25">
      <c r="A1096" s="4" t="s">
        <v>1968</v>
      </c>
      <c r="B1096" s="5">
        <v>45421</v>
      </c>
      <c r="C1096" t="s">
        <v>41</v>
      </c>
      <c r="D1096" t="s">
        <v>37</v>
      </c>
      <c r="E1096" t="s">
        <v>119</v>
      </c>
      <c r="F1096" t="s">
        <v>3224</v>
      </c>
      <c r="G1096" t="s">
        <v>21</v>
      </c>
      <c r="H1096" t="str">
        <f>VLOOKUP(Table1[[#This Row],[City]],Table6[#All],2,FALSE)</f>
        <v>North</v>
      </c>
      <c r="I1096" t="s">
        <v>3203</v>
      </c>
      <c r="J1096" t="str">
        <f>_xlfn.XLOOKUP(Table1[[#This Row],[Tractor Model]],Table7[Product Model],Table7[Product Category],"Not Available",0)</f>
        <v>Kubota</v>
      </c>
      <c r="K1096" s="4">
        <v>8</v>
      </c>
      <c r="L1096" s="72">
        <v>435177</v>
      </c>
      <c r="M1096" s="4">
        <f>INDEX('Master Sheet'!$C$4:$C$12,MATCH(Table1[[#This Row],[Quantity]],'Master Sheet'!$B$4:$B$12,0))</f>
        <v>9</v>
      </c>
      <c r="N1096" s="71">
        <f>Table1[[#This Row],[Quantity]]*Table1[[#This Row],[Unit Price]]</f>
        <v>3481416</v>
      </c>
      <c r="O1096" s="73">
        <v>0.3481416</v>
      </c>
      <c r="P1096" s="70">
        <f>Table1[[#This Row],[Gross Amount]]*(1-(Table1[[#This Row],[Discount %]]/100))</f>
        <v>3168088.56</v>
      </c>
      <c r="Q1096" s="74">
        <f>(Table1[[#This Row],[Gross Amount]]*(1-(Table1[[#This Row],[Discount %]]/100)))/10000000</f>
        <v>0.31680885600000003</v>
      </c>
      <c r="R1096" t="s">
        <v>42</v>
      </c>
      <c r="S1096" t="str" cm="1">
        <f t="array" ref="S1096">IFERROR(_xlfn.IFS(Table1[[#This Row],[Payment Status]]="Partial","In Transit",Table1[[#This Row],[Payment Status]]="Paid","Delivered",Table1[[#This Row],[Payment Status]]="Pending","Pending"),"Invalid Input")</f>
        <v>Pending</v>
      </c>
      <c r="T1096" t="s">
        <v>27</v>
      </c>
      <c r="U1096" t="str" cm="1">
        <f t="array" ref="U1096">IFERROR(_xlfn.IFS(Table1[[#This Row],[Payment Status]]="Partial","In Transit",Table1[[#This Row],[Payment Status]]="Paid","Completed",Table1[[#This Row],[Payment Status]]="Pending","Pending"),"Invalid Input")</f>
        <v>Pending</v>
      </c>
    </row>
    <row r="1097" spans="1:21" x14ac:dyDescent="0.25">
      <c r="A1097" s="4" t="s">
        <v>1970</v>
      </c>
      <c r="B1097" s="5">
        <v>45487</v>
      </c>
      <c r="C1097" t="s">
        <v>41</v>
      </c>
      <c r="D1097" t="s">
        <v>3268</v>
      </c>
      <c r="E1097" t="s">
        <v>119</v>
      </c>
      <c r="F1097" t="s">
        <v>3227</v>
      </c>
      <c r="G1097" t="s">
        <v>21</v>
      </c>
      <c r="H1097" t="str">
        <f>VLOOKUP(Table1[[#This Row],[City]],Table6[#All],2,FALSE)</f>
        <v>North</v>
      </c>
      <c r="I1097" t="s">
        <v>3203</v>
      </c>
      <c r="J1097" t="str">
        <f>_xlfn.XLOOKUP(Table1[[#This Row],[Tractor Model]],Table7[Product Model],Table7[Product Category],"Not Available",0)</f>
        <v>Kubota</v>
      </c>
      <c r="K1097" s="4">
        <v>2</v>
      </c>
      <c r="L1097" s="72">
        <v>133252</v>
      </c>
      <c r="M1097" s="4">
        <f>INDEX('Master Sheet'!$C$4:$C$12,MATCH(Table1[[#This Row],[Quantity]],'Master Sheet'!$B$4:$B$12,0))</f>
        <v>5</v>
      </c>
      <c r="N1097" s="71">
        <f>Table1[[#This Row],[Quantity]]*Table1[[#This Row],[Unit Price]]</f>
        <v>266504</v>
      </c>
      <c r="O1097" s="73">
        <v>2.6650400000000001E-2</v>
      </c>
      <c r="P1097" s="70">
        <f>Table1[[#This Row],[Gross Amount]]*(1-(Table1[[#This Row],[Discount %]]/100))</f>
        <v>253178.8</v>
      </c>
      <c r="Q1097" s="74">
        <f>(Table1[[#This Row],[Gross Amount]]*(1-(Table1[[#This Row],[Discount %]]/100)))/10000000</f>
        <v>2.5317879999999997E-2</v>
      </c>
      <c r="R1097" t="s">
        <v>54</v>
      </c>
      <c r="S1097" t="str" cm="1">
        <f t="array" ref="S1097">IFERROR(_xlfn.IFS(Table1[[#This Row],[Payment Status]]="Partial","In Transit",Table1[[#This Row],[Payment Status]]="Paid","Delivered",Table1[[#This Row],[Payment Status]]="Pending","Pending"),"Invalid Input")</f>
        <v>Delivered</v>
      </c>
      <c r="T1097" t="s">
        <v>27</v>
      </c>
      <c r="U1097" t="str" cm="1">
        <f t="array" ref="U1097">IFERROR(_xlfn.IFS(Table1[[#This Row],[Payment Status]]="Partial","In Transit",Table1[[#This Row],[Payment Status]]="Paid","Completed",Table1[[#This Row],[Payment Status]]="Pending","Pending"),"Invalid Input")</f>
        <v>Completed</v>
      </c>
    </row>
    <row r="1098" spans="1:21" x14ac:dyDescent="0.25">
      <c r="A1098" s="4" t="s">
        <v>1971</v>
      </c>
      <c r="B1098" s="5">
        <v>45445</v>
      </c>
      <c r="C1098" t="s">
        <v>33</v>
      </c>
      <c r="D1098" t="s">
        <v>3270</v>
      </c>
      <c r="E1098" t="s">
        <v>66</v>
      </c>
      <c r="F1098" t="s">
        <v>3220</v>
      </c>
      <c r="G1098" t="s">
        <v>67</v>
      </c>
      <c r="H1098" t="str">
        <f>VLOOKUP(Table1[[#This Row],[City]],Table6[#All],2,FALSE)</f>
        <v>East</v>
      </c>
      <c r="I1098" t="s">
        <v>24</v>
      </c>
      <c r="J1098" t="str">
        <f>_xlfn.XLOOKUP(Table1[[#This Row],[Tractor Model]],Table7[Product Model],Table7[Product Category],"Not Available",0)</f>
        <v>Farmtrac</v>
      </c>
      <c r="K1098" s="4">
        <v>8</v>
      </c>
      <c r="L1098" s="72">
        <v>517184</v>
      </c>
      <c r="M1098" s="4">
        <f>INDEX('Master Sheet'!$C$4:$C$12,MATCH(Table1[[#This Row],[Quantity]],'Master Sheet'!$B$4:$B$12,0))</f>
        <v>9</v>
      </c>
      <c r="N1098" s="71">
        <f>Table1[[#This Row],[Quantity]]*Table1[[#This Row],[Unit Price]]</f>
        <v>4137472</v>
      </c>
      <c r="O1098" s="73">
        <v>0.41374719999999998</v>
      </c>
      <c r="P1098" s="70">
        <f>Table1[[#This Row],[Gross Amount]]*(1-(Table1[[#This Row],[Discount %]]/100))</f>
        <v>3765099.52</v>
      </c>
      <c r="Q1098" s="74">
        <f>(Table1[[#This Row],[Gross Amount]]*(1-(Table1[[#This Row],[Discount %]]/100)))/10000000</f>
        <v>0.37650995199999998</v>
      </c>
      <c r="R1098" t="s">
        <v>54</v>
      </c>
      <c r="S1098" t="str" cm="1">
        <f t="array" ref="S1098">IFERROR(_xlfn.IFS(Table1[[#This Row],[Payment Status]]="Partial","In Transit",Table1[[#This Row],[Payment Status]]="Paid","Delivered",Table1[[#This Row],[Payment Status]]="Pending","Pending"),"Invalid Input")</f>
        <v>Delivered</v>
      </c>
      <c r="T1098" t="s">
        <v>27</v>
      </c>
      <c r="U1098" t="str" cm="1">
        <f t="array" ref="U1098">IFERROR(_xlfn.IFS(Table1[[#This Row],[Payment Status]]="Partial","In Transit",Table1[[#This Row],[Payment Status]]="Paid","Completed",Table1[[#This Row],[Payment Status]]="Pending","Pending"),"Invalid Input")</f>
        <v>Completed</v>
      </c>
    </row>
    <row r="1099" spans="1:21" x14ac:dyDescent="0.25">
      <c r="A1099" s="4" t="s">
        <v>1972</v>
      </c>
      <c r="B1099" s="5">
        <v>45636</v>
      </c>
      <c r="C1099" t="s">
        <v>41</v>
      </c>
      <c r="D1099" t="s">
        <v>3268</v>
      </c>
      <c r="E1099" t="s">
        <v>30</v>
      </c>
      <c r="F1099" t="s">
        <v>3208</v>
      </c>
      <c r="G1099" t="s">
        <v>31</v>
      </c>
      <c r="H1099" t="str">
        <f>VLOOKUP(Table1[[#This Row],[City]],Table6[#All],2,FALSE)</f>
        <v>South</v>
      </c>
      <c r="I1099" t="s">
        <v>58</v>
      </c>
      <c r="J1099" t="str">
        <f>_xlfn.XLOOKUP(Table1[[#This Row],[Tractor Model]],Table7[Product Model],Table7[Product Category],"Not Available",0)</f>
        <v>Powertrac</v>
      </c>
      <c r="K1099" s="4">
        <v>2</v>
      </c>
      <c r="L1099" s="72">
        <v>478279</v>
      </c>
      <c r="M1099" s="4">
        <f>INDEX('Master Sheet'!$C$4:$C$12,MATCH(Table1[[#This Row],[Quantity]],'Master Sheet'!$B$4:$B$12,0))</f>
        <v>5</v>
      </c>
      <c r="N1099" s="71">
        <f>Table1[[#This Row],[Quantity]]*Table1[[#This Row],[Unit Price]]</f>
        <v>956558</v>
      </c>
      <c r="O1099" s="73">
        <v>9.5655799999999999E-2</v>
      </c>
      <c r="P1099" s="70">
        <f>Table1[[#This Row],[Gross Amount]]*(1-(Table1[[#This Row],[Discount %]]/100))</f>
        <v>908730.1</v>
      </c>
      <c r="Q1099" s="74">
        <f>(Table1[[#This Row],[Gross Amount]]*(1-(Table1[[#This Row],[Discount %]]/100)))/10000000</f>
        <v>9.0873010000000004E-2</v>
      </c>
      <c r="R1099" t="s">
        <v>25</v>
      </c>
      <c r="S1099" t="str" cm="1">
        <f t="array" ref="S1099">IFERROR(_xlfn.IFS(Table1[[#This Row],[Payment Status]]="Partial","In Transit",Table1[[#This Row],[Payment Status]]="Paid","Delivered",Table1[[#This Row],[Payment Status]]="Pending","Pending"),"Invalid Input")</f>
        <v>In Transit</v>
      </c>
      <c r="T1099" t="s">
        <v>27</v>
      </c>
      <c r="U1099" t="str" cm="1">
        <f t="array" ref="U1099">IFERROR(_xlfn.IFS(Table1[[#This Row],[Payment Status]]="Partial","In Transit",Table1[[#This Row],[Payment Status]]="Paid","Completed",Table1[[#This Row],[Payment Status]]="Pending","Pending"),"Invalid Input")</f>
        <v>In Transit</v>
      </c>
    </row>
    <row r="1100" spans="1:21" x14ac:dyDescent="0.25">
      <c r="A1100" s="4" t="s">
        <v>1973</v>
      </c>
      <c r="B1100" s="5">
        <v>45468</v>
      </c>
      <c r="C1100" t="s">
        <v>62</v>
      </c>
      <c r="D1100" t="s">
        <v>3268</v>
      </c>
      <c r="E1100" t="s">
        <v>119</v>
      </c>
      <c r="F1100" t="s">
        <v>3227</v>
      </c>
      <c r="G1100" t="s">
        <v>21</v>
      </c>
      <c r="H1100" t="str">
        <f>VLOOKUP(Table1[[#This Row],[City]],Table6[#All],2,FALSE)</f>
        <v>North</v>
      </c>
      <c r="I1100" t="s">
        <v>53</v>
      </c>
      <c r="J1100" t="str">
        <f>_xlfn.XLOOKUP(Table1[[#This Row],[Tractor Model]],Table7[Product Model],Table7[Product Category],"Not Available",0)</f>
        <v>Farmtrac</v>
      </c>
      <c r="K1100" s="4">
        <v>6</v>
      </c>
      <c r="L1100" s="72">
        <v>742151</v>
      </c>
      <c r="M1100" s="4">
        <f>INDEX('Master Sheet'!$C$4:$C$12,MATCH(Table1[[#This Row],[Quantity]],'Master Sheet'!$B$4:$B$12,0))</f>
        <v>8</v>
      </c>
      <c r="N1100" s="71">
        <f>Table1[[#This Row],[Quantity]]*Table1[[#This Row],[Unit Price]]</f>
        <v>4452906</v>
      </c>
      <c r="O1100" s="73">
        <v>0.44529059999999998</v>
      </c>
      <c r="P1100" s="70">
        <f>Table1[[#This Row],[Gross Amount]]*(1-(Table1[[#This Row],[Discount %]]/100))</f>
        <v>4096673.52</v>
      </c>
      <c r="Q1100" s="74">
        <f>(Table1[[#This Row],[Gross Amount]]*(1-(Table1[[#This Row],[Discount %]]/100)))/10000000</f>
        <v>0.40966735199999998</v>
      </c>
      <c r="R1100" t="s">
        <v>54</v>
      </c>
      <c r="S1100" t="str" cm="1">
        <f t="array" ref="S1100">IFERROR(_xlfn.IFS(Table1[[#This Row],[Payment Status]]="Partial","In Transit",Table1[[#This Row],[Payment Status]]="Paid","Delivered",Table1[[#This Row],[Payment Status]]="Pending","Pending"),"Invalid Input")</f>
        <v>Delivered</v>
      </c>
      <c r="T1100" t="s">
        <v>44</v>
      </c>
      <c r="U1100" t="str" cm="1">
        <f t="array" ref="U1100">IFERROR(_xlfn.IFS(Table1[[#This Row],[Payment Status]]="Partial","In Transit",Table1[[#This Row],[Payment Status]]="Paid","Completed",Table1[[#This Row],[Payment Status]]="Pending","Pending"),"Invalid Input")</f>
        <v>Completed</v>
      </c>
    </row>
    <row r="1101" spans="1:21" x14ac:dyDescent="0.25">
      <c r="A1101" s="4" t="s">
        <v>1975</v>
      </c>
      <c r="B1101" s="5">
        <v>45375</v>
      </c>
      <c r="C1101" t="s">
        <v>62</v>
      </c>
      <c r="D1101" t="s">
        <v>3268</v>
      </c>
      <c r="E1101" t="s">
        <v>66</v>
      </c>
      <c r="F1101" t="s">
        <v>3211</v>
      </c>
      <c r="G1101" t="s">
        <v>67</v>
      </c>
      <c r="H1101" t="str">
        <f>VLOOKUP(Table1[[#This Row],[City]],Table6[#All],2,FALSE)</f>
        <v>East</v>
      </c>
      <c r="I1101" t="s">
        <v>58</v>
      </c>
      <c r="J1101" t="str">
        <f>_xlfn.XLOOKUP(Table1[[#This Row],[Tractor Model]],Table7[Product Model],Table7[Product Category],"Not Available",0)</f>
        <v>Powertrac</v>
      </c>
      <c r="K1101" s="4">
        <v>6</v>
      </c>
      <c r="L1101" s="72">
        <v>404359</v>
      </c>
      <c r="M1101" s="4">
        <f>INDEX('Master Sheet'!$C$4:$C$12,MATCH(Table1[[#This Row],[Quantity]],'Master Sheet'!$B$4:$B$12,0))</f>
        <v>8</v>
      </c>
      <c r="N1101" s="71">
        <f>Table1[[#This Row],[Quantity]]*Table1[[#This Row],[Unit Price]]</f>
        <v>2426154</v>
      </c>
      <c r="O1101" s="73">
        <v>0.24261540000000001</v>
      </c>
      <c r="P1101" s="70">
        <f>Table1[[#This Row],[Gross Amount]]*(1-(Table1[[#This Row],[Discount %]]/100))</f>
        <v>2232061.6800000002</v>
      </c>
      <c r="Q1101" s="74">
        <f>(Table1[[#This Row],[Gross Amount]]*(1-(Table1[[#This Row],[Discount %]]/100)))/10000000</f>
        <v>0.22320616800000001</v>
      </c>
      <c r="R1101" t="s">
        <v>54</v>
      </c>
      <c r="S1101" t="str" cm="1">
        <f t="array" ref="S1101">IFERROR(_xlfn.IFS(Table1[[#This Row],[Payment Status]]="Partial","In Transit",Table1[[#This Row],[Payment Status]]="Paid","Delivered",Table1[[#This Row],[Payment Status]]="Pending","Pending"),"Invalid Input")</f>
        <v>Delivered</v>
      </c>
      <c r="T1101" t="s">
        <v>27</v>
      </c>
      <c r="U1101" t="str" cm="1">
        <f t="array" ref="U1101">IFERROR(_xlfn.IFS(Table1[[#This Row],[Payment Status]]="Partial","In Transit",Table1[[#This Row],[Payment Status]]="Paid","Completed",Table1[[#This Row],[Payment Status]]="Pending","Pending"),"Invalid Input")</f>
        <v>Completed</v>
      </c>
    </row>
    <row r="1102" spans="1:21" x14ac:dyDescent="0.25">
      <c r="A1102" s="4" t="s">
        <v>1977</v>
      </c>
      <c r="B1102" s="5">
        <v>45661</v>
      </c>
      <c r="C1102" t="s">
        <v>41</v>
      </c>
      <c r="D1102" t="s">
        <v>37</v>
      </c>
      <c r="E1102" t="s">
        <v>47</v>
      </c>
      <c r="F1102" t="s">
        <v>3215</v>
      </c>
      <c r="G1102" t="s">
        <v>48</v>
      </c>
      <c r="H1102" t="str">
        <f>VLOOKUP(Table1[[#This Row],[City]],Table6[#All],2,FALSE)</f>
        <v>North</v>
      </c>
      <c r="I1102" t="s">
        <v>24</v>
      </c>
      <c r="J1102" t="str">
        <f>_xlfn.XLOOKUP(Table1[[#This Row],[Tractor Model]],Table7[Product Model],Table7[Product Category],"Not Available",0)</f>
        <v>Farmtrac</v>
      </c>
      <c r="K1102" s="4">
        <v>1</v>
      </c>
      <c r="L1102" s="72">
        <v>126286</v>
      </c>
      <c r="M1102" s="4">
        <f>INDEX('Master Sheet'!$C$4:$C$12,MATCH(Table1[[#This Row],[Quantity]],'Master Sheet'!$B$4:$B$12,0))</f>
        <v>3</v>
      </c>
      <c r="N1102" s="71">
        <f>Table1[[#This Row],[Quantity]]*Table1[[#This Row],[Unit Price]]</f>
        <v>126286</v>
      </c>
      <c r="O1102" s="73">
        <v>1.26286E-2</v>
      </c>
      <c r="P1102" s="70">
        <f>Table1[[#This Row],[Gross Amount]]*(1-(Table1[[#This Row],[Discount %]]/100))</f>
        <v>122497.42</v>
      </c>
      <c r="Q1102" s="74">
        <f>(Table1[[#This Row],[Gross Amount]]*(1-(Table1[[#This Row],[Discount %]]/100)))/10000000</f>
        <v>1.2249741999999999E-2</v>
      </c>
      <c r="R1102" t="s">
        <v>25</v>
      </c>
      <c r="S1102" t="str" cm="1">
        <f t="array" ref="S1102">IFERROR(_xlfn.IFS(Table1[[#This Row],[Payment Status]]="Partial","In Transit",Table1[[#This Row],[Payment Status]]="Paid","Delivered",Table1[[#This Row],[Payment Status]]="Pending","Pending"),"Invalid Input")</f>
        <v>In Transit</v>
      </c>
      <c r="T1102" t="s">
        <v>44</v>
      </c>
      <c r="U1102" t="str" cm="1">
        <f t="array" ref="U1102">IFERROR(_xlfn.IFS(Table1[[#This Row],[Payment Status]]="Partial","In Transit",Table1[[#This Row],[Payment Status]]="Paid","Completed",Table1[[#This Row],[Payment Status]]="Pending","Pending"),"Invalid Input")</f>
        <v>In Transit</v>
      </c>
    </row>
    <row r="1103" spans="1:21" x14ac:dyDescent="0.25">
      <c r="A1103" s="4" t="s">
        <v>1978</v>
      </c>
      <c r="B1103" s="5">
        <v>45455</v>
      </c>
      <c r="C1103" t="s">
        <v>62</v>
      </c>
      <c r="D1103" t="s">
        <v>3270</v>
      </c>
      <c r="E1103" t="s">
        <v>47</v>
      </c>
      <c r="F1103" t="s">
        <v>3205</v>
      </c>
      <c r="G1103" t="s">
        <v>48</v>
      </c>
      <c r="H1103" t="str">
        <f>VLOOKUP(Table1[[#This Row],[City]],Table6[#All],2,FALSE)</f>
        <v>North</v>
      </c>
      <c r="I1103" t="s">
        <v>53</v>
      </c>
      <c r="J1103" t="str">
        <f>_xlfn.XLOOKUP(Table1[[#This Row],[Tractor Model]],Table7[Product Model],Table7[Product Category],"Not Available",0)</f>
        <v>Farmtrac</v>
      </c>
      <c r="K1103" s="4">
        <v>6</v>
      </c>
      <c r="L1103" s="72">
        <v>107578</v>
      </c>
      <c r="M1103" s="4">
        <f>INDEX('Master Sheet'!$C$4:$C$12,MATCH(Table1[[#This Row],[Quantity]],'Master Sheet'!$B$4:$B$12,0))</f>
        <v>8</v>
      </c>
      <c r="N1103" s="71">
        <f>Table1[[#This Row],[Quantity]]*Table1[[#This Row],[Unit Price]]</f>
        <v>645468</v>
      </c>
      <c r="O1103" s="73">
        <v>6.4546800000000001E-2</v>
      </c>
      <c r="P1103" s="70">
        <f>Table1[[#This Row],[Gross Amount]]*(1-(Table1[[#This Row],[Discount %]]/100))</f>
        <v>593830.56000000006</v>
      </c>
      <c r="Q1103" s="74">
        <f>(Table1[[#This Row],[Gross Amount]]*(1-(Table1[[#This Row],[Discount %]]/100)))/10000000</f>
        <v>5.9383056000000004E-2</v>
      </c>
      <c r="R1103" t="s">
        <v>42</v>
      </c>
      <c r="S1103" t="str" cm="1">
        <f t="array" ref="S1103">IFERROR(_xlfn.IFS(Table1[[#This Row],[Payment Status]]="Partial","In Transit",Table1[[#This Row],[Payment Status]]="Paid","Delivered",Table1[[#This Row],[Payment Status]]="Pending","Pending"),"Invalid Input")</f>
        <v>Pending</v>
      </c>
      <c r="T1103" t="s">
        <v>27</v>
      </c>
      <c r="U1103" t="str" cm="1">
        <f t="array" ref="U1103">IFERROR(_xlfn.IFS(Table1[[#This Row],[Payment Status]]="Partial","In Transit",Table1[[#This Row],[Payment Status]]="Paid","Completed",Table1[[#This Row],[Payment Status]]="Pending","Pending"),"Invalid Input")</f>
        <v>Pending</v>
      </c>
    </row>
    <row r="1104" spans="1:21" x14ac:dyDescent="0.25">
      <c r="A1104" s="4" t="s">
        <v>1980</v>
      </c>
      <c r="B1104" s="5">
        <v>45689</v>
      </c>
      <c r="C1104" t="s">
        <v>73</v>
      </c>
      <c r="D1104" t="s">
        <v>3271</v>
      </c>
      <c r="E1104" t="s">
        <v>47</v>
      </c>
      <c r="F1104" t="s">
        <v>3221</v>
      </c>
      <c r="G1104" t="s">
        <v>48</v>
      </c>
      <c r="H1104" t="str">
        <f>VLOOKUP(Table1[[#This Row],[City]],Table6[#All],2,FALSE)</f>
        <v>North</v>
      </c>
      <c r="I1104" t="s">
        <v>58</v>
      </c>
      <c r="J1104" t="str">
        <f>_xlfn.XLOOKUP(Table1[[#This Row],[Tractor Model]],Table7[Product Model],Table7[Product Category],"Not Available",0)</f>
        <v>Powertrac</v>
      </c>
      <c r="K1104" s="4">
        <v>1</v>
      </c>
      <c r="L1104" s="72">
        <v>299186</v>
      </c>
      <c r="M1104" s="4">
        <f>INDEX('Master Sheet'!$C$4:$C$12,MATCH(Table1[[#This Row],[Quantity]],'Master Sheet'!$B$4:$B$12,0))</f>
        <v>3</v>
      </c>
      <c r="N1104" s="71">
        <f>Table1[[#This Row],[Quantity]]*Table1[[#This Row],[Unit Price]]</f>
        <v>299186</v>
      </c>
      <c r="O1104" s="73">
        <v>2.99186E-2</v>
      </c>
      <c r="P1104" s="70">
        <f>Table1[[#This Row],[Gross Amount]]*(1-(Table1[[#This Row],[Discount %]]/100))</f>
        <v>290210.42</v>
      </c>
      <c r="Q1104" s="74">
        <f>(Table1[[#This Row],[Gross Amount]]*(1-(Table1[[#This Row],[Discount %]]/100)))/10000000</f>
        <v>2.9021041999999997E-2</v>
      </c>
      <c r="R1104" t="s">
        <v>25</v>
      </c>
      <c r="S1104" t="str" cm="1">
        <f t="array" ref="S1104">IFERROR(_xlfn.IFS(Table1[[#This Row],[Payment Status]]="Partial","In Transit",Table1[[#This Row],[Payment Status]]="Paid","Delivered",Table1[[#This Row],[Payment Status]]="Pending","Pending"),"Invalid Input")</f>
        <v>In Transit</v>
      </c>
      <c r="T1104" t="s">
        <v>27</v>
      </c>
      <c r="U1104" t="str" cm="1">
        <f t="array" ref="U1104">IFERROR(_xlfn.IFS(Table1[[#This Row],[Payment Status]]="Partial","In Transit",Table1[[#This Row],[Payment Status]]="Paid","Completed",Table1[[#This Row],[Payment Status]]="Pending","Pending"),"Invalid Input")</f>
        <v>In Transit</v>
      </c>
    </row>
    <row r="1105" spans="1:21" x14ac:dyDescent="0.25">
      <c r="A1105" s="4" t="s">
        <v>1981</v>
      </c>
      <c r="B1105" s="5">
        <v>45806</v>
      </c>
      <c r="C1105" t="s">
        <v>73</v>
      </c>
      <c r="D1105" t="s">
        <v>3269</v>
      </c>
      <c r="E1105" t="s">
        <v>30</v>
      </c>
      <c r="F1105" t="s">
        <v>3225</v>
      </c>
      <c r="G1105" t="s">
        <v>31</v>
      </c>
      <c r="H1105" t="str">
        <f>VLOOKUP(Table1[[#This Row],[City]],Table6[#All],2,FALSE)</f>
        <v>South</v>
      </c>
      <c r="I1105" t="s">
        <v>58</v>
      </c>
      <c r="J1105" t="str">
        <f>_xlfn.XLOOKUP(Table1[[#This Row],[Tractor Model]],Table7[Product Model],Table7[Product Category],"Not Available",0)</f>
        <v>Powertrac</v>
      </c>
      <c r="K1105" s="4">
        <v>3</v>
      </c>
      <c r="L1105" s="72">
        <v>610409</v>
      </c>
      <c r="M1105" s="4">
        <f>INDEX('Master Sheet'!$C$4:$C$12,MATCH(Table1[[#This Row],[Quantity]],'Master Sheet'!$B$4:$B$12,0))</f>
        <v>6</v>
      </c>
      <c r="N1105" s="71">
        <f>Table1[[#This Row],[Quantity]]*Table1[[#This Row],[Unit Price]]</f>
        <v>1831227</v>
      </c>
      <c r="O1105" s="73">
        <v>0.1831227</v>
      </c>
      <c r="P1105" s="70">
        <f>Table1[[#This Row],[Gross Amount]]*(1-(Table1[[#This Row],[Discount %]]/100))</f>
        <v>1721353.38</v>
      </c>
      <c r="Q1105" s="74">
        <f>(Table1[[#This Row],[Gross Amount]]*(1-(Table1[[#This Row],[Discount %]]/100)))/10000000</f>
        <v>0.172135338</v>
      </c>
      <c r="R1105" t="s">
        <v>42</v>
      </c>
      <c r="S1105" t="str" cm="1">
        <f t="array" ref="S1105">IFERROR(_xlfn.IFS(Table1[[#This Row],[Payment Status]]="Partial","In Transit",Table1[[#This Row],[Payment Status]]="Paid","Delivered",Table1[[#This Row],[Payment Status]]="Pending","Pending"),"Invalid Input")</f>
        <v>Pending</v>
      </c>
      <c r="T1105" t="s">
        <v>44</v>
      </c>
      <c r="U1105" t="str" cm="1">
        <f t="array" ref="U1105">IFERROR(_xlfn.IFS(Table1[[#This Row],[Payment Status]]="Partial","In Transit",Table1[[#This Row],[Payment Status]]="Paid","Completed",Table1[[#This Row],[Payment Status]]="Pending","Pending"),"Invalid Input")</f>
        <v>Pending</v>
      </c>
    </row>
    <row r="1106" spans="1:21" x14ac:dyDescent="0.25">
      <c r="A1106" s="4" t="s">
        <v>1983</v>
      </c>
      <c r="B1106" s="5">
        <v>45596</v>
      </c>
      <c r="C1106" t="s">
        <v>52</v>
      </c>
      <c r="D1106" t="s">
        <v>3269</v>
      </c>
      <c r="E1106" t="s">
        <v>119</v>
      </c>
      <c r="F1106" t="s">
        <v>3229</v>
      </c>
      <c r="G1106" t="s">
        <v>21</v>
      </c>
      <c r="H1106" t="str">
        <f>VLOOKUP(Table1[[#This Row],[City]],Table6[#All],2,FALSE)</f>
        <v>North</v>
      </c>
      <c r="I1106" t="s">
        <v>3203</v>
      </c>
      <c r="J1106" t="str">
        <f>_xlfn.XLOOKUP(Table1[[#This Row],[Tractor Model]],Table7[Product Model],Table7[Product Category],"Not Available",0)</f>
        <v>Kubota</v>
      </c>
      <c r="K1106" s="4">
        <v>4</v>
      </c>
      <c r="L1106" s="72">
        <v>91846</v>
      </c>
      <c r="M1106" s="4">
        <f>INDEX('Master Sheet'!$C$4:$C$12,MATCH(Table1[[#This Row],[Quantity]],'Master Sheet'!$B$4:$B$12,0))</f>
        <v>6</v>
      </c>
      <c r="N1106" s="71">
        <f>Table1[[#This Row],[Quantity]]*Table1[[#This Row],[Unit Price]]</f>
        <v>367384</v>
      </c>
      <c r="O1106" s="73">
        <v>3.6738399999999997E-2</v>
      </c>
      <c r="P1106" s="70">
        <f>Table1[[#This Row],[Gross Amount]]*(1-(Table1[[#This Row],[Discount %]]/100))</f>
        <v>345340.95999999996</v>
      </c>
      <c r="Q1106" s="74">
        <f>(Table1[[#This Row],[Gross Amount]]*(1-(Table1[[#This Row],[Discount %]]/100)))/10000000</f>
        <v>3.4534095999999993E-2</v>
      </c>
      <c r="R1106" t="s">
        <v>42</v>
      </c>
      <c r="S1106" t="str" cm="1">
        <f t="array" ref="S1106">IFERROR(_xlfn.IFS(Table1[[#This Row],[Payment Status]]="Partial","In Transit",Table1[[#This Row],[Payment Status]]="Paid","Delivered",Table1[[#This Row],[Payment Status]]="Pending","Pending"),"Invalid Input")</f>
        <v>Pending</v>
      </c>
      <c r="T1106" t="s">
        <v>44</v>
      </c>
      <c r="U1106" t="str" cm="1">
        <f t="array" ref="U1106">IFERROR(_xlfn.IFS(Table1[[#This Row],[Payment Status]]="Partial","In Transit",Table1[[#This Row],[Payment Status]]="Paid","Completed",Table1[[#This Row],[Payment Status]]="Pending","Pending"),"Invalid Input")</f>
        <v>Pending</v>
      </c>
    </row>
    <row r="1107" spans="1:21" x14ac:dyDescent="0.25">
      <c r="A1107" s="4" t="s">
        <v>1984</v>
      </c>
      <c r="B1107" s="5">
        <v>45543</v>
      </c>
      <c r="C1107" t="s">
        <v>41</v>
      </c>
      <c r="D1107" t="s">
        <v>3271</v>
      </c>
      <c r="E1107" t="s">
        <v>38</v>
      </c>
      <c r="F1107" t="s">
        <v>3210</v>
      </c>
      <c r="G1107" t="s">
        <v>39</v>
      </c>
      <c r="H1107" t="str">
        <f>VLOOKUP(Table1[[#This Row],[City]],Table6[#All],2,FALSE)</f>
        <v>West</v>
      </c>
      <c r="I1107" t="s">
        <v>58</v>
      </c>
      <c r="J1107" t="str">
        <f>_xlfn.XLOOKUP(Table1[[#This Row],[Tractor Model]],Table7[Product Model],Table7[Product Category],"Not Available",0)</f>
        <v>Powertrac</v>
      </c>
      <c r="K1107" s="4">
        <v>3</v>
      </c>
      <c r="L1107" s="72">
        <v>392639</v>
      </c>
      <c r="M1107" s="4">
        <f>INDEX('Master Sheet'!$C$4:$C$12,MATCH(Table1[[#This Row],[Quantity]],'Master Sheet'!$B$4:$B$12,0))</f>
        <v>6</v>
      </c>
      <c r="N1107" s="71">
        <f>Table1[[#This Row],[Quantity]]*Table1[[#This Row],[Unit Price]]</f>
        <v>1177917</v>
      </c>
      <c r="O1107" s="73">
        <v>0.1177917</v>
      </c>
      <c r="P1107" s="70">
        <f>Table1[[#This Row],[Gross Amount]]*(1-(Table1[[#This Row],[Discount %]]/100))</f>
        <v>1107241.98</v>
      </c>
      <c r="Q1107" s="74">
        <f>(Table1[[#This Row],[Gross Amount]]*(1-(Table1[[#This Row],[Discount %]]/100)))/10000000</f>
        <v>0.110724198</v>
      </c>
      <c r="R1107" t="s">
        <v>54</v>
      </c>
      <c r="S1107" t="str" cm="1">
        <f t="array" ref="S1107">IFERROR(_xlfn.IFS(Table1[[#This Row],[Payment Status]]="Partial","In Transit",Table1[[#This Row],[Payment Status]]="Paid","Delivered",Table1[[#This Row],[Payment Status]]="Pending","Pending"),"Invalid Input")</f>
        <v>Delivered</v>
      </c>
      <c r="T1107" t="s">
        <v>44</v>
      </c>
      <c r="U1107" t="str" cm="1">
        <f t="array" ref="U1107">IFERROR(_xlfn.IFS(Table1[[#This Row],[Payment Status]]="Partial","In Transit",Table1[[#This Row],[Payment Status]]="Paid","Completed",Table1[[#This Row],[Payment Status]]="Pending","Pending"),"Invalid Input")</f>
        <v>Completed</v>
      </c>
    </row>
    <row r="1108" spans="1:21" x14ac:dyDescent="0.25">
      <c r="A1108" s="4" t="s">
        <v>1985</v>
      </c>
      <c r="B1108" s="5">
        <v>45600</v>
      </c>
      <c r="C1108" t="s">
        <v>62</v>
      </c>
      <c r="D1108" t="s">
        <v>37</v>
      </c>
      <c r="E1108" t="s">
        <v>119</v>
      </c>
      <c r="F1108" t="s">
        <v>3224</v>
      </c>
      <c r="G1108" t="s">
        <v>21</v>
      </c>
      <c r="H1108" t="str">
        <f>VLOOKUP(Table1[[#This Row],[City]],Table6[#All],2,FALSE)</f>
        <v>North</v>
      </c>
      <c r="I1108" t="s">
        <v>24</v>
      </c>
      <c r="J1108" t="str">
        <f>_xlfn.XLOOKUP(Table1[[#This Row],[Tractor Model]],Table7[Product Model],Table7[Product Category],"Not Available",0)</f>
        <v>Farmtrac</v>
      </c>
      <c r="K1108" s="4">
        <v>8</v>
      </c>
      <c r="L1108" s="72">
        <v>80281</v>
      </c>
      <c r="M1108" s="4">
        <f>INDEX('Master Sheet'!$C$4:$C$12,MATCH(Table1[[#This Row],[Quantity]],'Master Sheet'!$B$4:$B$12,0))</f>
        <v>9</v>
      </c>
      <c r="N1108" s="71">
        <f>Table1[[#This Row],[Quantity]]*Table1[[#This Row],[Unit Price]]</f>
        <v>642248</v>
      </c>
      <c r="O1108" s="73">
        <v>6.4224799999999999E-2</v>
      </c>
      <c r="P1108" s="70">
        <f>Table1[[#This Row],[Gross Amount]]*(1-(Table1[[#This Row],[Discount %]]/100))</f>
        <v>584445.68000000005</v>
      </c>
      <c r="Q1108" s="74">
        <f>(Table1[[#This Row],[Gross Amount]]*(1-(Table1[[#This Row],[Discount %]]/100)))/10000000</f>
        <v>5.8444568000000002E-2</v>
      </c>
      <c r="R1108" t="s">
        <v>54</v>
      </c>
      <c r="S1108" t="str" cm="1">
        <f t="array" ref="S1108">IFERROR(_xlfn.IFS(Table1[[#This Row],[Payment Status]]="Partial","In Transit",Table1[[#This Row],[Payment Status]]="Paid","Delivered",Table1[[#This Row],[Payment Status]]="Pending","Pending"),"Invalid Input")</f>
        <v>Delivered</v>
      </c>
      <c r="T1108" t="s">
        <v>44</v>
      </c>
      <c r="U1108" t="str" cm="1">
        <f t="array" ref="U1108">IFERROR(_xlfn.IFS(Table1[[#This Row],[Payment Status]]="Partial","In Transit",Table1[[#This Row],[Payment Status]]="Paid","Completed",Table1[[#This Row],[Payment Status]]="Pending","Pending"),"Invalid Input")</f>
        <v>Completed</v>
      </c>
    </row>
    <row r="1109" spans="1:21" x14ac:dyDescent="0.25">
      <c r="A1109" s="4" t="s">
        <v>1986</v>
      </c>
      <c r="B1109" s="5">
        <v>45367</v>
      </c>
      <c r="C1109" t="s">
        <v>73</v>
      </c>
      <c r="D1109" t="s">
        <v>3269</v>
      </c>
      <c r="E1109" t="s">
        <v>30</v>
      </c>
      <c r="F1109" t="s">
        <v>3225</v>
      </c>
      <c r="G1109" t="s">
        <v>31</v>
      </c>
      <c r="H1109" t="str">
        <f>VLOOKUP(Table1[[#This Row],[City]],Table6[#All],2,FALSE)</f>
        <v>South</v>
      </c>
      <c r="I1109" t="s">
        <v>24</v>
      </c>
      <c r="J1109" t="str">
        <f>_xlfn.XLOOKUP(Table1[[#This Row],[Tractor Model]],Table7[Product Model],Table7[Product Category],"Not Available",0)</f>
        <v>Farmtrac</v>
      </c>
      <c r="K1109" s="4">
        <v>5</v>
      </c>
      <c r="L1109" s="72">
        <v>886754</v>
      </c>
      <c r="M1109" s="4">
        <f>INDEX('Master Sheet'!$C$4:$C$12,MATCH(Table1[[#This Row],[Quantity]],'Master Sheet'!$B$4:$B$12,0))</f>
        <v>7</v>
      </c>
      <c r="N1109" s="71">
        <f>Table1[[#This Row],[Quantity]]*Table1[[#This Row],[Unit Price]]</f>
        <v>4433770</v>
      </c>
      <c r="O1109" s="73">
        <v>0.44337700000000002</v>
      </c>
      <c r="P1109" s="70">
        <f>Table1[[#This Row],[Gross Amount]]*(1-(Table1[[#This Row],[Discount %]]/100))</f>
        <v>4123406.0999999996</v>
      </c>
      <c r="Q1109" s="74">
        <f>(Table1[[#This Row],[Gross Amount]]*(1-(Table1[[#This Row],[Discount %]]/100)))/10000000</f>
        <v>0.41234060999999994</v>
      </c>
      <c r="R1109" t="s">
        <v>54</v>
      </c>
      <c r="S1109" t="str" cm="1">
        <f t="array" ref="S1109">IFERROR(_xlfn.IFS(Table1[[#This Row],[Payment Status]]="Partial","In Transit",Table1[[#This Row],[Payment Status]]="Paid","Delivered",Table1[[#This Row],[Payment Status]]="Pending","Pending"),"Invalid Input")</f>
        <v>Delivered</v>
      </c>
      <c r="T1109" t="s">
        <v>27</v>
      </c>
      <c r="U1109" t="str" cm="1">
        <f t="array" ref="U1109">IFERROR(_xlfn.IFS(Table1[[#This Row],[Payment Status]]="Partial","In Transit",Table1[[#This Row],[Payment Status]]="Paid","Completed",Table1[[#This Row],[Payment Status]]="Pending","Pending"),"Invalid Input")</f>
        <v>Completed</v>
      </c>
    </row>
    <row r="1110" spans="1:21" x14ac:dyDescent="0.25">
      <c r="A1110" s="4" t="s">
        <v>1987</v>
      </c>
      <c r="B1110" s="5">
        <v>45786</v>
      </c>
      <c r="C1110" t="s">
        <v>73</v>
      </c>
      <c r="D1110" t="s">
        <v>37</v>
      </c>
      <c r="E1110" t="s">
        <v>30</v>
      </c>
      <c r="F1110" t="s">
        <v>3222</v>
      </c>
      <c r="G1110" t="s">
        <v>31</v>
      </c>
      <c r="H1110" t="str">
        <f>VLOOKUP(Table1[[#This Row],[City]],Table6[#All],2,FALSE)</f>
        <v>South</v>
      </c>
      <c r="I1110" t="s">
        <v>58</v>
      </c>
      <c r="J1110" t="str">
        <f>_xlfn.XLOOKUP(Table1[[#This Row],[Tractor Model]],Table7[Product Model],Table7[Product Category],"Not Available",0)</f>
        <v>Powertrac</v>
      </c>
      <c r="K1110" s="4">
        <v>5</v>
      </c>
      <c r="L1110" s="72">
        <v>191951</v>
      </c>
      <c r="M1110" s="4">
        <f>INDEX('Master Sheet'!$C$4:$C$12,MATCH(Table1[[#This Row],[Quantity]],'Master Sheet'!$B$4:$B$12,0))</f>
        <v>7</v>
      </c>
      <c r="N1110" s="71">
        <f>Table1[[#This Row],[Quantity]]*Table1[[#This Row],[Unit Price]]</f>
        <v>959755</v>
      </c>
      <c r="O1110" s="73">
        <v>9.5975500000000005E-2</v>
      </c>
      <c r="P1110" s="70">
        <f>Table1[[#This Row],[Gross Amount]]*(1-(Table1[[#This Row],[Discount %]]/100))</f>
        <v>892572.14999999991</v>
      </c>
      <c r="Q1110" s="74">
        <f>(Table1[[#This Row],[Gross Amount]]*(1-(Table1[[#This Row],[Discount %]]/100)))/10000000</f>
        <v>8.9257214999999987E-2</v>
      </c>
      <c r="R1110" t="s">
        <v>54</v>
      </c>
      <c r="S1110" t="str" cm="1">
        <f t="array" ref="S1110">IFERROR(_xlfn.IFS(Table1[[#This Row],[Payment Status]]="Partial","In Transit",Table1[[#This Row],[Payment Status]]="Paid","Delivered",Table1[[#This Row],[Payment Status]]="Pending","Pending"),"Invalid Input")</f>
        <v>Delivered</v>
      </c>
      <c r="T1110" t="s">
        <v>27</v>
      </c>
      <c r="U1110" t="str" cm="1">
        <f t="array" ref="U1110">IFERROR(_xlfn.IFS(Table1[[#This Row],[Payment Status]]="Partial","In Transit",Table1[[#This Row],[Payment Status]]="Paid","Completed",Table1[[#This Row],[Payment Status]]="Pending","Pending"),"Invalid Input")</f>
        <v>Completed</v>
      </c>
    </row>
    <row r="1111" spans="1:21" x14ac:dyDescent="0.25">
      <c r="A1111" s="4" t="s">
        <v>1989</v>
      </c>
      <c r="B1111" s="5">
        <v>45427</v>
      </c>
      <c r="C1111" t="s">
        <v>52</v>
      </c>
      <c r="D1111" t="s">
        <v>3268</v>
      </c>
      <c r="E1111" t="s">
        <v>38</v>
      </c>
      <c r="F1111" t="s">
        <v>3219</v>
      </c>
      <c r="G1111" t="s">
        <v>39</v>
      </c>
      <c r="H1111" t="str">
        <f>VLOOKUP(Table1[[#This Row],[City]],Table6[#All],2,FALSE)</f>
        <v>West</v>
      </c>
      <c r="I1111" t="s">
        <v>53</v>
      </c>
      <c r="J1111" t="str">
        <f>_xlfn.XLOOKUP(Table1[[#This Row],[Tractor Model]],Table7[Product Model],Table7[Product Category],"Not Available",0)</f>
        <v>Farmtrac</v>
      </c>
      <c r="K1111" s="4">
        <v>4</v>
      </c>
      <c r="L1111" s="72">
        <v>762058</v>
      </c>
      <c r="M1111" s="4">
        <f>INDEX('Master Sheet'!$C$4:$C$12,MATCH(Table1[[#This Row],[Quantity]],'Master Sheet'!$B$4:$B$12,0))</f>
        <v>6</v>
      </c>
      <c r="N1111" s="71">
        <f>Table1[[#This Row],[Quantity]]*Table1[[#This Row],[Unit Price]]</f>
        <v>3048232</v>
      </c>
      <c r="O1111" s="73">
        <v>0.30482320000000002</v>
      </c>
      <c r="P1111" s="70">
        <f>Table1[[#This Row],[Gross Amount]]*(1-(Table1[[#This Row],[Discount %]]/100))</f>
        <v>2865338.0799999996</v>
      </c>
      <c r="Q1111" s="74">
        <f>(Table1[[#This Row],[Gross Amount]]*(1-(Table1[[#This Row],[Discount %]]/100)))/10000000</f>
        <v>0.28653380799999995</v>
      </c>
      <c r="R1111" t="s">
        <v>54</v>
      </c>
      <c r="S1111" t="str" cm="1">
        <f t="array" ref="S1111">IFERROR(_xlfn.IFS(Table1[[#This Row],[Payment Status]]="Partial","In Transit",Table1[[#This Row],[Payment Status]]="Paid","Delivered",Table1[[#This Row],[Payment Status]]="Pending","Pending"),"Invalid Input")</f>
        <v>Delivered</v>
      </c>
      <c r="T1111" t="s">
        <v>44</v>
      </c>
      <c r="U1111" t="str" cm="1">
        <f t="array" ref="U1111">IFERROR(_xlfn.IFS(Table1[[#This Row],[Payment Status]]="Partial","In Transit",Table1[[#This Row],[Payment Status]]="Paid","Completed",Table1[[#This Row],[Payment Status]]="Pending","Pending"),"Invalid Input")</f>
        <v>Completed</v>
      </c>
    </row>
    <row r="1112" spans="1:21" x14ac:dyDescent="0.25">
      <c r="A1112" s="4" t="s">
        <v>1990</v>
      </c>
      <c r="B1112" s="5">
        <v>45692</v>
      </c>
      <c r="C1112" t="s">
        <v>62</v>
      </c>
      <c r="D1112" t="s">
        <v>37</v>
      </c>
      <c r="E1112" t="s">
        <v>30</v>
      </c>
      <c r="F1112" t="s">
        <v>3222</v>
      </c>
      <c r="G1112" t="s">
        <v>31</v>
      </c>
      <c r="H1112" t="str">
        <f>VLOOKUP(Table1[[#This Row],[City]],Table6[#All],2,FALSE)</f>
        <v>South</v>
      </c>
      <c r="I1112" t="s">
        <v>24</v>
      </c>
      <c r="J1112" t="str">
        <f>_xlfn.XLOOKUP(Table1[[#This Row],[Tractor Model]],Table7[Product Model],Table7[Product Category],"Not Available",0)</f>
        <v>Farmtrac</v>
      </c>
      <c r="K1112" s="4">
        <v>3</v>
      </c>
      <c r="L1112" s="72">
        <v>718461</v>
      </c>
      <c r="M1112" s="4">
        <f>INDEX('Master Sheet'!$C$4:$C$12,MATCH(Table1[[#This Row],[Quantity]],'Master Sheet'!$B$4:$B$12,0))</f>
        <v>6</v>
      </c>
      <c r="N1112" s="71">
        <f>Table1[[#This Row],[Quantity]]*Table1[[#This Row],[Unit Price]]</f>
        <v>2155383</v>
      </c>
      <c r="O1112" s="73">
        <v>0.21553829999999999</v>
      </c>
      <c r="P1112" s="70">
        <f>Table1[[#This Row],[Gross Amount]]*(1-(Table1[[#This Row],[Discount %]]/100))</f>
        <v>2026060.0199999998</v>
      </c>
      <c r="Q1112" s="74">
        <f>(Table1[[#This Row],[Gross Amount]]*(1-(Table1[[#This Row],[Discount %]]/100)))/10000000</f>
        <v>0.20260600199999998</v>
      </c>
      <c r="R1112" t="s">
        <v>42</v>
      </c>
      <c r="S1112" t="str" cm="1">
        <f t="array" ref="S1112">IFERROR(_xlfn.IFS(Table1[[#This Row],[Payment Status]]="Partial","In Transit",Table1[[#This Row],[Payment Status]]="Paid","Delivered",Table1[[#This Row],[Payment Status]]="Pending","Pending"),"Invalid Input")</f>
        <v>Pending</v>
      </c>
      <c r="T1112" t="s">
        <v>27</v>
      </c>
      <c r="U1112" t="str" cm="1">
        <f t="array" ref="U1112">IFERROR(_xlfn.IFS(Table1[[#This Row],[Payment Status]]="Partial","In Transit",Table1[[#This Row],[Payment Status]]="Paid","Completed",Table1[[#This Row],[Payment Status]]="Pending","Pending"),"Invalid Input")</f>
        <v>Pending</v>
      </c>
    </row>
    <row r="1113" spans="1:21" x14ac:dyDescent="0.25">
      <c r="A1113" s="4" t="s">
        <v>1992</v>
      </c>
      <c r="B1113" s="5">
        <v>45771</v>
      </c>
      <c r="C1113" t="s">
        <v>52</v>
      </c>
      <c r="D1113" t="s">
        <v>3269</v>
      </c>
      <c r="E1113" t="s">
        <v>30</v>
      </c>
      <c r="F1113" t="s">
        <v>3225</v>
      </c>
      <c r="G1113" t="s">
        <v>31</v>
      </c>
      <c r="H1113" t="str">
        <f>VLOOKUP(Table1[[#This Row],[City]],Table6[#All],2,FALSE)</f>
        <v>South</v>
      </c>
      <c r="I1113" t="s">
        <v>3204</v>
      </c>
      <c r="J1113" t="str">
        <f>_xlfn.XLOOKUP(Table1[[#This Row],[Tractor Model]],Table7[Product Model],Table7[Product Category],"Not Available",0)</f>
        <v>Kubota</v>
      </c>
      <c r="K1113" s="4">
        <v>2</v>
      </c>
      <c r="L1113" s="72">
        <v>80040</v>
      </c>
      <c r="M1113" s="4">
        <f>INDEX('Master Sheet'!$C$4:$C$12,MATCH(Table1[[#This Row],[Quantity]],'Master Sheet'!$B$4:$B$12,0))</f>
        <v>5</v>
      </c>
      <c r="N1113" s="71">
        <f>Table1[[#This Row],[Quantity]]*Table1[[#This Row],[Unit Price]]</f>
        <v>160080</v>
      </c>
      <c r="O1113" s="73">
        <v>1.6008000000000001E-2</v>
      </c>
      <c r="P1113" s="70">
        <f>Table1[[#This Row],[Gross Amount]]*(1-(Table1[[#This Row],[Discount %]]/100))</f>
        <v>152076</v>
      </c>
      <c r="Q1113" s="74">
        <f>(Table1[[#This Row],[Gross Amount]]*(1-(Table1[[#This Row],[Discount %]]/100)))/10000000</f>
        <v>1.52076E-2</v>
      </c>
      <c r="R1113" t="s">
        <v>42</v>
      </c>
      <c r="S1113" t="str" cm="1">
        <f t="array" ref="S1113">IFERROR(_xlfn.IFS(Table1[[#This Row],[Payment Status]]="Partial","In Transit",Table1[[#This Row],[Payment Status]]="Paid","Delivered",Table1[[#This Row],[Payment Status]]="Pending","Pending"),"Invalid Input")</f>
        <v>Pending</v>
      </c>
      <c r="T1113" t="s">
        <v>27</v>
      </c>
      <c r="U1113" t="str" cm="1">
        <f t="array" ref="U1113">IFERROR(_xlfn.IFS(Table1[[#This Row],[Payment Status]]="Partial","In Transit",Table1[[#This Row],[Payment Status]]="Paid","Completed",Table1[[#This Row],[Payment Status]]="Pending","Pending"),"Invalid Input")</f>
        <v>Pending</v>
      </c>
    </row>
    <row r="1114" spans="1:21" x14ac:dyDescent="0.25">
      <c r="A1114" s="4" t="s">
        <v>1994</v>
      </c>
      <c r="B1114" s="5">
        <v>45905</v>
      </c>
      <c r="C1114" t="s">
        <v>73</v>
      </c>
      <c r="D1114" t="s">
        <v>3268</v>
      </c>
      <c r="E1114" t="s">
        <v>30</v>
      </c>
      <c r="F1114" t="s">
        <v>3208</v>
      </c>
      <c r="G1114" t="s">
        <v>31</v>
      </c>
      <c r="H1114" t="str">
        <f>VLOOKUP(Table1[[#This Row],[City]],Table6[#All],2,FALSE)</f>
        <v>South</v>
      </c>
      <c r="I1114" t="s">
        <v>3203</v>
      </c>
      <c r="J1114" t="str">
        <f>_xlfn.XLOOKUP(Table1[[#This Row],[Tractor Model]],Table7[Product Model],Table7[Product Category],"Not Available",0)</f>
        <v>Kubota</v>
      </c>
      <c r="K1114" s="4">
        <v>8</v>
      </c>
      <c r="L1114" s="72">
        <v>832667</v>
      </c>
      <c r="M1114" s="4">
        <f>INDEX('Master Sheet'!$C$4:$C$12,MATCH(Table1[[#This Row],[Quantity]],'Master Sheet'!$B$4:$B$12,0))</f>
        <v>9</v>
      </c>
      <c r="N1114" s="71">
        <f>Table1[[#This Row],[Quantity]]*Table1[[#This Row],[Unit Price]]</f>
        <v>6661336</v>
      </c>
      <c r="O1114" s="73">
        <v>0.66613359999999999</v>
      </c>
      <c r="P1114" s="70">
        <f>Table1[[#This Row],[Gross Amount]]*(1-(Table1[[#This Row],[Discount %]]/100))</f>
        <v>6061815.7599999998</v>
      </c>
      <c r="Q1114" s="74">
        <f>(Table1[[#This Row],[Gross Amount]]*(1-(Table1[[#This Row],[Discount %]]/100)))/10000000</f>
        <v>0.606181576</v>
      </c>
      <c r="R1114" t="s">
        <v>42</v>
      </c>
      <c r="S1114" t="str" cm="1">
        <f t="array" ref="S1114">IFERROR(_xlfn.IFS(Table1[[#This Row],[Payment Status]]="Partial","In Transit",Table1[[#This Row],[Payment Status]]="Paid","Delivered",Table1[[#This Row],[Payment Status]]="Pending","Pending"),"Invalid Input")</f>
        <v>Pending</v>
      </c>
      <c r="T1114" t="s">
        <v>44</v>
      </c>
      <c r="U1114" t="str" cm="1">
        <f t="array" ref="U1114">IFERROR(_xlfn.IFS(Table1[[#This Row],[Payment Status]]="Partial","In Transit",Table1[[#This Row],[Payment Status]]="Paid","Completed",Table1[[#This Row],[Payment Status]]="Pending","Pending"),"Invalid Input")</f>
        <v>Pending</v>
      </c>
    </row>
    <row r="1115" spans="1:21" x14ac:dyDescent="0.25">
      <c r="A1115" s="4" t="s">
        <v>1996</v>
      </c>
      <c r="B1115" s="5">
        <v>45776</v>
      </c>
      <c r="C1115" t="s">
        <v>52</v>
      </c>
      <c r="D1115" t="s">
        <v>37</v>
      </c>
      <c r="E1115" t="s">
        <v>119</v>
      </c>
      <c r="F1115" t="s">
        <v>3224</v>
      </c>
      <c r="G1115" t="s">
        <v>21</v>
      </c>
      <c r="H1115" t="str">
        <f>VLOOKUP(Table1[[#This Row],[City]],Table6[#All],2,FALSE)</f>
        <v>North</v>
      </c>
      <c r="I1115" t="s">
        <v>58</v>
      </c>
      <c r="J1115" t="str">
        <f>_xlfn.XLOOKUP(Table1[[#This Row],[Tractor Model]],Table7[Product Model],Table7[Product Category],"Not Available",0)</f>
        <v>Powertrac</v>
      </c>
      <c r="K1115" s="4">
        <v>6</v>
      </c>
      <c r="L1115" s="72">
        <v>423000</v>
      </c>
      <c r="M1115" s="4">
        <f>INDEX('Master Sheet'!$C$4:$C$12,MATCH(Table1[[#This Row],[Quantity]],'Master Sheet'!$B$4:$B$12,0))</f>
        <v>8</v>
      </c>
      <c r="N1115" s="71">
        <f>Table1[[#This Row],[Quantity]]*Table1[[#This Row],[Unit Price]]</f>
        <v>2538000</v>
      </c>
      <c r="O1115" s="73">
        <v>0.25380000000000003</v>
      </c>
      <c r="P1115" s="70">
        <f>Table1[[#This Row],[Gross Amount]]*(1-(Table1[[#This Row],[Discount %]]/100))</f>
        <v>2334960</v>
      </c>
      <c r="Q1115" s="74">
        <f>(Table1[[#This Row],[Gross Amount]]*(1-(Table1[[#This Row],[Discount %]]/100)))/10000000</f>
        <v>0.23349600000000001</v>
      </c>
      <c r="R1115" t="s">
        <v>42</v>
      </c>
      <c r="S1115" t="str" cm="1">
        <f t="array" ref="S1115">IFERROR(_xlfn.IFS(Table1[[#This Row],[Payment Status]]="Partial","In Transit",Table1[[#This Row],[Payment Status]]="Paid","Delivered",Table1[[#This Row],[Payment Status]]="Pending","Pending"),"Invalid Input")</f>
        <v>Pending</v>
      </c>
      <c r="T1115" t="s">
        <v>27</v>
      </c>
      <c r="U1115" t="str" cm="1">
        <f t="array" ref="U1115">IFERROR(_xlfn.IFS(Table1[[#This Row],[Payment Status]]="Partial","In Transit",Table1[[#This Row],[Payment Status]]="Paid","Completed",Table1[[#This Row],[Payment Status]]="Pending","Pending"),"Invalid Input")</f>
        <v>Pending</v>
      </c>
    </row>
    <row r="1116" spans="1:21" x14ac:dyDescent="0.25">
      <c r="A1116" s="4" t="s">
        <v>1998</v>
      </c>
      <c r="B1116" s="5">
        <v>45790</v>
      </c>
      <c r="C1116" t="s">
        <v>41</v>
      </c>
      <c r="D1116" t="s">
        <v>3270</v>
      </c>
      <c r="E1116" t="s">
        <v>119</v>
      </c>
      <c r="F1116" t="s">
        <v>3212</v>
      </c>
      <c r="G1116" t="s">
        <v>21</v>
      </c>
      <c r="H1116" t="str">
        <f>VLOOKUP(Table1[[#This Row],[City]],Table6[#All],2,FALSE)</f>
        <v>North</v>
      </c>
      <c r="I1116" t="s">
        <v>53</v>
      </c>
      <c r="J1116" t="str">
        <f>_xlfn.XLOOKUP(Table1[[#This Row],[Tractor Model]],Table7[Product Model],Table7[Product Category],"Not Available",0)</f>
        <v>Farmtrac</v>
      </c>
      <c r="K1116" s="4">
        <v>8</v>
      </c>
      <c r="L1116" s="72">
        <v>486724</v>
      </c>
      <c r="M1116" s="4">
        <f>INDEX('Master Sheet'!$C$4:$C$12,MATCH(Table1[[#This Row],[Quantity]],'Master Sheet'!$B$4:$B$12,0))</f>
        <v>9</v>
      </c>
      <c r="N1116" s="71">
        <f>Table1[[#This Row],[Quantity]]*Table1[[#This Row],[Unit Price]]</f>
        <v>3893792</v>
      </c>
      <c r="O1116" s="73">
        <v>0.38937919999999998</v>
      </c>
      <c r="P1116" s="70">
        <f>Table1[[#This Row],[Gross Amount]]*(1-(Table1[[#This Row],[Discount %]]/100))</f>
        <v>3543350.72</v>
      </c>
      <c r="Q1116" s="74">
        <f>(Table1[[#This Row],[Gross Amount]]*(1-(Table1[[#This Row],[Discount %]]/100)))/10000000</f>
        <v>0.35433507200000003</v>
      </c>
      <c r="R1116" t="s">
        <v>54</v>
      </c>
      <c r="S1116" t="str" cm="1">
        <f t="array" ref="S1116">IFERROR(_xlfn.IFS(Table1[[#This Row],[Payment Status]]="Partial","In Transit",Table1[[#This Row],[Payment Status]]="Paid","Delivered",Table1[[#This Row],[Payment Status]]="Pending","Pending"),"Invalid Input")</f>
        <v>Delivered</v>
      </c>
      <c r="T1116" t="s">
        <v>44</v>
      </c>
      <c r="U1116" t="str" cm="1">
        <f t="array" ref="U1116">IFERROR(_xlfn.IFS(Table1[[#This Row],[Payment Status]]="Partial","In Transit",Table1[[#This Row],[Payment Status]]="Paid","Completed",Table1[[#This Row],[Payment Status]]="Pending","Pending"),"Invalid Input")</f>
        <v>Completed</v>
      </c>
    </row>
    <row r="1117" spans="1:21" x14ac:dyDescent="0.25">
      <c r="A1117" s="4" t="s">
        <v>2000</v>
      </c>
      <c r="B1117" s="5">
        <v>45643</v>
      </c>
      <c r="C1117" t="s">
        <v>62</v>
      </c>
      <c r="D1117" t="s">
        <v>3270</v>
      </c>
      <c r="E1117" t="s">
        <v>119</v>
      </c>
      <c r="F1117" t="s">
        <v>3212</v>
      </c>
      <c r="G1117" t="s">
        <v>21</v>
      </c>
      <c r="H1117" t="str">
        <f>VLOOKUP(Table1[[#This Row],[City]],Table6[#All],2,FALSE)</f>
        <v>North</v>
      </c>
      <c r="I1117" t="s">
        <v>58</v>
      </c>
      <c r="J1117" t="str">
        <f>_xlfn.XLOOKUP(Table1[[#This Row],[Tractor Model]],Table7[Product Model],Table7[Product Category],"Not Available",0)</f>
        <v>Powertrac</v>
      </c>
      <c r="K1117" s="4">
        <v>5</v>
      </c>
      <c r="L1117" s="72">
        <v>506139</v>
      </c>
      <c r="M1117" s="4">
        <f>INDEX('Master Sheet'!$C$4:$C$12,MATCH(Table1[[#This Row],[Quantity]],'Master Sheet'!$B$4:$B$12,0))</f>
        <v>7</v>
      </c>
      <c r="N1117" s="71">
        <f>Table1[[#This Row],[Quantity]]*Table1[[#This Row],[Unit Price]]</f>
        <v>2530695</v>
      </c>
      <c r="O1117" s="73">
        <v>0.2530695</v>
      </c>
      <c r="P1117" s="70">
        <f>Table1[[#This Row],[Gross Amount]]*(1-(Table1[[#This Row],[Discount %]]/100))</f>
        <v>2353546.3499999996</v>
      </c>
      <c r="Q1117" s="74">
        <f>(Table1[[#This Row],[Gross Amount]]*(1-(Table1[[#This Row],[Discount %]]/100)))/10000000</f>
        <v>0.23535463499999995</v>
      </c>
      <c r="R1117" t="s">
        <v>54</v>
      </c>
      <c r="S1117" t="str" cm="1">
        <f t="array" ref="S1117">IFERROR(_xlfn.IFS(Table1[[#This Row],[Payment Status]]="Partial","In Transit",Table1[[#This Row],[Payment Status]]="Paid","Delivered",Table1[[#This Row],[Payment Status]]="Pending","Pending"),"Invalid Input")</f>
        <v>Delivered</v>
      </c>
      <c r="T1117" t="s">
        <v>27</v>
      </c>
      <c r="U1117" t="str" cm="1">
        <f t="array" ref="U1117">IFERROR(_xlfn.IFS(Table1[[#This Row],[Payment Status]]="Partial","In Transit",Table1[[#This Row],[Payment Status]]="Paid","Completed",Table1[[#This Row],[Payment Status]]="Pending","Pending"),"Invalid Input")</f>
        <v>Completed</v>
      </c>
    </row>
    <row r="1118" spans="1:21" x14ac:dyDescent="0.25">
      <c r="A1118" s="4" t="s">
        <v>2001</v>
      </c>
      <c r="B1118" s="5">
        <v>45701</v>
      </c>
      <c r="C1118" t="s">
        <v>73</v>
      </c>
      <c r="D1118" t="s">
        <v>3271</v>
      </c>
      <c r="E1118" t="s">
        <v>47</v>
      </c>
      <c r="F1118" t="s">
        <v>3221</v>
      </c>
      <c r="G1118" t="s">
        <v>48</v>
      </c>
      <c r="H1118" t="str">
        <f>VLOOKUP(Table1[[#This Row],[City]],Table6[#All],2,FALSE)</f>
        <v>North</v>
      </c>
      <c r="I1118" t="s">
        <v>24</v>
      </c>
      <c r="J1118" t="str">
        <f>_xlfn.XLOOKUP(Table1[[#This Row],[Tractor Model]],Table7[Product Model],Table7[Product Category],"Not Available",0)</f>
        <v>Farmtrac</v>
      </c>
      <c r="K1118" s="4">
        <v>4</v>
      </c>
      <c r="L1118" s="72">
        <v>714922</v>
      </c>
      <c r="M1118" s="4">
        <f>INDEX('Master Sheet'!$C$4:$C$12,MATCH(Table1[[#This Row],[Quantity]],'Master Sheet'!$B$4:$B$12,0))</f>
        <v>6</v>
      </c>
      <c r="N1118" s="71">
        <f>Table1[[#This Row],[Quantity]]*Table1[[#This Row],[Unit Price]]</f>
        <v>2859688</v>
      </c>
      <c r="O1118" s="73">
        <v>0.28596880000000002</v>
      </c>
      <c r="P1118" s="70">
        <f>Table1[[#This Row],[Gross Amount]]*(1-(Table1[[#This Row],[Discount %]]/100))</f>
        <v>2688106.7199999997</v>
      </c>
      <c r="Q1118" s="74">
        <f>(Table1[[#This Row],[Gross Amount]]*(1-(Table1[[#This Row],[Discount %]]/100)))/10000000</f>
        <v>0.26881067199999997</v>
      </c>
      <c r="R1118" t="s">
        <v>25</v>
      </c>
      <c r="S1118" t="str" cm="1">
        <f t="array" ref="S1118">IFERROR(_xlfn.IFS(Table1[[#This Row],[Payment Status]]="Partial","In Transit",Table1[[#This Row],[Payment Status]]="Paid","Delivered",Table1[[#This Row],[Payment Status]]="Pending","Pending"),"Invalid Input")</f>
        <v>In Transit</v>
      </c>
      <c r="T1118" t="s">
        <v>27</v>
      </c>
      <c r="U1118" t="str" cm="1">
        <f t="array" ref="U1118">IFERROR(_xlfn.IFS(Table1[[#This Row],[Payment Status]]="Partial","In Transit",Table1[[#This Row],[Payment Status]]="Paid","Completed",Table1[[#This Row],[Payment Status]]="Pending","Pending"),"Invalid Input")</f>
        <v>In Transit</v>
      </c>
    </row>
    <row r="1119" spans="1:21" x14ac:dyDescent="0.25">
      <c r="A1119" s="4" t="s">
        <v>2003</v>
      </c>
      <c r="B1119" s="5">
        <v>45686</v>
      </c>
      <c r="C1119" t="s">
        <v>41</v>
      </c>
      <c r="D1119" t="s">
        <v>37</v>
      </c>
      <c r="E1119" t="s">
        <v>66</v>
      </c>
      <c r="F1119" t="s">
        <v>3226</v>
      </c>
      <c r="G1119" t="s">
        <v>67</v>
      </c>
      <c r="H1119" t="str">
        <f>VLOOKUP(Table1[[#This Row],[City]],Table6[#All],2,FALSE)</f>
        <v>East</v>
      </c>
      <c r="I1119" t="s">
        <v>24</v>
      </c>
      <c r="J1119" t="str">
        <f>_xlfn.XLOOKUP(Table1[[#This Row],[Tractor Model]],Table7[Product Model],Table7[Product Category],"Not Available",0)</f>
        <v>Farmtrac</v>
      </c>
      <c r="K1119" s="4">
        <v>5</v>
      </c>
      <c r="L1119" s="72">
        <v>390848</v>
      </c>
      <c r="M1119" s="4">
        <f>INDEX('Master Sheet'!$C$4:$C$12,MATCH(Table1[[#This Row],[Quantity]],'Master Sheet'!$B$4:$B$12,0))</f>
        <v>7</v>
      </c>
      <c r="N1119" s="71">
        <f>Table1[[#This Row],[Quantity]]*Table1[[#This Row],[Unit Price]]</f>
        <v>1954240</v>
      </c>
      <c r="O1119" s="73">
        <v>0.19542399999999999</v>
      </c>
      <c r="P1119" s="70">
        <f>Table1[[#This Row],[Gross Amount]]*(1-(Table1[[#This Row],[Discount %]]/100))</f>
        <v>1817443.2</v>
      </c>
      <c r="Q1119" s="74">
        <f>(Table1[[#This Row],[Gross Amount]]*(1-(Table1[[#This Row],[Discount %]]/100)))/10000000</f>
        <v>0.18174431999999999</v>
      </c>
      <c r="R1119" t="s">
        <v>42</v>
      </c>
      <c r="S1119" t="str" cm="1">
        <f t="array" ref="S1119">IFERROR(_xlfn.IFS(Table1[[#This Row],[Payment Status]]="Partial","In Transit",Table1[[#This Row],[Payment Status]]="Paid","Delivered",Table1[[#This Row],[Payment Status]]="Pending","Pending"),"Invalid Input")</f>
        <v>Pending</v>
      </c>
      <c r="T1119" t="s">
        <v>44</v>
      </c>
      <c r="U1119" t="str" cm="1">
        <f t="array" ref="U1119">IFERROR(_xlfn.IFS(Table1[[#This Row],[Payment Status]]="Partial","In Transit",Table1[[#This Row],[Payment Status]]="Paid","Completed",Table1[[#This Row],[Payment Status]]="Pending","Pending"),"Invalid Input")</f>
        <v>Pending</v>
      </c>
    </row>
    <row r="1120" spans="1:21" x14ac:dyDescent="0.25">
      <c r="A1120" s="4" t="s">
        <v>2005</v>
      </c>
      <c r="B1120" s="5">
        <v>45459</v>
      </c>
      <c r="C1120" t="s">
        <v>41</v>
      </c>
      <c r="D1120" t="s">
        <v>37</v>
      </c>
      <c r="E1120" t="s">
        <v>38</v>
      </c>
      <c r="F1120" t="s">
        <v>3214</v>
      </c>
      <c r="G1120" t="s">
        <v>39</v>
      </c>
      <c r="H1120" t="str">
        <f>VLOOKUP(Table1[[#This Row],[City]],Table6[#All],2,FALSE)</f>
        <v>West</v>
      </c>
      <c r="I1120" t="s">
        <v>53</v>
      </c>
      <c r="J1120" t="str">
        <f>_xlfn.XLOOKUP(Table1[[#This Row],[Tractor Model]],Table7[Product Model],Table7[Product Category],"Not Available",0)</f>
        <v>Farmtrac</v>
      </c>
      <c r="K1120" s="4">
        <v>6</v>
      </c>
      <c r="L1120" s="72">
        <v>798598</v>
      </c>
      <c r="M1120" s="4">
        <f>INDEX('Master Sheet'!$C$4:$C$12,MATCH(Table1[[#This Row],[Quantity]],'Master Sheet'!$B$4:$B$12,0))</f>
        <v>8</v>
      </c>
      <c r="N1120" s="71">
        <f>Table1[[#This Row],[Quantity]]*Table1[[#This Row],[Unit Price]]</f>
        <v>4791588</v>
      </c>
      <c r="O1120" s="73">
        <v>0.4791588</v>
      </c>
      <c r="P1120" s="70">
        <f>Table1[[#This Row],[Gross Amount]]*(1-(Table1[[#This Row],[Discount %]]/100))</f>
        <v>4408260.96</v>
      </c>
      <c r="Q1120" s="74">
        <f>(Table1[[#This Row],[Gross Amount]]*(1-(Table1[[#This Row],[Discount %]]/100)))/10000000</f>
        <v>0.440826096</v>
      </c>
      <c r="R1120" t="s">
        <v>54</v>
      </c>
      <c r="S1120" t="str" cm="1">
        <f t="array" ref="S1120">IFERROR(_xlfn.IFS(Table1[[#This Row],[Payment Status]]="Partial","In Transit",Table1[[#This Row],[Payment Status]]="Paid","Delivered",Table1[[#This Row],[Payment Status]]="Pending","Pending"),"Invalid Input")</f>
        <v>Delivered</v>
      </c>
      <c r="T1120" t="s">
        <v>44</v>
      </c>
      <c r="U1120" t="str" cm="1">
        <f t="array" ref="U1120">IFERROR(_xlfn.IFS(Table1[[#This Row],[Payment Status]]="Partial","In Transit",Table1[[#This Row],[Payment Status]]="Paid","Completed",Table1[[#This Row],[Payment Status]]="Pending","Pending"),"Invalid Input")</f>
        <v>Completed</v>
      </c>
    </row>
    <row r="1121" spans="1:21" x14ac:dyDescent="0.25">
      <c r="A1121" s="4" t="s">
        <v>2006</v>
      </c>
      <c r="B1121" s="5">
        <v>45751</v>
      </c>
      <c r="C1121" t="s">
        <v>62</v>
      </c>
      <c r="D1121" t="s">
        <v>37</v>
      </c>
      <c r="E1121" t="s">
        <v>38</v>
      </c>
      <c r="F1121" t="s">
        <v>3214</v>
      </c>
      <c r="G1121" t="s">
        <v>39</v>
      </c>
      <c r="H1121" t="str">
        <f>VLOOKUP(Table1[[#This Row],[City]],Table6[#All],2,FALSE)</f>
        <v>West</v>
      </c>
      <c r="I1121" t="s">
        <v>53</v>
      </c>
      <c r="J1121" t="str">
        <f>_xlfn.XLOOKUP(Table1[[#This Row],[Tractor Model]],Table7[Product Model],Table7[Product Category],"Not Available",0)</f>
        <v>Farmtrac</v>
      </c>
      <c r="K1121" s="4">
        <v>4</v>
      </c>
      <c r="L1121" s="72">
        <v>505937</v>
      </c>
      <c r="M1121" s="4">
        <f>INDEX('Master Sheet'!$C$4:$C$12,MATCH(Table1[[#This Row],[Quantity]],'Master Sheet'!$B$4:$B$12,0))</f>
        <v>6</v>
      </c>
      <c r="N1121" s="71">
        <f>Table1[[#This Row],[Quantity]]*Table1[[#This Row],[Unit Price]]</f>
        <v>2023748</v>
      </c>
      <c r="O1121" s="73">
        <v>0.20237479999999999</v>
      </c>
      <c r="P1121" s="70">
        <f>Table1[[#This Row],[Gross Amount]]*(1-(Table1[[#This Row],[Discount %]]/100))</f>
        <v>1902323.1199999999</v>
      </c>
      <c r="Q1121" s="74">
        <f>(Table1[[#This Row],[Gross Amount]]*(1-(Table1[[#This Row],[Discount %]]/100)))/10000000</f>
        <v>0.19023231199999999</v>
      </c>
      <c r="R1121" t="s">
        <v>54</v>
      </c>
      <c r="S1121" t="str" cm="1">
        <f t="array" ref="S1121">IFERROR(_xlfn.IFS(Table1[[#This Row],[Payment Status]]="Partial","In Transit",Table1[[#This Row],[Payment Status]]="Paid","Delivered",Table1[[#This Row],[Payment Status]]="Pending","Pending"),"Invalid Input")</f>
        <v>Delivered</v>
      </c>
      <c r="T1121" t="s">
        <v>27</v>
      </c>
      <c r="U1121" t="str" cm="1">
        <f t="array" ref="U1121">IFERROR(_xlfn.IFS(Table1[[#This Row],[Payment Status]]="Partial","In Transit",Table1[[#This Row],[Payment Status]]="Paid","Completed",Table1[[#This Row],[Payment Status]]="Pending","Pending"),"Invalid Input")</f>
        <v>Completed</v>
      </c>
    </row>
    <row r="1122" spans="1:21" x14ac:dyDescent="0.25">
      <c r="A1122" s="4" t="s">
        <v>2008</v>
      </c>
      <c r="B1122" s="5">
        <v>45643</v>
      </c>
      <c r="C1122" t="s">
        <v>52</v>
      </c>
      <c r="D1122" t="s">
        <v>3269</v>
      </c>
      <c r="E1122" t="s">
        <v>66</v>
      </c>
      <c r="F1122" t="s">
        <v>3213</v>
      </c>
      <c r="G1122" t="s">
        <v>67</v>
      </c>
      <c r="H1122" t="str">
        <f>VLOOKUP(Table1[[#This Row],[City]],Table6[#All],2,FALSE)</f>
        <v>East</v>
      </c>
      <c r="I1122" t="s">
        <v>58</v>
      </c>
      <c r="J1122" t="str">
        <f>_xlfn.XLOOKUP(Table1[[#This Row],[Tractor Model]],Table7[Product Model],Table7[Product Category],"Not Available",0)</f>
        <v>Powertrac</v>
      </c>
      <c r="K1122" s="4">
        <v>5</v>
      </c>
      <c r="L1122" s="72">
        <v>712051</v>
      </c>
      <c r="M1122" s="4">
        <f>INDEX('Master Sheet'!$C$4:$C$12,MATCH(Table1[[#This Row],[Quantity]],'Master Sheet'!$B$4:$B$12,0))</f>
        <v>7</v>
      </c>
      <c r="N1122" s="71">
        <f>Table1[[#This Row],[Quantity]]*Table1[[#This Row],[Unit Price]]</f>
        <v>3560255</v>
      </c>
      <c r="O1122" s="73">
        <v>0.35602549999999999</v>
      </c>
      <c r="P1122" s="70">
        <f>Table1[[#This Row],[Gross Amount]]*(1-(Table1[[#This Row],[Discount %]]/100))</f>
        <v>3311037.15</v>
      </c>
      <c r="Q1122" s="74">
        <f>(Table1[[#This Row],[Gross Amount]]*(1-(Table1[[#This Row],[Discount %]]/100)))/10000000</f>
        <v>0.33110371499999997</v>
      </c>
      <c r="R1122" t="s">
        <v>25</v>
      </c>
      <c r="S1122" t="str" cm="1">
        <f t="array" ref="S1122">IFERROR(_xlfn.IFS(Table1[[#This Row],[Payment Status]]="Partial","In Transit",Table1[[#This Row],[Payment Status]]="Paid","Delivered",Table1[[#This Row],[Payment Status]]="Pending","Pending"),"Invalid Input")</f>
        <v>In Transit</v>
      </c>
      <c r="T1122" t="s">
        <v>27</v>
      </c>
      <c r="U1122" t="str" cm="1">
        <f t="array" ref="U1122">IFERROR(_xlfn.IFS(Table1[[#This Row],[Payment Status]]="Partial","In Transit",Table1[[#This Row],[Payment Status]]="Paid","Completed",Table1[[#This Row],[Payment Status]]="Pending","Pending"),"Invalid Input")</f>
        <v>In Transit</v>
      </c>
    </row>
    <row r="1123" spans="1:21" x14ac:dyDescent="0.25">
      <c r="A1123" s="4" t="s">
        <v>2010</v>
      </c>
      <c r="B1123" s="5">
        <v>45596</v>
      </c>
      <c r="C1123" t="s">
        <v>41</v>
      </c>
      <c r="D1123" t="s">
        <v>3271</v>
      </c>
      <c r="E1123" t="s">
        <v>47</v>
      </c>
      <c r="F1123" t="s">
        <v>3221</v>
      </c>
      <c r="G1123" t="s">
        <v>48</v>
      </c>
      <c r="H1123" t="str">
        <f>VLOOKUP(Table1[[#This Row],[City]],Table6[#All],2,FALSE)</f>
        <v>North</v>
      </c>
      <c r="I1123" t="s">
        <v>24</v>
      </c>
      <c r="J1123" t="str">
        <f>_xlfn.XLOOKUP(Table1[[#This Row],[Tractor Model]],Table7[Product Model],Table7[Product Category],"Not Available",0)</f>
        <v>Farmtrac</v>
      </c>
      <c r="K1123" s="4">
        <v>1</v>
      </c>
      <c r="L1123" s="72">
        <v>224187</v>
      </c>
      <c r="M1123" s="4">
        <f>INDEX('Master Sheet'!$C$4:$C$12,MATCH(Table1[[#This Row],[Quantity]],'Master Sheet'!$B$4:$B$12,0))</f>
        <v>3</v>
      </c>
      <c r="N1123" s="71">
        <f>Table1[[#This Row],[Quantity]]*Table1[[#This Row],[Unit Price]]</f>
        <v>224187</v>
      </c>
      <c r="O1123" s="73">
        <v>2.24187E-2</v>
      </c>
      <c r="P1123" s="70">
        <f>Table1[[#This Row],[Gross Amount]]*(1-(Table1[[#This Row],[Discount %]]/100))</f>
        <v>217461.38999999998</v>
      </c>
      <c r="Q1123" s="74">
        <f>(Table1[[#This Row],[Gross Amount]]*(1-(Table1[[#This Row],[Discount %]]/100)))/10000000</f>
        <v>2.1746138999999998E-2</v>
      </c>
      <c r="R1123" t="s">
        <v>54</v>
      </c>
      <c r="S1123" t="str" cm="1">
        <f t="array" ref="S1123">IFERROR(_xlfn.IFS(Table1[[#This Row],[Payment Status]]="Partial","In Transit",Table1[[#This Row],[Payment Status]]="Paid","Delivered",Table1[[#This Row],[Payment Status]]="Pending","Pending"),"Invalid Input")</f>
        <v>Delivered</v>
      </c>
      <c r="T1123" t="s">
        <v>44</v>
      </c>
      <c r="U1123" t="str" cm="1">
        <f t="array" ref="U1123">IFERROR(_xlfn.IFS(Table1[[#This Row],[Payment Status]]="Partial","In Transit",Table1[[#This Row],[Payment Status]]="Paid","Completed",Table1[[#This Row],[Payment Status]]="Pending","Pending"),"Invalid Input")</f>
        <v>Completed</v>
      </c>
    </row>
    <row r="1124" spans="1:21" x14ac:dyDescent="0.25">
      <c r="A1124" s="4" t="s">
        <v>2012</v>
      </c>
      <c r="B1124" s="5">
        <v>45534</v>
      </c>
      <c r="C1124" t="s">
        <v>33</v>
      </c>
      <c r="D1124" t="s">
        <v>3271</v>
      </c>
      <c r="E1124" t="s">
        <v>119</v>
      </c>
      <c r="F1124" t="s">
        <v>3228</v>
      </c>
      <c r="G1124" t="s">
        <v>21</v>
      </c>
      <c r="H1124" t="str">
        <f>VLOOKUP(Table1[[#This Row],[City]],Table6[#All],2,FALSE)</f>
        <v>North</v>
      </c>
      <c r="I1124" t="s">
        <v>24</v>
      </c>
      <c r="J1124" t="str">
        <f>_xlfn.XLOOKUP(Table1[[#This Row],[Tractor Model]],Table7[Product Model],Table7[Product Category],"Not Available",0)</f>
        <v>Farmtrac</v>
      </c>
      <c r="K1124" s="4">
        <v>8</v>
      </c>
      <c r="L1124" s="72">
        <v>630344</v>
      </c>
      <c r="M1124" s="4">
        <f>INDEX('Master Sheet'!$C$4:$C$12,MATCH(Table1[[#This Row],[Quantity]],'Master Sheet'!$B$4:$B$12,0))</f>
        <v>9</v>
      </c>
      <c r="N1124" s="71">
        <f>Table1[[#This Row],[Quantity]]*Table1[[#This Row],[Unit Price]]</f>
        <v>5042752</v>
      </c>
      <c r="O1124" s="73">
        <v>0.50427520000000003</v>
      </c>
      <c r="P1124" s="70">
        <f>Table1[[#This Row],[Gross Amount]]*(1-(Table1[[#This Row],[Discount %]]/100))</f>
        <v>4588904.32</v>
      </c>
      <c r="Q1124" s="74">
        <f>(Table1[[#This Row],[Gross Amount]]*(1-(Table1[[#This Row],[Discount %]]/100)))/10000000</f>
        <v>0.45889043200000001</v>
      </c>
      <c r="R1124" t="s">
        <v>54</v>
      </c>
      <c r="S1124" t="str" cm="1">
        <f t="array" ref="S1124">IFERROR(_xlfn.IFS(Table1[[#This Row],[Payment Status]]="Partial","In Transit",Table1[[#This Row],[Payment Status]]="Paid","Delivered",Table1[[#This Row],[Payment Status]]="Pending","Pending"),"Invalid Input")</f>
        <v>Delivered</v>
      </c>
      <c r="T1124" t="s">
        <v>27</v>
      </c>
      <c r="U1124" t="str" cm="1">
        <f t="array" ref="U1124">IFERROR(_xlfn.IFS(Table1[[#This Row],[Payment Status]]="Partial","In Transit",Table1[[#This Row],[Payment Status]]="Paid","Completed",Table1[[#This Row],[Payment Status]]="Pending","Pending"),"Invalid Input")</f>
        <v>Completed</v>
      </c>
    </row>
    <row r="1125" spans="1:21" x14ac:dyDescent="0.25">
      <c r="A1125" s="4" t="s">
        <v>2014</v>
      </c>
      <c r="B1125" s="5">
        <v>45366</v>
      </c>
      <c r="C1125" t="s">
        <v>41</v>
      </c>
      <c r="D1125" t="s">
        <v>37</v>
      </c>
      <c r="E1125" t="s">
        <v>30</v>
      </c>
      <c r="F1125" t="s">
        <v>3222</v>
      </c>
      <c r="G1125" t="s">
        <v>31</v>
      </c>
      <c r="H1125" t="str">
        <f>VLOOKUP(Table1[[#This Row],[City]],Table6[#All],2,FALSE)</f>
        <v>South</v>
      </c>
      <c r="I1125" t="s">
        <v>3204</v>
      </c>
      <c r="J1125" t="str">
        <f>_xlfn.XLOOKUP(Table1[[#This Row],[Tractor Model]],Table7[Product Model],Table7[Product Category],"Not Available",0)</f>
        <v>Kubota</v>
      </c>
      <c r="K1125" s="4">
        <v>1</v>
      </c>
      <c r="L1125" s="72">
        <v>444634</v>
      </c>
      <c r="M1125" s="4">
        <f>INDEX('Master Sheet'!$C$4:$C$12,MATCH(Table1[[#This Row],[Quantity]],'Master Sheet'!$B$4:$B$12,0))</f>
        <v>3</v>
      </c>
      <c r="N1125" s="71">
        <f>Table1[[#This Row],[Quantity]]*Table1[[#This Row],[Unit Price]]</f>
        <v>444634</v>
      </c>
      <c r="O1125" s="73">
        <v>4.44634E-2</v>
      </c>
      <c r="P1125" s="70">
        <f>Table1[[#This Row],[Gross Amount]]*(1-(Table1[[#This Row],[Discount %]]/100))</f>
        <v>431294.98</v>
      </c>
      <c r="Q1125" s="74">
        <f>(Table1[[#This Row],[Gross Amount]]*(1-(Table1[[#This Row],[Discount %]]/100)))/10000000</f>
        <v>4.3129497999999995E-2</v>
      </c>
      <c r="R1125" t="s">
        <v>42</v>
      </c>
      <c r="S1125" t="str" cm="1">
        <f t="array" ref="S1125">IFERROR(_xlfn.IFS(Table1[[#This Row],[Payment Status]]="Partial","In Transit",Table1[[#This Row],[Payment Status]]="Paid","Delivered",Table1[[#This Row],[Payment Status]]="Pending","Pending"),"Invalid Input")</f>
        <v>Pending</v>
      </c>
      <c r="T1125" t="s">
        <v>44</v>
      </c>
      <c r="U1125" t="str" cm="1">
        <f t="array" ref="U1125">IFERROR(_xlfn.IFS(Table1[[#This Row],[Payment Status]]="Partial","In Transit",Table1[[#This Row],[Payment Status]]="Paid","Completed",Table1[[#This Row],[Payment Status]]="Pending","Pending"),"Invalid Input")</f>
        <v>Pending</v>
      </c>
    </row>
    <row r="1126" spans="1:21" x14ac:dyDescent="0.25">
      <c r="A1126" s="4" t="s">
        <v>2015</v>
      </c>
      <c r="B1126" s="5">
        <v>45309</v>
      </c>
      <c r="C1126" t="s">
        <v>73</v>
      </c>
      <c r="D1126" t="s">
        <v>3270</v>
      </c>
      <c r="E1126" t="s">
        <v>38</v>
      </c>
      <c r="F1126" t="s">
        <v>3218</v>
      </c>
      <c r="G1126" t="s">
        <v>39</v>
      </c>
      <c r="H1126" t="str">
        <f>VLOOKUP(Table1[[#This Row],[City]],Table6[#All],2,FALSE)</f>
        <v>West</v>
      </c>
      <c r="I1126" t="s">
        <v>58</v>
      </c>
      <c r="J1126" t="str">
        <f>_xlfn.XLOOKUP(Table1[[#This Row],[Tractor Model]],Table7[Product Model],Table7[Product Category],"Not Available",0)</f>
        <v>Powertrac</v>
      </c>
      <c r="K1126" s="4">
        <v>7</v>
      </c>
      <c r="L1126" s="72">
        <v>88718</v>
      </c>
      <c r="M1126" s="4">
        <f>INDEX('Master Sheet'!$C$4:$C$12,MATCH(Table1[[#This Row],[Quantity]],'Master Sheet'!$B$4:$B$12,0))</f>
        <v>9</v>
      </c>
      <c r="N1126" s="71">
        <f>Table1[[#This Row],[Quantity]]*Table1[[#This Row],[Unit Price]]</f>
        <v>621026</v>
      </c>
      <c r="O1126" s="73">
        <v>6.2102600000000001E-2</v>
      </c>
      <c r="P1126" s="70">
        <f>Table1[[#This Row],[Gross Amount]]*(1-(Table1[[#This Row],[Discount %]]/100))</f>
        <v>565133.66</v>
      </c>
      <c r="Q1126" s="74">
        <f>(Table1[[#This Row],[Gross Amount]]*(1-(Table1[[#This Row],[Discount %]]/100)))/10000000</f>
        <v>5.6513366000000002E-2</v>
      </c>
      <c r="R1126" t="s">
        <v>25</v>
      </c>
      <c r="S1126" t="str" cm="1">
        <f t="array" ref="S1126">IFERROR(_xlfn.IFS(Table1[[#This Row],[Payment Status]]="Partial","In Transit",Table1[[#This Row],[Payment Status]]="Paid","Delivered",Table1[[#This Row],[Payment Status]]="Pending","Pending"),"Invalid Input")</f>
        <v>In Transit</v>
      </c>
      <c r="T1126" t="s">
        <v>44</v>
      </c>
      <c r="U1126" t="str" cm="1">
        <f t="array" ref="U1126">IFERROR(_xlfn.IFS(Table1[[#This Row],[Payment Status]]="Partial","In Transit",Table1[[#This Row],[Payment Status]]="Paid","Completed",Table1[[#This Row],[Payment Status]]="Pending","Pending"),"Invalid Input")</f>
        <v>In Transit</v>
      </c>
    </row>
    <row r="1127" spans="1:21" x14ac:dyDescent="0.25">
      <c r="A1127" s="4" t="s">
        <v>2017</v>
      </c>
      <c r="B1127" s="5">
        <v>45447</v>
      </c>
      <c r="C1127" t="s">
        <v>52</v>
      </c>
      <c r="D1127" t="s">
        <v>3270</v>
      </c>
      <c r="E1127" t="s">
        <v>47</v>
      </c>
      <c r="F1127" t="s">
        <v>3205</v>
      </c>
      <c r="G1127" t="s">
        <v>48</v>
      </c>
      <c r="H1127" t="str">
        <f>VLOOKUP(Table1[[#This Row],[City]],Table6[#All],2,FALSE)</f>
        <v>North</v>
      </c>
      <c r="I1127" t="s">
        <v>53</v>
      </c>
      <c r="J1127" t="str">
        <f>_xlfn.XLOOKUP(Table1[[#This Row],[Tractor Model]],Table7[Product Model],Table7[Product Category],"Not Available",0)</f>
        <v>Farmtrac</v>
      </c>
      <c r="K1127" s="4">
        <v>4</v>
      </c>
      <c r="L1127" s="72">
        <v>476246</v>
      </c>
      <c r="M1127" s="4">
        <f>INDEX('Master Sheet'!$C$4:$C$12,MATCH(Table1[[#This Row],[Quantity]],'Master Sheet'!$B$4:$B$12,0))</f>
        <v>6</v>
      </c>
      <c r="N1127" s="71">
        <f>Table1[[#This Row],[Quantity]]*Table1[[#This Row],[Unit Price]]</f>
        <v>1904984</v>
      </c>
      <c r="O1127" s="73">
        <v>0.19049840000000001</v>
      </c>
      <c r="P1127" s="70">
        <f>Table1[[#This Row],[Gross Amount]]*(1-(Table1[[#This Row],[Discount %]]/100))</f>
        <v>1790684.96</v>
      </c>
      <c r="Q1127" s="74">
        <f>(Table1[[#This Row],[Gross Amount]]*(1-(Table1[[#This Row],[Discount %]]/100)))/10000000</f>
        <v>0.17906849599999999</v>
      </c>
      <c r="R1127" t="s">
        <v>54</v>
      </c>
      <c r="S1127" t="str" cm="1">
        <f t="array" ref="S1127">IFERROR(_xlfn.IFS(Table1[[#This Row],[Payment Status]]="Partial","In Transit",Table1[[#This Row],[Payment Status]]="Paid","Delivered",Table1[[#This Row],[Payment Status]]="Pending","Pending"),"Invalid Input")</f>
        <v>Delivered</v>
      </c>
      <c r="T1127" t="s">
        <v>27</v>
      </c>
      <c r="U1127" t="str" cm="1">
        <f t="array" ref="U1127">IFERROR(_xlfn.IFS(Table1[[#This Row],[Payment Status]]="Partial","In Transit",Table1[[#This Row],[Payment Status]]="Paid","Completed",Table1[[#This Row],[Payment Status]]="Pending","Pending"),"Invalid Input")</f>
        <v>Completed</v>
      </c>
    </row>
    <row r="1128" spans="1:21" x14ac:dyDescent="0.25">
      <c r="A1128" s="4" t="s">
        <v>2018</v>
      </c>
      <c r="B1128" s="5">
        <v>45406</v>
      </c>
      <c r="C1128" t="s">
        <v>33</v>
      </c>
      <c r="D1128" t="s">
        <v>3271</v>
      </c>
      <c r="E1128" t="s">
        <v>30</v>
      </c>
      <c r="F1128" t="s">
        <v>3217</v>
      </c>
      <c r="G1128" t="s">
        <v>31</v>
      </c>
      <c r="H1128" t="str">
        <f>VLOOKUP(Table1[[#This Row],[City]],Table6[#All],2,FALSE)</f>
        <v>South</v>
      </c>
      <c r="I1128" t="s">
        <v>24</v>
      </c>
      <c r="J1128" t="str">
        <f>_xlfn.XLOOKUP(Table1[[#This Row],[Tractor Model]],Table7[Product Model],Table7[Product Category],"Not Available",0)</f>
        <v>Farmtrac</v>
      </c>
      <c r="K1128" s="4">
        <v>6</v>
      </c>
      <c r="L1128" s="72">
        <v>412135</v>
      </c>
      <c r="M1128" s="4">
        <f>INDEX('Master Sheet'!$C$4:$C$12,MATCH(Table1[[#This Row],[Quantity]],'Master Sheet'!$B$4:$B$12,0))</f>
        <v>8</v>
      </c>
      <c r="N1128" s="71">
        <f>Table1[[#This Row],[Quantity]]*Table1[[#This Row],[Unit Price]]</f>
        <v>2472810</v>
      </c>
      <c r="O1128" s="73">
        <v>0.247281</v>
      </c>
      <c r="P1128" s="70">
        <f>Table1[[#This Row],[Gross Amount]]*(1-(Table1[[#This Row],[Discount %]]/100))</f>
        <v>2274985.2000000002</v>
      </c>
      <c r="Q1128" s="74">
        <f>(Table1[[#This Row],[Gross Amount]]*(1-(Table1[[#This Row],[Discount %]]/100)))/10000000</f>
        <v>0.22749852000000001</v>
      </c>
      <c r="R1128" t="s">
        <v>25</v>
      </c>
      <c r="S1128" t="str" cm="1">
        <f t="array" ref="S1128">IFERROR(_xlfn.IFS(Table1[[#This Row],[Payment Status]]="Partial","In Transit",Table1[[#This Row],[Payment Status]]="Paid","Delivered",Table1[[#This Row],[Payment Status]]="Pending","Pending"),"Invalid Input")</f>
        <v>In Transit</v>
      </c>
      <c r="T1128" t="s">
        <v>44</v>
      </c>
      <c r="U1128" t="str" cm="1">
        <f t="array" ref="U1128">IFERROR(_xlfn.IFS(Table1[[#This Row],[Payment Status]]="Partial","In Transit",Table1[[#This Row],[Payment Status]]="Paid","Completed",Table1[[#This Row],[Payment Status]]="Pending","Pending"),"Invalid Input")</f>
        <v>In Transit</v>
      </c>
    </row>
    <row r="1129" spans="1:21" x14ac:dyDescent="0.25">
      <c r="A1129" s="4" t="s">
        <v>2019</v>
      </c>
      <c r="B1129" s="5">
        <v>45502</v>
      </c>
      <c r="C1129" t="s">
        <v>33</v>
      </c>
      <c r="D1129" t="s">
        <v>3271</v>
      </c>
      <c r="E1129" t="s">
        <v>119</v>
      </c>
      <c r="F1129" t="s">
        <v>3228</v>
      </c>
      <c r="G1129" t="s">
        <v>21</v>
      </c>
      <c r="H1129" t="str">
        <f>VLOOKUP(Table1[[#This Row],[City]],Table6[#All],2,FALSE)</f>
        <v>North</v>
      </c>
      <c r="I1129" t="s">
        <v>53</v>
      </c>
      <c r="J1129" t="str">
        <f>_xlfn.XLOOKUP(Table1[[#This Row],[Tractor Model]],Table7[Product Model],Table7[Product Category],"Not Available",0)</f>
        <v>Farmtrac</v>
      </c>
      <c r="K1129" s="4">
        <v>7</v>
      </c>
      <c r="L1129" s="72">
        <v>663498</v>
      </c>
      <c r="M1129" s="4">
        <f>INDEX('Master Sheet'!$C$4:$C$12,MATCH(Table1[[#This Row],[Quantity]],'Master Sheet'!$B$4:$B$12,0))</f>
        <v>9</v>
      </c>
      <c r="N1129" s="71">
        <f>Table1[[#This Row],[Quantity]]*Table1[[#This Row],[Unit Price]]</f>
        <v>4644486</v>
      </c>
      <c r="O1129" s="73">
        <v>0.46444859999999999</v>
      </c>
      <c r="P1129" s="70">
        <f>Table1[[#This Row],[Gross Amount]]*(1-(Table1[[#This Row],[Discount %]]/100))</f>
        <v>4226482.26</v>
      </c>
      <c r="Q1129" s="74">
        <f>(Table1[[#This Row],[Gross Amount]]*(1-(Table1[[#This Row],[Discount %]]/100)))/10000000</f>
        <v>0.42264822599999996</v>
      </c>
      <c r="R1129" t="s">
        <v>25</v>
      </c>
      <c r="S1129" t="str" cm="1">
        <f t="array" ref="S1129">IFERROR(_xlfn.IFS(Table1[[#This Row],[Payment Status]]="Partial","In Transit",Table1[[#This Row],[Payment Status]]="Paid","Delivered",Table1[[#This Row],[Payment Status]]="Pending","Pending"),"Invalid Input")</f>
        <v>In Transit</v>
      </c>
      <c r="T1129" t="s">
        <v>27</v>
      </c>
      <c r="U1129" t="str" cm="1">
        <f t="array" ref="U1129">IFERROR(_xlfn.IFS(Table1[[#This Row],[Payment Status]]="Partial","In Transit",Table1[[#This Row],[Payment Status]]="Paid","Completed",Table1[[#This Row],[Payment Status]]="Pending","Pending"),"Invalid Input")</f>
        <v>In Transit</v>
      </c>
    </row>
    <row r="1130" spans="1:21" x14ac:dyDescent="0.25">
      <c r="A1130" s="4" t="s">
        <v>2021</v>
      </c>
      <c r="B1130" s="5">
        <v>45314</v>
      </c>
      <c r="C1130" t="s">
        <v>33</v>
      </c>
      <c r="D1130" t="s">
        <v>3269</v>
      </c>
      <c r="E1130" t="s">
        <v>66</v>
      </c>
      <c r="F1130" t="s">
        <v>3213</v>
      </c>
      <c r="G1130" t="s">
        <v>67</v>
      </c>
      <c r="H1130" t="str">
        <f>VLOOKUP(Table1[[#This Row],[City]],Table6[#All],2,FALSE)</f>
        <v>East</v>
      </c>
      <c r="I1130" t="s">
        <v>3204</v>
      </c>
      <c r="J1130" t="str">
        <f>_xlfn.XLOOKUP(Table1[[#This Row],[Tractor Model]],Table7[Product Model],Table7[Product Category],"Not Available",0)</f>
        <v>Kubota</v>
      </c>
      <c r="K1130" s="4">
        <v>8</v>
      </c>
      <c r="L1130" s="72">
        <v>838502</v>
      </c>
      <c r="M1130" s="4">
        <f>INDEX('Master Sheet'!$C$4:$C$12,MATCH(Table1[[#This Row],[Quantity]],'Master Sheet'!$B$4:$B$12,0))</f>
        <v>9</v>
      </c>
      <c r="N1130" s="71">
        <f>Table1[[#This Row],[Quantity]]*Table1[[#This Row],[Unit Price]]</f>
        <v>6708016</v>
      </c>
      <c r="O1130" s="73">
        <v>0.6708016</v>
      </c>
      <c r="P1130" s="70">
        <f>Table1[[#This Row],[Gross Amount]]*(1-(Table1[[#This Row],[Discount %]]/100))</f>
        <v>6104294.5600000005</v>
      </c>
      <c r="Q1130" s="74">
        <f>(Table1[[#This Row],[Gross Amount]]*(1-(Table1[[#This Row],[Discount %]]/100)))/10000000</f>
        <v>0.61042945600000009</v>
      </c>
      <c r="R1130" t="s">
        <v>42</v>
      </c>
      <c r="S1130" t="str" cm="1">
        <f t="array" ref="S1130">IFERROR(_xlfn.IFS(Table1[[#This Row],[Payment Status]]="Partial","In Transit",Table1[[#This Row],[Payment Status]]="Paid","Delivered",Table1[[#This Row],[Payment Status]]="Pending","Pending"),"Invalid Input")</f>
        <v>Pending</v>
      </c>
      <c r="T1130" t="s">
        <v>27</v>
      </c>
      <c r="U1130" t="str" cm="1">
        <f t="array" ref="U1130">IFERROR(_xlfn.IFS(Table1[[#This Row],[Payment Status]]="Partial","In Transit",Table1[[#This Row],[Payment Status]]="Paid","Completed",Table1[[#This Row],[Payment Status]]="Pending","Pending"),"Invalid Input")</f>
        <v>Pending</v>
      </c>
    </row>
    <row r="1131" spans="1:21" x14ac:dyDescent="0.25">
      <c r="A1131" s="4" t="s">
        <v>2023</v>
      </c>
      <c r="B1131" s="5">
        <v>45380</v>
      </c>
      <c r="C1131" t="s">
        <v>41</v>
      </c>
      <c r="D1131" t="s">
        <v>3268</v>
      </c>
      <c r="E1131" t="s">
        <v>66</v>
      </c>
      <c r="F1131" t="s">
        <v>3211</v>
      </c>
      <c r="G1131" t="s">
        <v>67</v>
      </c>
      <c r="H1131" t="str">
        <f>VLOOKUP(Table1[[#This Row],[City]],Table6[#All],2,FALSE)</f>
        <v>East</v>
      </c>
      <c r="I1131" t="s">
        <v>58</v>
      </c>
      <c r="J1131" t="str">
        <f>_xlfn.XLOOKUP(Table1[[#This Row],[Tractor Model]],Table7[Product Model],Table7[Product Category],"Not Available",0)</f>
        <v>Powertrac</v>
      </c>
      <c r="K1131" s="4">
        <v>5</v>
      </c>
      <c r="L1131" s="72">
        <v>804513</v>
      </c>
      <c r="M1131" s="4">
        <f>INDEX('Master Sheet'!$C$4:$C$12,MATCH(Table1[[#This Row],[Quantity]],'Master Sheet'!$B$4:$B$12,0))</f>
        <v>7</v>
      </c>
      <c r="N1131" s="71">
        <f>Table1[[#This Row],[Quantity]]*Table1[[#This Row],[Unit Price]]</f>
        <v>4022565</v>
      </c>
      <c r="O1131" s="73">
        <v>0.40225650000000002</v>
      </c>
      <c r="P1131" s="70">
        <f>Table1[[#This Row],[Gross Amount]]*(1-(Table1[[#This Row],[Discount %]]/100))</f>
        <v>3740985.4499999997</v>
      </c>
      <c r="Q1131" s="74">
        <f>(Table1[[#This Row],[Gross Amount]]*(1-(Table1[[#This Row],[Discount %]]/100)))/10000000</f>
        <v>0.37409854499999995</v>
      </c>
      <c r="R1131" t="s">
        <v>25</v>
      </c>
      <c r="S1131" t="str" cm="1">
        <f t="array" ref="S1131">IFERROR(_xlfn.IFS(Table1[[#This Row],[Payment Status]]="Partial","In Transit",Table1[[#This Row],[Payment Status]]="Paid","Delivered",Table1[[#This Row],[Payment Status]]="Pending","Pending"),"Invalid Input")</f>
        <v>In Transit</v>
      </c>
      <c r="T1131" t="s">
        <v>27</v>
      </c>
      <c r="U1131" t="str" cm="1">
        <f t="array" ref="U1131">IFERROR(_xlfn.IFS(Table1[[#This Row],[Payment Status]]="Partial","In Transit",Table1[[#This Row],[Payment Status]]="Paid","Completed",Table1[[#This Row],[Payment Status]]="Pending","Pending"),"Invalid Input")</f>
        <v>In Transit</v>
      </c>
    </row>
    <row r="1132" spans="1:21" x14ac:dyDescent="0.25">
      <c r="A1132" s="4" t="s">
        <v>2025</v>
      </c>
      <c r="B1132" s="5">
        <v>45614</v>
      </c>
      <c r="C1132" t="s">
        <v>62</v>
      </c>
      <c r="D1132" t="s">
        <v>3271</v>
      </c>
      <c r="E1132" t="s">
        <v>66</v>
      </c>
      <c r="F1132" t="s">
        <v>3207</v>
      </c>
      <c r="G1132" t="s">
        <v>67</v>
      </c>
      <c r="H1132" t="str">
        <f>VLOOKUP(Table1[[#This Row],[City]],Table6[#All],2,FALSE)</f>
        <v>East</v>
      </c>
      <c r="I1132" t="s">
        <v>58</v>
      </c>
      <c r="J1132" t="str">
        <f>_xlfn.XLOOKUP(Table1[[#This Row],[Tractor Model]],Table7[Product Model],Table7[Product Category],"Not Available",0)</f>
        <v>Powertrac</v>
      </c>
      <c r="K1132" s="4">
        <v>8</v>
      </c>
      <c r="L1132" s="72">
        <v>285895</v>
      </c>
      <c r="M1132" s="4">
        <f>INDEX('Master Sheet'!$C$4:$C$12,MATCH(Table1[[#This Row],[Quantity]],'Master Sheet'!$B$4:$B$12,0))</f>
        <v>9</v>
      </c>
      <c r="N1132" s="71">
        <f>Table1[[#This Row],[Quantity]]*Table1[[#This Row],[Unit Price]]</f>
        <v>2287160</v>
      </c>
      <c r="O1132" s="73">
        <v>0.228716</v>
      </c>
      <c r="P1132" s="70">
        <f>Table1[[#This Row],[Gross Amount]]*(1-(Table1[[#This Row],[Discount %]]/100))</f>
        <v>2081315.6</v>
      </c>
      <c r="Q1132" s="74">
        <f>(Table1[[#This Row],[Gross Amount]]*(1-(Table1[[#This Row],[Discount %]]/100)))/10000000</f>
        <v>0.20813156000000002</v>
      </c>
      <c r="R1132" t="s">
        <v>25</v>
      </c>
      <c r="S1132" t="str" cm="1">
        <f t="array" ref="S1132">IFERROR(_xlfn.IFS(Table1[[#This Row],[Payment Status]]="Partial","In Transit",Table1[[#This Row],[Payment Status]]="Paid","Delivered",Table1[[#This Row],[Payment Status]]="Pending","Pending"),"Invalid Input")</f>
        <v>In Transit</v>
      </c>
      <c r="T1132" t="s">
        <v>27</v>
      </c>
      <c r="U1132" t="str" cm="1">
        <f t="array" ref="U1132">IFERROR(_xlfn.IFS(Table1[[#This Row],[Payment Status]]="Partial","In Transit",Table1[[#This Row],[Payment Status]]="Paid","Completed",Table1[[#This Row],[Payment Status]]="Pending","Pending"),"Invalid Input")</f>
        <v>In Transit</v>
      </c>
    </row>
    <row r="1133" spans="1:21" x14ac:dyDescent="0.25">
      <c r="A1133" s="4" t="s">
        <v>2027</v>
      </c>
      <c r="B1133" s="5">
        <v>45774</v>
      </c>
      <c r="C1133" t="s">
        <v>41</v>
      </c>
      <c r="D1133" t="s">
        <v>3269</v>
      </c>
      <c r="E1133" t="s">
        <v>66</v>
      </c>
      <c r="F1133" t="s">
        <v>3213</v>
      </c>
      <c r="G1133" t="s">
        <v>67</v>
      </c>
      <c r="H1133" t="str">
        <f>VLOOKUP(Table1[[#This Row],[City]],Table6[#All],2,FALSE)</f>
        <v>East</v>
      </c>
      <c r="I1133" t="s">
        <v>58</v>
      </c>
      <c r="J1133" t="str">
        <f>_xlfn.XLOOKUP(Table1[[#This Row],[Tractor Model]],Table7[Product Model],Table7[Product Category],"Not Available",0)</f>
        <v>Powertrac</v>
      </c>
      <c r="K1133" s="4">
        <v>2</v>
      </c>
      <c r="L1133" s="72">
        <v>538778</v>
      </c>
      <c r="M1133" s="4">
        <f>INDEX('Master Sheet'!$C$4:$C$12,MATCH(Table1[[#This Row],[Quantity]],'Master Sheet'!$B$4:$B$12,0))</f>
        <v>5</v>
      </c>
      <c r="N1133" s="71">
        <f>Table1[[#This Row],[Quantity]]*Table1[[#This Row],[Unit Price]]</f>
        <v>1077556</v>
      </c>
      <c r="O1133" s="73">
        <v>0.10775560000000001</v>
      </c>
      <c r="P1133" s="70">
        <f>Table1[[#This Row],[Gross Amount]]*(1-(Table1[[#This Row],[Discount %]]/100))</f>
        <v>1023678.2</v>
      </c>
      <c r="Q1133" s="74">
        <f>(Table1[[#This Row],[Gross Amount]]*(1-(Table1[[#This Row],[Discount %]]/100)))/10000000</f>
        <v>0.10236782</v>
      </c>
      <c r="R1133" t="s">
        <v>54</v>
      </c>
      <c r="S1133" t="str" cm="1">
        <f t="array" ref="S1133">IFERROR(_xlfn.IFS(Table1[[#This Row],[Payment Status]]="Partial","In Transit",Table1[[#This Row],[Payment Status]]="Paid","Delivered",Table1[[#This Row],[Payment Status]]="Pending","Pending"),"Invalid Input")</f>
        <v>Delivered</v>
      </c>
      <c r="T1133" t="s">
        <v>27</v>
      </c>
      <c r="U1133" t="str" cm="1">
        <f t="array" ref="U1133">IFERROR(_xlfn.IFS(Table1[[#This Row],[Payment Status]]="Partial","In Transit",Table1[[#This Row],[Payment Status]]="Paid","Completed",Table1[[#This Row],[Payment Status]]="Pending","Pending"),"Invalid Input")</f>
        <v>Completed</v>
      </c>
    </row>
    <row r="1134" spans="1:21" x14ac:dyDescent="0.25">
      <c r="A1134" s="4" t="s">
        <v>2029</v>
      </c>
      <c r="B1134" s="5">
        <v>45541</v>
      </c>
      <c r="C1134" t="s">
        <v>73</v>
      </c>
      <c r="D1134" t="s">
        <v>3268</v>
      </c>
      <c r="E1134" t="s">
        <v>66</v>
      </c>
      <c r="F1134" t="s">
        <v>3211</v>
      </c>
      <c r="G1134" t="s">
        <v>67</v>
      </c>
      <c r="H1134" t="str">
        <f>VLOOKUP(Table1[[#This Row],[City]],Table6[#All],2,FALSE)</f>
        <v>East</v>
      </c>
      <c r="I1134" t="s">
        <v>58</v>
      </c>
      <c r="J1134" t="str">
        <f>_xlfn.XLOOKUP(Table1[[#This Row],[Tractor Model]],Table7[Product Model],Table7[Product Category],"Not Available",0)</f>
        <v>Powertrac</v>
      </c>
      <c r="K1134" s="4">
        <v>8</v>
      </c>
      <c r="L1134" s="72">
        <v>88857</v>
      </c>
      <c r="M1134" s="4">
        <f>INDEX('Master Sheet'!$C$4:$C$12,MATCH(Table1[[#This Row],[Quantity]],'Master Sheet'!$B$4:$B$12,0))</f>
        <v>9</v>
      </c>
      <c r="N1134" s="71">
        <f>Table1[[#This Row],[Quantity]]*Table1[[#This Row],[Unit Price]]</f>
        <v>710856</v>
      </c>
      <c r="O1134" s="73">
        <v>7.1085599999999999E-2</v>
      </c>
      <c r="P1134" s="70">
        <f>Table1[[#This Row],[Gross Amount]]*(1-(Table1[[#This Row],[Discount %]]/100))</f>
        <v>646878.96000000008</v>
      </c>
      <c r="Q1134" s="74">
        <f>(Table1[[#This Row],[Gross Amount]]*(1-(Table1[[#This Row],[Discount %]]/100)))/10000000</f>
        <v>6.4687896000000009E-2</v>
      </c>
      <c r="R1134" t="s">
        <v>54</v>
      </c>
      <c r="S1134" t="str" cm="1">
        <f t="array" ref="S1134">IFERROR(_xlfn.IFS(Table1[[#This Row],[Payment Status]]="Partial","In Transit",Table1[[#This Row],[Payment Status]]="Paid","Delivered",Table1[[#This Row],[Payment Status]]="Pending","Pending"),"Invalid Input")</f>
        <v>Delivered</v>
      </c>
      <c r="T1134" t="s">
        <v>27</v>
      </c>
      <c r="U1134" t="str" cm="1">
        <f t="array" ref="U1134">IFERROR(_xlfn.IFS(Table1[[#This Row],[Payment Status]]="Partial","In Transit",Table1[[#This Row],[Payment Status]]="Paid","Completed",Table1[[#This Row],[Payment Status]]="Pending","Pending"),"Invalid Input")</f>
        <v>Completed</v>
      </c>
    </row>
    <row r="1135" spans="1:21" x14ac:dyDescent="0.25">
      <c r="A1135" s="4" t="s">
        <v>2031</v>
      </c>
      <c r="B1135" s="5">
        <v>45600</v>
      </c>
      <c r="C1135" t="s">
        <v>41</v>
      </c>
      <c r="D1135" t="s">
        <v>3271</v>
      </c>
      <c r="E1135" t="s">
        <v>47</v>
      </c>
      <c r="F1135" t="s">
        <v>3221</v>
      </c>
      <c r="G1135" t="s">
        <v>48</v>
      </c>
      <c r="H1135" t="str">
        <f>VLOOKUP(Table1[[#This Row],[City]],Table6[#All],2,FALSE)</f>
        <v>North</v>
      </c>
      <c r="I1135" t="s">
        <v>3203</v>
      </c>
      <c r="J1135" t="str">
        <f>_xlfn.XLOOKUP(Table1[[#This Row],[Tractor Model]],Table7[Product Model],Table7[Product Category],"Not Available",0)</f>
        <v>Kubota</v>
      </c>
      <c r="K1135" s="4">
        <v>5</v>
      </c>
      <c r="L1135" s="72">
        <v>887010</v>
      </c>
      <c r="M1135" s="4">
        <f>INDEX('Master Sheet'!$C$4:$C$12,MATCH(Table1[[#This Row],[Quantity]],'Master Sheet'!$B$4:$B$12,0))</f>
        <v>7</v>
      </c>
      <c r="N1135" s="71">
        <f>Table1[[#This Row],[Quantity]]*Table1[[#This Row],[Unit Price]]</f>
        <v>4435050</v>
      </c>
      <c r="O1135" s="73">
        <v>0.44350499999999998</v>
      </c>
      <c r="P1135" s="70">
        <f>Table1[[#This Row],[Gross Amount]]*(1-(Table1[[#This Row],[Discount %]]/100))</f>
        <v>4124596.4999999995</v>
      </c>
      <c r="Q1135" s="74">
        <f>(Table1[[#This Row],[Gross Amount]]*(1-(Table1[[#This Row],[Discount %]]/100)))/10000000</f>
        <v>0.41245964999999996</v>
      </c>
      <c r="R1135" t="s">
        <v>42</v>
      </c>
      <c r="S1135" t="str" cm="1">
        <f t="array" ref="S1135">IFERROR(_xlfn.IFS(Table1[[#This Row],[Payment Status]]="Partial","In Transit",Table1[[#This Row],[Payment Status]]="Paid","Delivered",Table1[[#This Row],[Payment Status]]="Pending","Pending"),"Invalid Input")</f>
        <v>Pending</v>
      </c>
      <c r="T1135" t="s">
        <v>44</v>
      </c>
      <c r="U1135" t="str" cm="1">
        <f t="array" ref="U1135">IFERROR(_xlfn.IFS(Table1[[#This Row],[Payment Status]]="Partial","In Transit",Table1[[#This Row],[Payment Status]]="Paid","Completed",Table1[[#This Row],[Payment Status]]="Pending","Pending"),"Invalid Input")</f>
        <v>Pending</v>
      </c>
    </row>
    <row r="1136" spans="1:21" x14ac:dyDescent="0.25">
      <c r="A1136" s="4" t="s">
        <v>2032</v>
      </c>
      <c r="B1136" s="5">
        <v>45623</v>
      </c>
      <c r="C1136" t="s">
        <v>52</v>
      </c>
      <c r="D1136" t="s">
        <v>3270</v>
      </c>
      <c r="E1136" t="s">
        <v>30</v>
      </c>
      <c r="F1136" t="s">
        <v>3223</v>
      </c>
      <c r="G1136" t="s">
        <v>31</v>
      </c>
      <c r="H1136" t="str">
        <f>VLOOKUP(Table1[[#This Row],[City]],Table6[#All],2,FALSE)</f>
        <v>South</v>
      </c>
      <c r="I1136" t="s">
        <v>53</v>
      </c>
      <c r="J1136" t="str">
        <f>_xlfn.XLOOKUP(Table1[[#This Row],[Tractor Model]],Table7[Product Model],Table7[Product Category],"Not Available",0)</f>
        <v>Farmtrac</v>
      </c>
      <c r="K1136" s="4">
        <v>7</v>
      </c>
      <c r="L1136" s="72">
        <v>193675</v>
      </c>
      <c r="M1136" s="4">
        <f>INDEX('Master Sheet'!$C$4:$C$12,MATCH(Table1[[#This Row],[Quantity]],'Master Sheet'!$B$4:$B$12,0))</f>
        <v>9</v>
      </c>
      <c r="N1136" s="71">
        <f>Table1[[#This Row],[Quantity]]*Table1[[#This Row],[Unit Price]]</f>
        <v>1355725</v>
      </c>
      <c r="O1136" s="73">
        <v>0.13557250000000001</v>
      </c>
      <c r="P1136" s="70">
        <f>Table1[[#This Row],[Gross Amount]]*(1-(Table1[[#This Row],[Discount %]]/100))</f>
        <v>1233709.75</v>
      </c>
      <c r="Q1136" s="74">
        <f>(Table1[[#This Row],[Gross Amount]]*(1-(Table1[[#This Row],[Discount %]]/100)))/10000000</f>
        <v>0.12337097499999999</v>
      </c>
      <c r="R1136" t="s">
        <v>25</v>
      </c>
      <c r="S1136" t="str" cm="1">
        <f t="array" ref="S1136">IFERROR(_xlfn.IFS(Table1[[#This Row],[Payment Status]]="Partial","In Transit",Table1[[#This Row],[Payment Status]]="Paid","Delivered",Table1[[#This Row],[Payment Status]]="Pending","Pending"),"Invalid Input")</f>
        <v>In Transit</v>
      </c>
      <c r="T1136" t="s">
        <v>44</v>
      </c>
      <c r="U1136" t="str" cm="1">
        <f t="array" ref="U1136">IFERROR(_xlfn.IFS(Table1[[#This Row],[Payment Status]]="Partial","In Transit",Table1[[#This Row],[Payment Status]]="Paid","Completed",Table1[[#This Row],[Payment Status]]="Pending","Pending"),"Invalid Input")</f>
        <v>In Transit</v>
      </c>
    </row>
    <row r="1137" spans="1:21" x14ac:dyDescent="0.25">
      <c r="A1137" s="4" t="s">
        <v>2035</v>
      </c>
      <c r="B1137" s="5">
        <v>45392</v>
      </c>
      <c r="C1137" t="s">
        <v>62</v>
      </c>
      <c r="D1137" t="s">
        <v>3270</v>
      </c>
      <c r="E1137" t="s">
        <v>47</v>
      </c>
      <c r="F1137" t="s">
        <v>3205</v>
      </c>
      <c r="G1137" t="s">
        <v>48</v>
      </c>
      <c r="H1137" t="str">
        <f>VLOOKUP(Table1[[#This Row],[City]],Table6[#All],2,FALSE)</f>
        <v>North</v>
      </c>
      <c r="I1137" t="s">
        <v>3203</v>
      </c>
      <c r="J1137" t="str">
        <f>_xlfn.XLOOKUP(Table1[[#This Row],[Tractor Model]],Table7[Product Model],Table7[Product Category],"Not Available",0)</f>
        <v>Kubota</v>
      </c>
      <c r="K1137" s="4">
        <v>6</v>
      </c>
      <c r="L1137" s="72">
        <v>107389</v>
      </c>
      <c r="M1137" s="4">
        <f>INDEX('Master Sheet'!$C$4:$C$12,MATCH(Table1[[#This Row],[Quantity]],'Master Sheet'!$B$4:$B$12,0))</f>
        <v>8</v>
      </c>
      <c r="N1137" s="71">
        <f>Table1[[#This Row],[Quantity]]*Table1[[#This Row],[Unit Price]]</f>
        <v>644334</v>
      </c>
      <c r="O1137" s="73">
        <v>6.4433400000000002E-2</v>
      </c>
      <c r="P1137" s="70">
        <f>Table1[[#This Row],[Gross Amount]]*(1-(Table1[[#This Row],[Discount %]]/100))</f>
        <v>592787.28</v>
      </c>
      <c r="Q1137" s="74">
        <f>(Table1[[#This Row],[Gross Amount]]*(1-(Table1[[#This Row],[Discount %]]/100)))/10000000</f>
        <v>5.9278728000000003E-2</v>
      </c>
      <c r="R1137" t="s">
        <v>25</v>
      </c>
      <c r="S1137" t="str" cm="1">
        <f t="array" ref="S1137">IFERROR(_xlfn.IFS(Table1[[#This Row],[Payment Status]]="Partial","In Transit",Table1[[#This Row],[Payment Status]]="Paid","Delivered",Table1[[#This Row],[Payment Status]]="Pending","Pending"),"Invalid Input")</f>
        <v>In Transit</v>
      </c>
      <c r="T1137" t="s">
        <v>27</v>
      </c>
      <c r="U1137" t="str" cm="1">
        <f t="array" ref="U1137">IFERROR(_xlfn.IFS(Table1[[#This Row],[Payment Status]]="Partial","In Transit",Table1[[#This Row],[Payment Status]]="Paid","Completed",Table1[[#This Row],[Payment Status]]="Pending","Pending"),"Invalid Input")</f>
        <v>In Transit</v>
      </c>
    </row>
    <row r="1138" spans="1:21" x14ac:dyDescent="0.25">
      <c r="A1138" s="4" t="s">
        <v>2037</v>
      </c>
      <c r="B1138" s="5">
        <v>45502</v>
      </c>
      <c r="C1138" t="s">
        <v>33</v>
      </c>
      <c r="D1138" t="s">
        <v>3268</v>
      </c>
      <c r="E1138" t="s">
        <v>119</v>
      </c>
      <c r="F1138" t="s">
        <v>3227</v>
      </c>
      <c r="G1138" t="s">
        <v>21</v>
      </c>
      <c r="H1138" t="str">
        <f>VLOOKUP(Table1[[#This Row],[City]],Table6[#All],2,FALSE)</f>
        <v>North</v>
      </c>
      <c r="I1138" t="s">
        <v>3204</v>
      </c>
      <c r="J1138" t="str">
        <f>_xlfn.XLOOKUP(Table1[[#This Row],[Tractor Model]],Table7[Product Model],Table7[Product Category],"Not Available",0)</f>
        <v>Kubota</v>
      </c>
      <c r="K1138" s="4">
        <v>5</v>
      </c>
      <c r="L1138" s="72">
        <v>535355</v>
      </c>
      <c r="M1138" s="4">
        <f>INDEX('Master Sheet'!$C$4:$C$12,MATCH(Table1[[#This Row],[Quantity]],'Master Sheet'!$B$4:$B$12,0))</f>
        <v>7</v>
      </c>
      <c r="N1138" s="71">
        <f>Table1[[#This Row],[Quantity]]*Table1[[#This Row],[Unit Price]]</f>
        <v>2676775</v>
      </c>
      <c r="O1138" s="73">
        <v>0.26767750000000001</v>
      </c>
      <c r="P1138" s="70">
        <f>Table1[[#This Row],[Gross Amount]]*(1-(Table1[[#This Row],[Discount %]]/100))</f>
        <v>2489400.75</v>
      </c>
      <c r="Q1138" s="74">
        <f>(Table1[[#This Row],[Gross Amount]]*(1-(Table1[[#This Row],[Discount %]]/100)))/10000000</f>
        <v>0.24894007500000001</v>
      </c>
      <c r="R1138" t="s">
        <v>54</v>
      </c>
      <c r="S1138" t="str" cm="1">
        <f t="array" ref="S1138">IFERROR(_xlfn.IFS(Table1[[#This Row],[Payment Status]]="Partial","In Transit",Table1[[#This Row],[Payment Status]]="Paid","Delivered",Table1[[#This Row],[Payment Status]]="Pending","Pending"),"Invalid Input")</f>
        <v>Delivered</v>
      </c>
      <c r="T1138" t="s">
        <v>27</v>
      </c>
      <c r="U1138" t="str" cm="1">
        <f t="array" ref="U1138">IFERROR(_xlfn.IFS(Table1[[#This Row],[Payment Status]]="Partial","In Transit",Table1[[#This Row],[Payment Status]]="Paid","Completed",Table1[[#This Row],[Payment Status]]="Pending","Pending"),"Invalid Input")</f>
        <v>Completed</v>
      </c>
    </row>
    <row r="1139" spans="1:21" x14ac:dyDescent="0.25">
      <c r="A1139" s="4" t="s">
        <v>2038</v>
      </c>
      <c r="B1139" s="5">
        <v>45582</v>
      </c>
      <c r="C1139" t="s">
        <v>41</v>
      </c>
      <c r="D1139" t="s">
        <v>37</v>
      </c>
      <c r="E1139" t="s">
        <v>66</v>
      </c>
      <c r="F1139" t="s">
        <v>3226</v>
      </c>
      <c r="G1139" t="s">
        <v>67</v>
      </c>
      <c r="H1139" t="str">
        <f>VLOOKUP(Table1[[#This Row],[City]],Table6[#All],2,FALSE)</f>
        <v>East</v>
      </c>
      <c r="I1139" t="s">
        <v>58</v>
      </c>
      <c r="J1139" t="str">
        <f>_xlfn.XLOOKUP(Table1[[#This Row],[Tractor Model]],Table7[Product Model],Table7[Product Category],"Not Available",0)</f>
        <v>Powertrac</v>
      </c>
      <c r="K1139" s="4">
        <v>7</v>
      </c>
      <c r="L1139" s="72">
        <v>146614</v>
      </c>
      <c r="M1139" s="4">
        <f>INDEX('Master Sheet'!$C$4:$C$12,MATCH(Table1[[#This Row],[Quantity]],'Master Sheet'!$B$4:$B$12,0))</f>
        <v>9</v>
      </c>
      <c r="N1139" s="71">
        <f>Table1[[#This Row],[Quantity]]*Table1[[#This Row],[Unit Price]]</f>
        <v>1026298</v>
      </c>
      <c r="O1139" s="73">
        <v>0.10262979999999999</v>
      </c>
      <c r="P1139" s="70">
        <f>Table1[[#This Row],[Gross Amount]]*(1-(Table1[[#This Row],[Discount %]]/100))</f>
        <v>933931.18</v>
      </c>
      <c r="Q1139" s="74">
        <f>(Table1[[#This Row],[Gross Amount]]*(1-(Table1[[#This Row],[Discount %]]/100)))/10000000</f>
        <v>9.3393118000000011E-2</v>
      </c>
      <c r="R1139" t="s">
        <v>42</v>
      </c>
      <c r="S1139" t="str" cm="1">
        <f t="array" ref="S1139">IFERROR(_xlfn.IFS(Table1[[#This Row],[Payment Status]]="Partial","In Transit",Table1[[#This Row],[Payment Status]]="Paid","Delivered",Table1[[#This Row],[Payment Status]]="Pending","Pending"),"Invalid Input")</f>
        <v>Pending</v>
      </c>
      <c r="T1139" t="s">
        <v>44</v>
      </c>
      <c r="U1139" t="str" cm="1">
        <f t="array" ref="U1139">IFERROR(_xlfn.IFS(Table1[[#This Row],[Payment Status]]="Partial","In Transit",Table1[[#This Row],[Payment Status]]="Paid","Completed",Table1[[#This Row],[Payment Status]]="Pending","Pending"),"Invalid Input")</f>
        <v>Pending</v>
      </c>
    </row>
    <row r="1140" spans="1:21" x14ac:dyDescent="0.25">
      <c r="A1140" s="4" t="s">
        <v>2039</v>
      </c>
      <c r="B1140" s="5">
        <v>45653</v>
      </c>
      <c r="C1140" t="s">
        <v>52</v>
      </c>
      <c r="D1140" t="s">
        <v>3269</v>
      </c>
      <c r="E1140" t="s">
        <v>119</v>
      </c>
      <c r="F1140" t="s">
        <v>3229</v>
      </c>
      <c r="G1140" t="s">
        <v>21</v>
      </c>
      <c r="H1140" t="str">
        <f>VLOOKUP(Table1[[#This Row],[City]],Table6[#All],2,FALSE)</f>
        <v>North</v>
      </c>
      <c r="I1140" t="s">
        <v>53</v>
      </c>
      <c r="J1140" t="str">
        <f>_xlfn.XLOOKUP(Table1[[#This Row],[Tractor Model]],Table7[Product Model],Table7[Product Category],"Not Available",0)</f>
        <v>Farmtrac</v>
      </c>
      <c r="K1140" s="4">
        <v>4</v>
      </c>
      <c r="L1140" s="72">
        <v>771084</v>
      </c>
      <c r="M1140" s="4">
        <f>INDEX('Master Sheet'!$C$4:$C$12,MATCH(Table1[[#This Row],[Quantity]],'Master Sheet'!$B$4:$B$12,0))</f>
        <v>6</v>
      </c>
      <c r="N1140" s="71">
        <f>Table1[[#This Row],[Quantity]]*Table1[[#This Row],[Unit Price]]</f>
        <v>3084336</v>
      </c>
      <c r="O1140" s="73">
        <v>0.30843359999999997</v>
      </c>
      <c r="P1140" s="70">
        <f>Table1[[#This Row],[Gross Amount]]*(1-(Table1[[#This Row],[Discount %]]/100))</f>
        <v>2899275.84</v>
      </c>
      <c r="Q1140" s="74">
        <f>(Table1[[#This Row],[Gross Amount]]*(1-(Table1[[#This Row],[Discount %]]/100)))/10000000</f>
        <v>0.28992758399999996</v>
      </c>
      <c r="R1140" t="s">
        <v>54</v>
      </c>
      <c r="S1140" t="str" cm="1">
        <f t="array" ref="S1140">IFERROR(_xlfn.IFS(Table1[[#This Row],[Payment Status]]="Partial","In Transit",Table1[[#This Row],[Payment Status]]="Paid","Delivered",Table1[[#This Row],[Payment Status]]="Pending","Pending"),"Invalid Input")</f>
        <v>Delivered</v>
      </c>
      <c r="T1140" t="s">
        <v>44</v>
      </c>
      <c r="U1140" t="str" cm="1">
        <f t="array" ref="U1140">IFERROR(_xlfn.IFS(Table1[[#This Row],[Payment Status]]="Partial","In Transit",Table1[[#This Row],[Payment Status]]="Paid","Completed",Table1[[#This Row],[Payment Status]]="Pending","Pending"),"Invalid Input")</f>
        <v>Completed</v>
      </c>
    </row>
    <row r="1141" spans="1:21" x14ac:dyDescent="0.25">
      <c r="A1141" s="4" t="s">
        <v>2040</v>
      </c>
      <c r="B1141" s="5">
        <v>45475</v>
      </c>
      <c r="C1141" t="s">
        <v>52</v>
      </c>
      <c r="D1141" t="s">
        <v>3270</v>
      </c>
      <c r="E1141" t="s">
        <v>30</v>
      </c>
      <c r="F1141" t="s">
        <v>3223</v>
      </c>
      <c r="G1141" t="s">
        <v>31</v>
      </c>
      <c r="H1141" t="str">
        <f>VLOOKUP(Table1[[#This Row],[City]],Table6[#All],2,FALSE)</f>
        <v>South</v>
      </c>
      <c r="I1141" t="s">
        <v>24</v>
      </c>
      <c r="J1141" t="str">
        <f>_xlfn.XLOOKUP(Table1[[#This Row],[Tractor Model]],Table7[Product Model],Table7[Product Category],"Not Available",0)</f>
        <v>Farmtrac</v>
      </c>
      <c r="K1141" s="4">
        <v>2</v>
      </c>
      <c r="L1141" s="72">
        <v>92296</v>
      </c>
      <c r="M1141" s="4">
        <f>INDEX('Master Sheet'!$C$4:$C$12,MATCH(Table1[[#This Row],[Quantity]],'Master Sheet'!$B$4:$B$12,0))</f>
        <v>5</v>
      </c>
      <c r="N1141" s="71">
        <f>Table1[[#This Row],[Quantity]]*Table1[[#This Row],[Unit Price]]</f>
        <v>184592</v>
      </c>
      <c r="O1141" s="73">
        <v>1.8459199999999999E-2</v>
      </c>
      <c r="P1141" s="70">
        <f>Table1[[#This Row],[Gross Amount]]*(1-(Table1[[#This Row],[Discount %]]/100))</f>
        <v>175362.4</v>
      </c>
      <c r="Q1141" s="74">
        <f>(Table1[[#This Row],[Gross Amount]]*(1-(Table1[[#This Row],[Discount %]]/100)))/10000000</f>
        <v>1.7536239999999998E-2</v>
      </c>
      <c r="R1141" t="s">
        <v>42</v>
      </c>
      <c r="S1141" t="str" cm="1">
        <f t="array" ref="S1141">IFERROR(_xlfn.IFS(Table1[[#This Row],[Payment Status]]="Partial","In Transit",Table1[[#This Row],[Payment Status]]="Paid","Delivered",Table1[[#This Row],[Payment Status]]="Pending","Pending"),"Invalid Input")</f>
        <v>Pending</v>
      </c>
      <c r="T1141" t="s">
        <v>44</v>
      </c>
      <c r="U1141" t="str" cm="1">
        <f t="array" ref="U1141">IFERROR(_xlfn.IFS(Table1[[#This Row],[Payment Status]]="Partial","In Transit",Table1[[#This Row],[Payment Status]]="Paid","Completed",Table1[[#This Row],[Payment Status]]="Pending","Pending"),"Invalid Input")</f>
        <v>Pending</v>
      </c>
    </row>
    <row r="1142" spans="1:21" x14ac:dyDescent="0.25">
      <c r="A1142" s="4" t="s">
        <v>2041</v>
      </c>
      <c r="B1142" s="5">
        <v>45638</v>
      </c>
      <c r="C1142" t="s">
        <v>62</v>
      </c>
      <c r="D1142" t="s">
        <v>3269</v>
      </c>
      <c r="E1142" t="s">
        <v>119</v>
      </c>
      <c r="F1142" t="s">
        <v>3229</v>
      </c>
      <c r="G1142" t="s">
        <v>21</v>
      </c>
      <c r="H1142" t="str">
        <f>VLOOKUP(Table1[[#This Row],[City]],Table6[#All],2,FALSE)</f>
        <v>North</v>
      </c>
      <c r="I1142" t="s">
        <v>24</v>
      </c>
      <c r="J1142" t="str">
        <f>_xlfn.XLOOKUP(Table1[[#This Row],[Tractor Model]],Table7[Product Model],Table7[Product Category],"Not Available",0)</f>
        <v>Farmtrac</v>
      </c>
      <c r="K1142" s="4">
        <v>4</v>
      </c>
      <c r="L1142" s="72">
        <v>342821</v>
      </c>
      <c r="M1142" s="4">
        <f>INDEX('Master Sheet'!$C$4:$C$12,MATCH(Table1[[#This Row],[Quantity]],'Master Sheet'!$B$4:$B$12,0))</f>
        <v>6</v>
      </c>
      <c r="N1142" s="71">
        <f>Table1[[#This Row],[Quantity]]*Table1[[#This Row],[Unit Price]]</f>
        <v>1371284</v>
      </c>
      <c r="O1142" s="73">
        <v>0.13712840000000001</v>
      </c>
      <c r="P1142" s="70">
        <f>Table1[[#This Row],[Gross Amount]]*(1-(Table1[[#This Row],[Discount %]]/100))</f>
        <v>1289006.96</v>
      </c>
      <c r="Q1142" s="74">
        <f>(Table1[[#This Row],[Gross Amount]]*(1-(Table1[[#This Row],[Discount %]]/100)))/10000000</f>
        <v>0.12890069600000001</v>
      </c>
      <c r="R1142" t="s">
        <v>54</v>
      </c>
      <c r="S1142" t="str" cm="1">
        <f t="array" ref="S1142">IFERROR(_xlfn.IFS(Table1[[#This Row],[Payment Status]]="Partial","In Transit",Table1[[#This Row],[Payment Status]]="Paid","Delivered",Table1[[#This Row],[Payment Status]]="Pending","Pending"),"Invalid Input")</f>
        <v>Delivered</v>
      </c>
      <c r="T1142" t="s">
        <v>27</v>
      </c>
      <c r="U1142" t="str" cm="1">
        <f t="array" ref="U1142">IFERROR(_xlfn.IFS(Table1[[#This Row],[Payment Status]]="Partial","In Transit",Table1[[#This Row],[Payment Status]]="Paid","Completed",Table1[[#This Row],[Payment Status]]="Pending","Pending"),"Invalid Input")</f>
        <v>Completed</v>
      </c>
    </row>
    <row r="1143" spans="1:21" x14ac:dyDescent="0.25">
      <c r="A1143" s="4" t="s">
        <v>2043</v>
      </c>
      <c r="B1143" s="5">
        <v>45310</v>
      </c>
      <c r="C1143" t="s">
        <v>33</v>
      </c>
      <c r="D1143" t="s">
        <v>3271</v>
      </c>
      <c r="E1143" t="s">
        <v>47</v>
      </c>
      <c r="F1143" t="s">
        <v>3221</v>
      </c>
      <c r="G1143" t="s">
        <v>48</v>
      </c>
      <c r="H1143" t="str">
        <f>VLOOKUP(Table1[[#This Row],[City]],Table6[#All],2,FALSE)</f>
        <v>North</v>
      </c>
      <c r="I1143" t="s">
        <v>24</v>
      </c>
      <c r="J1143" t="str">
        <f>_xlfn.XLOOKUP(Table1[[#This Row],[Tractor Model]],Table7[Product Model],Table7[Product Category],"Not Available",0)</f>
        <v>Farmtrac</v>
      </c>
      <c r="K1143" s="4">
        <v>3</v>
      </c>
      <c r="L1143" s="72">
        <v>620442</v>
      </c>
      <c r="M1143" s="4">
        <f>INDEX('Master Sheet'!$C$4:$C$12,MATCH(Table1[[#This Row],[Quantity]],'Master Sheet'!$B$4:$B$12,0))</f>
        <v>6</v>
      </c>
      <c r="N1143" s="71">
        <f>Table1[[#This Row],[Quantity]]*Table1[[#This Row],[Unit Price]]</f>
        <v>1861326</v>
      </c>
      <c r="O1143" s="73">
        <v>0.18613260000000001</v>
      </c>
      <c r="P1143" s="70">
        <f>Table1[[#This Row],[Gross Amount]]*(1-(Table1[[#This Row],[Discount %]]/100))</f>
        <v>1749646.44</v>
      </c>
      <c r="Q1143" s="74">
        <f>(Table1[[#This Row],[Gross Amount]]*(1-(Table1[[#This Row],[Discount %]]/100)))/10000000</f>
        <v>0.174964644</v>
      </c>
      <c r="R1143" t="s">
        <v>25</v>
      </c>
      <c r="S1143" t="str" cm="1">
        <f t="array" ref="S1143">IFERROR(_xlfn.IFS(Table1[[#This Row],[Payment Status]]="Partial","In Transit",Table1[[#This Row],[Payment Status]]="Paid","Delivered",Table1[[#This Row],[Payment Status]]="Pending","Pending"),"Invalid Input")</f>
        <v>In Transit</v>
      </c>
      <c r="T1143" t="s">
        <v>44</v>
      </c>
      <c r="U1143" t="str" cm="1">
        <f t="array" ref="U1143">IFERROR(_xlfn.IFS(Table1[[#This Row],[Payment Status]]="Partial","In Transit",Table1[[#This Row],[Payment Status]]="Paid","Completed",Table1[[#This Row],[Payment Status]]="Pending","Pending"),"Invalid Input")</f>
        <v>In Transit</v>
      </c>
    </row>
    <row r="1144" spans="1:21" x14ac:dyDescent="0.25">
      <c r="A1144" s="4" t="s">
        <v>2045</v>
      </c>
      <c r="B1144" s="5">
        <v>45684</v>
      </c>
      <c r="C1144" t="s">
        <v>73</v>
      </c>
      <c r="D1144" t="s">
        <v>3269</v>
      </c>
      <c r="E1144" t="s">
        <v>30</v>
      </c>
      <c r="F1144" t="s">
        <v>3225</v>
      </c>
      <c r="G1144" t="s">
        <v>31</v>
      </c>
      <c r="H1144" t="str">
        <f>VLOOKUP(Table1[[#This Row],[City]],Table6[#All],2,FALSE)</f>
        <v>South</v>
      </c>
      <c r="I1144" t="s">
        <v>3203</v>
      </c>
      <c r="J1144" t="str">
        <f>_xlfn.XLOOKUP(Table1[[#This Row],[Tractor Model]],Table7[Product Model],Table7[Product Category],"Not Available",0)</f>
        <v>Kubota</v>
      </c>
      <c r="K1144" s="4">
        <v>6</v>
      </c>
      <c r="L1144" s="72">
        <v>163602</v>
      </c>
      <c r="M1144" s="4">
        <f>INDEX('Master Sheet'!$C$4:$C$12,MATCH(Table1[[#This Row],[Quantity]],'Master Sheet'!$B$4:$B$12,0))</f>
        <v>8</v>
      </c>
      <c r="N1144" s="71">
        <f>Table1[[#This Row],[Quantity]]*Table1[[#This Row],[Unit Price]]</f>
        <v>981612</v>
      </c>
      <c r="O1144" s="73">
        <v>9.8161200000000004E-2</v>
      </c>
      <c r="P1144" s="70">
        <f>Table1[[#This Row],[Gross Amount]]*(1-(Table1[[#This Row],[Discount %]]/100))</f>
        <v>903083.04</v>
      </c>
      <c r="Q1144" s="74">
        <f>(Table1[[#This Row],[Gross Amount]]*(1-(Table1[[#This Row],[Discount %]]/100)))/10000000</f>
        <v>9.0308304000000006E-2</v>
      </c>
      <c r="R1144" t="s">
        <v>54</v>
      </c>
      <c r="S1144" t="str" cm="1">
        <f t="array" ref="S1144">IFERROR(_xlfn.IFS(Table1[[#This Row],[Payment Status]]="Partial","In Transit",Table1[[#This Row],[Payment Status]]="Paid","Delivered",Table1[[#This Row],[Payment Status]]="Pending","Pending"),"Invalid Input")</f>
        <v>Delivered</v>
      </c>
      <c r="T1144" t="s">
        <v>27</v>
      </c>
      <c r="U1144" t="str" cm="1">
        <f t="array" ref="U1144">IFERROR(_xlfn.IFS(Table1[[#This Row],[Payment Status]]="Partial","In Transit",Table1[[#This Row],[Payment Status]]="Paid","Completed",Table1[[#This Row],[Payment Status]]="Pending","Pending"),"Invalid Input")</f>
        <v>Completed</v>
      </c>
    </row>
    <row r="1145" spans="1:21" x14ac:dyDescent="0.25">
      <c r="A1145" s="4" t="s">
        <v>2046</v>
      </c>
      <c r="B1145" s="5">
        <v>45685</v>
      </c>
      <c r="C1145" t="s">
        <v>73</v>
      </c>
      <c r="D1145" t="s">
        <v>3268</v>
      </c>
      <c r="E1145" t="s">
        <v>119</v>
      </c>
      <c r="F1145" t="s">
        <v>3227</v>
      </c>
      <c r="G1145" t="s">
        <v>21</v>
      </c>
      <c r="H1145" t="str">
        <f>VLOOKUP(Table1[[#This Row],[City]],Table6[#All],2,FALSE)</f>
        <v>North</v>
      </c>
      <c r="I1145" t="s">
        <v>3204</v>
      </c>
      <c r="J1145" t="str">
        <f>_xlfn.XLOOKUP(Table1[[#This Row],[Tractor Model]],Table7[Product Model],Table7[Product Category],"Not Available",0)</f>
        <v>Kubota</v>
      </c>
      <c r="K1145" s="4">
        <v>4</v>
      </c>
      <c r="L1145" s="72">
        <v>527917</v>
      </c>
      <c r="M1145" s="4">
        <f>INDEX('Master Sheet'!$C$4:$C$12,MATCH(Table1[[#This Row],[Quantity]],'Master Sheet'!$B$4:$B$12,0))</f>
        <v>6</v>
      </c>
      <c r="N1145" s="71">
        <f>Table1[[#This Row],[Quantity]]*Table1[[#This Row],[Unit Price]]</f>
        <v>2111668</v>
      </c>
      <c r="O1145" s="73">
        <v>0.21116679999999999</v>
      </c>
      <c r="P1145" s="70">
        <f>Table1[[#This Row],[Gross Amount]]*(1-(Table1[[#This Row],[Discount %]]/100))</f>
        <v>1984967.92</v>
      </c>
      <c r="Q1145" s="74">
        <f>(Table1[[#This Row],[Gross Amount]]*(1-(Table1[[#This Row],[Discount %]]/100)))/10000000</f>
        <v>0.19849679200000001</v>
      </c>
      <c r="R1145" t="s">
        <v>54</v>
      </c>
      <c r="S1145" t="str" cm="1">
        <f t="array" ref="S1145">IFERROR(_xlfn.IFS(Table1[[#This Row],[Payment Status]]="Partial","In Transit",Table1[[#This Row],[Payment Status]]="Paid","Delivered",Table1[[#This Row],[Payment Status]]="Pending","Pending"),"Invalid Input")</f>
        <v>Delivered</v>
      </c>
      <c r="T1145" t="s">
        <v>44</v>
      </c>
      <c r="U1145" t="str" cm="1">
        <f t="array" ref="U1145">IFERROR(_xlfn.IFS(Table1[[#This Row],[Payment Status]]="Partial","In Transit",Table1[[#This Row],[Payment Status]]="Paid","Completed",Table1[[#This Row],[Payment Status]]="Pending","Pending"),"Invalid Input")</f>
        <v>Completed</v>
      </c>
    </row>
    <row r="1146" spans="1:21" x14ac:dyDescent="0.25">
      <c r="A1146" s="4" t="s">
        <v>2048</v>
      </c>
      <c r="B1146" s="5">
        <v>45339</v>
      </c>
      <c r="C1146" t="s">
        <v>41</v>
      </c>
      <c r="D1146" t="s">
        <v>37</v>
      </c>
      <c r="E1146" t="s">
        <v>38</v>
      </c>
      <c r="F1146" t="s">
        <v>3214</v>
      </c>
      <c r="G1146" t="s">
        <v>39</v>
      </c>
      <c r="H1146" t="str">
        <f>VLOOKUP(Table1[[#This Row],[City]],Table6[#All],2,FALSE)</f>
        <v>West</v>
      </c>
      <c r="I1146" t="s">
        <v>3203</v>
      </c>
      <c r="J1146" t="str">
        <f>_xlfn.XLOOKUP(Table1[[#This Row],[Tractor Model]],Table7[Product Model],Table7[Product Category],"Not Available",0)</f>
        <v>Kubota</v>
      </c>
      <c r="K1146" s="4">
        <v>8</v>
      </c>
      <c r="L1146" s="72">
        <v>172942</v>
      </c>
      <c r="M1146" s="4">
        <f>INDEX('Master Sheet'!$C$4:$C$12,MATCH(Table1[[#This Row],[Quantity]],'Master Sheet'!$B$4:$B$12,0))</f>
        <v>9</v>
      </c>
      <c r="N1146" s="71">
        <f>Table1[[#This Row],[Quantity]]*Table1[[#This Row],[Unit Price]]</f>
        <v>1383536</v>
      </c>
      <c r="O1146" s="73">
        <v>0.13835359999999999</v>
      </c>
      <c r="P1146" s="70">
        <f>Table1[[#This Row],[Gross Amount]]*(1-(Table1[[#This Row],[Discount %]]/100))</f>
        <v>1259017.76</v>
      </c>
      <c r="Q1146" s="74">
        <f>(Table1[[#This Row],[Gross Amount]]*(1-(Table1[[#This Row],[Discount %]]/100)))/10000000</f>
        <v>0.12590177599999999</v>
      </c>
      <c r="R1146" t="s">
        <v>54</v>
      </c>
      <c r="S1146" t="str" cm="1">
        <f t="array" ref="S1146">IFERROR(_xlfn.IFS(Table1[[#This Row],[Payment Status]]="Partial","In Transit",Table1[[#This Row],[Payment Status]]="Paid","Delivered",Table1[[#This Row],[Payment Status]]="Pending","Pending"),"Invalid Input")</f>
        <v>Delivered</v>
      </c>
      <c r="T1146" t="s">
        <v>44</v>
      </c>
      <c r="U1146" t="str" cm="1">
        <f t="array" ref="U1146">IFERROR(_xlfn.IFS(Table1[[#This Row],[Payment Status]]="Partial","In Transit",Table1[[#This Row],[Payment Status]]="Paid","Completed",Table1[[#This Row],[Payment Status]]="Pending","Pending"),"Invalid Input")</f>
        <v>Completed</v>
      </c>
    </row>
    <row r="1147" spans="1:21" x14ac:dyDescent="0.25">
      <c r="A1147" s="4" t="s">
        <v>2049</v>
      </c>
      <c r="B1147" s="5">
        <v>45310</v>
      </c>
      <c r="C1147" t="s">
        <v>52</v>
      </c>
      <c r="D1147" t="s">
        <v>3270</v>
      </c>
      <c r="E1147" t="s">
        <v>30</v>
      </c>
      <c r="F1147" t="s">
        <v>3223</v>
      </c>
      <c r="G1147" t="s">
        <v>31</v>
      </c>
      <c r="H1147" t="str">
        <f>VLOOKUP(Table1[[#This Row],[City]],Table6[#All],2,FALSE)</f>
        <v>South</v>
      </c>
      <c r="I1147" t="s">
        <v>3203</v>
      </c>
      <c r="J1147" t="str">
        <f>_xlfn.XLOOKUP(Table1[[#This Row],[Tractor Model]],Table7[Product Model],Table7[Product Category],"Not Available",0)</f>
        <v>Kubota</v>
      </c>
      <c r="K1147" s="4">
        <v>6</v>
      </c>
      <c r="L1147" s="72">
        <v>873488</v>
      </c>
      <c r="M1147" s="4">
        <f>INDEX('Master Sheet'!$C$4:$C$12,MATCH(Table1[[#This Row],[Quantity]],'Master Sheet'!$B$4:$B$12,0))</f>
        <v>8</v>
      </c>
      <c r="N1147" s="71">
        <f>Table1[[#This Row],[Quantity]]*Table1[[#This Row],[Unit Price]]</f>
        <v>5240928</v>
      </c>
      <c r="O1147" s="73">
        <v>0.52409280000000003</v>
      </c>
      <c r="P1147" s="70">
        <f>Table1[[#This Row],[Gross Amount]]*(1-(Table1[[#This Row],[Discount %]]/100))</f>
        <v>4821653.76</v>
      </c>
      <c r="Q1147" s="74">
        <f>(Table1[[#This Row],[Gross Amount]]*(1-(Table1[[#This Row],[Discount %]]/100)))/10000000</f>
        <v>0.48216537599999998</v>
      </c>
      <c r="R1147" t="s">
        <v>25</v>
      </c>
      <c r="S1147" t="str" cm="1">
        <f t="array" ref="S1147">IFERROR(_xlfn.IFS(Table1[[#This Row],[Payment Status]]="Partial","In Transit",Table1[[#This Row],[Payment Status]]="Paid","Delivered",Table1[[#This Row],[Payment Status]]="Pending","Pending"),"Invalid Input")</f>
        <v>In Transit</v>
      </c>
      <c r="T1147" t="s">
        <v>27</v>
      </c>
      <c r="U1147" t="str" cm="1">
        <f t="array" ref="U1147">IFERROR(_xlfn.IFS(Table1[[#This Row],[Payment Status]]="Partial","In Transit",Table1[[#This Row],[Payment Status]]="Paid","Completed",Table1[[#This Row],[Payment Status]]="Pending","Pending"),"Invalid Input")</f>
        <v>In Transit</v>
      </c>
    </row>
    <row r="1148" spans="1:21" x14ac:dyDescent="0.25">
      <c r="A1148" s="4" t="s">
        <v>2050</v>
      </c>
      <c r="B1148" s="5">
        <v>45795</v>
      </c>
      <c r="C1148" t="s">
        <v>52</v>
      </c>
      <c r="D1148" t="s">
        <v>3269</v>
      </c>
      <c r="E1148" t="s">
        <v>66</v>
      </c>
      <c r="F1148" t="s">
        <v>3213</v>
      </c>
      <c r="G1148" t="s">
        <v>67</v>
      </c>
      <c r="H1148" t="str">
        <f>VLOOKUP(Table1[[#This Row],[City]],Table6[#All],2,FALSE)</f>
        <v>East</v>
      </c>
      <c r="I1148" t="s">
        <v>58</v>
      </c>
      <c r="J1148" t="str">
        <f>_xlfn.XLOOKUP(Table1[[#This Row],[Tractor Model]],Table7[Product Model],Table7[Product Category],"Not Available",0)</f>
        <v>Powertrac</v>
      </c>
      <c r="K1148" s="4">
        <v>2</v>
      </c>
      <c r="L1148" s="72">
        <v>64712</v>
      </c>
      <c r="M1148" s="4">
        <f>INDEX('Master Sheet'!$C$4:$C$12,MATCH(Table1[[#This Row],[Quantity]],'Master Sheet'!$B$4:$B$12,0))</f>
        <v>5</v>
      </c>
      <c r="N1148" s="71">
        <f>Table1[[#This Row],[Quantity]]*Table1[[#This Row],[Unit Price]]</f>
        <v>129424</v>
      </c>
      <c r="O1148" s="73">
        <v>1.29424E-2</v>
      </c>
      <c r="P1148" s="70">
        <f>Table1[[#This Row],[Gross Amount]]*(1-(Table1[[#This Row],[Discount %]]/100))</f>
        <v>122952.79999999999</v>
      </c>
      <c r="Q1148" s="74">
        <f>(Table1[[#This Row],[Gross Amount]]*(1-(Table1[[#This Row],[Discount %]]/100)))/10000000</f>
        <v>1.2295279999999999E-2</v>
      </c>
      <c r="R1148" t="s">
        <v>25</v>
      </c>
      <c r="S1148" t="str" cm="1">
        <f t="array" ref="S1148">IFERROR(_xlfn.IFS(Table1[[#This Row],[Payment Status]]="Partial","In Transit",Table1[[#This Row],[Payment Status]]="Paid","Delivered",Table1[[#This Row],[Payment Status]]="Pending","Pending"),"Invalid Input")</f>
        <v>In Transit</v>
      </c>
      <c r="T1148" t="s">
        <v>44</v>
      </c>
      <c r="U1148" t="str" cm="1">
        <f t="array" ref="U1148">IFERROR(_xlfn.IFS(Table1[[#This Row],[Payment Status]]="Partial","In Transit",Table1[[#This Row],[Payment Status]]="Paid","Completed",Table1[[#This Row],[Payment Status]]="Pending","Pending"),"Invalid Input")</f>
        <v>In Transit</v>
      </c>
    </row>
    <row r="1149" spans="1:21" x14ac:dyDescent="0.25">
      <c r="A1149" s="4" t="s">
        <v>2051</v>
      </c>
      <c r="B1149" s="5">
        <v>45594</v>
      </c>
      <c r="C1149" t="s">
        <v>41</v>
      </c>
      <c r="D1149" t="s">
        <v>3271</v>
      </c>
      <c r="E1149" t="s">
        <v>38</v>
      </c>
      <c r="F1149" t="s">
        <v>3210</v>
      </c>
      <c r="G1149" t="s">
        <v>39</v>
      </c>
      <c r="H1149" t="str">
        <f>VLOOKUP(Table1[[#This Row],[City]],Table6[#All],2,FALSE)</f>
        <v>West</v>
      </c>
      <c r="I1149" t="s">
        <v>58</v>
      </c>
      <c r="J1149" t="str">
        <f>_xlfn.XLOOKUP(Table1[[#This Row],[Tractor Model]],Table7[Product Model],Table7[Product Category],"Not Available",0)</f>
        <v>Powertrac</v>
      </c>
      <c r="K1149" s="4">
        <v>2</v>
      </c>
      <c r="L1149" s="72">
        <v>91317</v>
      </c>
      <c r="M1149" s="4">
        <f>INDEX('Master Sheet'!$C$4:$C$12,MATCH(Table1[[#This Row],[Quantity]],'Master Sheet'!$B$4:$B$12,0))</f>
        <v>5</v>
      </c>
      <c r="N1149" s="71">
        <f>Table1[[#This Row],[Quantity]]*Table1[[#This Row],[Unit Price]]</f>
        <v>182634</v>
      </c>
      <c r="O1149" s="73">
        <v>1.8263399999999999E-2</v>
      </c>
      <c r="P1149" s="70">
        <f>Table1[[#This Row],[Gross Amount]]*(1-(Table1[[#This Row],[Discount %]]/100))</f>
        <v>173502.3</v>
      </c>
      <c r="Q1149" s="74">
        <f>(Table1[[#This Row],[Gross Amount]]*(1-(Table1[[#This Row],[Discount %]]/100)))/10000000</f>
        <v>1.7350229999999998E-2</v>
      </c>
      <c r="R1149" t="s">
        <v>25</v>
      </c>
      <c r="S1149" t="str" cm="1">
        <f t="array" ref="S1149">IFERROR(_xlfn.IFS(Table1[[#This Row],[Payment Status]]="Partial","In Transit",Table1[[#This Row],[Payment Status]]="Paid","Delivered",Table1[[#This Row],[Payment Status]]="Pending","Pending"),"Invalid Input")</f>
        <v>In Transit</v>
      </c>
      <c r="T1149" t="s">
        <v>44</v>
      </c>
      <c r="U1149" t="str" cm="1">
        <f t="array" ref="U1149">IFERROR(_xlfn.IFS(Table1[[#This Row],[Payment Status]]="Partial","In Transit",Table1[[#This Row],[Payment Status]]="Paid","Completed",Table1[[#This Row],[Payment Status]]="Pending","Pending"),"Invalid Input")</f>
        <v>In Transit</v>
      </c>
    </row>
    <row r="1150" spans="1:21" x14ac:dyDescent="0.25">
      <c r="A1150" s="4" t="s">
        <v>2053</v>
      </c>
      <c r="B1150" s="5">
        <v>45522</v>
      </c>
      <c r="C1150" t="s">
        <v>73</v>
      </c>
      <c r="D1150" t="s">
        <v>3270</v>
      </c>
      <c r="E1150" t="s">
        <v>66</v>
      </c>
      <c r="F1150" t="s">
        <v>3220</v>
      </c>
      <c r="G1150" t="s">
        <v>67</v>
      </c>
      <c r="H1150" t="str">
        <f>VLOOKUP(Table1[[#This Row],[City]],Table6[#All],2,FALSE)</f>
        <v>East</v>
      </c>
      <c r="I1150" t="s">
        <v>53</v>
      </c>
      <c r="J1150" t="str">
        <f>_xlfn.XLOOKUP(Table1[[#This Row],[Tractor Model]],Table7[Product Model],Table7[Product Category],"Not Available",0)</f>
        <v>Farmtrac</v>
      </c>
      <c r="K1150" s="4">
        <v>7</v>
      </c>
      <c r="L1150" s="72">
        <v>100555</v>
      </c>
      <c r="M1150" s="4">
        <f>INDEX('Master Sheet'!$C$4:$C$12,MATCH(Table1[[#This Row],[Quantity]],'Master Sheet'!$B$4:$B$12,0))</f>
        <v>9</v>
      </c>
      <c r="N1150" s="71">
        <f>Table1[[#This Row],[Quantity]]*Table1[[#This Row],[Unit Price]]</f>
        <v>703885</v>
      </c>
      <c r="O1150" s="73">
        <v>7.0388500000000007E-2</v>
      </c>
      <c r="P1150" s="70">
        <f>Table1[[#This Row],[Gross Amount]]*(1-(Table1[[#This Row],[Discount %]]/100))</f>
        <v>640535.35</v>
      </c>
      <c r="Q1150" s="74">
        <f>(Table1[[#This Row],[Gross Amount]]*(1-(Table1[[#This Row],[Discount %]]/100)))/10000000</f>
        <v>6.4053534999999995E-2</v>
      </c>
      <c r="R1150" t="s">
        <v>42</v>
      </c>
      <c r="S1150" t="str" cm="1">
        <f t="array" ref="S1150">IFERROR(_xlfn.IFS(Table1[[#This Row],[Payment Status]]="Partial","In Transit",Table1[[#This Row],[Payment Status]]="Paid","Delivered",Table1[[#This Row],[Payment Status]]="Pending","Pending"),"Invalid Input")</f>
        <v>Pending</v>
      </c>
      <c r="T1150" t="s">
        <v>44</v>
      </c>
      <c r="U1150" t="str" cm="1">
        <f t="array" ref="U1150">IFERROR(_xlfn.IFS(Table1[[#This Row],[Payment Status]]="Partial","In Transit",Table1[[#This Row],[Payment Status]]="Paid","Completed",Table1[[#This Row],[Payment Status]]="Pending","Pending"),"Invalid Input")</f>
        <v>Pending</v>
      </c>
    </row>
    <row r="1151" spans="1:21" x14ac:dyDescent="0.25">
      <c r="A1151" s="4" t="s">
        <v>2054</v>
      </c>
      <c r="B1151" s="5">
        <v>45511</v>
      </c>
      <c r="C1151" t="s">
        <v>41</v>
      </c>
      <c r="D1151" t="s">
        <v>3268</v>
      </c>
      <c r="E1151" t="s">
        <v>38</v>
      </c>
      <c r="F1151" t="s">
        <v>3219</v>
      </c>
      <c r="G1151" t="s">
        <v>39</v>
      </c>
      <c r="H1151" t="str">
        <f>VLOOKUP(Table1[[#This Row],[City]],Table6[#All],2,FALSE)</f>
        <v>West</v>
      </c>
      <c r="I1151" t="s">
        <v>53</v>
      </c>
      <c r="J1151" t="str">
        <f>_xlfn.XLOOKUP(Table1[[#This Row],[Tractor Model]],Table7[Product Model],Table7[Product Category],"Not Available",0)</f>
        <v>Farmtrac</v>
      </c>
      <c r="K1151" s="4">
        <v>7</v>
      </c>
      <c r="L1151" s="72">
        <v>102934</v>
      </c>
      <c r="M1151" s="4">
        <f>INDEX('Master Sheet'!$C$4:$C$12,MATCH(Table1[[#This Row],[Quantity]],'Master Sheet'!$B$4:$B$12,0))</f>
        <v>9</v>
      </c>
      <c r="N1151" s="71">
        <f>Table1[[#This Row],[Quantity]]*Table1[[#This Row],[Unit Price]]</f>
        <v>720538</v>
      </c>
      <c r="O1151" s="73">
        <v>7.2053800000000001E-2</v>
      </c>
      <c r="P1151" s="70">
        <f>Table1[[#This Row],[Gross Amount]]*(1-(Table1[[#This Row],[Discount %]]/100))</f>
        <v>655689.58000000007</v>
      </c>
      <c r="Q1151" s="74">
        <f>(Table1[[#This Row],[Gross Amount]]*(1-(Table1[[#This Row],[Discount %]]/100)))/10000000</f>
        <v>6.5568958000000011E-2</v>
      </c>
      <c r="R1151" t="s">
        <v>54</v>
      </c>
      <c r="S1151" t="str" cm="1">
        <f t="array" ref="S1151">IFERROR(_xlfn.IFS(Table1[[#This Row],[Payment Status]]="Partial","In Transit",Table1[[#This Row],[Payment Status]]="Paid","Delivered",Table1[[#This Row],[Payment Status]]="Pending","Pending"),"Invalid Input")</f>
        <v>Delivered</v>
      </c>
      <c r="T1151" t="s">
        <v>44</v>
      </c>
      <c r="U1151" t="str" cm="1">
        <f t="array" ref="U1151">IFERROR(_xlfn.IFS(Table1[[#This Row],[Payment Status]]="Partial","In Transit",Table1[[#This Row],[Payment Status]]="Paid","Completed",Table1[[#This Row],[Payment Status]]="Pending","Pending"),"Invalid Input")</f>
        <v>Completed</v>
      </c>
    </row>
    <row r="1152" spans="1:21" x14ac:dyDescent="0.25">
      <c r="A1152" s="4" t="s">
        <v>2055</v>
      </c>
      <c r="B1152" s="5">
        <v>45602</v>
      </c>
      <c r="C1152" t="s">
        <v>41</v>
      </c>
      <c r="D1152" t="s">
        <v>3271</v>
      </c>
      <c r="E1152" t="s">
        <v>30</v>
      </c>
      <c r="F1152" t="s">
        <v>3217</v>
      </c>
      <c r="G1152" t="s">
        <v>31</v>
      </c>
      <c r="H1152" t="str">
        <f>VLOOKUP(Table1[[#This Row],[City]],Table6[#All],2,FALSE)</f>
        <v>South</v>
      </c>
      <c r="I1152" t="s">
        <v>53</v>
      </c>
      <c r="J1152" t="str">
        <f>_xlfn.XLOOKUP(Table1[[#This Row],[Tractor Model]],Table7[Product Model],Table7[Product Category],"Not Available",0)</f>
        <v>Farmtrac</v>
      </c>
      <c r="K1152" s="4">
        <v>5</v>
      </c>
      <c r="L1152" s="72">
        <v>544352</v>
      </c>
      <c r="M1152" s="4">
        <f>INDEX('Master Sheet'!$C$4:$C$12,MATCH(Table1[[#This Row],[Quantity]],'Master Sheet'!$B$4:$B$12,0))</f>
        <v>7</v>
      </c>
      <c r="N1152" s="71">
        <f>Table1[[#This Row],[Quantity]]*Table1[[#This Row],[Unit Price]]</f>
        <v>2721760</v>
      </c>
      <c r="O1152" s="73">
        <v>0.27217599999999997</v>
      </c>
      <c r="P1152" s="70">
        <f>Table1[[#This Row],[Gross Amount]]*(1-(Table1[[#This Row],[Discount %]]/100))</f>
        <v>2531236.7999999998</v>
      </c>
      <c r="Q1152" s="74">
        <f>(Table1[[#This Row],[Gross Amount]]*(1-(Table1[[#This Row],[Discount %]]/100)))/10000000</f>
        <v>0.25312367999999996</v>
      </c>
      <c r="R1152" t="s">
        <v>54</v>
      </c>
      <c r="S1152" t="str" cm="1">
        <f t="array" ref="S1152">IFERROR(_xlfn.IFS(Table1[[#This Row],[Payment Status]]="Partial","In Transit",Table1[[#This Row],[Payment Status]]="Paid","Delivered",Table1[[#This Row],[Payment Status]]="Pending","Pending"),"Invalid Input")</f>
        <v>Delivered</v>
      </c>
      <c r="T1152" t="s">
        <v>27</v>
      </c>
      <c r="U1152" t="str" cm="1">
        <f t="array" ref="U1152">IFERROR(_xlfn.IFS(Table1[[#This Row],[Payment Status]]="Partial","In Transit",Table1[[#This Row],[Payment Status]]="Paid","Completed",Table1[[#This Row],[Payment Status]]="Pending","Pending"),"Invalid Input")</f>
        <v>Completed</v>
      </c>
    </row>
    <row r="1153" spans="1:21" x14ac:dyDescent="0.25">
      <c r="A1153" s="4" t="s">
        <v>2057</v>
      </c>
      <c r="B1153" s="5">
        <v>45967</v>
      </c>
      <c r="C1153" t="s">
        <v>33</v>
      </c>
      <c r="D1153" t="s">
        <v>37</v>
      </c>
      <c r="E1153" t="s">
        <v>30</v>
      </c>
      <c r="F1153" t="s">
        <v>3222</v>
      </c>
      <c r="G1153" t="s">
        <v>31</v>
      </c>
      <c r="H1153" t="str">
        <f>VLOOKUP(Table1[[#This Row],[City]],Table6[#All],2,FALSE)</f>
        <v>South</v>
      </c>
      <c r="I1153" t="s">
        <v>53</v>
      </c>
      <c r="J1153" t="str">
        <f>_xlfn.XLOOKUP(Table1[[#This Row],[Tractor Model]],Table7[Product Model],Table7[Product Category],"Not Available",0)</f>
        <v>Farmtrac</v>
      </c>
      <c r="K1153" s="4">
        <v>2</v>
      </c>
      <c r="L1153" s="72">
        <v>408903</v>
      </c>
      <c r="M1153" s="4">
        <f>INDEX('Master Sheet'!$C$4:$C$12,MATCH(Table1[[#This Row],[Quantity]],'Master Sheet'!$B$4:$B$12,0))</f>
        <v>5</v>
      </c>
      <c r="N1153" s="71">
        <f>Table1[[#This Row],[Quantity]]*Table1[[#This Row],[Unit Price]]</f>
        <v>817806</v>
      </c>
      <c r="O1153" s="73">
        <v>8.1780599999999995E-2</v>
      </c>
      <c r="P1153" s="70">
        <f>Table1[[#This Row],[Gross Amount]]*(1-(Table1[[#This Row],[Discount %]]/100))</f>
        <v>776915.7</v>
      </c>
      <c r="Q1153" s="74">
        <f>(Table1[[#This Row],[Gross Amount]]*(1-(Table1[[#This Row],[Discount %]]/100)))/10000000</f>
        <v>7.7691570000000001E-2</v>
      </c>
      <c r="R1153" t="s">
        <v>42</v>
      </c>
      <c r="S1153" t="str" cm="1">
        <f t="array" ref="S1153">IFERROR(_xlfn.IFS(Table1[[#This Row],[Payment Status]]="Partial","In Transit",Table1[[#This Row],[Payment Status]]="Paid","Delivered",Table1[[#This Row],[Payment Status]]="Pending","Pending"),"Invalid Input")</f>
        <v>Pending</v>
      </c>
      <c r="T1153" t="s">
        <v>27</v>
      </c>
      <c r="U1153" t="str" cm="1">
        <f t="array" ref="U1153">IFERROR(_xlfn.IFS(Table1[[#This Row],[Payment Status]]="Partial","In Transit",Table1[[#This Row],[Payment Status]]="Paid","Completed",Table1[[#This Row],[Payment Status]]="Pending","Pending"),"Invalid Input")</f>
        <v>Pending</v>
      </c>
    </row>
    <row r="1154" spans="1:21" x14ac:dyDescent="0.25">
      <c r="A1154" s="4" t="s">
        <v>2058</v>
      </c>
      <c r="B1154" s="5">
        <v>45529</v>
      </c>
      <c r="C1154" t="s">
        <v>52</v>
      </c>
      <c r="D1154" t="s">
        <v>37</v>
      </c>
      <c r="E1154" t="s">
        <v>66</v>
      </c>
      <c r="F1154" t="s">
        <v>3226</v>
      </c>
      <c r="G1154" t="s">
        <v>67</v>
      </c>
      <c r="H1154" t="str">
        <f>VLOOKUP(Table1[[#This Row],[City]],Table6[#All],2,FALSE)</f>
        <v>East</v>
      </c>
      <c r="I1154" t="s">
        <v>3204</v>
      </c>
      <c r="J1154" t="str">
        <f>_xlfn.XLOOKUP(Table1[[#This Row],[Tractor Model]],Table7[Product Model],Table7[Product Category],"Not Available",0)</f>
        <v>Kubota</v>
      </c>
      <c r="K1154" s="4">
        <v>6</v>
      </c>
      <c r="L1154" s="72">
        <v>307684</v>
      </c>
      <c r="M1154" s="4">
        <f>INDEX('Master Sheet'!$C$4:$C$12,MATCH(Table1[[#This Row],[Quantity]],'Master Sheet'!$B$4:$B$12,0))</f>
        <v>8</v>
      </c>
      <c r="N1154" s="71">
        <f>Table1[[#This Row],[Quantity]]*Table1[[#This Row],[Unit Price]]</f>
        <v>1846104</v>
      </c>
      <c r="O1154" s="73">
        <v>0.18461040000000001</v>
      </c>
      <c r="P1154" s="70">
        <f>Table1[[#This Row],[Gross Amount]]*(1-(Table1[[#This Row],[Discount %]]/100))</f>
        <v>1698415.6800000002</v>
      </c>
      <c r="Q1154" s="74">
        <f>(Table1[[#This Row],[Gross Amount]]*(1-(Table1[[#This Row],[Discount %]]/100)))/10000000</f>
        <v>0.16984156800000003</v>
      </c>
      <c r="R1154" t="s">
        <v>42</v>
      </c>
      <c r="S1154" t="str" cm="1">
        <f t="array" ref="S1154">IFERROR(_xlfn.IFS(Table1[[#This Row],[Payment Status]]="Partial","In Transit",Table1[[#This Row],[Payment Status]]="Paid","Delivered",Table1[[#This Row],[Payment Status]]="Pending","Pending"),"Invalid Input")</f>
        <v>Pending</v>
      </c>
      <c r="T1154" t="s">
        <v>27</v>
      </c>
      <c r="U1154" t="str" cm="1">
        <f t="array" ref="U1154">IFERROR(_xlfn.IFS(Table1[[#This Row],[Payment Status]]="Partial","In Transit",Table1[[#This Row],[Payment Status]]="Paid","Completed",Table1[[#This Row],[Payment Status]]="Pending","Pending"),"Invalid Input")</f>
        <v>Pending</v>
      </c>
    </row>
    <row r="1155" spans="1:21" x14ac:dyDescent="0.25">
      <c r="A1155" s="4" t="s">
        <v>2060</v>
      </c>
      <c r="B1155" s="5">
        <v>45621</v>
      </c>
      <c r="C1155" t="s">
        <v>33</v>
      </c>
      <c r="D1155" t="s">
        <v>3268</v>
      </c>
      <c r="E1155" t="s">
        <v>66</v>
      </c>
      <c r="F1155" t="s">
        <v>3211</v>
      </c>
      <c r="G1155" t="s">
        <v>67</v>
      </c>
      <c r="H1155" t="str">
        <f>VLOOKUP(Table1[[#This Row],[City]],Table6[#All],2,FALSE)</f>
        <v>East</v>
      </c>
      <c r="I1155" t="s">
        <v>3204</v>
      </c>
      <c r="J1155" t="str">
        <f>_xlfn.XLOOKUP(Table1[[#This Row],[Tractor Model]],Table7[Product Model],Table7[Product Category],"Not Available",0)</f>
        <v>Kubota</v>
      </c>
      <c r="K1155" s="4">
        <v>7</v>
      </c>
      <c r="L1155" s="72">
        <v>123376</v>
      </c>
      <c r="M1155" s="4">
        <f>INDEX('Master Sheet'!$C$4:$C$12,MATCH(Table1[[#This Row],[Quantity]],'Master Sheet'!$B$4:$B$12,0))</f>
        <v>9</v>
      </c>
      <c r="N1155" s="71">
        <f>Table1[[#This Row],[Quantity]]*Table1[[#This Row],[Unit Price]]</f>
        <v>863632</v>
      </c>
      <c r="O1155" s="73">
        <v>8.6363200000000001E-2</v>
      </c>
      <c r="P1155" s="70">
        <f>Table1[[#This Row],[Gross Amount]]*(1-(Table1[[#This Row],[Discount %]]/100))</f>
        <v>785905.12</v>
      </c>
      <c r="Q1155" s="74">
        <f>(Table1[[#This Row],[Gross Amount]]*(1-(Table1[[#This Row],[Discount %]]/100)))/10000000</f>
        <v>7.8590512000000001E-2</v>
      </c>
      <c r="R1155" t="s">
        <v>42</v>
      </c>
      <c r="S1155" t="str" cm="1">
        <f t="array" ref="S1155">IFERROR(_xlfn.IFS(Table1[[#This Row],[Payment Status]]="Partial","In Transit",Table1[[#This Row],[Payment Status]]="Paid","Delivered",Table1[[#This Row],[Payment Status]]="Pending","Pending"),"Invalid Input")</f>
        <v>Pending</v>
      </c>
      <c r="T1155" t="s">
        <v>27</v>
      </c>
      <c r="U1155" t="str" cm="1">
        <f t="array" ref="U1155">IFERROR(_xlfn.IFS(Table1[[#This Row],[Payment Status]]="Partial","In Transit",Table1[[#This Row],[Payment Status]]="Paid","Completed",Table1[[#This Row],[Payment Status]]="Pending","Pending"),"Invalid Input")</f>
        <v>Pending</v>
      </c>
    </row>
    <row r="1156" spans="1:21" x14ac:dyDescent="0.25">
      <c r="A1156" s="4" t="s">
        <v>2061</v>
      </c>
      <c r="B1156" s="5">
        <v>45412</v>
      </c>
      <c r="C1156" t="s">
        <v>33</v>
      </c>
      <c r="D1156" t="s">
        <v>3268</v>
      </c>
      <c r="E1156" t="s">
        <v>38</v>
      </c>
      <c r="F1156" t="s">
        <v>3219</v>
      </c>
      <c r="G1156" t="s">
        <v>39</v>
      </c>
      <c r="H1156" t="str">
        <f>VLOOKUP(Table1[[#This Row],[City]],Table6[#All],2,FALSE)</f>
        <v>West</v>
      </c>
      <c r="I1156" t="s">
        <v>3203</v>
      </c>
      <c r="J1156" t="str">
        <f>_xlfn.XLOOKUP(Table1[[#This Row],[Tractor Model]],Table7[Product Model],Table7[Product Category],"Not Available",0)</f>
        <v>Kubota</v>
      </c>
      <c r="K1156" s="4">
        <v>8</v>
      </c>
      <c r="L1156" s="72">
        <v>365274</v>
      </c>
      <c r="M1156" s="4">
        <f>INDEX('Master Sheet'!$C$4:$C$12,MATCH(Table1[[#This Row],[Quantity]],'Master Sheet'!$B$4:$B$12,0))</f>
        <v>9</v>
      </c>
      <c r="N1156" s="71">
        <f>Table1[[#This Row],[Quantity]]*Table1[[#This Row],[Unit Price]]</f>
        <v>2922192</v>
      </c>
      <c r="O1156" s="73">
        <v>0.29221920000000001</v>
      </c>
      <c r="P1156" s="70">
        <f>Table1[[#This Row],[Gross Amount]]*(1-(Table1[[#This Row],[Discount %]]/100))</f>
        <v>2659194.7200000002</v>
      </c>
      <c r="Q1156" s="74">
        <f>(Table1[[#This Row],[Gross Amount]]*(1-(Table1[[#This Row],[Discount %]]/100)))/10000000</f>
        <v>0.26591947200000005</v>
      </c>
      <c r="R1156" t="s">
        <v>42</v>
      </c>
      <c r="S1156" t="str" cm="1">
        <f t="array" ref="S1156">IFERROR(_xlfn.IFS(Table1[[#This Row],[Payment Status]]="Partial","In Transit",Table1[[#This Row],[Payment Status]]="Paid","Delivered",Table1[[#This Row],[Payment Status]]="Pending","Pending"),"Invalid Input")</f>
        <v>Pending</v>
      </c>
      <c r="T1156" t="s">
        <v>27</v>
      </c>
      <c r="U1156" t="str" cm="1">
        <f t="array" ref="U1156">IFERROR(_xlfn.IFS(Table1[[#This Row],[Payment Status]]="Partial","In Transit",Table1[[#This Row],[Payment Status]]="Paid","Completed",Table1[[#This Row],[Payment Status]]="Pending","Pending"),"Invalid Input")</f>
        <v>Pending</v>
      </c>
    </row>
    <row r="1157" spans="1:21" x14ac:dyDescent="0.25">
      <c r="A1157" s="4" t="s">
        <v>2063</v>
      </c>
      <c r="B1157" s="5">
        <v>45575</v>
      </c>
      <c r="C1157" t="s">
        <v>33</v>
      </c>
      <c r="D1157" t="s">
        <v>3268</v>
      </c>
      <c r="E1157" t="s">
        <v>38</v>
      </c>
      <c r="F1157" t="s">
        <v>3219</v>
      </c>
      <c r="G1157" t="s">
        <v>39</v>
      </c>
      <c r="H1157" t="str">
        <f>VLOOKUP(Table1[[#This Row],[City]],Table6[#All],2,FALSE)</f>
        <v>West</v>
      </c>
      <c r="I1157" t="s">
        <v>3204</v>
      </c>
      <c r="J1157" t="str">
        <f>_xlfn.XLOOKUP(Table1[[#This Row],[Tractor Model]],Table7[Product Model],Table7[Product Category],"Not Available",0)</f>
        <v>Kubota</v>
      </c>
      <c r="K1157" s="4">
        <v>2</v>
      </c>
      <c r="L1157" s="72">
        <v>553231</v>
      </c>
      <c r="M1157" s="4">
        <f>INDEX('Master Sheet'!$C$4:$C$12,MATCH(Table1[[#This Row],[Quantity]],'Master Sheet'!$B$4:$B$12,0))</f>
        <v>5</v>
      </c>
      <c r="N1157" s="71">
        <f>Table1[[#This Row],[Quantity]]*Table1[[#This Row],[Unit Price]]</f>
        <v>1106462</v>
      </c>
      <c r="O1157" s="73">
        <v>0.1106462</v>
      </c>
      <c r="P1157" s="70">
        <f>Table1[[#This Row],[Gross Amount]]*(1-(Table1[[#This Row],[Discount %]]/100))</f>
        <v>1051138.8999999999</v>
      </c>
      <c r="Q1157" s="74">
        <f>(Table1[[#This Row],[Gross Amount]]*(1-(Table1[[#This Row],[Discount %]]/100)))/10000000</f>
        <v>0.10511388999999999</v>
      </c>
      <c r="R1157" t="s">
        <v>54</v>
      </c>
      <c r="S1157" t="str" cm="1">
        <f t="array" ref="S1157">IFERROR(_xlfn.IFS(Table1[[#This Row],[Payment Status]]="Partial","In Transit",Table1[[#This Row],[Payment Status]]="Paid","Delivered",Table1[[#This Row],[Payment Status]]="Pending","Pending"),"Invalid Input")</f>
        <v>Delivered</v>
      </c>
      <c r="T1157" t="s">
        <v>27</v>
      </c>
      <c r="U1157" t="str" cm="1">
        <f t="array" ref="U1157">IFERROR(_xlfn.IFS(Table1[[#This Row],[Payment Status]]="Partial","In Transit",Table1[[#This Row],[Payment Status]]="Paid","Completed",Table1[[#This Row],[Payment Status]]="Pending","Pending"),"Invalid Input")</f>
        <v>Completed</v>
      </c>
    </row>
    <row r="1158" spans="1:21" x14ac:dyDescent="0.25">
      <c r="A1158" s="4" t="s">
        <v>2065</v>
      </c>
      <c r="B1158" s="5">
        <v>45741</v>
      </c>
      <c r="C1158" t="s">
        <v>41</v>
      </c>
      <c r="D1158" t="s">
        <v>3268</v>
      </c>
      <c r="E1158" t="s">
        <v>119</v>
      </c>
      <c r="F1158" t="s">
        <v>3227</v>
      </c>
      <c r="G1158" t="s">
        <v>21</v>
      </c>
      <c r="H1158" t="str">
        <f>VLOOKUP(Table1[[#This Row],[City]],Table6[#All],2,FALSE)</f>
        <v>North</v>
      </c>
      <c r="I1158" t="s">
        <v>58</v>
      </c>
      <c r="J1158" t="str">
        <f>_xlfn.XLOOKUP(Table1[[#This Row],[Tractor Model]],Table7[Product Model],Table7[Product Category],"Not Available",0)</f>
        <v>Powertrac</v>
      </c>
      <c r="K1158" s="4">
        <v>4</v>
      </c>
      <c r="L1158" s="72">
        <v>535038</v>
      </c>
      <c r="M1158" s="4">
        <f>INDEX('Master Sheet'!$C$4:$C$12,MATCH(Table1[[#This Row],[Quantity]],'Master Sheet'!$B$4:$B$12,0))</f>
        <v>6</v>
      </c>
      <c r="N1158" s="71">
        <f>Table1[[#This Row],[Quantity]]*Table1[[#This Row],[Unit Price]]</f>
        <v>2140152</v>
      </c>
      <c r="O1158" s="73">
        <v>0.21401519999999999</v>
      </c>
      <c r="P1158" s="70">
        <f>Table1[[#This Row],[Gross Amount]]*(1-(Table1[[#This Row],[Discount %]]/100))</f>
        <v>2011742.88</v>
      </c>
      <c r="Q1158" s="74">
        <f>(Table1[[#This Row],[Gross Amount]]*(1-(Table1[[#This Row],[Discount %]]/100)))/10000000</f>
        <v>0.20117428799999998</v>
      </c>
      <c r="R1158" t="s">
        <v>54</v>
      </c>
      <c r="S1158" t="str" cm="1">
        <f t="array" ref="S1158">IFERROR(_xlfn.IFS(Table1[[#This Row],[Payment Status]]="Partial","In Transit",Table1[[#This Row],[Payment Status]]="Paid","Delivered",Table1[[#This Row],[Payment Status]]="Pending","Pending"),"Invalid Input")</f>
        <v>Delivered</v>
      </c>
      <c r="T1158" t="s">
        <v>27</v>
      </c>
      <c r="U1158" t="str" cm="1">
        <f t="array" ref="U1158">IFERROR(_xlfn.IFS(Table1[[#This Row],[Payment Status]]="Partial","In Transit",Table1[[#This Row],[Payment Status]]="Paid","Completed",Table1[[#This Row],[Payment Status]]="Pending","Pending"),"Invalid Input")</f>
        <v>Completed</v>
      </c>
    </row>
    <row r="1159" spans="1:21" x14ac:dyDescent="0.25">
      <c r="A1159" s="4" t="s">
        <v>2066</v>
      </c>
      <c r="B1159" s="5">
        <v>45421</v>
      </c>
      <c r="C1159" t="s">
        <v>41</v>
      </c>
      <c r="D1159" t="s">
        <v>3269</v>
      </c>
      <c r="E1159" t="s">
        <v>47</v>
      </c>
      <c r="F1159" t="s">
        <v>3209</v>
      </c>
      <c r="G1159" t="s">
        <v>48</v>
      </c>
      <c r="H1159" t="str">
        <f>VLOOKUP(Table1[[#This Row],[City]],Table6[#All],2,FALSE)</f>
        <v>North</v>
      </c>
      <c r="I1159" t="s">
        <v>58</v>
      </c>
      <c r="J1159" t="str">
        <f>_xlfn.XLOOKUP(Table1[[#This Row],[Tractor Model]],Table7[Product Model],Table7[Product Category],"Not Available",0)</f>
        <v>Powertrac</v>
      </c>
      <c r="K1159" s="4">
        <v>7</v>
      </c>
      <c r="L1159" s="72">
        <v>438851</v>
      </c>
      <c r="M1159" s="4">
        <f>INDEX('Master Sheet'!$C$4:$C$12,MATCH(Table1[[#This Row],[Quantity]],'Master Sheet'!$B$4:$B$12,0))</f>
        <v>9</v>
      </c>
      <c r="N1159" s="71">
        <f>Table1[[#This Row],[Quantity]]*Table1[[#This Row],[Unit Price]]</f>
        <v>3071957</v>
      </c>
      <c r="O1159" s="73">
        <v>0.30719570000000002</v>
      </c>
      <c r="P1159" s="70">
        <f>Table1[[#This Row],[Gross Amount]]*(1-(Table1[[#This Row],[Discount %]]/100))</f>
        <v>2795480.87</v>
      </c>
      <c r="Q1159" s="74">
        <f>(Table1[[#This Row],[Gross Amount]]*(1-(Table1[[#This Row],[Discount %]]/100)))/10000000</f>
        <v>0.279548087</v>
      </c>
      <c r="R1159" t="s">
        <v>25</v>
      </c>
      <c r="S1159" t="str" cm="1">
        <f t="array" ref="S1159">IFERROR(_xlfn.IFS(Table1[[#This Row],[Payment Status]]="Partial","In Transit",Table1[[#This Row],[Payment Status]]="Paid","Delivered",Table1[[#This Row],[Payment Status]]="Pending","Pending"),"Invalid Input")</f>
        <v>In Transit</v>
      </c>
      <c r="T1159" t="s">
        <v>27</v>
      </c>
      <c r="U1159" t="str" cm="1">
        <f t="array" ref="U1159">IFERROR(_xlfn.IFS(Table1[[#This Row],[Payment Status]]="Partial","In Transit",Table1[[#This Row],[Payment Status]]="Paid","Completed",Table1[[#This Row],[Payment Status]]="Pending","Pending"),"Invalid Input")</f>
        <v>In Transit</v>
      </c>
    </row>
    <row r="1160" spans="1:21" x14ac:dyDescent="0.25">
      <c r="A1160" s="4" t="s">
        <v>2068</v>
      </c>
      <c r="B1160" s="5">
        <v>45637</v>
      </c>
      <c r="C1160" t="s">
        <v>73</v>
      </c>
      <c r="D1160" t="s">
        <v>3271</v>
      </c>
      <c r="E1160" t="s">
        <v>38</v>
      </c>
      <c r="F1160" t="s">
        <v>3210</v>
      </c>
      <c r="G1160" t="s">
        <v>39</v>
      </c>
      <c r="H1160" t="str">
        <f>VLOOKUP(Table1[[#This Row],[City]],Table6[#All],2,FALSE)</f>
        <v>West</v>
      </c>
      <c r="I1160" t="s">
        <v>58</v>
      </c>
      <c r="J1160" t="str">
        <f>_xlfn.XLOOKUP(Table1[[#This Row],[Tractor Model]],Table7[Product Model],Table7[Product Category],"Not Available",0)</f>
        <v>Powertrac</v>
      </c>
      <c r="K1160" s="4">
        <v>5</v>
      </c>
      <c r="L1160" s="72">
        <v>801118</v>
      </c>
      <c r="M1160" s="4">
        <f>INDEX('Master Sheet'!$C$4:$C$12,MATCH(Table1[[#This Row],[Quantity]],'Master Sheet'!$B$4:$B$12,0))</f>
        <v>7</v>
      </c>
      <c r="N1160" s="71">
        <f>Table1[[#This Row],[Quantity]]*Table1[[#This Row],[Unit Price]]</f>
        <v>4005590</v>
      </c>
      <c r="O1160" s="73">
        <v>0.400559</v>
      </c>
      <c r="P1160" s="70">
        <f>Table1[[#This Row],[Gross Amount]]*(1-(Table1[[#This Row],[Discount %]]/100))</f>
        <v>3725198.6999999997</v>
      </c>
      <c r="Q1160" s="74">
        <f>(Table1[[#This Row],[Gross Amount]]*(1-(Table1[[#This Row],[Discount %]]/100)))/10000000</f>
        <v>0.37251986999999998</v>
      </c>
      <c r="R1160" t="s">
        <v>54</v>
      </c>
      <c r="S1160" t="str" cm="1">
        <f t="array" ref="S1160">IFERROR(_xlfn.IFS(Table1[[#This Row],[Payment Status]]="Partial","In Transit",Table1[[#This Row],[Payment Status]]="Paid","Delivered",Table1[[#This Row],[Payment Status]]="Pending","Pending"),"Invalid Input")</f>
        <v>Delivered</v>
      </c>
      <c r="T1160" t="s">
        <v>27</v>
      </c>
      <c r="U1160" t="str" cm="1">
        <f t="array" ref="U1160">IFERROR(_xlfn.IFS(Table1[[#This Row],[Payment Status]]="Partial","In Transit",Table1[[#This Row],[Payment Status]]="Paid","Completed",Table1[[#This Row],[Payment Status]]="Pending","Pending"),"Invalid Input")</f>
        <v>Completed</v>
      </c>
    </row>
    <row r="1161" spans="1:21" x14ac:dyDescent="0.25">
      <c r="A1161" s="4" t="s">
        <v>2069</v>
      </c>
      <c r="B1161" s="5">
        <v>45302</v>
      </c>
      <c r="C1161" t="s">
        <v>52</v>
      </c>
      <c r="D1161" t="s">
        <v>37</v>
      </c>
      <c r="E1161" t="s">
        <v>47</v>
      </c>
      <c r="F1161" t="s">
        <v>3215</v>
      </c>
      <c r="G1161" t="s">
        <v>48</v>
      </c>
      <c r="H1161" t="str">
        <f>VLOOKUP(Table1[[#This Row],[City]],Table6[#All],2,FALSE)</f>
        <v>North</v>
      </c>
      <c r="I1161" t="s">
        <v>3204</v>
      </c>
      <c r="J1161" t="str">
        <f>_xlfn.XLOOKUP(Table1[[#This Row],[Tractor Model]],Table7[Product Model],Table7[Product Category],"Not Available",0)</f>
        <v>Kubota</v>
      </c>
      <c r="K1161" s="4">
        <v>3</v>
      </c>
      <c r="L1161" s="72">
        <v>838025</v>
      </c>
      <c r="M1161" s="4">
        <f>INDEX('Master Sheet'!$C$4:$C$12,MATCH(Table1[[#This Row],[Quantity]],'Master Sheet'!$B$4:$B$12,0))</f>
        <v>6</v>
      </c>
      <c r="N1161" s="71">
        <f>Table1[[#This Row],[Quantity]]*Table1[[#This Row],[Unit Price]]</f>
        <v>2514075</v>
      </c>
      <c r="O1161" s="73">
        <v>0.25140750000000001</v>
      </c>
      <c r="P1161" s="70">
        <f>Table1[[#This Row],[Gross Amount]]*(1-(Table1[[#This Row],[Discount %]]/100))</f>
        <v>2363230.5</v>
      </c>
      <c r="Q1161" s="74">
        <f>(Table1[[#This Row],[Gross Amount]]*(1-(Table1[[#This Row],[Discount %]]/100)))/10000000</f>
        <v>0.23632305000000001</v>
      </c>
      <c r="R1161" t="s">
        <v>42</v>
      </c>
      <c r="S1161" t="str" cm="1">
        <f t="array" ref="S1161">IFERROR(_xlfn.IFS(Table1[[#This Row],[Payment Status]]="Partial","In Transit",Table1[[#This Row],[Payment Status]]="Paid","Delivered",Table1[[#This Row],[Payment Status]]="Pending","Pending"),"Invalid Input")</f>
        <v>Pending</v>
      </c>
      <c r="T1161" t="s">
        <v>44</v>
      </c>
      <c r="U1161" t="str" cm="1">
        <f t="array" ref="U1161">IFERROR(_xlfn.IFS(Table1[[#This Row],[Payment Status]]="Partial","In Transit",Table1[[#This Row],[Payment Status]]="Paid","Completed",Table1[[#This Row],[Payment Status]]="Pending","Pending"),"Invalid Input")</f>
        <v>Pending</v>
      </c>
    </row>
    <row r="1162" spans="1:21" x14ac:dyDescent="0.25">
      <c r="A1162" s="4" t="s">
        <v>2071</v>
      </c>
      <c r="B1162" s="5">
        <v>45725</v>
      </c>
      <c r="C1162" t="s">
        <v>41</v>
      </c>
      <c r="D1162" t="s">
        <v>3268</v>
      </c>
      <c r="E1162" t="s">
        <v>119</v>
      </c>
      <c r="F1162" t="s">
        <v>3227</v>
      </c>
      <c r="G1162" t="s">
        <v>21</v>
      </c>
      <c r="H1162" t="str">
        <f>VLOOKUP(Table1[[#This Row],[City]],Table6[#All],2,FALSE)</f>
        <v>North</v>
      </c>
      <c r="I1162" t="s">
        <v>3203</v>
      </c>
      <c r="J1162" t="str">
        <f>_xlfn.XLOOKUP(Table1[[#This Row],[Tractor Model]],Table7[Product Model],Table7[Product Category],"Not Available",0)</f>
        <v>Kubota</v>
      </c>
      <c r="K1162" s="4">
        <v>3</v>
      </c>
      <c r="L1162" s="72">
        <v>271179</v>
      </c>
      <c r="M1162" s="4">
        <f>INDEX('Master Sheet'!$C$4:$C$12,MATCH(Table1[[#This Row],[Quantity]],'Master Sheet'!$B$4:$B$12,0))</f>
        <v>6</v>
      </c>
      <c r="N1162" s="71">
        <f>Table1[[#This Row],[Quantity]]*Table1[[#This Row],[Unit Price]]</f>
        <v>813537</v>
      </c>
      <c r="O1162" s="73">
        <v>8.1353700000000001E-2</v>
      </c>
      <c r="P1162" s="70">
        <f>Table1[[#This Row],[Gross Amount]]*(1-(Table1[[#This Row],[Discount %]]/100))</f>
        <v>764724.77999999991</v>
      </c>
      <c r="Q1162" s="74">
        <f>(Table1[[#This Row],[Gross Amount]]*(1-(Table1[[#This Row],[Discount %]]/100)))/10000000</f>
        <v>7.6472477999999997E-2</v>
      </c>
      <c r="R1162" t="s">
        <v>42</v>
      </c>
      <c r="S1162" t="str" cm="1">
        <f t="array" ref="S1162">IFERROR(_xlfn.IFS(Table1[[#This Row],[Payment Status]]="Partial","In Transit",Table1[[#This Row],[Payment Status]]="Paid","Delivered",Table1[[#This Row],[Payment Status]]="Pending","Pending"),"Invalid Input")</f>
        <v>Pending</v>
      </c>
      <c r="T1162" t="s">
        <v>44</v>
      </c>
      <c r="U1162" t="str" cm="1">
        <f t="array" ref="U1162">IFERROR(_xlfn.IFS(Table1[[#This Row],[Payment Status]]="Partial","In Transit",Table1[[#This Row],[Payment Status]]="Paid","Completed",Table1[[#This Row],[Payment Status]]="Pending","Pending"),"Invalid Input")</f>
        <v>Pending</v>
      </c>
    </row>
    <row r="1163" spans="1:21" x14ac:dyDescent="0.25">
      <c r="A1163" s="4" t="s">
        <v>2072</v>
      </c>
      <c r="B1163" s="5">
        <v>45476</v>
      </c>
      <c r="C1163" t="s">
        <v>41</v>
      </c>
      <c r="D1163" t="s">
        <v>3269</v>
      </c>
      <c r="E1163" t="s">
        <v>66</v>
      </c>
      <c r="F1163" t="s">
        <v>3213</v>
      </c>
      <c r="G1163" t="s">
        <v>67</v>
      </c>
      <c r="H1163" t="str">
        <f>VLOOKUP(Table1[[#This Row],[City]],Table6[#All],2,FALSE)</f>
        <v>East</v>
      </c>
      <c r="I1163" t="s">
        <v>24</v>
      </c>
      <c r="J1163" t="str">
        <f>_xlfn.XLOOKUP(Table1[[#This Row],[Tractor Model]],Table7[Product Model],Table7[Product Category],"Not Available",0)</f>
        <v>Farmtrac</v>
      </c>
      <c r="K1163" s="4">
        <v>6</v>
      </c>
      <c r="L1163" s="72">
        <v>708248</v>
      </c>
      <c r="M1163" s="4">
        <f>INDEX('Master Sheet'!$C$4:$C$12,MATCH(Table1[[#This Row],[Quantity]],'Master Sheet'!$B$4:$B$12,0))</f>
        <v>8</v>
      </c>
      <c r="N1163" s="71">
        <f>Table1[[#This Row],[Quantity]]*Table1[[#This Row],[Unit Price]]</f>
        <v>4249488</v>
      </c>
      <c r="O1163" s="73">
        <v>0.42494880000000002</v>
      </c>
      <c r="P1163" s="70">
        <f>Table1[[#This Row],[Gross Amount]]*(1-(Table1[[#This Row],[Discount %]]/100))</f>
        <v>3909528.96</v>
      </c>
      <c r="Q1163" s="74">
        <f>(Table1[[#This Row],[Gross Amount]]*(1-(Table1[[#This Row],[Discount %]]/100)))/10000000</f>
        <v>0.39095289599999999</v>
      </c>
      <c r="R1163" t="s">
        <v>42</v>
      </c>
      <c r="S1163" t="str" cm="1">
        <f t="array" ref="S1163">IFERROR(_xlfn.IFS(Table1[[#This Row],[Payment Status]]="Partial","In Transit",Table1[[#This Row],[Payment Status]]="Paid","Delivered",Table1[[#This Row],[Payment Status]]="Pending","Pending"),"Invalid Input")</f>
        <v>Pending</v>
      </c>
      <c r="T1163" t="s">
        <v>27</v>
      </c>
      <c r="U1163" t="str" cm="1">
        <f t="array" ref="U1163">IFERROR(_xlfn.IFS(Table1[[#This Row],[Payment Status]]="Partial","In Transit",Table1[[#This Row],[Payment Status]]="Paid","Completed",Table1[[#This Row],[Payment Status]]="Pending","Pending"),"Invalid Input")</f>
        <v>Pending</v>
      </c>
    </row>
    <row r="1164" spans="1:21" x14ac:dyDescent="0.25">
      <c r="A1164" s="4" t="s">
        <v>2074</v>
      </c>
      <c r="B1164" s="5">
        <v>45583</v>
      </c>
      <c r="C1164" t="s">
        <v>33</v>
      </c>
      <c r="D1164" t="s">
        <v>3268</v>
      </c>
      <c r="E1164" t="s">
        <v>66</v>
      </c>
      <c r="F1164" t="s">
        <v>3211</v>
      </c>
      <c r="G1164" t="s">
        <v>67</v>
      </c>
      <c r="H1164" t="str">
        <f>VLOOKUP(Table1[[#This Row],[City]],Table6[#All],2,FALSE)</f>
        <v>East</v>
      </c>
      <c r="I1164" t="s">
        <v>53</v>
      </c>
      <c r="J1164" t="str">
        <f>_xlfn.XLOOKUP(Table1[[#This Row],[Tractor Model]],Table7[Product Model],Table7[Product Category],"Not Available",0)</f>
        <v>Farmtrac</v>
      </c>
      <c r="K1164" s="4">
        <v>7</v>
      </c>
      <c r="L1164" s="72">
        <v>724792</v>
      </c>
      <c r="M1164" s="4">
        <f>INDEX('Master Sheet'!$C$4:$C$12,MATCH(Table1[[#This Row],[Quantity]],'Master Sheet'!$B$4:$B$12,0))</f>
        <v>9</v>
      </c>
      <c r="N1164" s="71">
        <f>Table1[[#This Row],[Quantity]]*Table1[[#This Row],[Unit Price]]</f>
        <v>5073544</v>
      </c>
      <c r="O1164" s="73">
        <v>0.50735439999999998</v>
      </c>
      <c r="P1164" s="70">
        <f>Table1[[#This Row],[Gross Amount]]*(1-(Table1[[#This Row],[Discount %]]/100))</f>
        <v>4616925.04</v>
      </c>
      <c r="Q1164" s="74">
        <f>(Table1[[#This Row],[Gross Amount]]*(1-(Table1[[#This Row],[Discount %]]/100)))/10000000</f>
        <v>0.461692504</v>
      </c>
      <c r="R1164" t="s">
        <v>42</v>
      </c>
      <c r="S1164" t="str" cm="1">
        <f t="array" ref="S1164">IFERROR(_xlfn.IFS(Table1[[#This Row],[Payment Status]]="Partial","In Transit",Table1[[#This Row],[Payment Status]]="Paid","Delivered",Table1[[#This Row],[Payment Status]]="Pending","Pending"),"Invalid Input")</f>
        <v>Pending</v>
      </c>
      <c r="T1164" t="s">
        <v>27</v>
      </c>
      <c r="U1164" t="str" cm="1">
        <f t="array" ref="U1164">IFERROR(_xlfn.IFS(Table1[[#This Row],[Payment Status]]="Partial","In Transit",Table1[[#This Row],[Payment Status]]="Paid","Completed",Table1[[#This Row],[Payment Status]]="Pending","Pending"),"Invalid Input")</f>
        <v>Pending</v>
      </c>
    </row>
    <row r="1165" spans="1:21" x14ac:dyDescent="0.25">
      <c r="A1165" s="4" t="s">
        <v>2076</v>
      </c>
      <c r="B1165" s="5">
        <v>45579</v>
      </c>
      <c r="C1165" t="s">
        <v>52</v>
      </c>
      <c r="D1165" t="s">
        <v>37</v>
      </c>
      <c r="E1165" t="s">
        <v>119</v>
      </c>
      <c r="F1165" t="s">
        <v>3224</v>
      </c>
      <c r="G1165" t="s">
        <v>21</v>
      </c>
      <c r="H1165" t="str">
        <f>VLOOKUP(Table1[[#This Row],[City]],Table6[#All],2,FALSE)</f>
        <v>North</v>
      </c>
      <c r="I1165" t="s">
        <v>3203</v>
      </c>
      <c r="J1165" t="str">
        <f>_xlfn.XLOOKUP(Table1[[#This Row],[Tractor Model]],Table7[Product Model],Table7[Product Category],"Not Available",0)</f>
        <v>Kubota</v>
      </c>
      <c r="K1165" s="4">
        <v>6</v>
      </c>
      <c r="L1165" s="72">
        <v>850869</v>
      </c>
      <c r="M1165" s="4">
        <f>INDEX('Master Sheet'!$C$4:$C$12,MATCH(Table1[[#This Row],[Quantity]],'Master Sheet'!$B$4:$B$12,0))</f>
        <v>8</v>
      </c>
      <c r="N1165" s="71">
        <f>Table1[[#This Row],[Quantity]]*Table1[[#This Row],[Unit Price]]</f>
        <v>5105214</v>
      </c>
      <c r="O1165" s="73">
        <v>0.51052140000000001</v>
      </c>
      <c r="P1165" s="70">
        <f>Table1[[#This Row],[Gross Amount]]*(1-(Table1[[#This Row],[Discount %]]/100))</f>
        <v>4696796.88</v>
      </c>
      <c r="Q1165" s="74">
        <f>(Table1[[#This Row],[Gross Amount]]*(1-(Table1[[#This Row],[Discount %]]/100)))/10000000</f>
        <v>0.46967968799999998</v>
      </c>
      <c r="R1165" t="s">
        <v>42</v>
      </c>
      <c r="S1165" t="str" cm="1">
        <f t="array" ref="S1165">IFERROR(_xlfn.IFS(Table1[[#This Row],[Payment Status]]="Partial","In Transit",Table1[[#This Row],[Payment Status]]="Paid","Delivered",Table1[[#This Row],[Payment Status]]="Pending","Pending"),"Invalid Input")</f>
        <v>Pending</v>
      </c>
      <c r="T1165" t="s">
        <v>27</v>
      </c>
      <c r="U1165" t="str" cm="1">
        <f t="array" ref="U1165">IFERROR(_xlfn.IFS(Table1[[#This Row],[Payment Status]]="Partial","In Transit",Table1[[#This Row],[Payment Status]]="Paid","Completed",Table1[[#This Row],[Payment Status]]="Pending","Pending"),"Invalid Input")</f>
        <v>Pending</v>
      </c>
    </row>
    <row r="1166" spans="1:21" x14ac:dyDescent="0.25">
      <c r="A1166" s="4" t="s">
        <v>2078</v>
      </c>
      <c r="B1166" s="5">
        <v>45827</v>
      </c>
      <c r="C1166" t="s">
        <v>33</v>
      </c>
      <c r="D1166" t="s">
        <v>3271</v>
      </c>
      <c r="E1166" t="s">
        <v>47</v>
      </c>
      <c r="F1166" t="s">
        <v>3221</v>
      </c>
      <c r="G1166" t="s">
        <v>48</v>
      </c>
      <c r="H1166" t="str">
        <f>VLOOKUP(Table1[[#This Row],[City]],Table6[#All],2,FALSE)</f>
        <v>North</v>
      </c>
      <c r="I1166" t="s">
        <v>24</v>
      </c>
      <c r="J1166" t="str">
        <f>_xlfn.XLOOKUP(Table1[[#This Row],[Tractor Model]],Table7[Product Model],Table7[Product Category],"Not Available",0)</f>
        <v>Farmtrac</v>
      </c>
      <c r="K1166" s="4">
        <v>5</v>
      </c>
      <c r="L1166" s="72">
        <v>692326</v>
      </c>
      <c r="M1166" s="4">
        <f>INDEX('Master Sheet'!$C$4:$C$12,MATCH(Table1[[#This Row],[Quantity]],'Master Sheet'!$B$4:$B$12,0))</f>
        <v>7</v>
      </c>
      <c r="N1166" s="71">
        <f>Table1[[#This Row],[Quantity]]*Table1[[#This Row],[Unit Price]]</f>
        <v>3461630</v>
      </c>
      <c r="O1166" s="73">
        <v>0.346163</v>
      </c>
      <c r="P1166" s="70">
        <f>Table1[[#This Row],[Gross Amount]]*(1-(Table1[[#This Row],[Discount %]]/100))</f>
        <v>3219315.9</v>
      </c>
      <c r="Q1166" s="74">
        <f>(Table1[[#This Row],[Gross Amount]]*(1-(Table1[[#This Row],[Discount %]]/100)))/10000000</f>
        <v>0.32193158999999999</v>
      </c>
      <c r="R1166" t="s">
        <v>54</v>
      </c>
      <c r="S1166" t="str" cm="1">
        <f t="array" ref="S1166">IFERROR(_xlfn.IFS(Table1[[#This Row],[Payment Status]]="Partial","In Transit",Table1[[#This Row],[Payment Status]]="Paid","Delivered",Table1[[#This Row],[Payment Status]]="Pending","Pending"),"Invalid Input")</f>
        <v>Delivered</v>
      </c>
      <c r="T1166" t="s">
        <v>27</v>
      </c>
      <c r="U1166" t="str" cm="1">
        <f t="array" ref="U1166">IFERROR(_xlfn.IFS(Table1[[#This Row],[Payment Status]]="Partial","In Transit",Table1[[#This Row],[Payment Status]]="Paid","Completed",Table1[[#This Row],[Payment Status]]="Pending","Pending"),"Invalid Input")</f>
        <v>Completed</v>
      </c>
    </row>
    <row r="1167" spans="1:21" x14ac:dyDescent="0.25">
      <c r="A1167" s="4" t="s">
        <v>2080</v>
      </c>
      <c r="B1167" s="5">
        <v>45348</v>
      </c>
      <c r="C1167" t="s">
        <v>73</v>
      </c>
      <c r="D1167" t="s">
        <v>37</v>
      </c>
      <c r="E1167" t="s">
        <v>119</v>
      </c>
      <c r="F1167" t="s">
        <v>3224</v>
      </c>
      <c r="G1167" t="s">
        <v>21</v>
      </c>
      <c r="H1167" t="str">
        <f>VLOOKUP(Table1[[#This Row],[City]],Table6[#All],2,FALSE)</f>
        <v>North</v>
      </c>
      <c r="I1167" t="s">
        <v>53</v>
      </c>
      <c r="J1167" t="str">
        <f>_xlfn.XLOOKUP(Table1[[#This Row],[Tractor Model]],Table7[Product Model],Table7[Product Category],"Not Available",0)</f>
        <v>Farmtrac</v>
      </c>
      <c r="K1167" s="4">
        <v>7</v>
      </c>
      <c r="L1167" s="72">
        <v>298566</v>
      </c>
      <c r="M1167" s="4">
        <f>INDEX('Master Sheet'!$C$4:$C$12,MATCH(Table1[[#This Row],[Quantity]],'Master Sheet'!$B$4:$B$12,0))</f>
        <v>9</v>
      </c>
      <c r="N1167" s="71">
        <f>Table1[[#This Row],[Quantity]]*Table1[[#This Row],[Unit Price]]</f>
        <v>2089962</v>
      </c>
      <c r="O1167" s="73">
        <v>0.20899619999999999</v>
      </c>
      <c r="P1167" s="70">
        <f>Table1[[#This Row],[Gross Amount]]*(1-(Table1[[#This Row],[Discount %]]/100))</f>
        <v>1901865.4200000002</v>
      </c>
      <c r="Q1167" s="74">
        <f>(Table1[[#This Row],[Gross Amount]]*(1-(Table1[[#This Row],[Discount %]]/100)))/10000000</f>
        <v>0.19018654200000001</v>
      </c>
      <c r="R1167" t="s">
        <v>25</v>
      </c>
      <c r="S1167" t="str" cm="1">
        <f t="array" ref="S1167">IFERROR(_xlfn.IFS(Table1[[#This Row],[Payment Status]]="Partial","In Transit",Table1[[#This Row],[Payment Status]]="Paid","Delivered",Table1[[#This Row],[Payment Status]]="Pending","Pending"),"Invalid Input")</f>
        <v>In Transit</v>
      </c>
      <c r="T1167" t="s">
        <v>44</v>
      </c>
      <c r="U1167" t="str" cm="1">
        <f t="array" ref="U1167">IFERROR(_xlfn.IFS(Table1[[#This Row],[Payment Status]]="Partial","In Transit",Table1[[#This Row],[Payment Status]]="Paid","Completed",Table1[[#This Row],[Payment Status]]="Pending","Pending"),"Invalid Input")</f>
        <v>In Transit</v>
      </c>
    </row>
    <row r="1168" spans="1:21" x14ac:dyDescent="0.25">
      <c r="A1168" s="4" t="s">
        <v>2082</v>
      </c>
      <c r="B1168" s="5">
        <v>45812</v>
      </c>
      <c r="C1168" t="s">
        <v>52</v>
      </c>
      <c r="D1168" t="s">
        <v>3268</v>
      </c>
      <c r="E1168" t="s">
        <v>30</v>
      </c>
      <c r="F1168" t="s">
        <v>3208</v>
      </c>
      <c r="G1168" t="s">
        <v>31</v>
      </c>
      <c r="H1168" t="str">
        <f>VLOOKUP(Table1[[#This Row],[City]],Table6[#All],2,FALSE)</f>
        <v>South</v>
      </c>
      <c r="I1168" t="s">
        <v>3203</v>
      </c>
      <c r="J1168" t="str">
        <f>_xlfn.XLOOKUP(Table1[[#This Row],[Tractor Model]],Table7[Product Model],Table7[Product Category],"Not Available",0)</f>
        <v>Kubota</v>
      </c>
      <c r="K1168" s="4">
        <v>6</v>
      </c>
      <c r="L1168" s="72">
        <v>682256</v>
      </c>
      <c r="M1168" s="4">
        <f>INDEX('Master Sheet'!$C$4:$C$12,MATCH(Table1[[#This Row],[Quantity]],'Master Sheet'!$B$4:$B$12,0))</f>
        <v>8</v>
      </c>
      <c r="N1168" s="71">
        <f>Table1[[#This Row],[Quantity]]*Table1[[#This Row],[Unit Price]]</f>
        <v>4093536</v>
      </c>
      <c r="O1168" s="73">
        <v>0.40935359999999998</v>
      </c>
      <c r="P1168" s="70">
        <f>Table1[[#This Row],[Gross Amount]]*(1-(Table1[[#This Row],[Discount %]]/100))</f>
        <v>3766053.12</v>
      </c>
      <c r="Q1168" s="74">
        <f>(Table1[[#This Row],[Gross Amount]]*(1-(Table1[[#This Row],[Discount %]]/100)))/10000000</f>
        <v>0.37660531200000003</v>
      </c>
      <c r="R1168" t="s">
        <v>25</v>
      </c>
      <c r="S1168" t="str" cm="1">
        <f t="array" ref="S1168">IFERROR(_xlfn.IFS(Table1[[#This Row],[Payment Status]]="Partial","In Transit",Table1[[#This Row],[Payment Status]]="Paid","Delivered",Table1[[#This Row],[Payment Status]]="Pending","Pending"),"Invalid Input")</f>
        <v>In Transit</v>
      </c>
      <c r="T1168" t="s">
        <v>27</v>
      </c>
      <c r="U1168" t="str" cm="1">
        <f t="array" ref="U1168">IFERROR(_xlfn.IFS(Table1[[#This Row],[Payment Status]]="Partial","In Transit",Table1[[#This Row],[Payment Status]]="Paid","Completed",Table1[[#This Row],[Payment Status]]="Pending","Pending"),"Invalid Input")</f>
        <v>In Transit</v>
      </c>
    </row>
    <row r="1169" spans="1:21" x14ac:dyDescent="0.25">
      <c r="A1169" s="4" t="s">
        <v>2084</v>
      </c>
      <c r="B1169" s="5">
        <v>45933</v>
      </c>
      <c r="C1169" t="s">
        <v>33</v>
      </c>
      <c r="D1169" t="s">
        <v>3271</v>
      </c>
      <c r="E1169" t="s">
        <v>38</v>
      </c>
      <c r="F1169" t="s">
        <v>3210</v>
      </c>
      <c r="G1169" t="s">
        <v>39</v>
      </c>
      <c r="H1169" t="str">
        <f>VLOOKUP(Table1[[#This Row],[City]],Table6[#All],2,FALSE)</f>
        <v>West</v>
      </c>
      <c r="I1169" t="s">
        <v>58</v>
      </c>
      <c r="J1169" t="str">
        <f>_xlfn.XLOOKUP(Table1[[#This Row],[Tractor Model]],Table7[Product Model],Table7[Product Category],"Not Available",0)</f>
        <v>Powertrac</v>
      </c>
      <c r="K1169" s="4">
        <v>3</v>
      </c>
      <c r="L1169" s="72">
        <v>863556</v>
      </c>
      <c r="M1169" s="4">
        <f>INDEX('Master Sheet'!$C$4:$C$12,MATCH(Table1[[#This Row],[Quantity]],'Master Sheet'!$B$4:$B$12,0))</f>
        <v>6</v>
      </c>
      <c r="N1169" s="71">
        <f>Table1[[#This Row],[Quantity]]*Table1[[#This Row],[Unit Price]]</f>
        <v>2590668</v>
      </c>
      <c r="O1169" s="73">
        <v>0.25906679999999999</v>
      </c>
      <c r="P1169" s="70">
        <f>Table1[[#This Row],[Gross Amount]]*(1-(Table1[[#This Row],[Discount %]]/100))</f>
        <v>2435227.92</v>
      </c>
      <c r="Q1169" s="74">
        <f>(Table1[[#This Row],[Gross Amount]]*(1-(Table1[[#This Row],[Discount %]]/100)))/10000000</f>
        <v>0.24352279199999999</v>
      </c>
      <c r="R1169" t="s">
        <v>54</v>
      </c>
      <c r="S1169" t="str" cm="1">
        <f t="array" ref="S1169">IFERROR(_xlfn.IFS(Table1[[#This Row],[Payment Status]]="Partial","In Transit",Table1[[#This Row],[Payment Status]]="Paid","Delivered",Table1[[#This Row],[Payment Status]]="Pending","Pending"),"Invalid Input")</f>
        <v>Delivered</v>
      </c>
      <c r="T1169" t="s">
        <v>27</v>
      </c>
      <c r="U1169" t="str" cm="1">
        <f t="array" ref="U1169">IFERROR(_xlfn.IFS(Table1[[#This Row],[Payment Status]]="Partial","In Transit",Table1[[#This Row],[Payment Status]]="Paid","Completed",Table1[[#This Row],[Payment Status]]="Pending","Pending"),"Invalid Input")</f>
        <v>Completed</v>
      </c>
    </row>
    <row r="1170" spans="1:21" x14ac:dyDescent="0.25">
      <c r="A1170" s="4" t="s">
        <v>2085</v>
      </c>
      <c r="B1170" s="5">
        <v>45687</v>
      </c>
      <c r="C1170" t="s">
        <v>41</v>
      </c>
      <c r="D1170" t="s">
        <v>3270</v>
      </c>
      <c r="E1170" t="s">
        <v>66</v>
      </c>
      <c r="F1170" t="s">
        <v>3220</v>
      </c>
      <c r="G1170" t="s">
        <v>67</v>
      </c>
      <c r="H1170" t="str">
        <f>VLOOKUP(Table1[[#This Row],[City]],Table6[#All],2,FALSE)</f>
        <v>East</v>
      </c>
      <c r="I1170" t="s">
        <v>24</v>
      </c>
      <c r="J1170" t="str">
        <f>_xlfn.XLOOKUP(Table1[[#This Row],[Tractor Model]],Table7[Product Model],Table7[Product Category],"Not Available",0)</f>
        <v>Farmtrac</v>
      </c>
      <c r="K1170" s="4">
        <v>1</v>
      </c>
      <c r="L1170" s="72">
        <v>667050</v>
      </c>
      <c r="M1170" s="4">
        <f>INDEX('Master Sheet'!$C$4:$C$12,MATCH(Table1[[#This Row],[Quantity]],'Master Sheet'!$B$4:$B$12,0))</f>
        <v>3</v>
      </c>
      <c r="N1170" s="71">
        <f>Table1[[#This Row],[Quantity]]*Table1[[#This Row],[Unit Price]]</f>
        <v>667050</v>
      </c>
      <c r="O1170" s="73">
        <v>6.6705E-2</v>
      </c>
      <c r="P1170" s="70">
        <f>Table1[[#This Row],[Gross Amount]]*(1-(Table1[[#This Row],[Discount %]]/100))</f>
        <v>647038.5</v>
      </c>
      <c r="Q1170" s="74">
        <f>(Table1[[#This Row],[Gross Amount]]*(1-(Table1[[#This Row],[Discount %]]/100)))/10000000</f>
        <v>6.4703849999999993E-2</v>
      </c>
      <c r="R1170" t="s">
        <v>54</v>
      </c>
      <c r="S1170" t="str" cm="1">
        <f t="array" ref="S1170">IFERROR(_xlfn.IFS(Table1[[#This Row],[Payment Status]]="Partial","In Transit",Table1[[#This Row],[Payment Status]]="Paid","Delivered",Table1[[#This Row],[Payment Status]]="Pending","Pending"),"Invalid Input")</f>
        <v>Delivered</v>
      </c>
      <c r="T1170" t="s">
        <v>27</v>
      </c>
      <c r="U1170" t="str" cm="1">
        <f t="array" ref="U1170">IFERROR(_xlfn.IFS(Table1[[#This Row],[Payment Status]]="Partial","In Transit",Table1[[#This Row],[Payment Status]]="Paid","Completed",Table1[[#This Row],[Payment Status]]="Pending","Pending"),"Invalid Input")</f>
        <v>Completed</v>
      </c>
    </row>
    <row r="1171" spans="1:21" x14ac:dyDescent="0.25">
      <c r="A1171" s="4" t="s">
        <v>2087</v>
      </c>
      <c r="B1171" s="5">
        <v>45747</v>
      </c>
      <c r="C1171" t="s">
        <v>62</v>
      </c>
      <c r="D1171" t="s">
        <v>3269</v>
      </c>
      <c r="E1171" t="s">
        <v>30</v>
      </c>
      <c r="F1171" t="s">
        <v>3225</v>
      </c>
      <c r="G1171" t="s">
        <v>31</v>
      </c>
      <c r="H1171" t="str">
        <f>VLOOKUP(Table1[[#This Row],[City]],Table6[#All],2,FALSE)</f>
        <v>South</v>
      </c>
      <c r="I1171" t="s">
        <v>53</v>
      </c>
      <c r="J1171" t="str">
        <f>_xlfn.XLOOKUP(Table1[[#This Row],[Tractor Model]],Table7[Product Model],Table7[Product Category],"Not Available",0)</f>
        <v>Farmtrac</v>
      </c>
      <c r="K1171" s="4">
        <v>2</v>
      </c>
      <c r="L1171" s="72">
        <v>102061</v>
      </c>
      <c r="M1171" s="4">
        <f>INDEX('Master Sheet'!$C$4:$C$12,MATCH(Table1[[#This Row],[Quantity]],'Master Sheet'!$B$4:$B$12,0))</f>
        <v>5</v>
      </c>
      <c r="N1171" s="71">
        <f>Table1[[#This Row],[Quantity]]*Table1[[#This Row],[Unit Price]]</f>
        <v>204122</v>
      </c>
      <c r="O1171" s="73">
        <v>2.0412199999999998E-2</v>
      </c>
      <c r="P1171" s="70">
        <f>Table1[[#This Row],[Gross Amount]]*(1-(Table1[[#This Row],[Discount %]]/100))</f>
        <v>193915.9</v>
      </c>
      <c r="Q1171" s="74">
        <f>(Table1[[#This Row],[Gross Amount]]*(1-(Table1[[#This Row],[Discount %]]/100)))/10000000</f>
        <v>1.939159E-2</v>
      </c>
      <c r="R1171" t="s">
        <v>42</v>
      </c>
      <c r="S1171" t="str" cm="1">
        <f t="array" ref="S1171">IFERROR(_xlfn.IFS(Table1[[#This Row],[Payment Status]]="Partial","In Transit",Table1[[#This Row],[Payment Status]]="Paid","Delivered",Table1[[#This Row],[Payment Status]]="Pending","Pending"),"Invalid Input")</f>
        <v>Pending</v>
      </c>
      <c r="T1171" t="s">
        <v>44</v>
      </c>
      <c r="U1171" t="str" cm="1">
        <f t="array" ref="U1171">IFERROR(_xlfn.IFS(Table1[[#This Row],[Payment Status]]="Partial","In Transit",Table1[[#This Row],[Payment Status]]="Paid","Completed",Table1[[#This Row],[Payment Status]]="Pending","Pending"),"Invalid Input")</f>
        <v>Pending</v>
      </c>
    </row>
    <row r="1172" spans="1:21" x14ac:dyDescent="0.25">
      <c r="A1172" s="4" t="s">
        <v>2088</v>
      </c>
      <c r="B1172" s="5">
        <v>45424</v>
      </c>
      <c r="C1172" t="s">
        <v>62</v>
      </c>
      <c r="D1172" t="s">
        <v>3269</v>
      </c>
      <c r="E1172" t="s">
        <v>47</v>
      </c>
      <c r="F1172" t="s">
        <v>3209</v>
      </c>
      <c r="G1172" t="s">
        <v>48</v>
      </c>
      <c r="H1172" t="str">
        <f>VLOOKUP(Table1[[#This Row],[City]],Table6[#All],2,FALSE)</f>
        <v>North</v>
      </c>
      <c r="I1172" t="s">
        <v>3203</v>
      </c>
      <c r="J1172" t="str">
        <f>_xlfn.XLOOKUP(Table1[[#This Row],[Tractor Model]],Table7[Product Model],Table7[Product Category],"Not Available",0)</f>
        <v>Kubota</v>
      </c>
      <c r="K1172" s="4">
        <v>6</v>
      </c>
      <c r="L1172" s="72">
        <v>880915</v>
      </c>
      <c r="M1172" s="4">
        <f>INDEX('Master Sheet'!$C$4:$C$12,MATCH(Table1[[#This Row],[Quantity]],'Master Sheet'!$B$4:$B$12,0))</f>
        <v>8</v>
      </c>
      <c r="N1172" s="71">
        <f>Table1[[#This Row],[Quantity]]*Table1[[#This Row],[Unit Price]]</f>
        <v>5285490</v>
      </c>
      <c r="O1172" s="73">
        <v>0.52854900000000005</v>
      </c>
      <c r="P1172" s="70">
        <f>Table1[[#This Row],[Gross Amount]]*(1-(Table1[[#This Row],[Discount %]]/100))</f>
        <v>4862650.8</v>
      </c>
      <c r="Q1172" s="74">
        <f>(Table1[[#This Row],[Gross Amount]]*(1-(Table1[[#This Row],[Discount %]]/100)))/10000000</f>
        <v>0.48626507999999996</v>
      </c>
      <c r="R1172" t="s">
        <v>54</v>
      </c>
      <c r="S1172" t="str" cm="1">
        <f t="array" ref="S1172">IFERROR(_xlfn.IFS(Table1[[#This Row],[Payment Status]]="Partial","In Transit",Table1[[#This Row],[Payment Status]]="Paid","Delivered",Table1[[#This Row],[Payment Status]]="Pending","Pending"),"Invalid Input")</f>
        <v>Delivered</v>
      </c>
      <c r="T1172" t="s">
        <v>44</v>
      </c>
      <c r="U1172" t="str" cm="1">
        <f t="array" ref="U1172">IFERROR(_xlfn.IFS(Table1[[#This Row],[Payment Status]]="Partial","In Transit",Table1[[#This Row],[Payment Status]]="Paid","Completed",Table1[[#This Row],[Payment Status]]="Pending","Pending"),"Invalid Input")</f>
        <v>Completed</v>
      </c>
    </row>
    <row r="1173" spans="1:21" x14ac:dyDescent="0.25">
      <c r="A1173" s="4" t="s">
        <v>2090</v>
      </c>
      <c r="B1173" s="5">
        <v>45661</v>
      </c>
      <c r="C1173" t="s">
        <v>41</v>
      </c>
      <c r="D1173" t="s">
        <v>37</v>
      </c>
      <c r="E1173" t="s">
        <v>38</v>
      </c>
      <c r="F1173" t="s">
        <v>3214</v>
      </c>
      <c r="G1173" t="s">
        <v>39</v>
      </c>
      <c r="H1173" t="str">
        <f>VLOOKUP(Table1[[#This Row],[City]],Table6[#All],2,FALSE)</f>
        <v>West</v>
      </c>
      <c r="I1173" t="s">
        <v>53</v>
      </c>
      <c r="J1173" t="str">
        <f>_xlfn.XLOOKUP(Table1[[#This Row],[Tractor Model]],Table7[Product Model],Table7[Product Category],"Not Available",0)</f>
        <v>Farmtrac</v>
      </c>
      <c r="K1173" s="4">
        <v>5</v>
      </c>
      <c r="L1173" s="72">
        <v>100904</v>
      </c>
      <c r="M1173" s="4">
        <f>INDEX('Master Sheet'!$C$4:$C$12,MATCH(Table1[[#This Row],[Quantity]],'Master Sheet'!$B$4:$B$12,0))</f>
        <v>7</v>
      </c>
      <c r="N1173" s="71">
        <f>Table1[[#This Row],[Quantity]]*Table1[[#This Row],[Unit Price]]</f>
        <v>504520</v>
      </c>
      <c r="O1173" s="73">
        <v>5.0451999999999997E-2</v>
      </c>
      <c r="P1173" s="70">
        <f>Table1[[#This Row],[Gross Amount]]*(1-(Table1[[#This Row],[Discount %]]/100))</f>
        <v>469203.6</v>
      </c>
      <c r="Q1173" s="74">
        <f>(Table1[[#This Row],[Gross Amount]]*(1-(Table1[[#This Row],[Discount %]]/100)))/10000000</f>
        <v>4.6920359999999994E-2</v>
      </c>
      <c r="R1173" t="s">
        <v>42</v>
      </c>
      <c r="S1173" t="str" cm="1">
        <f t="array" ref="S1173">IFERROR(_xlfn.IFS(Table1[[#This Row],[Payment Status]]="Partial","In Transit",Table1[[#This Row],[Payment Status]]="Paid","Delivered",Table1[[#This Row],[Payment Status]]="Pending","Pending"),"Invalid Input")</f>
        <v>Pending</v>
      </c>
      <c r="T1173" t="s">
        <v>27</v>
      </c>
      <c r="U1173" t="str" cm="1">
        <f t="array" ref="U1173">IFERROR(_xlfn.IFS(Table1[[#This Row],[Payment Status]]="Partial","In Transit",Table1[[#This Row],[Payment Status]]="Paid","Completed",Table1[[#This Row],[Payment Status]]="Pending","Pending"),"Invalid Input")</f>
        <v>Pending</v>
      </c>
    </row>
    <row r="1174" spans="1:21" x14ac:dyDescent="0.25">
      <c r="A1174" s="4" t="s">
        <v>2091</v>
      </c>
      <c r="B1174" s="5">
        <v>45623</v>
      </c>
      <c r="C1174" t="s">
        <v>52</v>
      </c>
      <c r="D1174" t="s">
        <v>3270</v>
      </c>
      <c r="E1174" t="s">
        <v>38</v>
      </c>
      <c r="F1174" t="s">
        <v>3218</v>
      </c>
      <c r="G1174" t="s">
        <v>39</v>
      </c>
      <c r="H1174" t="str">
        <f>VLOOKUP(Table1[[#This Row],[City]],Table6[#All],2,FALSE)</f>
        <v>West</v>
      </c>
      <c r="I1174" t="s">
        <v>3203</v>
      </c>
      <c r="J1174" t="str">
        <f>_xlfn.XLOOKUP(Table1[[#This Row],[Tractor Model]],Table7[Product Model],Table7[Product Category],"Not Available",0)</f>
        <v>Kubota</v>
      </c>
      <c r="K1174" s="4">
        <v>3</v>
      </c>
      <c r="L1174" s="72">
        <v>756118</v>
      </c>
      <c r="M1174" s="4">
        <f>INDEX('Master Sheet'!$C$4:$C$12,MATCH(Table1[[#This Row],[Quantity]],'Master Sheet'!$B$4:$B$12,0))</f>
        <v>6</v>
      </c>
      <c r="N1174" s="71">
        <f>Table1[[#This Row],[Quantity]]*Table1[[#This Row],[Unit Price]]</f>
        <v>2268354</v>
      </c>
      <c r="O1174" s="73">
        <v>0.22683539999999999</v>
      </c>
      <c r="P1174" s="70">
        <f>Table1[[#This Row],[Gross Amount]]*(1-(Table1[[#This Row],[Discount %]]/100))</f>
        <v>2132252.7599999998</v>
      </c>
      <c r="Q1174" s="74">
        <f>(Table1[[#This Row],[Gross Amount]]*(1-(Table1[[#This Row],[Discount %]]/100)))/10000000</f>
        <v>0.21322527599999999</v>
      </c>
      <c r="R1174" t="s">
        <v>25</v>
      </c>
      <c r="S1174" t="str" cm="1">
        <f t="array" ref="S1174">IFERROR(_xlfn.IFS(Table1[[#This Row],[Payment Status]]="Partial","In Transit",Table1[[#This Row],[Payment Status]]="Paid","Delivered",Table1[[#This Row],[Payment Status]]="Pending","Pending"),"Invalid Input")</f>
        <v>In Transit</v>
      </c>
      <c r="T1174" t="s">
        <v>44</v>
      </c>
      <c r="U1174" t="str" cm="1">
        <f t="array" ref="U1174">IFERROR(_xlfn.IFS(Table1[[#This Row],[Payment Status]]="Partial","In Transit",Table1[[#This Row],[Payment Status]]="Paid","Completed",Table1[[#This Row],[Payment Status]]="Pending","Pending"),"Invalid Input")</f>
        <v>In Transit</v>
      </c>
    </row>
    <row r="1175" spans="1:21" x14ac:dyDescent="0.25">
      <c r="A1175" s="4" t="s">
        <v>2092</v>
      </c>
      <c r="B1175" s="5">
        <v>45296</v>
      </c>
      <c r="C1175" t="s">
        <v>33</v>
      </c>
      <c r="D1175" t="s">
        <v>3271</v>
      </c>
      <c r="E1175" t="s">
        <v>30</v>
      </c>
      <c r="F1175" t="s">
        <v>3217</v>
      </c>
      <c r="G1175" t="s">
        <v>31</v>
      </c>
      <c r="H1175" t="str">
        <f>VLOOKUP(Table1[[#This Row],[City]],Table6[#All],2,FALSE)</f>
        <v>South</v>
      </c>
      <c r="I1175" t="s">
        <v>53</v>
      </c>
      <c r="J1175" t="str">
        <f>_xlfn.XLOOKUP(Table1[[#This Row],[Tractor Model]],Table7[Product Model],Table7[Product Category],"Not Available",0)</f>
        <v>Farmtrac</v>
      </c>
      <c r="K1175" s="4">
        <v>5</v>
      </c>
      <c r="L1175" s="72">
        <v>712244</v>
      </c>
      <c r="M1175" s="4">
        <f>INDEX('Master Sheet'!$C$4:$C$12,MATCH(Table1[[#This Row],[Quantity]],'Master Sheet'!$B$4:$B$12,0))</f>
        <v>7</v>
      </c>
      <c r="N1175" s="71">
        <f>Table1[[#This Row],[Quantity]]*Table1[[#This Row],[Unit Price]]</f>
        <v>3561220</v>
      </c>
      <c r="O1175" s="73">
        <v>0.35612199999999999</v>
      </c>
      <c r="P1175" s="70">
        <f>Table1[[#This Row],[Gross Amount]]*(1-(Table1[[#This Row],[Discount %]]/100))</f>
        <v>3311934.5999999996</v>
      </c>
      <c r="Q1175" s="74">
        <f>(Table1[[#This Row],[Gross Amount]]*(1-(Table1[[#This Row],[Discount %]]/100)))/10000000</f>
        <v>0.33119345999999994</v>
      </c>
      <c r="R1175" t="s">
        <v>42</v>
      </c>
      <c r="S1175" t="str" cm="1">
        <f t="array" ref="S1175">IFERROR(_xlfn.IFS(Table1[[#This Row],[Payment Status]]="Partial","In Transit",Table1[[#This Row],[Payment Status]]="Paid","Delivered",Table1[[#This Row],[Payment Status]]="Pending","Pending"),"Invalid Input")</f>
        <v>Pending</v>
      </c>
      <c r="T1175" t="s">
        <v>27</v>
      </c>
      <c r="U1175" t="str" cm="1">
        <f t="array" ref="U1175">IFERROR(_xlfn.IFS(Table1[[#This Row],[Payment Status]]="Partial","In Transit",Table1[[#This Row],[Payment Status]]="Paid","Completed",Table1[[#This Row],[Payment Status]]="Pending","Pending"),"Invalid Input")</f>
        <v>Pending</v>
      </c>
    </row>
    <row r="1176" spans="1:21" x14ac:dyDescent="0.25">
      <c r="A1176" s="4" t="s">
        <v>2094</v>
      </c>
      <c r="B1176" s="5">
        <v>45367</v>
      </c>
      <c r="C1176" t="s">
        <v>33</v>
      </c>
      <c r="D1176" t="s">
        <v>3270</v>
      </c>
      <c r="E1176" t="s">
        <v>30</v>
      </c>
      <c r="F1176" t="s">
        <v>3223</v>
      </c>
      <c r="G1176" t="s">
        <v>31</v>
      </c>
      <c r="H1176" t="str">
        <f>VLOOKUP(Table1[[#This Row],[City]],Table6[#All],2,FALSE)</f>
        <v>South</v>
      </c>
      <c r="I1176" t="s">
        <v>53</v>
      </c>
      <c r="J1176" t="str">
        <f>_xlfn.XLOOKUP(Table1[[#This Row],[Tractor Model]],Table7[Product Model],Table7[Product Category],"Not Available",0)</f>
        <v>Farmtrac</v>
      </c>
      <c r="K1176" s="4">
        <v>2</v>
      </c>
      <c r="L1176" s="72">
        <v>392807</v>
      </c>
      <c r="M1176" s="4">
        <f>INDEX('Master Sheet'!$C$4:$C$12,MATCH(Table1[[#This Row],[Quantity]],'Master Sheet'!$B$4:$B$12,0))</f>
        <v>5</v>
      </c>
      <c r="N1176" s="71">
        <f>Table1[[#This Row],[Quantity]]*Table1[[#This Row],[Unit Price]]</f>
        <v>785614</v>
      </c>
      <c r="O1176" s="73">
        <v>7.8561400000000003E-2</v>
      </c>
      <c r="P1176" s="70">
        <f>Table1[[#This Row],[Gross Amount]]*(1-(Table1[[#This Row],[Discount %]]/100))</f>
        <v>746333.29999999993</v>
      </c>
      <c r="Q1176" s="74">
        <f>(Table1[[#This Row],[Gross Amount]]*(1-(Table1[[#This Row],[Discount %]]/100)))/10000000</f>
        <v>7.4633329999999998E-2</v>
      </c>
      <c r="R1176" t="s">
        <v>25</v>
      </c>
      <c r="S1176" t="str" cm="1">
        <f t="array" ref="S1176">IFERROR(_xlfn.IFS(Table1[[#This Row],[Payment Status]]="Partial","In Transit",Table1[[#This Row],[Payment Status]]="Paid","Delivered",Table1[[#This Row],[Payment Status]]="Pending","Pending"),"Invalid Input")</f>
        <v>In Transit</v>
      </c>
      <c r="T1176" t="s">
        <v>27</v>
      </c>
      <c r="U1176" t="str" cm="1">
        <f t="array" ref="U1176">IFERROR(_xlfn.IFS(Table1[[#This Row],[Payment Status]]="Partial","In Transit",Table1[[#This Row],[Payment Status]]="Paid","Completed",Table1[[#This Row],[Payment Status]]="Pending","Pending"),"Invalid Input")</f>
        <v>In Transit</v>
      </c>
    </row>
    <row r="1177" spans="1:21" x14ac:dyDescent="0.25">
      <c r="A1177" s="4" t="s">
        <v>2096</v>
      </c>
      <c r="B1177" s="5">
        <v>45651</v>
      </c>
      <c r="C1177" t="s">
        <v>73</v>
      </c>
      <c r="D1177" t="s">
        <v>3271</v>
      </c>
      <c r="E1177" t="s">
        <v>66</v>
      </c>
      <c r="F1177" t="s">
        <v>3207</v>
      </c>
      <c r="G1177" t="s">
        <v>67</v>
      </c>
      <c r="H1177" t="str">
        <f>VLOOKUP(Table1[[#This Row],[City]],Table6[#All],2,FALSE)</f>
        <v>East</v>
      </c>
      <c r="I1177" t="s">
        <v>24</v>
      </c>
      <c r="J1177" t="str">
        <f>_xlfn.XLOOKUP(Table1[[#This Row],[Tractor Model]],Table7[Product Model],Table7[Product Category],"Not Available",0)</f>
        <v>Farmtrac</v>
      </c>
      <c r="K1177" s="4">
        <v>3</v>
      </c>
      <c r="L1177" s="72">
        <v>314995</v>
      </c>
      <c r="M1177" s="4">
        <f>INDEX('Master Sheet'!$C$4:$C$12,MATCH(Table1[[#This Row],[Quantity]],'Master Sheet'!$B$4:$B$12,0))</f>
        <v>6</v>
      </c>
      <c r="N1177" s="71">
        <f>Table1[[#This Row],[Quantity]]*Table1[[#This Row],[Unit Price]]</f>
        <v>944985</v>
      </c>
      <c r="O1177" s="73">
        <v>9.4498499999999999E-2</v>
      </c>
      <c r="P1177" s="70">
        <f>Table1[[#This Row],[Gross Amount]]*(1-(Table1[[#This Row],[Discount %]]/100))</f>
        <v>888285.89999999991</v>
      </c>
      <c r="Q1177" s="74">
        <f>(Table1[[#This Row],[Gross Amount]]*(1-(Table1[[#This Row],[Discount %]]/100)))/10000000</f>
        <v>8.8828589999999985E-2</v>
      </c>
      <c r="R1177" t="s">
        <v>42</v>
      </c>
      <c r="S1177" t="str" cm="1">
        <f t="array" ref="S1177">IFERROR(_xlfn.IFS(Table1[[#This Row],[Payment Status]]="Partial","In Transit",Table1[[#This Row],[Payment Status]]="Paid","Delivered",Table1[[#This Row],[Payment Status]]="Pending","Pending"),"Invalid Input")</f>
        <v>Pending</v>
      </c>
      <c r="T1177" t="s">
        <v>27</v>
      </c>
      <c r="U1177" t="str" cm="1">
        <f t="array" ref="U1177">IFERROR(_xlfn.IFS(Table1[[#This Row],[Payment Status]]="Partial","In Transit",Table1[[#This Row],[Payment Status]]="Paid","Completed",Table1[[#This Row],[Payment Status]]="Pending","Pending"),"Invalid Input")</f>
        <v>Pending</v>
      </c>
    </row>
    <row r="1178" spans="1:21" x14ac:dyDescent="0.25">
      <c r="A1178" s="4" t="s">
        <v>2097</v>
      </c>
      <c r="B1178" s="5">
        <v>45533</v>
      </c>
      <c r="C1178" t="s">
        <v>52</v>
      </c>
      <c r="D1178" t="s">
        <v>3271</v>
      </c>
      <c r="E1178" t="s">
        <v>38</v>
      </c>
      <c r="F1178" t="s">
        <v>3210</v>
      </c>
      <c r="G1178" t="s">
        <v>39</v>
      </c>
      <c r="H1178" t="str">
        <f>VLOOKUP(Table1[[#This Row],[City]],Table6[#All],2,FALSE)</f>
        <v>West</v>
      </c>
      <c r="I1178" t="s">
        <v>3203</v>
      </c>
      <c r="J1178" t="str">
        <f>_xlfn.XLOOKUP(Table1[[#This Row],[Tractor Model]],Table7[Product Model],Table7[Product Category],"Not Available",0)</f>
        <v>Kubota</v>
      </c>
      <c r="K1178" s="4">
        <v>1</v>
      </c>
      <c r="L1178" s="72">
        <v>636067</v>
      </c>
      <c r="M1178" s="4">
        <f>INDEX('Master Sheet'!$C$4:$C$12,MATCH(Table1[[#This Row],[Quantity]],'Master Sheet'!$B$4:$B$12,0))</f>
        <v>3</v>
      </c>
      <c r="N1178" s="71">
        <f>Table1[[#This Row],[Quantity]]*Table1[[#This Row],[Unit Price]]</f>
        <v>636067</v>
      </c>
      <c r="O1178" s="73">
        <v>6.3606700000000002E-2</v>
      </c>
      <c r="P1178" s="70">
        <f>Table1[[#This Row],[Gross Amount]]*(1-(Table1[[#This Row],[Discount %]]/100))</f>
        <v>616984.99</v>
      </c>
      <c r="Q1178" s="74">
        <f>(Table1[[#This Row],[Gross Amount]]*(1-(Table1[[#This Row],[Discount %]]/100)))/10000000</f>
        <v>6.1698498999999997E-2</v>
      </c>
      <c r="R1178" t="s">
        <v>54</v>
      </c>
      <c r="S1178" t="str" cm="1">
        <f t="array" ref="S1178">IFERROR(_xlfn.IFS(Table1[[#This Row],[Payment Status]]="Partial","In Transit",Table1[[#This Row],[Payment Status]]="Paid","Delivered",Table1[[#This Row],[Payment Status]]="Pending","Pending"),"Invalid Input")</f>
        <v>Delivered</v>
      </c>
      <c r="T1178" t="s">
        <v>27</v>
      </c>
      <c r="U1178" t="str" cm="1">
        <f t="array" ref="U1178">IFERROR(_xlfn.IFS(Table1[[#This Row],[Payment Status]]="Partial","In Transit",Table1[[#This Row],[Payment Status]]="Paid","Completed",Table1[[#This Row],[Payment Status]]="Pending","Pending"),"Invalid Input")</f>
        <v>Completed</v>
      </c>
    </row>
    <row r="1179" spans="1:21" x14ac:dyDescent="0.25">
      <c r="A1179" s="4" t="s">
        <v>2099</v>
      </c>
      <c r="B1179" s="5">
        <v>45325</v>
      </c>
      <c r="C1179" t="s">
        <v>62</v>
      </c>
      <c r="D1179" t="s">
        <v>3271</v>
      </c>
      <c r="E1179" t="s">
        <v>38</v>
      </c>
      <c r="F1179" t="s">
        <v>3210</v>
      </c>
      <c r="G1179" t="s">
        <v>39</v>
      </c>
      <c r="H1179" t="str">
        <f>VLOOKUP(Table1[[#This Row],[City]],Table6[#All],2,FALSE)</f>
        <v>West</v>
      </c>
      <c r="I1179" t="s">
        <v>24</v>
      </c>
      <c r="J1179" t="str">
        <f>_xlfn.XLOOKUP(Table1[[#This Row],[Tractor Model]],Table7[Product Model],Table7[Product Category],"Not Available",0)</f>
        <v>Farmtrac</v>
      </c>
      <c r="K1179" s="4">
        <v>5</v>
      </c>
      <c r="L1179" s="72">
        <v>450907</v>
      </c>
      <c r="M1179" s="4">
        <f>INDEX('Master Sheet'!$C$4:$C$12,MATCH(Table1[[#This Row],[Quantity]],'Master Sheet'!$B$4:$B$12,0))</f>
        <v>7</v>
      </c>
      <c r="N1179" s="71">
        <f>Table1[[#This Row],[Quantity]]*Table1[[#This Row],[Unit Price]]</f>
        <v>2254535</v>
      </c>
      <c r="O1179" s="73">
        <v>0.2254535</v>
      </c>
      <c r="P1179" s="70">
        <f>Table1[[#This Row],[Gross Amount]]*(1-(Table1[[#This Row],[Discount %]]/100))</f>
        <v>2096717.5499999998</v>
      </c>
      <c r="Q1179" s="74">
        <f>(Table1[[#This Row],[Gross Amount]]*(1-(Table1[[#This Row],[Discount %]]/100)))/10000000</f>
        <v>0.20967175499999999</v>
      </c>
      <c r="R1179" t="s">
        <v>42</v>
      </c>
      <c r="S1179" t="str" cm="1">
        <f t="array" ref="S1179">IFERROR(_xlfn.IFS(Table1[[#This Row],[Payment Status]]="Partial","In Transit",Table1[[#This Row],[Payment Status]]="Paid","Delivered",Table1[[#This Row],[Payment Status]]="Pending","Pending"),"Invalid Input")</f>
        <v>Pending</v>
      </c>
      <c r="T1179" t="s">
        <v>27</v>
      </c>
      <c r="U1179" t="str" cm="1">
        <f t="array" ref="U1179">IFERROR(_xlfn.IFS(Table1[[#This Row],[Payment Status]]="Partial","In Transit",Table1[[#This Row],[Payment Status]]="Paid","Completed",Table1[[#This Row],[Payment Status]]="Pending","Pending"),"Invalid Input")</f>
        <v>Pending</v>
      </c>
    </row>
    <row r="1180" spans="1:21" x14ac:dyDescent="0.25">
      <c r="A1180" s="4" t="s">
        <v>2101</v>
      </c>
      <c r="B1180" s="5">
        <v>45466</v>
      </c>
      <c r="C1180" t="s">
        <v>52</v>
      </c>
      <c r="D1180" t="s">
        <v>3268</v>
      </c>
      <c r="E1180" t="s">
        <v>119</v>
      </c>
      <c r="F1180" t="s">
        <v>3227</v>
      </c>
      <c r="G1180" t="s">
        <v>21</v>
      </c>
      <c r="H1180" t="str">
        <f>VLOOKUP(Table1[[#This Row],[City]],Table6[#All],2,FALSE)</f>
        <v>North</v>
      </c>
      <c r="I1180" t="s">
        <v>3204</v>
      </c>
      <c r="J1180" t="str">
        <f>_xlfn.XLOOKUP(Table1[[#This Row],[Tractor Model]],Table7[Product Model],Table7[Product Category],"Not Available",0)</f>
        <v>Kubota</v>
      </c>
      <c r="K1180" s="4">
        <v>6</v>
      </c>
      <c r="L1180" s="72">
        <v>172066</v>
      </c>
      <c r="M1180" s="4">
        <f>INDEX('Master Sheet'!$C$4:$C$12,MATCH(Table1[[#This Row],[Quantity]],'Master Sheet'!$B$4:$B$12,0))</f>
        <v>8</v>
      </c>
      <c r="N1180" s="71">
        <f>Table1[[#This Row],[Quantity]]*Table1[[#This Row],[Unit Price]]</f>
        <v>1032396</v>
      </c>
      <c r="O1180" s="73">
        <v>0.1032396</v>
      </c>
      <c r="P1180" s="70">
        <f>Table1[[#This Row],[Gross Amount]]*(1-(Table1[[#This Row],[Discount %]]/100))</f>
        <v>949804.32000000007</v>
      </c>
      <c r="Q1180" s="74">
        <f>(Table1[[#This Row],[Gross Amount]]*(1-(Table1[[#This Row],[Discount %]]/100)))/10000000</f>
        <v>9.4980432000000004E-2</v>
      </c>
      <c r="R1180" t="s">
        <v>25</v>
      </c>
      <c r="S1180" t="str" cm="1">
        <f t="array" ref="S1180">IFERROR(_xlfn.IFS(Table1[[#This Row],[Payment Status]]="Partial","In Transit",Table1[[#This Row],[Payment Status]]="Paid","Delivered",Table1[[#This Row],[Payment Status]]="Pending","Pending"),"Invalid Input")</f>
        <v>In Transit</v>
      </c>
      <c r="T1180" t="s">
        <v>27</v>
      </c>
      <c r="U1180" t="str" cm="1">
        <f t="array" ref="U1180">IFERROR(_xlfn.IFS(Table1[[#This Row],[Payment Status]]="Partial","In Transit",Table1[[#This Row],[Payment Status]]="Paid","Completed",Table1[[#This Row],[Payment Status]]="Pending","Pending"),"Invalid Input")</f>
        <v>In Transit</v>
      </c>
    </row>
    <row r="1181" spans="1:21" x14ac:dyDescent="0.25">
      <c r="A1181" s="4" t="s">
        <v>2103</v>
      </c>
      <c r="B1181" s="5">
        <v>45457</v>
      </c>
      <c r="C1181" t="s">
        <v>62</v>
      </c>
      <c r="D1181" t="s">
        <v>37</v>
      </c>
      <c r="E1181" t="s">
        <v>47</v>
      </c>
      <c r="F1181" t="s">
        <v>3215</v>
      </c>
      <c r="G1181" t="s">
        <v>48</v>
      </c>
      <c r="H1181" t="str">
        <f>VLOOKUP(Table1[[#This Row],[City]],Table6[#All],2,FALSE)</f>
        <v>North</v>
      </c>
      <c r="I1181" t="s">
        <v>58</v>
      </c>
      <c r="J1181" t="str">
        <f>_xlfn.XLOOKUP(Table1[[#This Row],[Tractor Model]],Table7[Product Model],Table7[Product Category],"Not Available",0)</f>
        <v>Powertrac</v>
      </c>
      <c r="K1181" s="4">
        <v>8</v>
      </c>
      <c r="L1181" s="72">
        <v>874664</v>
      </c>
      <c r="M1181" s="4">
        <f>INDEX('Master Sheet'!$C$4:$C$12,MATCH(Table1[[#This Row],[Quantity]],'Master Sheet'!$B$4:$B$12,0))</f>
        <v>9</v>
      </c>
      <c r="N1181" s="71">
        <f>Table1[[#This Row],[Quantity]]*Table1[[#This Row],[Unit Price]]</f>
        <v>6997312</v>
      </c>
      <c r="O1181" s="73">
        <v>0.6997312</v>
      </c>
      <c r="P1181" s="70">
        <f>Table1[[#This Row],[Gross Amount]]*(1-(Table1[[#This Row],[Discount %]]/100))</f>
        <v>6367553.9199999999</v>
      </c>
      <c r="Q1181" s="74">
        <f>(Table1[[#This Row],[Gross Amount]]*(1-(Table1[[#This Row],[Discount %]]/100)))/10000000</f>
        <v>0.63675539199999998</v>
      </c>
      <c r="R1181" t="s">
        <v>54</v>
      </c>
      <c r="S1181" t="str" cm="1">
        <f t="array" ref="S1181">IFERROR(_xlfn.IFS(Table1[[#This Row],[Payment Status]]="Partial","In Transit",Table1[[#This Row],[Payment Status]]="Paid","Delivered",Table1[[#This Row],[Payment Status]]="Pending","Pending"),"Invalid Input")</f>
        <v>Delivered</v>
      </c>
      <c r="T1181" t="s">
        <v>44</v>
      </c>
      <c r="U1181" t="str" cm="1">
        <f t="array" ref="U1181">IFERROR(_xlfn.IFS(Table1[[#This Row],[Payment Status]]="Partial","In Transit",Table1[[#This Row],[Payment Status]]="Paid","Completed",Table1[[#This Row],[Payment Status]]="Pending","Pending"),"Invalid Input")</f>
        <v>Completed</v>
      </c>
    </row>
    <row r="1182" spans="1:21" x14ac:dyDescent="0.25">
      <c r="A1182" s="4" t="s">
        <v>2104</v>
      </c>
      <c r="B1182" s="5">
        <v>45601</v>
      </c>
      <c r="C1182" t="s">
        <v>33</v>
      </c>
      <c r="D1182" t="s">
        <v>3270</v>
      </c>
      <c r="E1182" t="s">
        <v>47</v>
      </c>
      <c r="F1182" t="s">
        <v>3205</v>
      </c>
      <c r="G1182" t="s">
        <v>48</v>
      </c>
      <c r="H1182" t="str">
        <f>VLOOKUP(Table1[[#This Row],[City]],Table6[#All],2,FALSE)</f>
        <v>North</v>
      </c>
      <c r="I1182" t="s">
        <v>3203</v>
      </c>
      <c r="J1182" t="str">
        <f>_xlfn.XLOOKUP(Table1[[#This Row],[Tractor Model]],Table7[Product Model],Table7[Product Category],"Not Available",0)</f>
        <v>Kubota</v>
      </c>
      <c r="K1182" s="4">
        <v>1</v>
      </c>
      <c r="L1182" s="72">
        <v>779481</v>
      </c>
      <c r="M1182" s="4">
        <f>INDEX('Master Sheet'!$C$4:$C$12,MATCH(Table1[[#This Row],[Quantity]],'Master Sheet'!$B$4:$B$12,0))</f>
        <v>3</v>
      </c>
      <c r="N1182" s="71">
        <f>Table1[[#This Row],[Quantity]]*Table1[[#This Row],[Unit Price]]</f>
        <v>779481</v>
      </c>
      <c r="O1182" s="73">
        <v>7.7948100000000006E-2</v>
      </c>
      <c r="P1182" s="70">
        <f>Table1[[#This Row],[Gross Amount]]*(1-(Table1[[#This Row],[Discount %]]/100))</f>
        <v>756096.57</v>
      </c>
      <c r="Q1182" s="74">
        <f>(Table1[[#This Row],[Gross Amount]]*(1-(Table1[[#This Row],[Discount %]]/100)))/10000000</f>
        <v>7.5609656999999997E-2</v>
      </c>
      <c r="R1182" t="s">
        <v>54</v>
      </c>
      <c r="S1182" t="str" cm="1">
        <f t="array" ref="S1182">IFERROR(_xlfn.IFS(Table1[[#This Row],[Payment Status]]="Partial","In Transit",Table1[[#This Row],[Payment Status]]="Paid","Delivered",Table1[[#This Row],[Payment Status]]="Pending","Pending"),"Invalid Input")</f>
        <v>Delivered</v>
      </c>
      <c r="T1182" t="s">
        <v>27</v>
      </c>
      <c r="U1182" t="str" cm="1">
        <f t="array" ref="U1182">IFERROR(_xlfn.IFS(Table1[[#This Row],[Payment Status]]="Partial","In Transit",Table1[[#This Row],[Payment Status]]="Paid","Completed",Table1[[#This Row],[Payment Status]]="Pending","Pending"),"Invalid Input")</f>
        <v>Completed</v>
      </c>
    </row>
    <row r="1183" spans="1:21" x14ac:dyDescent="0.25">
      <c r="A1183" s="4" t="s">
        <v>2105</v>
      </c>
      <c r="B1183" s="5">
        <v>45516</v>
      </c>
      <c r="C1183" t="s">
        <v>73</v>
      </c>
      <c r="D1183" t="s">
        <v>37</v>
      </c>
      <c r="E1183" t="s">
        <v>47</v>
      </c>
      <c r="F1183" t="s">
        <v>3215</v>
      </c>
      <c r="G1183" t="s">
        <v>48</v>
      </c>
      <c r="H1183" t="str">
        <f>VLOOKUP(Table1[[#This Row],[City]],Table6[#All],2,FALSE)</f>
        <v>North</v>
      </c>
      <c r="I1183" t="s">
        <v>58</v>
      </c>
      <c r="J1183" t="str">
        <f>_xlfn.XLOOKUP(Table1[[#This Row],[Tractor Model]],Table7[Product Model],Table7[Product Category],"Not Available",0)</f>
        <v>Powertrac</v>
      </c>
      <c r="K1183" s="4">
        <v>7</v>
      </c>
      <c r="L1183" s="72">
        <v>191865</v>
      </c>
      <c r="M1183" s="4">
        <f>INDEX('Master Sheet'!$C$4:$C$12,MATCH(Table1[[#This Row],[Quantity]],'Master Sheet'!$B$4:$B$12,0))</f>
        <v>9</v>
      </c>
      <c r="N1183" s="71">
        <f>Table1[[#This Row],[Quantity]]*Table1[[#This Row],[Unit Price]]</f>
        <v>1343055</v>
      </c>
      <c r="O1183" s="73">
        <v>0.13430549999999999</v>
      </c>
      <c r="P1183" s="70">
        <f>Table1[[#This Row],[Gross Amount]]*(1-(Table1[[#This Row],[Discount %]]/100))</f>
        <v>1222180.05</v>
      </c>
      <c r="Q1183" s="74">
        <f>(Table1[[#This Row],[Gross Amount]]*(1-(Table1[[#This Row],[Discount %]]/100)))/10000000</f>
        <v>0.122218005</v>
      </c>
      <c r="R1183" t="s">
        <v>54</v>
      </c>
      <c r="S1183" t="str" cm="1">
        <f t="array" ref="S1183">IFERROR(_xlfn.IFS(Table1[[#This Row],[Payment Status]]="Partial","In Transit",Table1[[#This Row],[Payment Status]]="Paid","Delivered",Table1[[#This Row],[Payment Status]]="Pending","Pending"),"Invalid Input")</f>
        <v>Delivered</v>
      </c>
      <c r="T1183" t="s">
        <v>27</v>
      </c>
      <c r="U1183" t="str" cm="1">
        <f t="array" ref="U1183">IFERROR(_xlfn.IFS(Table1[[#This Row],[Payment Status]]="Partial","In Transit",Table1[[#This Row],[Payment Status]]="Paid","Completed",Table1[[#This Row],[Payment Status]]="Pending","Pending"),"Invalid Input")</f>
        <v>Completed</v>
      </c>
    </row>
    <row r="1184" spans="1:21" x14ac:dyDescent="0.25">
      <c r="A1184" s="4" t="s">
        <v>2106</v>
      </c>
      <c r="B1184" s="5">
        <v>45641</v>
      </c>
      <c r="C1184" t="s">
        <v>73</v>
      </c>
      <c r="D1184" t="s">
        <v>3268</v>
      </c>
      <c r="E1184" t="s">
        <v>119</v>
      </c>
      <c r="F1184" t="s">
        <v>3227</v>
      </c>
      <c r="G1184" t="s">
        <v>21</v>
      </c>
      <c r="H1184" t="str">
        <f>VLOOKUP(Table1[[#This Row],[City]],Table6[#All],2,FALSE)</f>
        <v>North</v>
      </c>
      <c r="I1184" t="s">
        <v>3204</v>
      </c>
      <c r="J1184" t="str">
        <f>_xlfn.XLOOKUP(Table1[[#This Row],[Tractor Model]],Table7[Product Model],Table7[Product Category],"Not Available",0)</f>
        <v>Kubota</v>
      </c>
      <c r="K1184" s="4">
        <v>4</v>
      </c>
      <c r="L1184" s="72">
        <v>551377</v>
      </c>
      <c r="M1184" s="4">
        <f>INDEX('Master Sheet'!$C$4:$C$12,MATCH(Table1[[#This Row],[Quantity]],'Master Sheet'!$B$4:$B$12,0))</f>
        <v>6</v>
      </c>
      <c r="N1184" s="71">
        <f>Table1[[#This Row],[Quantity]]*Table1[[#This Row],[Unit Price]]</f>
        <v>2205508</v>
      </c>
      <c r="O1184" s="73">
        <v>0.22055079999999999</v>
      </c>
      <c r="P1184" s="70">
        <f>Table1[[#This Row],[Gross Amount]]*(1-(Table1[[#This Row],[Discount %]]/100))</f>
        <v>2073177.5199999998</v>
      </c>
      <c r="Q1184" s="74">
        <f>(Table1[[#This Row],[Gross Amount]]*(1-(Table1[[#This Row],[Discount %]]/100)))/10000000</f>
        <v>0.20731775199999997</v>
      </c>
      <c r="R1184" t="s">
        <v>42</v>
      </c>
      <c r="S1184" t="str" cm="1">
        <f t="array" ref="S1184">IFERROR(_xlfn.IFS(Table1[[#This Row],[Payment Status]]="Partial","In Transit",Table1[[#This Row],[Payment Status]]="Paid","Delivered",Table1[[#This Row],[Payment Status]]="Pending","Pending"),"Invalid Input")</f>
        <v>Pending</v>
      </c>
      <c r="T1184" t="s">
        <v>44</v>
      </c>
      <c r="U1184" t="str" cm="1">
        <f t="array" ref="U1184">IFERROR(_xlfn.IFS(Table1[[#This Row],[Payment Status]]="Partial","In Transit",Table1[[#This Row],[Payment Status]]="Paid","Completed",Table1[[#This Row],[Payment Status]]="Pending","Pending"),"Invalid Input")</f>
        <v>Pending</v>
      </c>
    </row>
    <row r="1185" spans="1:21" x14ac:dyDescent="0.25">
      <c r="A1185" s="4" t="s">
        <v>2107</v>
      </c>
      <c r="B1185" s="5">
        <v>45347</v>
      </c>
      <c r="C1185" t="s">
        <v>62</v>
      </c>
      <c r="D1185" t="s">
        <v>37</v>
      </c>
      <c r="E1185" t="s">
        <v>38</v>
      </c>
      <c r="F1185" t="s">
        <v>3214</v>
      </c>
      <c r="G1185" t="s">
        <v>39</v>
      </c>
      <c r="H1185" t="str">
        <f>VLOOKUP(Table1[[#This Row],[City]],Table6[#All],2,FALSE)</f>
        <v>West</v>
      </c>
      <c r="I1185" t="s">
        <v>58</v>
      </c>
      <c r="J1185" t="str">
        <f>_xlfn.XLOOKUP(Table1[[#This Row],[Tractor Model]],Table7[Product Model],Table7[Product Category],"Not Available",0)</f>
        <v>Powertrac</v>
      </c>
      <c r="K1185" s="4">
        <v>7</v>
      </c>
      <c r="L1185" s="72">
        <v>804123</v>
      </c>
      <c r="M1185" s="4">
        <f>INDEX('Master Sheet'!$C$4:$C$12,MATCH(Table1[[#This Row],[Quantity]],'Master Sheet'!$B$4:$B$12,0))</f>
        <v>9</v>
      </c>
      <c r="N1185" s="71">
        <f>Table1[[#This Row],[Quantity]]*Table1[[#This Row],[Unit Price]]</f>
        <v>5628861</v>
      </c>
      <c r="O1185" s="73">
        <v>0.56288609999999994</v>
      </c>
      <c r="P1185" s="70">
        <f>Table1[[#This Row],[Gross Amount]]*(1-(Table1[[#This Row],[Discount %]]/100))</f>
        <v>5122263.51</v>
      </c>
      <c r="Q1185" s="74">
        <f>(Table1[[#This Row],[Gross Amount]]*(1-(Table1[[#This Row],[Discount %]]/100)))/10000000</f>
        <v>0.51222635100000002</v>
      </c>
      <c r="R1185" t="s">
        <v>25</v>
      </c>
      <c r="S1185" t="str" cm="1">
        <f t="array" ref="S1185">IFERROR(_xlfn.IFS(Table1[[#This Row],[Payment Status]]="Partial","In Transit",Table1[[#This Row],[Payment Status]]="Paid","Delivered",Table1[[#This Row],[Payment Status]]="Pending","Pending"),"Invalid Input")</f>
        <v>In Transit</v>
      </c>
      <c r="T1185" t="s">
        <v>27</v>
      </c>
      <c r="U1185" t="str" cm="1">
        <f t="array" ref="U1185">IFERROR(_xlfn.IFS(Table1[[#This Row],[Payment Status]]="Partial","In Transit",Table1[[#This Row],[Payment Status]]="Paid","Completed",Table1[[#This Row],[Payment Status]]="Pending","Pending"),"Invalid Input")</f>
        <v>In Transit</v>
      </c>
    </row>
    <row r="1186" spans="1:21" x14ac:dyDescent="0.25">
      <c r="A1186" s="4" t="s">
        <v>2109</v>
      </c>
      <c r="B1186" s="5">
        <v>45584</v>
      </c>
      <c r="C1186" t="s">
        <v>33</v>
      </c>
      <c r="D1186" t="s">
        <v>3268</v>
      </c>
      <c r="E1186" t="s">
        <v>119</v>
      </c>
      <c r="F1186" t="s">
        <v>3227</v>
      </c>
      <c r="G1186" t="s">
        <v>21</v>
      </c>
      <c r="H1186" t="str">
        <f>VLOOKUP(Table1[[#This Row],[City]],Table6[#All],2,FALSE)</f>
        <v>North</v>
      </c>
      <c r="I1186" t="s">
        <v>53</v>
      </c>
      <c r="J1186" t="str">
        <f>_xlfn.XLOOKUP(Table1[[#This Row],[Tractor Model]],Table7[Product Model],Table7[Product Category],"Not Available",0)</f>
        <v>Farmtrac</v>
      </c>
      <c r="K1186" s="4">
        <v>3</v>
      </c>
      <c r="L1186" s="72">
        <v>568622</v>
      </c>
      <c r="M1186" s="4">
        <f>INDEX('Master Sheet'!$C$4:$C$12,MATCH(Table1[[#This Row],[Quantity]],'Master Sheet'!$B$4:$B$12,0))</f>
        <v>6</v>
      </c>
      <c r="N1186" s="71">
        <f>Table1[[#This Row],[Quantity]]*Table1[[#This Row],[Unit Price]]</f>
        <v>1705866</v>
      </c>
      <c r="O1186" s="73">
        <v>0.1705866</v>
      </c>
      <c r="P1186" s="70">
        <f>Table1[[#This Row],[Gross Amount]]*(1-(Table1[[#This Row],[Discount %]]/100))</f>
        <v>1603514.0399999998</v>
      </c>
      <c r="Q1186" s="74">
        <f>(Table1[[#This Row],[Gross Amount]]*(1-(Table1[[#This Row],[Discount %]]/100)))/10000000</f>
        <v>0.16035140399999998</v>
      </c>
      <c r="R1186" t="s">
        <v>25</v>
      </c>
      <c r="S1186" t="str" cm="1">
        <f t="array" ref="S1186">IFERROR(_xlfn.IFS(Table1[[#This Row],[Payment Status]]="Partial","In Transit",Table1[[#This Row],[Payment Status]]="Paid","Delivered",Table1[[#This Row],[Payment Status]]="Pending","Pending"),"Invalid Input")</f>
        <v>In Transit</v>
      </c>
      <c r="T1186" t="s">
        <v>27</v>
      </c>
      <c r="U1186" t="str" cm="1">
        <f t="array" ref="U1186">IFERROR(_xlfn.IFS(Table1[[#This Row],[Payment Status]]="Partial","In Transit",Table1[[#This Row],[Payment Status]]="Paid","Completed",Table1[[#This Row],[Payment Status]]="Pending","Pending"),"Invalid Input")</f>
        <v>In Transit</v>
      </c>
    </row>
    <row r="1187" spans="1:21" x14ac:dyDescent="0.25">
      <c r="A1187" s="4" t="s">
        <v>2111</v>
      </c>
      <c r="B1187" s="5">
        <v>45461</v>
      </c>
      <c r="C1187" t="s">
        <v>73</v>
      </c>
      <c r="D1187" t="s">
        <v>3268</v>
      </c>
      <c r="E1187" t="s">
        <v>30</v>
      </c>
      <c r="F1187" t="s">
        <v>3208</v>
      </c>
      <c r="G1187" t="s">
        <v>31</v>
      </c>
      <c r="H1187" t="str">
        <f>VLOOKUP(Table1[[#This Row],[City]],Table6[#All],2,FALSE)</f>
        <v>South</v>
      </c>
      <c r="I1187" t="s">
        <v>58</v>
      </c>
      <c r="J1187" t="str">
        <f>_xlfn.XLOOKUP(Table1[[#This Row],[Tractor Model]],Table7[Product Model],Table7[Product Category],"Not Available",0)</f>
        <v>Powertrac</v>
      </c>
      <c r="K1187" s="4">
        <v>6</v>
      </c>
      <c r="L1187" s="72">
        <v>650021</v>
      </c>
      <c r="M1187" s="4">
        <f>INDEX('Master Sheet'!$C$4:$C$12,MATCH(Table1[[#This Row],[Quantity]],'Master Sheet'!$B$4:$B$12,0))</f>
        <v>8</v>
      </c>
      <c r="N1187" s="71">
        <f>Table1[[#This Row],[Quantity]]*Table1[[#This Row],[Unit Price]]</f>
        <v>3900126</v>
      </c>
      <c r="O1187" s="73">
        <v>0.39001259999999999</v>
      </c>
      <c r="P1187" s="70">
        <f>Table1[[#This Row],[Gross Amount]]*(1-(Table1[[#This Row],[Discount %]]/100))</f>
        <v>3588115.92</v>
      </c>
      <c r="Q1187" s="74">
        <f>(Table1[[#This Row],[Gross Amount]]*(1-(Table1[[#This Row],[Discount %]]/100)))/10000000</f>
        <v>0.35881159200000001</v>
      </c>
      <c r="R1187" t="s">
        <v>42</v>
      </c>
      <c r="S1187" t="str" cm="1">
        <f t="array" ref="S1187">IFERROR(_xlfn.IFS(Table1[[#This Row],[Payment Status]]="Partial","In Transit",Table1[[#This Row],[Payment Status]]="Paid","Delivered",Table1[[#This Row],[Payment Status]]="Pending","Pending"),"Invalid Input")</f>
        <v>Pending</v>
      </c>
      <c r="T1187" t="s">
        <v>27</v>
      </c>
      <c r="U1187" t="str" cm="1">
        <f t="array" ref="U1187">IFERROR(_xlfn.IFS(Table1[[#This Row],[Payment Status]]="Partial","In Transit",Table1[[#This Row],[Payment Status]]="Paid","Completed",Table1[[#This Row],[Payment Status]]="Pending","Pending"),"Invalid Input")</f>
        <v>Pending</v>
      </c>
    </row>
    <row r="1188" spans="1:21" x14ac:dyDescent="0.25">
      <c r="A1188" s="4" t="s">
        <v>2112</v>
      </c>
      <c r="B1188" s="5">
        <v>45787</v>
      </c>
      <c r="C1188" t="s">
        <v>41</v>
      </c>
      <c r="D1188" t="s">
        <v>3268</v>
      </c>
      <c r="E1188" t="s">
        <v>47</v>
      </c>
      <c r="F1188" t="s">
        <v>3216</v>
      </c>
      <c r="G1188" t="s">
        <v>48</v>
      </c>
      <c r="H1188" t="str">
        <f>VLOOKUP(Table1[[#This Row],[City]],Table6[#All],2,FALSE)</f>
        <v>North</v>
      </c>
      <c r="I1188" t="s">
        <v>3203</v>
      </c>
      <c r="J1188" t="str">
        <f>_xlfn.XLOOKUP(Table1[[#This Row],[Tractor Model]],Table7[Product Model],Table7[Product Category],"Not Available",0)</f>
        <v>Kubota</v>
      </c>
      <c r="K1188" s="4">
        <v>4</v>
      </c>
      <c r="L1188" s="72">
        <v>755176</v>
      </c>
      <c r="M1188" s="4">
        <f>INDEX('Master Sheet'!$C$4:$C$12,MATCH(Table1[[#This Row],[Quantity]],'Master Sheet'!$B$4:$B$12,0))</f>
        <v>6</v>
      </c>
      <c r="N1188" s="71">
        <f>Table1[[#This Row],[Quantity]]*Table1[[#This Row],[Unit Price]]</f>
        <v>3020704</v>
      </c>
      <c r="O1188" s="73">
        <v>0.30207040000000002</v>
      </c>
      <c r="P1188" s="70">
        <f>Table1[[#This Row],[Gross Amount]]*(1-(Table1[[#This Row],[Discount %]]/100))</f>
        <v>2839461.76</v>
      </c>
      <c r="Q1188" s="74">
        <f>(Table1[[#This Row],[Gross Amount]]*(1-(Table1[[#This Row],[Discount %]]/100)))/10000000</f>
        <v>0.28394617599999999</v>
      </c>
      <c r="R1188" t="s">
        <v>54</v>
      </c>
      <c r="S1188" t="str" cm="1">
        <f t="array" ref="S1188">IFERROR(_xlfn.IFS(Table1[[#This Row],[Payment Status]]="Partial","In Transit",Table1[[#This Row],[Payment Status]]="Paid","Delivered",Table1[[#This Row],[Payment Status]]="Pending","Pending"),"Invalid Input")</f>
        <v>Delivered</v>
      </c>
      <c r="T1188" t="s">
        <v>27</v>
      </c>
      <c r="U1188" t="str" cm="1">
        <f t="array" ref="U1188">IFERROR(_xlfn.IFS(Table1[[#This Row],[Payment Status]]="Partial","In Transit",Table1[[#This Row],[Payment Status]]="Paid","Completed",Table1[[#This Row],[Payment Status]]="Pending","Pending"),"Invalid Input")</f>
        <v>Completed</v>
      </c>
    </row>
    <row r="1189" spans="1:21" x14ac:dyDescent="0.25">
      <c r="A1189" s="4" t="s">
        <v>2113</v>
      </c>
      <c r="B1189" s="5">
        <v>45479</v>
      </c>
      <c r="C1189" t="s">
        <v>41</v>
      </c>
      <c r="D1189" t="s">
        <v>37</v>
      </c>
      <c r="E1189" t="s">
        <v>30</v>
      </c>
      <c r="F1189" t="s">
        <v>3222</v>
      </c>
      <c r="G1189" t="s">
        <v>31</v>
      </c>
      <c r="H1189" t="str">
        <f>VLOOKUP(Table1[[#This Row],[City]],Table6[#All],2,FALSE)</f>
        <v>South</v>
      </c>
      <c r="I1189" t="s">
        <v>3203</v>
      </c>
      <c r="J1189" t="str">
        <f>_xlfn.XLOOKUP(Table1[[#This Row],[Tractor Model]],Table7[Product Model],Table7[Product Category],"Not Available",0)</f>
        <v>Kubota</v>
      </c>
      <c r="K1189" s="4">
        <v>7</v>
      </c>
      <c r="L1189" s="72">
        <v>468601</v>
      </c>
      <c r="M1189" s="4">
        <f>INDEX('Master Sheet'!$C$4:$C$12,MATCH(Table1[[#This Row],[Quantity]],'Master Sheet'!$B$4:$B$12,0))</f>
        <v>9</v>
      </c>
      <c r="N1189" s="71">
        <f>Table1[[#This Row],[Quantity]]*Table1[[#This Row],[Unit Price]]</f>
        <v>3280207</v>
      </c>
      <c r="O1189" s="73">
        <v>0.3280207</v>
      </c>
      <c r="P1189" s="70">
        <f>Table1[[#This Row],[Gross Amount]]*(1-(Table1[[#This Row],[Discount %]]/100))</f>
        <v>2984988.37</v>
      </c>
      <c r="Q1189" s="74">
        <f>(Table1[[#This Row],[Gross Amount]]*(1-(Table1[[#This Row],[Discount %]]/100)))/10000000</f>
        <v>0.29849883700000002</v>
      </c>
      <c r="R1189" t="s">
        <v>42</v>
      </c>
      <c r="S1189" t="str" cm="1">
        <f t="array" ref="S1189">IFERROR(_xlfn.IFS(Table1[[#This Row],[Payment Status]]="Partial","In Transit",Table1[[#This Row],[Payment Status]]="Paid","Delivered",Table1[[#This Row],[Payment Status]]="Pending","Pending"),"Invalid Input")</f>
        <v>Pending</v>
      </c>
      <c r="T1189" t="s">
        <v>27</v>
      </c>
      <c r="U1189" t="str" cm="1">
        <f t="array" ref="U1189">IFERROR(_xlfn.IFS(Table1[[#This Row],[Payment Status]]="Partial","In Transit",Table1[[#This Row],[Payment Status]]="Paid","Completed",Table1[[#This Row],[Payment Status]]="Pending","Pending"),"Invalid Input")</f>
        <v>Pending</v>
      </c>
    </row>
    <row r="1190" spans="1:21" x14ac:dyDescent="0.25">
      <c r="A1190" s="4" t="s">
        <v>2114</v>
      </c>
      <c r="B1190" s="5">
        <v>45622</v>
      </c>
      <c r="C1190" t="s">
        <v>52</v>
      </c>
      <c r="D1190" t="s">
        <v>3271</v>
      </c>
      <c r="E1190" t="s">
        <v>47</v>
      </c>
      <c r="F1190" t="s">
        <v>3221</v>
      </c>
      <c r="G1190" t="s">
        <v>48</v>
      </c>
      <c r="H1190" t="str">
        <f>VLOOKUP(Table1[[#This Row],[City]],Table6[#All],2,FALSE)</f>
        <v>North</v>
      </c>
      <c r="I1190" t="s">
        <v>3204</v>
      </c>
      <c r="J1190" t="str">
        <f>_xlfn.XLOOKUP(Table1[[#This Row],[Tractor Model]],Table7[Product Model],Table7[Product Category],"Not Available",0)</f>
        <v>Kubota</v>
      </c>
      <c r="K1190" s="4">
        <v>5</v>
      </c>
      <c r="L1190" s="72">
        <v>699622</v>
      </c>
      <c r="M1190" s="4">
        <f>INDEX('Master Sheet'!$C$4:$C$12,MATCH(Table1[[#This Row],[Quantity]],'Master Sheet'!$B$4:$B$12,0))</f>
        <v>7</v>
      </c>
      <c r="N1190" s="71">
        <f>Table1[[#This Row],[Quantity]]*Table1[[#This Row],[Unit Price]]</f>
        <v>3498110</v>
      </c>
      <c r="O1190" s="73">
        <v>0.34981099999999998</v>
      </c>
      <c r="P1190" s="70">
        <f>Table1[[#This Row],[Gross Amount]]*(1-(Table1[[#This Row],[Discount %]]/100))</f>
        <v>3253242.3</v>
      </c>
      <c r="Q1190" s="74">
        <f>(Table1[[#This Row],[Gross Amount]]*(1-(Table1[[#This Row],[Discount %]]/100)))/10000000</f>
        <v>0.32532422999999999</v>
      </c>
      <c r="R1190" t="s">
        <v>42</v>
      </c>
      <c r="S1190" t="str" cm="1">
        <f t="array" ref="S1190">IFERROR(_xlfn.IFS(Table1[[#This Row],[Payment Status]]="Partial","In Transit",Table1[[#This Row],[Payment Status]]="Paid","Delivered",Table1[[#This Row],[Payment Status]]="Pending","Pending"),"Invalid Input")</f>
        <v>Pending</v>
      </c>
      <c r="T1190" t="s">
        <v>44</v>
      </c>
      <c r="U1190" t="str" cm="1">
        <f t="array" ref="U1190">IFERROR(_xlfn.IFS(Table1[[#This Row],[Payment Status]]="Partial","In Transit",Table1[[#This Row],[Payment Status]]="Paid","Completed",Table1[[#This Row],[Payment Status]]="Pending","Pending"),"Invalid Input")</f>
        <v>Pending</v>
      </c>
    </row>
    <row r="1191" spans="1:21" x14ac:dyDescent="0.25">
      <c r="A1191" s="4" t="s">
        <v>2115</v>
      </c>
      <c r="B1191" s="5">
        <v>45456</v>
      </c>
      <c r="C1191" t="s">
        <v>52</v>
      </c>
      <c r="D1191" t="s">
        <v>3271</v>
      </c>
      <c r="E1191" t="s">
        <v>119</v>
      </c>
      <c r="F1191" t="s">
        <v>3228</v>
      </c>
      <c r="G1191" t="s">
        <v>21</v>
      </c>
      <c r="H1191" t="str">
        <f>VLOOKUP(Table1[[#This Row],[City]],Table6[#All],2,FALSE)</f>
        <v>North</v>
      </c>
      <c r="I1191" t="s">
        <v>3203</v>
      </c>
      <c r="J1191" t="str">
        <f>_xlfn.XLOOKUP(Table1[[#This Row],[Tractor Model]],Table7[Product Model],Table7[Product Category],"Not Available",0)</f>
        <v>Kubota</v>
      </c>
      <c r="K1191" s="4">
        <v>3</v>
      </c>
      <c r="L1191" s="72">
        <v>582992</v>
      </c>
      <c r="M1191" s="4">
        <f>INDEX('Master Sheet'!$C$4:$C$12,MATCH(Table1[[#This Row],[Quantity]],'Master Sheet'!$B$4:$B$12,0))</f>
        <v>6</v>
      </c>
      <c r="N1191" s="71">
        <f>Table1[[#This Row],[Quantity]]*Table1[[#This Row],[Unit Price]]</f>
        <v>1748976</v>
      </c>
      <c r="O1191" s="73">
        <v>0.17489759999999999</v>
      </c>
      <c r="P1191" s="70">
        <f>Table1[[#This Row],[Gross Amount]]*(1-(Table1[[#This Row],[Discount %]]/100))</f>
        <v>1644037.44</v>
      </c>
      <c r="Q1191" s="74">
        <f>(Table1[[#This Row],[Gross Amount]]*(1-(Table1[[#This Row],[Discount %]]/100)))/10000000</f>
        <v>0.16440374399999999</v>
      </c>
      <c r="R1191" t="s">
        <v>42</v>
      </c>
      <c r="S1191" t="str" cm="1">
        <f t="array" ref="S1191">IFERROR(_xlfn.IFS(Table1[[#This Row],[Payment Status]]="Partial","In Transit",Table1[[#This Row],[Payment Status]]="Paid","Delivered",Table1[[#This Row],[Payment Status]]="Pending","Pending"),"Invalid Input")</f>
        <v>Pending</v>
      </c>
      <c r="T1191" t="s">
        <v>27</v>
      </c>
      <c r="U1191" t="str" cm="1">
        <f t="array" ref="U1191">IFERROR(_xlfn.IFS(Table1[[#This Row],[Payment Status]]="Partial","In Transit",Table1[[#This Row],[Payment Status]]="Paid","Completed",Table1[[#This Row],[Payment Status]]="Pending","Pending"),"Invalid Input")</f>
        <v>Pending</v>
      </c>
    </row>
    <row r="1192" spans="1:21" x14ac:dyDescent="0.25">
      <c r="A1192" s="4" t="s">
        <v>2116</v>
      </c>
      <c r="B1192" s="5">
        <v>45492</v>
      </c>
      <c r="C1192" t="s">
        <v>62</v>
      </c>
      <c r="D1192" t="s">
        <v>3268</v>
      </c>
      <c r="E1192" t="s">
        <v>38</v>
      </c>
      <c r="F1192" t="s">
        <v>3219</v>
      </c>
      <c r="G1192" t="s">
        <v>39</v>
      </c>
      <c r="H1192" t="str">
        <f>VLOOKUP(Table1[[#This Row],[City]],Table6[#All],2,FALSE)</f>
        <v>West</v>
      </c>
      <c r="I1192" t="s">
        <v>58</v>
      </c>
      <c r="J1192" t="str">
        <f>_xlfn.XLOOKUP(Table1[[#This Row],[Tractor Model]],Table7[Product Model],Table7[Product Category],"Not Available",0)</f>
        <v>Powertrac</v>
      </c>
      <c r="K1192" s="4">
        <v>5</v>
      </c>
      <c r="L1192" s="72">
        <v>726009</v>
      </c>
      <c r="M1192" s="4">
        <f>INDEX('Master Sheet'!$C$4:$C$12,MATCH(Table1[[#This Row],[Quantity]],'Master Sheet'!$B$4:$B$12,0))</f>
        <v>7</v>
      </c>
      <c r="N1192" s="71">
        <f>Table1[[#This Row],[Quantity]]*Table1[[#This Row],[Unit Price]]</f>
        <v>3630045</v>
      </c>
      <c r="O1192" s="73">
        <v>0.36300450000000001</v>
      </c>
      <c r="P1192" s="70">
        <f>Table1[[#This Row],[Gross Amount]]*(1-(Table1[[#This Row],[Discount %]]/100))</f>
        <v>3375941.8499999996</v>
      </c>
      <c r="Q1192" s="74">
        <f>(Table1[[#This Row],[Gross Amount]]*(1-(Table1[[#This Row],[Discount %]]/100)))/10000000</f>
        <v>0.33759418499999994</v>
      </c>
      <c r="R1192" t="s">
        <v>25</v>
      </c>
      <c r="S1192" t="str" cm="1">
        <f t="array" ref="S1192">IFERROR(_xlfn.IFS(Table1[[#This Row],[Payment Status]]="Partial","In Transit",Table1[[#This Row],[Payment Status]]="Paid","Delivered",Table1[[#This Row],[Payment Status]]="Pending","Pending"),"Invalid Input")</f>
        <v>In Transit</v>
      </c>
      <c r="T1192" t="s">
        <v>44</v>
      </c>
      <c r="U1192" t="str" cm="1">
        <f t="array" ref="U1192">IFERROR(_xlfn.IFS(Table1[[#This Row],[Payment Status]]="Partial","In Transit",Table1[[#This Row],[Payment Status]]="Paid","Completed",Table1[[#This Row],[Payment Status]]="Pending","Pending"),"Invalid Input")</f>
        <v>In Transit</v>
      </c>
    </row>
    <row r="1193" spans="1:21" x14ac:dyDescent="0.25">
      <c r="A1193" s="4" t="s">
        <v>2117</v>
      </c>
      <c r="B1193" s="5">
        <v>45819</v>
      </c>
      <c r="C1193" t="s">
        <v>73</v>
      </c>
      <c r="D1193" t="s">
        <v>3268</v>
      </c>
      <c r="E1193" t="s">
        <v>38</v>
      </c>
      <c r="F1193" t="s">
        <v>3219</v>
      </c>
      <c r="G1193" t="s">
        <v>39</v>
      </c>
      <c r="H1193" t="str">
        <f>VLOOKUP(Table1[[#This Row],[City]],Table6[#All],2,FALSE)</f>
        <v>West</v>
      </c>
      <c r="I1193" t="s">
        <v>24</v>
      </c>
      <c r="J1193" t="str">
        <f>_xlfn.XLOOKUP(Table1[[#This Row],[Tractor Model]],Table7[Product Model],Table7[Product Category],"Not Available",0)</f>
        <v>Farmtrac</v>
      </c>
      <c r="K1193" s="4">
        <v>2</v>
      </c>
      <c r="L1193" s="72">
        <v>815332</v>
      </c>
      <c r="M1193" s="4">
        <f>INDEX('Master Sheet'!$C$4:$C$12,MATCH(Table1[[#This Row],[Quantity]],'Master Sheet'!$B$4:$B$12,0))</f>
        <v>5</v>
      </c>
      <c r="N1193" s="71">
        <f>Table1[[#This Row],[Quantity]]*Table1[[#This Row],[Unit Price]]</f>
        <v>1630664</v>
      </c>
      <c r="O1193" s="73">
        <v>0.1630664</v>
      </c>
      <c r="P1193" s="70">
        <f>Table1[[#This Row],[Gross Amount]]*(1-(Table1[[#This Row],[Discount %]]/100))</f>
        <v>1549130.7999999998</v>
      </c>
      <c r="Q1193" s="74">
        <f>(Table1[[#This Row],[Gross Amount]]*(1-(Table1[[#This Row],[Discount %]]/100)))/10000000</f>
        <v>0.15491307999999998</v>
      </c>
      <c r="R1193" t="s">
        <v>42</v>
      </c>
      <c r="S1193" t="str" cm="1">
        <f t="array" ref="S1193">IFERROR(_xlfn.IFS(Table1[[#This Row],[Payment Status]]="Partial","In Transit",Table1[[#This Row],[Payment Status]]="Paid","Delivered",Table1[[#This Row],[Payment Status]]="Pending","Pending"),"Invalid Input")</f>
        <v>Pending</v>
      </c>
      <c r="T1193" t="s">
        <v>44</v>
      </c>
      <c r="U1193" t="str" cm="1">
        <f t="array" ref="U1193">IFERROR(_xlfn.IFS(Table1[[#This Row],[Payment Status]]="Partial","In Transit",Table1[[#This Row],[Payment Status]]="Paid","Completed",Table1[[#This Row],[Payment Status]]="Pending","Pending"),"Invalid Input")</f>
        <v>Pending</v>
      </c>
    </row>
    <row r="1194" spans="1:21" x14ac:dyDescent="0.25">
      <c r="A1194" s="4" t="s">
        <v>2118</v>
      </c>
      <c r="B1194" s="5">
        <v>45703</v>
      </c>
      <c r="C1194" t="s">
        <v>33</v>
      </c>
      <c r="D1194" t="s">
        <v>3271</v>
      </c>
      <c r="E1194" t="s">
        <v>47</v>
      </c>
      <c r="F1194" t="s">
        <v>3221</v>
      </c>
      <c r="G1194" t="s">
        <v>48</v>
      </c>
      <c r="H1194" t="str">
        <f>VLOOKUP(Table1[[#This Row],[City]],Table6[#All],2,FALSE)</f>
        <v>North</v>
      </c>
      <c r="I1194" t="s">
        <v>53</v>
      </c>
      <c r="J1194" t="str">
        <f>_xlfn.XLOOKUP(Table1[[#This Row],[Tractor Model]],Table7[Product Model],Table7[Product Category],"Not Available",0)</f>
        <v>Farmtrac</v>
      </c>
      <c r="K1194" s="4">
        <v>3</v>
      </c>
      <c r="L1194" s="72">
        <v>586175</v>
      </c>
      <c r="M1194" s="4">
        <f>INDEX('Master Sheet'!$C$4:$C$12,MATCH(Table1[[#This Row],[Quantity]],'Master Sheet'!$B$4:$B$12,0))</f>
        <v>6</v>
      </c>
      <c r="N1194" s="71">
        <f>Table1[[#This Row],[Quantity]]*Table1[[#This Row],[Unit Price]]</f>
        <v>1758525</v>
      </c>
      <c r="O1194" s="73">
        <v>0.17585249999999999</v>
      </c>
      <c r="P1194" s="70">
        <f>Table1[[#This Row],[Gross Amount]]*(1-(Table1[[#This Row],[Discount %]]/100))</f>
        <v>1653013.5</v>
      </c>
      <c r="Q1194" s="74">
        <f>(Table1[[#This Row],[Gross Amount]]*(1-(Table1[[#This Row],[Discount %]]/100)))/10000000</f>
        <v>0.16530135000000001</v>
      </c>
      <c r="R1194" t="s">
        <v>25</v>
      </c>
      <c r="S1194" t="str" cm="1">
        <f t="array" ref="S1194">IFERROR(_xlfn.IFS(Table1[[#This Row],[Payment Status]]="Partial","In Transit",Table1[[#This Row],[Payment Status]]="Paid","Delivered",Table1[[#This Row],[Payment Status]]="Pending","Pending"),"Invalid Input")</f>
        <v>In Transit</v>
      </c>
      <c r="T1194" t="s">
        <v>27</v>
      </c>
      <c r="U1194" t="str" cm="1">
        <f t="array" ref="U1194">IFERROR(_xlfn.IFS(Table1[[#This Row],[Payment Status]]="Partial","In Transit",Table1[[#This Row],[Payment Status]]="Paid","Completed",Table1[[#This Row],[Payment Status]]="Pending","Pending"),"Invalid Input")</f>
        <v>In Transit</v>
      </c>
    </row>
    <row r="1195" spans="1:21" x14ac:dyDescent="0.25">
      <c r="A1195" s="4" t="s">
        <v>2120</v>
      </c>
      <c r="B1195" s="5">
        <v>45706</v>
      </c>
      <c r="C1195" t="s">
        <v>73</v>
      </c>
      <c r="D1195" t="s">
        <v>3268</v>
      </c>
      <c r="E1195" t="s">
        <v>119</v>
      </c>
      <c r="F1195" t="s">
        <v>3227</v>
      </c>
      <c r="G1195" t="s">
        <v>21</v>
      </c>
      <c r="H1195" t="str">
        <f>VLOOKUP(Table1[[#This Row],[City]],Table6[#All],2,FALSE)</f>
        <v>North</v>
      </c>
      <c r="I1195" t="s">
        <v>53</v>
      </c>
      <c r="J1195" t="str">
        <f>_xlfn.XLOOKUP(Table1[[#This Row],[Tractor Model]],Table7[Product Model],Table7[Product Category],"Not Available",0)</f>
        <v>Farmtrac</v>
      </c>
      <c r="K1195" s="4">
        <v>1</v>
      </c>
      <c r="L1195" s="72">
        <v>311990</v>
      </c>
      <c r="M1195" s="4">
        <f>INDEX('Master Sheet'!$C$4:$C$12,MATCH(Table1[[#This Row],[Quantity]],'Master Sheet'!$B$4:$B$12,0))</f>
        <v>3</v>
      </c>
      <c r="N1195" s="71">
        <f>Table1[[#This Row],[Quantity]]*Table1[[#This Row],[Unit Price]]</f>
        <v>311990</v>
      </c>
      <c r="O1195" s="73">
        <v>3.1199000000000001E-2</v>
      </c>
      <c r="P1195" s="70">
        <f>Table1[[#This Row],[Gross Amount]]*(1-(Table1[[#This Row],[Discount %]]/100))</f>
        <v>302630.3</v>
      </c>
      <c r="Q1195" s="74">
        <f>(Table1[[#This Row],[Gross Amount]]*(1-(Table1[[#This Row],[Discount %]]/100)))/10000000</f>
        <v>3.026303E-2</v>
      </c>
      <c r="R1195" t="s">
        <v>25</v>
      </c>
      <c r="S1195" t="str" cm="1">
        <f t="array" ref="S1195">IFERROR(_xlfn.IFS(Table1[[#This Row],[Payment Status]]="Partial","In Transit",Table1[[#This Row],[Payment Status]]="Paid","Delivered",Table1[[#This Row],[Payment Status]]="Pending","Pending"),"Invalid Input")</f>
        <v>In Transit</v>
      </c>
      <c r="T1195" t="s">
        <v>27</v>
      </c>
      <c r="U1195" t="str" cm="1">
        <f t="array" ref="U1195">IFERROR(_xlfn.IFS(Table1[[#This Row],[Payment Status]]="Partial","In Transit",Table1[[#This Row],[Payment Status]]="Paid","Completed",Table1[[#This Row],[Payment Status]]="Pending","Pending"),"Invalid Input")</f>
        <v>In Transit</v>
      </c>
    </row>
    <row r="1196" spans="1:21" x14ac:dyDescent="0.25">
      <c r="A1196" s="4" t="s">
        <v>2122</v>
      </c>
      <c r="B1196" s="5">
        <v>45665</v>
      </c>
      <c r="C1196" t="s">
        <v>41</v>
      </c>
      <c r="D1196" t="s">
        <v>3268</v>
      </c>
      <c r="E1196" t="s">
        <v>66</v>
      </c>
      <c r="F1196" t="s">
        <v>3211</v>
      </c>
      <c r="G1196" t="s">
        <v>67</v>
      </c>
      <c r="H1196" t="str">
        <f>VLOOKUP(Table1[[#This Row],[City]],Table6[#All],2,FALSE)</f>
        <v>East</v>
      </c>
      <c r="I1196" t="s">
        <v>3204</v>
      </c>
      <c r="J1196" t="str">
        <f>_xlfn.XLOOKUP(Table1[[#This Row],[Tractor Model]],Table7[Product Model],Table7[Product Category],"Not Available",0)</f>
        <v>Kubota</v>
      </c>
      <c r="K1196" s="4">
        <v>3</v>
      </c>
      <c r="L1196" s="72">
        <v>384777</v>
      </c>
      <c r="M1196" s="4">
        <f>INDEX('Master Sheet'!$C$4:$C$12,MATCH(Table1[[#This Row],[Quantity]],'Master Sheet'!$B$4:$B$12,0))</f>
        <v>6</v>
      </c>
      <c r="N1196" s="71">
        <f>Table1[[#This Row],[Quantity]]*Table1[[#This Row],[Unit Price]]</f>
        <v>1154331</v>
      </c>
      <c r="O1196" s="73">
        <v>0.1154331</v>
      </c>
      <c r="P1196" s="70">
        <f>Table1[[#This Row],[Gross Amount]]*(1-(Table1[[#This Row],[Discount %]]/100))</f>
        <v>1085071.1399999999</v>
      </c>
      <c r="Q1196" s="74">
        <f>(Table1[[#This Row],[Gross Amount]]*(1-(Table1[[#This Row],[Discount %]]/100)))/10000000</f>
        <v>0.10850711399999999</v>
      </c>
      <c r="R1196" t="s">
        <v>54</v>
      </c>
      <c r="S1196" t="str" cm="1">
        <f t="array" ref="S1196">IFERROR(_xlfn.IFS(Table1[[#This Row],[Payment Status]]="Partial","In Transit",Table1[[#This Row],[Payment Status]]="Paid","Delivered",Table1[[#This Row],[Payment Status]]="Pending","Pending"),"Invalid Input")</f>
        <v>Delivered</v>
      </c>
      <c r="T1196" t="s">
        <v>27</v>
      </c>
      <c r="U1196" t="str" cm="1">
        <f t="array" ref="U1196">IFERROR(_xlfn.IFS(Table1[[#This Row],[Payment Status]]="Partial","In Transit",Table1[[#This Row],[Payment Status]]="Paid","Completed",Table1[[#This Row],[Payment Status]]="Pending","Pending"),"Invalid Input")</f>
        <v>Completed</v>
      </c>
    </row>
    <row r="1197" spans="1:21" x14ac:dyDescent="0.25">
      <c r="A1197" s="4" t="s">
        <v>2124</v>
      </c>
      <c r="B1197" s="5">
        <v>45419</v>
      </c>
      <c r="C1197" t="s">
        <v>52</v>
      </c>
      <c r="D1197" t="s">
        <v>3271</v>
      </c>
      <c r="E1197" t="s">
        <v>47</v>
      </c>
      <c r="F1197" t="s">
        <v>3221</v>
      </c>
      <c r="G1197" t="s">
        <v>48</v>
      </c>
      <c r="H1197" t="str">
        <f>VLOOKUP(Table1[[#This Row],[City]],Table6[#All],2,FALSE)</f>
        <v>North</v>
      </c>
      <c r="I1197" t="s">
        <v>3204</v>
      </c>
      <c r="J1197" t="str">
        <f>_xlfn.XLOOKUP(Table1[[#This Row],[Tractor Model]],Table7[Product Model],Table7[Product Category],"Not Available",0)</f>
        <v>Kubota</v>
      </c>
      <c r="K1197" s="4">
        <v>5</v>
      </c>
      <c r="L1197" s="72">
        <v>108380</v>
      </c>
      <c r="M1197" s="4">
        <f>INDEX('Master Sheet'!$C$4:$C$12,MATCH(Table1[[#This Row],[Quantity]],'Master Sheet'!$B$4:$B$12,0))</f>
        <v>7</v>
      </c>
      <c r="N1197" s="71">
        <f>Table1[[#This Row],[Quantity]]*Table1[[#This Row],[Unit Price]]</f>
        <v>541900</v>
      </c>
      <c r="O1197" s="73">
        <v>5.4190000000000002E-2</v>
      </c>
      <c r="P1197" s="70">
        <f>Table1[[#This Row],[Gross Amount]]*(1-(Table1[[#This Row],[Discount %]]/100))</f>
        <v>503966.99999999994</v>
      </c>
      <c r="Q1197" s="74">
        <f>(Table1[[#This Row],[Gross Amount]]*(1-(Table1[[#This Row],[Discount %]]/100)))/10000000</f>
        <v>5.0396699999999996E-2</v>
      </c>
      <c r="R1197" t="s">
        <v>25</v>
      </c>
      <c r="S1197" t="str" cm="1">
        <f t="array" ref="S1197">IFERROR(_xlfn.IFS(Table1[[#This Row],[Payment Status]]="Partial","In Transit",Table1[[#This Row],[Payment Status]]="Paid","Delivered",Table1[[#This Row],[Payment Status]]="Pending","Pending"),"Invalid Input")</f>
        <v>In Transit</v>
      </c>
      <c r="T1197" t="s">
        <v>27</v>
      </c>
      <c r="U1197" t="str" cm="1">
        <f t="array" ref="U1197">IFERROR(_xlfn.IFS(Table1[[#This Row],[Payment Status]]="Partial","In Transit",Table1[[#This Row],[Payment Status]]="Paid","Completed",Table1[[#This Row],[Payment Status]]="Pending","Pending"),"Invalid Input")</f>
        <v>In Transit</v>
      </c>
    </row>
    <row r="1198" spans="1:21" x14ac:dyDescent="0.25">
      <c r="A1198" s="4" t="s">
        <v>2125</v>
      </c>
      <c r="B1198" s="5">
        <v>45763</v>
      </c>
      <c r="C1198" t="s">
        <v>62</v>
      </c>
      <c r="D1198" t="s">
        <v>3270</v>
      </c>
      <c r="E1198" t="s">
        <v>47</v>
      </c>
      <c r="F1198" t="s">
        <v>3205</v>
      </c>
      <c r="G1198" t="s">
        <v>48</v>
      </c>
      <c r="H1198" t="str">
        <f>VLOOKUP(Table1[[#This Row],[City]],Table6[#All],2,FALSE)</f>
        <v>North</v>
      </c>
      <c r="I1198" t="s">
        <v>3203</v>
      </c>
      <c r="J1198" t="str">
        <f>_xlfn.XLOOKUP(Table1[[#This Row],[Tractor Model]],Table7[Product Model],Table7[Product Category],"Not Available",0)</f>
        <v>Kubota</v>
      </c>
      <c r="K1198" s="4">
        <v>2</v>
      </c>
      <c r="L1198" s="72">
        <v>542868</v>
      </c>
      <c r="M1198" s="4">
        <f>INDEX('Master Sheet'!$C$4:$C$12,MATCH(Table1[[#This Row],[Quantity]],'Master Sheet'!$B$4:$B$12,0))</f>
        <v>5</v>
      </c>
      <c r="N1198" s="71">
        <f>Table1[[#This Row],[Quantity]]*Table1[[#This Row],[Unit Price]]</f>
        <v>1085736</v>
      </c>
      <c r="O1198" s="73">
        <v>0.10857360000000001</v>
      </c>
      <c r="P1198" s="70">
        <f>Table1[[#This Row],[Gross Amount]]*(1-(Table1[[#This Row],[Discount %]]/100))</f>
        <v>1031449.2</v>
      </c>
      <c r="Q1198" s="74">
        <f>(Table1[[#This Row],[Gross Amount]]*(1-(Table1[[#This Row],[Discount %]]/100)))/10000000</f>
        <v>0.10314492</v>
      </c>
      <c r="R1198" t="s">
        <v>54</v>
      </c>
      <c r="S1198" t="str" cm="1">
        <f t="array" ref="S1198">IFERROR(_xlfn.IFS(Table1[[#This Row],[Payment Status]]="Partial","In Transit",Table1[[#This Row],[Payment Status]]="Paid","Delivered",Table1[[#This Row],[Payment Status]]="Pending","Pending"),"Invalid Input")</f>
        <v>Delivered</v>
      </c>
      <c r="T1198" t="s">
        <v>27</v>
      </c>
      <c r="U1198" t="str" cm="1">
        <f t="array" ref="U1198">IFERROR(_xlfn.IFS(Table1[[#This Row],[Payment Status]]="Partial","In Transit",Table1[[#This Row],[Payment Status]]="Paid","Completed",Table1[[#This Row],[Payment Status]]="Pending","Pending"),"Invalid Input")</f>
        <v>Completed</v>
      </c>
    </row>
    <row r="1199" spans="1:21" x14ac:dyDescent="0.25">
      <c r="A1199" s="4" t="s">
        <v>2126</v>
      </c>
      <c r="B1199" s="5">
        <v>45783</v>
      </c>
      <c r="C1199" t="s">
        <v>52</v>
      </c>
      <c r="D1199" t="s">
        <v>3269</v>
      </c>
      <c r="E1199" t="s">
        <v>119</v>
      </c>
      <c r="F1199" t="s">
        <v>3229</v>
      </c>
      <c r="G1199" t="s">
        <v>21</v>
      </c>
      <c r="H1199" t="str">
        <f>VLOOKUP(Table1[[#This Row],[City]],Table6[#All],2,FALSE)</f>
        <v>North</v>
      </c>
      <c r="I1199" t="s">
        <v>53</v>
      </c>
      <c r="J1199" t="str">
        <f>_xlfn.XLOOKUP(Table1[[#This Row],[Tractor Model]],Table7[Product Model],Table7[Product Category],"Not Available",0)</f>
        <v>Farmtrac</v>
      </c>
      <c r="K1199" s="4">
        <v>2</v>
      </c>
      <c r="L1199" s="72">
        <v>405083</v>
      </c>
      <c r="M1199" s="4">
        <f>INDEX('Master Sheet'!$C$4:$C$12,MATCH(Table1[[#This Row],[Quantity]],'Master Sheet'!$B$4:$B$12,0))</f>
        <v>5</v>
      </c>
      <c r="N1199" s="71">
        <f>Table1[[#This Row],[Quantity]]*Table1[[#This Row],[Unit Price]]</f>
        <v>810166</v>
      </c>
      <c r="O1199" s="73">
        <v>8.1016599999999994E-2</v>
      </c>
      <c r="P1199" s="70">
        <f>Table1[[#This Row],[Gross Amount]]*(1-(Table1[[#This Row],[Discount %]]/100))</f>
        <v>769657.7</v>
      </c>
      <c r="Q1199" s="74">
        <f>(Table1[[#This Row],[Gross Amount]]*(1-(Table1[[#This Row],[Discount %]]/100)))/10000000</f>
        <v>7.6965769999999989E-2</v>
      </c>
      <c r="R1199" t="s">
        <v>25</v>
      </c>
      <c r="S1199" t="str" cm="1">
        <f t="array" ref="S1199">IFERROR(_xlfn.IFS(Table1[[#This Row],[Payment Status]]="Partial","In Transit",Table1[[#This Row],[Payment Status]]="Paid","Delivered",Table1[[#This Row],[Payment Status]]="Pending","Pending"),"Invalid Input")</f>
        <v>In Transit</v>
      </c>
      <c r="T1199" t="s">
        <v>27</v>
      </c>
      <c r="U1199" t="str" cm="1">
        <f t="array" ref="U1199">IFERROR(_xlfn.IFS(Table1[[#This Row],[Payment Status]]="Partial","In Transit",Table1[[#This Row],[Payment Status]]="Paid","Completed",Table1[[#This Row],[Payment Status]]="Pending","Pending"),"Invalid Input")</f>
        <v>In Transit</v>
      </c>
    </row>
    <row r="1200" spans="1:21" x14ac:dyDescent="0.25">
      <c r="A1200" s="4" t="s">
        <v>2127</v>
      </c>
      <c r="B1200" s="5">
        <v>45333</v>
      </c>
      <c r="C1200" t="s">
        <v>73</v>
      </c>
      <c r="D1200" t="s">
        <v>3269</v>
      </c>
      <c r="E1200" t="s">
        <v>38</v>
      </c>
      <c r="F1200" t="s">
        <v>3206</v>
      </c>
      <c r="G1200" t="s">
        <v>39</v>
      </c>
      <c r="H1200" t="str">
        <f>VLOOKUP(Table1[[#This Row],[City]],Table6[#All],2,FALSE)</f>
        <v>West</v>
      </c>
      <c r="I1200" t="s">
        <v>3204</v>
      </c>
      <c r="J1200" t="str">
        <f>_xlfn.XLOOKUP(Table1[[#This Row],[Tractor Model]],Table7[Product Model],Table7[Product Category],"Not Available",0)</f>
        <v>Kubota</v>
      </c>
      <c r="K1200" s="4">
        <v>4</v>
      </c>
      <c r="L1200" s="72">
        <v>846555</v>
      </c>
      <c r="M1200" s="4">
        <f>INDEX('Master Sheet'!$C$4:$C$12,MATCH(Table1[[#This Row],[Quantity]],'Master Sheet'!$B$4:$B$12,0))</f>
        <v>6</v>
      </c>
      <c r="N1200" s="71">
        <f>Table1[[#This Row],[Quantity]]*Table1[[#This Row],[Unit Price]]</f>
        <v>3386220</v>
      </c>
      <c r="O1200" s="73">
        <v>0.33862199999999998</v>
      </c>
      <c r="P1200" s="70">
        <f>Table1[[#This Row],[Gross Amount]]*(1-(Table1[[#This Row],[Discount %]]/100))</f>
        <v>3183046.8</v>
      </c>
      <c r="Q1200" s="74">
        <f>(Table1[[#This Row],[Gross Amount]]*(1-(Table1[[#This Row],[Discount %]]/100)))/10000000</f>
        <v>0.31830468000000001</v>
      </c>
      <c r="R1200" t="s">
        <v>42</v>
      </c>
      <c r="S1200" t="str" cm="1">
        <f t="array" ref="S1200">IFERROR(_xlfn.IFS(Table1[[#This Row],[Payment Status]]="Partial","In Transit",Table1[[#This Row],[Payment Status]]="Paid","Delivered",Table1[[#This Row],[Payment Status]]="Pending","Pending"),"Invalid Input")</f>
        <v>Pending</v>
      </c>
      <c r="T1200" t="s">
        <v>44</v>
      </c>
      <c r="U1200" t="str" cm="1">
        <f t="array" ref="U1200">IFERROR(_xlfn.IFS(Table1[[#This Row],[Payment Status]]="Partial","In Transit",Table1[[#This Row],[Payment Status]]="Paid","Completed",Table1[[#This Row],[Payment Status]]="Pending","Pending"),"Invalid Input")</f>
        <v>Pending</v>
      </c>
    </row>
    <row r="1201" spans="1:21" x14ac:dyDescent="0.25">
      <c r="A1201" s="4" t="s">
        <v>2128</v>
      </c>
      <c r="B1201" s="5">
        <v>45748</v>
      </c>
      <c r="C1201" t="s">
        <v>62</v>
      </c>
      <c r="D1201" t="s">
        <v>3268</v>
      </c>
      <c r="E1201" t="s">
        <v>66</v>
      </c>
      <c r="F1201" t="s">
        <v>3211</v>
      </c>
      <c r="G1201" t="s">
        <v>67</v>
      </c>
      <c r="H1201" t="str">
        <f>VLOOKUP(Table1[[#This Row],[City]],Table6[#All],2,FALSE)</f>
        <v>East</v>
      </c>
      <c r="I1201" t="s">
        <v>58</v>
      </c>
      <c r="J1201" t="str">
        <f>_xlfn.XLOOKUP(Table1[[#This Row],[Tractor Model]],Table7[Product Model],Table7[Product Category],"Not Available",0)</f>
        <v>Powertrac</v>
      </c>
      <c r="K1201" s="4">
        <v>2</v>
      </c>
      <c r="L1201" s="72">
        <v>729487</v>
      </c>
      <c r="M1201" s="4">
        <f>INDEX('Master Sheet'!$C$4:$C$12,MATCH(Table1[[#This Row],[Quantity]],'Master Sheet'!$B$4:$B$12,0))</f>
        <v>5</v>
      </c>
      <c r="N1201" s="71">
        <f>Table1[[#This Row],[Quantity]]*Table1[[#This Row],[Unit Price]]</f>
        <v>1458974</v>
      </c>
      <c r="O1201" s="73">
        <v>0.14589740000000001</v>
      </c>
      <c r="P1201" s="70">
        <f>Table1[[#This Row],[Gross Amount]]*(1-(Table1[[#This Row],[Discount %]]/100))</f>
        <v>1386025.3</v>
      </c>
      <c r="Q1201" s="74">
        <f>(Table1[[#This Row],[Gross Amount]]*(1-(Table1[[#This Row],[Discount %]]/100)))/10000000</f>
        <v>0.13860253</v>
      </c>
      <c r="R1201" t="s">
        <v>25</v>
      </c>
      <c r="S1201" t="str" cm="1">
        <f t="array" ref="S1201">IFERROR(_xlfn.IFS(Table1[[#This Row],[Payment Status]]="Partial","In Transit",Table1[[#This Row],[Payment Status]]="Paid","Delivered",Table1[[#This Row],[Payment Status]]="Pending","Pending"),"Invalid Input")</f>
        <v>In Transit</v>
      </c>
      <c r="T1201" t="s">
        <v>27</v>
      </c>
      <c r="U1201" t="str" cm="1">
        <f t="array" ref="U1201">IFERROR(_xlfn.IFS(Table1[[#This Row],[Payment Status]]="Partial","In Transit",Table1[[#This Row],[Payment Status]]="Paid","Completed",Table1[[#This Row],[Payment Status]]="Pending","Pending"),"Invalid Input")</f>
        <v>In Transit</v>
      </c>
    </row>
    <row r="1202" spans="1:21" x14ac:dyDescent="0.25">
      <c r="A1202" s="4" t="s">
        <v>2129</v>
      </c>
      <c r="B1202" s="5">
        <v>45403</v>
      </c>
      <c r="C1202" t="s">
        <v>33</v>
      </c>
      <c r="D1202" t="s">
        <v>3271</v>
      </c>
      <c r="E1202" t="s">
        <v>30</v>
      </c>
      <c r="F1202" t="s">
        <v>3217</v>
      </c>
      <c r="G1202" t="s">
        <v>31</v>
      </c>
      <c r="H1202" t="str">
        <f>VLOOKUP(Table1[[#This Row],[City]],Table6[#All],2,FALSE)</f>
        <v>South</v>
      </c>
      <c r="I1202" t="s">
        <v>58</v>
      </c>
      <c r="J1202" t="str">
        <f>_xlfn.XLOOKUP(Table1[[#This Row],[Tractor Model]],Table7[Product Model],Table7[Product Category],"Not Available",0)</f>
        <v>Powertrac</v>
      </c>
      <c r="K1202" s="4">
        <v>5</v>
      </c>
      <c r="L1202" s="72">
        <v>581293</v>
      </c>
      <c r="M1202" s="4">
        <f>INDEX('Master Sheet'!$C$4:$C$12,MATCH(Table1[[#This Row],[Quantity]],'Master Sheet'!$B$4:$B$12,0))</f>
        <v>7</v>
      </c>
      <c r="N1202" s="71">
        <f>Table1[[#This Row],[Quantity]]*Table1[[#This Row],[Unit Price]]</f>
        <v>2906465</v>
      </c>
      <c r="O1202" s="73">
        <v>0.29064649999999997</v>
      </c>
      <c r="P1202" s="70">
        <f>Table1[[#This Row],[Gross Amount]]*(1-(Table1[[#This Row],[Discount %]]/100))</f>
        <v>2703012.4499999997</v>
      </c>
      <c r="Q1202" s="74">
        <f>(Table1[[#This Row],[Gross Amount]]*(1-(Table1[[#This Row],[Discount %]]/100)))/10000000</f>
        <v>0.27030124499999997</v>
      </c>
      <c r="R1202" t="s">
        <v>42</v>
      </c>
      <c r="S1202" t="str" cm="1">
        <f t="array" ref="S1202">IFERROR(_xlfn.IFS(Table1[[#This Row],[Payment Status]]="Partial","In Transit",Table1[[#This Row],[Payment Status]]="Paid","Delivered",Table1[[#This Row],[Payment Status]]="Pending","Pending"),"Invalid Input")</f>
        <v>Pending</v>
      </c>
      <c r="T1202" t="s">
        <v>27</v>
      </c>
      <c r="U1202" t="str" cm="1">
        <f t="array" ref="U1202">IFERROR(_xlfn.IFS(Table1[[#This Row],[Payment Status]]="Partial","In Transit",Table1[[#This Row],[Payment Status]]="Paid","Completed",Table1[[#This Row],[Payment Status]]="Pending","Pending"),"Invalid Input")</f>
        <v>Pending</v>
      </c>
    </row>
    <row r="1203" spans="1:21" x14ac:dyDescent="0.25">
      <c r="A1203" s="4" t="s">
        <v>2130</v>
      </c>
      <c r="B1203" s="5">
        <v>45493</v>
      </c>
      <c r="C1203" t="s">
        <v>52</v>
      </c>
      <c r="D1203" t="s">
        <v>3268</v>
      </c>
      <c r="E1203" t="s">
        <v>47</v>
      </c>
      <c r="F1203" t="s">
        <v>3216</v>
      </c>
      <c r="G1203" t="s">
        <v>48</v>
      </c>
      <c r="H1203" t="str">
        <f>VLOOKUP(Table1[[#This Row],[City]],Table6[#All],2,FALSE)</f>
        <v>North</v>
      </c>
      <c r="I1203" t="s">
        <v>53</v>
      </c>
      <c r="J1203" t="str">
        <f>_xlfn.XLOOKUP(Table1[[#This Row],[Tractor Model]],Table7[Product Model],Table7[Product Category],"Not Available",0)</f>
        <v>Farmtrac</v>
      </c>
      <c r="K1203" s="4">
        <v>5</v>
      </c>
      <c r="L1203" s="72">
        <v>606222</v>
      </c>
      <c r="M1203" s="4">
        <f>INDEX('Master Sheet'!$C$4:$C$12,MATCH(Table1[[#This Row],[Quantity]],'Master Sheet'!$B$4:$B$12,0))</f>
        <v>7</v>
      </c>
      <c r="N1203" s="71">
        <f>Table1[[#This Row],[Quantity]]*Table1[[#This Row],[Unit Price]]</f>
        <v>3031110</v>
      </c>
      <c r="O1203" s="73">
        <v>0.30311100000000002</v>
      </c>
      <c r="P1203" s="70">
        <f>Table1[[#This Row],[Gross Amount]]*(1-(Table1[[#This Row],[Discount %]]/100))</f>
        <v>2818932.3</v>
      </c>
      <c r="Q1203" s="74">
        <f>(Table1[[#This Row],[Gross Amount]]*(1-(Table1[[#This Row],[Discount %]]/100)))/10000000</f>
        <v>0.28189322999999999</v>
      </c>
      <c r="R1203" t="s">
        <v>42</v>
      </c>
      <c r="S1203" t="str" cm="1">
        <f t="array" ref="S1203">IFERROR(_xlfn.IFS(Table1[[#This Row],[Payment Status]]="Partial","In Transit",Table1[[#This Row],[Payment Status]]="Paid","Delivered",Table1[[#This Row],[Payment Status]]="Pending","Pending"),"Invalid Input")</f>
        <v>Pending</v>
      </c>
      <c r="T1203" t="s">
        <v>27</v>
      </c>
      <c r="U1203" t="str" cm="1">
        <f t="array" ref="U1203">IFERROR(_xlfn.IFS(Table1[[#This Row],[Payment Status]]="Partial","In Transit",Table1[[#This Row],[Payment Status]]="Paid","Completed",Table1[[#This Row],[Payment Status]]="Pending","Pending"),"Invalid Input")</f>
        <v>Pending</v>
      </c>
    </row>
    <row r="1204" spans="1:21" x14ac:dyDescent="0.25">
      <c r="A1204" s="4" t="s">
        <v>2131</v>
      </c>
      <c r="B1204" s="5">
        <v>45802</v>
      </c>
      <c r="C1204" t="s">
        <v>41</v>
      </c>
      <c r="D1204" t="s">
        <v>3269</v>
      </c>
      <c r="E1204" t="s">
        <v>119</v>
      </c>
      <c r="F1204" t="s">
        <v>3229</v>
      </c>
      <c r="G1204" t="s">
        <v>21</v>
      </c>
      <c r="H1204" t="str">
        <f>VLOOKUP(Table1[[#This Row],[City]],Table6[#All],2,FALSE)</f>
        <v>North</v>
      </c>
      <c r="I1204" t="s">
        <v>53</v>
      </c>
      <c r="J1204" t="str">
        <f>_xlfn.XLOOKUP(Table1[[#This Row],[Tractor Model]],Table7[Product Model],Table7[Product Category],"Not Available",0)</f>
        <v>Farmtrac</v>
      </c>
      <c r="K1204" s="4">
        <v>2</v>
      </c>
      <c r="L1204" s="72">
        <v>55740</v>
      </c>
      <c r="M1204" s="4">
        <f>INDEX('Master Sheet'!$C$4:$C$12,MATCH(Table1[[#This Row],[Quantity]],'Master Sheet'!$B$4:$B$12,0))</f>
        <v>5</v>
      </c>
      <c r="N1204" s="71">
        <f>Table1[[#This Row],[Quantity]]*Table1[[#This Row],[Unit Price]]</f>
        <v>111480</v>
      </c>
      <c r="O1204" s="73">
        <v>1.1148E-2</v>
      </c>
      <c r="P1204" s="70">
        <f>Table1[[#This Row],[Gross Amount]]*(1-(Table1[[#This Row],[Discount %]]/100))</f>
        <v>105906</v>
      </c>
      <c r="Q1204" s="74">
        <f>(Table1[[#This Row],[Gross Amount]]*(1-(Table1[[#This Row],[Discount %]]/100)))/10000000</f>
        <v>1.05906E-2</v>
      </c>
      <c r="R1204" t="s">
        <v>25</v>
      </c>
      <c r="S1204" t="str" cm="1">
        <f t="array" ref="S1204">IFERROR(_xlfn.IFS(Table1[[#This Row],[Payment Status]]="Partial","In Transit",Table1[[#This Row],[Payment Status]]="Paid","Delivered",Table1[[#This Row],[Payment Status]]="Pending","Pending"),"Invalid Input")</f>
        <v>In Transit</v>
      </c>
      <c r="T1204" t="s">
        <v>44</v>
      </c>
      <c r="U1204" t="str" cm="1">
        <f t="array" ref="U1204">IFERROR(_xlfn.IFS(Table1[[#This Row],[Payment Status]]="Partial","In Transit",Table1[[#This Row],[Payment Status]]="Paid","Completed",Table1[[#This Row],[Payment Status]]="Pending","Pending"),"Invalid Input")</f>
        <v>In Transit</v>
      </c>
    </row>
    <row r="1205" spans="1:21" x14ac:dyDescent="0.25">
      <c r="A1205" s="4" t="s">
        <v>2132</v>
      </c>
      <c r="B1205" s="5">
        <v>45383</v>
      </c>
      <c r="C1205" t="s">
        <v>73</v>
      </c>
      <c r="D1205" t="s">
        <v>3271</v>
      </c>
      <c r="E1205" t="s">
        <v>38</v>
      </c>
      <c r="F1205" t="s">
        <v>3210</v>
      </c>
      <c r="G1205" t="s">
        <v>39</v>
      </c>
      <c r="H1205" t="str">
        <f>VLOOKUP(Table1[[#This Row],[City]],Table6[#All],2,FALSE)</f>
        <v>West</v>
      </c>
      <c r="I1205" t="s">
        <v>58</v>
      </c>
      <c r="J1205" t="str">
        <f>_xlfn.XLOOKUP(Table1[[#This Row],[Tractor Model]],Table7[Product Model],Table7[Product Category],"Not Available",0)</f>
        <v>Powertrac</v>
      </c>
      <c r="K1205" s="4">
        <v>6</v>
      </c>
      <c r="L1205" s="72">
        <v>84800</v>
      </c>
      <c r="M1205" s="4">
        <f>INDEX('Master Sheet'!$C$4:$C$12,MATCH(Table1[[#This Row],[Quantity]],'Master Sheet'!$B$4:$B$12,0))</f>
        <v>8</v>
      </c>
      <c r="N1205" s="71">
        <f>Table1[[#This Row],[Quantity]]*Table1[[#This Row],[Unit Price]]</f>
        <v>508800</v>
      </c>
      <c r="O1205" s="73">
        <v>5.0880000000000002E-2</v>
      </c>
      <c r="P1205" s="70">
        <f>Table1[[#This Row],[Gross Amount]]*(1-(Table1[[#This Row],[Discount %]]/100))</f>
        <v>468096</v>
      </c>
      <c r="Q1205" s="74">
        <f>(Table1[[#This Row],[Gross Amount]]*(1-(Table1[[#This Row],[Discount %]]/100)))/10000000</f>
        <v>4.68096E-2</v>
      </c>
      <c r="R1205" t="s">
        <v>54</v>
      </c>
      <c r="S1205" t="str" cm="1">
        <f t="array" ref="S1205">IFERROR(_xlfn.IFS(Table1[[#This Row],[Payment Status]]="Partial","In Transit",Table1[[#This Row],[Payment Status]]="Paid","Delivered",Table1[[#This Row],[Payment Status]]="Pending","Pending"),"Invalid Input")</f>
        <v>Delivered</v>
      </c>
      <c r="T1205" t="s">
        <v>44</v>
      </c>
      <c r="U1205" t="str" cm="1">
        <f t="array" ref="U1205">IFERROR(_xlfn.IFS(Table1[[#This Row],[Payment Status]]="Partial","In Transit",Table1[[#This Row],[Payment Status]]="Paid","Completed",Table1[[#This Row],[Payment Status]]="Pending","Pending"),"Invalid Input")</f>
        <v>Completed</v>
      </c>
    </row>
    <row r="1206" spans="1:21" x14ac:dyDescent="0.25">
      <c r="A1206" s="4" t="s">
        <v>2133</v>
      </c>
      <c r="B1206" s="5">
        <v>45318</v>
      </c>
      <c r="C1206" t="s">
        <v>73</v>
      </c>
      <c r="D1206" t="s">
        <v>3269</v>
      </c>
      <c r="E1206" t="s">
        <v>47</v>
      </c>
      <c r="F1206" t="s">
        <v>3209</v>
      </c>
      <c r="G1206" t="s">
        <v>48</v>
      </c>
      <c r="H1206" t="str">
        <f>VLOOKUP(Table1[[#This Row],[City]],Table6[#All],2,FALSE)</f>
        <v>North</v>
      </c>
      <c r="I1206" t="s">
        <v>3204</v>
      </c>
      <c r="J1206" t="str">
        <f>_xlfn.XLOOKUP(Table1[[#This Row],[Tractor Model]],Table7[Product Model],Table7[Product Category],"Not Available",0)</f>
        <v>Kubota</v>
      </c>
      <c r="K1206" s="4">
        <v>7</v>
      </c>
      <c r="L1206" s="72">
        <v>480119</v>
      </c>
      <c r="M1206" s="4">
        <f>INDEX('Master Sheet'!$C$4:$C$12,MATCH(Table1[[#This Row],[Quantity]],'Master Sheet'!$B$4:$B$12,0))</f>
        <v>9</v>
      </c>
      <c r="N1206" s="71">
        <f>Table1[[#This Row],[Quantity]]*Table1[[#This Row],[Unit Price]]</f>
        <v>3360833</v>
      </c>
      <c r="O1206" s="73">
        <v>0.33608329999999997</v>
      </c>
      <c r="P1206" s="70">
        <f>Table1[[#This Row],[Gross Amount]]*(1-(Table1[[#This Row],[Discount %]]/100))</f>
        <v>3058358.0300000003</v>
      </c>
      <c r="Q1206" s="74">
        <f>(Table1[[#This Row],[Gross Amount]]*(1-(Table1[[#This Row],[Discount %]]/100)))/10000000</f>
        <v>0.30583580300000002</v>
      </c>
      <c r="R1206" t="s">
        <v>25</v>
      </c>
      <c r="S1206" t="str" cm="1">
        <f t="array" ref="S1206">IFERROR(_xlfn.IFS(Table1[[#This Row],[Payment Status]]="Partial","In Transit",Table1[[#This Row],[Payment Status]]="Paid","Delivered",Table1[[#This Row],[Payment Status]]="Pending","Pending"),"Invalid Input")</f>
        <v>In Transit</v>
      </c>
      <c r="T1206" t="s">
        <v>27</v>
      </c>
      <c r="U1206" t="str" cm="1">
        <f t="array" ref="U1206">IFERROR(_xlfn.IFS(Table1[[#This Row],[Payment Status]]="Partial","In Transit",Table1[[#This Row],[Payment Status]]="Paid","Completed",Table1[[#This Row],[Payment Status]]="Pending","Pending"),"Invalid Input")</f>
        <v>In Transit</v>
      </c>
    </row>
    <row r="1207" spans="1:21" x14ac:dyDescent="0.25">
      <c r="A1207" s="4" t="s">
        <v>2135</v>
      </c>
      <c r="B1207" s="5">
        <v>45430</v>
      </c>
      <c r="C1207" t="s">
        <v>73</v>
      </c>
      <c r="D1207" t="s">
        <v>3269</v>
      </c>
      <c r="E1207" t="s">
        <v>47</v>
      </c>
      <c r="F1207" t="s">
        <v>3209</v>
      </c>
      <c r="G1207" t="s">
        <v>48</v>
      </c>
      <c r="H1207" t="str">
        <f>VLOOKUP(Table1[[#This Row],[City]],Table6[#All],2,FALSE)</f>
        <v>North</v>
      </c>
      <c r="I1207" t="s">
        <v>58</v>
      </c>
      <c r="J1207" t="str">
        <f>_xlfn.XLOOKUP(Table1[[#This Row],[Tractor Model]],Table7[Product Model],Table7[Product Category],"Not Available",0)</f>
        <v>Powertrac</v>
      </c>
      <c r="K1207" s="4">
        <v>5</v>
      </c>
      <c r="L1207" s="72">
        <v>467424</v>
      </c>
      <c r="M1207" s="4">
        <f>INDEX('Master Sheet'!$C$4:$C$12,MATCH(Table1[[#This Row],[Quantity]],'Master Sheet'!$B$4:$B$12,0))</f>
        <v>7</v>
      </c>
      <c r="N1207" s="71">
        <f>Table1[[#This Row],[Quantity]]*Table1[[#This Row],[Unit Price]]</f>
        <v>2337120</v>
      </c>
      <c r="O1207" s="73">
        <v>0.233712</v>
      </c>
      <c r="P1207" s="70">
        <f>Table1[[#This Row],[Gross Amount]]*(1-(Table1[[#This Row],[Discount %]]/100))</f>
        <v>2173521.5999999996</v>
      </c>
      <c r="Q1207" s="74">
        <f>(Table1[[#This Row],[Gross Amount]]*(1-(Table1[[#This Row],[Discount %]]/100)))/10000000</f>
        <v>0.21735215999999996</v>
      </c>
      <c r="R1207" t="s">
        <v>25</v>
      </c>
      <c r="S1207" t="str" cm="1">
        <f t="array" ref="S1207">IFERROR(_xlfn.IFS(Table1[[#This Row],[Payment Status]]="Partial","In Transit",Table1[[#This Row],[Payment Status]]="Paid","Delivered",Table1[[#This Row],[Payment Status]]="Pending","Pending"),"Invalid Input")</f>
        <v>In Transit</v>
      </c>
      <c r="T1207" t="s">
        <v>27</v>
      </c>
      <c r="U1207" t="str" cm="1">
        <f t="array" ref="U1207">IFERROR(_xlfn.IFS(Table1[[#This Row],[Payment Status]]="Partial","In Transit",Table1[[#This Row],[Payment Status]]="Paid","Completed",Table1[[#This Row],[Payment Status]]="Pending","Pending"),"Invalid Input")</f>
        <v>In Transit</v>
      </c>
    </row>
    <row r="1208" spans="1:21" x14ac:dyDescent="0.25">
      <c r="A1208" s="4" t="s">
        <v>2136</v>
      </c>
      <c r="B1208" s="5">
        <v>45483</v>
      </c>
      <c r="C1208" t="s">
        <v>52</v>
      </c>
      <c r="D1208" t="s">
        <v>3271</v>
      </c>
      <c r="E1208" t="s">
        <v>47</v>
      </c>
      <c r="F1208" t="s">
        <v>3221</v>
      </c>
      <c r="G1208" t="s">
        <v>48</v>
      </c>
      <c r="H1208" t="str">
        <f>VLOOKUP(Table1[[#This Row],[City]],Table6[#All],2,FALSE)</f>
        <v>North</v>
      </c>
      <c r="I1208" t="s">
        <v>3204</v>
      </c>
      <c r="J1208" t="str">
        <f>_xlfn.XLOOKUP(Table1[[#This Row],[Tractor Model]],Table7[Product Model],Table7[Product Category],"Not Available",0)</f>
        <v>Kubota</v>
      </c>
      <c r="K1208" s="4">
        <v>0</v>
      </c>
      <c r="L1208" s="72">
        <v>348613</v>
      </c>
      <c r="M1208" s="4">
        <f>INDEX('Master Sheet'!$C$4:$C$12,MATCH(Table1[[#This Row],[Quantity]],'Master Sheet'!$B$4:$B$12,0))</f>
        <v>0</v>
      </c>
      <c r="N1208" s="71">
        <f>Table1[[#This Row],[Quantity]]*Table1[[#This Row],[Unit Price]]</f>
        <v>0</v>
      </c>
      <c r="O1208" s="73">
        <v>0</v>
      </c>
      <c r="P1208" s="70">
        <f>Table1[[#This Row],[Gross Amount]]*(1-(Table1[[#This Row],[Discount %]]/100))</f>
        <v>0</v>
      </c>
      <c r="Q1208" s="74">
        <f>(Table1[[#This Row],[Gross Amount]]*(1-(Table1[[#This Row],[Discount %]]/100)))/10000000</f>
        <v>0</v>
      </c>
      <c r="R1208" t="s">
        <v>54</v>
      </c>
      <c r="S1208" t="str" cm="1">
        <f t="array" ref="S1208">IFERROR(_xlfn.IFS(Table1[[#This Row],[Payment Status]]="Partial","In Transit",Table1[[#This Row],[Payment Status]]="Paid","Delivered",Table1[[#This Row],[Payment Status]]="Pending","Pending"),"Invalid Input")</f>
        <v>Delivered</v>
      </c>
      <c r="T1208" t="s">
        <v>44</v>
      </c>
      <c r="U1208" t="str" cm="1">
        <f t="array" ref="U1208">IFERROR(_xlfn.IFS(Table1[[#This Row],[Payment Status]]="Partial","In Transit",Table1[[#This Row],[Payment Status]]="Paid","Completed",Table1[[#This Row],[Payment Status]]="Pending","Pending"),"Invalid Input")</f>
        <v>Completed</v>
      </c>
    </row>
    <row r="1209" spans="1:21" x14ac:dyDescent="0.25">
      <c r="A1209" s="4" t="s">
        <v>2137</v>
      </c>
      <c r="B1209" s="5">
        <v>45904</v>
      </c>
      <c r="C1209" t="s">
        <v>62</v>
      </c>
      <c r="D1209" t="s">
        <v>3269</v>
      </c>
      <c r="E1209" t="s">
        <v>66</v>
      </c>
      <c r="F1209" t="s">
        <v>3213</v>
      </c>
      <c r="G1209" t="s">
        <v>67</v>
      </c>
      <c r="H1209" t="str">
        <f>VLOOKUP(Table1[[#This Row],[City]],Table6[#All],2,FALSE)</f>
        <v>East</v>
      </c>
      <c r="I1209" t="s">
        <v>3203</v>
      </c>
      <c r="J1209" t="str">
        <f>_xlfn.XLOOKUP(Table1[[#This Row],[Tractor Model]],Table7[Product Model],Table7[Product Category],"Not Available",0)</f>
        <v>Kubota</v>
      </c>
      <c r="K1209" s="4">
        <v>2</v>
      </c>
      <c r="L1209" s="72">
        <v>809524</v>
      </c>
      <c r="M1209" s="4">
        <f>INDEX('Master Sheet'!$C$4:$C$12,MATCH(Table1[[#This Row],[Quantity]],'Master Sheet'!$B$4:$B$12,0))</f>
        <v>5</v>
      </c>
      <c r="N1209" s="71">
        <f>Table1[[#This Row],[Quantity]]*Table1[[#This Row],[Unit Price]]</f>
        <v>1619048</v>
      </c>
      <c r="O1209" s="73">
        <v>0.16190479999999999</v>
      </c>
      <c r="P1209" s="70">
        <f>Table1[[#This Row],[Gross Amount]]*(1-(Table1[[#This Row],[Discount %]]/100))</f>
        <v>1538095.5999999999</v>
      </c>
      <c r="Q1209" s="74">
        <f>(Table1[[#This Row],[Gross Amount]]*(1-(Table1[[#This Row],[Discount %]]/100)))/10000000</f>
        <v>0.15380955999999998</v>
      </c>
      <c r="R1209" t="s">
        <v>42</v>
      </c>
      <c r="S1209" t="str" cm="1">
        <f t="array" ref="S1209">IFERROR(_xlfn.IFS(Table1[[#This Row],[Payment Status]]="Partial","In Transit",Table1[[#This Row],[Payment Status]]="Paid","Delivered",Table1[[#This Row],[Payment Status]]="Pending","Pending"),"Invalid Input")</f>
        <v>Pending</v>
      </c>
      <c r="T1209" t="s">
        <v>44</v>
      </c>
      <c r="U1209" t="str" cm="1">
        <f t="array" ref="U1209">IFERROR(_xlfn.IFS(Table1[[#This Row],[Payment Status]]="Partial","In Transit",Table1[[#This Row],[Payment Status]]="Paid","Completed",Table1[[#This Row],[Payment Status]]="Pending","Pending"),"Invalid Input")</f>
        <v>Pending</v>
      </c>
    </row>
    <row r="1210" spans="1:21" x14ac:dyDescent="0.25">
      <c r="A1210" s="4" t="s">
        <v>2138</v>
      </c>
      <c r="B1210" s="5">
        <v>45358</v>
      </c>
      <c r="C1210" t="s">
        <v>62</v>
      </c>
      <c r="D1210" t="s">
        <v>3269</v>
      </c>
      <c r="E1210" t="s">
        <v>66</v>
      </c>
      <c r="F1210" t="s">
        <v>3213</v>
      </c>
      <c r="G1210" t="s">
        <v>67</v>
      </c>
      <c r="H1210" t="str">
        <f>VLOOKUP(Table1[[#This Row],[City]],Table6[#All],2,FALSE)</f>
        <v>East</v>
      </c>
      <c r="I1210" t="s">
        <v>58</v>
      </c>
      <c r="J1210" t="str">
        <f>_xlfn.XLOOKUP(Table1[[#This Row],[Tractor Model]],Table7[Product Model],Table7[Product Category],"Not Available",0)</f>
        <v>Powertrac</v>
      </c>
      <c r="K1210" s="4">
        <v>4</v>
      </c>
      <c r="L1210" s="72">
        <v>784323</v>
      </c>
      <c r="M1210" s="4">
        <f>INDEX('Master Sheet'!$C$4:$C$12,MATCH(Table1[[#This Row],[Quantity]],'Master Sheet'!$B$4:$B$12,0))</f>
        <v>6</v>
      </c>
      <c r="N1210" s="71">
        <f>Table1[[#This Row],[Quantity]]*Table1[[#This Row],[Unit Price]]</f>
        <v>3137292</v>
      </c>
      <c r="O1210" s="73">
        <v>0.31372919999999999</v>
      </c>
      <c r="P1210" s="70">
        <f>Table1[[#This Row],[Gross Amount]]*(1-(Table1[[#This Row],[Discount %]]/100))</f>
        <v>2949054.48</v>
      </c>
      <c r="Q1210" s="74">
        <f>(Table1[[#This Row],[Gross Amount]]*(1-(Table1[[#This Row],[Discount %]]/100)))/10000000</f>
        <v>0.29490544800000001</v>
      </c>
      <c r="R1210" t="s">
        <v>54</v>
      </c>
      <c r="S1210" t="str" cm="1">
        <f t="array" ref="S1210">IFERROR(_xlfn.IFS(Table1[[#This Row],[Payment Status]]="Partial","In Transit",Table1[[#This Row],[Payment Status]]="Paid","Delivered",Table1[[#This Row],[Payment Status]]="Pending","Pending"),"Invalid Input")</f>
        <v>Delivered</v>
      </c>
      <c r="T1210" t="s">
        <v>44</v>
      </c>
      <c r="U1210" t="str" cm="1">
        <f t="array" ref="U1210">IFERROR(_xlfn.IFS(Table1[[#This Row],[Payment Status]]="Partial","In Transit",Table1[[#This Row],[Payment Status]]="Paid","Completed",Table1[[#This Row],[Payment Status]]="Pending","Pending"),"Invalid Input")</f>
        <v>Completed</v>
      </c>
    </row>
    <row r="1211" spans="1:21" x14ac:dyDescent="0.25">
      <c r="A1211" s="4" t="s">
        <v>2140</v>
      </c>
      <c r="B1211" s="5">
        <v>45390</v>
      </c>
      <c r="C1211" t="s">
        <v>41</v>
      </c>
      <c r="D1211" t="s">
        <v>3270</v>
      </c>
      <c r="E1211" t="s">
        <v>66</v>
      </c>
      <c r="F1211" t="s">
        <v>3220</v>
      </c>
      <c r="G1211" t="s">
        <v>67</v>
      </c>
      <c r="H1211" t="str">
        <f>VLOOKUP(Table1[[#This Row],[City]],Table6[#All],2,FALSE)</f>
        <v>East</v>
      </c>
      <c r="I1211" t="s">
        <v>3204</v>
      </c>
      <c r="J1211" t="str">
        <f>_xlfn.XLOOKUP(Table1[[#This Row],[Tractor Model]],Table7[Product Model],Table7[Product Category],"Not Available",0)</f>
        <v>Kubota</v>
      </c>
      <c r="K1211" s="4">
        <v>1</v>
      </c>
      <c r="L1211" s="72">
        <v>443180</v>
      </c>
      <c r="M1211" s="4">
        <f>INDEX('Master Sheet'!$C$4:$C$12,MATCH(Table1[[#This Row],[Quantity]],'Master Sheet'!$B$4:$B$12,0))</f>
        <v>3</v>
      </c>
      <c r="N1211" s="71">
        <f>Table1[[#This Row],[Quantity]]*Table1[[#This Row],[Unit Price]]</f>
        <v>443180</v>
      </c>
      <c r="O1211" s="73">
        <v>4.4318000000000003E-2</v>
      </c>
      <c r="P1211" s="70">
        <f>Table1[[#This Row],[Gross Amount]]*(1-(Table1[[#This Row],[Discount %]]/100))</f>
        <v>429884.6</v>
      </c>
      <c r="Q1211" s="74">
        <f>(Table1[[#This Row],[Gross Amount]]*(1-(Table1[[#This Row],[Discount %]]/100)))/10000000</f>
        <v>4.2988459999999999E-2</v>
      </c>
      <c r="R1211" t="s">
        <v>42</v>
      </c>
      <c r="S1211" t="str" cm="1">
        <f t="array" ref="S1211">IFERROR(_xlfn.IFS(Table1[[#This Row],[Payment Status]]="Partial","In Transit",Table1[[#This Row],[Payment Status]]="Paid","Delivered",Table1[[#This Row],[Payment Status]]="Pending","Pending"),"Invalid Input")</f>
        <v>Pending</v>
      </c>
      <c r="T1211" t="s">
        <v>27</v>
      </c>
      <c r="U1211" t="str" cm="1">
        <f t="array" ref="U1211">IFERROR(_xlfn.IFS(Table1[[#This Row],[Payment Status]]="Partial","In Transit",Table1[[#This Row],[Payment Status]]="Paid","Completed",Table1[[#This Row],[Payment Status]]="Pending","Pending"),"Invalid Input")</f>
        <v>Pending</v>
      </c>
    </row>
    <row r="1212" spans="1:21" x14ac:dyDescent="0.25">
      <c r="A1212" s="4" t="s">
        <v>2141</v>
      </c>
      <c r="B1212" s="5">
        <v>45294</v>
      </c>
      <c r="C1212" t="s">
        <v>41</v>
      </c>
      <c r="D1212" t="s">
        <v>3268</v>
      </c>
      <c r="E1212" t="s">
        <v>30</v>
      </c>
      <c r="F1212" t="s">
        <v>3208</v>
      </c>
      <c r="G1212" t="s">
        <v>31</v>
      </c>
      <c r="H1212" t="str">
        <f>VLOOKUP(Table1[[#This Row],[City]],Table6[#All],2,FALSE)</f>
        <v>South</v>
      </c>
      <c r="I1212" t="s">
        <v>3204</v>
      </c>
      <c r="J1212" t="str">
        <f>_xlfn.XLOOKUP(Table1[[#This Row],[Tractor Model]],Table7[Product Model],Table7[Product Category],"Not Available",0)</f>
        <v>Kubota</v>
      </c>
      <c r="K1212" s="4">
        <v>7</v>
      </c>
      <c r="L1212" s="72">
        <v>528832</v>
      </c>
      <c r="M1212" s="4">
        <f>INDEX('Master Sheet'!$C$4:$C$12,MATCH(Table1[[#This Row],[Quantity]],'Master Sheet'!$B$4:$B$12,0))</f>
        <v>9</v>
      </c>
      <c r="N1212" s="71">
        <f>Table1[[#This Row],[Quantity]]*Table1[[#This Row],[Unit Price]]</f>
        <v>3701824</v>
      </c>
      <c r="O1212" s="73">
        <v>0.37018240000000002</v>
      </c>
      <c r="P1212" s="70">
        <f>Table1[[#This Row],[Gross Amount]]*(1-(Table1[[#This Row],[Discount %]]/100))</f>
        <v>3368659.8400000003</v>
      </c>
      <c r="Q1212" s="74">
        <f>(Table1[[#This Row],[Gross Amount]]*(1-(Table1[[#This Row],[Discount %]]/100)))/10000000</f>
        <v>0.33686598400000001</v>
      </c>
      <c r="R1212" t="s">
        <v>25</v>
      </c>
      <c r="S1212" t="str" cm="1">
        <f t="array" ref="S1212">IFERROR(_xlfn.IFS(Table1[[#This Row],[Payment Status]]="Partial","In Transit",Table1[[#This Row],[Payment Status]]="Paid","Delivered",Table1[[#This Row],[Payment Status]]="Pending","Pending"),"Invalid Input")</f>
        <v>In Transit</v>
      </c>
      <c r="T1212" t="s">
        <v>27</v>
      </c>
      <c r="U1212" t="str" cm="1">
        <f t="array" ref="U1212">IFERROR(_xlfn.IFS(Table1[[#This Row],[Payment Status]]="Partial","In Transit",Table1[[#This Row],[Payment Status]]="Paid","Completed",Table1[[#This Row],[Payment Status]]="Pending","Pending"),"Invalid Input")</f>
        <v>In Transit</v>
      </c>
    </row>
    <row r="1213" spans="1:21" x14ac:dyDescent="0.25">
      <c r="A1213" s="4" t="s">
        <v>2143</v>
      </c>
      <c r="B1213" s="5">
        <v>45729</v>
      </c>
      <c r="C1213" t="s">
        <v>62</v>
      </c>
      <c r="D1213" t="s">
        <v>3269</v>
      </c>
      <c r="E1213" t="s">
        <v>66</v>
      </c>
      <c r="F1213" t="s">
        <v>3213</v>
      </c>
      <c r="G1213" t="s">
        <v>67</v>
      </c>
      <c r="H1213" t="str">
        <f>VLOOKUP(Table1[[#This Row],[City]],Table6[#All],2,FALSE)</f>
        <v>East</v>
      </c>
      <c r="I1213" t="s">
        <v>3204</v>
      </c>
      <c r="J1213" t="str">
        <f>_xlfn.XLOOKUP(Table1[[#This Row],[Tractor Model]],Table7[Product Model],Table7[Product Category],"Not Available",0)</f>
        <v>Kubota</v>
      </c>
      <c r="K1213" s="4">
        <v>3</v>
      </c>
      <c r="L1213" s="72">
        <v>325662</v>
      </c>
      <c r="M1213" s="4">
        <f>INDEX('Master Sheet'!$C$4:$C$12,MATCH(Table1[[#This Row],[Quantity]],'Master Sheet'!$B$4:$B$12,0))</f>
        <v>6</v>
      </c>
      <c r="N1213" s="71">
        <f>Table1[[#This Row],[Quantity]]*Table1[[#This Row],[Unit Price]]</f>
        <v>976986</v>
      </c>
      <c r="O1213" s="73">
        <v>9.7698599999999997E-2</v>
      </c>
      <c r="P1213" s="70">
        <f>Table1[[#This Row],[Gross Amount]]*(1-(Table1[[#This Row],[Discount %]]/100))</f>
        <v>918366.84</v>
      </c>
      <c r="Q1213" s="74">
        <f>(Table1[[#This Row],[Gross Amount]]*(1-(Table1[[#This Row],[Discount %]]/100)))/10000000</f>
        <v>9.1836684000000002E-2</v>
      </c>
      <c r="R1213" t="s">
        <v>54</v>
      </c>
      <c r="S1213" t="str" cm="1">
        <f t="array" ref="S1213">IFERROR(_xlfn.IFS(Table1[[#This Row],[Payment Status]]="Partial","In Transit",Table1[[#This Row],[Payment Status]]="Paid","Delivered",Table1[[#This Row],[Payment Status]]="Pending","Pending"),"Invalid Input")</f>
        <v>Delivered</v>
      </c>
      <c r="T1213" t="s">
        <v>44</v>
      </c>
      <c r="U1213" t="str" cm="1">
        <f t="array" ref="U1213">IFERROR(_xlfn.IFS(Table1[[#This Row],[Payment Status]]="Partial","In Transit",Table1[[#This Row],[Payment Status]]="Paid","Completed",Table1[[#This Row],[Payment Status]]="Pending","Pending"),"Invalid Input")</f>
        <v>Completed</v>
      </c>
    </row>
    <row r="1214" spans="1:21" x14ac:dyDescent="0.25">
      <c r="A1214" s="4" t="s">
        <v>2145</v>
      </c>
      <c r="B1214" s="5">
        <v>45758</v>
      </c>
      <c r="C1214" t="s">
        <v>33</v>
      </c>
      <c r="D1214" t="s">
        <v>3269</v>
      </c>
      <c r="E1214" t="s">
        <v>47</v>
      </c>
      <c r="F1214" t="s">
        <v>3209</v>
      </c>
      <c r="G1214" t="s">
        <v>48</v>
      </c>
      <c r="H1214" t="str">
        <f>VLOOKUP(Table1[[#This Row],[City]],Table6[#All],2,FALSE)</f>
        <v>North</v>
      </c>
      <c r="I1214" t="s">
        <v>3203</v>
      </c>
      <c r="J1214" t="str">
        <f>_xlfn.XLOOKUP(Table1[[#This Row],[Tractor Model]],Table7[Product Model],Table7[Product Category],"Not Available",0)</f>
        <v>Kubota</v>
      </c>
      <c r="K1214" s="4">
        <v>8</v>
      </c>
      <c r="L1214" s="72">
        <v>529658</v>
      </c>
      <c r="M1214" s="4">
        <f>INDEX('Master Sheet'!$C$4:$C$12,MATCH(Table1[[#This Row],[Quantity]],'Master Sheet'!$B$4:$B$12,0))</f>
        <v>9</v>
      </c>
      <c r="N1214" s="71">
        <f>Table1[[#This Row],[Quantity]]*Table1[[#This Row],[Unit Price]]</f>
        <v>4237264</v>
      </c>
      <c r="O1214" s="73">
        <v>0.4237264</v>
      </c>
      <c r="P1214" s="70">
        <f>Table1[[#This Row],[Gross Amount]]*(1-(Table1[[#This Row],[Discount %]]/100))</f>
        <v>3855910.24</v>
      </c>
      <c r="Q1214" s="74">
        <f>(Table1[[#This Row],[Gross Amount]]*(1-(Table1[[#This Row],[Discount %]]/100)))/10000000</f>
        <v>0.385591024</v>
      </c>
      <c r="R1214" t="s">
        <v>42</v>
      </c>
      <c r="S1214" t="str" cm="1">
        <f t="array" ref="S1214">IFERROR(_xlfn.IFS(Table1[[#This Row],[Payment Status]]="Partial","In Transit",Table1[[#This Row],[Payment Status]]="Paid","Delivered",Table1[[#This Row],[Payment Status]]="Pending","Pending"),"Invalid Input")</f>
        <v>Pending</v>
      </c>
      <c r="T1214" t="s">
        <v>44</v>
      </c>
      <c r="U1214" t="str" cm="1">
        <f t="array" ref="U1214">IFERROR(_xlfn.IFS(Table1[[#This Row],[Payment Status]]="Partial","In Transit",Table1[[#This Row],[Payment Status]]="Paid","Completed",Table1[[#This Row],[Payment Status]]="Pending","Pending"),"Invalid Input")</f>
        <v>Pending</v>
      </c>
    </row>
    <row r="1215" spans="1:21" x14ac:dyDescent="0.25">
      <c r="A1215" s="4" t="s">
        <v>2146</v>
      </c>
      <c r="B1215" s="5">
        <v>45397</v>
      </c>
      <c r="C1215" t="s">
        <v>41</v>
      </c>
      <c r="D1215" t="s">
        <v>37</v>
      </c>
      <c r="E1215" t="s">
        <v>38</v>
      </c>
      <c r="F1215" t="s">
        <v>3214</v>
      </c>
      <c r="G1215" t="s">
        <v>39</v>
      </c>
      <c r="H1215" t="str">
        <f>VLOOKUP(Table1[[#This Row],[City]],Table6[#All],2,FALSE)</f>
        <v>West</v>
      </c>
      <c r="I1215" t="s">
        <v>53</v>
      </c>
      <c r="J1215" t="str">
        <f>_xlfn.XLOOKUP(Table1[[#This Row],[Tractor Model]],Table7[Product Model],Table7[Product Category],"Not Available",0)</f>
        <v>Farmtrac</v>
      </c>
      <c r="K1215" s="4">
        <v>4</v>
      </c>
      <c r="L1215" s="72">
        <v>467891</v>
      </c>
      <c r="M1215" s="4">
        <f>INDEX('Master Sheet'!$C$4:$C$12,MATCH(Table1[[#This Row],[Quantity]],'Master Sheet'!$B$4:$B$12,0))</f>
        <v>6</v>
      </c>
      <c r="N1215" s="71">
        <f>Table1[[#This Row],[Quantity]]*Table1[[#This Row],[Unit Price]]</f>
        <v>1871564</v>
      </c>
      <c r="O1215" s="73">
        <v>0.1871564</v>
      </c>
      <c r="P1215" s="70">
        <f>Table1[[#This Row],[Gross Amount]]*(1-(Table1[[#This Row],[Discount %]]/100))</f>
        <v>1759270.16</v>
      </c>
      <c r="Q1215" s="74">
        <f>(Table1[[#This Row],[Gross Amount]]*(1-(Table1[[#This Row],[Discount %]]/100)))/10000000</f>
        <v>0.17592701599999999</v>
      </c>
      <c r="R1215" t="s">
        <v>54</v>
      </c>
      <c r="S1215" t="str" cm="1">
        <f t="array" ref="S1215">IFERROR(_xlfn.IFS(Table1[[#This Row],[Payment Status]]="Partial","In Transit",Table1[[#This Row],[Payment Status]]="Paid","Delivered",Table1[[#This Row],[Payment Status]]="Pending","Pending"),"Invalid Input")</f>
        <v>Delivered</v>
      </c>
      <c r="T1215" t="s">
        <v>27</v>
      </c>
      <c r="U1215" t="str" cm="1">
        <f t="array" ref="U1215">IFERROR(_xlfn.IFS(Table1[[#This Row],[Payment Status]]="Partial","In Transit",Table1[[#This Row],[Payment Status]]="Paid","Completed",Table1[[#This Row],[Payment Status]]="Pending","Pending"),"Invalid Input")</f>
        <v>Completed</v>
      </c>
    </row>
    <row r="1216" spans="1:21" x14ac:dyDescent="0.25">
      <c r="A1216" s="4" t="s">
        <v>2147</v>
      </c>
      <c r="B1216" s="5">
        <v>45530</v>
      </c>
      <c r="C1216" t="s">
        <v>52</v>
      </c>
      <c r="D1216" t="s">
        <v>3271</v>
      </c>
      <c r="E1216" t="s">
        <v>30</v>
      </c>
      <c r="F1216" t="s">
        <v>3217</v>
      </c>
      <c r="G1216" t="s">
        <v>31</v>
      </c>
      <c r="H1216" t="str">
        <f>VLOOKUP(Table1[[#This Row],[City]],Table6[#All],2,FALSE)</f>
        <v>South</v>
      </c>
      <c r="I1216" t="s">
        <v>3204</v>
      </c>
      <c r="J1216" t="str">
        <f>_xlfn.XLOOKUP(Table1[[#This Row],[Tractor Model]],Table7[Product Model],Table7[Product Category],"Not Available",0)</f>
        <v>Kubota</v>
      </c>
      <c r="K1216" s="4">
        <v>1</v>
      </c>
      <c r="L1216" s="72">
        <v>619559</v>
      </c>
      <c r="M1216" s="4">
        <f>INDEX('Master Sheet'!$C$4:$C$12,MATCH(Table1[[#This Row],[Quantity]],'Master Sheet'!$B$4:$B$12,0))</f>
        <v>3</v>
      </c>
      <c r="N1216" s="71">
        <f>Table1[[#This Row],[Quantity]]*Table1[[#This Row],[Unit Price]]</f>
        <v>619559</v>
      </c>
      <c r="O1216" s="73">
        <v>6.1955900000000001E-2</v>
      </c>
      <c r="P1216" s="70">
        <f>Table1[[#This Row],[Gross Amount]]*(1-(Table1[[#This Row],[Discount %]]/100))</f>
        <v>600972.23</v>
      </c>
      <c r="Q1216" s="74">
        <f>(Table1[[#This Row],[Gross Amount]]*(1-(Table1[[#This Row],[Discount %]]/100)))/10000000</f>
        <v>6.0097222999999998E-2</v>
      </c>
      <c r="R1216" t="s">
        <v>42</v>
      </c>
      <c r="S1216" t="str" cm="1">
        <f t="array" ref="S1216">IFERROR(_xlfn.IFS(Table1[[#This Row],[Payment Status]]="Partial","In Transit",Table1[[#This Row],[Payment Status]]="Paid","Delivered",Table1[[#This Row],[Payment Status]]="Pending","Pending"),"Invalid Input")</f>
        <v>Pending</v>
      </c>
      <c r="T1216" t="s">
        <v>27</v>
      </c>
      <c r="U1216" t="str" cm="1">
        <f t="array" ref="U1216">IFERROR(_xlfn.IFS(Table1[[#This Row],[Payment Status]]="Partial","In Transit",Table1[[#This Row],[Payment Status]]="Paid","Completed",Table1[[#This Row],[Payment Status]]="Pending","Pending"),"Invalid Input")</f>
        <v>Pending</v>
      </c>
    </row>
    <row r="1217" spans="1:21" x14ac:dyDescent="0.25">
      <c r="A1217" s="4" t="s">
        <v>2148</v>
      </c>
      <c r="B1217" s="5">
        <v>45431</v>
      </c>
      <c r="C1217" t="s">
        <v>62</v>
      </c>
      <c r="D1217" t="s">
        <v>3269</v>
      </c>
      <c r="E1217" t="s">
        <v>119</v>
      </c>
      <c r="F1217" t="s">
        <v>3229</v>
      </c>
      <c r="G1217" t="s">
        <v>21</v>
      </c>
      <c r="H1217" t="str">
        <f>VLOOKUP(Table1[[#This Row],[City]],Table6[#All],2,FALSE)</f>
        <v>North</v>
      </c>
      <c r="I1217" t="s">
        <v>3204</v>
      </c>
      <c r="J1217" t="str">
        <f>_xlfn.XLOOKUP(Table1[[#This Row],[Tractor Model]],Table7[Product Model],Table7[Product Category],"Not Available",0)</f>
        <v>Kubota</v>
      </c>
      <c r="K1217" s="4">
        <v>2</v>
      </c>
      <c r="L1217" s="72">
        <v>496427</v>
      </c>
      <c r="M1217" s="4">
        <f>INDEX('Master Sheet'!$C$4:$C$12,MATCH(Table1[[#This Row],[Quantity]],'Master Sheet'!$B$4:$B$12,0))</f>
        <v>5</v>
      </c>
      <c r="N1217" s="71">
        <f>Table1[[#This Row],[Quantity]]*Table1[[#This Row],[Unit Price]]</f>
        <v>992854</v>
      </c>
      <c r="O1217" s="73">
        <v>9.9285399999999996E-2</v>
      </c>
      <c r="P1217" s="70">
        <f>Table1[[#This Row],[Gross Amount]]*(1-(Table1[[#This Row],[Discount %]]/100))</f>
        <v>943211.29999999993</v>
      </c>
      <c r="Q1217" s="74">
        <f>(Table1[[#This Row],[Gross Amount]]*(1-(Table1[[#This Row],[Discount %]]/100)))/10000000</f>
        <v>9.4321129999999989E-2</v>
      </c>
      <c r="R1217" t="s">
        <v>54</v>
      </c>
      <c r="S1217" t="str" cm="1">
        <f t="array" ref="S1217">IFERROR(_xlfn.IFS(Table1[[#This Row],[Payment Status]]="Partial","In Transit",Table1[[#This Row],[Payment Status]]="Paid","Delivered",Table1[[#This Row],[Payment Status]]="Pending","Pending"),"Invalid Input")</f>
        <v>Delivered</v>
      </c>
      <c r="T1217" t="s">
        <v>27</v>
      </c>
      <c r="U1217" t="str" cm="1">
        <f t="array" ref="U1217">IFERROR(_xlfn.IFS(Table1[[#This Row],[Payment Status]]="Partial","In Transit",Table1[[#This Row],[Payment Status]]="Paid","Completed",Table1[[#This Row],[Payment Status]]="Pending","Pending"),"Invalid Input")</f>
        <v>Completed</v>
      </c>
    </row>
    <row r="1218" spans="1:21" x14ac:dyDescent="0.25">
      <c r="A1218" s="4" t="s">
        <v>2149</v>
      </c>
      <c r="B1218" s="5">
        <v>45828</v>
      </c>
      <c r="C1218" t="s">
        <v>52</v>
      </c>
      <c r="D1218" t="s">
        <v>3268</v>
      </c>
      <c r="E1218" t="s">
        <v>30</v>
      </c>
      <c r="F1218" t="s">
        <v>3208</v>
      </c>
      <c r="G1218" t="s">
        <v>31</v>
      </c>
      <c r="H1218" t="str">
        <f>VLOOKUP(Table1[[#This Row],[City]],Table6[#All],2,FALSE)</f>
        <v>South</v>
      </c>
      <c r="I1218" t="s">
        <v>3203</v>
      </c>
      <c r="J1218" t="str">
        <f>_xlfn.XLOOKUP(Table1[[#This Row],[Tractor Model]],Table7[Product Model],Table7[Product Category],"Not Available",0)</f>
        <v>Kubota</v>
      </c>
      <c r="K1218" s="4">
        <v>3</v>
      </c>
      <c r="L1218" s="72">
        <v>363867</v>
      </c>
      <c r="M1218" s="4">
        <f>INDEX('Master Sheet'!$C$4:$C$12,MATCH(Table1[[#This Row],[Quantity]],'Master Sheet'!$B$4:$B$12,0))</f>
        <v>6</v>
      </c>
      <c r="N1218" s="71">
        <f>Table1[[#This Row],[Quantity]]*Table1[[#This Row],[Unit Price]]</f>
        <v>1091601</v>
      </c>
      <c r="O1218" s="73">
        <v>0.1091601</v>
      </c>
      <c r="P1218" s="70">
        <f>Table1[[#This Row],[Gross Amount]]*(1-(Table1[[#This Row],[Discount %]]/100))</f>
        <v>1026104.94</v>
      </c>
      <c r="Q1218" s="74">
        <f>(Table1[[#This Row],[Gross Amount]]*(1-(Table1[[#This Row],[Discount %]]/100)))/10000000</f>
        <v>0.102610494</v>
      </c>
      <c r="R1218" t="s">
        <v>54</v>
      </c>
      <c r="S1218" t="str" cm="1">
        <f t="array" ref="S1218">IFERROR(_xlfn.IFS(Table1[[#This Row],[Payment Status]]="Partial","In Transit",Table1[[#This Row],[Payment Status]]="Paid","Delivered",Table1[[#This Row],[Payment Status]]="Pending","Pending"),"Invalid Input")</f>
        <v>Delivered</v>
      </c>
      <c r="T1218" t="s">
        <v>27</v>
      </c>
      <c r="U1218" t="str" cm="1">
        <f t="array" ref="U1218">IFERROR(_xlfn.IFS(Table1[[#This Row],[Payment Status]]="Partial","In Transit",Table1[[#This Row],[Payment Status]]="Paid","Completed",Table1[[#This Row],[Payment Status]]="Pending","Pending"),"Invalid Input")</f>
        <v>Completed</v>
      </c>
    </row>
    <row r="1219" spans="1:21" x14ac:dyDescent="0.25">
      <c r="A1219" s="4" t="s">
        <v>2150</v>
      </c>
      <c r="B1219" s="5">
        <v>45773</v>
      </c>
      <c r="C1219" t="s">
        <v>62</v>
      </c>
      <c r="D1219" t="s">
        <v>3268</v>
      </c>
      <c r="E1219" t="s">
        <v>30</v>
      </c>
      <c r="F1219" t="s">
        <v>3208</v>
      </c>
      <c r="G1219" t="s">
        <v>31</v>
      </c>
      <c r="H1219" t="str">
        <f>VLOOKUP(Table1[[#This Row],[City]],Table6[#All],2,FALSE)</f>
        <v>South</v>
      </c>
      <c r="I1219" t="s">
        <v>58</v>
      </c>
      <c r="J1219" t="str">
        <f>_xlfn.XLOOKUP(Table1[[#This Row],[Tractor Model]],Table7[Product Model],Table7[Product Category],"Not Available",0)</f>
        <v>Powertrac</v>
      </c>
      <c r="K1219" s="4">
        <v>5</v>
      </c>
      <c r="L1219" s="72">
        <v>860205</v>
      </c>
      <c r="M1219" s="4">
        <f>INDEX('Master Sheet'!$C$4:$C$12,MATCH(Table1[[#This Row],[Quantity]],'Master Sheet'!$B$4:$B$12,0))</f>
        <v>7</v>
      </c>
      <c r="N1219" s="71">
        <f>Table1[[#This Row],[Quantity]]*Table1[[#This Row],[Unit Price]]</f>
        <v>4301025</v>
      </c>
      <c r="O1219" s="73">
        <v>0.4301025</v>
      </c>
      <c r="P1219" s="70">
        <f>Table1[[#This Row],[Gross Amount]]*(1-(Table1[[#This Row],[Discount %]]/100))</f>
        <v>3999953.2499999995</v>
      </c>
      <c r="Q1219" s="74">
        <f>(Table1[[#This Row],[Gross Amount]]*(1-(Table1[[#This Row],[Discount %]]/100)))/10000000</f>
        <v>0.39999532499999996</v>
      </c>
      <c r="R1219" t="s">
        <v>42</v>
      </c>
      <c r="S1219" t="str" cm="1">
        <f t="array" ref="S1219">IFERROR(_xlfn.IFS(Table1[[#This Row],[Payment Status]]="Partial","In Transit",Table1[[#This Row],[Payment Status]]="Paid","Delivered",Table1[[#This Row],[Payment Status]]="Pending","Pending"),"Invalid Input")</f>
        <v>Pending</v>
      </c>
      <c r="T1219" t="s">
        <v>27</v>
      </c>
      <c r="U1219" t="str" cm="1">
        <f t="array" ref="U1219">IFERROR(_xlfn.IFS(Table1[[#This Row],[Payment Status]]="Partial","In Transit",Table1[[#This Row],[Payment Status]]="Paid","Completed",Table1[[#This Row],[Payment Status]]="Pending","Pending"),"Invalid Input")</f>
        <v>Pending</v>
      </c>
    </row>
    <row r="1220" spans="1:21" x14ac:dyDescent="0.25">
      <c r="A1220" s="4" t="s">
        <v>2152</v>
      </c>
      <c r="B1220" s="5">
        <v>45420</v>
      </c>
      <c r="C1220" t="s">
        <v>52</v>
      </c>
      <c r="D1220" t="s">
        <v>3270</v>
      </c>
      <c r="E1220" t="s">
        <v>30</v>
      </c>
      <c r="F1220" t="s">
        <v>3223</v>
      </c>
      <c r="G1220" t="s">
        <v>31</v>
      </c>
      <c r="H1220" t="str">
        <f>VLOOKUP(Table1[[#This Row],[City]],Table6[#All],2,FALSE)</f>
        <v>South</v>
      </c>
      <c r="I1220" t="s">
        <v>3204</v>
      </c>
      <c r="J1220" t="str">
        <f>_xlfn.XLOOKUP(Table1[[#This Row],[Tractor Model]],Table7[Product Model],Table7[Product Category],"Not Available",0)</f>
        <v>Kubota</v>
      </c>
      <c r="K1220" s="4">
        <v>7</v>
      </c>
      <c r="L1220" s="72">
        <v>356577</v>
      </c>
      <c r="M1220" s="4">
        <f>INDEX('Master Sheet'!$C$4:$C$12,MATCH(Table1[[#This Row],[Quantity]],'Master Sheet'!$B$4:$B$12,0))</f>
        <v>9</v>
      </c>
      <c r="N1220" s="71">
        <f>Table1[[#This Row],[Quantity]]*Table1[[#This Row],[Unit Price]]</f>
        <v>2496039</v>
      </c>
      <c r="O1220" s="73">
        <v>0.24960389999999999</v>
      </c>
      <c r="P1220" s="70">
        <f>Table1[[#This Row],[Gross Amount]]*(1-(Table1[[#This Row],[Discount %]]/100))</f>
        <v>2271395.4900000002</v>
      </c>
      <c r="Q1220" s="74">
        <f>(Table1[[#This Row],[Gross Amount]]*(1-(Table1[[#This Row],[Discount %]]/100)))/10000000</f>
        <v>0.22713954900000002</v>
      </c>
      <c r="R1220" t="s">
        <v>25</v>
      </c>
      <c r="S1220" t="str" cm="1">
        <f t="array" ref="S1220">IFERROR(_xlfn.IFS(Table1[[#This Row],[Payment Status]]="Partial","In Transit",Table1[[#This Row],[Payment Status]]="Paid","Delivered",Table1[[#This Row],[Payment Status]]="Pending","Pending"),"Invalid Input")</f>
        <v>In Transit</v>
      </c>
      <c r="T1220" t="s">
        <v>27</v>
      </c>
      <c r="U1220" t="str" cm="1">
        <f t="array" ref="U1220">IFERROR(_xlfn.IFS(Table1[[#This Row],[Payment Status]]="Partial","In Transit",Table1[[#This Row],[Payment Status]]="Paid","Completed",Table1[[#This Row],[Payment Status]]="Pending","Pending"),"Invalid Input")</f>
        <v>In Transit</v>
      </c>
    </row>
    <row r="1221" spans="1:21" x14ac:dyDescent="0.25">
      <c r="A1221" s="4" t="s">
        <v>2153</v>
      </c>
      <c r="B1221" s="5">
        <v>45709</v>
      </c>
      <c r="C1221" t="s">
        <v>73</v>
      </c>
      <c r="D1221" t="s">
        <v>37</v>
      </c>
      <c r="E1221" t="s">
        <v>30</v>
      </c>
      <c r="F1221" t="s">
        <v>3222</v>
      </c>
      <c r="G1221" t="s">
        <v>31</v>
      </c>
      <c r="H1221" t="str">
        <f>VLOOKUP(Table1[[#This Row],[City]],Table6[#All],2,FALSE)</f>
        <v>South</v>
      </c>
      <c r="I1221" t="s">
        <v>53</v>
      </c>
      <c r="J1221" t="str">
        <f>_xlfn.XLOOKUP(Table1[[#This Row],[Tractor Model]],Table7[Product Model],Table7[Product Category],"Not Available",0)</f>
        <v>Farmtrac</v>
      </c>
      <c r="K1221" s="4">
        <v>8</v>
      </c>
      <c r="L1221" s="72">
        <v>664746</v>
      </c>
      <c r="M1221" s="4">
        <f>INDEX('Master Sheet'!$C$4:$C$12,MATCH(Table1[[#This Row],[Quantity]],'Master Sheet'!$B$4:$B$12,0))</f>
        <v>9</v>
      </c>
      <c r="N1221" s="71">
        <f>Table1[[#This Row],[Quantity]]*Table1[[#This Row],[Unit Price]]</f>
        <v>5317968</v>
      </c>
      <c r="O1221" s="73">
        <v>0.53179679999999996</v>
      </c>
      <c r="P1221" s="70">
        <f>Table1[[#This Row],[Gross Amount]]*(1-(Table1[[#This Row],[Discount %]]/100))</f>
        <v>4839350.88</v>
      </c>
      <c r="Q1221" s="74">
        <f>(Table1[[#This Row],[Gross Amount]]*(1-(Table1[[#This Row],[Discount %]]/100)))/10000000</f>
        <v>0.48393508800000001</v>
      </c>
      <c r="R1221" t="s">
        <v>42</v>
      </c>
      <c r="S1221" t="str" cm="1">
        <f t="array" ref="S1221">IFERROR(_xlfn.IFS(Table1[[#This Row],[Payment Status]]="Partial","In Transit",Table1[[#This Row],[Payment Status]]="Paid","Delivered",Table1[[#This Row],[Payment Status]]="Pending","Pending"),"Invalid Input")</f>
        <v>Pending</v>
      </c>
      <c r="T1221" t="s">
        <v>27</v>
      </c>
      <c r="U1221" t="str" cm="1">
        <f t="array" ref="U1221">IFERROR(_xlfn.IFS(Table1[[#This Row],[Payment Status]]="Partial","In Transit",Table1[[#This Row],[Payment Status]]="Paid","Completed",Table1[[#This Row],[Payment Status]]="Pending","Pending"),"Invalid Input")</f>
        <v>Pending</v>
      </c>
    </row>
    <row r="1222" spans="1:21" x14ac:dyDescent="0.25">
      <c r="A1222" s="4" t="s">
        <v>2154</v>
      </c>
      <c r="B1222" s="5">
        <v>45374</v>
      </c>
      <c r="C1222" t="s">
        <v>62</v>
      </c>
      <c r="D1222" t="s">
        <v>3271</v>
      </c>
      <c r="E1222" t="s">
        <v>119</v>
      </c>
      <c r="F1222" t="s">
        <v>3228</v>
      </c>
      <c r="G1222" t="s">
        <v>21</v>
      </c>
      <c r="H1222" t="str">
        <f>VLOOKUP(Table1[[#This Row],[City]],Table6[#All],2,FALSE)</f>
        <v>North</v>
      </c>
      <c r="I1222" t="s">
        <v>3203</v>
      </c>
      <c r="J1222" t="str">
        <f>_xlfn.XLOOKUP(Table1[[#This Row],[Tractor Model]],Table7[Product Model],Table7[Product Category],"Not Available",0)</f>
        <v>Kubota</v>
      </c>
      <c r="K1222" s="4">
        <v>3</v>
      </c>
      <c r="L1222" s="72">
        <v>106724</v>
      </c>
      <c r="M1222" s="4">
        <f>INDEX('Master Sheet'!$C$4:$C$12,MATCH(Table1[[#This Row],[Quantity]],'Master Sheet'!$B$4:$B$12,0))</f>
        <v>6</v>
      </c>
      <c r="N1222" s="71">
        <f>Table1[[#This Row],[Quantity]]*Table1[[#This Row],[Unit Price]]</f>
        <v>320172</v>
      </c>
      <c r="O1222" s="73">
        <v>3.2017200000000003E-2</v>
      </c>
      <c r="P1222" s="70">
        <f>Table1[[#This Row],[Gross Amount]]*(1-(Table1[[#This Row],[Discount %]]/100))</f>
        <v>300961.68</v>
      </c>
      <c r="Q1222" s="74">
        <f>(Table1[[#This Row],[Gross Amount]]*(1-(Table1[[#This Row],[Discount %]]/100)))/10000000</f>
        <v>3.0096168E-2</v>
      </c>
      <c r="R1222" t="s">
        <v>42</v>
      </c>
      <c r="S1222" t="str" cm="1">
        <f t="array" ref="S1222">IFERROR(_xlfn.IFS(Table1[[#This Row],[Payment Status]]="Partial","In Transit",Table1[[#This Row],[Payment Status]]="Paid","Delivered",Table1[[#This Row],[Payment Status]]="Pending","Pending"),"Invalid Input")</f>
        <v>Pending</v>
      </c>
      <c r="T1222" t="s">
        <v>44</v>
      </c>
      <c r="U1222" t="str" cm="1">
        <f t="array" ref="U1222">IFERROR(_xlfn.IFS(Table1[[#This Row],[Payment Status]]="Partial","In Transit",Table1[[#This Row],[Payment Status]]="Paid","Completed",Table1[[#This Row],[Payment Status]]="Pending","Pending"),"Invalid Input")</f>
        <v>Pending</v>
      </c>
    </row>
    <row r="1223" spans="1:21" x14ac:dyDescent="0.25">
      <c r="A1223" s="4" t="s">
        <v>2155</v>
      </c>
      <c r="B1223" s="5">
        <v>45731</v>
      </c>
      <c r="C1223" t="s">
        <v>41</v>
      </c>
      <c r="D1223" t="s">
        <v>3271</v>
      </c>
      <c r="E1223" t="s">
        <v>119</v>
      </c>
      <c r="F1223" t="s">
        <v>3228</v>
      </c>
      <c r="G1223" t="s">
        <v>21</v>
      </c>
      <c r="H1223" t="str">
        <f>VLOOKUP(Table1[[#This Row],[City]],Table6[#All],2,FALSE)</f>
        <v>North</v>
      </c>
      <c r="I1223" t="s">
        <v>24</v>
      </c>
      <c r="J1223" t="str">
        <f>_xlfn.XLOOKUP(Table1[[#This Row],[Tractor Model]],Table7[Product Model],Table7[Product Category],"Not Available",0)</f>
        <v>Farmtrac</v>
      </c>
      <c r="K1223" s="4">
        <v>6</v>
      </c>
      <c r="L1223" s="72">
        <v>394279</v>
      </c>
      <c r="M1223" s="4">
        <f>INDEX('Master Sheet'!$C$4:$C$12,MATCH(Table1[[#This Row],[Quantity]],'Master Sheet'!$B$4:$B$12,0))</f>
        <v>8</v>
      </c>
      <c r="N1223" s="71">
        <f>Table1[[#This Row],[Quantity]]*Table1[[#This Row],[Unit Price]]</f>
        <v>2365674</v>
      </c>
      <c r="O1223" s="73">
        <v>0.23656740000000001</v>
      </c>
      <c r="P1223" s="70">
        <f>Table1[[#This Row],[Gross Amount]]*(1-(Table1[[#This Row],[Discount %]]/100))</f>
        <v>2176420.08</v>
      </c>
      <c r="Q1223" s="74">
        <f>(Table1[[#This Row],[Gross Amount]]*(1-(Table1[[#This Row],[Discount %]]/100)))/10000000</f>
        <v>0.217642008</v>
      </c>
      <c r="R1223" t="s">
        <v>54</v>
      </c>
      <c r="S1223" t="str" cm="1">
        <f t="array" ref="S1223">IFERROR(_xlfn.IFS(Table1[[#This Row],[Payment Status]]="Partial","In Transit",Table1[[#This Row],[Payment Status]]="Paid","Delivered",Table1[[#This Row],[Payment Status]]="Pending","Pending"),"Invalid Input")</f>
        <v>Delivered</v>
      </c>
      <c r="T1223" t="s">
        <v>27</v>
      </c>
      <c r="U1223" t="str" cm="1">
        <f t="array" ref="U1223">IFERROR(_xlfn.IFS(Table1[[#This Row],[Payment Status]]="Partial","In Transit",Table1[[#This Row],[Payment Status]]="Paid","Completed",Table1[[#This Row],[Payment Status]]="Pending","Pending"),"Invalid Input")</f>
        <v>Completed</v>
      </c>
    </row>
    <row r="1224" spans="1:21" x14ac:dyDescent="0.25">
      <c r="A1224" s="4" t="s">
        <v>2156</v>
      </c>
      <c r="B1224" s="5">
        <v>45626</v>
      </c>
      <c r="C1224" t="s">
        <v>33</v>
      </c>
      <c r="D1224" t="s">
        <v>3268</v>
      </c>
      <c r="E1224" t="s">
        <v>38</v>
      </c>
      <c r="F1224" t="s">
        <v>3219</v>
      </c>
      <c r="G1224" t="s">
        <v>39</v>
      </c>
      <c r="H1224" t="str">
        <f>VLOOKUP(Table1[[#This Row],[City]],Table6[#All],2,FALSE)</f>
        <v>West</v>
      </c>
      <c r="I1224" t="s">
        <v>53</v>
      </c>
      <c r="J1224" t="str">
        <f>_xlfn.XLOOKUP(Table1[[#This Row],[Tractor Model]],Table7[Product Model],Table7[Product Category],"Not Available",0)</f>
        <v>Farmtrac</v>
      </c>
      <c r="K1224" s="4">
        <v>6</v>
      </c>
      <c r="L1224" s="72">
        <v>381190</v>
      </c>
      <c r="M1224" s="4">
        <f>INDEX('Master Sheet'!$C$4:$C$12,MATCH(Table1[[#This Row],[Quantity]],'Master Sheet'!$B$4:$B$12,0))</f>
        <v>8</v>
      </c>
      <c r="N1224" s="71">
        <f>Table1[[#This Row],[Quantity]]*Table1[[#This Row],[Unit Price]]</f>
        <v>2287140</v>
      </c>
      <c r="O1224" s="73">
        <v>0.228714</v>
      </c>
      <c r="P1224" s="70">
        <f>Table1[[#This Row],[Gross Amount]]*(1-(Table1[[#This Row],[Discount %]]/100))</f>
        <v>2104168.8000000003</v>
      </c>
      <c r="Q1224" s="74">
        <f>(Table1[[#This Row],[Gross Amount]]*(1-(Table1[[#This Row],[Discount %]]/100)))/10000000</f>
        <v>0.21041688000000003</v>
      </c>
      <c r="R1224" t="s">
        <v>25</v>
      </c>
      <c r="S1224" t="str" cm="1">
        <f t="array" ref="S1224">IFERROR(_xlfn.IFS(Table1[[#This Row],[Payment Status]]="Partial","In Transit",Table1[[#This Row],[Payment Status]]="Paid","Delivered",Table1[[#This Row],[Payment Status]]="Pending","Pending"),"Invalid Input")</f>
        <v>In Transit</v>
      </c>
      <c r="T1224" t="s">
        <v>27</v>
      </c>
      <c r="U1224" t="str" cm="1">
        <f t="array" ref="U1224">IFERROR(_xlfn.IFS(Table1[[#This Row],[Payment Status]]="Partial","In Transit",Table1[[#This Row],[Payment Status]]="Paid","Completed",Table1[[#This Row],[Payment Status]]="Pending","Pending"),"Invalid Input")</f>
        <v>In Transit</v>
      </c>
    </row>
    <row r="1225" spans="1:21" x14ac:dyDescent="0.25">
      <c r="A1225" s="4" t="s">
        <v>2158</v>
      </c>
      <c r="B1225" s="5">
        <v>45430</v>
      </c>
      <c r="C1225" t="s">
        <v>73</v>
      </c>
      <c r="D1225" t="s">
        <v>3268</v>
      </c>
      <c r="E1225" t="s">
        <v>30</v>
      </c>
      <c r="F1225" t="s">
        <v>3208</v>
      </c>
      <c r="G1225" t="s">
        <v>31</v>
      </c>
      <c r="H1225" t="str">
        <f>VLOOKUP(Table1[[#This Row],[City]],Table6[#All],2,FALSE)</f>
        <v>South</v>
      </c>
      <c r="I1225" t="s">
        <v>3204</v>
      </c>
      <c r="J1225" t="str">
        <f>_xlfn.XLOOKUP(Table1[[#This Row],[Tractor Model]],Table7[Product Model],Table7[Product Category],"Not Available",0)</f>
        <v>Kubota</v>
      </c>
      <c r="K1225" s="4">
        <v>8</v>
      </c>
      <c r="L1225" s="72">
        <v>336650</v>
      </c>
      <c r="M1225" s="4">
        <f>INDEX('Master Sheet'!$C$4:$C$12,MATCH(Table1[[#This Row],[Quantity]],'Master Sheet'!$B$4:$B$12,0))</f>
        <v>9</v>
      </c>
      <c r="N1225" s="71">
        <f>Table1[[#This Row],[Quantity]]*Table1[[#This Row],[Unit Price]]</f>
        <v>2693200</v>
      </c>
      <c r="O1225" s="73">
        <v>0.26932</v>
      </c>
      <c r="P1225" s="70">
        <f>Table1[[#This Row],[Gross Amount]]*(1-(Table1[[#This Row],[Discount %]]/100))</f>
        <v>2450812</v>
      </c>
      <c r="Q1225" s="74">
        <f>(Table1[[#This Row],[Gross Amount]]*(1-(Table1[[#This Row],[Discount %]]/100)))/10000000</f>
        <v>0.2450812</v>
      </c>
      <c r="R1225" t="s">
        <v>42</v>
      </c>
      <c r="S1225" t="str" cm="1">
        <f t="array" ref="S1225">IFERROR(_xlfn.IFS(Table1[[#This Row],[Payment Status]]="Partial","In Transit",Table1[[#This Row],[Payment Status]]="Paid","Delivered",Table1[[#This Row],[Payment Status]]="Pending","Pending"),"Invalid Input")</f>
        <v>Pending</v>
      </c>
      <c r="T1225" t="s">
        <v>27</v>
      </c>
      <c r="U1225" t="str" cm="1">
        <f t="array" ref="U1225">IFERROR(_xlfn.IFS(Table1[[#This Row],[Payment Status]]="Partial","In Transit",Table1[[#This Row],[Payment Status]]="Paid","Completed",Table1[[#This Row],[Payment Status]]="Pending","Pending"),"Invalid Input")</f>
        <v>Pending</v>
      </c>
    </row>
    <row r="1226" spans="1:21" x14ac:dyDescent="0.25">
      <c r="A1226" s="4" t="s">
        <v>2159</v>
      </c>
      <c r="B1226" s="5">
        <v>45361</v>
      </c>
      <c r="C1226" t="s">
        <v>41</v>
      </c>
      <c r="D1226" t="s">
        <v>3271</v>
      </c>
      <c r="E1226" t="s">
        <v>47</v>
      </c>
      <c r="F1226" t="s">
        <v>3221</v>
      </c>
      <c r="G1226" t="s">
        <v>48</v>
      </c>
      <c r="H1226" t="str">
        <f>VLOOKUP(Table1[[#This Row],[City]],Table6[#All],2,FALSE)</f>
        <v>North</v>
      </c>
      <c r="I1226" t="s">
        <v>24</v>
      </c>
      <c r="J1226" t="str">
        <f>_xlfn.XLOOKUP(Table1[[#This Row],[Tractor Model]],Table7[Product Model],Table7[Product Category],"Not Available",0)</f>
        <v>Farmtrac</v>
      </c>
      <c r="K1226" s="4">
        <v>6</v>
      </c>
      <c r="L1226" s="72">
        <v>558841</v>
      </c>
      <c r="M1226" s="4">
        <f>INDEX('Master Sheet'!$C$4:$C$12,MATCH(Table1[[#This Row],[Quantity]],'Master Sheet'!$B$4:$B$12,0))</f>
        <v>8</v>
      </c>
      <c r="N1226" s="71">
        <f>Table1[[#This Row],[Quantity]]*Table1[[#This Row],[Unit Price]]</f>
        <v>3353046</v>
      </c>
      <c r="O1226" s="73">
        <v>0.33530460000000001</v>
      </c>
      <c r="P1226" s="70">
        <f>Table1[[#This Row],[Gross Amount]]*(1-(Table1[[#This Row],[Discount %]]/100))</f>
        <v>3084802.3200000003</v>
      </c>
      <c r="Q1226" s="74">
        <f>(Table1[[#This Row],[Gross Amount]]*(1-(Table1[[#This Row],[Discount %]]/100)))/10000000</f>
        <v>0.30848023200000002</v>
      </c>
      <c r="R1226" t="s">
        <v>25</v>
      </c>
      <c r="S1226" t="str" cm="1">
        <f t="array" ref="S1226">IFERROR(_xlfn.IFS(Table1[[#This Row],[Payment Status]]="Partial","In Transit",Table1[[#This Row],[Payment Status]]="Paid","Delivered",Table1[[#This Row],[Payment Status]]="Pending","Pending"),"Invalid Input")</f>
        <v>In Transit</v>
      </c>
      <c r="T1226" t="s">
        <v>27</v>
      </c>
      <c r="U1226" t="str" cm="1">
        <f t="array" ref="U1226">IFERROR(_xlfn.IFS(Table1[[#This Row],[Payment Status]]="Partial","In Transit",Table1[[#This Row],[Payment Status]]="Paid","Completed",Table1[[#This Row],[Payment Status]]="Pending","Pending"),"Invalid Input")</f>
        <v>In Transit</v>
      </c>
    </row>
    <row r="1227" spans="1:21" x14ac:dyDescent="0.25">
      <c r="A1227" s="4" t="s">
        <v>2160</v>
      </c>
      <c r="B1227" s="5">
        <v>45524</v>
      </c>
      <c r="C1227" t="s">
        <v>52</v>
      </c>
      <c r="D1227" t="s">
        <v>3269</v>
      </c>
      <c r="E1227" t="s">
        <v>38</v>
      </c>
      <c r="F1227" t="s">
        <v>3206</v>
      </c>
      <c r="G1227" t="s">
        <v>39</v>
      </c>
      <c r="H1227" t="str">
        <f>VLOOKUP(Table1[[#This Row],[City]],Table6[#All],2,FALSE)</f>
        <v>West</v>
      </c>
      <c r="I1227" t="s">
        <v>58</v>
      </c>
      <c r="J1227" t="str">
        <f>_xlfn.XLOOKUP(Table1[[#This Row],[Tractor Model]],Table7[Product Model],Table7[Product Category],"Not Available",0)</f>
        <v>Powertrac</v>
      </c>
      <c r="K1227" s="4">
        <v>2</v>
      </c>
      <c r="L1227" s="72">
        <v>134114</v>
      </c>
      <c r="M1227" s="4">
        <f>INDEX('Master Sheet'!$C$4:$C$12,MATCH(Table1[[#This Row],[Quantity]],'Master Sheet'!$B$4:$B$12,0))</f>
        <v>5</v>
      </c>
      <c r="N1227" s="71">
        <f>Table1[[#This Row],[Quantity]]*Table1[[#This Row],[Unit Price]]</f>
        <v>268228</v>
      </c>
      <c r="O1227" s="73">
        <v>2.6822800000000001E-2</v>
      </c>
      <c r="P1227" s="70">
        <f>Table1[[#This Row],[Gross Amount]]*(1-(Table1[[#This Row],[Discount %]]/100))</f>
        <v>254816.59999999998</v>
      </c>
      <c r="Q1227" s="74">
        <f>(Table1[[#This Row],[Gross Amount]]*(1-(Table1[[#This Row],[Discount %]]/100)))/10000000</f>
        <v>2.5481659999999996E-2</v>
      </c>
      <c r="R1227" t="s">
        <v>42</v>
      </c>
      <c r="S1227" t="str" cm="1">
        <f t="array" ref="S1227">IFERROR(_xlfn.IFS(Table1[[#This Row],[Payment Status]]="Partial","In Transit",Table1[[#This Row],[Payment Status]]="Paid","Delivered",Table1[[#This Row],[Payment Status]]="Pending","Pending"),"Invalid Input")</f>
        <v>Pending</v>
      </c>
      <c r="T1227" t="s">
        <v>27</v>
      </c>
      <c r="U1227" t="str" cm="1">
        <f t="array" ref="U1227">IFERROR(_xlfn.IFS(Table1[[#This Row],[Payment Status]]="Partial","In Transit",Table1[[#This Row],[Payment Status]]="Paid","Completed",Table1[[#This Row],[Payment Status]]="Pending","Pending"),"Invalid Input")</f>
        <v>Pending</v>
      </c>
    </row>
    <row r="1228" spans="1:21" x14ac:dyDescent="0.25">
      <c r="A1228" s="4" t="s">
        <v>2161</v>
      </c>
      <c r="B1228" s="5">
        <v>45352</v>
      </c>
      <c r="C1228" t="s">
        <v>62</v>
      </c>
      <c r="D1228" t="s">
        <v>3268</v>
      </c>
      <c r="E1228" t="s">
        <v>30</v>
      </c>
      <c r="F1228" t="s">
        <v>3208</v>
      </c>
      <c r="G1228" t="s">
        <v>31</v>
      </c>
      <c r="H1228" t="str">
        <f>VLOOKUP(Table1[[#This Row],[City]],Table6[#All],2,FALSE)</f>
        <v>South</v>
      </c>
      <c r="I1228" t="s">
        <v>53</v>
      </c>
      <c r="J1228" t="str">
        <f>_xlfn.XLOOKUP(Table1[[#This Row],[Tractor Model]],Table7[Product Model],Table7[Product Category],"Not Available",0)</f>
        <v>Farmtrac</v>
      </c>
      <c r="K1228" s="4">
        <v>7</v>
      </c>
      <c r="L1228" s="72">
        <v>415679</v>
      </c>
      <c r="M1228" s="4">
        <f>INDEX('Master Sheet'!$C$4:$C$12,MATCH(Table1[[#This Row],[Quantity]],'Master Sheet'!$B$4:$B$12,0))</f>
        <v>9</v>
      </c>
      <c r="N1228" s="71">
        <f>Table1[[#This Row],[Quantity]]*Table1[[#This Row],[Unit Price]]</f>
        <v>2909753</v>
      </c>
      <c r="O1228" s="73">
        <v>0.29097529999999999</v>
      </c>
      <c r="P1228" s="70">
        <f>Table1[[#This Row],[Gross Amount]]*(1-(Table1[[#This Row],[Discount %]]/100))</f>
        <v>2647875.23</v>
      </c>
      <c r="Q1228" s="74">
        <f>(Table1[[#This Row],[Gross Amount]]*(1-(Table1[[#This Row],[Discount %]]/100)))/10000000</f>
        <v>0.26478752300000002</v>
      </c>
      <c r="R1228" t="s">
        <v>25</v>
      </c>
      <c r="S1228" t="str" cm="1">
        <f t="array" ref="S1228">IFERROR(_xlfn.IFS(Table1[[#This Row],[Payment Status]]="Partial","In Transit",Table1[[#This Row],[Payment Status]]="Paid","Delivered",Table1[[#This Row],[Payment Status]]="Pending","Pending"),"Invalid Input")</f>
        <v>In Transit</v>
      </c>
      <c r="T1228" t="s">
        <v>27</v>
      </c>
      <c r="U1228" t="str" cm="1">
        <f t="array" ref="U1228">IFERROR(_xlfn.IFS(Table1[[#This Row],[Payment Status]]="Partial","In Transit",Table1[[#This Row],[Payment Status]]="Paid","Completed",Table1[[#This Row],[Payment Status]]="Pending","Pending"),"Invalid Input")</f>
        <v>In Transit</v>
      </c>
    </row>
    <row r="1229" spans="1:21" x14ac:dyDescent="0.25">
      <c r="A1229" s="4" t="s">
        <v>2162</v>
      </c>
      <c r="B1229" s="5">
        <v>45316</v>
      </c>
      <c r="C1229" t="s">
        <v>52</v>
      </c>
      <c r="D1229" t="s">
        <v>3270</v>
      </c>
      <c r="E1229" t="s">
        <v>66</v>
      </c>
      <c r="F1229" t="s">
        <v>3220</v>
      </c>
      <c r="G1229" t="s">
        <v>67</v>
      </c>
      <c r="H1229" t="str">
        <f>VLOOKUP(Table1[[#This Row],[City]],Table6[#All],2,FALSE)</f>
        <v>East</v>
      </c>
      <c r="I1229" t="s">
        <v>58</v>
      </c>
      <c r="J1229" t="str">
        <f>_xlfn.XLOOKUP(Table1[[#This Row],[Tractor Model]],Table7[Product Model],Table7[Product Category],"Not Available",0)</f>
        <v>Powertrac</v>
      </c>
      <c r="K1229" s="4">
        <v>0</v>
      </c>
      <c r="L1229" s="72">
        <v>92936</v>
      </c>
      <c r="M1229" s="4">
        <f>INDEX('Master Sheet'!$C$4:$C$12,MATCH(Table1[[#This Row],[Quantity]],'Master Sheet'!$B$4:$B$12,0))</f>
        <v>0</v>
      </c>
      <c r="N1229" s="71">
        <f>Table1[[#This Row],[Quantity]]*Table1[[#This Row],[Unit Price]]</f>
        <v>0</v>
      </c>
      <c r="O1229" s="73">
        <v>0</v>
      </c>
      <c r="P1229" s="70">
        <f>Table1[[#This Row],[Gross Amount]]*(1-(Table1[[#This Row],[Discount %]]/100))</f>
        <v>0</v>
      </c>
      <c r="Q1229" s="74">
        <f>(Table1[[#This Row],[Gross Amount]]*(1-(Table1[[#This Row],[Discount %]]/100)))/10000000</f>
        <v>0</v>
      </c>
      <c r="R1229" t="s">
        <v>25</v>
      </c>
      <c r="S1229" t="str" cm="1">
        <f t="array" ref="S1229">IFERROR(_xlfn.IFS(Table1[[#This Row],[Payment Status]]="Partial","In Transit",Table1[[#This Row],[Payment Status]]="Paid","Delivered",Table1[[#This Row],[Payment Status]]="Pending","Pending"),"Invalid Input")</f>
        <v>In Transit</v>
      </c>
      <c r="T1229" t="s">
        <v>27</v>
      </c>
      <c r="U1229" t="str" cm="1">
        <f t="array" ref="U1229">IFERROR(_xlfn.IFS(Table1[[#This Row],[Payment Status]]="Partial","In Transit",Table1[[#This Row],[Payment Status]]="Paid","Completed",Table1[[#This Row],[Payment Status]]="Pending","Pending"),"Invalid Input")</f>
        <v>In Transit</v>
      </c>
    </row>
    <row r="1230" spans="1:21" x14ac:dyDescent="0.25">
      <c r="A1230" s="4" t="s">
        <v>2164</v>
      </c>
      <c r="B1230" s="5">
        <v>45655</v>
      </c>
      <c r="C1230" t="s">
        <v>41</v>
      </c>
      <c r="D1230" t="s">
        <v>37</v>
      </c>
      <c r="E1230" t="s">
        <v>38</v>
      </c>
      <c r="F1230" t="s">
        <v>3214</v>
      </c>
      <c r="G1230" t="s">
        <v>39</v>
      </c>
      <c r="H1230" t="str">
        <f>VLOOKUP(Table1[[#This Row],[City]],Table6[#All],2,FALSE)</f>
        <v>West</v>
      </c>
      <c r="I1230" t="s">
        <v>24</v>
      </c>
      <c r="J1230" t="str">
        <f>_xlfn.XLOOKUP(Table1[[#This Row],[Tractor Model]],Table7[Product Model],Table7[Product Category],"Not Available",0)</f>
        <v>Farmtrac</v>
      </c>
      <c r="K1230" s="4">
        <v>8</v>
      </c>
      <c r="L1230" s="72">
        <v>489452</v>
      </c>
      <c r="M1230" s="4">
        <f>INDEX('Master Sheet'!$C$4:$C$12,MATCH(Table1[[#This Row],[Quantity]],'Master Sheet'!$B$4:$B$12,0))</f>
        <v>9</v>
      </c>
      <c r="N1230" s="71">
        <f>Table1[[#This Row],[Quantity]]*Table1[[#This Row],[Unit Price]]</f>
        <v>3915616</v>
      </c>
      <c r="O1230" s="73">
        <v>0.39156160000000001</v>
      </c>
      <c r="P1230" s="70">
        <f>Table1[[#This Row],[Gross Amount]]*(1-(Table1[[#This Row],[Discount %]]/100))</f>
        <v>3563210.56</v>
      </c>
      <c r="Q1230" s="74">
        <f>(Table1[[#This Row],[Gross Amount]]*(1-(Table1[[#This Row],[Discount %]]/100)))/10000000</f>
        <v>0.35632105600000002</v>
      </c>
      <c r="R1230" t="s">
        <v>25</v>
      </c>
      <c r="S1230" t="str" cm="1">
        <f t="array" ref="S1230">IFERROR(_xlfn.IFS(Table1[[#This Row],[Payment Status]]="Partial","In Transit",Table1[[#This Row],[Payment Status]]="Paid","Delivered",Table1[[#This Row],[Payment Status]]="Pending","Pending"),"Invalid Input")</f>
        <v>In Transit</v>
      </c>
      <c r="T1230" t="s">
        <v>44</v>
      </c>
      <c r="U1230" t="str" cm="1">
        <f t="array" ref="U1230">IFERROR(_xlfn.IFS(Table1[[#This Row],[Payment Status]]="Partial","In Transit",Table1[[#This Row],[Payment Status]]="Paid","Completed",Table1[[#This Row],[Payment Status]]="Pending","Pending"),"Invalid Input")</f>
        <v>In Transit</v>
      </c>
    </row>
    <row r="1231" spans="1:21" x14ac:dyDescent="0.25">
      <c r="A1231" s="4" t="s">
        <v>2165</v>
      </c>
      <c r="B1231" s="5">
        <v>45336</v>
      </c>
      <c r="C1231" t="s">
        <v>41</v>
      </c>
      <c r="D1231" t="s">
        <v>3269</v>
      </c>
      <c r="E1231" t="s">
        <v>30</v>
      </c>
      <c r="F1231" t="s">
        <v>3225</v>
      </c>
      <c r="G1231" t="s">
        <v>31</v>
      </c>
      <c r="H1231" t="str">
        <f>VLOOKUP(Table1[[#This Row],[City]],Table6[#All],2,FALSE)</f>
        <v>South</v>
      </c>
      <c r="I1231" t="s">
        <v>3203</v>
      </c>
      <c r="J1231" t="str">
        <f>_xlfn.XLOOKUP(Table1[[#This Row],[Tractor Model]],Table7[Product Model],Table7[Product Category],"Not Available",0)</f>
        <v>Kubota</v>
      </c>
      <c r="K1231" s="4">
        <v>3</v>
      </c>
      <c r="L1231" s="72">
        <v>378639</v>
      </c>
      <c r="M1231" s="4">
        <f>INDEX('Master Sheet'!$C$4:$C$12,MATCH(Table1[[#This Row],[Quantity]],'Master Sheet'!$B$4:$B$12,0))</f>
        <v>6</v>
      </c>
      <c r="N1231" s="71">
        <f>Table1[[#This Row],[Quantity]]*Table1[[#This Row],[Unit Price]]</f>
        <v>1135917</v>
      </c>
      <c r="O1231" s="73">
        <v>0.1135917</v>
      </c>
      <c r="P1231" s="70">
        <f>Table1[[#This Row],[Gross Amount]]*(1-(Table1[[#This Row],[Discount %]]/100))</f>
        <v>1067761.98</v>
      </c>
      <c r="Q1231" s="74">
        <f>(Table1[[#This Row],[Gross Amount]]*(1-(Table1[[#This Row],[Discount %]]/100)))/10000000</f>
        <v>0.106776198</v>
      </c>
      <c r="R1231" t="s">
        <v>25</v>
      </c>
      <c r="S1231" t="str" cm="1">
        <f t="array" ref="S1231">IFERROR(_xlfn.IFS(Table1[[#This Row],[Payment Status]]="Partial","In Transit",Table1[[#This Row],[Payment Status]]="Paid","Delivered",Table1[[#This Row],[Payment Status]]="Pending","Pending"),"Invalid Input")</f>
        <v>In Transit</v>
      </c>
      <c r="T1231" t="s">
        <v>27</v>
      </c>
      <c r="U1231" t="str" cm="1">
        <f t="array" ref="U1231">IFERROR(_xlfn.IFS(Table1[[#This Row],[Payment Status]]="Partial","In Transit",Table1[[#This Row],[Payment Status]]="Paid","Completed",Table1[[#This Row],[Payment Status]]="Pending","Pending"),"Invalid Input")</f>
        <v>In Transit</v>
      </c>
    </row>
    <row r="1232" spans="1:21" x14ac:dyDescent="0.25">
      <c r="A1232" s="4" t="s">
        <v>2167</v>
      </c>
      <c r="B1232" s="5">
        <v>45597</v>
      </c>
      <c r="C1232" t="s">
        <v>62</v>
      </c>
      <c r="D1232" t="s">
        <v>3268</v>
      </c>
      <c r="E1232" t="s">
        <v>30</v>
      </c>
      <c r="F1232" t="s">
        <v>3208</v>
      </c>
      <c r="G1232" t="s">
        <v>31</v>
      </c>
      <c r="H1232" t="str">
        <f>VLOOKUP(Table1[[#This Row],[City]],Table6[#All],2,FALSE)</f>
        <v>South</v>
      </c>
      <c r="I1232" t="s">
        <v>53</v>
      </c>
      <c r="J1232" t="str">
        <f>_xlfn.XLOOKUP(Table1[[#This Row],[Tractor Model]],Table7[Product Model],Table7[Product Category],"Not Available",0)</f>
        <v>Farmtrac</v>
      </c>
      <c r="K1232" s="4">
        <v>2</v>
      </c>
      <c r="L1232" s="72">
        <v>659320</v>
      </c>
      <c r="M1232" s="4">
        <f>INDEX('Master Sheet'!$C$4:$C$12,MATCH(Table1[[#This Row],[Quantity]],'Master Sheet'!$B$4:$B$12,0))</f>
        <v>5</v>
      </c>
      <c r="N1232" s="71">
        <f>Table1[[#This Row],[Quantity]]*Table1[[#This Row],[Unit Price]]</f>
        <v>1318640</v>
      </c>
      <c r="O1232" s="73">
        <v>0.13186400000000001</v>
      </c>
      <c r="P1232" s="70">
        <f>Table1[[#This Row],[Gross Amount]]*(1-(Table1[[#This Row],[Discount %]]/100))</f>
        <v>1252708</v>
      </c>
      <c r="Q1232" s="74">
        <f>(Table1[[#This Row],[Gross Amount]]*(1-(Table1[[#This Row],[Discount %]]/100)))/10000000</f>
        <v>0.12527079999999999</v>
      </c>
      <c r="R1232" t="s">
        <v>25</v>
      </c>
      <c r="S1232" t="str" cm="1">
        <f t="array" ref="S1232">IFERROR(_xlfn.IFS(Table1[[#This Row],[Payment Status]]="Partial","In Transit",Table1[[#This Row],[Payment Status]]="Paid","Delivered",Table1[[#This Row],[Payment Status]]="Pending","Pending"),"Invalid Input")</f>
        <v>In Transit</v>
      </c>
      <c r="T1232" t="s">
        <v>44</v>
      </c>
      <c r="U1232" t="str" cm="1">
        <f t="array" ref="U1232">IFERROR(_xlfn.IFS(Table1[[#This Row],[Payment Status]]="Partial","In Transit",Table1[[#This Row],[Payment Status]]="Paid","Completed",Table1[[#This Row],[Payment Status]]="Pending","Pending"),"Invalid Input")</f>
        <v>In Transit</v>
      </c>
    </row>
    <row r="1233" spans="1:21" x14ac:dyDescent="0.25">
      <c r="A1233" s="4" t="s">
        <v>2168</v>
      </c>
      <c r="B1233" s="5">
        <v>45655</v>
      </c>
      <c r="C1233" t="s">
        <v>52</v>
      </c>
      <c r="D1233" t="s">
        <v>3268</v>
      </c>
      <c r="E1233" t="s">
        <v>47</v>
      </c>
      <c r="F1233" t="s">
        <v>3216</v>
      </c>
      <c r="G1233" t="s">
        <v>48</v>
      </c>
      <c r="H1233" t="str">
        <f>VLOOKUP(Table1[[#This Row],[City]],Table6[#All],2,FALSE)</f>
        <v>North</v>
      </c>
      <c r="I1233" t="s">
        <v>24</v>
      </c>
      <c r="J1233" t="str">
        <f>_xlfn.XLOOKUP(Table1[[#This Row],[Tractor Model]],Table7[Product Model],Table7[Product Category],"Not Available",0)</f>
        <v>Farmtrac</v>
      </c>
      <c r="K1233" s="4">
        <v>4</v>
      </c>
      <c r="L1233" s="72">
        <v>858509</v>
      </c>
      <c r="M1233" s="4">
        <f>INDEX('Master Sheet'!$C$4:$C$12,MATCH(Table1[[#This Row],[Quantity]],'Master Sheet'!$B$4:$B$12,0))</f>
        <v>6</v>
      </c>
      <c r="N1233" s="71">
        <f>Table1[[#This Row],[Quantity]]*Table1[[#This Row],[Unit Price]]</f>
        <v>3434036</v>
      </c>
      <c r="O1233" s="73">
        <v>0.34340359999999998</v>
      </c>
      <c r="P1233" s="70">
        <f>Table1[[#This Row],[Gross Amount]]*(1-(Table1[[#This Row],[Discount %]]/100))</f>
        <v>3227993.84</v>
      </c>
      <c r="Q1233" s="74">
        <f>(Table1[[#This Row],[Gross Amount]]*(1-(Table1[[#This Row],[Discount %]]/100)))/10000000</f>
        <v>0.32279938399999997</v>
      </c>
      <c r="R1233" t="s">
        <v>54</v>
      </c>
      <c r="S1233" t="str" cm="1">
        <f t="array" ref="S1233">IFERROR(_xlfn.IFS(Table1[[#This Row],[Payment Status]]="Partial","In Transit",Table1[[#This Row],[Payment Status]]="Paid","Delivered",Table1[[#This Row],[Payment Status]]="Pending","Pending"),"Invalid Input")</f>
        <v>Delivered</v>
      </c>
      <c r="T1233" t="s">
        <v>44</v>
      </c>
      <c r="U1233" t="str" cm="1">
        <f t="array" ref="U1233">IFERROR(_xlfn.IFS(Table1[[#This Row],[Payment Status]]="Partial","In Transit",Table1[[#This Row],[Payment Status]]="Paid","Completed",Table1[[#This Row],[Payment Status]]="Pending","Pending"),"Invalid Input")</f>
        <v>Completed</v>
      </c>
    </row>
    <row r="1234" spans="1:21" x14ac:dyDescent="0.25">
      <c r="A1234" s="4" t="s">
        <v>2169</v>
      </c>
      <c r="B1234" s="5">
        <v>45545</v>
      </c>
      <c r="C1234" t="s">
        <v>41</v>
      </c>
      <c r="D1234" t="s">
        <v>37</v>
      </c>
      <c r="E1234" t="s">
        <v>66</v>
      </c>
      <c r="F1234" t="s">
        <v>3226</v>
      </c>
      <c r="G1234" t="s">
        <v>67</v>
      </c>
      <c r="H1234" t="str">
        <f>VLOOKUP(Table1[[#This Row],[City]],Table6[#All],2,FALSE)</f>
        <v>East</v>
      </c>
      <c r="I1234" t="s">
        <v>53</v>
      </c>
      <c r="J1234" t="str">
        <f>_xlfn.XLOOKUP(Table1[[#This Row],[Tractor Model]],Table7[Product Model],Table7[Product Category],"Not Available",0)</f>
        <v>Farmtrac</v>
      </c>
      <c r="K1234" s="4">
        <v>8</v>
      </c>
      <c r="L1234" s="72">
        <v>646303</v>
      </c>
      <c r="M1234" s="4">
        <f>INDEX('Master Sheet'!$C$4:$C$12,MATCH(Table1[[#This Row],[Quantity]],'Master Sheet'!$B$4:$B$12,0))</f>
        <v>9</v>
      </c>
      <c r="N1234" s="71">
        <f>Table1[[#This Row],[Quantity]]*Table1[[#This Row],[Unit Price]]</f>
        <v>5170424</v>
      </c>
      <c r="O1234" s="73">
        <v>0.51704240000000001</v>
      </c>
      <c r="P1234" s="70">
        <f>Table1[[#This Row],[Gross Amount]]*(1-(Table1[[#This Row],[Discount %]]/100))</f>
        <v>4705085.84</v>
      </c>
      <c r="Q1234" s="74">
        <f>(Table1[[#This Row],[Gross Amount]]*(1-(Table1[[#This Row],[Discount %]]/100)))/10000000</f>
        <v>0.47050858400000001</v>
      </c>
      <c r="R1234" t="s">
        <v>25</v>
      </c>
      <c r="S1234" t="str" cm="1">
        <f t="array" ref="S1234">IFERROR(_xlfn.IFS(Table1[[#This Row],[Payment Status]]="Partial","In Transit",Table1[[#This Row],[Payment Status]]="Paid","Delivered",Table1[[#This Row],[Payment Status]]="Pending","Pending"),"Invalid Input")</f>
        <v>In Transit</v>
      </c>
      <c r="T1234" t="s">
        <v>44</v>
      </c>
      <c r="U1234" t="str" cm="1">
        <f t="array" ref="U1234">IFERROR(_xlfn.IFS(Table1[[#This Row],[Payment Status]]="Partial","In Transit",Table1[[#This Row],[Payment Status]]="Paid","Completed",Table1[[#This Row],[Payment Status]]="Pending","Pending"),"Invalid Input")</f>
        <v>In Transit</v>
      </c>
    </row>
    <row r="1235" spans="1:21" x14ac:dyDescent="0.25">
      <c r="A1235" s="4" t="s">
        <v>2170</v>
      </c>
      <c r="B1235" s="5">
        <v>45614</v>
      </c>
      <c r="C1235" t="s">
        <v>41</v>
      </c>
      <c r="D1235" t="s">
        <v>3271</v>
      </c>
      <c r="E1235" t="s">
        <v>66</v>
      </c>
      <c r="F1235" t="s">
        <v>3207</v>
      </c>
      <c r="G1235" t="s">
        <v>67</v>
      </c>
      <c r="H1235" t="str">
        <f>VLOOKUP(Table1[[#This Row],[City]],Table6[#All],2,FALSE)</f>
        <v>East</v>
      </c>
      <c r="I1235" t="s">
        <v>3204</v>
      </c>
      <c r="J1235" t="str">
        <f>_xlfn.XLOOKUP(Table1[[#This Row],[Tractor Model]],Table7[Product Model],Table7[Product Category],"Not Available",0)</f>
        <v>Kubota</v>
      </c>
      <c r="K1235" s="4">
        <v>3</v>
      </c>
      <c r="L1235" s="72">
        <v>309508</v>
      </c>
      <c r="M1235" s="4">
        <f>INDEX('Master Sheet'!$C$4:$C$12,MATCH(Table1[[#This Row],[Quantity]],'Master Sheet'!$B$4:$B$12,0))</f>
        <v>6</v>
      </c>
      <c r="N1235" s="71">
        <f>Table1[[#This Row],[Quantity]]*Table1[[#This Row],[Unit Price]]</f>
        <v>928524</v>
      </c>
      <c r="O1235" s="73">
        <v>9.2852400000000002E-2</v>
      </c>
      <c r="P1235" s="70">
        <f>Table1[[#This Row],[Gross Amount]]*(1-(Table1[[#This Row],[Discount %]]/100))</f>
        <v>872812.55999999994</v>
      </c>
      <c r="Q1235" s="74">
        <f>(Table1[[#This Row],[Gross Amount]]*(1-(Table1[[#This Row],[Discount %]]/100)))/10000000</f>
        <v>8.7281255999999988E-2</v>
      </c>
      <c r="R1235" t="s">
        <v>42</v>
      </c>
      <c r="S1235" t="str" cm="1">
        <f t="array" ref="S1235">IFERROR(_xlfn.IFS(Table1[[#This Row],[Payment Status]]="Partial","In Transit",Table1[[#This Row],[Payment Status]]="Paid","Delivered",Table1[[#This Row],[Payment Status]]="Pending","Pending"),"Invalid Input")</f>
        <v>Pending</v>
      </c>
      <c r="T1235" t="s">
        <v>27</v>
      </c>
      <c r="U1235" t="str" cm="1">
        <f t="array" ref="U1235">IFERROR(_xlfn.IFS(Table1[[#This Row],[Payment Status]]="Partial","In Transit",Table1[[#This Row],[Payment Status]]="Paid","Completed",Table1[[#This Row],[Payment Status]]="Pending","Pending"),"Invalid Input")</f>
        <v>Pending</v>
      </c>
    </row>
    <row r="1236" spans="1:21" x14ac:dyDescent="0.25">
      <c r="A1236" s="4" t="s">
        <v>2172</v>
      </c>
      <c r="B1236" s="5">
        <v>45805</v>
      </c>
      <c r="C1236" t="s">
        <v>62</v>
      </c>
      <c r="D1236" t="s">
        <v>37</v>
      </c>
      <c r="E1236" t="s">
        <v>66</v>
      </c>
      <c r="F1236" t="s">
        <v>3226</v>
      </c>
      <c r="G1236" t="s">
        <v>67</v>
      </c>
      <c r="H1236" t="str">
        <f>VLOOKUP(Table1[[#This Row],[City]],Table6[#All],2,FALSE)</f>
        <v>East</v>
      </c>
      <c r="I1236" t="s">
        <v>3204</v>
      </c>
      <c r="J1236" t="str">
        <f>_xlfn.XLOOKUP(Table1[[#This Row],[Tractor Model]],Table7[Product Model],Table7[Product Category],"Not Available",0)</f>
        <v>Kubota</v>
      </c>
      <c r="K1236" s="4">
        <v>1</v>
      </c>
      <c r="L1236" s="72">
        <v>200962</v>
      </c>
      <c r="M1236" s="4">
        <f>INDEX('Master Sheet'!$C$4:$C$12,MATCH(Table1[[#This Row],[Quantity]],'Master Sheet'!$B$4:$B$12,0))</f>
        <v>3</v>
      </c>
      <c r="N1236" s="71">
        <f>Table1[[#This Row],[Quantity]]*Table1[[#This Row],[Unit Price]]</f>
        <v>200962</v>
      </c>
      <c r="O1236" s="73">
        <v>2.0096200000000002E-2</v>
      </c>
      <c r="P1236" s="70">
        <f>Table1[[#This Row],[Gross Amount]]*(1-(Table1[[#This Row],[Discount %]]/100))</f>
        <v>194933.13999999998</v>
      </c>
      <c r="Q1236" s="74">
        <f>(Table1[[#This Row],[Gross Amount]]*(1-(Table1[[#This Row],[Discount %]]/100)))/10000000</f>
        <v>1.9493313999999998E-2</v>
      </c>
      <c r="R1236" t="s">
        <v>54</v>
      </c>
      <c r="S1236" t="str" cm="1">
        <f t="array" ref="S1236">IFERROR(_xlfn.IFS(Table1[[#This Row],[Payment Status]]="Partial","In Transit",Table1[[#This Row],[Payment Status]]="Paid","Delivered",Table1[[#This Row],[Payment Status]]="Pending","Pending"),"Invalid Input")</f>
        <v>Delivered</v>
      </c>
      <c r="T1236" t="s">
        <v>27</v>
      </c>
      <c r="U1236" t="str" cm="1">
        <f t="array" ref="U1236">IFERROR(_xlfn.IFS(Table1[[#This Row],[Payment Status]]="Partial","In Transit",Table1[[#This Row],[Payment Status]]="Paid","Completed",Table1[[#This Row],[Payment Status]]="Pending","Pending"),"Invalid Input")</f>
        <v>Completed</v>
      </c>
    </row>
    <row r="1237" spans="1:21" x14ac:dyDescent="0.25">
      <c r="A1237" s="4" t="s">
        <v>2174</v>
      </c>
      <c r="B1237" s="5">
        <v>45793</v>
      </c>
      <c r="C1237" t="s">
        <v>73</v>
      </c>
      <c r="D1237" t="s">
        <v>3268</v>
      </c>
      <c r="E1237" t="s">
        <v>66</v>
      </c>
      <c r="F1237" t="s">
        <v>3211</v>
      </c>
      <c r="G1237" t="s">
        <v>67</v>
      </c>
      <c r="H1237" t="str">
        <f>VLOOKUP(Table1[[#This Row],[City]],Table6[#All],2,FALSE)</f>
        <v>East</v>
      </c>
      <c r="I1237" t="s">
        <v>24</v>
      </c>
      <c r="J1237" t="str">
        <f>_xlfn.XLOOKUP(Table1[[#This Row],[Tractor Model]],Table7[Product Model],Table7[Product Category],"Not Available",0)</f>
        <v>Farmtrac</v>
      </c>
      <c r="K1237" s="4">
        <v>1</v>
      </c>
      <c r="L1237" s="72">
        <v>362697</v>
      </c>
      <c r="M1237" s="4">
        <f>INDEX('Master Sheet'!$C$4:$C$12,MATCH(Table1[[#This Row],[Quantity]],'Master Sheet'!$B$4:$B$12,0))</f>
        <v>3</v>
      </c>
      <c r="N1237" s="71">
        <f>Table1[[#This Row],[Quantity]]*Table1[[#This Row],[Unit Price]]</f>
        <v>362697</v>
      </c>
      <c r="O1237" s="73">
        <v>3.6269700000000002E-2</v>
      </c>
      <c r="P1237" s="70">
        <f>Table1[[#This Row],[Gross Amount]]*(1-(Table1[[#This Row],[Discount %]]/100))</f>
        <v>351816.08999999997</v>
      </c>
      <c r="Q1237" s="74">
        <f>(Table1[[#This Row],[Gross Amount]]*(1-(Table1[[#This Row],[Discount %]]/100)))/10000000</f>
        <v>3.5181608999999996E-2</v>
      </c>
      <c r="R1237" t="s">
        <v>54</v>
      </c>
      <c r="S1237" t="str" cm="1">
        <f t="array" ref="S1237">IFERROR(_xlfn.IFS(Table1[[#This Row],[Payment Status]]="Partial","In Transit",Table1[[#This Row],[Payment Status]]="Paid","Delivered",Table1[[#This Row],[Payment Status]]="Pending","Pending"),"Invalid Input")</f>
        <v>Delivered</v>
      </c>
      <c r="T1237" t="s">
        <v>27</v>
      </c>
      <c r="U1237" t="str" cm="1">
        <f t="array" ref="U1237">IFERROR(_xlfn.IFS(Table1[[#This Row],[Payment Status]]="Partial","In Transit",Table1[[#This Row],[Payment Status]]="Paid","Completed",Table1[[#This Row],[Payment Status]]="Pending","Pending"),"Invalid Input")</f>
        <v>Completed</v>
      </c>
    </row>
    <row r="1238" spans="1:21" x14ac:dyDescent="0.25">
      <c r="A1238" s="4" t="s">
        <v>2176</v>
      </c>
      <c r="B1238" s="5">
        <v>45812</v>
      </c>
      <c r="C1238" t="s">
        <v>41</v>
      </c>
      <c r="D1238" t="s">
        <v>3269</v>
      </c>
      <c r="E1238" t="s">
        <v>47</v>
      </c>
      <c r="F1238" t="s">
        <v>3209</v>
      </c>
      <c r="G1238" t="s">
        <v>48</v>
      </c>
      <c r="H1238" t="str">
        <f>VLOOKUP(Table1[[#This Row],[City]],Table6[#All],2,FALSE)</f>
        <v>North</v>
      </c>
      <c r="I1238" t="s">
        <v>3203</v>
      </c>
      <c r="J1238" t="str">
        <f>_xlfn.XLOOKUP(Table1[[#This Row],[Tractor Model]],Table7[Product Model],Table7[Product Category],"Not Available",0)</f>
        <v>Kubota</v>
      </c>
      <c r="K1238" s="4">
        <v>8</v>
      </c>
      <c r="L1238" s="72">
        <v>553758</v>
      </c>
      <c r="M1238" s="4">
        <f>INDEX('Master Sheet'!$C$4:$C$12,MATCH(Table1[[#This Row],[Quantity]],'Master Sheet'!$B$4:$B$12,0))</f>
        <v>9</v>
      </c>
      <c r="N1238" s="71">
        <f>Table1[[#This Row],[Quantity]]*Table1[[#This Row],[Unit Price]]</f>
        <v>4430064</v>
      </c>
      <c r="O1238" s="73">
        <v>0.44300640000000002</v>
      </c>
      <c r="P1238" s="70">
        <f>Table1[[#This Row],[Gross Amount]]*(1-(Table1[[#This Row],[Discount %]]/100))</f>
        <v>4031358.24</v>
      </c>
      <c r="Q1238" s="74">
        <f>(Table1[[#This Row],[Gross Amount]]*(1-(Table1[[#This Row],[Discount %]]/100)))/10000000</f>
        <v>0.40313582400000003</v>
      </c>
      <c r="R1238" t="s">
        <v>25</v>
      </c>
      <c r="S1238" t="str" cm="1">
        <f t="array" ref="S1238">IFERROR(_xlfn.IFS(Table1[[#This Row],[Payment Status]]="Partial","In Transit",Table1[[#This Row],[Payment Status]]="Paid","Delivered",Table1[[#This Row],[Payment Status]]="Pending","Pending"),"Invalid Input")</f>
        <v>In Transit</v>
      </c>
      <c r="T1238" t="s">
        <v>27</v>
      </c>
      <c r="U1238" t="str" cm="1">
        <f t="array" ref="U1238">IFERROR(_xlfn.IFS(Table1[[#This Row],[Payment Status]]="Partial","In Transit",Table1[[#This Row],[Payment Status]]="Paid","Completed",Table1[[#This Row],[Payment Status]]="Pending","Pending"),"Invalid Input")</f>
        <v>In Transit</v>
      </c>
    </row>
    <row r="1239" spans="1:21" x14ac:dyDescent="0.25">
      <c r="A1239" s="4" t="s">
        <v>2178</v>
      </c>
      <c r="B1239" s="5">
        <v>45483</v>
      </c>
      <c r="C1239" t="s">
        <v>41</v>
      </c>
      <c r="D1239" t="s">
        <v>3268</v>
      </c>
      <c r="E1239" t="s">
        <v>38</v>
      </c>
      <c r="F1239" t="s">
        <v>3219</v>
      </c>
      <c r="G1239" t="s">
        <v>39</v>
      </c>
      <c r="H1239" t="str">
        <f>VLOOKUP(Table1[[#This Row],[City]],Table6[#All],2,FALSE)</f>
        <v>West</v>
      </c>
      <c r="I1239" t="s">
        <v>58</v>
      </c>
      <c r="J1239" t="str">
        <f>_xlfn.XLOOKUP(Table1[[#This Row],[Tractor Model]],Table7[Product Model],Table7[Product Category],"Not Available",0)</f>
        <v>Powertrac</v>
      </c>
      <c r="K1239" s="4">
        <v>7</v>
      </c>
      <c r="L1239" s="72">
        <v>829745</v>
      </c>
      <c r="M1239" s="4">
        <f>INDEX('Master Sheet'!$C$4:$C$12,MATCH(Table1[[#This Row],[Quantity]],'Master Sheet'!$B$4:$B$12,0))</f>
        <v>9</v>
      </c>
      <c r="N1239" s="71">
        <f>Table1[[#This Row],[Quantity]]*Table1[[#This Row],[Unit Price]]</f>
        <v>5808215</v>
      </c>
      <c r="O1239" s="73">
        <v>0.58082149999999999</v>
      </c>
      <c r="P1239" s="70">
        <f>Table1[[#This Row],[Gross Amount]]*(1-(Table1[[#This Row],[Discount %]]/100))</f>
        <v>5285475.6500000004</v>
      </c>
      <c r="Q1239" s="74">
        <f>(Table1[[#This Row],[Gross Amount]]*(1-(Table1[[#This Row],[Discount %]]/100)))/10000000</f>
        <v>0.528547565</v>
      </c>
      <c r="R1239" t="s">
        <v>25</v>
      </c>
      <c r="S1239" t="str" cm="1">
        <f t="array" ref="S1239">IFERROR(_xlfn.IFS(Table1[[#This Row],[Payment Status]]="Partial","In Transit",Table1[[#This Row],[Payment Status]]="Paid","Delivered",Table1[[#This Row],[Payment Status]]="Pending","Pending"),"Invalid Input")</f>
        <v>In Transit</v>
      </c>
      <c r="T1239" t="s">
        <v>27</v>
      </c>
      <c r="U1239" t="str" cm="1">
        <f t="array" ref="U1239">IFERROR(_xlfn.IFS(Table1[[#This Row],[Payment Status]]="Partial","In Transit",Table1[[#This Row],[Payment Status]]="Paid","Completed",Table1[[#This Row],[Payment Status]]="Pending","Pending"),"Invalid Input")</f>
        <v>In Transit</v>
      </c>
    </row>
    <row r="1240" spans="1:21" x14ac:dyDescent="0.25">
      <c r="A1240" s="4" t="s">
        <v>2179</v>
      </c>
      <c r="B1240" s="5">
        <v>45676</v>
      </c>
      <c r="C1240" t="s">
        <v>33</v>
      </c>
      <c r="D1240" t="s">
        <v>3271</v>
      </c>
      <c r="E1240" t="s">
        <v>119</v>
      </c>
      <c r="F1240" t="s">
        <v>3228</v>
      </c>
      <c r="G1240" t="s">
        <v>21</v>
      </c>
      <c r="H1240" t="str">
        <f>VLOOKUP(Table1[[#This Row],[City]],Table6[#All],2,FALSE)</f>
        <v>North</v>
      </c>
      <c r="I1240" t="s">
        <v>53</v>
      </c>
      <c r="J1240" t="str">
        <f>_xlfn.XLOOKUP(Table1[[#This Row],[Tractor Model]],Table7[Product Model],Table7[Product Category],"Not Available",0)</f>
        <v>Farmtrac</v>
      </c>
      <c r="K1240" s="4">
        <v>5</v>
      </c>
      <c r="L1240" s="72">
        <v>210615</v>
      </c>
      <c r="M1240" s="4">
        <f>INDEX('Master Sheet'!$C$4:$C$12,MATCH(Table1[[#This Row],[Quantity]],'Master Sheet'!$B$4:$B$12,0))</f>
        <v>7</v>
      </c>
      <c r="N1240" s="71">
        <f>Table1[[#This Row],[Quantity]]*Table1[[#This Row],[Unit Price]]</f>
        <v>1053075</v>
      </c>
      <c r="O1240" s="73">
        <v>0.1053075</v>
      </c>
      <c r="P1240" s="70">
        <f>Table1[[#This Row],[Gross Amount]]*(1-(Table1[[#This Row],[Discount %]]/100))</f>
        <v>979359.74999999988</v>
      </c>
      <c r="Q1240" s="74">
        <f>(Table1[[#This Row],[Gross Amount]]*(1-(Table1[[#This Row],[Discount %]]/100)))/10000000</f>
        <v>9.7935974999999995E-2</v>
      </c>
      <c r="R1240" t="s">
        <v>42</v>
      </c>
      <c r="S1240" t="str" cm="1">
        <f t="array" ref="S1240">IFERROR(_xlfn.IFS(Table1[[#This Row],[Payment Status]]="Partial","In Transit",Table1[[#This Row],[Payment Status]]="Paid","Delivered",Table1[[#This Row],[Payment Status]]="Pending","Pending"),"Invalid Input")</f>
        <v>Pending</v>
      </c>
      <c r="T1240" t="s">
        <v>27</v>
      </c>
      <c r="U1240" t="str" cm="1">
        <f t="array" ref="U1240">IFERROR(_xlfn.IFS(Table1[[#This Row],[Payment Status]]="Partial","In Transit",Table1[[#This Row],[Payment Status]]="Paid","Completed",Table1[[#This Row],[Payment Status]]="Pending","Pending"),"Invalid Input")</f>
        <v>Pending</v>
      </c>
    </row>
    <row r="1241" spans="1:21" x14ac:dyDescent="0.25">
      <c r="A1241" s="4" t="s">
        <v>2181</v>
      </c>
      <c r="B1241" s="5">
        <v>45476</v>
      </c>
      <c r="C1241" t="s">
        <v>73</v>
      </c>
      <c r="D1241" t="s">
        <v>3269</v>
      </c>
      <c r="E1241" t="s">
        <v>66</v>
      </c>
      <c r="F1241" t="s">
        <v>3213</v>
      </c>
      <c r="G1241" t="s">
        <v>67</v>
      </c>
      <c r="H1241" t="str">
        <f>VLOOKUP(Table1[[#This Row],[City]],Table6[#All],2,FALSE)</f>
        <v>East</v>
      </c>
      <c r="I1241" t="s">
        <v>24</v>
      </c>
      <c r="J1241" t="str">
        <f>_xlfn.XLOOKUP(Table1[[#This Row],[Tractor Model]],Table7[Product Model],Table7[Product Category],"Not Available",0)</f>
        <v>Farmtrac</v>
      </c>
      <c r="K1241" s="4">
        <v>5</v>
      </c>
      <c r="L1241" s="72">
        <v>899247</v>
      </c>
      <c r="M1241" s="4">
        <f>INDEX('Master Sheet'!$C$4:$C$12,MATCH(Table1[[#This Row],[Quantity]],'Master Sheet'!$B$4:$B$12,0))</f>
        <v>7</v>
      </c>
      <c r="N1241" s="71">
        <f>Table1[[#This Row],[Quantity]]*Table1[[#This Row],[Unit Price]]</f>
        <v>4496235</v>
      </c>
      <c r="O1241" s="73">
        <v>0.44962350000000001</v>
      </c>
      <c r="P1241" s="70">
        <f>Table1[[#This Row],[Gross Amount]]*(1-(Table1[[#This Row],[Discount %]]/100))</f>
        <v>4181498.55</v>
      </c>
      <c r="Q1241" s="74">
        <f>(Table1[[#This Row],[Gross Amount]]*(1-(Table1[[#This Row],[Discount %]]/100)))/10000000</f>
        <v>0.41814985499999996</v>
      </c>
      <c r="R1241" t="s">
        <v>42</v>
      </c>
      <c r="S1241" t="str" cm="1">
        <f t="array" ref="S1241">IFERROR(_xlfn.IFS(Table1[[#This Row],[Payment Status]]="Partial","In Transit",Table1[[#This Row],[Payment Status]]="Paid","Delivered",Table1[[#This Row],[Payment Status]]="Pending","Pending"),"Invalid Input")</f>
        <v>Pending</v>
      </c>
      <c r="T1241" t="s">
        <v>44</v>
      </c>
      <c r="U1241" t="str" cm="1">
        <f t="array" ref="U1241">IFERROR(_xlfn.IFS(Table1[[#This Row],[Payment Status]]="Partial","In Transit",Table1[[#This Row],[Payment Status]]="Paid","Completed",Table1[[#This Row],[Payment Status]]="Pending","Pending"),"Invalid Input")</f>
        <v>Pending</v>
      </c>
    </row>
    <row r="1242" spans="1:21" x14ac:dyDescent="0.25">
      <c r="A1242" s="4" t="s">
        <v>2182</v>
      </c>
      <c r="B1242" s="5">
        <v>45367</v>
      </c>
      <c r="C1242" t="s">
        <v>62</v>
      </c>
      <c r="D1242" t="s">
        <v>37</v>
      </c>
      <c r="E1242" t="s">
        <v>30</v>
      </c>
      <c r="F1242" t="s">
        <v>3222</v>
      </c>
      <c r="G1242" t="s">
        <v>31</v>
      </c>
      <c r="H1242" t="str">
        <f>VLOOKUP(Table1[[#This Row],[City]],Table6[#All],2,FALSE)</f>
        <v>South</v>
      </c>
      <c r="I1242" t="s">
        <v>58</v>
      </c>
      <c r="J1242" t="str">
        <f>_xlfn.XLOOKUP(Table1[[#This Row],[Tractor Model]],Table7[Product Model],Table7[Product Category],"Not Available",0)</f>
        <v>Powertrac</v>
      </c>
      <c r="K1242" s="4">
        <v>7</v>
      </c>
      <c r="L1242" s="72">
        <v>589074</v>
      </c>
      <c r="M1242" s="4">
        <f>INDEX('Master Sheet'!$C$4:$C$12,MATCH(Table1[[#This Row],[Quantity]],'Master Sheet'!$B$4:$B$12,0))</f>
        <v>9</v>
      </c>
      <c r="N1242" s="71">
        <f>Table1[[#This Row],[Quantity]]*Table1[[#This Row],[Unit Price]]</f>
        <v>4123518</v>
      </c>
      <c r="O1242" s="73">
        <v>0.41235179999999999</v>
      </c>
      <c r="P1242" s="70">
        <f>Table1[[#This Row],[Gross Amount]]*(1-(Table1[[#This Row],[Discount %]]/100))</f>
        <v>3752401.3800000004</v>
      </c>
      <c r="Q1242" s="74">
        <f>(Table1[[#This Row],[Gross Amount]]*(1-(Table1[[#This Row],[Discount %]]/100)))/10000000</f>
        <v>0.37524013800000006</v>
      </c>
      <c r="R1242" t="s">
        <v>25</v>
      </c>
      <c r="S1242" t="str" cm="1">
        <f t="array" ref="S1242">IFERROR(_xlfn.IFS(Table1[[#This Row],[Payment Status]]="Partial","In Transit",Table1[[#This Row],[Payment Status]]="Paid","Delivered",Table1[[#This Row],[Payment Status]]="Pending","Pending"),"Invalid Input")</f>
        <v>In Transit</v>
      </c>
      <c r="T1242" t="s">
        <v>27</v>
      </c>
      <c r="U1242" t="str" cm="1">
        <f t="array" ref="U1242">IFERROR(_xlfn.IFS(Table1[[#This Row],[Payment Status]]="Partial","In Transit",Table1[[#This Row],[Payment Status]]="Paid","Completed",Table1[[#This Row],[Payment Status]]="Pending","Pending"),"Invalid Input")</f>
        <v>In Transit</v>
      </c>
    </row>
    <row r="1243" spans="1:21" x14ac:dyDescent="0.25">
      <c r="A1243" s="4" t="s">
        <v>2183</v>
      </c>
      <c r="B1243" s="5">
        <v>45390</v>
      </c>
      <c r="C1243" t="s">
        <v>73</v>
      </c>
      <c r="D1243" t="s">
        <v>3270</v>
      </c>
      <c r="E1243" t="s">
        <v>38</v>
      </c>
      <c r="F1243" t="s">
        <v>3218</v>
      </c>
      <c r="G1243" t="s">
        <v>39</v>
      </c>
      <c r="H1243" t="str">
        <f>VLOOKUP(Table1[[#This Row],[City]],Table6[#All],2,FALSE)</f>
        <v>West</v>
      </c>
      <c r="I1243" t="s">
        <v>3203</v>
      </c>
      <c r="J1243" t="str">
        <f>_xlfn.XLOOKUP(Table1[[#This Row],[Tractor Model]],Table7[Product Model],Table7[Product Category],"Not Available",0)</f>
        <v>Kubota</v>
      </c>
      <c r="K1243" s="4">
        <v>6</v>
      </c>
      <c r="L1243" s="72">
        <v>492323</v>
      </c>
      <c r="M1243" s="4">
        <f>INDEX('Master Sheet'!$C$4:$C$12,MATCH(Table1[[#This Row],[Quantity]],'Master Sheet'!$B$4:$B$12,0))</f>
        <v>8</v>
      </c>
      <c r="N1243" s="71">
        <f>Table1[[#This Row],[Quantity]]*Table1[[#This Row],[Unit Price]]</f>
        <v>2953938</v>
      </c>
      <c r="O1243" s="73">
        <v>0.29539379999999998</v>
      </c>
      <c r="P1243" s="70">
        <f>Table1[[#This Row],[Gross Amount]]*(1-(Table1[[#This Row],[Discount %]]/100))</f>
        <v>2717622.96</v>
      </c>
      <c r="Q1243" s="74">
        <f>(Table1[[#This Row],[Gross Amount]]*(1-(Table1[[#This Row],[Discount %]]/100)))/10000000</f>
        <v>0.27176229600000001</v>
      </c>
      <c r="R1243" t="s">
        <v>25</v>
      </c>
      <c r="S1243" t="str" cm="1">
        <f t="array" ref="S1243">IFERROR(_xlfn.IFS(Table1[[#This Row],[Payment Status]]="Partial","In Transit",Table1[[#This Row],[Payment Status]]="Paid","Delivered",Table1[[#This Row],[Payment Status]]="Pending","Pending"),"Invalid Input")</f>
        <v>In Transit</v>
      </c>
      <c r="T1243" t="s">
        <v>27</v>
      </c>
      <c r="U1243" t="str" cm="1">
        <f t="array" ref="U1243">IFERROR(_xlfn.IFS(Table1[[#This Row],[Payment Status]]="Partial","In Transit",Table1[[#This Row],[Payment Status]]="Paid","Completed",Table1[[#This Row],[Payment Status]]="Pending","Pending"),"Invalid Input")</f>
        <v>In Transit</v>
      </c>
    </row>
    <row r="1244" spans="1:21" x14ac:dyDescent="0.25">
      <c r="A1244" s="4" t="s">
        <v>2184</v>
      </c>
      <c r="B1244" s="5">
        <v>45339</v>
      </c>
      <c r="C1244" t="s">
        <v>52</v>
      </c>
      <c r="D1244" t="s">
        <v>3271</v>
      </c>
      <c r="E1244" t="s">
        <v>47</v>
      </c>
      <c r="F1244" t="s">
        <v>3221</v>
      </c>
      <c r="G1244" t="s">
        <v>48</v>
      </c>
      <c r="H1244" t="str">
        <f>VLOOKUP(Table1[[#This Row],[City]],Table6[#All],2,FALSE)</f>
        <v>North</v>
      </c>
      <c r="I1244" t="s">
        <v>53</v>
      </c>
      <c r="J1244" t="str">
        <f>_xlfn.XLOOKUP(Table1[[#This Row],[Tractor Model]],Table7[Product Model],Table7[Product Category],"Not Available",0)</f>
        <v>Farmtrac</v>
      </c>
      <c r="K1244" s="4">
        <v>2</v>
      </c>
      <c r="L1244" s="72">
        <v>572292</v>
      </c>
      <c r="M1244" s="4">
        <f>INDEX('Master Sheet'!$C$4:$C$12,MATCH(Table1[[#This Row],[Quantity]],'Master Sheet'!$B$4:$B$12,0))</f>
        <v>5</v>
      </c>
      <c r="N1244" s="71">
        <f>Table1[[#This Row],[Quantity]]*Table1[[#This Row],[Unit Price]]</f>
        <v>1144584</v>
      </c>
      <c r="O1244" s="73">
        <v>0.1144584</v>
      </c>
      <c r="P1244" s="70">
        <f>Table1[[#This Row],[Gross Amount]]*(1-(Table1[[#This Row],[Discount %]]/100))</f>
        <v>1087354.8</v>
      </c>
      <c r="Q1244" s="74">
        <f>(Table1[[#This Row],[Gross Amount]]*(1-(Table1[[#This Row],[Discount %]]/100)))/10000000</f>
        <v>0.10873548000000001</v>
      </c>
      <c r="R1244" t="s">
        <v>54</v>
      </c>
      <c r="S1244" t="str" cm="1">
        <f t="array" ref="S1244">IFERROR(_xlfn.IFS(Table1[[#This Row],[Payment Status]]="Partial","In Transit",Table1[[#This Row],[Payment Status]]="Paid","Delivered",Table1[[#This Row],[Payment Status]]="Pending","Pending"),"Invalid Input")</f>
        <v>Delivered</v>
      </c>
      <c r="T1244" t="s">
        <v>27</v>
      </c>
      <c r="U1244" t="str" cm="1">
        <f t="array" ref="U1244">IFERROR(_xlfn.IFS(Table1[[#This Row],[Payment Status]]="Partial","In Transit",Table1[[#This Row],[Payment Status]]="Paid","Completed",Table1[[#This Row],[Payment Status]]="Pending","Pending"),"Invalid Input")</f>
        <v>Completed</v>
      </c>
    </row>
    <row r="1245" spans="1:21" x14ac:dyDescent="0.25">
      <c r="A1245" s="4" t="s">
        <v>2186</v>
      </c>
      <c r="B1245" s="5">
        <v>45312</v>
      </c>
      <c r="C1245" t="s">
        <v>62</v>
      </c>
      <c r="D1245" t="s">
        <v>37</v>
      </c>
      <c r="E1245" t="s">
        <v>30</v>
      </c>
      <c r="F1245" t="s">
        <v>3222</v>
      </c>
      <c r="G1245" t="s">
        <v>31</v>
      </c>
      <c r="H1245" t="str">
        <f>VLOOKUP(Table1[[#This Row],[City]],Table6[#All],2,FALSE)</f>
        <v>South</v>
      </c>
      <c r="I1245" t="s">
        <v>24</v>
      </c>
      <c r="J1245" t="str">
        <f>_xlfn.XLOOKUP(Table1[[#This Row],[Tractor Model]],Table7[Product Model],Table7[Product Category],"Not Available",0)</f>
        <v>Farmtrac</v>
      </c>
      <c r="K1245" s="4">
        <v>7</v>
      </c>
      <c r="L1245" s="72">
        <v>276589</v>
      </c>
      <c r="M1245" s="4">
        <f>INDEX('Master Sheet'!$C$4:$C$12,MATCH(Table1[[#This Row],[Quantity]],'Master Sheet'!$B$4:$B$12,0))</f>
        <v>9</v>
      </c>
      <c r="N1245" s="71">
        <f>Table1[[#This Row],[Quantity]]*Table1[[#This Row],[Unit Price]]</f>
        <v>1936123</v>
      </c>
      <c r="O1245" s="73">
        <v>0.19361229999999999</v>
      </c>
      <c r="P1245" s="70">
        <f>Table1[[#This Row],[Gross Amount]]*(1-(Table1[[#This Row],[Discount %]]/100))</f>
        <v>1761871.9300000002</v>
      </c>
      <c r="Q1245" s="74">
        <f>(Table1[[#This Row],[Gross Amount]]*(1-(Table1[[#This Row],[Discount %]]/100)))/10000000</f>
        <v>0.17618719300000002</v>
      </c>
      <c r="R1245" t="s">
        <v>25</v>
      </c>
      <c r="S1245" t="str" cm="1">
        <f t="array" ref="S1245">IFERROR(_xlfn.IFS(Table1[[#This Row],[Payment Status]]="Partial","In Transit",Table1[[#This Row],[Payment Status]]="Paid","Delivered",Table1[[#This Row],[Payment Status]]="Pending","Pending"),"Invalid Input")</f>
        <v>In Transit</v>
      </c>
      <c r="T1245" t="s">
        <v>44</v>
      </c>
      <c r="U1245" t="str" cm="1">
        <f t="array" ref="U1245">IFERROR(_xlfn.IFS(Table1[[#This Row],[Payment Status]]="Partial","In Transit",Table1[[#This Row],[Payment Status]]="Paid","Completed",Table1[[#This Row],[Payment Status]]="Pending","Pending"),"Invalid Input")</f>
        <v>In Transit</v>
      </c>
    </row>
    <row r="1246" spans="1:21" x14ac:dyDescent="0.25">
      <c r="A1246" s="4" t="s">
        <v>2187</v>
      </c>
      <c r="B1246" s="5">
        <v>45430</v>
      </c>
      <c r="C1246" t="s">
        <v>41</v>
      </c>
      <c r="D1246" t="s">
        <v>37</v>
      </c>
      <c r="E1246" t="s">
        <v>47</v>
      </c>
      <c r="F1246" t="s">
        <v>3215</v>
      </c>
      <c r="G1246" t="s">
        <v>48</v>
      </c>
      <c r="H1246" t="str">
        <f>VLOOKUP(Table1[[#This Row],[City]],Table6[#All],2,FALSE)</f>
        <v>North</v>
      </c>
      <c r="I1246" t="s">
        <v>24</v>
      </c>
      <c r="J1246" t="str">
        <f>_xlfn.XLOOKUP(Table1[[#This Row],[Tractor Model]],Table7[Product Model],Table7[Product Category],"Not Available",0)</f>
        <v>Farmtrac</v>
      </c>
      <c r="K1246" s="4">
        <v>3</v>
      </c>
      <c r="L1246" s="72">
        <v>289644</v>
      </c>
      <c r="M1246" s="4">
        <f>INDEX('Master Sheet'!$C$4:$C$12,MATCH(Table1[[#This Row],[Quantity]],'Master Sheet'!$B$4:$B$12,0))</f>
        <v>6</v>
      </c>
      <c r="N1246" s="71">
        <f>Table1[[#This Row],[Quantity]]*Table1[[#This Row],[Unit Price]]</f>
        <v>868932</v>
      </c>
      <c r="O1246" s="73">
        <v>8.6893200000000004E-2</v>
      </c>
      <c r="P1246" s="70">
        <f>Table1[[#This Row],[Gross Amount]]*(1-(Table1[[#This Row],[Discount %]]/100))</f>
        <v>816796.08</v>
      </c>
      <c r="Q1246" s="74">
        <f>(Table1[[#This Row],[Gross Amount]]*(1-(Table1[[#This Row],[Discount %]]/100)))/10000000</f>
        <v>8.1679608000000001E-2</v>
      </c>
      <c r="R1246" t="s">
        <v>25</v>
      </c>
      <c r="S1246" t="str" cm="1">
        <f t="array" ref="S1246">IFERROR(_xlfn.IFS(Table1[[#This Row],[Payment Status]]="Partial","In Transit",Table1[[#This Row],[Payment Status]]="Paid","Delivered",Table1[[#This Row],[Payment Status]]="Pending","Pending"),"Invalid Input")</f>
        <v>In Transit</v>
      </c>
      <c r="T1246" t="s">
        <v>44</v>
      </c>
      <c r="U1246" t="str" cm="1">
        <f t="array" ref="U1246">IFERROR(_xlfn.IFS(Table1[[#This Row],[Payment Status]]="Partial","In Transit",Table1[[#This Row],[Payment Status]]="Paid","Completed",Table1[[#This Row],[Payment Status]]="Pending","Pending"),"Invalid Input")</f>
        <v>In Transit</v>
      </c>
    </row>
    <row r="1247" spans="1:21" x14ac:dyDescent="0.25">
      <c r="A1247" s="4" t="s">
        <v>2188</v>
      </c>
      <c r="B1247" s="5">
        <v>45760</v>
      </c>
      <c r="C1247" t="s">
        <v>41</v>
      </c>
      <c r="D1247" t="s">
        <v>37</v>
      </c>
      <c r="E1247" t="s">
        <v>38</v>
      </c>
      <c r="F1247" t="s">
        <v>3214</v>
      </c>
      <c r="G1247" t="s">
        <v>39</v>
      </c>
      <c r="H1247" t="str">
        <f>VLOOKUP(Table1[[#This Row],[City]],Table6[#All],2,FALSE)</f>
        <v>West</v>
      </c>
      <c r="I1247" t="s">
        <v>3204</v>
      </c>
      <c r="J1247" t="str">
        <f>_xlfn.XLOOKUP(Table1[[#This Row],[Tractor Model]],Table7[Product Model],Table7[Product Category],"Not Available",0)</f>
        <v>Kubota</v>
      </c>
      <c r="K1247" s="4">
        <v>3</v>
      </c>
      <c r="L1247" s="72">
        <v>341482</v>
      </c>
      <c r="M1247" s="4">
        <f>INDEX('Master Sheet'!$C$4:$C$12,MATCH(Table1[[#This Row],[Quantity]],'Master Sheet'!$B$4:$B$12,0))</f>
        <v>6</v>
      </c>
      <c r="N1247" s="71">
        <f>Table1[[#This Row],[Quantity]]*Table1[[#This Row],[Unit Price]]</f>
        <v>1024446</v>
      </c>
      <c r="O1247" s="73">
        <v>0.1024446</v>
      </c>
      <c r="P1247" s="70">
        <f>Table1[[#This Row],[Gross Amount]]*(1-(Table1[[#This Row],[Discount %]]/100))</f>
        <v>962979.24</v>
      </c>
      <c r="Q1247" s="74">
        <f>(Table1[[#This Row],[Gross Amount]]*(1-(Table1[[#This Row],[Discount %]]/100)))/10000000</f>
        <v>9.6297923999999993E-2</v>
      </c>
      <c r="R1247" t="s">
        <v>42</v>
      </c>
      <c r="S1247" t="str" cm="1">
        <f t="array" ref="S1247">IFERROR(_xlfn.IFS(Table1[[#This Row],[Payment Status]]="Partial","In Transit",Table1[[#This Row],[Payment Status]]="Paid","Delivered",Table1[[#This Row],[Payment Status]]="Pending","Pending"),"Invalid Input")</f>
        <v>Pending</v>
      </c>
      <c r="T1247" t="s">
        <v>27</v>
      </c>
      <c r="U1247" t="str" cm="1">
        <f t="array" ref="U1247">IFERROR(_xlfn.IFS(Table1[[#This Row],[Payment Status]]="Partial","In Transit",Table1[[#This Row],[Payment Status]]="Paid","Completed",Table1[[#This Row],[Payment Status]]="Pending","Pending"),"Invalid Input")</f>
        <v>Pending</v>
      </c>
    </row>
    <row r="1248" spans="1:21" x14ac:dyDescent="0.25">
      <c r="A1248" s="4" t="s">
        <v>2190</v>
      </c>
      <c r="B1248" s="5">
        <v>45520</v>
      </c>
      <c r="C1248" t="s">
        <v>33</v>
      </c>
      <c r="D1248" t="s">
        <v>3270</v>
      </c>
      <c r="E1248" t="s">
        <v>66</v>
      </c>
      <c r="F1248" t="s">
        <v>3220</v>
      </c>
      <c r="G1248" t="s">
        <v>67</v>
      </c>
      <c r="H1248" t="str">
        <f>VLOOKUP(Table1[[#This Row],[City]],Table6[#All],2,FALSE)</f>
        <v>East</v>
      </c>
      <c r="I1248" t="s">
        <v>24</v>
      </c>
      <c r="J1248" t="str">
        <f>_xlfn.XLOOKUP(Table1[[#This Row],[Tractor Model]],Table7[Product Model],Table7[Product Category],"Not Available",0)</f>
        <v>Farmtrac</v>
      </c>
      <c r="K1248" s="4">
        <v>3</v>
      </c>
      <c r="L1248" s="72">
        <v>333883</v>
      </c>
      <c r="M1248" s="4">
        <f>INDEX('Master Sheet'!$C$4:$C$12,MATCH(Table1[[#This Row],[Quantity]],'Master Sheet'!$B$4:$B$12,0))</f>
        <v>6</v>
      </c>
      <c r="N1248" s="71">
        <f>Table1[[#This Row],[Quantity]]*Table1[[#This Row],[Unit Price]]</f>
        <v>1001649</v>
      </c>
      <c r="O1248" s="73">
        <v>0.1001649</v>
      </c>
      <c r="P1248" s="70">
        <f>Table1[[#This Row],[Gross Amount]]*(1-(Table1[[#This Row],[Discount %]]/100))</f>
        <v>941550.05999999994</v>
      </c>
      <c r="Q1248" s="74">
        <f>(Table1[[#This Row],[Gross Amount]]*(1-(Table1[[#This Row],[Discount %]]/100)))/10000000</f>
        <v>9.4155005999999999E-2</v>
      </c>
      <c r="R1248" t="s">
        <v>42</v>
      </c>
      <c r="S1248" t="str" cm="1">
        <f t="array" ref="S1248">IFERROR(_xlfn.IFS(Table1[[#This Row],[Payment Status]]="Partial","In Transit",Table1[[#This Row],[Payment Status]]="Paid","Delivered",Table1[[#This Row],[Payment Status]]="Pending","Pending"),"Invalid Input")</f>
        <v>Pending</v>
      </c>
      <c r="T1248" t="s">
        <v>44</v>
      </c>
      <c r="U1248" t="str" cm="1">
        <f t="array" ref="U1248">IFERROR(_xlfn.IFS(Table1[[#This Row],[Payment Status]]="Partial","In Transit",Table1[[#This Row],[Payment Status]]="Paid","Completed",Table1[[#This Row],[Payment Status]]="Pending","Pending"),"Invalid Input")</f>
        <v>Pending</v>
      </c>
    </row>
    <row r="1249" spans="1:21" x14ac:dyDescent="0.25">
      <c r="A1249" s="4" t="s">
        <v>2191</v>
      </c>
      <c r="B1249" s="5">
        <v>45308</v>
      </c>
      <c r="C1249" t="s">
        <v>62</v>
      </c>
      <c r="D1249" t="s">
        <v>3269</v>
      </c>
      <c r="E1249" t="s">
        <v>38</v>
      </c>
      <c r="F1249" t="s">
        <v>3206</v>
      </c>
      <c r="G1249" t="s">
        <v>39</v>
      </c>
      <c r="H1249" t="str">
        <f>VLOOKUP(Table1[[#This Row],[City]],Table6[#All],2,FALSE)</f>
        <v>West</v>
      </c>
      <c r="I1249" t="s">
        <v>3204</v>
      </c>
      <c r="J1249" t="str">
        <f>_xlfn.XLOOKUP(Table1[[#This Row],[Tractor Model]],Table7[Product Model],Table7[Product Category],"Not Available",0)</f>
        <v>Kubota</v>
      </c>
      <c r="K1249" s="4">
        <v>4</v>
      </c>
      <c r="L1249" s="72">
        <v>222986</v>
      </c>
      <c r="M1249" s="4">
        <f>INDEX('Master Sheet'!$C$4:$C$12,MATCH(Table1[[#This Row],[Quantity]],'Master Sheet'!$B$4:$B$12,0))</f>
        <v>6</v>
      </c>
      <c r="N1249" s="71">
        <f>Table1[[#This Row],[Quantity]]*Table1[[#This Row],[Unit Price]]</f>
        <v>891944</v>
      </c>
      <c r="O1249" s="73">
        <v>8.9194399999999993E-2</v>
      </c>
      <c r="P1249" s="70">
        <f>Table1[[#This Row],[Gross Amount]]*(1-(Table1[[#This Row],[Discount %]]/100))</f>
        <v>838427.36</v>
      </c>
      <c r="Q1249" s="74">
        <f>(Table1[[#This Row],[Gross Amount]]*(1-(Table1[[#This Row],[Discount %]]/100)))/10000000</f>
        <v>8.3842736000000001E-2</v>
      </c>
      <c r="R1249" t="s">
        <v>25</v>
      </c>
      <c r="S1249" t="str" cm="1">
        <f t="array" ref="S1249">IFERROR(_xlfn.IFS(Table1[[#This Row],[Payment Status]]="Partial","In Transit",Table1[[#This Row],[Payment Status]]="Paid","Delivered",Table1[[#This Row],[Payment Status]]="Pending","Pending"),"Invalid Input")</f>
        <v>In Transit</v>
      </c>
      <c r="T1249" t="s">
        <v>27</v>
      </c>
      <c r="U1249" t="str" cm="1">
        <f t="array" ref="U1249">IFERROR(_xlfn.IFS(Table1[[#This Row],[Payment Status]]="Partial","In Transit",Table1[[#This Row],[Payment Status]]="Paid","Completed",Table1[[#This Row],[Payment Status]]="Pending","Pending"),"Invalid Input")</f>
        <v>In Transit</v>
      </c>
    </row>
    <row r="1250" spans="1:21" x14ac:dyDescent="0.25">
      <c r="A1250" s="4" t="s">
        <v>2193</v>
      </c>
      <c r="B1250" s="5">
        <v>45314</v>
      </c>
      <c r="C1250" t="s">
        <v>52</v>
      </c>
      <c r="D1250" t="s">
        <v>3269</v>
      </c>
      <c r="E1250" t="s">
        <v>119</v>
      </c>
      <c r="F1250" t="s">
        <v>3229</v>
      </c>
      <c r="G1250" t="s">
        <v>21</v>
      </c>
      <c r="H1250" t="str">
        <f>VLOOKUP(Table1[[#This Row],[City]],Table6[#All],2,FALSE)</f>
        <v>North</v>
      </c>
      <c r="I1250" t="s">
        <v>24</v>
      </c>
      <c r="J1250" t="str">
        <f>_xlfn.XLOOKUP(Table1[[#This Row],[Tractor Model]],Table7[Product Model],Table7[Product Category],"Not Available",0)</f>
        <v>Farmtrac</v>
      </c>
      <c r="K1250" s="4">
        <v>8</v>
      </c>
      <c r="L1250" s="72">
        <v>341862</v>
      </c>
      <c r="M1250" s="4">
        <f>INDEX('Master Sheet'!$C$4:$C$12,MATCH(Table1[[#This Row],[Quantity]],'Master Sheet'!$B$4:$B$12,0))</f>
        <v>9</v>
      </c>
      <c r="N1250" s="71">
        <f>Table1[[#This Row],[Quantity]]*Table1[[#This Row],[Unit Price]]</f>
        <v>2734896</v>
      </c>
      <c r="O1250" s="73">
        <v>0.2734896</v>
      </c>
      <c r="P1250" s="70">
        <f>Table1[[#This Row],[Gross Amount]]*(1-(Table1[[#This Row],[Discount %]]/100))</f>
        <v>2488755.36</v>
      </c>
      <c r="Q1250" s="74">
        <f>(Table1[[#This Row],[Gross Amount]]*(1-(Table1[[#This Row],[Discount %]]/100)))/10000000</f>
        <v>0.24887553599999998</v>
      </c>
      <c r="R1250" t="s">
        <v>54</v>
      </c>
      <c r="S1250" t="str" cm="1">
        <f t="array" ref="S1250">IFERROR(_xlfn.IFS(Table1[[#This Row],[Payment Status]]="Partial","In Transit",Table1[[#This Row],[Payment Status]]="Paid","Delivered",Table1[[#This Row],[Payment Status]]="Pending","Pending"),"Invalid Input")</f>
        <v>Delivered</v>
      </c>
      <c r="T1250" t="s">
        <v>27</v>
      </c>
      <c r="U1250" t="str" cm="1">
        <f t="array" ref="U1250">IFERROR(_xlfn.IFS(Table1[[#This Row],[Payment Status]]="Partial","In Transit",Table1[[#This Row],[Payment Status]]="Paid","Completed",Table1[[#This Row],[Payment Status]]="Pending","Pending"),"Invalid Input")</f>
        <v>Completed</v>
      </c>
    </row>
    <row r="1251" spans="1:21" x14ac:dyDescent="0.25">
      <c r="A1251" s="4" t="s">
        <v>2194</v>
      </c>
      <c r="B1251" s="5">
        <v>45607</v>
      </c>
      <c r="C1251" t="s">
        <v>52</v>
      </c>
      <c r="D1251" t="s">
        <v>3269</v>
      </c>
      <c r="E1251" t="s">
        <v>119</v>
      </c>
      <c r="F1251" t="s">
        <v>3229</v>
      </c>
      <c r="G1251" t="s">
        <v>21</v>
      </c>
      <c r="H1251" t="str">
        <f>VLOOKUP(Table1[[#This Row],[City]],Table6[#All],2,FALSE)</f>
        <v>North</v>
      </c>
      <c r="I1251" t="s">
        <v>3204</v>
      </c>
      <c r="J1251" t="str">
        <f>_xlfn.XLOOKUP(Table1[[#This Row],[Tractor Model]],Table7[Product Model],Table7[Product Category],"Not Available",0)</f>
        <v>Kubota</v>
      </c>
      <c r="K1251" s="4">
        <v>1</v>
      </c>
      <c r="L1251" s="72">
        <v>483387</v>
      </c>
      <c r="M1251" s="4">
        <f>INDEX('Master Sheet'!$C$4:$C$12,MATCH(Table1[[#This Row],[Quantity]],'Master Sheet'!$B$4:$B$12,0))</f>
        <v>3</v>
      </c>
      <c r="N1251" s="71">
        <f>Table1[[#This Row],[Quantity]]*Table1[[#This Row],[Unit Price]]</f>
        <v>483387</v>
      </c>
      <c r="O1251" s="73">
        <v>4.8338699999999998E-2</v>
      </c>
      <c r="P1251" s="70">
        <f>Table1[[#This Row],[Gross Amount]]*(1-(Table1[[#This Row],[Discount %]]/100))</f>
        <v>468885.39</v>
      </c>
      <c r="Q1251" s="74">
        <f>(Table1[[#This Row],[Gross Amount]]*(1-(Table1[[#This Row],[Discount %]]/100)))/10000000</f>
        <v>4.6888539E-2</v>
      </c>
      <c r="R1251" t="s">
        <v>42</v>
      </c>
      <c r="S1251" t="str" cm="1">
        <f t="array" ref="S1251">IFERROR(_xlfn.IFS(Table1[[#This Row],[Payment Status]]="Partial","In Transit",Table1[[#This Row],[Payment Status]]="Paid","Delivered",Table1[[#This Row],[Payment Status]]="Pending","Pending"),"Invalid Input")</f>
        <v>Pending</v>
      </c>
      <c r="T1251" t="s">
        <v>44</v>
      </c>
      <c r="U1251" t="str" cm="1">
        <f t="array" ref="U1251">IFERROR(_xlfn.IFS(Table1[[#This Row],[Payment Status]]="Partial","In Transit",Table1[[#This Row],[Payment Status]]="Paid","Completed",Table1[[#This Row],[Payment Status]]="Pending","Pending"),"Invalid Input")</f>
        <v>Pending</v>
      </c>
    </row>
    <row r="1252" spans="1:21" x14ac:dyDescent="0.25">
      <c r="A1252" s="4" t="s">
        <v>2196</v>
      </c>
      <c r="B1252" s="5">
        <v>45437</v>
      </c>
      <c r="C1252" t="s">
        <v>62</v>
      </c>
      <c r="D1252" t="s">
        <v>3268</v>
      </c>
      <c r="E1252" t="s">
        <v>119</v>
      </c>
      <c r="F1252" t="s">
        <v>3227</v>
      </c>
      <c r="G1252" t="s">
        <v>21</v>
      </c>
      <c r="H1252" t="str">
        <f>VLOOKUP(Table1[[#This Row],[City]],Table6[#All],2,FALSE)</f>
        <v>North</v>
      </c>
      <c r="I1252" t="s">
        <v>3203</v>
      </c>
      <c r="J1252" t="str">
        <f>_xlfn.XLOOKUP(Table1[[#This Row],[Tractor Model]],Table7[Product Model],Table7[Product Category],"Not Available",0)</f>
        <v>Kubota</v>
      </c>
      <c r="K1252" s="4">
        <v>2</v>
      </c>
      <c r="L1252" s="72">
        <v>418912</v>
      </c>
      <c r="M1252" s="4">
        <f>INDEX('Master Sheet'!$C$4:$C$12,MATCH(Table1[[#This Row],[Quantity]],'Master Sheet'!$B$4:$B$12,0))</f>
        <v>5</v>
      </c>
      <c r="N1252" s="71">
        <f>Table1[[#This Row],[Quantity]]*Table1[[#This Row],[Unit Price]]</f>
        <v>837824</v>
      </c>
      <c r="O1252" s="73">
        <v>8.3782400000000007E-2</v>
      </c>
      <c r="P1252" s="70">
        <f>Table1[[#This Row],[Gross Amount]]*(1-(Table1[[#This Row],[Discount %]]/100))</f>
        <v>795932.79999999993</v>
      </c>
      <c r="Q1252" s="74">
        <f>(Table1[[#This Row],[Gross Amount]]*(1-(Table1[[#This Row],[Discount %]]/100)))/10000000</f>
        <v>7.9593279999999988E-2</v>
      </c>
      <c r="R1252" t="s">
        <v>54</v>
      </c>
      <c r="S1252" t="str" cm="1">
        <f t="array" ref="S1252">IFERROR(_xlfn.IFS(Table1[[#This Row],[Payment Status]]="Partial","In Transit",Table1[[#This Row],[Payment Status]]="Paid","Delivered",Table1[[#This Row],[Payment Status]]="Pending","Pending"),"Invalid Input")</f>
        <v>Delivered</v>
      </c>
      <c r="T1252" t="s">
        <v>44</v>
      </c>
      <c r="U1252" t="str" cm="1">
        <f t="array" ref="U1252">IFERROR(_xlfn.IFS(Table1[[#This Row],[Payment Status]]="Partial","In Transit",Table1[[#This Row],[Payment Status]]="Paid","Completed",Table1[[#This Row],[Payment Status]]="Pending","Pending"),"Invalid Input")</f>
        <v>Completed</v>
      </c>
    </row>
    <row r="1253" spans="1:21" x14ac:dyDescent="0.25">
      <c r="A1253" s="4" t="s">
        <v>2197</v>
      </c>
      <c r="B1253" s="5">
        <v>45965</v>
      </c>
      <c r="C1253" t="s">
        <v>73</v>
      </c>
      <c r="D1253" t="s">
        <v>37</v>
      </c>
      <c r="E1253" t="s">
        <v>119</v>
      </c>
      <c r="F1253" t="s">
        <v>3224</v>
      </c>
      <c r="G1253" t="s">
        <v>21</v>
      </c>
      <c r="H1253" t="str">
        <f>VLOOKUP(Table1[[#This Row],[City]],Table6[#All],2,FALSE)</f>
        <v>North</v>
      </c>
      <c r="I1253" t="s">
        <v>58</v>
      </c>
      <c r="J1253" t="str">
        <f>_xlfn.XLOOKUP(Table1[[#This Row],[Tractor Model]],Table7[Product Model],Table7[Product Category],"Not Available",0)</f>
        <v>Powertrac</v>
      </c>
      <c r="K1253" s="4">
        <v>0</v>
      </c>
      <c r="L1253" s="72">
        <v>63596</v>
      </c>
      <c r="M1253" s="4">
        <f>INDEX('Master Sheet'!$C$4:$C$12,MATCH(Table1[[#This Row],[Quantity]],'Master Sheet'!$B$4:$B$12,0))</f>
        <v>0</v>
      </c>
      <c r="N1253" s="71">
        <f>Table1[[#This Row],[Quantity]]*Table1[[#This Row],[Unit Price]]</f>
        <v>0</v>
      </c>
      <c r="O1253" s="73">
        <v>0</v>
      </c>
      <c r="P1253" s="70">
        <f>Table1[[#This Row],[Gross Amount]]*(1-(Table1[[#This Row],[Discount %]]/100))</f>
        <v>0</v>
      </c>
      <c r="Q1253" s="74">
        <f>(Table1[[#This Row],[Gross Amount]]*(1-(Table1[[#This Row],[Discount %]]/100)))/10000000</f>
        <v>0</v>
      </c>
      <c r="R1253" t="s">
        <v>25</v>
      </c>
      <c r="S1253" t="str" cm="1">
        <f t="array" ref="S1253">IFERROR(_xlfn.IFS(Table1[[#This Row],[Payment Status]]="Partial","In Transit",Table1[[#This Row],[Payment Status]]="Paid","Delivered",Table1[[#This Row],[Payment Status]]="Pending","Pending"),"Invalid Input")</f>
        <v>In Transit</v>
      </c>
      <c r="T1253" t="s">
        <v>27</v>
      </c>
      <c r="U1253" t="str" cm="1">
        <f t="array" ref="U1253">IFERROR(_xlfn.IFS(Table1[[#This Row],[Payment Status]]="Partial","In Transit",Table1[[#This Row],[Payment Status]]="Paid","Completed",Table1[[#This Row],[Payment Status]]="Pending","Pending"),"Invalid Input")</f>
        <v>In Transit</v>
      </c>
    </row>
    <row r="1254" spans="1:21" x14ac:dyDescent="0.25">
      <c r="A1254" s="4" t="s">
        <v>2199</v>
      </c>
      <c r="B1254" s="5">
        <v>45691</v>
      </c>
      <c r="C1254" t="s">
        <v>33</v>
      </c>
      <c r="D1254" t="s">
        <v>3270</v>
      </c>
      <c r="E1254" t="s">
        <v>66</v>
      </c>
      <c r="F1254" t="s">
        <v>3220</v>
      </c>
      <c r="G1254" t="s">
        <v>67</v>
      </c>
      <c r="H1254" t="str">
        <f>VLOOKUP(Table1[[#This Row],[City]],Table6[#All],2,FALSE)</f>
        <v>East</v>
      </c>
      <c r="I1254" t="s">
        <v>58</v>
      </c>
      <c r="J1254" t="str">
        <f>_xlfn.XLOOKUP(Table1[[#This Row],[Tractor Model]],Table7[Product Model],Table7[Product Category],"Not Available",0)</f>
        <v>Powertrac</v>
      </c>
      <c r="K1254" s="4">
        <v>8</v>
      </c>
      <c r="L1254" s="72">
        <v>541710</v>
      </c>
      <c r="M1254" s="4">
        <f>INDEX('Master Sheet'!$C$4:$C$12,MATCH(Table1[[#This Row],[Quantity]],'Master Sheet'!$B$4:$B$12,0))</f>
        <v>9</v>
      </c>
      <c r="N1254" s="71">
        <f>Table1[[#This Row],[Quantity]]*Table1[[#This Row],[Unit Price]]</f>
        <v>4333680</v>
      </c>
      <c r="O1254" s="73">
        <v>0.43336799999999998</v>
      </c>
      <c r="P1254" s="70">
        <f>Table1[[#This Row],[Gross Amount]]*(1-(Table1[[#This Row],[Discount %]]/100))</f>
        <v>3943648.8000000003</v>
      </c>
      <c r="Q1254" s="74">
        <f>(Table1[[#This Row],[Gross Amount]]*(1-(Table1[[#This Row],[Discount %]]/100)))/10000000</f>
        <v>0.39436488000000003</v>
      </c>
      <c r="R1254" t="s">
        <v>25</v>
      </c>
      <c r="S1254" t="str" cm="1">
        <f t="array" ref="S1254">IFERROR(_xlfn.IFS(Table1[[#This Row],[Payment Status]]="Partial","In Transit",Table1[[#This Row],[Payment Status]]="Paid","Delivered",Table1[[#This Row],[Payment Status]]="Pending","Pending"),"Invalid Input")</f>
        <v>In Transit</v>
      </c>
      <c r="T1254" t="s">
        <v>27</v>
      </c>
      <c r="U1254" t="str" cm="1">
        <f t="array" ref="U1254">IFERROR(_xlfn.IFS(Table1[[#This Row],[Payment Status]]="Partial","In Transit",Table1[[#This Row],[Payment Status]]="Paid","Completed",Table1[[#This Row],[Payment Status]]="Pending","Pending"),"Invalid Input")</f>
        <v>In Transit</v>
      </c>
    </row>
    <row r="1255" spans="1:21" x14ac:dyDescent="0.25">
      <c r="A1255" s="4" t="s">
        <v>2201</v>
      </c>
      <c r="B1255" s="5">
        <v>45392</v>
      </c>
      <c r="C1255" t="s">
        <v>62</v>
      </c>
      <c r="D1255" t="s">
        <v>3270</v>
      </c>
      <c r="E1255" t="s">
        <v>47</v>
      </c>
      <c r="F1255" t="s">
        <v>3205</v>
      </c>
      <c r="G1255" t="s">
        <v>48</v>
      </c>
      <c r="H1255" t="str">
        <f>VLOOKUP(Table1[[#This Row],[City]],Table6[#All],2,FALSE)</f>
        <v>North</v>
      </c>
      <c r="I1255" t="s">
        <v>58</v>
      </c>
      <c r="J1255" t="str">
        <f>_xlfn.XLOOKUP(Table1[[#This Row],[Tractor Model]],Table7[Product Model],Table7[Product Category],"Not Available",0)</f>
        <v>Powertrac</v>
      </c>
      <c r="K1255" s="4">
        <v>2</v>
      </c>
      <c r="L1255" s="72">
        <v>166707</v>
      </c>
      <c r="M1255" s="4">
        <f>INDEX('Master Sheet'!$C$4:$C$12,MATCH(Table1[[#This Row],[Quantity]],'Master Sheet'!$B$4:$B$12,0))</f>
        <v>5</v>
      </c>
      <c r="N1255" s="71">
        <f>Table1[[#This Row],[Quantity]]*Table1[[#This Row],[Unit Price]]</f>
        <v>333414</v>
      </c>
      <c r="O1255" s="73">
        <v>3.33414E-2</v>
      </c>
      <c r="P1255" s="70">
        <f>Table1[[#This Row],[Gross Amount]]*(1-(Table1[[#This Row],[Discount %]]/100))</f>
        <v>316743.3</v>
      </c>
      <c r="Q1255" s="74">
        <f>(Table1[[#This Row],[Gross Amount]]*(1-(Table1[[#This Row],[Discount %]]/100)))/10000000</f>
        <v>3.1674330000000001E-2</v>
      </c>
      <c r="R1255" t="s">
        <v>54</v>
      </c>
      <c r="S1255" t="str" cm="1">
        <f t="array" ref="S1255">IFERROR(_xlfn.IFS(Table1[[#This Row],[Payment Status]]="Partial","In Transit",Table1[[#This Row],[Payment Status]]="Paid","Delivered",Table1[[#This Row],[Payment Status]]="Pending","Pending"),"Invalid Input")</f>
        <v>Delivered</v>
      </c>
      <c r="T1255" t="s">
        <v>27</v>
      </c>
      <c r="U1255" t="str" cm="1">
        <f t="array" ref="U1255">IFERROR(_xlfn.IFS(Table1[[#This Row],[Payment Status]]="Partial","In Transit",Table1[[#This Row],[Payment Status]]="Paid","Completed",Table1[[#This Row],[Payment Status]]="Pending","Pending"),"Invalid Input")</f>
        <v>Completed</v>
      </c>
    </row>
    <row r="1256" spans="1:21" x14ac:dyDescent="0.25">
      <c r="A1256" s="4" t="s">
        <v>2202</v>
      </c>
      <c r="B1256" s="5">
        <v>45576</v>
      </c>
      <c r="C1256" t="s">
        <v>73</v>
      </c>
      <c r="D1256" t="s">
        <v>3269</v>
      </c>
      <c r="E1256" t="s">
        <v>30</v>
      </c>
      <c r="F1256" t="s">
        <v>3225</v>
      </c>
      <c r="G1256" t="s">
        <v>31</v>
      </c>
      <c r="H1256" t="str">
        <f>VLOOKUP(Table1[[#This Row],[City]],Table6[#All],2,FALSE)</f>
        <v>South</v>
      </c>
      <c r="I1256" t="s">
        <v>24</v>
      </c>
      <c r="J1256" t="str">
        <f>_xlfn.XLOOKUP(Table1[[#This Row],[Tractor Model]],Table7[Product Model],Table7[Product Category],"Not Available",0)</f>
        <v>Farmtrac</v>
      </c>
      <c r="K1256" s="4">
        <v>5</v>
      </c>
      <c r="L1256" s="72">
        <v>745185</v>
      </c>
      <c r="M1256" s="4">
        <f>INDEX('Master Sheet'!$C$4:$C$12,MATCH(Table1[[#This Row],[Quantity]],'Master Sheet'!$B$4:$B$12,0))</f>
        <v>7</v>
      </c>
      <c r="N1256" s="71">
        <f>Table1[[#This Row],[Quantity]]*Table1[[#This Row],[Unit Price]]</f>
        <v>3725925</v>
      </c>
      <c r="O1256" s="73">
        <v>0.37259249999999999</v>
      </c>
      <c r="P1256" s="70">
        <f>Table1[[#This Row],[Gross Amount]]*(1-(Table1[[#This Row],[Discount %]]/100))</f>
        <v>3465110.25</v>
      </c>
      <c r="Q1256" s="74">
        <f>(Table1[[#This Row],[Gross Amount]]*(1-(Table1[[#This Row],[Discount %]]/100)))/10000000</f>
        <v>0.34651102499999997</v>
      </c>
      <c r="R1256" t="s">
        <v>25</v>
      </c>
      <c r="S1256" t="str" cm="1">
        <f t="array" ref="S1256">IFERROR(_xlfn.IFS(Table1[[#This Row],[Payment Status]]="Partial","In Transit",Table1[[#This Row],[Payment Status]]="Paid","Delivered",Table1[[#This Row],[Payment Status]]="Pending","Pending"),"Invalid Input")</f>
        <v>In Transit</v>
      </c>
      <c r="T1256" t="s">
        <v>44</v>
      </c>
      <c r="U1256" t="str" cm="1">
        <f t="array" ref="U1256">IFERROR(_xlfn.IFS(Table1[[#This Row],[Payment Status]]="Partial","In Transit",Table1[[#This Row],[Payment Status]]="Paid","Completed",Table1[[#This Row],[Payment Status]]="Pending","Pending"),"Invalid Input")</f>
        <v>In Transit</v>
      </c>
    </row>
    <row r="1257" spans="1:21" x14ac:dyDescent="0.25">
      <c r="A1257" s="4" t="s">
        <v>2204</v>
      </c>
      <c r="B1257" s="5">
        <v>45344</v>
      </c>
      <c r="C1257" t="s">
        <v>62</v>
      </c>
      <c r="D1257" t="s">
        <v>37</v>
      </c>
      <c r="E1257" t="s">
        <v>30</v>
      </c>
      <c r="F1257" t="s">
        <v>3222</v>
      </c>
      <c r="G1257" t="s">
        <v>31</v>
      </c>
      <c r="H1257" t="str">
        <f>VLOOKUP(Table1[[#This Row],[City]],Table6[#All],2,FALSE)</f>
        <v>South</v>
      </c>
      <c r="I1257" t="s">
        <v>3203</v>
      </c>
      <c r="J1257" t="str">
        <f>_xlfn.XLOOKUP(Table1[[#This Row],[Tractor Model]],Table7[Product Model],Table7[Product Category],"Not Available",0)</f>
        <v>Kubota</v>
      </c>
      <c r="K1257" s="4">
        <v>3</v>
      </c>
      <c r="L1257" s="72">
        <v>184286</v>
      </c>
      <c r="M1257" s="4">
        <f>INDEX('Master Sheet'!$C$4:$C$12,MATCH(Table1[[#This Row],[Quantity]],'Master Sheet'!$B$4:$B$12,0))</f>
        <v>6</v>
      </c>
      <c r="N1257" s="71">
        <f>Table1[[#This Row],[Quantity]]*Table1[[#This Row],[Unit Price]]</f>
        <v>552858</v>
      </c>
      <c r="O1257" s="73">
        <v>5.5285800000000003E-2</v>
      </c>
      <c r="P1257" s="70">
        <f>Table1[[#This Row],[Gross Amount]]*(1-(Table1[[#This Row],[Discount %]]/100))</f>
        <v>519686.51999999996</v>
      </c>
      <c r="Q1257" s="74">
        <f>(Table1[[#This Row],[Gross Amount]]*(1-(Table1[[#This Row],[Discount %]]/100)))/10000000</f>
        <v>5.1968651999999997E-2</v>
      </c>
      <c r="R1257" t="s">
        <v>42</v>
      </c>
      <c r="S1257" t="str" cm="1">
        <f t="array" ref="S1257">IFERROR(_xlfn.IFS(Table1[[#This Row],[Payment Status]]="Partial","In Transit",Table1[[#This Row],[Payment Status]]="Paid","Delivered",Table1[[#This Row],[Payment Status]]="Pending","Pending"),"Invalid Input")</f>
        <v>Pending</v>
      </c>
      <c r="T1257" t="s">
        <v>44</v>
      </c>
      <c r="U1257" t="str" cm="1">
        <f t="array" ref="U1257">IFERROR(_xlfn.IFS(Table1[[#This Row],[Payment Status]]="Partial","In Transit",Table1[[#This Row],[Payment Status]]="Paid","Completed",Table1[[#This Row],[Payment Status]]="Pending","Pending"),"Invalid Input")</f>
        <v>Pending</v>
      </c>
    </row>
    <row r="1258" spans="1:21" x14ac:dyDescent="0.25">
      <c r="A1258" s="4" t="s">
        <v>2206</v>
      </c>
      <c r="B1258" s="5">
        <v>45544</v>
      </c>
      <c r="C1258" t="s">
        <v>73</v>
      </c>
      <c r="D1258" t="s">
        <v>3270</v>
      </c>
      <c r="E1258" t="s">
        <v>30</v>
      </c>
      <c r="F1258" t="s">
        <v>3223</v>
      </c>
      <c r="G1258" t="s">
        <v>31</v>
      </c>
      <c r="H1258" t="str">
        <f>VLOOKUP(Table1[[#This Row],[City]],Table6[#All],2,FALSE)</f>
        <v>South</v>
      </c>
      <c r="I1258" t="s">
        <v>53</v>
      </c>
      <c r="J1258" t="str">
        <f>_xlfn.XLOOKUP(Table1[[#This Row],[Tractor Model]],Table7[Product Model],Table7[Product Category],"Not Available",0)</f>
        <v>Farmtrac</v>
      </c>
      <c r="K1258" s="4">
        <v>8</v>
      </c>
      <c r="L1258" s="72">
        <v>121760</v>
      </c>
      <c r="M1258" s="4">
        <f>INDEX('Master Sheet'!$C$4:$C$12,MATCH(Table1[[#This Row],[Quantity]],'Master Sheet'!$B$4:$B$12,0))</f>
        <v>9</v>
      </c>
      <c r="N1258" s="71">
        <f>Table1[[#This Row],[Quantity]]*Table1[[#This Row],[Unit Price]]</f>
        <v>974080</v>
      </c>
      <c r="O1258" s="73">
        <v>9.7407999999999995E-2</v>
      </c>
      <c r="P1258" s="70">
        <f>Table1[[#This Row],[Gross Amount]]*(1-(Table1[[#This Row],[Discount %]]/100))</f>
        <v>886412.80000000005</v>
      </c>
      <c r="Q1258" s="74">
        <f>(Table1[[#This Row],[Gross Amount]]*(1-(Table1[[#This Row],[Discount %]]/100)))/10000000</f>
        <v>8.8641280000000003E-2</v>
      </c>
      <c r="R1258" t="s">
        <v>42</v>
      </c>
      <c r="S1258" t="str" cm="1">
        <f t="array" ref="S1258">IFERROR(_xlfn.IFS(Table1[[#This Row],[Payment Status]]="Partial","In Transit",Table1[[#This Row],[Payment Status]]="Paid","Delivered",Table1[[#This Row],[Payment Status]]="Pending","Pending"),"Invalid Input")</f>
        <v>Pending</v>
      </c>
      <c r="T1258" t="s">
        <v>27</v>
      </c>
      <c r="U1258" t="str" cm="1">
        <f t="array" ref="U1258">IFERROR(_xlfn.IFS(Table1[[#This Row],[Payment Status]]="Partial","In Transit",Table1[[#This Row],[Payment Status]]="Paid","Completed",Table1[[#This Row],[Payment Status]]="Pending","Pending"),"Invalid Input")</f>
        <v>Pending</v>
      </c>
    </row>
    <row r="1259" spans="1:21" x14ac:dyDescent="0.25">
      <c r="A1259" s="4" t="s">
        <v>2208</v>
      </c>
      <c r="B1259" s="5">
        <v>45334</v>
      </c>
      <c r="C1259" t="s">
        <v>52</v>
      </c>
      <c r="D1259" t="s">
        <v>3268</v>
      </c>
      <c r="E1259" t="s">
        <v>38</v>
      </c>
      <c r="F1259" t="s">
        <v>3219</v>
      </c>
      <c r="G1259" t="s">
        <v>39</v>
      </c>
      <c r="H1259" t="str">
        <f>VLOOKUP(Table1[[#This Row],[City]],Table6[#All],2,FALSE)</f>
        <v>West</v>
      </c>
      <c r="I1259" t="s">
        <v>58</v>
      </c>
      <c r="J1259" t="str">
        <f>_xlfn.XLOOKUP(Table1[[#This Row],[Tractor Model]],Table7[Product Model],Table7[Product Category],"Not Available",0)</f>
        <v>Powertrac</v>
      </c>
      <c r="K1259" s="4">
        <v>6</v>
      </c>
      <c r="L1259" s="72">
        <v>202213</v>
      </c>
      <c r="M1259" s="4">
        <f>INDEX('Master Sheet'!$C$4:$C$12,MATCH(Table1[[#This Row],[Quantity]],'Master Sheet'!$B$4:$B$12,0))</f>
        <v>8</v>
      </c>
      <c r="N1259" s="71">
        <f>Table1[[#This Row],[Quantity]]*Table1[[#This Row],[Unit Price]]</f>
        <v>1213278</v>
      </c>
      <c r="O1259" s="73">
        <v>0.1213278</v>
      </c>
      <c r="P1259" s="70">
        <f>Table1[[#This Row],[Gross Amount]]*(1-(Table1[[#This Row],[Discount %]]/100))</f>
        <v>1116215.76</v>
      </c>
      <c r="Q1259" s="74">
        <f>(Table1[[#This Row],[Gross Amount]]*(1-(Table1[[#This Row],[Discount %]]/100)))/10000000</f>
        <v>0.111621576</v>
      </c>
      <c r="R1259" t="s">
        <v>42</v>
      </c>
      <c r="S1259" t="str" cm="1">
        <f t="array" ref="S1259">IFERROR(_xlfn.IFS(Table1[[#This Row],[Payment Status]]="Partial","In Transit",Table1[[#This Row],[Payment Status]]="Paid","Delivered",Table1[[#This Row],[Payment Status]]="Pending","Pending"),"Invalid Input")</f>
        <v>Pending</v>
      </c>
      <c r="T1259" t="s">
        <v>27</v>
      </c>
      <c r="U1259" t="str" cm="1">
        <f t="array" ref="U1259">IFERROR(_xlfn.IFS(Table1[[#This Row],[Payment Status]]="Partial","In Transit",Table1[[#This Row],[Payment Status]]="Paid","Completed",Table1[[#This Row],[Payment Status]]="Pending","Pending"),"Invalid Input")</f>
        <v>Pending</v>
      </c>
    </row>
    <row r="1260" spans="1:21" x14ac:dyDescent="0.25">
      <c r="A1260" s="4" t="s">
        <v>2209</v>
      </c>
      <c r="B1260" s="5">
        <v>45654</v>
      </c>
      <c r="C1260" t="s">
        <v>52</v>
      </c>
      <c r="D1260" t="s">
        <v>3270</v>
      </c>
      <c r="E1260" t="s">
        <v>119</v>
      </c>
      <c r="F1260" t="s">
        <v>3212</v>
      </c>
      <c r="G1260" t="s">
        <v>21</v>
      </c>
      <c r="H1260" t="str">
        <f>VLOOKUP(Table1[[#This Row],[City]],Table6[#All],2,FALSE)</f>
        <v>North</v>
      </c>
      <c r="I1260" t="s">
        <v>24</v>
      </c>
      <c r="J1260" t="str">
        <f>_xlfn.XLOOKUP(Table1[[#This Row],[Tractor Model]],Table7[Product Model],Table7[Product Category],"Not Available",0)</f>
        <v>Farmtrac</v>
      </c>
      <c r="K1260" s="4">
        <v>1</v>
      </c>
      <c r="L1260" s="72">
        <v>776139</v>
      </c>
      <c r="M1260" s="4">
        <f>INDEX('Master Sheet'!$C$4:$C$12,MATCH(Table1[[#This Row],[Quantity]],'Master Sheet'!$B$4:$B$12,0))</f>
        <v>3</v>
      </c>
      <c r="N1260" s="71">
        <f>Table1[[#This Row],[Quantity]]*Table1[[#This Row],[Unit Price]]</f>
        <v>776139</v>
      </c>
      <c r="O1260" s="73">
        <v>7.76139E-2</v>
      </c>
      <c r="P1260" s="70">
        <f>Table1[[#This Row],[Gross Amount]]*(1-(Table1[[#This Row],[Discount %]]/100))</f>
        <v>752854.83</v>
      </c>
      <c r="Q1260" s="74">
        <f>(Table1[[#This Row],[Gross Amount]]*(1-(Table1[[#This Row],[Discount %]]/100)))/10000000</f>
        <v>7.5285483E-2</v>
      </c>
      <c r="R1260" t="s">
        <v>25</v>
      </c>
      <c r="S1260" t="str" cm="1">
        <f t="array" ref="S1260">IFERROR(_xlfn.IFS(Table1[[#This Row],[Payment Status]]="Partial","In Transit",Table1[[#This Row],[Payment Status]]="Paid","Delivered",Table1[[#This Row],[Payment Status]]="Pending","Pending"),"Invalid Input")</f>
        <v>In Transit</v>
      </c>
      <c r="T1260" t="s">
        <v>44</v>
      </c>
      <c r="U1260" t="str" cm="1">
        <f t="array" ref="U1260">IFERROR(_xlfn.IFS(Table1[[#This Row],[Payment Status]]="Partial","In Transit",Table1[[#This Row],[Payment Status]]="Paid","Completed",Table1[[#This Row],[Payment Status]]="Pending","Pending"),"Invalid Input")</f>
        <v>In Transit</v>
      </c>
    </row>
    <row r="1261" spans="1:21" x14ac:dyDescent="0.25">
      <c r="A1261" s="4" t="s">
        <v>2211</v>
      </c>
      <c r="B1261" s="5">
        <v>45631</v>
      </c>
      <c r="C1261" t="s">
        <v>41</v>
      </c>
      <c r="D1261" t="s">
        <v>3269</v>
      </c>
      <c r="E1261" t="s">
        <v>30</v>
      </c>
      <c r="F1261" t="s">
        <v>3225</v>
      </c>
      <c r="G1261" t="s">
        <v>31</v>
      </c>
      <c r="H1261" t="str">
        <f>VLOOKUP(Table1[[#This Row],[City]],Table6[#All],2,FALSE)</f>
        <v>South</v>
      </c>
      <c r="I1261" t="s">
        <v>58</v>
      </c>
      <c r="J1261" t="str">
        <f>_xlfn.XLOOKUP(Table1[[#This Row],[Tractor Model]],Table7[Product Model],Table7[Product Category],"Not Available",0)</f>
        <v>Powertrac</v>
      </c>
      <c r="K1261" s="4">
        <v>8</v>
      </c>
      <c r="L1261" s="72">
        <v>289056</v>
      </c>
      <c r="M1261" s="4">
        <f>INDEX('Master Sheet'!$C$4:$C$12,MATCH(Table1[[#This Row],[Quantity]],'Master Sheet'!$B$4:$B$12,0))</f>
        <v>9</v>
      </c>
      <c r="N1261" s="71">
        <f>Table1[[#This Row],[Quantity]]*Table1[[#This Row],[Unit Price]]</f>
        <v>2312448</v>
      </c>
      <c r="O1261" s="73">
        <v>0.2312448</v>
      </c>
      <c r="P1261" s="70">
        <f>Table1[[#This Row],[Gross Amount]]*(1-(Table1[[#This Row],[Discount %]]/100))</f>
        <v>2104327.6800000002</v>
      </c>
      <c r="Q1261" s="74">
        <f>(Table1[[#This Row],[Gross Amount]]*(1-(Table1[[#This Row],[Discount %]]/100)))/10000000</f>
        <v>0.21043276800000002</v>
      </c>
      <c r="R1261" t="s">
        <v>42</v>
      </c>
      <c r="S1261" t="str" cm="1">
        <f t="array" ref="S1261">IFERROR(_xlfn.IFS(Table1[[#This Row],[Payment Status]]="Partial","In Transit",Table1[[#This Row],[Payment Status]]="Paid","Delivered",Table1[[#This Row],[Payment Status]]="Pending","Pending"),"Invalid Input")</f>
        <v>Pending</v>
      </c>
      <c r="T1261" t="s">
        <v>44</v>
      </c>
      <c r="U1261" t="str" cm="1">
        <f t="array" ref="U1261">IFERROR(_xlfn.IFS(Table1[[#This Row],[Payment Status]]="Partial","In Transit",Table1[[#This Row],[Payment Status]]="Paid","Completed",Table1[[#This Row],[Payment Status]]="Pending","Pending"),"Invalid Input")</f>
        <v>Pending</v>
      </c>
    </row>
    <row r="1262" spans="1:21" x14ac:dyDescent="0.25">
      <c r="A1262" s="4" t="s">
        <v>2213</v>
      </c>
      <c r="B1262" s="5">
        <v>45586</v>
      </c>
      <c r="C1262" t="s">
        <v>62</v>
      </c>
      <c r="D1262" t="s">
        <v>3268</v>
      </c>
      <c r="E1262" t="s">
        <v>30</v>
      </c>
      <c r="F1262" t="s">
        <v>3208</v>
      </c>
      <c r="G1262" t="s">
        <v>31</v>
      </c>
      <c r="H1262" t="str">
        <f>VLOOKUP(Table1[[#This Row],[City]],Table6[#All],2,FALSE)</f>
        <v>South</v>
      </c>
      <c r="I1262" t="s">
        <v>24</v>
      </c>
      <c r="J1262" t="str">
        <f>_xlfn.XLOOKUP(Table1[[#This Row],[Tractor Model]],Table7[Product Model],Table7[Product Category],"Not Available",0)</f>
        <v>Farmtrac</v>
      </c>
      <c r="K1262" s="4">
        <v>4</v>
      </c>
      <c r="L1262" s="72">
        <v>172405</v>
      </c>
      <c r="M1262" s="4">
        <f>INDEX('Master Sheet'!$C$4:$C$12,MATCH(Table1[[#This Row],[Quantity]],'Master Sheet'!$B$4:$B$12,0))</f>
        <v>6</v>
      </c>
      <c r="N1262" s="71">
        <f>Table1[[#This Row],[Quantity]]*Table1[[#This Row],[Unit Price]]</f>
        <v>689620</v>
      </c>
      <c r="O1262" s="73">
        <v>6.8961999999999996E-2</v>
      </c>
      <c r="P1262" s="70">
        <f>Table1[[#This Row],[Gross Amount]]*(1-(Table1[[#This Row],[Discount %]]/100))</f>
        <v>648242.79999999993</v>
      </c>
      <c r="Q1262" s="74">
        <f>(Table1[[#This Row],[Gross Amount]]*(1-(Table1[[#This Row],[Discount %]]/100)))/10000000</f>
        <v>6.4824279999999998E-2</v>
      </c>
      <c r="R1262" t="s">
        <v>25</v>
      </c>
      <c r="S1262" t="str" cm="1">
        <f t="array" ref="S1262">IFERROR(_xlfn.IFS(Table1[[#This Row],[Payment Status]]="Partial","In Transit",Table1[[#This Row],[Payment Status]]="Paid","Delivered",Table1[[#This Row],[Payment Status]]="Pending","Pending"),"Invalid Input")</f>
        <v>In Transit</v>
      </c>
      <c r="T1262" t="s">
        <v>27</v>
      </c>
      <c r="U1262" t="str" cm="1">
        <f t="array" ref="U1262">IFERROR(_xlfn.IFS(Table1[[#This Row],[Payment Status]]="Partial","In Transit",Table1[[#This Row],[Payment Status]]="Paid","Completed",Table1[[#This Row],[Payment Status]]="Pending","Pending"),"Invalid Input")</f>
        <v>In Transit</v>
      </c>
    </row>
    <row r="1263" spans="1:21" x14ac:dyDescent="0.25">
      <c r="A1263" s="4" t="s">
        <v>2215</v>
      </c>
      <c r="B1263" s="5">
        <v>45733</v>
      </c>
      <c r="C1263" t="s">
        <v>52</v>
      </c>
      <c r="D1263" t="s">
        <v>3269</v>
      </c>
      <c r="E1263" t="s">
        <v>119</v>
      </c>
      <c r="F1263" t="s">
        <v>3229</v>
      </c>
      <c r="G1263" t="s">
        <v>21</v>
      </c>
      <c r="H1263" t="str">
        <f>VLOOKUP(Table1[[#This Row],[City]],Table6[#All],2,FALSE)</f>
        <v>North</v>
      </c>
      <c r="I1263" t="s">
        <v>58</v>
      </c>
      <c r="J1263" t="str">
        <f>_xlfn.XLOOKUP(Table1[[#This Row],[Tractor Model]],Table7[Product Model],Table7[Product Category],"Not Available",0)</f>
        <v>Powertrac</v>
      </c>
      <c r="K1263" s="4">
        <v>1</v>
      </c>
      <c r="L1263" s="72">
        <v>270590</v>
      </c>
      <c r="M1263" s="4">
        <f>INDEX('Master Sheet'!$C$4:$C$12,MATCH(Table1[[#This Row],[Quantity]],'Master Sheet'!$B$4:$B$12,0))</f>
        <v>3</v>
      </c>
      <c r="N1263" s="71">
        <f>Table1[[#This Row],[Quantity]]*Table1[[#This Row],[Unit Price]]</f>
        <v>270590</v>
      </c>
      <c r="O1263" s="73">
        <v>2.7059E-2</v>
      </c>
      <c r="P1263" s="70">
        <f>Table1[[#This Row],[Gross Amount]]*(1-(Table1[[#This Row],[Discount %]]/100))</f>
        <v>262472.3</v>
      </c>
      <c r="Q1263" s="74">
        <f>(Table1[[#This Row],[Gross Amount]]*(1-(Table1[[#This Row],[Discount %]]/100)))/10000000</f>
        <v>2.624723E-2</v>
      </c>
      <c r="R1263" t="s">
        <v>54</v>
      </c>
      <c r="S1263" t="str" cm="1">
        <f t="array" ref="S1263">IFERROR(_xlfn.IFS(Table1[[#This Row],[Payment Status]]="Partial","In Transit",Table1[[#This Row],[Payment Status]]="Paid","Delivered",Table1[[#This Row],[Payment Status]]="Pending","Pending"),"Invalid Input")</f>
        <v>Delivered</v>
      </c>
      <c r="T1263" t="s">
        <v>27</v>
      </c>
      <c r="U1263" t="str" cm="1">
        <f t="array" ref="U1263">IFERROR(_xlfn.IFS(Table1[[#This Row],[Payment Status]]="Partial","In Transit",Table1[[#This Row],[Payment Status]]="Paid","Completed",Table1[[#This Row],[Payment Status]]="Pending","Pending"),"Invalid Input")</f>
        <v>Completed</v>
      </c>
    </row>
    <row r="1264" spans="1:21" x14ac:dyDescent="0.25">
      <c r="A1264" s="4" t="s">
        <v>2217</v>
      </c>
      <c r="B1264" s="5">
        <v>45511</v>
      </c>
      <c r="C1264" t="s">
        <v>52</v>
      </c>
      <c r="D1264" t="s">
        <v>3271</v>
      </c>
      <c r="E1264" t="s">
        <v>30</v>
      </c>
      <c r="F1264" t="s">
        <v>3217</v>
      </c>
      <c r="G1264" t="s">
        <v>31</v>
      </c>
      <c r="H1264" t="str">
        <f>VLOOKUP(Table1[[#This Row],[City]],Table6[#All],2,FALSE)</f>
        <v>South</v>
      </c>
      <c r="I1264" t="s">
        <v>58</v>
      </c>
      <c r="J1264" t="str">
        <f>_xlfn.XLOOKUP(Table1[[#This Row],[Tractor Model]],Table7[Product Model],Table7[Product Category],"Not Available",0)</f>
        <v>Powertrac</v>
      </c>
      <c r="K1264" s="4">
        <v>6</v>
      </c>
      <c r="L1264" s="72">
        <v>795412</v>
      </c>
      <c r="M1264" s="4">
        <f>INDEX('Master Sheet'!$C$4:$C$12,MATCH(Table1[[#This Row],[Quantity]],'Master Sheet'!$B$4:$B$12,0))</f>
        <v>8</v>
      </c>
      <c r="N1264" s="71">
        <f>Table1[[#This Row],[Quantity]]*Table1[[#This Row],[Unit Price]]</f>
        <v>4772472</v>
      </c>
      <c r="O1264" s="73">
        <v>0.47724719999999998</v>
      </c>
      <c r="P1264" s="70">
        <f>Table1[[#This Row],[Gross Amount]]*(1-(Table1[[#This Row],[Discount %]]/100))</f>
        <v>4390674.24</v>
      </c>
      <c r="Q1264" s="74">
        <f>(Table1[[#This Row],[Gross Amount]]*(1-(Table1[[#This Row],[Discount %]]/100)))/10000000</f>
        <v>0.43906742400000004</v>
      </c>
      <c r="R1264" t="s">
        <v>54</v>
      </c>
      <c r="S1264" t="str" cm="1">
        <f t="array" ref="S1264">IFERROR(_xlfn.IFS(Table1[[#This Row],[Payment Status]]="Partial","In Transit",Table1[[#This Row],[Payment Status]]="Paid","Delivered",Table1[[#This Row],[Payment Status]]="Pending","Pending"),"Invalid Input")</f>
        <v>Delivered</v>
      </c>
      <c r="T1264" t="s">
        <v>44</v>
      </c>
      <c r="U1264" t="str" cm="1">
        <f t="array" ref="U1264">IFERROR(_xlfn.IFS(Table1[[#This Row],[Payment Status]]="Partial","In Transit",Table1[[#This Row],[Payment Status]]="Paid","Completed",Table1[[#This Row],[Payment Status]]="Pending","Pending"),"Invalid Input")</f>
        <v>Completed</v>
      </c>
    </row>
    <row r="1265" spans="1:21" x14ac:dyDescent="0.25">
      <c r="A1265" s="4" t="s">
        <v>2219</v>
      </c>
      <c r="B1265" s="5">
        <v>45419</v>
      </c>
      <c r="C1265" t="s">
        <v>41</v>
      </c>
      <c r="D1265" t="s">
        <v>37</v>
      </c>
      <c r="E1265" t="s">
        <v>30</v>
      </c>
      <c r="F1265" t="s">
        <v>3222</v>
      </c>
      <c r="G1265" t="s">
        <v>31</v>
      </c>
      <c r="H1265" t="str">
        <f>VLOOKUP(Table1[[#This Row],[City]],Table6[#All],2,FALSE)</f>
        <v>South</v>
      </c>
      <c r="I1265" t="s">
        <v>24</v>
      </c>
      <c r="J1265" t="str">
        <f>_xlfn.XLOOKUP(Table1[[#This Row],[Tractor Model]],Table7[Product Model],Table7[Product Category],"Not Available",0)</f>
        <v>Farmtrac</v>
      </c>
      <c r="K1265" s="4">
        <v>7</v>
      </c>
      <c r="L1265" s="72">
        <v>278183</v>
      </c>
      <c r="M1265" s="4">
        <f>INDEX('Master Sheet'!$C$4:$C$12,MATCH(Table1[[#This Row],[Quantity]],'Master Sheet'!$B$4:$B$12,0))</f>
        <v>9</v>
      </c>
      <c r="N1265" s="71">
        <f>Table1[[#This Row],[Quantity]]*Table1[[#This Row],[Unit Price]]</f>
        <v>1947281</v>
      </c>
      <c r="O1265" s="73">
        <v>0.19472809999999999</v>
      </c>
      <c r="P1265" s="70">
        <f>Table1[[#This Row],[Gross Amount]]*(1-(Table1[[#This Row],[Discount %]]/100))</f>
        <v>1772025.71</v>
      </c>
      <c r="Q1265" s="74">
        <f>(Table1[[#This Row],[Gross Amount]]*(1-(Table1[[#This Row],[Discount %]]/100)))/10000000</f>
        <v>0.177202571</v>
      </c>
      <c r="R1265" t="s">
        <v>25</v>
      </c>
      <c r="S1265" t="str" cm="1">
        <f t="array" ref="S1265">IFERROR(_xlfn.IFS(Table1[[#This Row],[Payment Status]]="Partial","In Transit",Table1[[#This Row],[Payment Status]]="Paid","Delivered",Table1[[#This Row],[Payment Status]]="Pending","Pending"),"Invalid Input")</f>
        <v>In Transit</v>
      </c>
      <c r="T1265" t="s">
        <v>27</v>
      </c>
      <c r="U1265" t="str" cm="1">
        <f t="array" ref="U1265">IFERROR(_xlfn.IFS(Table1[[#This Row],[Payment Status]]="Partial","In Transit",Table1[[#This Row],[Payment Status]]="Paid","Completed",Table1[[#This Row],[Payment Status]]="Pending","Pending"),"Invalid Input")</f>
        <v>In Transit</v>
      </c>
    </row>
    <row r="1266" spans="1:21" x14ac:dyDescent="0.25">
      <c r="A1266" s="4" t="s">
        <v>2221</v>
      </c>
      <c r="B1266" s="5">
        <v>45298</v>
      </c>
      <c r="C1266" t="s">
        <v>62</v>
      </c>
      <c r="D1266" t="s">
        <v>37</v>
      </c>
      <c r="E1266" t="s">
        <v>47</v>
      </c>
      <c r="F1266" t="s">
        <v>3215</v>
      </c>
      <c r="G1266" t="s">
        <v>48</v>
      </c>
      <c r="H1266" t="str">
        <f>VLOOKUP(Table1[[#This Row],[City]],Table6[#All],2,FALSE)</f>
        <v>North</v>
      </c>
      <c r="I1266" t="s">
        <v>24</v>
      </c>
      <c r="J1266" t="str">
        <f>_xlfn.XLOOKUP(Table1[[#This Row],[Tractor Model]],Table7[Product Model],Table7[Product Category],"Not Available",0)</f>
        <v>Farmtrac</v>
      </c>
      <c r="K1266" s="4">
        <v>1</v>
      </c>
      <c r="L1266" s="72">
        <v>277376</v>
      </c>
      <c r="M1266" s="4">
        <f>INDEX('Master Sheet'!$C$4:$C$12,MATCH(Table1[[#This Row],[Quantity]],'Master Sheet'!$B$4:$B$12,0))</f>
        <v>3</v>
      </c>
      <c r="N1266" s="71">
        <f>Table1[[#This Row],[Quantity]]*Table1[[#This Row],[Unit Price]]</f>
        <v>277376</v>
      </c>
      <c r="O1266" s="73">
        <v>2.7737600000000001E-2</v>
      </c>
      <c r="P1266" s="70">
        <f>Table1[[#This Row],[Gross Amount]]*(1-(Table1[[#This Row],[Discount %]]/100))</f>
        <v>269054.71999999997</v>
      </c>
      <c r="Q1266" s="74">
        <f>(Table1[[#This Row],[Gross Amount]]*(1-(Table1[[#This Row],[Discount %]]/100)))/10000000</f>
        <v>2.6905471999999996E-2</v>
      </c>
      <c r="R1266" t="s">
        <v>42</v>
      </c>
      <c r="S1266" t="str" cm="1">
        <f t="array" ref="S1266">IFERROR(_xlfn.IFS(Table1[[#This Row],[Payment Status]]="Partial","In Transit",Table1[[#This Row],[Payment Status]]="Paid","Delivered",Table1[[#This Row],[Payment Status]]="Pending","Pending"),"Invalid Input")</f>
        <v>Pending</v>
      </c>
      <c r="T1266" t="s">
        <v>27</v>
      </c>
      <c r="U1266" t="str" cm="1">
        <f t="array" ref="U1266">IFERROR(_xlfn.IFS(Table1[[#This Row],[Payment Status]]="Partial","In Transit",Table1[[#This Row],[Payment Status]]="Paid","Completed",Table1[[#This Row],[Payment Status]]="Pending","Pending"),"Invalid Input")</f>
        <v>Pending</v>
      </c>
    </row>
    <row r="1267" spans="1:21" x14ac:dyDescent="0.25">
      <c r="A1267" s="4" t="s">
        <v>2223</v>
      </c>
      <c r="B1267" s="5">
        <v>45484</v>
      </c>
      <c r="C1267" t="s">
        <v>33</v>
      </c>
      <c r="D1267" t="s">
        <v>3268</v>
      </c>
      <c r="E1267" t="s">
        <v>119</v>
      </c>
      <c r="F1267" t="s">
        <v>3227</v>
      </c>
      <c r="G1267" t="s">
        <v>21</v>
      </c>
      <c r="H1267" t="str">
        <f>VLOOKUP(Table1[[#This Row],[City]],Table6[#All],2,FALSE)</f>
        <v>North</v>
      </c>
      <c r="I1267" t="s">
        <v>58</v>
      </c>
      <c r="J1267" t="str">
        <f>_xlfn.XLOOKUP(Table1[[#This Row],[Tractor Model]],Table7[Product Model],Table7[Product Category],"Not Available",0)</f>
        <v>Powertrac</v>
      </c>
      <c r="K1267" s="4">
        <v>8</v>
      </c>
      <c r="L1267" s="72">
        <v>156369</v>
      </c>
      <c r="M1267" s="4">
        <f>INDEX('Master Sheet'!$C$4:$C$12,MATCH(Table1[[#This Row],[Quantity]],'Master Sheet'!$B$4:$B$12,0))</f>
        <v>9</v>
      </c>
      <c r="N1267" s="71">
        <f>Table1[[#This Row],[Quantity]]*Table1[[#This Row],[Unit Price]]</f>
        <v>1250952</v>
      </c>
      <c r="O1267" s="73">
        <v>0.12509519999999999</v>
      </c>
      <c r="P1267" s="70">
        <f>Table1[[#This Row],[Gross Amount]]*(1-(Table1[[#This Row],[Discount %]]/100))</f>
        <v>1138366.32</v>
      </c>
      <c r="Q1267" s="74">
        <f>(Table1[[#This Row],[Gross Amount]]*(1-(Table1[[#This Row],[Discount %]]/100)))/10000000</f>
        <v>0.11383663200000001</v>
      </c>
      <c r="R1267" t="s">
        <v>54</v>
      </c>
      <c r="S1267" t="str" cm="1">
        <f t="array" ref="S1267">IFERROR(_xlfn.IFS(Table1[[#This Row],[Payment Status]]="Partial","In Transit",Table1[[#This Row],[Payment Status]]="Paid","Delivered",Table1[[#This Row],[Payment Status]]="Pending","Pending"),"Invalid Input")</f>
        <v>Delivered</v>
      </c>
      <c r="T1267" t="s">
        <v>27</v>
      </c>
      <c r="U1267" t="str" cm="1">
        <f t="array" ref="U1267">IFERROR(_xlfn.IFS(Table1[[#This Row],[Payment Status]]="Partial","In Transit",Table1[[#This Row],[Payment Status]]="Paid","Completed",Table1[[#This Row],[Payment Status]]="Pending","Pending"),"Invalid Input")</f>
        <v>Completed</v>
      </c>
    </row>
    <row r="1268" spans="1:21" x14ac:dyDescent="0.25">
      <c r="A1268" s="4" t="s">
        <v>2225</v>
      </c>
      <c r="B1268" s="5">
        <v>45643</v>
      </c>
      <c r="C1268" t="s">
        <v>73</v>
      </c>
      <c r="D1268" t="s">
        <v>3271</v>
      </c>
      <c r="E1268" t="s">
        <v>30</v>
      </c>
      <c r="F1268" t="s">
        <v>3217</v>
      </c>
      <c r="G1268" t="s">
        <v>31</v>
      </c>
      <c r="H1268" t="str">
        <f>VLOOKUP(Table1[[#This Row],[City]],Table6[#All],2,FALSE)</f>
        <v>South</v>
      </c>
      <c r="I1268" t="s">
        <v>3203</v>
      </c>
      <c r="J1268" t="str">
        <f>_xlfn.XLOOKUP(Table1[[#This Row],[Tractor Model]],Table7[Product Model],Table7[Product Category],"Not Available",0)</f>
        <v>Kubota</v>
      </c>
      <c r="K1268" s="4">
        <v>1</v>
      </c>
      <c r="L1268" s="72">
        <v>129939</v>
      </c>
      <c r="M1268" s="4">
        <f>INDEX('Master Sheet'!$C$4:$C$12,MATCH(Table1[[#This Row],[Quantity]],'Master Sheet'!$B$4:$B$12,0))</f>
        <v>3</v>
      </c>
      <c r="N1268" s="71">
        <f>Table1[[#This Row],[Quantity]]*Table1[[#This Row],[Unit Price]]</f>
        <v>129939</v>
      </c>
      <c r="O1268" s="73">
        <v>1.2993899999999999E-2</v>
      </c>
      <c r="P1268" s="70">
        <f>Table1[[#This Row],[Gross Amount]]*(1-(Table1[[#This Row],[Discount %]]/100))</f>
        <v>126040.83</v>
      </c>
      <c r="Q1268" s="74">
        <f>(Table1[[#This Row],[Gross Amount]]*(1-(Table1[[#This Row],[Discount %]]/100)))/10000000</f>
        <v>1.2604083E-2</v>
      </c>
      <c r="R1268" t="s">
        <v>25</v>
      </c>
      <c r="S1268" t="str" cm="1">
        <f t="array" ref="S1268">IFERROR(_xlfn.IFS(Table1[[#This Row],[Payment Status]]="Partial","In Transit",Table1[[#This Row],[Payment Status]]="Paid","Delivered",Table1[[#This Row],[Payment Status]]="Pending","Pending"),"Invalid Input")</f>
        <v>In Transit</v>
      </c>
      <c r="T1268" t="s">
        <v>27</v>
      </c>
      <c r="U1268" t="str" cm="1">
        <f t="array" ref="U1268">IFERROR(_xlfn.IFS(Table1[[#This Row],[Payment Status]]="Partial","In Transit",Table1[[#This Row],[Payment Status]]="Paid","Completed",Table1[[#This Row],[Payment Status]]="Pending","Pending"),"Invalid Input")</f>
        <v>In Transit</v>
      </c>
    </row>
    <row r="1269" spans="1:21" x14ac:dyDescent="0.25">
      <c r="A1269" s="4" t="s">
        <v>2226</v>
      </c>
      <c r="B1269" s="5">
        <v>45631</v>
      </c>
      <c r="C1269" t="s">
        <v>52</v>
      </c>
      <c r="D1269" t="s">
        <v>3271</v>
      </c>
      <c r="E1269" t="s">
        <v>38</v>
      </c>
      <c r="F1269" t="s">
        <v>3210</v>
      </c>
      <c r="G1269" t="s">
        <v>39</v>
      </c>
      <c r="H1269" t="str">
        <f>VLOOKUP(Table1[[#This Row],[City]],Table6[#All],2,FALSE)</f>
        <v>West</v>
      </c>
      <c r="I1269" t="s">
        <v>24</v>
      </c>
      <c r="J1269" t="str">
        <f>_xlfn.XLOOKUP(Table1[[#This Row],[Tractor Model]],Table7[Product Model],Table7[Product Category],"Not Available",0)</f>
        <v>Farmtrac</v>
      </c>
      <c r="K1269" s="4">
        <v>7</v>
      </c>
      <c r="L1269" s="72">
        <v>579711</v>
      </c>
      <c r="M1269" s="4">
        <f>INDEX('Master Sheet'!$C$4:$C$12,MATCH(Table1[[#This Row],[Quantity]],'Master Sheet'!$B$4:$B$12,0))</f>
        <v>9</v>
      </c>
      <c r="N1269" s="71">
        <f>Table1[[#This Row],[Quantity]]*Table1[[#This Row],[Unit Price]]</f>
        <v>4057977</v>
      </c>
      <c r="O1269" s="73">
        <v>0.40579769999999998</v>
      </c>
      <c r="P1269" s="70">
        <f>Table1[[#This Row],[Gross Amount]]*(1-(Table1[[#This Row],[Discount %]]/100))</f>
        <v>3692759.0700000003</v>
      </c>
      <c r="Q1269" s="74">
        <f>(Table1[[#This Row],[Gross Amount]]*(1-(Table1[[#This Row],[Discount %]]/100)))/10000000</f>
        <v>0.36927590700000001</v>
      </c>
      <c r="R1269" t="s">
        <v>54</v>
      </c>
      <c r="S1269" t="str" cm="1">
        <f t="array" ref="S1269">IFERROR(_xlfn.IFS(Table1[[#This Row],[Payment Status]]="Partial","In Transit",Table1[[#This Row],[Payment Status]]="Paid","Delivered",Table1[[#This Row],[Payment Status]]="Pending","Pending"),"Invalid Input")</f>
        <v>Delivered</v>
      </c>
      <c r="T1269" t="s">
        <v>27</v>
      </c>
      <c r="U1269" t="str" cm="1">
        <f t="array" ref="U1269">IFERROR(_xlfn.IFS(Table1[[#This Row],[Payment Status]]="Partial","In Transit",Table1[[#This Row],[Payment Status]]="Paid","Completed",Table1[[#This Row],[Payment Status]]="Pending","Pending"),"Invalid Input")</f>
        <v>Completed</v>
      </c>
    </row>
    <row r="1270" spans="1:21" x14ac:dyDescent="0.25">
      <c r="A1270" s="4" t="s">
        <v>2228</v>
      </c>
      <c r="B1270" s="5">
        <v>45294</v>
      </c>
      <c r="C1270" t="s">
        <v>41</v>
      </c>
      <c r="D1270" t="s">
        <v>3269</v>
      </c>
      <c r="E1270" t="s">
        <v>38</v>
      </c>
      <c r="F1270" t="s">
        <v>3206</v>
      </c>
      <c r="G1270" t="s">
        <v>39</v>
      </c>
      <c r="H1270" t="str">
        <f>VLOOKUP(Table1[[#This Row],[City]],Table6[#All],2,FALSE)</f>
        <v>West</v>
      </c>
      <c r="I1270" t="s">
        <v>3203</v>
      </c>
      <c r="J1270" t="str">
        <f>_xlfn.XLOOKUP(Table1[[#This Row],[Tractor Model]],Table7[Product Model],Table7[Product Category],"Not Available",0)</f>
        <v>Kubota</v>
      </c>
      <c r="K1270" s="4">
        <v>8</v>
      </c>
      <c r="L1270" s="72">
        <v>538015</v>
      </c>
      <c r="M1270" s="4">
        <f>INDEX('Master Sheet'!$C$4:$C$12,MATCH(Table1[[#This Row],[Quantity]],'Master Sheet'!$B$4:$B$12,0))</f>
        <v>9</v>
      </c>
      <c r="N1270" s="71">
        <f>Table1[[#This Row],[Quantity]]*Table1[[#This Row],[Unit Price]]</f>
        <v>4304120</v>
      </c>
      <c r="O1270" s="73">
        <v>0.43041200000000002</v>
      </c>
      <c r="P1270" s="70">
        <f>Table1[[#This Row],[Gross Amount]]*(1-(Table1[[#This Row],[Discount %]]/100))</f>
        <v>3916749.2</v>
      </c>
      <c r="Q1270" s="74">
        <f>(Table1[[#This Row],[Gross Amount]]*(1-(Table1[[#This Row],[Discount %]]/100)))/10000000</f>
        <v>0.39167492000000004</v>
      </c>
      <c r="R1270" t="s">
        <v>42</v>
      </c>
      <c r="S1270" t="str" cm="1">
        <f t="array" ref="S1270">IFERROR(_xlfn.IFS(Table1[[#This Row],[Payment Status]]="Partial","In Transit",Table1[[#This Row],[Payment Status]]="Paid","Delivered",Table1[[#This Row],[Payment Status]]="Pending","Pending"),"Invalid Input")</f>
        <v>Pending</v>
      </c>
      <c r="T1270" t="s">
        <v>27</v>
      </c>
      <c r="U1270" t="str" cm="1">
        <f t="array" ref="U1270">IFERROR(_xlfn.IFS(Table1[[#This Row],[Payment Status]]="Partial","In Transit",Table1[[#This Row],[Payment Status]]="Paid","Completed",Table1[[#This Row],[Payment Status]]="Pending","Pending"),"Invalid Input")</f>
        <v>Pending</v>
      </c>
    </row>
    <row r="1271" spans="1:21" x14ac:dyDescent="0.25">
      <c r="A1271" s="4" t="s">
        <v>2230</v>
      </c>
      <c r="B1271" s="5">
        <v>45382</v>
      </c>
      <c r="C1271" t="s">
        <v>52</v>
      </c>
      <c r="D1271" t="s">
        <v>37</v>
      </c>
      <c r="E1271" t="s">
        <v>119</v>
      </c>
      <c r="F1271" t="s">
        <v>3224</v>
      </c>
      <c r="G1271" t="s">
        <v>21</v>
      </c>
      <c r="H1271" t="str">
        <f>VLOOKUP(Table1[[#This Row],[City]],Table6[#All],2,FALSE)</f>
        <v>North</v>
      </c>
      <c r="I1271" t="s">
        <v>3203</v>
      </c>
      <c r="J1271" t="str">
        <f>_xlfn.XLOOKUP(Table1[[#This Row],[Tractor Model]],Table7[Product Model],Table7[Product Category],"Not Available",0)</f>
        <v>Kubota</v>
      </c>
      <c r="K1271" s="4">
        <v>7</v>
      </c>
      <c r="L1271" s="72">
        <v>767247</v>
      </c>
      <c r="M1271" s="4">
        <f>INDEX('Master Sheet'!$C$4:$C$12,MATCH(Table1[[#This Row],[Quantity]],'Master Sheet'!$B$4:$B$12,0))</f>
        <v>9</v>
      </c>
      <c r="N1271" s="71">
        <f>Table1[[#This Row],[Quantity]]*Table1[[#This Row],[Unit Price]]</f>
        <v>5370729</v>
      </c>
      <c r="O1271" s="73">
        <v>0.53707289999999996</v>
      </c>
      <c r="P1271" s="70">
        <f>Table1[[#This Row],[Gross Amount]]*(1-(Table1[[#This Row],[Discount %]]/100))</f>
        <v>4887363.3900000006</v>
      </c>
      <c r="Q1271" s="74">
        <f>(Table1[[#This Row],[Gross Amount]]*(1-(Table1[[#This Row],[Discount %]]/100)))/10000000</f>
        <v>0.48873633900000008</v>
      </c>
      <c r="R1271" t="s">
        <v>25</v>
      </c>
      <c r="S1271" t="str" cm="1">
        <f t="array" ref="S1271">IFERROR(_xlfn.IFS(Table1[[#This Row],[Payment Status]]="Partial","In Transit",Table1[[#This Row],[Payment Status]]="Paid","Delivered",Table1[[#This Row],[Payment Status]]="Pending","Pending"),"Invalid Input")</f>
        <v>In Transit</v>
      </c>
      <c r="T1271" t="s">
        <v>27</v>
      </c>
      <c r="U1271" t="str" cm="1">
        <f t="array" ref="U1271">IFERROR(_xlfn.IFS(Table1[[#This Row],[Payment Status]]="Partial","In Transit",Table1[[#This Row],[Payment Status]]="Paid","Completed",Table1[[#This Row],[Payment Status]]="Pending","Pending"),"Invalid Input")</f>
        <v>In Transit</v>
      </c>
    </row>
    <row r="1272" spans="1:21" x14ac:dyDescent="0.25">
      <c r="A1272" s="4" t="s">
        <v>2231</v>
      </c>
      <c r="B1272" s="5">
        <v>45572</v>
      </c>
      <c r="C1272" t="s">
        <v>33</v>
      </c>
      <c r="D1272" t="s">
        <v>3271</v>
      </c>
      <c r="E1272" t="s">
        <v>38</v>
      </c>
      <c r="F1272" t="s">
        <v>3210</v>
      </c>
      <c r="G1272" t="s">
        <v>39</v>
      </c>
      <c r="H1272" t="str">
        <f>VLOOKUP(Table1[[#This Row],[City]],Table6[#All],2,FALSE)</f>
        <v>West</v>
      </c>
      <c r="I1272" t="s">
        <v>3203</v>
      </c>
      <c r="J1272" t="str">
        <f>_xlfn.XLOOKUP(Table1[[#This Row],[Tractor Model]],Table7[Product Model],Table7[Product Category],"Not Available",0)</f>
        <v>Kubota</v>
      </c>
      <c r="K1272" s="4">
        <v>8</v>
      </c>
      <c r="L1272" s="72">
        <v>504362</v>
      </c>
      <c r="M1272" s="4">
        <f>INDEX('Master Sheet'!$C$4:$C$12,MATCH(Table1[[#This Row],[Quantity]],'Master Sheet'!$B$4:$B$12,0))</f>
        <v>9</v>
      </c>
      <c r="N1272" s="71">
        <f>Table1[[#This Row],[Quantity]]*Table1[[#This Row],[Unit Price]]</f>
        <v>4034896</v>
      </c>
      <c r="O1272" s="73">
        <v>0.4034896</v>
      </c>
      <c r="P1272" s="70">
        <f>Table1[[#This Row],[Gross Amount]]*(1-(Table1[[#This Row],[Discount %]]/100))</f>
        <v>3671755.3600000003</v>
      </c>
      <c r="Q1272" s="74">
        <f>(Table1[[#This Row],[Gross Amount]]*(1-(Table1[[#This Row],[Discount %]]/100)))/10000000</f>
        <v>0.36717553600000002</v>
      </c>
      <c r="R1272" t="s">
        <v>25</v>
      </c>
      <c r="S1272" t="str" cm="1">
        <f t="array" ref="S1272">IFERROR(_xlfn.IFS(Table1[[#This Row],[Payment Status]]="Partial","In Transit",Table1[[#This Row],[Payment Status]]="Paid","Delivered",Table1[[#This Row],[Payment Status]]="Pending","Pending"),"Invalid Input")</f>
        <v>In Transit</v>
      </c>
      <c r="T1272" t="s">
        <v>44</v>
      </c>
      <c r="U1272" t="str" cm="1">
        <f t="array" ref="U1272">IFERROR(_xlfn.IFS(Table1[[#This Row],[Payment Status]]="Partial","In Transit",Table1[[#This Row],[Payment Status]]="Paid","Completed",Table1[[#This Row],[Payment Status]]="Pending","Pending"),"Invalid Input")</f>
        <v>In Transit</v>
      </c>
    </row>
    <row r="1273" spans="1:21" x14ac:dyDescent="0.25">
      <c r="A1273" s="4" t="s">
        <v>2233</v>
      </c>
      <c r="B1273" s="5">
        <v>45380</v>
      </c>
      <c r="C1273" t="s">
        <v>52</v>
      </c>
      <c r="D1273" t="s">
        <v>3268</v>
      </c>
      <c r="E1273" t="s">
        <v>47</v>
      </c>
      <c r="F1273" t="s">
        <v>3216</v>
      </c>
      <c r="G1273" t="s">
        <v>48</v>
      </c>
      <c r="H1273" t="str">
        <f>VLOOKUP(Table1[[#This Row],[City]],Table6[#All],2,FALSE)</f>
        <v>North</v>
      </c>
      <c r="I1273" t="s">
        <v>58</v>
      </c>
      <c r="J1273" t="str">
        <f>_xlfn.XLOOKUP(Table1[[#This Row],[Tractor Model]],Table7[Product Model],Table7[Product Category],"Not Available",0)</f>
        <v>Powertrac</v>
      </c>
      <c r="K1273" s="4">
        <v>4</v>
      </c>
      <c r="L1273" s="72">
        <v>581049</v>
      </c>
      <c r="M1273" s="4">
        <f>INDEX('Master Sheet'!$C$4:$C$12,MATCH(Table1[[#This Row],[Quantity]],'Master Sheet'!$B$4:$B$12,0))</f>
        <v>6</v>
      </c>
      <c r="N1273" s="71">
        <f>Table1[[#This Row],[Quantity]]*Table1[[#This Row],[Unit Price]]</f>
        <v>2324196</v>
      </c>
      <c r="O1273" s="73">
        <v>0.2324196</v>
      </c>
      <c r="P1273" s="70">
        <f>Table1[[#This Row],[Gross Amount]]*(1-(Table1[[#This Row],[Discount %]]/100))</f>
        <v>2184744.2399999998</v>
      </c>
      <c r="Q1273" s="74">
        <f>(Table1[[#This Row],[Gross Amount]]*(1-(Table1[[#This Row],[Discount %]]/100)))/10000000</f>
        <v>0.21847442399999997</v>
      </c>
      <c r="R1273" t="s">
        <v>54</v>
      </c>
      <c r="S1273" t="str" cm="1">
        <f t="array" ref="S1273">IFERROR(_xlfn.IFS(Table1[[#This Row],[Payment Status]]="Partial","In Transit",Table1[[#This Row],[Payment Status]]="Paid","Delivered",Table1[[#This Row],[Payment Status]]="Pending","Pending"),"Invalid Input")</f>
        <v>Delivered</v>
      </c>
      <c r="T1273" t="s">
        <v>44</v>
      </c>
      <c r="U1273" t="str" cm="1">
        <f t="array" ref="U1273">IFERROR(_xlfn.IFS(Table1[[#This Row],[Payment Status]]="Partial","In Transit",Table1[[#This Row],[Payment Status]]="Paid","Completed",Table1[[#This Row],[Payment Status]]="Pending","Pending"),"Invalid Input")</f>
        <v>Completed</v>
      </c>
    </row>
    <row r="1274" spans="1:21" x14ac:dyDescent="0.25">
      <c r="A1274" s="4" t="s">
        <v>2234</v>
      </c>
      <c r="B1274" s="5">
        <v>45781</v>
      </c>
      <c r="C1274" t="s">
        <v>33</v>
      </c>
      <c r="D1274" t="s">
        <v>3271</v>
      </c>
      <c r="E1274" t="s">
        <v>119</v>
      </c>
      <c r="F1274" t="s">
        <v>3228</v>
      </c>
      <c r="G1274" t="s">
        <v>21</v>
      </c>
      <c r="H1274" t="str">
        <f>VLOOKUP(Table1[[#This Row],[City]],Table6[#All],2,FALSE)</f>
        <v>North</v>
      </c>
      <c r="I1274" t="s">
        <v>3203</v>
      </c>
      <c r="J1274" t="str">
        <f>_xlfn.XLOOKUP(Table1[[#This Row],[Tractor Model]],Table7[Product Model],Table7[Product Category],"Not Available",0)</f>
        <v>Kubota</v>
      </c>
      <c r="K1274" s="4">
        <v>4</v>
      </c>
      <c r="L1274" s="72">
        <v>200188</v>
      </c>
      <c r="M1274" s="4">
        <f>INDEX('Master Sheet'!$C$4:$C$12,MATCH(Table1[[#This Row],[Quantity]],'Master Sheet'!$B$4:$B$12,0))</f>
        <v>6</v>
      </c>
      <c r="N1274" s="71">
        <f>Table1[[#This Row],[Quantity]]*Table1[[#This Row],[Unit Price]]</f>
        <v>800752</v>
      </c>
      <c r="O1274" s="73">
        <v>8.0075199999999999E-2</v>
      </c>
      <c r="P1274" s="70">
        <f>Table1[[#This Row],[Gross Amount]]*(1-(Table1[[#This Row],[Discount %]]/100))</f>
        <v>752706.88</v>
      </c>
      <c r="Q1274" s="74">
        <f>(Table1[[#This Row],[Gross Amount]]*(1-(Table1[[#This Row],[Discount %]]/100)))/10000000</f>
        <v>7.5270688000000002E-2</v>
      </c>
      <c r="R1274" t="s">
        <v>54</v>
      </c>
      <c r="S1274" t="str" cm="1">
        <f t="array" ref="S1274">IFERROR(_xlfn.IFS(Table1[[#This Row],[Payment Status]]="Partial","In Transit",Table1[[#This Row],[Payment Status]]="Paid","Delivered",Table1[[#This Row],[Payment Status]]="Pending","Pending"),"Invalid Input")</f>
        <v>Delivered</v>
      </c>
      <c r="T1274" t="s">
        <v>44</v>
      </c>
      <c r="U1274" t="str" cm="1">
        <f t="array" ref="U1274">IFERROR(_xlfn.IFS(Table1[[#This Row],[Payment Status]]="Partial","In Transit",Table1[[#This Row],[Payment Status]]="Paid","Completed",Table1[[#This Row],[Payment Status]]="Pending","Pending"),"Invalid Input")</f>
        <v>Completed</v>
      </c>
    </row>
    <row r="1275" spans="1:21" x14ac:dyDescent="0.25">
      <c r="A1275" s="4" t="s">
        <v>2236</v>
      </c>
      <c r="B1275" s="5">
        <v>45582</v>
      </c>
      <c r="C1275" t="s">
        <v>41</v>
      </c>
      <c r="D1275" t="s">
        <v>3268</v>
      </c>
      <c r="E1275" t="s">
        <v>47</v>
      </c>
      <c r="F1275" t="s">
        <v>3216</v>
      </c>
      <c r="G1275" t="s">
        <v>48</v>
      </c>
      <c r="H1275" t="str">
        <f>VLOOKUP(Table1[[#This Row],[City]],Table6[#All],2,FALSE)</f>
        <v>North</v>
      </c>
      <c r="I1275" t="s">
        <v>3203</v>
      </c>
      <c r="J1275" t="str">
        <f>_xlfn.XLOOKUP(Table1[[#This Row],[Tractor Model]],Table7[Product Model],Table7[Product Category],"Not Available",0)</f>
        <v>Kubota</v>
      </c>
      <c r="K1275" s="4">
        <v>1</v>
      </c>
      <c r="L1275" s="72">
        <v>594726</v>
      </c>
      <c r="M1275" s="4">
        <f>INDEX('Master Sheet'!$C$4:$C$12,MATCH(Table1[[#This Row],[Quantity]],'Master Sheet'!$B$4:$B$12,0))</f>
        <v>3</v>
      </c>
      <c r="N1275" s="71">
        <f>Table1[[#This Row],[Quantity]]*Table1[[#This Row],[Unit Price]]</f>
        <v>594726</v>
      </c>
      <c r="O1275" s="73">
        <v>5.94726E-2</v>
      </c>
      <c r="P1275" s="70">
        <f>Table1[[#This Row],[Gross Amount]]*(1-(Table1[[#This Row],[Discount %]]/100))</f>
        <v>576884.22</v>
      </c>
      <c r="Q1275" s="74">
        <f>(Table1[[#This Row],[Gross Amount]]*(1-(Table1[[#This Row],[Discount %]]/100)))/10000000</f>
        <v>5.7688421999999996E-2</v>
      </c>
      <c r="R1275" t="s">
        <v>42</v>
      </c>
      <c r="S1275" t="str" cm="1">
        <f t="array" ref="S1275">IFERROR(_xlfn.IFS(Table1[[#This Row],[Payment Status]]="Partial","In Transit",Table1[[#This Row],[Payment Status]]="Paid","Delivered",Table1[[#This Row],[Payment Status]]="Pending","Pending"),"Invalid Input")</f>
        <v>Pending</v>
      </c>
      <c r="T1275" t="s">
        <v>27</v>
      </c>
      <c r="U1275" t="str" cm="1">
        <f t="array" ref="U1275">IFERROR(_xlfn.IFS(Table1[[#This Row],[Payment Status]]="Partial","In Transit",Table1[[#This Row],[Payment Status]]="Paid","Completed",Table1[[#This Row],[Payment Status]]="Pending","Pending"),"Invalid Input")</f>
        <v>Pending</v>
      </c>
    </row>
    <row r="1276" spans="1:21" x14ac:dyDescent="0.25">
      <c r="A1276" s="4" t="s">
        <v>2237</v>
      </c>
      <c r="B1276" s="5">
        <v>45631</v>
      </c>
      <c r="C1276" t="s">
        <v>41</v>
      </c>
      <c r="D1276" t="s">
        <v>37</v>
      </c>
      <c r="E1276" t="s">
        <v>66</v>
      </c>
      <c r="F1276" t="s">
        <v>3226</v>
      </c>
      <c r="G1276" t="s">
        <v>67</v>
      </c>
      <c r="H1276" t="str">
        <f>VLOOKUP(Table1[[#This Row],[City]],Table6[#All],2,FALSE)</f>
        <v>East</v>
      </c>
      <c r="I1276" t="s">
        <v>24</v>
      </c>
      <c r="J1276" t="str">
        <f>_xlfn.XLOOKUP(Table1[[#This Row],[Tractor Model]],Table7[Product Model],Table7[Product Category],"Not Available",0)</f>
        <v>Farmtrac</v>
      </c>
      <c r="K1276" s="4">
        <v>5</v>
      </c>
      <c r="L1276" s="72">
        <v>472279</v>
      </c>
      <c r="M1276" s="4">
        <f>INDEX('Master Sheet'!$C$4:$C$12,MATCH(Table1[[#This Row],[Quantity]],'Master Sheet'!$B$4:$B$12,0))</f>
        <v>7</v>
      </c>
      <c r="N1276" s="71">
        <f>Table1[[#This Row],[Quantity]]*Table1[[#This Row],[Unit Price]]</f>
        <v>2361395</v>
      </c>
      <c r="O1276" s="73">
        <v>0.2361395</v>
      </c>
      <c r="P1276" s="70">
        <f>Table1[[#This Row],[Gross Amount]]*(1-(Table1[[#This Row],[Discount %]]/100))</f>
        <v>2196097.3499999996</v>
      </c>
      <c r="Q1276" s="74">
        <f>(Table1[[#This Row],[Gross Amount]]*(1-(Table1[[#This Row],[Discount %]]/100)))/10000000</f>
        <v>0.21960973499999997</v>
      </c>
      <c r="R1276" t="s">
        <v>42</v>
      </c>
      <c r="S1276" t="str" cm="1">
        <f t="array" ref="S1276">IFERROR(_xlfn.IFS(Table1[[#This Row],[Payment Status]]="Partial","In Transit",Table1[[#This Row],[Payment Status]]="Paid","Delivered",Table1[[#This Row],[Payment Status]]="Pending","Pending"),"Invalid Input")</f>
        <v>Pending</v>
      </c>
      <c r="T1276" t="s">
        <v>44</v>
      </c>
      <c r="U1276" t="str" cm="1">
        <f t="array" ref="U1276">IFERROR(_xlfn.IFS(Table1[[#This Row],[Payment Status]]="Partial","In Transit",Table1[[#This Row],[Payment Status]]="Paid","Completed",Table1[[#This Row],[Payment Status]]="Pending","Pending"),"Invalid Input")</f>
        <v>Pending</v>
      </c>
    </row>
    <row r="1277" spans="1:21" x14ac:dyDescent="0.25">
      <c r="A1277" s="4" t="s">
        <v>2238</v>
      </c>
      <c r="B1277" s="5">
        <v>45455</v>
      </c>
      <c r="C1277" t="s">
        <v>41</v>
      </c>
      <c r="D1277" t="s">
        <v>3271</v>
      </c>
      <c r="E1277" t="s">
        <v>38</v>
      </c>
      <c r="F1277" t="s">
        <v>3210</v>
      </c>
      <c r="G1277" t="s">
        <v>39</v>
      </c>
      <c r="H1277" t="str">
        <f>VLOOKUP(Table1[[#This Row],[City]],Table6[#All],2,FALSE)</f>
        <v>West</v>
      </c>
      <c r="I1277" t="s">
        <v>24</v>
      </c>
      <c r="J1277" t="str">
        <f>_xlfn.XLOOKUP(Table1[[#This Row],[Tractor Model]],Table7[Product Model],Table7[Product Category],"Not Available",0)</f>
        <v>Farmtrac</v>
      </c>
      <c r="K1277" s="4">
        <v>8</v>
      </c>
      <c r="L1277" s="72">
        <v>391103</v>
      </c>
      <c r="M1277" s="4">
        <f>INDEX('Master Sheet'!$C$4:$C$12,MATCH(Table1[[#This Row],[Quantity]],'Master Sheet'!$B$4:$B$12,0))</f>
        <v>9</v>
      </c>
      <c r="N1277" s="71">
        <f>Table1[[#This Row],[Quantity]]*Table1[[#This Row],[Unit Price]]</f>
        <v>3128824</v>
      </c>
      <c r="O1277" s="73">
        <v>0.3128824</v>
      </c>
      <c r="P1277" s="70">
        <f>Table1[[#This Row],[Gross Amount]]*(1-(Table1[[#This Row],[Discount %]]/100))</f>
        <v>2847229.8400000003</v>
      </c>
      <c r="Q1277" s="74">
        <f>(Table1[[#This Row],[Gross Amount]]*(1-(Table1[[#This Row],[Discount %]]/100)))/10000000</f>
        <v>0.28472298400000001</v>
      </c>
      <c r="R1277" t="s">
        <v>25</v>
      </c>
      <c r="S1277" t="str" cm="1">
        <f t="array" ref="S1277">IFERROR(_xlfn.IFS(Table1[[#This Row],[Payment Status]]="Partial","In Transit",Table1[[#This Row],[Payment Status]]="Paid","Delivered",Table1[[#This Row],[Payment Status]]="Pending","Pending"),"Invalid Input")</f>
        <v>In Transit</v>
      </c>
      <c r="T1277" t="s">
        <v>27</v>
      </c>
      <c r="U1277" t="str" cm="1">
        <f t="array" ref="U1277">IFERROR(_xlfn.IFS(Table1[[#This Row],[Payment Status]]="Partial","In Transit",Table1[[#This Row],[Payment Status]]="Paid","Completed",Table1[[#This Row],[Payment Status]]="Pending","Pending"),"Invalid Input")</f>
        <v>In Transit</v>
      </c>
    </row>
    <row r="1278" spans="1:21" x14ac:dyDescent="0.25">
      <c r="A1278" s="4" t="s">
        <v>2239</v>
      </c>
      <c r="B1278" s="5">
        <v>45491</v>
      </c>
      <c r="C1278" t="s">
        <v>73</v>
      </c>
      <c r="D1278" t="s">
        <v>3270</v>
      </c>
      <c r="E1278" t="s">
        <v>66</v>
      </c>
      <c r="F1278" t="s">
        <v>3220</v>
      </c>
      <c r="G1278" t="s">
        <v>67</v>
      </c>
      <c r="H1278" t="str">
        <f>VLOOKUP(Table1[[#This Row],[City]],Table6[#All],2,FALSE)</f>
        <v>East</v>
      </c>
      <c r="I1278" t="s">
        <v>24</v>
      </c>
      <c r="J1278" t="str">
        <f>_xlfn.XLOOKUP(Table1[[#This Row],[Tractor Model]],Table7[Product Model],Table7[Product Category],"Not Available",0)</f>
        <v>Farmtrac</v>
      </c>
      <c r="K1278" s="4">
        <v>4</v>
      </c>
      <c r="L1278" s="72">
        <v>602440</v>
      </c>
      <c r="M1278" s="4">
        <f>INDEX('Master Sheet'!$C$4:$C$12,MATCH(Table1[[#This Row],[Quantity]],'Master Sheet'!$B$4:$B$12,0))</f>
        <v>6</v>
      </c>
      <c r="N1278" s="71">
        <f>Table1[[#This Row],[Quantity]]*Table1[[#This Row],[Unit Price]]</f>
        <v>2409760</v>
      </c>
      <c r="O1278" s="73">
        <v>0.240976</v>
      </c>
      <c r="P1278" s="70">
        <f>Table1[[#This Row],[Gross Amount]]*(1-(Table1[[#This Row],[Discount %]]/100))</f>
        <v>2265174.4</v>
      </c>
      <c r="Q1278" s="74">
        <f>(Table1[[#This Row],[Gross Amount]]*(1-(Table1[[#This Row],[Discount %]]/100)))/10000000</f>
        <v>0.22651743999999999</v>
      </c>
      <c r="R1278" t="s">
        <v>42</v>
      </c>
      <c r="S1278" t="str" cm="1">
        <f t="array" ref="S1278">IFERROR(_xlfn.IFS(Table1[[#This Row],[Payment Status]]="Partial","In Transit",Table1[[#This Row],[Payment Status]]="Paid","Delivered",Table1[[#This Row],[Payment Status]]="Pending","Pending"),"Invalid Input")</f>
        <v>Pending</v>
      </c>
      <c r="T1278" t="s">
        <v>27</v>
      </c>
      <c r="U1278" t="str" cm="1">
        <f t="array" ref="U1278">IFERROR(_xlfn.IFS(Table1[[#This Row],[Payment Status]]="Partial","In Transit",Table1[[#This Row],[Payment Status]]="Paid","Completed",Table1[[#This Row],[Payment Status]]="Pending","Pending"),"Invalid Input")</f>
        <v>Pending</v>
      </c>
    </row>
    <row r="1279" spans="1:21" x14ac:dyDescent="0.25">
      <c r="A1279" s="4" t="s">
        <v>2240</v>
      </c>
      <c r="B1279" s="5">
        <v>45591</v>
      </c>
      <c r="C1279" t="s">
        <v>62</v>
      </c>
      <c r="D1279" t="s">
        <v>3269</v>
      </c>
      <c r="E1279" t="s">
        <v>38</v>
      </c>
      <c r="F1279" t="s">
        <v>3206</v>
      </c>
      <c r="G1279" t="s">
        <v>39</v>
      </c>
      <c r="H1279" t="str">
        <f>VLOOKUP(Table1[[#This Row],[City]],Table6[#All],2,FALSE)</f>
        <v>West</v>
      </c>
      <c r="I1279" t="s">
        <v>3204</v>
      </c>
      <c r="J1279" t="str">
        <f>_xlfn.XLOOKUP(Table1[[#This Row],[Tractor Model]],Table7[Product Model],Table7[Product Category],"Not Available",0)</f>
        <v>Kubota</v>
      </c>
      <c r="K1279" s="4">
        <v>2</v>
      </c>
      <c r="L1279" s="72">
        <v>262004</v>
      </c>
      <c r="M1279" s="4">
        <f>INDEX('Master Sheet'!$C$4:$C$12,MATCH(Table1[[#This Row],[Quantity]],'Master Sheet'!$B$4:$B$12,0))</f>
        <v>5</v>
      </c>
      <c r="N1279" s="71">
        <f>Table1[[#This Row],[Quantity]]*Table1[[#This Row],[Unit Price]]</f>
        <v>524008</v>
      </c>
      <c r="O1279" s="73">
        <v>5.2400799999999997E-2</v>
      </c>
      <c r="P1279" s="70">
        <f>Table1[[#This Row],[Gross Amount]]*(1-(Table1[[#This Row],[Discount %]]/100))</f>
        <v>497807.6</v>
      </c>
      <c r="Q1279" s="74">
        <f>(Table1[[#This Row],[Gross Amount]]*(1-(Table1[[#This Row],[Discount %]]/100)))/10000000</f>
        <v>4.978076E-2</v>
      </c>
      <c r="R1279" t="s">
        <v>42</v>
      </c>
      <c r="S1279" t="str" cm="1">
        <f t="array" ref="S1279">IFERROR(_xlfn.IFS(Table1[[#This Row],[Payment Status]]="Partial","In Transit",Table1[[#This Row],[Payment Status]]="Paid","Delivered",Table1[[#This Row],[Payment Status]]="Pending","Pending"),"Invalid Input")</f>
        <v>Pending</v>
      </c>
      <c r="T1279" t="s">
        <v>27</v>
      </c>
      <c r="U1279" t="str" cm="1">
        <f t="array" ref="U1279">IFERROR(_xlfn.IFS(Table1[[#This Row],[Payment Status]]="Partial","In Transit",Table1[[#This Row],[Payment Status]]="Paid","Completed",Table1[[#This Row],[Payment Status]]="Pending","Pending"),"Invalid Input")</f>
        <v>Pending</v>
      </c>
    </row>
    <row r="1280" spans="1:21" x14ac:dyDescent="0.25">
      <c r="A1280" s="4" t="s">
        <v>2242</v>
      </c>
      <c r="B1280" s="5">
        <v>45673</v>
      </c>
      <c r="C1280" t="s">
        <v>73</v>
      </c>
      <c r="D1280" t="s">
        <v>3269</v>
      </c>
      <c r="E1280" t="s">
        <v>47</v>
      </c>
      <c r="F1280" t="s">
        <v>3209</v>
      </c>
      <c r="G1280" t="s">
        <v>48</v>
      </c>
      <c r="H1280" t="str">
        <f>VLOOKUP(Table1[[#This Row],[City]],Table6[#All],2,FALSE)</f>
        <v>North</v>
      </c>
      <c r="I1280" t="s">
        <v>58</v>
      </c>
      <c r="J1280" t="str">
        <f>_xlfn.XLOOKUP(Table1[[#This Row],[Tractor Model]],Table7[Product Model],Table7[Product Category],"Not Available",0)</f>
        <v>Powertrac</v>
      </c>
      <c r="K1280" s="4">
        <v>5</v>
      </c>
      <c r="L1280" s="72">
        <v>152772</v>
      </c>
      <c r="M1280" s="4">
        <f>INDEX('Master Sheet'!$C$4:$C$12,MATCH(Table1[[#This Row],[Quantity]],'Master Sheet'!$B$4:$B$12,0))</f>
        <v>7</v>
      </c>
      <c r="N1280" s="71">
        <f>Table1[[#This Row],[Quantity]]*Table1[[#This Row],[Unit Price]]</f>
        <v>763860</v>
      </c>
      <c r="O1280" s="73">
        <v>7.6385999999999996E-2</v>
      </c>
      <c r="P1280" s="70">
        <f>Table1[[#This Row],[Gross Amount]]*(1-(Table1[[#This Row],[Discount %]]/100))</f>
        <v>710389.79999999993</v>
      </c>
      <c r="Q1280" s="74">
        <f>(Table1[[#This Row],[Gross Amount]]*(1-(Table1[[#This Row],[Discount %]]/100)))/10000000</f>
        <v>7.1038979999999988E-2</v>
      </c>
      <c r="R1280" t="s">
        <v>42</v>
      </c>
      <c r="S1280" t="str" cm="1">
        <f t="array" ref="S1280">IFERROR(_xlfn.IFS(Table1[[#This Row],[Payment Status]]="Partial","In Transit",Table1[[#This Row],[Payment Status]]="Paid","Delivered",Table1[[#This Row],[Payment Status]]="Pending","Pending"),"Invalid Input")</f>
        <v>Pending</v>
      </c>
      <c r="T1280" t="s">
        <v>27</v>
      </c>
      <c r="U1280" t="str" cm="1">
        <f t="array" ref="U1280">IFERROR(_xlfn.IFS(Table1[[#This Row],[Payment Status]]="Partial","In Transit",Table1[[#This Row],[Payment Status]]="Paid","Completed",Table1[[#This Row],[Payment Status]]="Pending","Pending"),"Invalid Input")</f>
        <v>Pending</v>
      </c>
    </row>
    <row r="1281" spans="1:21" x14ac:dyDescent="0.25">
      <c r="A1281" s="4" t="s">
        <v>2243</v>
      </c>
      <c r="B1281" s="5">
        <v>45732</v>
      </c>
      <c r="C1281" t="s">
        <v>41</v>
      </c>
      <c r="D1281" t="s">
        <v>3271</v>
      </c>
      <c r="E1281" t="s">
        <v>30</v>
      </c>
      <c r="F1281" t="s">
        <v>3217</v>
      </c>
      <c r="G1281" t="s">
        <v>31</v>
      </c>
      <c r="H1281" t="str">
        <f>VLOOKUP(Table1[[#This Row],[City]],Table6[#All],2,FALSE)</f>
        <v>South</v>
      </c>
      <c r="I1281" t="s">
        <v>58</v>
      </c>
      <c r="J1281" t="str">
        <f>_xlfn.XLOOKUP(Table1[[#This Row],[Tractor Model]],Table7[Product Model],Table7[Product Category],"Not Available",0)</f>
        <v>Powertrac</v>
      </c>
      <c r="K1281" s="4">
        <v>3</v>
      </c>
      <c r="L1281" s="72">
        <v>487116</v>
      </c>
      <c r="M1281" s="4">
        <f>INDEX('Master Sheet'!$C$4:$C$12,MATCH(Table1[[#This Row],[Quantity]],'Master Sheet'!$B$4:$B$12,0))</f>
        <v>6</v>
      </c>
      <c r="N1281" s="71">
        <f>Table1[[#This Row],[Quantity]]*Table1[[#This Row],[Unit Price]]</f>
        <v>1461348</v>
      </c>
      <c r="O1281" s="73">
        <v>0.14613480000000001</v>
      </c>
      <c r="P1281" s="70">
        <f>Table1[[#This Row],[Gross Amount]]*(1-(Table1[[#This Row],[Discount %]]/100))</f>
        <v>1373667.1199999999</v>
      </c>
      <c r="Q1281" s="74">
        <f>(Table1[[#This Row],[Gross Amount]]*(1-(Table1[[#This Row],[Discount %]]/100)))/10000000</f>
        <v>0.13736671199999997</v>
      </c>
      <c r="R1281" t="s">
        <v>25</v>
      </c>
      <c r="S1281" t="str" cm="1">
        <f t="array" ref="S1281">IFERROR(_xlfn.IFS(Table1[[#This Row],[Payment Status]]="Partial","In Transit",Table1[[#This Row],[Payment Status]]="Paid","Delivered",Table1[[#This Row],[Payment Status]]="Pending","Pending"),"Invalid Input")</f>
        <v>In Transit</v>
      </c>
      <c r="T1281" t="s">
        <v>27</v>
      </c>
      <c r="U1281" t="str" cm="1">
        <f t="array" ref="U1281">IFERROR(_xlfn.IFS(Table1[[#This Row],[Payment Status]]="Partial","In Transit",Table1[[#This Row],[Payment Status]]="Paid","Completed",Table1[[#This Row],[Payment Status]]="Pending","Pending"),"Invalid Input")</f>
        <v>In Transit</v>
      </c>
    </row>
    <row r="1282" spans="1:21" x14ac:dyDescent="0.25">
      <c r="A1282" s="4" t="s">
        <v>2245</v>
      </c>
      <c r="B1282" s="5">
        <v>45514</v>
      </c>
      <c r="C1282" t="s">
        <v>33</v>
      </c>
      <c r="D1282" t="s">
        <v>37</v>
      </c>
      <c r="E1282" t="s">
        <v>66</v>
      </c>
      <c r="F1282" t="s">
        <v>3226</v>
      </c>
      <c r="G1282" t="s">
        <v>67</v>
      </c>
      <c r="H1282" t="str">
        <f>VLOOKUP(Table1[[#This Row],[City]],Table6[#All],2,FALSE)</f>
        <v>East</v>
      </c>
      <c r="I1282" t="s">
        <v>3203</v>
      </c>
      <c r="J1282" t="str">
        <f>_xlfn.XLOOKUP(Table1[[#This Row],[Tractor Model]],Table7[Product Model],Table7[Product Category],"Not Available",0)</f>
        <v>Kubota</v>
      </c>
      <c r="K1282" s="4">
        <v>7</v>
      </c>
      <c r="L1282" s="72">
        <v>173084</v>
      </c>
      <c r="M1282" s="4">
        <f>INDEX('Master Sheet'!$C$4:$C$12,MATCH(Table1[[#This Row],[Quantity]],'Master Sheet'!$B$4:$B$12,0))</f>
        <v>9</v>
      </c>
      <c r="N1282" s="71">
        <f>Table1[[#This Row],[Quantity]]*Table1[[#This Row],[Unit Price]]</f>
        <v>1211588</v>
      </c>
      <c r="O1282" s="73">
        <v>0.1211588</v>
      </c>
      <c r="P1282" s="70">
        <f>Table1[[#This Row],[Gross Amount]]*(1-(Table1[[#This Row],[Discount %]]/100))</f>
        <v>1102545.08</v>
      </c>
      <c r="Q1282" s="74">
        <f>(Table1[[#This Row],[Gross Amount]]*(1-(Table1[[#This Row],[Discount %]]/100)))/10000000</f>
        <v>0.110254508</v>
      </c>
      <c r="R1282" t="s">
        <v>25</v>
      </c>
      <c r="S1282" t="str" cm="1">
        <f t="array" ref="S1282">IFERROR(_xlfn.IFS(Table1[[#This Row],[Payment Status]]="Partial","In Transit",Table1[[#This Row],[Payment Status]]="Paid","Delivered",Table1[[#This Row],[Payment Status]]="Pending","Pending"),"Invalid Input")</f>
        <v>In Transit</v>
      </c>
      <c r="T1282" t="s">
        <v>27</v>
      </c>
      <c r="U1282" t="str" cm="1">
        <f t="array" ref="U1282">IFERROR(_xlfn.IFS(Table1[[#This Row],[Payment Status]]="Partial","In Transit",Table1[[#This Row],[Payment Status]]="Paid","Completed",Table1[[#This Row],[Payment Status]]="Pending","Pending"),"Invalid Input")</f>
        <v>In Transit</v>
      </c>
    </row>
    <row r="1283" spans="1:21" x14ac:dyDescent="0.25">
      <c r="A1283" s="4" t="s">
        <v>2246</v>
      </c>
      <c r="B1283" s="5">
        <v>45437</v>
      </c>
      <c r="C1283" t="s">
        <v>41</v>
      </c>
      <c r="D1283" t="s">
        <v>3268</v>
      </c>
      <c r="E1283" t="s">
        <v>30</v>
      </c>
      <c r="F1283" t="s">
        <v>3208</v>
      </c>
      <c r="G1283" t="s">
        <v>31</v>
      </c>
      <c r="H1283" t="str">
        <f>VLOOKUP(Table1[[#This Row],[City]],Table6[#All],2,FALSE)</f>
        <v>South</v>
      </c>
      <c r="I1283" t="s">
        <v>3204</v>
      </c>
      <c r="J1283" t="str">
        <f>_xlfn.XLOOKUP(Table1[[#This Row],[Tractor Model]],Table7[Product Model],Table7[Product Category],"Not Available",0)</f>
        <v>Kubota</v>
      </c>
      <c r="K1283" s="4">
        <v>7</v>
      </c>
      <c r="L1283" s="72">
        <v>700288</v>
      </c>
      <c r="M1283" s="4">
        <f>INDEX('Master Sheet'!$C$4:$C$12,MATCH(Table1[[#This Row],[Quantity]],'Master Sheet'!$B$4:$B$12,0))</f>
        <v>9</v>
      </c>
      <c r="N1283" s="71">
        <f>Table1[[#This Row],[Quantity]]*Table1[[#This Row],[Unit Price]]</f>
        <v>4902016</v>
      </c>
      <c r="O1283" s="73">
        <v>0.49020160000000002</v>
      </c>
      <c r="P1283" s="70">
        <f>Table1[[#This Row],[Gross Amount]]*(1-(Table1[[#This Row],[Discount %]]/100))</f>
        <v>4460834.5600000005</v>
      </c>
      <c r="Q1283" s="74">
        <f>(Table1[[#This Row],[Gross Amount]]*(1-(Table1[[#This Row],[Discount %]]/100)))/10000000</f>
        <v>0.44608345600000004</v>
      </c>
      <c r="R1283" t="s">
        <v>42</v>
      </c>
      <c r="S1283" t="str" cm="1">
        <f t="array" ref="S1283">IFERROR(_xlfn.IFS(Table1[[#This Row],[Payment Status]]="Partial","In Transit",Table1[[#This Row],[Payment Status]]="Paid","Delivered",Table1[[#This Row],[Payment Status]]="Pending","Pending"),"Invalid Input")</f>
        <v>Pending</v>
      </c>
      <c r="T1283" t="s">
        <v>27</v>
      </c>
      <c r="U1283" t="str" cm="1">
        <f t="array" ref="U1283">IFERROR(_xlfn.IFS(Table1[[#This Row],[Payment Status]]="Partial","In Transit",Table1[[#This Row],[Payment Status]]="Paid","Completed",Table1[[#This Row],[Payment Status]]="Pending","Pending"),"Invalid Input")</f>
        <v>Pending</v>
      </c>
    </row>
    <row r="1284" spans="1:21" x14ac:dyDescent="0.25">
      <c r="A1284" s="4" t="s">
        <v>2248</v>
      </c>
      <c r="B1284" s="5">
        <v>45506</v>
      </c>
      <c r="C1284" t="s">
        <v>41</v>
      </c>
      <c r="D1284" t="s">
        <v>3270</v>
      </c>
      <c r="E1284" t="s">
        <v>47</v>
      </c>
      <c r="F1284" t="s">
        <v>3205</v>
      </c>
      <c r="G1284" t="s">
        <v>48</v>
      </c>
      <c r="H1284" t="str">
        <f>VLOOKUP(Table1[[#This Row],[City]],Table6[#All],2,FALSE)</f>
        <v>North</v>
      </c>
      <c r="I1284" t="s">
        <v>3204</v>
      </c>
      <c r="J1284" t="str">
        <f>_xlfn.XLOOKUP(Table1[[#This Row],[Tractor Model]],Table7[Product Model],Table7[Product Category],"Not Available",0)</f>
        <v>Kubota</v>
      </c>
      <c r="K1284" s="4">
        <v>7</v>
      </c>
      <c r="L1284" s="72">
        <v>697967</v>
      </c>
      <c r="M1284" s="4">
        <f>INDEX('Master Sheet'!$C$4:$C$12,MATCH(Table1[[#This Row],[Quantity]],'Master Sheet'!$B$4:$B$12,0))</f>
        <v>9</v>
      </c>
      <c r="N1284" s="71">
        <f>Table1[[#This Row],[Quantity]]*Table1[[#This Row],[Unit Price]]</f>
        <v>4885769</v>
      </c>
      <c r="O1284" s="73">
        <v>0.48857689999999998</v>
      </c>
      <c r="P1284" s="70">
        <f>Table1[[#This Row],[Gross Amount]]*(1-(Table1[[#This Row],[Discount %]]/100))</f>
        <v>4446049.79</v>
      </c>
      <c r="Q1284" s="74">
        <f>(Table1[[#This Row],[Gross Amount]]*(1-(Table1[[#This Row],[Discount %]]/100)))/10000000</f>
        <v>0.44460497900000001</v>
      </c>
      <c r="R1284" t="s">
        <v>25</v>
      </c>
      <c r="S1284" t="str" cm="1">
        <f t="array" ref="S1284">IFERROR(_xlfn.IFS(Table1[[#This Row],[Payment Status]]="Partial","In Transit",Table1[[#This Row],[Payment Status]]="Paid","Delivered",Table1[[#This Row],[Payment Status]]="Pending","Pending"),"Invalid Input")</f>
        <v>In Transit</v>
      </c>
      <c r="T1284" t="s">
        <v>44</v>
      </c>
      <c r="U1284" t="str" cm="1">
        <f t="array" ref="U1284">IFERROR(_xlfn.IFS(Table1[[#This Row],[Payment Status]]="Partial","In Transit",Table1[[#This Row],[Payment Status]]="Paid","Completed",Table1[[#This Row],[Payment Status]]="Pending","Pending"),"Invalid Input")</f>
        <v>In Transit</v>
      </c>
    </row>
    <row r="1285" spans="1:21" x14ac:dyDescent="0.25">
      <c r="A1285" s="4" t="s">
        <v>2250</v>
      </c>
      <c r="B1285" s="5">
        <v>45421</v>
      </c>
      <c r="C1285" t="s">
        <v>52</v>
      </c>
      <c r="D1285" t="s">
        <v>3269</v>
      </c>
      <c r="E1285" t="s">
        <v>66</v>
      </c>
      <c r="F1285" t="s">
        <v>3213</v>
      </c>
      <c r="G1285" t="s">
        <v>67</v>
      </c>
      <c r="H1285" t="str">
        <f>VLOOKUP(Table1[[#This Row],[City]],Table6[#All],2,FALSE)</f>
        <v>East</v>
      </c>
      <c r="I1285" t="s">
        <v>53</v>
      </c>
      <c r="J1285" t="str">
        <f>_xlfn.XLOOKUP(Table1[[#This Row],[Tractor Model]],Table7[Product Model],Table7[Product Category],"Not Available",0)</f>
        <v>Farmtrac</v>
      </c>
      <c r="K1285" s="4">
        <v>4</v>
      </c>
      <c r="L1285" s="72">
        <v>751315</v>
      </c>
      <c r="M1285" s="4">
        <f>INDEX('Master Sheet'!$C$4:$C$12,MATCH(Table1[[#This Row],[Quantity]],'Master Sheet'!$B$4:$B$12,0))</f>
        <v>6</v>
      </c>
      <c r="N1285" s="71">
        <f>Table1[[#This Row],[Quantity]]*Table1[[#This Row],[Unit Price]]</f>
        <v>3005260</v>
      </c>
      <c r="O1285" s="73">
        <v>0.30052600000000002</v>
      </c>
      <c r="P1285" s="70">
        <f>Table1[[#This Row],[Gross Amount]]*(1-(Table1[[#This Row],[Discount %]]/100))</f>
        <v>2824944.4</v>
      </c>
      <c r="Q1285" s="74">
        <f>(Table1[[#This Row],[Gross Amount]]*(1-(Table1[[#This Row],[Discount %]]/100)))/10000000</f>
        <v>0.28249444000000001</v>
      </c>
      <c r="R1285" t="s">
        <v>42</v>
      </c>
      <c r="S1285" t="str" cm="1">
        <f t="array" ref="S1285">IFERROR(_xlfn.IFS(Table1[[#This Row],[Payment Status]]="Partial","In Transit",Table1[[#This Row],[Payment Status]]="Paid","Delivered",Table1[[#This Row],[Payment Status]]="Pending","Pending"),"Invalid Input")</f>
        <v>Pending</v>
      </c>
      <c r="T1285" t="s">
        <v>44</v>
      </c>
      <c r="U1285" t="str" cm="1">
        <f t="array" ref="U1285">IFERROR(_xlfn.IFS(Table1[[#This Row],[Payment Status]]="Partial","In Transit",Table1[[#This Row],[Payment Status]]="Paid","Completed",Table1[[#This Row],[Payment Status]]="Pending","Pending"),"Invalid Input")</f>
        <v>Pending</v>
      </c>
    </row>
    <row r="1286" spans="1:21" x14ac:dyDescent="0.25">
      <c r="A1286" s="4" t="s">
        <v>2252</v>
      </c>
      <c r="B1286" s="5">
        <v>45574</v>
      </c>
      <c r="C1286" t="s">
        <v>33</v>
      </c>
      <c r="D1286" t="s">
        <v>37</v>
      </c>
      <c r="E1286" t="s">
        <v>47</v>
      </c>
      <c r="F1286" t="s">
        <v>3215</v>
      </c>
      <c r="G1286" t="s">
        <v>48</v>
      </c>
      <c r="H1286" t="str">
        <f>VLOOKUP(Table1[[#This Row],[City]],Table6[#All],2,FALSE)</f>
        <v>North</v>
      </c>
      <c r="I1286" t="s">
        <v>24</v>
      </c>
      <c r="J1286" t="str">
        <f>_xlfn.XLOOKUP(Table1[[#This Row],[Tractor Model]],Table7[Product Model],Table7[Product Category],"Not Available",0)</f>
        <v>Farmtrac</v>
      </c>
      <c r="K1286" s="4">
        <v>7</v>
      </c>
      <c r="L1286" s="72">
        <v>152533</v>
      </c>
      <c r="M1286" s="4">
        <f>INDEX('Master Sheet'!$C$4:$C$12,MATCH(Table1[[#This Row],[Quantity]],'Master Sheet'!$B$4:$B$12,0))</f>
        <v>9</v>
      </c>
      <c r="N1286" s="71">
        <f>Table1[[#This Row],[Quantity]]*Table1[[#This Row],[Unit Price]]</f>
        <v>1067731</v>
      </c>
      <c r="O1286" s="73">
        <v>0.1067731</v>
      </c>
      <c r="P1286" s="70">
        <f>Table1[[#This Row],[Gross Amount]]*(1-(Table1[[#This Row],[Discount %]]/100))</f>
        <v>971635.21000000008</v>
      </c>
      <c r="Q1286" s="74">
        <f>(Table1[[#This Row],[Gross Amount]]*(1-(Table1[[#This Row],[Discount %]]/100)))/10000000</f>
        <v>9.7163521000000003E-2</v>
      </c>
      <c r="R1286" t="s">
        <v>42</v>
      </c>
      <c r="S1286" t="str" cm="1">
        <f t="array" ref="S1286">IFERROR(_xlfn.IFS(Table1[[#This Row],[Payment Status]]="Partial","In Transit",Table1[[#This Row],[Payment Status]]="Paid","Delivered",Table1[[#This Row],[Payment Status]]="Pending","Pending"),"Invalid Input")</f>
        <v>Pending</v>
      </c>
      <c r="T1286" t="s">
        <v>44</v>
      </c>
      <c r="U1286" t="str" cm="1">
        <f t="array" ref="U1286">IFERROR(_xlfn.IFS(Table1[[#This Row],[Payment Status]]="Partial","In Transit",Table1[[#This Row],[Payment Status]]="Paid","Completed",Table1[[#This Row],[Payment Status]]="Pending","Pending"),"Invalid Input")</f>
        <v>Pending</v>
      </c>
    </row>
    <row r="1287" spans="1:21" x14ac:dyDescent="0.25">
      <c r="A1287" s="4" t="s">
        <v>2254</v>
      </c>
      <c r="B1287" s="5">
        <v>45329</v>
      </c>
      <c r="C1287" t="s">
        <v>62</v>
      </c>
      <c r="D1287" t="s">
        <v>3269</v>
      </c>
      <c r="E1287" t="s">
        <v>47</v>
      </c>
      <c r="F1287" t="s">
        <v>3209</v>
      </c>
      <c r="G1287" t="s">
        <v>48</v>
      </c>
      <c r="H1287" t="str">
        <f>VLOOKUP(Table1[[#This Row],[City]],Table6[#All],2,FALSE)</f>
        <v>North</v>
      </c>
      <c r="I1287" t="s">
        <v>3203</v>
      </c>
      <c r="J1287" t="str">
        <f>_xlfn.XLOOKUP(Table1[[#This Row],[Tractor Model]],Table7[Product Model],Table7[Product Category],"Not Available",0)</f>
        <v>Kubota</v>
      </c>
      <c r="K1287" s="4">
        <v>0</v>
      </c>
      <c r="L1287" s="72">
        <v>226352</v>
      </c>
      <c r="M1287" s="4">
        <f>INDEX('Master Sheet'!$C$4:$C$12,MATCH(Table1[[#This Row],[Quantity]],'Master Sheet'!$B$4:$B$12,0))</f>
        <v>0</v>
      </c>
      <c r="N1287" s="71">
        <f>Table1[[#This Row],[Quantity]]*Table1[[#This Row],[Unit Price]]</f>
        <v>0</v>
      </c>
      <c r="O1287" s="73">
        <v>0</v>
      </c>
      <c r="P1287" s="70">
        <f>Table1[[#This Row],[Gross Amount]]*(1-(Table1[[#This Row],[Discount %]]/100))</f>
        <v>0</v>
      </c>
      <c r="Q1287" s="74">
        <f>(Table1[[#This Row],[Gross Amount]]*(1-(Table1[[#This Row],[Discount %]]/100)))/10000000</f>
        <v>0</v>
      </c>
      <c r="R1287" t="s">
        <v>54</v>
      </c>
      <c r="S1287" t="str" cm="1">
        <f t="array" ref="S1287">IFERROR(_xlfn.IFS(Table1[[#This Row],[Payment Status]]="Partial","In Transit",Table1[[#This Row],[Payment Status]]="Paid","Delivered",Table1[[#This Row],[Payment Status]]="Pending","Pending"),"Invalid Input")</f>
        <v>Delivered</v>
      </c>
      <c r="T1287" t="s">
        <v>44</v>
      </c>
      <c r="U1287" t="str" cm="1">
        <f t="array" ref="U1287">IFERROR(_xlfn.IFS(Table1[[#This Row],[Payment Status]]="Partial","In Transit",Table1[[#This Row],[Payment Status]]="Paid","Completed",Table1[[#This Row],[Payment Status]]="Pending","Pending"),"Invalid Input")</f>
        <v>Completed</v>
      </c>
    </row>
    <row r="1288" spans="1:21" x14ac:dyDescent="0.25">
      <c r="A1288" s="4" t="s">
        <v>2255</v>
      </c>
      <c r="B1288" s="5">
        <v>45393</v>
      </c>
      <c r="C1288" t="s">
        <v>62</v>
      </c>
      <c r="D1288" t="s">
        <v>3268</v>
      </c>
      <c r="E1288" t="s">
        <v>119</v>
      </c>
      <c r="F1288" t="s">
        <v>3227</v>
      </c>
      <c r="G1288" t="s">
        <v>21</v>
      </c>
      <c r="H1288" t="str">
        <f>VLOOKUP(Table1[[#This Row],[City]],Table6[#All],2,FALSE)</f>
        <v>North</v>
      </c>
      <c r="I1288" t="s">
        <v>58</v>
      </c>
      <c r="J1288" t="str">
        <f>_xlfn.XLOOKUP(Table1[[#This Row],[Tractor Model]],Table7[Product Model],Table7[Product Category],"Not Available",0)</f>
        <v>Powertrac</v>
      </c>
      <c r="K1288" s="4">
        <v>3</v>
      </c>
      <c r="L1288" s="72">
        <v>338844</v>
      </c>
      <c r="M1288" s="4">
        <f>INDEX('Master Sheet'!$C$4:$C$12,MATCH(Table1[[#This Row],[Quantity]],'Master Sheet'!$B$4:$B$12,0))</f>
        <v>6</v>
      </c>
      <c r="N1288" s="71">
        <f>Table1[[#This Row],[Quantity]]*Table1[[#This Row],[Unit Price]]</f>
        <v>1016532</v>
      </c>
      <c r="O1288" s="73">
        <v>0.1016532</v>
      </c>
      <c r="P1288" s="70">
        <f>Table1[[#This Row],[Gross Amount]]*(1-(Table1[[#This Row],[Discount %]]/100))</f>
        <v>955540.08</v>
      </c>
      <c r="Q1288" s="74">
        <f>(Table1[[#This Row],[Gross Amount]]*(1-(Table1[[#This Row],[Discount %]]/100)))/10000000</f>
        <v>9.5554007999999996E-2</v>
      </c>
      <c r="R1288" t="s">
        <v>54</v>
      </c>
      <c r="S1288" t="str" cm="1">
        <f t="array" ref="S1288">IFERROR(_xlfn.IFS(Table1[[#This Row],[Payment Status]]="Partial","In Transit",Table1[[#This Row],[Payment Status]]="Paid","Delivered",Table1[[#This Row],[Payment Status]]="Pending","Pending"),"Invalid Input")</f>
        <v>Delivered</v>
      </c>
      <c r="T1288" t="s">
        <v>44</v>
      </c>
      <c r="U1288" t="str" cm="1">
        <f t="array" ref="U1288">IFERROR(_xlfn.IFS(Table1[[#This Row],[Payment Status]]="Partial","In Transit",Table1[[#This Row],[Payment Status]]="Paid","Completed",Table1[[#This Row],[Payment Status]]="Pending","Pending"),"Invalid Input")</f>
        <v>Completed</v>
      </c>
    </row>
    <row r="1289" spans="1:21" x14ac:dyDescent="0.25">
      <c r="A1289" s="4" t="s">
        <v>2257</v>
      </c>
      <c r="B1289" s="5">
        <v>45636</v>
      </c>
      <c r="C1289" t="s">
        <v>62</v>
      </c>
      <c r="D1289" t="s">
        <v>3268</v>
      </c>
      <c r="E1289" t="s">
        <v>38</v>
      </c>
      <c r="F1289" t="s">
        <v>3219</v>
      </c>
      <c r="G1289" t="s">
        <v>39</v>
      </c>
      <c r="H1289" t="str">
        <f>VLOOKUP(Table1[[#This Row],[City]],Table6[#All],2,FALSE)</f>
        <v>West</v>
      </c>
      <c r="I1289" t="s">
        <v>58</v>
      </c>
      <c r="J1289" t="str">
        <f>_xlfn.XLOOKUP(Table1[[#This Row],[Tractor Model]],Table7[Product Model],Table7[Product Category],"Not Available",0)</f>
        <v>Powertrac</v>
      </c>
      <c r="K1289" s="4">
        <v>4</v>
      </c>
      <c r="L1289" s="72">
        <v>410992</v>
      </c>
      <c r="M1289" s="4">
        <f>INDEX('Master Sheet'!$C$4:$C$12,MATCH(Table1[[#This Row],[Quantity]],'Master Sheet'!$B$4:$B$12,0))</f>
        <v>6</v>
      </c>
      <c r="N1289" s="71">
        <f>Table1[[#This Row],[Quantity]]*Table1[[#This Row],[Unit Price]]</f>
        <v>1643968</v>
      </c>
      <c r="O1289" s="73">
        <v>0.16439680000000001</v>
      </c>
      <c r="P1289" s="70">
        <f>Table1[[#This Row],[Gross Amount]]*(1-(Table1[[#This Row],[Discount %]]/100))</f>
        <v>1545329.92</v>
      </c>
      <c r="Q1289" s="74">
        <f>(Table1[[#This Row],[Gross Amount]]*(1-(Table1[[#This Row],[Discount %]]/100)))/10000000</f>
        <v>0.15453299199999998</v>
      </c>
      <c r="R1289" t="s">
        <v>54</v>
      </c>
      <c r="S1289" t="str" cm="1">
        <f t="array" ref="S1289">IFERROR(_xlfn.IFS(Table1[[#This Row],[Payment Status]]="Partial","In Transit",Table1[[#This Row],[Payment Status]]="Paid","Delivered",Table1[[#This Row],[Payment Status]]="Pending","Pending"),"Invalid Input")</f>
        <v>Delivered</v>
      </c>
      <c r="T1289" t="s">
        <v>27</v>
      </c>
      <c r="U1289" t="str" cm="1">
        <f t="array" ref="U1289">IFERROR(_xlfn.IFS(Table1[[#This Row],[Payment Status]]="Partial","In Transit",Table1[[#This Row],[Payment Status]]="Paid","Completed",Table1[[#This Row],[Payment Status]]="Pending","Pending"),"Invalid Input")</f>
        <v>Completed</v>
      </c>
    </row>
    <row r="1290" spans="1:21" x14ac:dyDescent="0.25">
      <c r="A1290" s="4" t="s">
        <v>2259</v>
      </c>
      <c r="B1290" s="5">
        <v>45614</v>
      </c>
      <c r="C1290" t="s">
        <v>41</v>
      </c>
      <c r="D1290" t="s">
        <v>3270</v>
      </c>
      <c r="E1290" t="s">
        <v>119</v>
      </c>
      <c r="F1290" t="s">
        <v>3212</v>
      </c>
      <c r="G1290" t="s">
        <v>21</v>
      </c>
      <c r="H1290" t="str">
        <f>VLOOKUP(Table1[[#This Row],[City]],Table6[#All],2,FALSE)</f>
        <v>North</v>
      </c>
      <c r="I1290" t="s">
        <v>3203</v>
      </c>
      <c r="J1290" t="str">
        <f>_xlfn.XLOOKUP(Table1[[#This Row],[Tractor Model]],Table7[Product Model],Table7[Product Category],"Not Available",0)</f>
        <v>Kubota</v>
      </c>
      <c r="K1290" s="4">
        <v>8</v>
      </c>
      <c r="L1290" s="72">
        <v>524700</v>
      </c>
      <c r="M1290" s="4">
        <f>INDEX('Master Sheet'!$C$4:$C$12,MATCH(Table1[[#This Row],[Quantity]],'Master Sheet'!$B$4:$B$12,0))</f>
        <v>9</v>
      </c>
      <c r="N1290" s="71">
        <f>Table1[[#This Row],[Quantity]]*Table1[[#This Row],[Unit Price]]</f>
        <v>4197600</v>
      </c>
      <c r="O1290" s="73">
        <v>0.41976000000000002</v>
      </c>
      <c r="P1290" s="70">
        <f>Table1[[#This Row],[Gross Amount]]*(1-(Table1[[#This Row],[Discount %]]/100))</f>
        <v>3819816</v>
      </c>
      <c r="Q1290" s="74">
        <f>(Table1[[#This Row],[Gross Amount]]*(1-(Table1[[#This Row],[Discount %]]/100)))/10000000</f>
        <v>0.38198159999999998</v>
      </c>
      <c r="R1290" t="s">
        <v>25</v>
      </c>
      <c r="S1290" t="str" cm="1">
        <f t="array" ref="S1290">IFERROR(_xlfn.IFS(Table1[[#This Row],[Payment Status]]="Partial","In Transit",Table1[[#This Row],[Payment Status]]="Paid","Delivered",Table1[[#This Row],[Payment Status]]="Pending","Pending"),"Invalid Input")</f>
        <v>In Transit</v>
      </c>
      <c r="T1290" t="s">
        <v>27</v>
      </c>
      <c r="U1290" t="str" cm="1">
        <f t="array" ref="U1290">IFERROR(_xlfn.IFS(Table1[[#This Row],[Payment Status]]="Partial","In Transit",Table1[[#This Row],[Payment Status]]="Paid","Completed",Table1[[#This Row],[Payment Status]]="Pending","Pending"),"Invalid Input")</f>
        <v>In Transit</v>
      </c>
    </row>
    <row r="1291" spans="1:21" x14ac:dyDescent="0.25">
      <c r="A1291" s="4" t="s">
        <v>2260</v>
      </c>
      <c r="B1291" s="5">
        <v>45674</v>
      </c>
      <c r="C1291" t="s">
        <v>62</v>
      </c>
      <c r="D1291" t="s">
        <v>3270</v>
      </c>
      <c r="E1291" t="s">
        <v>47</v>
      </c>
      <c r="F1291" t="s">
        <v>3205</v>
      </c>
      <c r="G1291" t="s">
        <v>48</v>
      </c>
      <c r="H1291" t="str">
        <f>VLOOKUP(Table1[[#This Row],[City]],Table6[#All],2,FALSE)</f>
        <v>North</v>
      </c>
      <c r="I1291" t="s">
        <v>24</v>
      </c>
      <c r="J1291" t="str">
        <f>_xlfn.XLOOKUP(Table1[[#This Row],[Tractor Model]],Table7[Product Model],Table7[Product Category],"Not Available",0)</f>
        <v>Farmtrac</v>
      </c>
      <c r="K1291" s="4">
        <v>8</v>
      </c>
      <c r="L1291" s="72">
        <v>878546</v>
      </c>
      <c r="M1291" s="4">
        <f>INDEX('Master Sheet'!$C$4:$C$12,MATCH(Table1[[#This Row],[Quantity]],'Master Sheet'!$B$4:$B$12,0))</f>
        <v>9</v>
      </c>
      <c r="N1291" s="71">
        <f>Table1[[#This Row],[Quantity]]*Table1[[#This Row],[Unit Price]]</f>
        <v>7028368</v>
      </c>
      <c r="O1291" s="73">
        <v>0.70283680000000004</v>
      </c>
      <c r="P1291" s="70">
        <f>Table1[[#This Row],[Gross Amount]]*(1-(Table1[[#This Row],[Discount %]]/100))</f>
        <v>6395814.8799999999</v>
      </c>
      <c r="Q1291" s="74">
        <f>(Table1[[#This Row],[Gross Amount]]*(1-(Table1[[#This Row],[Discount %]]/100)))/10000000</f>
        <v>0.63958148800000003</v>
      </c>
      <c r="R1291" t="s">
        <v>42</v>
      </c>
      <c r="S1291" t="str" cm="1">
        <f t="array" ref="S1291">IFERROR(_xlfn.IFS(Table1[[#This Row],[Payment Status]]="Partial","In Transit",Table1[[#This Row],[Payment Status]]="Paid","Delivered",Table1[[#This Row],[Payment Status]]="Pending","Pending"),"Invalid Input")</f>
        <v>Pending</v>
      </c>
      <c r="T1291" t="s">
        <v>44</v>
      </c>
      <c r="U1291" t="str" cm="1">
        <f t="array" ref="U1291">IFERROR(_xlfn.IFS(Table1[[#This Row],[Payment Status]]="Partial","In Transit",Table1[[#This Row],[Payment Status]]="Paid","Completed",Table1[[#This Row],[Payment Status]]="Pending","Pending"),"Invalid Input")</f>
        <v>Pending</v>
      </c>
    </row>
    <row r="1292" spans="1:21" x14ac:dyDescent="0.25">
      <c r="A1292" s="4" t="s">
        <v>2261</v>
      </c>
      <c r="B1292" s="5">
        <v>45642</v>
      </c>
      <c r="C1292" t="s">
        <v>41</v>
      </c>
      <c r="D1292" t="s">
        <v>3268</v>
      </c>
      <c r="E1292" t="s">
        <v>47</v>
      </c>
      <c r="F1292" t="s">
        <v>3216</v>
      </c>
      <c r="G1292" t="s">
        <v>48</v>
      </c>
      <c r="H1292" t="str">
        <f>VLOOKUP(Table1[[#This Row],[City]],Table6[#All],2,FALSE)</f>
        <v>North</v>
      </c>
      <c r="I1292" t="s">
        <v>53</v>
      </c>
      <c r="J1292" t="str">
        <f>_xlfn.XLOOKUP(Table1[[#This Row],[Tractor Model]],Table7[Product Model],Table7[Product Category],"Not Available",0)</f>
        <v>Farmtrac</v>
      </c>
      <c r="K1292" s="4">
        <v>2</v>
      </c>
      <c r="L1292" s="72">
        <v>284391</v>
      </c>
      <c r="M1292" s="4">
        <f>INDEX('Master Sheet'!$C$4:$C$12,MATCH(Table1[[#This Row],[Quantity]],'Master Sheet'!$B$4:$B$12,0))</f>
        <v>5</v>
      </c>
      <c r="N1292" s="71">
        <f>Table1[[#This Row],[Quantity]]*Table1[[#This Row],[Unit Price]]</f>
        <v>568782</v>
      </c>
      <c r="O1292" s="73">
        <v>5.6878199999999997E-2</v>
      </c>
      <c r="P1292" s="70">
        <f>Table1[[#This Row],[Gross Amount]]*(1-(Table1[[#This Row],[Discount %]]/100))</f>
        <v>540342.9</v>
      </c>
      <c r="Q1292" s="74">
        <f>(Table1[[#This Row],[Gross Amount]]*(1-(Table1[[#This Row],[Discount %]]/100)))/10000000</f>
        <v>5.4034290000000006E-2</v>
      </c>
      <c r="R1292" t="s">
        <v>25</v>
      </c>
      <c r="S1292" t="str" cm="1">
        <f t="array" ref="S1292">IFERROR(_xlfn.IFS(Table1[[#This Row],[Payment Status]]="Partial","In Transit",Table1[[#This Row],[Payment Status]]="Paid","Delivered",Table1[[#This Row],[Payment Status]]="Pending","Pending"),"Invalid Input")</f>
        <v>In Transit</v>
      </c>
      <c r="T1292" t="s">
        <v>27</v>
      </c>
      <c r="U1292" t="str" cm="1">
        <f t="array" ref="U1292">IFERROR(_xlfn.IFS(Table1[[#This Row],[Payment Status]]="Partial","In Transit",Table1[[#This Row],[Payment Status]]="Paid","Completed",Table1[[#This Row],[Payment Status]]="Pending","Pending"),"Invalid Input")</f>
        <v>In Transit</v>
      </c>
    </row>
    <row r="1293" spans="1:21" x14ac:dyDescent="0.25">
      <c r="A1293" s="4" t="s">
        <v>2262</v>
      </c>
      <c r="B1293" s="5">
        <v>45761</v>
      </c>
      <c r="C1293" t="s">
        <v>73</v>
      </c>
      <c r="D1293" t="s">
        <v>37</v>
      </c>
      <c r="E1293" t="s">
        <v>119</v>
      </c>
      <c r="F1293" t="s">
        <v>3224</v>
      </c>
      <c r="G1293" t="s">
        <v>21</v>
      </c>
      <c r="H1293" t="str">
        <f>VLOOKUP(Table1[[#This Row],[City]],Table6[#All],2,FALSE)</f>
        <v>North</v>
      </c>
      <c r="I1293" t="s">
        <v>58</v>
      </c>
      <c r="J1293" t="str">
        <f>_xlfn.XLOOKUP(Table1[[#This Row],[Tractor Model]],Table7[Product Model],Table7[Product Category],"Not Available",0)</f>
        <v>Powertrac</v>
      </c>
      <c r="K1293" s="4">
        <v>7</v>
      </c>
      <c r="L1293" s="72">
        <v>799334</v>
      </c>
      <c r="M1293" s="4">
        <f>INDEX('Master Sheet'!$C$4:$C$12,MATCH(Table1[[#This Row],[Quantity]],'Master Sheet'!$B$4:$B$12,0))</f>
        <v>9</v>
      </c>
      <c r="N1293" s="71">
        <f>Table1[[#This Row],[Quantity]]*Table1[[#This Row],[Unit Price]]</f>
        <v>5595338</v>
      </c>
      <c r="O1293" s="73">
        <v>0.55953379999999997</v>
      </c>
      <c r="P1293" s="70">
        <f>Table1[[#This Row],[Gross Amount]]*(1-(Table1[[#This Row],[Discount %]]/100))</f>
        <v>5091757.58</v>
      </c>
      <c r="Q1293" s="74">
        <f>(Table1[[#This Row],[Gross Amount]]*(1-(Table1[[#This Row],[Discount %]]/100)))/10000000</f>
        <v>0.50917575800000003</v>
      </c>
      <c r="R1293" t="s">
        <v>42</v>
      </c>
      <c r="S1293" t="str" cm="1">
        <f t="array" ref="S1293">IFERROR(_xlfn.IFS(Table1[[#This Row],[Payment Status]]="Partial","In Transit",Table1[[#This Row],[Payment Status]]="Paid","Delivered",Table1[[#This Row],[Payment Status]]="Pending","Pending"),"Invalid Input")</f>
        <v>Pending</v>
      </c>
      <c r="T1293" t="s">
        <v>27</v>
      </c>
      <c r="U1293" t="str" cm="1">
        <f t="array" ref="U1293">IFERROR(_xlfn.IFS(Table1[[#This Row],[Payment Status]]="Partial","In Transit",Table1[[#This Row],[Payment Status]]="Paid","Completed",Table1[[#This Row],[Payment Status]]="Pending","Pending"),"Invalid Input")</f>
        <v>Pending</v>
      </c>
    </row>
    <row r="1294" spans="1:21" x14ac:dyDescent="0.25">
      <c r="A1294" s="4" t="s">
        <v>2264</v>
      </c>
      <c r="B1294" s="5">
        <v>45933</v>
      </c>
      <c r="C1294" t="s">
        <v>62</v>
      </c>
      <c r="D1294" t="s">
        <v>3268</v>
      </c>
      <c r="E1294" t="s">
        <v>30</v>
      </c>
      <c r="F1294" t="s">
        <v>3208</v>
      </c>
      <c r="G1294" t="s">
        <v>31</v>
      </c>
      <c r="H1294" t="str">
        <f>VLOOKUP(Table1[[#This Row],[City]],Table6[#All],2,FALSE)</f>
        <v>South</v>
      </c>
      <c r="I1294" t="s">
        <v>3204</v>
      </c>
      <c r="J1294" t="str">
        <f>_xlfn.XLOOKUP(Table1[[#This Row],[Tractor Model]],Table7[Product Model],Table7[Product Category],"Not Available",0)</f>
        <v>Kubota</v>
      </c>
      <c r="K1294" s="4">
        <v>2</v>
      </c>
      <c r="L1294" s="72">
        <v>174061</v>
      </c>
      <c r="M1294" s="4">
        <f>INDEX('Master Sheet'!$C$4:$C$12,MATCH(Table1[[#This Row],[Quantity]],'Master Sheet'!$B$4:$B$12,0))</f>
        <v>5</v>
      </c>
      <c r="N1294" s="71">
        <f>Table1[[#This Row],[Quantity]]*Table1[[#This Row],[Unit Price]]</f>
        <v>348122</v>
      </c>
      <c r="O1294" s="73">
        <v>3.4812200000000001E-2</v>
      </c>
      <c r="P1294" s="70">
        <f>Table1[[#This Row],[Gross Amount]]*(1-(Table1[[#This Row],[Discount %]]/100))</f>
        <v>330715.89999999997</v>
      </c>
      <c r="Q1294" s="74">
        <f>(Table1[[#This Row],[Gross Amount]]*(1-(Table1[[#This Row],[Discount %]]/100)))/10000000</f>
        <v>3.3071589999999998E-2</v>
      </c>
      <c r="R1294" t="s">
        <v>42</v>
      </c>
      <c r="S1294" t="str" cm="1">
        <f t="array" ref="S1294">IFERROR(_xlfn.IFS(Table1[[#This Row],[Payment Status]]="Partial","In Transit",Table1[[#This Row],[Payment Status]]="Paid","Delivered",Table1[[#This Row],[Payment Status]]="Pending","Pending"),"Invalid Input")</f>
        <v>Pending</v>
      </c>
      <c r="T1294" t="s">
        <v>27</v>
      </c>
      <c r="U1294" t="str" cm="1">
        <f t="array" ref="U1294">IFERROR(_xlfn.IFS(Table1[[#This Row],[Payment Status]]="Partial","In Transit",Table1[[#This Row],[Payment Status]]="Paid","Completed",Table1[[#This Row],[Payment Status]]="Pending","Pending"),"Invalid Input")</f>
        <v>Pending</v>
      </c>
    </row>
    <row r="1295" spans="1:21" x14ac:dyDescent="0.25">
      <c r="A1295" s="4" t="s">
        <v>2265</v>
      </c>
      <c r="B1295" s="5">
        <v>45544</v>
      </c>
      <c r="C1295" t="s">
        <v>41</v>
      </c>
      <c r="D1295" t="s">
        <v>3271</v>
      </c>
      <c r="E1295" t="s">
        <v>66</v>
      </c>
      <c r="F1295" t="s">
        <v>3207</v>
      </c>
      <c r="G1295" t="s">
        <v>67</v>
      </c>
      <c r="H1295" t="str">
        <f>VLOOKUP(Table1[[#This Row],[City]],Table6[#All],2,FALSE)</f>
        <v>East</v>
      </c>
      <c r="I1295" t="s">
        <v>24</v>
      </c>
      <c r="J1295" t="str">
        <f>_xlfn.XLOOKUP(Table1[[#This Row],[Tractor Model]],Table7[Product Model],Table7[Product Category],"Not Available",0)</f>
        <v>Farmtrac</v>
      </c>
      <c r="K1295" s="4">
        <v>4</v>
      </c>
      <c r="L1295" s="72">
        <v>248801</v>
      </c>
      <c r="M1295" s="4">
        <f>INDEX('Master Sheet'!$C$4:$C$12,MATCH(Table1[[#This Row],[Quantity]],'Master Sheet'!$B$4:$B$12,0))</f>
        <v>6</v>
      </c>
      <c r="N1295" s="71">
        <f>Table1[[#This Row],[Quantity]]*Table1[[#This Row],[Unit Price]]</f>
        <v>995204</v>
      </c>
      <c r="O1295" s="73">
        <v>9.9520399999999995E-2</v>
      </c>
      <c r="P1295" s="70">
        <f>Table1[[#This Row],[Gross Amount]]*(1-(Table1[[#This Row],[Discount %]]/100))</f>
        <v>935491.75999999989</v>
      </c>
      <c r="Q1295" s="74">
        <f>(Table1[[#This Row],[Gross Amount]]*(1-(Table1[[#This Row],[Discount %]]/100)))/10000000</f>
        <v>9.3549175999999984E-2</v>
      </c>
      <c r="R1295" t="s">
        <v>42</v>
      </c>
      <c r="S1295" t="str" cm="1">
        <f t="array" ref="S1295">IFERROR(_xlfn.IFS(Table1[[#This Row],[Payment Status]]="Partial","In Transit",Table1[[#This Row],[Payment Status]]="Paid","Delivered",Table1[[#This Row],[Payment Status]]="Pending","Pending"),"Invalid Input")</f>
        <v>Pending</v>
      </c>
      <c r="T1295" t="s">
        <v>27</v>
      </c>
      <c r="U1295" t="str" cm="1">
        <f t="array" ref="U1295">IFERROR(_xlfn.IFS(Table1[[#This Row],[Payment Status]]="Partial","In Transit",Table1[[#This Row],[Payment Status]]="Paid","Completed",Table1[[#This Row],[Payment Status]]="Pending","Pending"),"Invalid Input")</f>
        <v>Pending</v>
      </c>
    </row>
    <row r="1296" spans="1:21" x14ac:dyDescent="0.25">
      <c r="A1296" s="4" t="s">
        <v>2266</v>
      </c>
      <c r="B1296" s="5">
        <v>45742</v>
      </c>
      <c r="C1296" t="s">
        <v>33</v>
      </c>
      <c r="D1296" t="s">
        <v>3271</v>
      </c>
      <c r="E1296" t="s">
        <v>30</v>
      </c>
      <c r="F1296" t="s">
        <v>3217</v>
      </c>
      <c r="G1296" t="s">
        <v>31</v>
      </c>
      <c r="H1296" t="str">
        <f>VLOOKUP(Table1[[#This Row],[City]],Table6[#All],2,FALSE)</f>
        <v>South</v>
      </c>
      <c r="I1296" t="s">
        <v>53</v>
      </c>
      <c r="J1296" t="str">
        <f>_xlfn.XLOOKUP(Table1[[#This Row],[Tractor Model]],Table7[Product Model],Table7[Product Category],"Not Available",0)</f>
        <v>Farmtrac</v>
      </c>
      <c r="K1296" s="4">
        <v>1</v>
      </c>
      <c r="L1296" s="72">
        <v>626764</v>
      </c>
      <c r="M1296" s="4">
        <f>INDEX('Master Sheet'!$C$4:$C$12,MATCH(Table1[[#This Row],[Quantity]],'Master Sheet'!$B$4:$B$12,0))</f>
        <v>3</v>
      </c>
      <c r="N1296" s="71">
        <f>Table1[[#This Row],[Quantity]]*Table1[[#This Row],[Unit Price]]</f>
        <v>626764</v>
      </c>
      <c r="O1296" s="73">
        <v>6.2676399999999993E-2</v>
      </c>
      <c r="P1296" s="70">
        <f>Table1[[#This Row],[Gross Amount]]*(1-(Table1[[#This Row],[Discount %]]/100))</f>
        <v>607961.07999999996</v>
      </c>
      <c r="Q1296" s="74">
        <f>(Table1[[#This Row],[Gross Amount]]*(1-(Table1[[#This Row],[Discount %]]/100)))/10000000</f>
        <v>6.0796107999999995E-2</v>
      </c>
      <c r="R1296" t="s">
        <v>25</v>
      </c>
      <c r="S1296" t="str" cm="1">
        <f t="array" ref="S1296">IFERROR(_xlfn.IFS(Table1[[#This Row],[Payment Status]]="Partial","In Transit",Table1[[#This Row],[Payment Status]]="Paid","Delivered",Table1[[#This Row],[Payment Status]]="Pending","Pending"),"Invalid Input")</f>
        <v>In Transit</v>
      </c>
      <c r="T1296" t="s">
        <v>44</v>
      </c>
      <c r="U1296" t="str" cm="1">
        <f t="array" ref="U1296">IFERROR(_xlfn.IFS(Table1[[#This Row],[Payment Status]]="Partial","In Transit",Table1[[#This Row],[Payment Status]]="Paid","Completed",Table1[[#This Row],[Payment Status]]="Pending","Pending"),"Invalid Input")</f>
        <v>In Transit</v>
      </c>
    </row>
    <row r="1297" spans="1:21" x14ac:dyDescent="0.25">
      <c r="A1297" s="4" t="s">
        <v>2268</v>
      </c>
      <c r="B1297" s="5">
        <v>45751</v>
      </c>
      <c r="C1297" t="s">
        <v>33</v>
      </c>
      <c r="D1297" t="s">
        <v>3269</v>
      </c>
      <c r="E1297" t="s">
        <v>47</v>
      </c>
      <c r="F1297" t="s">
        <v>3209</v>
      </c>
      <c r="G1297" t="s">
        <v>48</v>
      </c>
      <c r="H1297" t="str">
        <f>VLOOKUP(Table1[[#This Row],[City]],Table6[#All],2,FALSE)</f>
        <v>North</v>
      </c>
      <c r="I1297" t="s">
        <v>3204</v>
      </c>
      <c r="J1297" t="str">
        <f>_xlfn.XLOOKUP(Table1[[#This Row],[Tractor Model]],Table7[Product Model],Table7[Product Category],"Not Available",0)</f>
        <v>Kubota</v>
      </c>
      <c r="K1297" s="4">
        <v>6</v>
      </c>
      <c r="L1297" s="72">
        <v>361105</v>
      </c>
      <c r="M1297" s="4">
        <f>INDEX('Master Sheet'!$C$4:$C$12,MATCH(Table1[[#This Row],[Quantity]],'Master Sheet'!$B$4:$B$12,0))</f>
        <v>8</v>
      </c>
      <c r="N1297" s="71">
        <f>Table1[[#This Row],[Quantity]]*Table1[[#This Row],[Unit Price]]</f>
        <v>2166630</v>
      </c>
      <c r="O1297" s="73">
        <v>0.21666299999999999</v>
      </c>
      <c r="P1297" s="70">
        <f>Table1[[#This Row],[Gross Amount]]*(1-(Table1[[#This Row],[Discount %]]/100))</f>
        <v>1993299.6</v>
      </c>
      <c r="Q1297" s="74">
        <f>(Table1[[#This Row],[Gross Amount]]*(1-(Table1[[#This Row],[Discount %]]/100)))/10000000</f>
        <v>0.19932996</v>
      </c>
      <c r="R1297" t="s">
        <v>42</v>
      </c>
      <c r="S1297" t="str" cm="1">
        <f t="array" ref="S1297">IFERROR(_xlfn.IFS(Table1[[#This Row],[Payment Status]]="Partial","In Transit",Table1[[#This Row],[Payment Status]]="Paid","Delivered",Table1[[#This Row],[Payment Status]]="Pending","Pending"),"Invalid Input")</f>
        <v>Pending</v>
      </c>
      <c r="T1297" t="s">
        <v>44</v>
      </c>
      <c r="U1297" t="str" cm="1">
        <f t="array" ref="U1297">IFERROR(_xlfn.IFS(Table1[[#This Row],[Payment Status]]="Partial","In Transit",Table1[[#This Row],[Payment Status]]="Paid","Completed",Table1[[#This Row],[Payment Status]]="Pending","Pending"),"Invalid Input")</f>
        <v>Pending</v>
      </c>
    </row>
    <row r="1298" spans="1:21" x14ac:dyDescent="0.25">
      <c r="A1298" s="4" t="s">
        <v>2270</v>
      </c>
      <c r="B1298" s="5">
        <v>45545</v>
      </c>
      <c r="C1298" t="s">
        <v>33</v>
      </c>
      <c r="D1298" t="s">
        <v>37</v>
      </c>
      <c r="E1298" t="s">
        <v>38</v>
      </c>
      <c r="F1298" t="s">
        <v>3214</v>
      </c>
      <c r="G1298" t="s">
        <v>39</v>
      </c>
      <c r="H1298" t="str">
        <f>VLOOKUP(Table1[[#This Row],[City]],Table6[#All],2,FALSE)</f>
        <v>West</v>
      </c>
      <c r="I1298" t="s">
        <v>24</v>
      </c>
      <c r="J1298" t="str">
        <f>_xlfn.XLOOKUP(Table1[[#This Row],[Tractor Model]],Table7[Product Model],Table7[Product Category],"Not Available",0)</f>
        <v>Farmtrac</v>
      </c>
      <c r="K1298" s="4">
        <v>1</v>
      </c>
      <c r="L1298" s="72">
        <v>90904</v>
      </c>
      <c r="M1298" s="4">
        <f>INDEX('Master Sheet'!$C$4:$C$12,MATCH(Table1[[#This Row],[Quantity]],'Master Sheet'!$B$4:$B$12,0))</f>
        <v>3</v>
      </c>
      <c r="N1298" s="71">
        <f>Table1[[#This Row],[Quantity]]*Table1[[#This Row],[Unit Price]]</f>
        <v>90904</v>
      </c>
      <c r="O1298" s="73">
        <v>9.0904000000000002E-3</v>
      </c>
      <c r="P1298" s="70">
        <f>Table1[[#This Row],[Gross Amount]]*(1-(Table1[[#This Row],[Discount %]]/100))</f>
        <v>88176.88</v>
      </c>
      <c r="Q1298" s="74">
        <f>(Table1[[#This Row],[Gross Amount]]*(1-(Table1[[#This Row],[Discount %]]/100)))/10000000</f>
        <v>8.8176880000000006E-3</v>
      </c>
      <c r="R1298" t="s">
        <v>25</v>
      </c>
      <c r="S1298" t="str" cm="1">
        <f t="array" ref="S1298">IFERROR(_xlfn.IFS(Table1[[#This Row],[Payment Status]]="Partial","In Transit",Table1[[#This Row],[Payment Status]]="Paid","Delivered",Table1[[#This Row],[Payment Status]]="Pending","Pending"),"Invalid Input")</f>
        <v>In Transit</v>
      </c>
      <c r="T1298" t="s">
        <v>27</v>
      </c>
      <c r="U1298" t="str" cm="1">
        <f t="array" ref="U1298">IFERROR(_xlfn.IFS(Table1[[#This Row],[Payment Status]]="Partial","In Transit",Table1[[#This Row],[Payment Status]]="Paid","Completed",Table1[[#This Row],[Payment Status]]="Pending","Pending"),"Invalid Input")</f>
        <v>In Transit</v>
      </c>
    </row>
    <row r="1299" spans="1:21" x14ac:dyDescent="0.25">
      <c r="A1299" s="4" t="s">
        <v>2271</v>
      </c>
      <c r="B1299" s="5">
        <v>45672</v>
      </c>
      <c r="C1299" t="s">
        <v>62</v>
      </c>
      <c r="D1299" t="s">
        <v>37</v>
      </c>
      <c r="E1299" t="s">
        <v>119</v>
      </c>
      <c r="F1299" t="s">
        <v>3224</v>
      </c>
      <c r="G1299" t="s">
        <v>21</v>
      </c>
      <c r="H1299" t="str">
        <f>VLOOKUP(Table1[[#This Row],[City]],Table6[#All],2,FALSE)</f>
        <v>North</v>
      </c>
      <c r="I1299" t="s">
        <v>3203</v>
      </c>
      <c r="J1299" t="str">
        <f>_xlfn.XLOOKUP(Table1[[#This Row],[Tractor Model]],Table7[Product Model],Table7[Product Category],"Not Available",0)</f>
        <v>Kubota</v>
      </c>
      <c r="K1299" s="4">
        <v>7</v>
      </c>
      <c r="L1299" s="72">
        <v>432267</v>
      </c>
      <c r="M1299" s="4">
        <f>INDEX('Master Sheet'!$C$4:$C$12,MATCH(Table1[[#This Row],[Quantity]],'Master Sheet'!$B$4:$B$12,0))</f>
        <v>9</v>
      </c>
      <c r="N1299" s="71">
        <f>Table1[[#This Row],[Quantity]]*Table1[[#This Row],[Unit Price]]</f>
        <v>3025869</v>
      </c>
      <c r="O1299" s="73">
        <v>0.30258689999999999</v>
      </c>
      <c r="P1299" s="70">
        <f>Table1[[#This Row],[Gross Amount]]*(1-(Table1[[#This Row],[Discount %]]/100))</f>
        <v>2753540.79</v>
      </c>
      <c r="Q1299" s="74">
        <f>(Table1[[#This Row],[Gross Amount]]*(1-(Table1[[#This Row],[Discount %]]/100)))/10000000</f>
        <v>0.27535407900000003</v>
      </c>
      <c r="R1299" t="s">
        <v>42</v>
      </c>
      <c r="S1299" t="str" cm="1">
        <f t="array" ref="S1299">IFERROR(_xlfn.IFS(Table1[[#This Row],[Payment Status]]="Partial","In Transit",Table1[[#This Row],[Payment Status]]="Paid","Delivered",Table1[[#This Row],[Payment Status]]="Pending","Pending"),"Invalid Input")</f>
        <v>Pending</v>
      </c>
      <c r="T1299" t="s">
        <v>27</v>
      </c>
      <c r="U1299" t="str" cm="1">
        <f t="array" ref="U1299">IFERROR(_xlfn.IFS(Table1[[#This Row],[Payment Status]]="Partial","In Transit",Table1[[#This Row],[Payment Status]]="Paid","Completed",Table1[[#This Row],[Payment Status]]="Pending","Pending"),"Invalid Input")</f>
        <v>Pending</v>
      </c>
    </row>
    <row r="1300" spans="1:21" x14ac:dyDescent="0.25">
      <c r="A1300" s="4" t="s">
        <v>2272</v>
      </c>
      <c r="B1300" s="5">
        <v>45556</v>
      </c>
      <c r="C1300" t="s">
        <v>33</v>
      </c>
      <c r="D1300" t="s">
        <v>3268</v>
      </c>
      <c r="E1300" t="s">
        <v>47</v>
      </c>
      <c r="F1300" t="s">
        <v>3216</v>
      </c>
      <c r="G1300" t="s">
        <v>48</v>
      </c>
      <c r="H1300" t="str">
        <f>VLOOKUP(Table1[[#This Row],[City]],Table6[#All],2,FALSE)</f>
        <v>North</v>
      </c>
      <c r="I1300" t="s">
        <v>24</v>
      </c>
      <c r="J1300" t="str">
        <f>_xlfn.XLOOKUP(Table1[[#This Row],[Tractor Model]],Table7[Product Model],Table7[Product Category],"Not Available",0)</f>
        <v>Farmtrac</v>
      </c>
      <c r="K1300" s="4">
        <v>6</v>
      </c>
      <c r="L1300" s="72">
        <v>519980</v>
      </c>
      <c r="M1300" s="4">
        <f>INDEX('Master Sheet'!$C$4:$C$12,MATCH(Table1[[#This Row],[Quantity]],'Master Sheet'!$B$4:$B$12,0))</f>
        <v>8</v>
      </c>
      <c r="N1300" s="71">
        <f>Table1[[#This Row],[Quantity]]*Table1[[#This Row],[Unit Price]]</f>
        <v>3119880</v>
      </c>
      <c r="O1300" s="73">
        <v>0.31198799999999999</v>
      </c>
      <c r="P1300" s="70">
        <f>Table1[[#This Row],[Gross Amount]]*(1-(Table1[[#This Row],[Discount %]]/100))</f>
        <v>2870289.6</v>
      </c>
      <c r="Q1300" s="74">
        <f>(Table1[[#This Row],[Gross Amount]]*(1-(Table1[[#This Row],[Discount %]]/100)))/10000000</f>
        <v>0.28702896</v>
      </c>
      <c r="R1300" t="s">
        <v>54</v>
      </c>
      <c r="S1300" t="str" cm="1">
        <f t="array" ref="S1300">IFERROR(_xlfn.IFS(Table1[[#This Row],[Payment Status]]="Partial","In Transit",Table1[[#This Row],[Payment Status]]="Paid","Delivered",Table1[[#This Row],[Payment Status]]="Pending","Pending"),"Invalid Input")</f>
        <v>Delivered</v>
      </c>
      <c r="T1300" t="s">
        <v>27</v>
      </c>
      <c r="U1300" t="str" cm="1">
        <f t="array" ref="U1300">IFERROR(_xlfn.IFS(Table1[[#This Row],[Payment Status]]="Partial","In Transit",Table1[[#This Row],[Payment Status]]="Paid","Completed",Table1[[#This Row],[Payment Status]]="Pending","Pending"),"Invalid Input")</f>
        <v>Completed</v>
      </c>
    </row>
    <row r="1301" spans="1:21" x14ac:dyDescent="0.25">
      <c r="A1301" s="4" t="s">
        <v>2274</v>
      </c>
      <c r="B1301" s="5">
        <v>45583</v>
      </c>
      <c r="C1301" t="s">
        <v>41</v>
      </c>
      <c r="D1301" t="s">
        <v>3270</v>
      </c>
      <c r="E1301" t="s">
        <v>38</v>
      </c>
      <c r="F1301" t="s">
        <v>3218</v>
      </c>
      <c r="G1301" t="s">
        <v>39</v>
      </c>
      <c r="H1301" t="str">
        <f>VLOOKUP(Table1[[#This Row],[City]],Table6[#All],2,FALSE)</f>
        <v>West</v>
      </c>
      <c r="I1301" t="s">
        <v>53</v>
      </c>
      <c r="J1301" t="str">
        <f>_xlfn.XLOOKUP(Table1[[#This Row],[Tractor Model]],Table7[Product Model],Table7[Product Category],"Not Available",0)</f>
        <v>Farmtrac</v>
      </c>
      <c r="K1301" s="4">
        <v>7</v>
      </c>
      <c r="L1301" s="72">
        <v>265630</v>
      </c>
      <c r="M1301" s="4">
        <f>INDEX('Master Sheet'!$C$4:$C$12,MATCH(Table1[[#This Row],[Quantity]],'Master Sheet'!$B$4:$B$12,0))</f>
        <v>9</v>
      </c>
      <c r="N1301" s="71">
        <f>Table1[[#This Row],[Quantity]]*Table1[[#This Row],[Unit Price]]</f>
        <v>1859410</v>
      </c>
      <c r="O1301" s="73">
        <v>0.185941</v>
      </c>
      <c r="P1301" s="70">
        <f>Table1[[#This Row],[Gross Amount]]*(1-(Table1[[#This Row],[Discount %]]/100))</f>
        <v>1692063.1</v>
      </c>
      <c r="Q1301" s="74">
        <f>(Table1[[#This Row],[Gross Amount]]*(1-(Table1[[#This Row],[Discount %]]/100)))/10000000</f>
        <v>0.16920631</v>
      </c>
      <c r="R1301" t="s">
        <v>42</v>
      </c>
      <c r="S1301" t="str" cm="1">
        <f t="array" ref="S1301">IFERROR(_xlfn.IFS(Table1[[#This Row],[Payment Status]]="Partial","In Transit",Table1[[#This Row],[Payment Status]]="Paid","Delivered",Table1[[#This Row],[Payment Status]]="Pending","Pending"),"Invalid Input")</f>
        <v>Pending</v>
      </c>
      <c r="T1301" t="s">
        <v>27</v>
      </c>
      <c r="U1301" t="str" cm="1">
        <f t="array" ref="U1301">IFERROR(_xlfn.IFS(Table1[[#This Row],[Payment Status]]="Partial","In Transit",Table1[[#This Row],[Payment Status]]="Paid","Completed",Table1[[#This Row],[Payment Status]]="Pending","Pending"),"Invalid Input")</f>
        <v>Pending</v>
      </c>
    </row>
    <row r="1302" spans="1:21" x14ac:dyDescent="0.25">
      <c r="A1302" s="4" t="s">
        <v>2275</v>
      </c>
      <c r="B1302" s="5">
        <v>45776</v>
      </c>
      <c r="C1302" t="s">
        <v>73</v>
      </c>
      <c r="D1302" t="s">
        <v>3270</v>
      </c>
      <c r="E1302" t="s">
        <v>47</v>
      </c>
      <c r="F1302" t="s">
        <v>3205</v>
      </c>
      <c r="G1302" t="s">
        <v>48</v>
      </c>
      <c r="H1302" t="str">
        <f>VLOOKUP(Table1[[#This Row],[City]],Table6[#All],2,FALSE)</f>
        <v>North</v>
      </c>
      <c r="I1302" t="s">
        <v>3203</v>
      </c>
      <c r="J1302" t="str">
        <f>_xlfn.XLOOKUP(Table1[[#This Row],[Tractor Model]],Table7[Product Model],Table7[Product Category],"Not Available",0)</f>
        <v>Kubota</v>
      </c>
      <c r="K1302" s="4">
        <v>7</v>
      </c>
      <c r="L1302" s="72">
        <v>344934</v>
      </c>
      <c r="M1302" s="4">
        <f>INDEX('Master Sheet'!$C$4:$C$12,MATCH(Table1[[#This Row],[Quantity]],'Master Sheet'!$B$4:$B$12,0))</f>
        <v>9</v>
      </c>
      <c r="N1302" s="71">
        <f>Table1[[#This Row],[Quantity]]*Table1[[#This Row],[Unit Price]]</f>
        <v>2414538</v>
      </c>
      <c r="O1302" s="73">
        <v>0.2414538</v>
      </c>
      <c r="P1302" s="70">
        <f>Table1[[#This Row],[Gross Amount]]*(1-(Table1[[#This Row],[Discount %]]/100))</f>
        <v>2197229.58</v>
      </c>
      <c r="Q1302" s="74">
        <f>(Table1[[#This Row],[Gross Amount]]*(1-(Table1[[#This Row],[Discount %]]/100)))/10000000</f>
        <v>0.219722958</v>
      </c>
      <c r="R1302" t="s">
        <v>25</v>
      </c>
      <c r="S1302" t="str" cm="1">
        <f t="array" ref="S1302">IFERROR(_xlfn.IFS(Table1[[#This Row],[Payment Status]]="Partial","In Transit",Table1[[#This Row],[Payment Status]]="Paid","Delivered",Table1[[#This Row],[Payment Status]]="Pending","Pending"),"Invalid Input")</f>
        <v>In Transit</v>
      </c>
      <c r="T1302" t="s">
        <v>27</v>
      </c>
      <c r="U1302" t="str" cm="1">
        <f t="array" ref="U1302">IFERROR(_xlfn.IFS(Table1[[#This Row],[Payment Status]]="Partial","In Transit",Table1[[#This Row],[Payment Status]]="Paid","Completed",Table1[[#This Row],[Payment Status]]="Pending","Pending"),"Invalid Input")</f>
        <v>In Transit</v>
      </c>
    </row>
    <row r="1303" spans="1:21" x14ac:dyDescent="0.25">
      <c r="A1303" s="4" t="s">
        <v>2276</v>
      </c>
      <c r="B1303" s="5">
        <v>45820</v>
      </c>
      <c r="C1303" t="s">
        <v>73</v>
      </c>
      <c r="D1303" t="s">
        <v>3269</v>
      </c>
      <c r="E1303" t="s">
        <v>47</v>
      </c>
      <c r="F1303" t="s">
        <v>3209</v>
      </c>
      <c r="G1303" t="s">
        <v>48</v>
      </c>
      <c r="H1303" t="str">
        <f>VLOOKUP(Table1[[#This Row],[City]],Table6[#All],2,FALSE)</f>
        <v>North</v>
      </c>
      <c r="I1303" t="s">
        <v>58</v>
      </c>
      <c r="J1303" t="str">
        <f>_xlfn.XLOOKUP(Table1[[#This Row],[Tractor Model]],Table7[Product Model],Table7[Product Category],"Not Available",0)</f>
        <v>Powertrac</v>
      </c>
      <c r="K1303" s="4">
        <v>6</v>
      </c>
      <c r="L1303" s="72">
        <v>123623</v>
      </c>
      <c r="M1303" s="4">
        <f>INDEX('Master Sheet'!$C$4:$C$12,MATCH(Table1[[#This Row],[Quantity]],'Master Sheet'!$B$4:$B$12,0))</f>
        <v>8</v>
      </c>
      <c r="N1303" s="71">
        <f>Table1[[#This Row],[Quantity]]*Table1[[#This Row],[Unit Price]]</f>
        <v>741738</v>
      </c>
      <c r="O1303" s="73">
        <v>7.4173799999999998E-2</v>
      </c>
      <c r="P1303" s="70">
        <f>Table1[[#This Row],[Gross Amount]]*(1-(Table1[[#This Row],[Discount %]]/100))</f>
        <v>682398.96000000008</v>
      </c>
      <c r="Q1303" s="74">
        <f>(Table1[[#This Row],[Gross Amount]]*(1-(Table1[[#This Row],[Discount %]]/100)))/10000000</f>
        <v>6.8239896000000008E-2</v>
      </c>
      <c r="R1303" t="s">
        <v>25</v>
      </c>
      <c r="S1303" t="str" cm="1">
        <f t="array" ref="S1303">IFERROR(_xlfn.IFS(Table1[[#This Row],[Payment Status]]="Partial","In Transit",Table1[[#This Row],[Payment Status]]="Paid","Delivered",Table1[[#This Row],[Payment Status]]="Pending","Pending"),"Invalid Input")</f>
        <v>In Transit</v>
      </c>
      <c r="T1303" t="s">
        <v>27</v>
      </c>
      <c r="U1303" t="str" cm="1">
        <f t="array" ref="U1303">IFERROR(_xlfn.IFS(Table1[[#This Row],[Payment Status]]="Partial","In Transit",Table1[[#This Row],[Payment Status]]="Paid","Completed",Table1[[#This Row],[Payment Status]]="Pending","Pending"),"Invalid Input")</f>
        <v>In Transit</v>
      </c>
    </row>
    <row r="1304" spans="1:21" x14ac:dyDescent="0.25">
      <c r="A1304" s="4" t="s">
        <v>2278</v>
      </c>
      <c r="B1304" s="5">
        <v>45464</v>
      </c>
      <c r="C1304" t="s">
        <v>73</v>
      </c>
      <c r="D1304" t="s">
        <v>3271</v>
      </c>
      <c r="E1304" t="s">
        <v>66</v>
      </c>
      <c r="F1304" t="s">
        <v>3207</v>
      </c>
      <c r="G1304" t="s">
        <v>67</v>
      </c>
      <c r="H1304" t="str">
        <f>VLOOKUP(Table1[[#This Row],[City]],Table6[#All],2,FALSE)</f>
        <v>East</v>
      </c>
      <c r="I1304" t="s">
        <v>58</v>
      </c>
      <c r="J1304" t="str">
        <f>_xlfn.XLOOKUP(Table1[[#This Row],[Tractor Model]],Table7[Product Model],Table7[Product Category],"Not Available",0)</f>
        <v>Powertrac</v>
      </c>
      <c r="K1304" s="4">
        <v>5</v>
      </c>
      <c r="L1304" s="72">
        <v>654920</v>
      </c>
      <c r="M1304" s="4">
        <f>INDEX('Master Sheet'!$C$4:$C$12,MATCH(Table1[[#This Row],[Quantity]],'Master Sheet'!$B$4:$B$12,0))</f>
        <v>7</v>
      </c>
      <c r="N1304" s="71">
        <f>Table1[[#This Row],[Quantity]]*Table1[[#This Row],[Unit Price]]</f>
        <v>3274600</v>
      </c>
      <c r="O1304" s="73">
        <v>0.32745999999999997</v>
      </c>
      <c r="P1304" s="70">
        <f>Table1[[#This Row],[Gross Amount]]*(1-(Table1[[#This Row],[Discount %]]/100))</f>
        <v>3045378</v>
      </c>
      <c r="Q1304" s="74">
        <f>(Table1[[#This Row],[Gross Amount]]*(1-(Table1[[#This Row],[Discount %]]/100)))/10000000</f>
        <v>0.30453780000000003</v>
      </c>
      <c r="R1304" t="s">
        <v>42</v>
      </c>
      <c r="S1304" t="str" cm="1">
        <f t="array" ref="S1304">IFERROR(_xlfn.IFS(Table1[[#This Row],[Payment Status]]="Partial","In Transit",Table1[[#This Row],[Payment Status]]="Paid","Delivered",Table1[[#This Row],[Payment Status]]="Pending","Pending"),"Invalid Input")</f>
        <v>Pending</v>
      </c>
      <c r="T1304" t="s">
        <v>27</v>
      </c>
      <c r="U1304" t="str" cm="1">
        <f t="array" ref="U1304">IFERROR(_xlfn.IFS(Table1[[#This Row],[Payment Status]]="Partial","In Transit",Table1[[#This Row],[Payment Status]]="Paid","Completed",Table1[[#This Row],[Payment Status]]="Pending","Pending"),"Invalid Input")</f>
        <v>Pending</v>
      </c>
    </row>
    <row r="1305" spans="1:21" x14ac:dyDescent="0.25">
      <c r="A1305" s="4" t="s">
        <v>2280</v>
      </c>
      <c r="B1305" s="5">
        <v>45399</v>
      </c>
      <c r="C1305" t="s">
        <v>33</v>
      </c>
      <c r="D1305" t="s">
        <v>3268</v>
      </c>
      <c r="E1305" t="s">
        <v>30</v>
      </c>
      <c r="F1305" t="s">
        <v>3208</v>
      </c>
      <c r="G1305" t="s">
        <v>31</v>
      </c>
      <c r="H1305" t="str">
        <f>VLOOKUP(Table1[[#This Row],[City]],Table6[#All],2,FALSE)</f>
        <v>South</v>
      </c>
      <c r="I1305" t="s">
        <v>53</v>
      </c>
      <c r="J1305" t="str">
        <f>_xlfn.XLOOKUP(Table1[[#This Row],[Tractor Model]],Table7[Product Model],Table7[Product Category],"Not Available",0)</f>
        <v>Farmtrac</v>
      </c>
      <c r="K1305" s="4">
        <v>6</v>
      </c>
      <c r="L1305" s="72">
        <v>252060</v>
      </c>
      <c r="M1305" s="4">
        <f>INDEX('Master Sheet'!$C$4:$C$12,MATCH(Table1[[#This Row],[Quantity]],'Master Sheet'!$B$4:$B$12,0))</f>
        <v>8</v>
      </c>
      <c r="N1305" s="71">
        <f>Table1[[#This Row],[Quantity]]*Table1[[#This Row],[Unit Price]]</f>
        <v>1512360</v>
      </c>
      <c r="O1305" s="73">
        <v>0.15123600000000001</v>
      </c>
      <c r="P1305" s="70">
        <f>Table1[[#This Row],[Gross Amount]]*(1-(Table1[[#This Row],[Discount %]]/100))</f>
        <v>1391371.2</v>
      </c>
      <c r="Q1305" s="74">
        <f>(Table1[[#This Row],[Gross Amount]]*(1-(Table1[[#This Row],[Discount %]]/100)))/10000000</f>
        <v>0.13913712</v>
      </c>
      <c r="R1305" t="s">
        <v>25</v>
      </c>
      <c r="S1305" t="str" cm="1">
        <f t="array" ref="S1305">IFERROR(_xlfn.IFS(Table1[[#This Row],[Payment Status]]="Partial","In Transit",Table1[[#This Row],[Payment Status]]="Paid","Delivered",Table1[[#This Row],[Payment Status]]="Pending","Pending"),"Invalid Input")</f>
        <v>In Transit</v>
      </c>
      <c r="T1305" t="s">
        <v>27</v>
      </c>
      <c r="U1305" t="str" cm="1">
        <f t="array" ref="U1305">IFERROR(_xlfn.IFS(Table1[[#This Row],[Payment Status]]="Partial","In Transit",Table1[[#This Row],[Payment Status]]="Paid","Completed",Table1[[#This Row],[Payment Status]]="Pending","Pending"),"Invalid Input")</f>
        <v>In Transit</v>
      </c>
    </row>
    <row r="1306" spans="1:21" x14ac:dyDescent="0.25">
      <c r="A1306" s="4" t="s">
        <v>2281</v>
      </c>
      <c r="B1306" s="5">
        <v>45301</v>
      </c>
      <c r="C1306" t="s">
        <v>41</v>
      </c>
      <c r="D1306" t="s">
        <v>3271</v>
      </c>
      <c r="E1306" t="s">
        <v>38</v>
      </c>
      <c r="F1306" t="s">
        <v>3210</v>
      </c>
      <c r="G1306" t="s">
        <v>39</v>
      </c>
      <c r="H1306" t="str">
        <f>VLOOKUP(Table1[[#This Row],[City]],Table6[#All],2,FALSE)</f>
        <v>West</v>
      </c>
      <c r="I1306" t="s">
        <v>3204</v>
      </c>
      <c r="J1306" t="str">
        <f>_xlfn.XLOOKUP(Table1[[#This Row],[Tractor Model]],Table7[Product Model],Table7[Product Category],"Not Available",0)</f>
        <v>Kubota</v>
      </c>
      <c r="K1306" s="4">
        <v>8</v>
      </c>
      <c r="L1306" s="72">
        <v>550662</v>
      </c>
      <c r="M1306" s="4">
        <f>INDEX('Master Sheet'!$C$4:$C$12,MATCH(Table1[[#This Row],[Quantity]],'Master Sheet'!$B$4:$B$12,0))</f>
        <v>9</v>
      </c>
      <c r="N1306" s="71">
        <f>Table1[[#This Row],[Quantity]]*Table1[[#This Row],[Unit Price]]</f>
        <v>4405296</v>
      </c>
      <c r="O1306" s="73">
        <v>0.44052960000000002</v>
      </c>
      <c r="P1306" s="70">
        <f>Table1[[#This Row],[Gross Amount]]*(1-(Table1[[#This Row],[Discount %]]/100))</f>
        <v>4008819.3600000003</v>
      </c>
      <c r="Q1306" s="74">
        <f>(Table1[[#This Row],[Gross Amount]]*(1-(Table1[[#This Row],[Discount %]]/100)))/10000000</f>
        <v>0.40088193600000005</v>
      </c>
      <c r="R1306" t="s">
        <v>42</v>
      </c>
      <c r="S1306" t="str" cm="1">
        <f t="array" ref="S1306">IFERROR(_xlfn.IFS(Table1[[#This Row],[Payment Status]]="Partial","In Transit",Table1[[#This Row],[Payment Status]]="Paid","Delivered",Table1[[#This Row],[Payment Status]]="Pending","Pending"),"Invalid Input")</f>
        <v>Pending</v>
      </c>
      <c r="T1306" t="s">
        <v>27</v>
      </c>
      <c r="U1306" t="str" cm="1">
        <f t="array" ref="U1306">IFERROR(_xlfn.IFS(Table1[[#This Row],[Payment Status]]="Partial","In Transit",Table1[[#This Row],[Payment Status]]="Paid","Completed",Table1[[#This Row],[Payment Status]]="Pending","Pending"),"Invalid Input")</f>
        <v>Pending</v>
      </c>
    </row>
    <row r="1307" spans="1:21" x14ac:dyDescent="0.25">
      <c r="A1307" s="4" t="s">
        <v>2283</v>
      </c>
      <c r="B1307" s="5">
        <v>45418</v>
      </c>
      <c r="C1307" t="s">
        <v>41</v>
      </c>
      <c r="D1307" t="s">
        <v>3271</v>
      </c>
      <c r="E1307" t="s">
        <v>119</v>
      </c>
      <c r="F1307" t="s">
        <v>3228</v>
      </c>
      <c r="G1307" t="s">
        <v>21</v>
      </c>
      <c r="H1307" t="str">
        <f>VLOOKUP(Table1[[#This Row],[City]],Table6[#All],2,FALSE)</f>
        <v>North</v>
      </c>
      <c r="I1307" t="s">
        <v>24</v>
      </c>
      <c r="J1307" t="str">
        <f>_xlfn.XLOOKUP(Table1[[#This Row],[Tractor Model]],Table7[Product Model],Table7[Product Category],"Not Available",0)</f>
        <v>Farmtrac</v>
      </c>
      <c r="K1307" s="4">
        <v>3</v>
      </c>
      <c r="L1307" s="72">
        <v>803230</v>
      </c>
      <c r="M1307" s="4">
        <f>INDEX('Master Sheet'!$C$4:$C$12,MATCH(Table1[[#This Row],[Quantity]],'Master Sheet'!$B$4:$B$12,0))</f>
        <v>6</v>
      </c>
      <c r="N1307" s="71">
        <f>Table1[[#This Row],[Quantity]]*Table1[[#This Row],[Unit Price]]</f>
        <v>2409690</v>
      </c>
      <c r="O1307" s="73">
        <v>0.24096899999999999</v>
      </c>
      <c r="P1307" s="70">
        <f>Table1[[#This Row],[Gross Amount]]*(1-(Table1[[#This Row],[Discount %]]/100))</f>
        <v>2265108.6</v>
      </c>
      <c r="Q1307" s="74">
        <f>(Table1[[#This Row],[Gross Amount]]*(1-(Table1[[#This Row],[Discount %]]/100)))/10000000</f>
        <v>0.22651086000000001</v>
      </c>
      <c r="R1307" t="s">
        <v>42</v>
      </c>
      <c r="S1307" t="str" cm="1">
        <f t="array" ref="S1307">IFERROR(_xlfn.IFS(Table1[[#This Row],[Payment Status]]="Partial","In Transit",Table1[[#This Row],[Payment Status]]="Paid","Delivered",Table1[[#This Row],[Payment Status]]="Pending","Pending"),"Invalid Input")</f>
        <v>Pending</v>
      </c>
      <c r="T1307" t="s">
        <v>44</v>
      </c>
      <c r="U1307" t="str" cm="1">
        <f t="array" ref="U1307">IFERROR(_xlfn.IFS(Table1[[#This Row],[Payment Status]]="Partial","In Transit",Table1[[#This Row],[Payment Status]]="Paid","Completed",Table1[[#This Row],[Payment Status]]="Pending","Pending"),"Invalid Input")</f>
        <v>Pending</v>
      </c>
    </row>
    <row r="1308" spans="1:21" x14ac:dyDescent="0.25">
      <c r="A1308" s="4" t="s">
        <v>2285</v>
      </c>
      <c r="B1308" s="5">
        <v>45737</v>
      </c>
      <c r="C1308" t="s">
        <v>41</v>
      </c>
      <c r="D1308" t="s">
        <v>3269</v>
      </c>
      <c r="E1308" t="s">
        <v>119</v>
      </c>
      <c r="F1308" t="s">
        <v>3229</v>
      </c>
      <c r="G1308" t="s">
        <v>21</v>
      </c>
      <c r="H1308" t="str">
        <f>VLOOKUP(Table1[[#This Row],[City]],Table6[#All],2,FALSE)</f>
        <v>North</v>
      </c>
      <c r="I1308" t="s">
        <v>3203</v>
      </c>
      <c r="J1308" t="str">
        <f>_xlfn.XLOOKUP(Table1[[#This Row],[Tractor Model]],Table7[Product Model],Table7[Product Category],"Not Available",0)</f>
        <v>Kubota</v>
      </c>
      <c r="K1308" s="4">
        <v>3</v>
      </c>
      <c r="L1308" s="72">
        <v>79027</v>
      </c>
      <c r="M1308" s="4">
        <f>INDEX('Master Sheet'!$C$4:$C$12,MATCH(Table1[[#This Row],[Quantity]],'Master Sheet'!$B$4:$B$12,0))</f>
        <v>6</v>
      </c>
      <c r="N1308" s="71">
        <f>Table1[[#This Row],[Quantity]]*Table1[[#This Row],[Unit Price]]</f>
        <v>237081</v>
      </c>
      <c r="O1308" s="73">
        <v>2.3708099999999999E-2</v>
      </c>
      <c r="P1308" s="70">
        <f>Table1[[#This Row],[Gross Amount]]*(1-(Table1[[#This Row],[Discount %]]/100))</f>
        <v>222856.13999999998</v>
      </c>
      <c r="Q1308" s="74">
        <f>(Table1[[#This Row],[Gross Amount]]*(1-(Table1[[#This Row],[Discount %]]/100)))/10000000</f>
        <v>2.2285613999999999E-2</v>
      </c>
      <c r="R1308" t="s">
        <v>42</v>
      </c>
      <c r="S1308" t="str" cm="1">
        <f t="array" ref="S1308">IFERROR(_xlfn.IFS(Table1[[#This Row],[Payment Status]]="Partial","In Transit",Table1[[#This Row],[Payment Status]]="Paid","Delivered",Table1[[#This Row],[Payment Status]]="Pending","Pending"),"Invalid Input")</f>
        <v>Pending</v>
      </c>
      <c r="T1308" t="s">
        <v>27</v>
      </c>
      <c r="U1308" t="str" cm="1">
        <f t="array" ref="U1308">IFERROR(_xlfn.IFS(Table1[[#This Row],[Payment Status]]="Partial","In Transit",Table1[[#This Row],[Payment Status]]="Paid","Completed",Table1[[#This Row],[Payment Status]]="Pending","Pending"),"Invalid Input")</f>
        <v>Pending</v>
      </c>
    </row>
    <row r="1309" spans="1:21" x14ac:dyDescent="0.25">
      <c r="A1309" s="4" t="s">
        <v>2287</v>
      </c>
      <c r="B1309" s="5">
        <v>45296</v>
      </c>
      <c r="C1309" t="s">
        <v>52</v>
      </c>
      <c r="D1309" t="s">
        <v>3268</v>
      </c>
      <c r="E1309" t="s">
        <v>30</v>
      </c>
      <c r="F1309" t="s">
        <v>3208</v>
      </c>
      <c r="G1309" t="s">
        <v>31</v>
      </c>
      <c r="H1309" t="str">
        <f>VLOOKUP(Table1[[#This Row],[City]],Table6[#All],2,FALSE)</f>
        <v>South</v>
      </c>
      <c r="I1309" t="s">
        <v>58</v>
      </c>
      <c r="J1309" t="str">
        <f>_xlfn.XLOOKUP(Table1[[#This Row],[Tractor Model]],Table7[Product Model],Table7[Product Category],"Not Available",0)</f>
        <v>Powertrac</v>
      </c>
      <c r="K1309" s="4">
        <v>1</v>
      </c>
      <c r="L1309" s="72">
        <v>480359</v>
      </c>
      <c r="M1309" s="4">
        <f>INDEX('Master Sheet'!$C$4:$C$12,MATCH(Table1[[#This Row],[Quantity]],'Master Sheet'!$B$4:$B$12,0))</f>
        <v>3</v>
      </c>
      <c r="N1309" s="71">
        <f>Table1[[#This Row],[Quantity]]*Table1[[#This Row],[Unit Price]]</f>
        <v>480359</v>
      </c>
      <c r="O1309" s="73">
        <v>4.8035899999999999E-2</v>
      </c>
      <c r="P1309" s="70">
        <f>Table1[[#This Row],[Gross Amount]]*(1-(Table1[[#This Row],[Discount %]]/100))</f>
        <v>465948.23</v>
      </c>
      <c r="Q1309" s="74">
        <f>(Table1[[#This Row],[Gross Amount]]*(1-(Table1[[#This Row],[Discount %]]/100)))/10000000</f>
        <v>4.6594823E-2</v>
      </c>
      <c r="R1309" t="s">
        <v>42</v>
      </c>
      <c r="S1309" t="str" cm="1">
        <f t="array" ref="S1309">IFERROR(_xlfn.IFS(Table1[[#This Row],[Payment Status]]="Partial","In Transit",Table1[[#This Row],[Payment Status]]="Paid","Delivered",Table1[[#This Row],[Payment Status]]="Pending","Pending"),"Invalid Input")</f>
        <v>Pending</v>
      </c>
      <c r="T1309" t="s">
        <v>44</v>
      </c>
      <c r="U1309" t="str" cm="1">
        <f t="array" ref="U1309">IFERROR(_xlfn.IFS(Table1[[#This Row],[Payment Status]]="Partial","In Transit",Table1[[#This Row],[Payment Status]]="Paid","Completed",Table1[[#This Row],[Payment Status]]="Pending","Pending"),"Invalid Input")</f>
        <v>Pending</v>
      </c>
    </row>
    <row r="1310" spans="1:21" x14ac:dyDescent="0.25">
      <c r="A1310" s="4" t="s">
        <v>2289</v>
      </c>
      <c r="B1310" s="5">
        <v>45793</v>
      </c>
      <c r="C1310" t="s">
        <v>52</v>
      </c>
      <c r="D1310" t="s">
        <v>3269</v>
      </c>
      <c r="E1310" t="s">
        <v>38</v>
      </c>
      <c r="F1310" t="s">
        <v>3206</v>
      </c>
      <c r="G1310" t="s">
        <v>39</v>
      </c>
      <c r="H1310" t="str">
        <f>VLOOKUP(Table1[[#This Row],[City]],Table6[#All],2,FALSE)</f>
        <v>West</v>
      </c>
      <c r="I1310" t="s">
        <v>3203</v>
      </c>
      <c r="J1310" t="str">
        <f>_xlfn.XLOOKUP(Table1[[#This Row],[Tractor Model]],Table7[Product Model],Table7[Product Category],"Not Available",0)</f>
        <v>Kubota</v>
      </c>
      <c r="K1310" s="4">
        <v>4</v>
      </c>
      <c r="L1310" s="72">
        <v>280912</v>
      </c>
      <c r="M1310" s="4">
        <f>INDEX('Master Sheet'!$C$4:$C$12,MATCH(Table1[[#This Row],[Quantity]],'Master Sheet'!$B$4:$B$12,0))</f>
        <v>6</v>
      </c>
      <c r="N1310" s="71">
        <f>Table1[[#This Row],[Quantity]]*Table1[[#This Row],[Unit Price]]</f>
        <v>1123648</v>
      </c>
      <c r="O1310" s="73">
        <v>0.1123648</v>
      </c>
      <c r="P1310" s="70">
        <f>Table1[[#This Row],[Gross Amount]]*(1-(Table1[[#This Row],[Discount %]]/100))</f>
        <v>1056229.1199999999</v>
      </c>
      <c r="Q1310" s="74">
        <f>(Table1[[#This Row],[Gross Amount]]*(1-(Table1[[#This Row],[Discount %]]/100)))/10000000</f>
        <v>0.10562291199999999</v>
      </c>
      <c r="R1310" t="s">
        <v>54</v>
      </c>
      <c r="S1310" t="str" cm="1">
        <f t="array" ref="S1310">IFERROR(_xlfn.IFS(Table1[[#This Row],[Payment Status]]="Partial","In Transit",Table1[[#This Row],[Payment Status]]="Paid","Delivered",Table1[[#This Row],[Payment Status]]="Pending","Pending"),"Invalid Input")</f>
        <v>Delivered</v>
      </c>
      <c r="T1310" t="s">
        <v>27</v>
      </c>
      <c r="U1310" t="str" cm="1">
        <f t="array" ref="U1310">IFERROR(_xlfn.IFS(Table1[[#This Row],[Payment Status]]="Partial","In Transit",Table1[[#This Row],[Payment Status]]="Paid","Completed",Table1[[#This Row],[Payment Status]]="Pending","Pending"),"Invalid Input")</f>
        <v>Completed</v>
      </c>
    </row>
    <row r="1311" spans="1:21" x14ac:dyDescent="0.25">
      <c r="A1311" s="4" t="s">
        <v>2291</v>
      </c>
      <c r="B1311" s="5">
        <v>45571</v>
      </c>
      <c r="C1311" t="s">
        <v>52</v>
      </c>
      <c r="D1311" t="s">
        <v>3269</v>
      </c>
      <c r="E1311" t="s">
        <v>66</v>
      </c>
      <c r="F1311" t="s">
        <v>3213</v>
      </c>
      <c r="G1311" t="s">
        <v>67</v>
      </c>
      <c r="H1311" t="str">
        <f>VLOOKUP(Table1[[#This Row],[City]],Table6[#All],2,FALSE)</f>
        <v>East</v>
      </c>
      <c r="I1311" t="s">
        <v>24</v>
      </c>
      <c r="J1311" t="str">
        <f>_xlfn.XLOOKUP(Table1[[#This Row],[Tractor Model]],Table7[Product Model],Table7[Product Category],"Not Available",0)</f>
        <v>Farmtrac</v>
      </c>
      <c r="K1311" s="4">
        <v>8</v>
      </c>
      <c r="L1311" s="72">
        <v>85096</v>
      </c>
      <c r="M1311" s="4">
        <f>INDEX('Master Sheet'!$C$4:$C$12,MATCH(Table1[[#This Row],[Quantity]],'Master Sheet'!$B$4:$B$12,0))</f>
        <v>9</v>
      </c>
      <c r="N1311" s="71">
        <f>Table1[[#This Row],[Quantity]]*Table1[[#This Row],[Unit Price]]</f>
        <v>680768</v>
      </c>
      <c r="O1311" s="73">
        <v>6.8076800000000007E-2</v>
      </c>
      <c r="P1311" s="70">
        <f>Table1[[#This Row],[Gross Amount]]*(1-(Table1[[#This Row],[Discount %]]/100))</f>
        <v>619498.88</v>
      </c>
      <c r="Q1311" s="74">
        <f>(Table1[[#This Row],[Gross Amount]]*(1-(Table1[[#This Row],[Discount %]]/100)))/10000000</f>
        <v>6.1949888000000002E-2</v>
      </c>
      <c r="R1311" t="s">
        <v>54</v>
      </c>
      <c r="S1311" t="str" cm="1">
        <f t="array" ref="S1311">IFERROR(_xlfn.IFS(Table1[[#This Row],[Payment Status]]="Partial","In Transit",Table1[[#This Row],[Payment Status]]="Paid","Delivered",Table1[[#This Row],[Payment Status]]="Pending","Pending"),"Invalid Input")</f>
        <v>Delivered</v>
      </c>
      <c r="T1311" t="s">
        <v>27</v>
      </c>
      <c r="U1311" t="str" cm="1">
        <f t="array" ref="U1311">IFERROR(_xlfn.IFS(Table1[[#This Row],[Payment Status]]="Partial","In Transit",Table1[[#This Row],[Payment Status]]="Paid","Completed",Table1[[#This Row],[Payment Status]]="Pending","Pending"),"Invalid Input")</f>
        <v>Completed</v>
      </c>
    </row>
    <row r="1312" spans="1:21" x14ac:dyDescent="0.25">
      <c r="A1312" s="4" t="s">
        <v>2293</v>
      </c>
      <c r="B1312" s="5">
        <v>45903</v>
      </c>
      <c r="C1312" t="s">
        <v>73</v>
      </c>
      <c r="D1312" t="s">
        <v>37</v>
      </c>
      <c r="E1312" t="s">
        <v>66</v>
      </c>
      <c r="F1312" t="s">
        <v>3226</v>
      </c>
      <c r="G1312" t="s">
        <v>67</v>
      </c>
      <c r="H1312" t="str">
        <f>VLOOKUP(Table1[[#This Row],[City]],Table6[#All],2,FALSE)</f>
        <v>East</v>
      </c>
      <c r="I1312" t="s">
        <v>3204</v>
      </c>
      <c r="J1312" t="str">
        <f>_xlfn.XLOOKUP(Table1[[#This Row],[Tractor Model]],Table7[Product Model],Table7[Product Category],"Not Available",0)</f>
        <v>Kubota</v>
      </c>
      <c r="K1312" s="4">
        <v>4</v>
      </c>
      <c r="L1312" s="72">
        <v>538692</v>
      </c>
      <c r="M1312" s="4">
        <f>INDEX('Master Sheet'!$C$4:$C$12,MATCH(Table1[[#This Row],[Quantity]],'Master Sheet'!$B$4:$B$12,0))</f>
        <v>6</v>
      </c>
      <c r="N1312" s="71">
        <f>Table1[[#This Row],[Quantity]]*Table1[[#This Row],[Unit Price]]</f>
        <v>2154768</v>
      </c>
      <c r="O1312" s="73">
        <v>0.2154768</v>
      </c>
      <c r="P1312" s="70">
        <f>Table1[[#This Row],[Gross Amount]]*(1-(Table1[[#This Row],[Discount %]]/100))</f>
        <v>2025481.92</v>
      </c>
      <c r="Q1312" s="74">
        <f>(Table1[[#This Row],[Gross Amount]]*(1-(Table1[[#This Row],[Discount %]]/100)))/10000000</f>
        <v>0.20254819199999999</v>
      </c>
      <c r="R1312" t="s">
        <v>42</v>
      </c>
      <c r="S1312" t="str" cm="1">
        <f t="array" ref="S1312">IFERROR(_xlfn.IFS(Table1[[#This Row],[Payment Status]]="Partial","In Transit",Table1[[#This Row],[Payment Status]]="Paid","Delivered",Table1[[#This Row],[Payment Status]]="Pending","Pending"),"Invalid Input")</f>
        <v>Pending</v>
      </c>
      <c r="T1312" t="s">
        <v>27</v>
      </c>
      <c r="U1312" t="str" cm="1">
        <f t="array" ref="U1312">IFERROR(_xlfn.IFS(Table1[[#This Row],[Payment Status]]="Partial","In Transit",Table1[[#This Row],[Payment Status]]="Paid","Completed",Table1[[#This Row],[Payment Status]]="Pending","Pending"),"Invalid Input")</f>
        <v>Pending</v>
      </c>
    </row>
    <row r="1313" spans="1:21" x14ac:dyDescent="0.25">
      <c r="A1313" s="4" t="s">
        <v>2294</v>
      </c>
      <c r="B1313" s="5">
        <v>45424</v>
      </c>
      <c r="C1313" t="s">
        <v>33</v>
      </c>
      <c r="D1313" t="s">
        <v>3270</v>
      </c>
      <c r="E1313" t="s">
        <v>66</v>
      </c>
      <c r="F1313" t="s">
        <v>3220</v>
      </c>
      <c r="G1313" t="s">
        <v>67</v>
      </c>
      <c r="H1313" t="str">
        <f>VLOOKUP(Table1[[#This Row],[City]],Table6[#All],2,FALSE)</f>
        <v>East</v>
      </c>
      <c r="I1313" t="s">
        <v>3204</v>
      </c>
      <c r="J1313" t="str">
        <f>_xlfn.XLOOKUP(Table1[[#This Row],[Tractor Model]],Table7[Product Model],Table7[Product Category],"Not Available",0)</f>
        <v>Kubota</v>
      </c>
      <c r="K1313" s="4">
        <v>7</v>
      </c>
      <c r="L1313" s="72">
        <v>196870</v>
      </c>
      <c r="M1313" s="4">
        <f>INDEX('Master Sheet'!$C$4:$C$12,MATCH(Table1[[#This Row],[Quantity]],'Master Sheet'!$B$4:$B$12,0))</f>
        <v>9</v>
      </c>
      <c r="N1313" s="71">
        <f>Table1[[#This Row],[Quantity]]*Table1[[#This Row],[Unit Price]]</f>
        <v>1378090</v>
      </c>
      <c r="O1313" s="73">
        <v>0.13780899999999999</v>
      </c>
      <c r="P1313" s="70">
        <f>Table1[[#This Row],[Gross Amount]]*(1-(Table1[[#This Row],[Discount %]]/100))</f>
        <v>1254061.9000000001</v>
      </c>
      <c r="Q1313" s="74">
        <f>(Table1[[#This Row],[Gross Amount]]*(1-(Table1[[#This Row],[Discount %]]/100)))/10000000</f>
        <v>0.12540619</v>
      </c>
      <c r="R1313" t="s">
        <v>42</v>
      </c>
      <c r="S1313" t="str" cm="1">
        <f t="array" ref="S1313">IFERROR(_xlfn.IFS(Table1[[#This Row],[Payment Status]]="Partial","In Transit",Table1[[#This Row],[Payment Status]]="Paid","Delivered",Table1[[#This Row],[Payment Status]]="Pending","Pending"),"Invalid Input")</f>
        <v>Pending</v>
      </c>
      <c r="T1313" t="s">
        <v>44</v>
      </c>
      <c r="U1313" t="str" cm="1">
        <f t="array" ref="U1313">IFERROR(_xlfn.IFS(Table1[[#This Row],[Payment Status]]="Partial","In Transit",Table1[[#This Row],[Payment Status]]="Paid","Completed",Table1[[#This Row],[Payment Status]]="Pending","Pending"),"Invalid Input")</f>
        <v>Pending</v>
      </c>
    </row>
    <row r="1314" spans="1:21" x14ac:dyDescent="0.25">
      <c r="A1314" s="4" t="s">
        <v>2296</v>
      </c>
      <c r="B1314" s="5">
        <v>45729</v>
      </c>
      <c r="C1314" t="s">
        <v>73</v>
      </c>
      <c r="D1314" t="s">
        <v>37</v>
      </c>
      <c r="E1314" t="s">
        <v>47</v>
      </c>
      <c r="F1314" t="s">
        <v>3215</v>
      </c>
      <c r="G1314" t="s">
        <v>48</v>
      </c>
      <c r="H1314" t="str">
        <f>VLOOKUP(Table1[[#This Row],[City]],Table6[#All],2,FALSE)</f>
        <v>North</v>
      </c>
      <c r="I1314" t="s">
        <v>58</v>
      </c>
      <c r="J1314" t="str">
        <f>_xlfn.XLOOKUP(Table1[[#This Row],[Tractor Model]],Table7[Product Model],Table7[Product Category],"Not Available",0)</f>
        <v>Powertrac</v>
      </c>
      <c r="K1314" s="4">
        <v>5</v>
      </c>
      <c r="L1314" s="72">
        <v>488143</v>
      </c>
      <c r="M1314" s="4">
        <f>INDEX('Master Sheet'!$C$4:$C$12,MATCH(Table1[[#This Row],[Quantity]],'Master Sheet'!$B$4:$B$12,0))</f>
        <v>7</v>
      </c>
      <c r="N1314" s="71">
        <f>Table1[[#This Row],[Quantity]]*Table1[[#This Row],[Unit Price]]</f>
        <v>2440715</v>
      </c>
      <c r="O1314" s="73">
        <v>0.2440715</v>
      </c>
      <c r="P1314" s="70">
        <f>Table1[[#This Row],[Gross Amount]]*(1-(Table1[[#This Row],[Discount %]]/100))</f>
        <v>2269864.9499999997</v>
      </c>
      <c r="Q1314" s="74">
        <f>(Table1[[#This Row],[Gross Amount]]*(1-(Table1[[#This Row],[Discount %]]/100)))/10000000</f>
        <v>0.22698649499999998</v>
      </c>
      <c r="R1314" t="s">
        <v>54</v>
      </c>
      <c r="S1314" t="str" cm="1">
        <f t="array" ref="S1314">IFERROR(_xlfn.IFS(Table1[[#This Row],[Payment Status]]="Partial","In Transit",Table1[[#This Row],[Payment Status]]="Paid","Delivered",Table1[[#This Row],[Payment Status]]="Pending","Pending"),"Invalid Input")</f>
        <v>Delivered</v>
      </c>
      <c r="T1314" t="s">
        <v>27</v>
      </c>
      <c r="U1314" t="str" cm="1">
        <f t="array" ref="U1314">IFERROR(_xlfn.IFS(Table1[[#This Row],[Payment Status]]="Partial","In Transit",Table1[[#This Row],[Payment Status]]="Paid","Completed",Table1[[#This Row],[Payment Status]]="Pending","Pending"),"Invalid Input")</f>
        <v>Completed</v>
      </c>
    </row>
    <row r="1315" spans="1:21" x14ac:dyDescent="0.25">
      <c r="A1315" s="4" t="s">
        <v>2297</v>
      </c>
      <c r="B1315" s="5">
        <v>45548</v>
      </c>
      <c r="C1315" t="s">
        <v>41</v>
      </c>
      <c r="D1315" t="s">
        <v>3269</v>
      </c>
      <c r="E1315" t="s">
        <v>30</v>
      </c>
      <c r="F1315" t="s">
        <v>3225</v>
      </c>
      <c r="G1315" t="s">
        <v>31</v>
      </c>
      <c r="H1315" t="str">
        <f>VLOOKUP(Table1[[#This Row],[City]],Table6[#All],2,FALSE)</f>
        <v>South</v>
      </c>
      <c r="I1315" t="s">
        <v>3204</v>
      </c>
      <c r="J1315" t="str">
        <f>_xlfn.XLOOKUP(Table1[[#This Row],[Tractor Model]],Table7[Product Model],Table7[Product Category],"Not Available",0)</f>
        <v>Kubota</v>
      </c>
      <c r="K1315" s="4">
        <v>6</v>
      </c>
      <c r="L1315" s="72">
        <v>874826</v>
      </c>
      <c r="M1315" s="4">
        <f>INDEX('Master Sheet'!$C$4:$C$12,MATCH(Table1[[#This Row],[Quantity]],'Master Sheet'!$B$4:$B$12,0))</f>
        <v>8</v>
      </c>
      <c r="N1315" s="71">
        <f>Table1[[#This Row],[Quantity]]*Table1[[#This Row],[Unit Price]]</f>
        <v>5248956</v>
      </c>
      <c r="O1315" s="73">
        <v>0.52489560000000002</v>
      </c>
      <c r="P1315" s="70">
        <f>Table1[[#This Row],[Gross Amount]]*(1-(Table1[[#This Row],[Discount %]]/100))</f>
        <v>4829039.5200000005</v>
      </c>
      <c r="Q1315" s="74">
        <f>(Table1[[#This Row],[Gross Amount]]*(1-(Table1[[#This Row],[Discount %]]/100)))/10000000</f>
        <v>0.48290395200000003</v>
      </c>
      <c r="R1315" t="s">
        <v>25</v>
      </c>
      <c r="S1315" t="str" cm="1">
        <f t="array" ref="S1315">IFERROR(_xlfn.IFS(Table1[[#This Row],[Payment Status]]="Partial","In Transit",Table1[[#This Row],[Payment Status]]="Paid","Delivered",Table1[[#This Row],[Payment Status]]="Pending","Pending"),"Invalid Input")</f>
        <v>In Transit</v>
      </c>
      <c r="T1315" t="s">
        <v>44</v>
      </c>
      <c r="U1315" t="str" cm="1">
        <f t="array" ref="U1315">IFERROR(_xlfn.IFS(Table1[[#This Row],[Payment Status]]="Partial","In Transit",Table1[[#This Row],[Payment Status]]="Paid","Completed",Table1[[#This Row],[Payment Status]]="Pending","Pending"),"Invalid Input")</f>
        <v>In Transit</v>
      </c>
    </row>
    <row r="1316" spans="1:21" x14ac:dyDescent="0.25">
      <c r="A1316" s="4" t="s">
        <v>2299</v>
      </c>
      <c r="B1316" s="5">
        <v>45682</v>
      </c>
      <c r="C1316" t="s">
        <v>52</v>
      </c>
      <c r="D1316" t="s">
        <v>37</v>
      </c>
      <c r="E1316" t="s">
        <v>119</v>
      </c>
      <c r="F1316" t="s">
        <v>3224</v>
      </c>
      <c r="G1316" t="s">
        <v>21</v>
      </c>
      <c r="H1316" t="str">
        <f>VLOOKUP(Table1[[#This Row],[City]],Table6[#All],2,FALSE)</f>
        <v>North</v>
      </c>
      <c r="I1316" t="s">
        <v>53</v>
      </c>
      <c r="J1316" t="str">
        <f>_xlfn.XLOOKUP(Table1[[#This Row],[Tractor Model]],Table7[Product Model],Table7[Product Category],"Not Available",0)</f>
        <v>Farmtrac</v>
      </c>
      <c r="K1316" s="4">
        <v>1</v>
      </c>
      <c r="L1316" s="72">
        <v>245415</v>
      </c>
      <c r="M1316" s="4">
        <f>INDEX('Master Sheet'!$C$4:$C$12,MATCH(Table1[[#This Row],[Quantity]],'Master Sheet'!$B$4:$B$12,0))</f>
        <v>3</v>
      </c>
      <c r="N1316" s="71">
        <f>Table1[[#This Row],[Quantity]]*Table1[[#This Row],[Unit Price]]</f>
        <v>245415</v>
      </c>
      <c r="O1316" s="73">
        <v>2.4541500000000001E-2</v>
      </c>
      <c r="P1316" s="70">
        <f>Table1[[#This Row],[Gross Amount]]*(1-(Table1[[#This Row],[Discount %]]/100))</f>
        <v>238052.55</v>
      </c>
      <c r="Q1316" s="74">
        <f>(Table1[[#This Row],[Gross Amount]]*(1-(Table1[[#This Row],[Discount %]]/100)))/10000000</f>
        <v>2.3805254999999997E-2</v>
      </c>
      <c r="R1316" t="s">
        <v>25</v>
      </c>
      <c r="S1316" t="str" cm="1">
        <f t="array" ref="S1316">IFERROR(_xlfn.IFS(Table1[[#This Row],[Payment Status]]="Partial","In Transit",Table1[[#This Row],[Payment Status]]="Paid","Delivered",Table1[[#This Row],[Payment Status]]="Pending","Pending"),"Invalid Input")</f>
        <v>In Transit</v>
      </c>
      <c r="T1316" t="s">
        <v>44</v>
      </c>
      <c r="U1316" t="str" cm="1">
        <f t="array" ref="U1316">IFERROR(_xlfn.IFS(Table1[[#This Row],[Payment Status]]="Partial","In Transit",Table1[[#This Row],[Payment Status]]="Paid","Completed",Table1[[#This Row],[Payment Status]]="Pending","Pending"),"Invalid Input")</f>
        <v>In Transit</v>
      </c>
    </row>
    <row r="1317" spans="1:21" x14ac:dyDescent="0.25">
      <c r="A1317" s="4" t="s">
        <v>2300</v>
      </c>
      <c r="B1317" s="5">
        <v>45496</v>
      </c>
      <c r="C1317" t="s">
        <v>33</v>
      </c>
      <c r="D1317" t="s">
        <v>3270</v>
      </c>
      <c r="E1317" t="s">
        <v>66</v>
      </c>
      <c r="F1317" t="s">
        <v>3220</v>
      </c>
      <c r="G1317" t="s">
        <v>67</v>
      </c>
      <c r="H1317" t="str">
        <f>VLOOKUP(Table1[[#This Row],[City]],Table6[#All],2,FALSE)</f>
        <v>East</v>
      </c>
      <c r="I1317" t="s">
        <v>24</v>
      </c>
      <c r="J1317" t="str">
        <f>_xlfn.XLOOKUP(Table1[[#This Row],[Tractor Model]],Table7[Product Model],Table7[Product Category],"Not Available",0)</f>
        <v>Farmtrac</v>
      </c>
      <c r="K1317" s="4">
        <v>7</v>
      </c>
      <c r="L1317" s="72">
        <v>179633</v>
      </c>
      <c r="M1317" s="4">
        <f>INDEX('Master Sheet'!$C$4:$C$12,MATCH(Table1[[#This Row],[Quantity]],'Master Sheet'!$B$4:$B$12,0))</f>
        <v>9</v>
      </c>
      <c r="N1317" s="71">
        <f>Table1[[#This Row],[Quantity]]*Table1[[#This Row],[Unit Price]]</f>
        <v>1257431</v>
      </c>
      <c r="O1317" s="73">
        <v>0.1257431</v>
      </c>
      <c r="P1317" s="70">
        <f>Table1[[#This Row],[Gross Amount]]*(1-(Table1[[#This Row],[Discount %]]/100))</f>
        <v>1144262.21</v>
      </c>
      <c r="Q1317" s="74">
        <f>(Table1[[#This Row],[Gross Amount]]*(1-(Table1[[#This Row],[Discount %]]/100)))/10000000</f>
        <v>0.11442622099999999</v>
      </c>
      <c r="R1317" t="s">
        <v>25</v>
      </c>
      <c r="S1317" t="str" cm="1">
        <f t="array" ref="S1317">IFERROR(_xlfn.IFS(Table1[[#This Row],[Payment Status]]="Partial","In Transit",Table1[[#This Row],[Payment Status]]="Paid","Delivered",Table1[[#This Row],[Payment Status]]="Pending","Pending"),"Invalid Input")</f>
        <v>In Transit</v>
      </c>
      <c r="T1317" t="s">
        <v>27</v>
      </c>
      <c r="U1317" t="str" cm="1">
        <f t="array" ref="U1317">IFERROR(_xlfn.IFS(Table1[[#This Row],[Payment Status]]="Partial","In Transit",Table1[[#This Row],[Payment Status]]="Paid","Completed",Table1[[#This Row],[Payment Status]]="Pending","Pending"),"Invalid Input")</f>
        <v>In Transit</v>
      </c>
    </row>
    <row r="1318" spans="1:21" x14ac:dyDescent="0.25">
      <c r="A1318" s="4" t="s">
        <v>2301</v>
      </c>
      <c r="B1318" s="5">
        <v>45377</v>
      </c>
      <c r="C1318" t="s">
        <v>62</v>
      </c>
      <c r="D1318" t="s">
        <v>3268</v>
      </c>
      <c r="E1318" t="s">
        <v>119</v>
      </c>
      <c r="F1318" t="s">
        <v>3227</v>
      </c>
      <c r="G1318" t="s">
        <v>21</v>
      </c>
      <c r="H1318" t="str">
        <f>VLOOKUP(Table1[[#This Row],[City]],Table6[#All],2,FALSE)</f>
        <v>North</v>
      </c>
      <c r="I1318" t="s">
        <v>58</v>
      </c>
      <c r="J1318" t="str">
        <f>_xlfn.XLOOKUP(Table1[[#This Row],[Tractor Model]],Table7[Product Model],Table7[Product Category],"Not Available",0)</f>
        <v>Powertrac</v>
      </c>
      <c r="K1318" s="4">
        <v>2</v>
      </c>
      <c r="L1318" s="72">
        <v>171354</v>
      </c>
      <c r="M1318" s="4">
        <f>INDEX('Master Sheet'!$C$4:$C$12,MATCH(Table1[[#This Row],[Quantity]],'Master Sheet'!$B$4:$B$12,0))</f>
        <v>5</v>
      </c>
      <c r="N1318" s="71">
        <f>Table1[[#This Row],[Quantity]]*Table1[[#This Row],[Unit Price]]</f>
        <v>342708</v>
      </c>
      <c r="O1318" s="73">
        <v>3.4270799999999997E-2</v>
      </c>
      <c r="P1318" s="70">
        <f>Table1[[#This Row],[Gross Amount]]*(1-(Table1[[#This Row],[Discount %]]/100))</f>
        <v>325572.59999999998</v>
      </c>
      <c r="Q1318" s="74">
        <f>(Table1[[#This Row],[Gross Amount]]*(1-(Table1[[#This Row],[Discount %]]/100)))/10000000</f>
        <v>3.2557259999999998E-2</v>
      </c>
      <c r="R1318" t="s">
        <v>25</v>
      </c>
      <c r="S1318" t="str" cm="1">
        <f t="array" ref="S1318">IFERROR(_xlfn.IFS(Table1[[#This Row],[Payment Status]]="Partial","In Transit",Table1[[#This Row],[Payment Status]]="Paid","Delivered",Table1[[#This Row],[Payment Status]]="Pending","Pending"),"Invalid Input")</f>
        <v>In Transit</v>
      </c>
      <c r="T1318" t="s">
        <v>27</v>
      </c>
      <c r="U1318" t="str" cm="1">
        <f t="array" ref="U1318">IFERROR(_xlfn.IFS(Table1[[#This Row],[Payment Status]]="Partial","In Transit",Table1[[#This Row],[Payment Status]]="Paid","Completed",Table1[[#This Row],[Payment Status]]="Pending","Pending"),"Invalid Input")</f>
        <v>In Transit</v>
      </c>
    </row>
    <row r="1319" spans="1:21" x14ac:dyDescent="0.25">
      <c r="A1319" s="4" t="s">
        <v>2303</v>
      </c>
      <c r="B1319" s="5">
        <v>45719</v>
      </c>
      <c r="C1319" t="s">
        <v>73</v>
      </c>
      <c r="D1319" t="s">
        <v>3269</v>
      </c>
      <c r="E1319" t="s">
        <v>66</v>
      </c>
      <c r="F1319" t="s">
        <v>3213</v>
      </c>
      <c r="G1319" t="s">
        <v>67</v>
      </c>
      <c r="H1319" t="str">
        <f>VLOOKUP(Table1[[#This Row],[City]],Table6[#All],2,FALSE)</f>
        <v>East</v>
      </c>
      <c r="I1319" t="s">
        <v>53</v>
      </c>
      <c r="J1319" t="str">
        <f>_xlfn.XLOOKUP(Table1[[#This Row],[Tractor Model]],Table7[Product Model],Table7[Product Category],"Not Available",0)</f>
        <v>Farmtrac</v>
      </c>
      <c r="K1319" s="4">
        <v>8</v>
      </c>
      <c r="L1319" s="72">
        <v>309569</v>
      </c>
      <c r="M1319" s="4">
        <f>INDEX('Master Sheet'!$C$4:$C$12,MATCH(Table1[[#This Row],[Quantity]],'Master Sheet'!$B$4:$B$12,0))</f>
        <v>9</v>
      </c>
      <c r="N1319" s="71">
        <f>Table1[[#This Row],[Quantity]]*Table1[[#This Row],[Unit Price]]</f>
        <v>2476552</v>
      </c>
      <c r="O1319" s="73">
        <v>0.24765519999999999</v>
      </c>
      <c r="P1319" s="70">
        <f>Table1[[#This Row],[Gross Amount]]*(1-(Table1[[#This Row],[Discount %]]/100))</f>
        <v>2253662.3200000003</v>
      </c>
      <c r="Q1319" s="74">
        <f>(Table1[[#This Row],[Gross Amount]]*(1-(Table1[[#This Row],[Discount %]]/100)))/10000000</f>
        <v>0.22536623200000003</v>
      </c>
      <c r="R1319" t="s">
        <v>42</v>
      </c>
      <c r="S1319" t="str" cm="1">
        <f t="array" ref="S1319">IFERROR(_xlfn.IFS(Table1[[#This Row],[Payment Status]]="Partial","In Transit",Table1[[#This Row],[Payment Status]]="Paid","Delivered",Table1[[#This Row],[Payment Status]]="Pending","Pending"),"Invalid Input")</f>
        <v>Pending</v>
      </c>
      <c r="T1319" t="s">
        <v>27</v>
      </c>
      <c r="U1319" t="str" cm="1">
        <f t="array" ref="U1319">IFERROR(_xlfn.IFS(Table1[[#This Row],[Payment Status]]="Partial","In Transit",Table1[[#This Row],[Payment Status]]="Paid","Completed",Table1[[#This Row],[Payment Status]]="Pending","Pending"),"Invalid Input")</f>
        <v>Pending</v>
      </c>
    </row>
    <row r="1320" spans="1:21" x14ac:dyDescent="0.25">
      <c r="A1320" s="4" t="s">
        <v>2305</v>
      </c>
      <c r="B1320" s="5">
        <v>45932</v>
      </c>
      <c r="C1320" t="s">
        <v>73</v>
      </c>
      <c r="D1320" t="s">
        <v>37</v>
      </c>
      <c r="E1320" t="s">
        <v>30</v>
      </c>
      <c r="F1320" t="s">
        <v>3222</v>
      </c>
      <c r="G1320" t="s">
        <v>31</v>
      </c>
      <c r="H1320" t="str">
        <f>VLOOKUP(Table1[[#This Row],[City]],Table6[#All],2,FALSE)</f>
        <v>South</v>
      </c>
      <c r="I1320" t="s">
        <v>58</v>
      </c>
      <c r="J1320" t="str">
        <f>_xlfn.XLOOKUP(Table1[[#This Row],[Tractor Model]],Table7[Product Model],Table7[Product Category],"Not Available",0)</f>
        <v>Powertrac</v>
      </c>
      <c r="K1320" s="4">
        <v>7</v>
      </c>
      <c r="L1320" s="72">
        <v>694925</v>
      </c>
      <c r="M1320" s="4">
        <f>INDEX('Master Sheet'!$C$4:$C$12,MATCH(Table1[[#This Row],[Quantity]],'Master Sheet'!$B$4:$B$12,0))</f>
        <v>9</v>
      </c>
      <c r="N1320" s="71">
        <f>Table1[[#This Row],[Quantity]]*Table1[[#This Row],[Unit Price]]</f>
        <v>4864475</v>
      </c>
      <c r="O1320" s="73">
        <v>0.48644749999999998</v>
      </c>
      <c r="P1320" s="70">
        <f>Table1[[#This Row],[Gross Amount]]*(1-(Table1[[#This Row],[Discount %]]/100))</f>
        <v>4426672.25</v>
      </c>
      <c r="Q1320" s="74">
        <f>(Table1[[#This Row],[Gross Amount]]*(1-(Table1[[#This Row],[Discount %]]/100)))/10000000</f>
        <v>0.442667225</v>
      </c>
      <c r="R1320" t="s">
        <v>25</v>
      </c>
      <c r="S1320" t="str" cm="1">
        <f t="array" ref="S1320">IFERROR(_xlfn.IFS(Table1[[#This Row],[Payment Status]]="Partial","In Transit",Table1[[#This Row],[Payment Status]]="Paid","Delivered",Table1[[#This Row],[Payment Status]]="Pending","Pending"),"Invalid Input")</f>
        <v>In Transit</v>
      </c>
      <c r="T1320" t="s">
        <v>44</v>
      </c>
      <c r="U1320" t="str" cm="1">
        <f t="array" ref="U1320">IFERROR(_xlfn.IFS(Table1[[#This Row],[Payment Status]]="Partial","In Transit",Table1[[#This Row],[Payment Status]]="Paid","Completed",Table1[[#This Row],[Payment Status]]="Pending","Pending"),"Invalid Input")</f>
        <v>In Transit</v>
      </c>
    </row>
    <row r="1321" spans="1:21" x14ac:dyDescent="0.25">
      <c r="A1321" s="4" t="s">
        <v>2306</v>
      </c>
      <c r="B1321" s="5">
        <v>45321</v>
      </c>
      <c r="C1321" t="s">
        <v>33</v>
      </c>
      <c r="D1321" t="s">
        <v>37</v>
      </c>
      <c r="E1321" t="s">
        <v>66</v>
      </c>
      <c r="F1321" t="s">
        <v>3226</v>
      </c>
      <c r="G1321" t="s">
        <v>67</v>
      </c>
      <c r="H1321" t="str">
        <f>VLOOKUP(Table1[[#This Row],[City]],Table6[#All],2,FALSE)</f>
        <v>East</v>
      </c>
      <c r="I1321" t="s">
        <v>58</v>
      </c>
      <c r="J1321" t="str">
        <f>_xlfn.XLOOKUP(Table1[[#This Row],[Tractor Model]],Table7[Product Model],Table7[Product Category],"Not Available",0)</f>
        <v>Powertrac</v>
      </c>
      <c r="K1321" s="4">
        <v>0</v>
      </c>
      <c r="L1321" s="72">
        <v>824378</v>
      </c>
      <c r="M1321" s="4">
        <f>INDEX('Master Sheet'!$C$4:$C$12,MATCH(Table1[[#This Row],[Quantity]],'Master Sheet'!$B$4:$B$12,0))</f>
        <v>0</v>
      </c>
      <c r="N1321" s="71">
        <f>Table1[[#This Row],[Quantity]]*Table1[[#This Row],[Unit Price]]</f>
        <v>0</v>
      </c>
      <c r="O1321" s="73">
        <v>0</v>
      </c>
      <c r="P1321" s="70">
        <f>Table1[[#This Row],[Gross Amount]]*(1-(Table1[[#This Row],[Discount %]]/100))</f>
        <v>0</v>
      </c>
      <c r="Q1321" s="74">
        <f>(Table1[[#This Row],[Gross Amount]]*(1-(Table1[[#This Row],[Discount %]]/100)))/10000000</f>
        <v>0</v>
      </c>
      <c r="R1321" t="s">
        <v>42</v>
      </c>
      <c r="S1321" t="str" cm="1">
        <f t="array" ref="S1321">IFERROR(_xlfn.IFS(Table1[[#This Row],[Payment Status]]="Partial","In Transit",Table1[[#This Row],[Payment Status]]="Paid","Delivered",Table1[[#This Row],[Payment Status]]="Pending","Pending"),"Invalid Input")</f>
        <v>Pending</v>
      </c>
      <c r="T1321" t="s">
        <v>27</v>
      </c>
      <c r="U1321" t="str" cm="1">
        <f t="array" ref="U1321">IFERROR(_xlfn.IFS(Table1[[#This Row],[Payment Status]]="Partial","In Transit",Table1[[#This Row],[Payment Status]]="Paid","Completed",Table1[[#This Row],[Payment Status]]="Pending","Pending"),"Invalid Input")</f>
        <v>Pending</v>
      </c>
    </row>
    <row r="1322" spans="1:21" x14ac:dyDescent="0.25">
      <c r="A1322" s="4" t="s">
        <v>2307</v>
      </c>
      <c r="B1322" s="5">
        <v>45639</v>
      </c>
      <c r="C1322" t="s">
        <v>33</v>
      </c>
      <c r="D1322" t="s">
        <v>3270</v>
      </c>
      <c r="E1322" t="s">
        <v>38</v>
      </c>
      <c r="F1322" t="s">
        <v>3218</v>
      </c>
      <c r="G1322" t="s">
        <v>39</v>
      </c>
      <c r="H1322" t="str">
        <f>VLOOKUP(Table1[[#This Row],[City]],Table6[#All],2,FALSE)</f>
        <v>West</v>
      </c>
      <c r="I1322" t="s">
        <v>24</v>
      </c>
      <c r="J1322" t="str">
        <f>_xlfn.XLOOKUP(Table1[[#This Row],[Tractor Model]],Table7[Product Model],Table7[Product Category],"Not Available",0)</f>
        <v>Farmtrac</v>
      </c>
      <c r="K1322" s="4">
        <v>2</v>
      </c>
      <c r="L1322" s="72">
        <v>683652</v>
      </c>
      <c r="M1322" s="4">
        <f>INDEX('Master Sheet'!$C$4:$C$12,MATCH(Table1[[#This Row],[Quantity]],'Master Sheet'!$B$4:$B$12,0))</f>
        <v>5</v>
      </c>
      <c r="N1322" s="71">
        <f>Table1[[#This Row],[Quantity]]*Table1[[#This Row],[Unit Price]]</f>
        <v>1367304</v>
      </c>
      <c r="O1322" s="73">
        <v>0.1367304</v>
      </c>
      <c r="P1322" s="70">
        <f>Table1[[#This Row],[Gross Amount]]*(1-(Table1[[#This Row],[Discount %]]/100))</f>
        <v>1298938.8</v>
      </c>
      <c r="Q1322" s="74">
        <f>(Table1[[#This Row],[Gross Amount]]*(1-(Table1[[#This Row],[Discount %]]/100)))/10000000</f>
        <v>0.12989388000000002</v>
      </c>
      <c r="R1322" t="s">
        <v>25</v>
      </c>
      <c r="S1322" t="str" cm="1">
        <f t="array" ref="S1322">IFERROR(_xlfn.IFS(Table1[[#This Row],[Payment Status]]="Partial","In Transit",Table1[[#This Row],[Payment Status]]="Paid","Delivered",Table1[[#This Row],[Payment Status]]="Pending","Pending"),"Invalid Input")</f>
        <v>In Transit</v>
      </c>
      <c r="T1322" t="s">
        <v>44</v>
      </c>
      <c r="U1322" t="str" cm="1">
        <f t="array" ref="U1322">IFERROR(_xlfn.IFS(Table1[[#This Row],[Payment Status]]="Partial","In Transit",Table1[[#This Row],[Payment Status]]="Paid","Completed",Table1[[#This Row],[Payment Status]]="Pending","Pending"),"Invalid Input")</f>
        <v>In Transit</v>
      </c>
    </row>
    <row r="1323" spans="1:21" x14ac:dyDescent="0.25">
      <c r="A1323" s="4" t="s">
        <v>2308</v>
      </c>
      <c r="B1323" s="5">
        <v>45582</v>
      </c>
      <c r="C1323" t="s">
        <v>62</v>
      </c>
      <c r="D1323" t="s">
        <v>3269</v>
      </c>
      <c r="E1323" t="s">
        <v>119</v>
      </c>
      <c r="F1323" t="s">
        <v>3229</v>
      </c>
      <c r="G1323" t="s">
        <v>21</v>
      </c>
      <c r="H1323" t="str">
        <f>VLOOKUP(Table1[[#This Row],[City]],Table6[#All],2,FALSE)</f>
        <v>North</v>
      </c>
      <c r="I1323" t="s">
        <v>24</v>
      </c>
      <c r="J1323" t="str">
        <f>_xlfn.XLOOKUP(Table1[[#This Row],[Tractor Model]],Table7[Product Model],Table7[Product Category],"Not Available",0)</f>
        <v>Farmtrac</v>
      </c>
      <c r="K1323" s="4">
        <v>7</v>
      </c>
      <c r="L1323" s="72">
        <v>533974</v>
      </c>
      <c r="M1323" s="4">
        <f>INDEX('Master Sheet'!$C$4:$C$12,MATCH(Table1[[#This Row],[Quantity]],'Master Sheet'!$B$4:$B$12,0))</f>
        <v>9</v>
      </c>
      <c r="N1323" s="71">
        <f>Table1[[#This Row],[Quantity]]*Table1[[#This Row],[Unit Price]]</f>
        <v>3737818</v>
      </c>
      <c r="O1323" s="73">
        <v>0.3737818</v>
      </c>
      <c r="P1323" s="70">
        <f>Table1[[#This Row],[Gross Amount]]*(1-(Table1[[#This Row],[Discount %]]/100))</f>
        <v>3401414.38</v>
      </c>
      <c r="Q1323" s="74">
        <f>(Table1[[#This Row],[Gross Amount]]*(1-(Table1[[#This Row],[Discount %]]/100)))/10000000</f>
        <v>0.34014143799999996</v>
      </c>
      <c r="R1323" t="s">
        <v>42</v>
      </c>
      <c r="S1323" t="str" cm="1">
        <f t="array" ref="S1323">IFERROR(_xlfn.IFS(Table1[[#This Row],[Payment Status]]="Partial","In Transit",Table1[[#This Row],[Payment Status]]="Paid","Delivered",Table1[[#This Row],[Payment Status]]="Pending","Pending"),"Invalid Input")</f>
        <v>Pending</v>
      </c>
      <c r="T1323" t="s">
        <v>27</v>
      </c>
      <c r="U1323" t="str" cm="1">
        <f t="array" ref="U1323">IFERROR(_xlfn.IFS(Table1[[#This Row],[Payment Status]]="Partial","In Transit",Table1[[#This Row],[Payment Status]]="Paid","Completed",Table1[[#This Row],[Payment Status]]="Pending","Pending"),"Invalid Input")</f>
        <v>Pending</v>
      </c>
    </row>
    <row r="1324" spans="1:21" x14ac:dyDescent="0.25">
      <c r="A1324" s="4" t="s">
        <v>2310</v>
      </c>
      <c r="B1324" s="5">
        <v>45407</v>
      </c>
      <c r="C1324" t="s">
        <v>52</v>
      </c>
      <c r="D1324" t="s">
        <v>3269</v>
      </c>
      <c r="E1324" t="s">
        <v>38</v>
      </c>
      <c r="F1324" t="s">
        <v>3206</v>
      </c>
      <c r="G1324" t="s">
        <v>39</v>
      </c>
      <c r="H1324" t="str">
        <f>VLOOKUP(Table1[[#This Row],[City]],Table6[#All],2,FALSE)</f>
        <v>West</v>
      </c>
      <c r="I1324" t="s">
        <v>58</v>
      </c>
      <c r="J1324" t="str">
        <f>_xlfn.XLOOKUP(Table1[[#This Row],[Tractor Model]],Table7[Product Model],Table7[Product Category],"Not Available",0)</f>
        <v>Powertrac</v>
      </c>
      <c r="K1324" s="4">
        <v>2</v>
      </c>
      <c r="L1324" s="72">
        <v>150248</v>
      </c>
      <c r="M1324" s="4">
        <f>INDEX('Master Sheet'!$C$4:$C$12,MATCH(Table1[[#This Row],[Quantity]],'Master Sheet'!$B$4:$B$12,0))</f>
        <v>5</v>
      </c>
      <c r="N1324" s="71">
        <f>Table1[[#This Row],[Quantity]]*Table1[[#This Row],[Unit Price]]</f>
        <v>300496</v>
      </c>
      <c r="O1324" s="73">
        <v>3.0049599999999999E-2</v>
      </c>
      <c r="P1324" s="70">
        <f>Table1[[#This Row],[Gross Amount]]*(1-(Table1[[#This Row],[Discount %]]/100))</f>
        <v>285471.2</v>
      </c>
      <c r="Q1324" s="74">
        <f>(Table1[[#This Row],[Gross Amount]]*(1-(Table1[[#This Row],[Discount %]]/100)))/10000000</f>
        <v>2.8547120000000002E-2</v>
      </c>
      <c r="R1324" t="s">
        <v>42</v>
      </c>
      <c r="S1324" t="str" cm="1">
        <f t="array" ref="S1324">IFERROR(_xlfn.IFS(Table1[[#This Row],[Payment Status]]="Partial","In Transit",Table1[[#This Row],[Payment Status]]="Paid","Delivered",Table1[[#This Row],[Payment Status]]="Pending","Pending"),"Invalid Input")</f>
        <v>Pending</v>
      </c>
      <c r="T1324" t="s">
        <v>44</v>
      </c>
      <c r="U1324" t="str" cm="1">
        <f t="array" ref="U1324">IFERROR(_xlfn.IFS(Table1[[#This Row],[Payment Status]]="Partial","In Transit",Table1[[#This Row],[Payment Status]]="Paid","Completed",Table1[[#This Row],[Payment Status]]="Pending","Pending"),"Invalid Input")</f>
        <v>Pending</v>
      </c>
    </row>
    <row r="1325" spans="1:21" x14ac:dyDescent="0.25">
      <c r="A1325" s="4" t="s">
        <v>2312</v>
      </c>
      <c r="B1325" s="5">
        <v>45551</v>
      </c>
      <c r="C1325" t="s">
        <v>73</v>
      </c>
      <c r="D1325" t="s">
        <v>3269</v>
      </c>
      <c r="E1325" t="s">
        <v>30</v>
      </c>
      <c r="F1325" t="s">
        <v>3225</v>
      </c>
      <c r="G1325" t="s">
        <v>31</v>
      </c>
      <c r="H1325" t="str">
        <f>VLOOKUP(Table1[[#This Row],[City]],Table6[#All],2,FALSE)</f>
        <v>South</v>
      </c>
      <c r="I1325" t="s">
        <v>58</v>
      </c>
      <c r="J1325" t="str">
        <f>_xlfn.XLOOKUP(Table1[[#This Row],[Tractor Model]],Table7[Product Model],Table7[Product Category],"Not Available",0)</f>
        <v>Powertrac</v>
      </c>
      <c r="K1325" s="4">
        <v>5</v>
      </c>
      <c r="L1325" s="72">
        <v>780932</v>
      </c>
      <c r="M1325" s="4">
        <f>INDEX('Master Sheet'!$C$4:$C$12,MATCH(Table1[[#This Row],[Quantity]],'Master Sheet'!$B$4:$B$12,0))</f>
        <v>7</v>
      </c>
      <c r="N1325" s="71">
        <f>Table1[[#This Row],[Quantity]]*Table1[[#This Row],[Unit Price]]</f>
        <v>3904660</v>
      </c>
      <c r="O1325" s="73">
        <v>0.39046599999999998</v>
      </c>
      <c r="P1325" s="70">
        <f>Table1[[#This Row],[Gross Amount]]*(1-(Table1[[#This Row],[Discount %]]/100))</f>
        <v>3631333.8</v>
      </c>
      <c r="Q1325" s="74">
        <f>(Table1[[#This Row],[Gross Amount]]*(1-(Table1[[#This Row],[Discount %]]/100)))/10000000</f>
        <v>0.36313338000000001</v>
      </c>
      <c r="R1325" t="s">
        <v>25</v>
      </c>
      <c r="S1325" t="str" cm="1">
        <f t="array" ref="S1325">IFERROR(_xlfn.IFS(Table1[[#This Row],[Payment Status]]="Partial","In Transit",Table1[[#This Row],[Payment Status]]="Paid","Delivered",Table1[[#This Row],[Payment Status]]="Pending","Pending"),"Invalid Input")</f>
        <v>In Transit</v>
      </c>
      <c r="T1325" t="s">
        <v>27</v>
      </c>
      <c r="U1325" t="str" cm="1">
        <f t="array" ref="U1325">IFERROR(_xlfn.IFS(Table1[[#This Row],[Payment Status]]="Partial","In Transit",Table1[[#This Row],[Payment Status]]="Paid","Completed",Table1[[#This Row],[Payment Status]]="Pending","Pending"),"Invalid Input")</f>
        <v>In Transit</v>
      </c>
    </row>
    <row r="1326" spans="1:21" x14ac:dyDescent="0.25">
      <c r="A1326" s="4" t="s">
        <v>2314</v>
      </c>
      <c r="B1326" s="5">
        <v>45674</v>
      </c>
      <c r="C1326" t="s">
        <v>62</v>
      </c>
      <c r="D1326" t="s">
        <v>3269</v>
      </c>
      <c r="E1326" t="s">
        <v>38</v>
      </c>
      <c r="F1326" t="s">
        <v>3206</v>
      </c>
      <c r="G1326" t="s">
        <v>39</v>
      </c>
      <c r="H1326" t="str">
        <f>VLOOKUP(Table1[[#This Row],[City]],Table6[#All],2,FALSE)</f>
        <v>West</v>
      </c>
      <c r="I1326" t="s">
        <v>3204</v>
      </c>
      <c r="J1326" t="str">
        <f>_xlfn.XLOOKUP(Table1[[#This Row],[Tractor Model]],Table7[Product Model],Table7[Product Category],"Not Available",0)</f>
        <v>Kubota</v>
      </c>
      <c r="K1326" s="4">
        <v>4</v>
      </c>
      <c r="L1326" s="72">
        <v>391114</v>
      </c>
      <c r="M1326" s="4">
        <f>INDEX('Master Sheet'!$C$4:$C$12,MATCH(Table1[[#This Row],[Quantity]],'Master Sheet'!$B$4:$B$12,0))</f>
        <v>6</v>
      </c>
      <c r="N1326" s="71">
        <f>Table1[[#This Row],[Quantity]]*Table1[[#This Row],[Unit Price]]</f>
        <v>1564456</v>
      </c>
      <c r="O1326" s="73">
        <v>0.15644559999999999</v>
      </c>
      <c r="P1326" s="70">
        <f>Table1[[#This Row],[Gross Amount]]*(1-(Table1[[#This Row],[Discount %]]/100))</f>
        <v>1470588.64</v>
      </c>
      <c r="Q1326" s="74">
        <f>(Table1[[#This Row],[Gross Amount]]*(1-(Table1[[#This Row],[Discount %]]/100)))/10000000</f>
        <v>0.14705886399999998</v>
      </c>
      <c r="R1326" t="s">
        <v>54</v>
      </c>
      <c r="S1326" t="str" cm="1">
        <f t="array" ref="S1326">IFERROR(_xlfn.IFS(Table1[[#This Row],[Payment Status]]="Partial","In Transit",Table1[[#This Row],[Payment Status]]="Paid","Delivered",Table1[[#This Row],[Payment Status]]="Pending","Pending"),"Invalid Input")</f>
        <v>Delivered</v>
      </c>
      <c r="T1326" t="s">
        <v>44</v>
      </c>
      <c r="U1326" t="str" cm="1">
        <f t="array" ref="U1326">IFERROR(_xlfn.IFS(Table1[[#This Row],[Payment Status]]="Partial","In Transit",Table1[[#This Row],[Payment Status]]="Paid","Completed",Table1[[#This Row],[Payment Status]]="Pending","Pending"),"Invalid Input")</f>
        <v>Completed</v>
      </c>
    </row>
    <row r="1327" spans="1:21" x14ac:dyDescent="0.25">
      <c r="A1327" s="4" t="s">
        <v>2316</v>
      </c>
      <c r="B1327" s="5">
        <v>45764</v>
      </c>
      <c r="C1327" t="s">
        <v>73</v>
      </c>
      <c r="D1327" t="s">
        <v>37</v>
      </c>
      <c r="E1327" t="s">
        <v>66</v>
      </c>
      <c r="F1327" t="s">
        <v>3226</v>
      </c>
      <c r="G1327" t="s">
        <v>67</v>
      </c>
      <c r="H1327" t="str">
        <f>VLOOKUP(Table1[[#This Row],[City]],Table6[#All],2,FALSE)</f>
        <v>East</v>
      </c>
      <c r="I1327" t="s">
        <v>58</v>
      </c>
      <c r="J1327" t="str">
        <f>_xlfn.XLOOKUP(Table1[[#This Row],[Tractor Model]],Table7[Product Model],Table7[Product Category],"Not Available",0)</f>
        <v>Powertrac</v>
      </c>
      <c r="K1327" s="4">
        <v>6</v>
      </c>
      <c r="L1327" s="72">
        <v>824859</v>
      </c>
      <c r="M1327" s="4">
        <f>INDEX('Master Sheet'!$C$4:$C$12,MATCH(Table1[[#This Row],[Quantity]],'Master Sheet'!$B$4:$B$12,0))</f>
        <v>8</v>
      </c>
      <c r="N1327" s="71">
        <f>Table1[[#This Row],[Quantity]]*Table1[[#This Row],[Unit Price]]</f>
        <v>4949154</v>
      </c>
      <c r="O1327" s="73">
        <v>0.49491540000000001</v>
      </c>
      <c r="P1327" s="70">
        <f>Table1[[#This Row],[Gross Amount]]*(1-(Table1[[#This Row],[Discount %]]/100))</f>
        <v>4553221.6800000006</v>
      </c>
      <c r="Q1327" s="74">
        <f>(Table1[[#This Row],[Gross Amount]]*(1-(Table1[[#This Row],[Discount %]]/100)))/10000000</f>
        <v>0.45532216800000008</v>
      </c>
      <c r="R1327" t="s">
        <v>42</v>
      </c>
      <c r="S1327" t="str" cm="1">
        <f t="array" ref="S1327">IFERROR(_xlfn.IFS(Table1[[#This Row],[Payment Status]]="Partial","In Transit",Table1[[#This Row],[Payment Status]]="Paid","Delivered",Table1[[#This Row],[Payment Status]]="Pending","Pending"),"Invalid Input")</f>
        <v>Pending</v>
      </c>
      <c r="T1327" t="s">
        <v>44</v>
      </c>
      <c r="U1327" t="str" cm="1">
        <f t="array" ref="U1327">IFERROR(_xlfn.IFS(Table1[[#This Row],[Payment Status]]="Partial","In Transit",Table1[[#This Row],[Payment Status]]="Paid","Completed",Table1[[#This Row],[Payment Status]]="Pending","Pending"),"Invalid Input")</f>
        <v>Pending</v>
      </c>
    </row>
    <row r="1328" spans="1:21" x14ac:dyDescent="0.25">
      <c r="A1328" s="4" t="s">
        <v>2318</v>
      </c>
      <c r="B1328" s="5">
        <v>45783</v>
      </c>
      <c r="C1328" t="s">
        <v>33</v>
      </c>
      <c r="D1328" t="s">
        <v>3268</v>
      </c>
      <c r="E1328" t="s">
        <v>38</v>
      </c>
      <c r="F1328" t="s">
        <v>3219</v>
      </c>
      <c r="G1328" t="s">
        <v>39</v>
      </c>
      <c r="H1328" t="str">
        <f>VLOOKUP(Table1[[#This Row],[City]],Table6[#All],2,FALSE)</f>
        <v>West</v>
      </c>
      <c r="I1328" t="s">
        <v>3203</v>
      </c>
      <c r="J1328" t="str">
        <f>_xlfn.XLOOKUP(Table1[[#This Row],[Tractor Model]],Table7[Product Model],Table7[Product Category],"Not Available",0)</f>
        <v>Kubota</v>
      </c>
      <c r="K1328" s="4">
        <v>4</v>
      </c>
      <c r="L1328" s="72">
        <v>606806</v>
      </c>
      <c r="M1328" s="4">
        <f>INDEX('Master Sheet'!$C$4:$C$12,MATCH(Table1[[#This Row],[Quantity]],'Master Sheet'!$B$4:$B$12,0))</f>
        <v>6</v>
      </c>
      <c r="N1328" s="71">
        <f>Table1[[#This Row],[Quantity]]*Table1[[#This Row],[Unit Price]]</f>
        <v>2427224</v>
      </c>
      <c r="O1328" s="73">
        <v>0.2427224</v>
      </c>
      <c r="P1328" s="70">
        <f>Table1[[#This Row],[Gross Amount]]*(1-(Table1[[#This Row],[Discount %]]/100))</f>
        <v>2281590.56</v>
      </c>
      <c r="Q1328" s="74">
        <f>(Table1[[#This Row],[Gross Amount]]*(1-(Table1[[#This Row],[Discount %]]/100)))/10000000</f>
        <v>0.228159056</v>
      </c>
      <c r="R1328" t="s">
        <v>42</v>
      </c>
      <c r="S1328" t="str" cm="1">
        <f t="array" ref="S1328">IFERROR(_xlfn.IFS(Table1[[#This Row],[Payment Status]]="Partial","In Transit",Table1[[#This Row],[Payment Status]]="Paid","Delivered",Table1[[#This Row],[Payment Status]]="Pending","Pending"),"Invalid Input")</f>
        <v>Pending</v>
      </c>
      <c r="T1328" t="s">
        <v>44</v>
      </c>
      <c r="U1328" t="str" cm="1">
        <f t="array" ref="U1328">IFERROR(_xlfn.IFS(Table1[[#This Row],[Payment Status]]="Partial","In Transit",Table1[[#This Row],[Payment Status]]="Paid","Completed",Table1[[#This Row],[Payment Status]]="Pending","Pending"),"Invalid Input")</f>
        <v>Pending</v>
      </c>
    </row>
    <row r="1329" spans="1:21" x14ac:dyDescent="0.25">
      <c r="A1329" s="4" t="s">
        <v>2320</v>
      </c>
      <c r="B1329" s="5">
        <v>45831</v>
      </c>
      <c r="C1329" t="s">
        <v>33</v>
      </c>
      <c r="D1329" t="s">
        <v>3271</v>
      </c>
      <c r="E1329" t="s">
        <v>30</v>
      </c>
      <c r="F1329" t="s">
        <v>3217</v>
      </c>
      <c r="G1329" t="s">
        <v>31</v>
      </c>
      <c r="H1329" t="str">
        <f>VLOOKUP(Table1[[#This Row],[City]],Table6[#All],2,FALSE)</f>
        <v>South</v>
      </c>
      <c r="I1329" t="s">
        <v>3203</v>
      </c>
      <c r="J1329" t="str">
        <f>_xlfn.XLOOKUP(Table1[[#This Row],[Tractor Model]],Table7[Product Model],Table7[Product Category],"Not Available",0)</f>
        <v>Kubota</v>
      </c>
      <c r="K1329" s="4">
        <v>1</v>
      </c>
      <c r="L1329" s="72">
        <v>162648</v>
      </c>
      <c r="M1329" s="4">
        <f>INDEX('Master Sheet'!$C$4:$C$12,MATCH(Table1[[#This Row],[Quantity]],'Master Sheet'!$B$4:$B$12,0))</f>
        <v>3</v>
      </c>
      <c r="N1329" s="71">
        <f>Table1[[#This Row],[Quantity]]*Table1[[#This Row],[Unit Price]]</f>
        <v>162648</v>
      </c>
      <c r="O1329" s="73">
        <v>1.6264799999999999E-2</v>
      </c>
      <c r="P1329" s="70">
        <f>Table1[[#This Row],[Gross Amount]]*(1-(Table1[[#This Row],[Discount %]]/100))</f>
        <v>157768.56</v>
      </c>
      <c r="Q1329" s="74">
        <f>(Table1[[#This Row],[Gross Amount]]*(1-(Table1[[#This Row],[Discount %]]/100)))/10000000</f>
        <v>1.5776855999999999E-2</v>
      </c>
      <c r="R1329" t="s">
        <v>25</v>
      </c>
      <c r="S1329" t="str" cm="1">
        <f t="array" ref="S1329">IFERROR(_xlfn.IFS(Table1[[#This Row],[Payment Status]]="Partial","In Transit",Table1[[#This Row],[Payment Status]]="Paid","Delivered",Table1[[#This Row],[Payment Status]]="Pending","Pending"),"Invalid Input")</f>
        <v>In Transit</v>
      </c>
      <c r="T1329" t="s">
        <v>27</v>
      </c>
      <c r="U1329" t="str" cm="1">
        <f t="array" ref="U1329">IFERROR(_xlfn.IFS(Table1[[#This Row],[Payment Status]]="Partial","In Transit",Table1[[#This Row],[Payment Status]]="Paid","Completed",Table1[[#This Row],[Payment Status]]="Pending","Pending"),"Invalid Input")</f>
        <v>In Transit</v>
      </c>
    </row>
    <row r="1330" spans="1:21" x14ac:dyDescent="0.25">
      <c r="A1330" s="4" t="s">
        <v>2321</v>
      </c>
      <c r="B1330" s="5">
        <v>45722</v>
      </c>
      <c r="C1330" t="s">
        <v>33</v>
      </c>
      <c r="D1330" t="s">
        <v>3268</v>
      </c>
      <c r="E1330" t="s">
        <v>66</v>
      </c>
      <c r="F1330" t="s">
        <v>3211</v>
      </c>
      <c r="G1330" t="s">
        <v>67</v>
      </c>
      <c r="H1330" t="str">
        <f>VLOOKUP(Table1[[#This Row],[City]],Table6[#All],2,FALSE)</f>
        <v>East</v>
      </c>
      <c r="I1330" t="s">
        <v>53</v>
      </c>
      <c r="J1330" t="str">
        <f>_xlfn.XLOOKUP(Table1[[#This Row],[Tractor Model]],Table7[Product Model],Table7[Product Category],"Not Available",0)</f>
        <v>Farmtrac</v>
      </c>
      <c r="K1330" s="4">
        <v>8</v>
      </c>
      <c r="L1330" s="72">
        <v>573801</v>
      </c>
      <c r="M1330" s="4">
        <f>INDEX('Master Sheet'!$C$4:$C$12,MATCH(Table1[[#This Row],[Quantity]],'Master Sheet'!$B$4:$B$12,0))</f>
        <v>9</v>
      </c>
      <c r="N1330" s="71">
        <f>Table1[[#This Row],[Quantity]]*Table1[[#This Row],[Unit Price]]</f>
        <v>4590408</v>
      </c>
      <c r="O1330" s="73">
        <v>0.45904080000000003</v>
      </c>
      <c r="P1330" s="70">
        <f>Table1[[#This Row],[Gross Amount]]*(1-(Table1[[#This Row],[Discount %]]/100))</f>
        <v>4177271.2800000003</v>
      </c>
      <c r="Q1330" s="74">
        <f>(Table1[[#This Row],[Gross Amount]]*(1-(Table1[[#This Row],[Discount %]]/100)))/10000000</f>
        <v>0.417727128</v>
      </c>
      <c r="R1330" t="s">
        <v>42</v>
      </c>
      <c r="S1330" t="str" cm="1">
        <f t="array" ref="S1330">IFERROR(_xlfn.IFS(Table1[[#This Row],[Payment Status]]="Partial","In Transit",Table1[[#This Row],[Payment Status]]="Paid","Delivered",Table1[[#This Row],[Payment Status]]="Pending","Pending"),"Invalid Input")</f>
        <v>Pending</v>
      </c>
      <c r="T1330" t="s">
        <v>44</v>
      </c>
      <c r="U1330" t="str" cm="1">
        <f t="array" ref="U1330">IFERROR(_xlfn.IFS(Table1[[#This Row],[Payment Status]]="Partial","In Transit",Table1[[#This Row],[Payment Status]]="Paid","Completed",Table1[[#This Row],[Payment Status]]="Pending","Pending"),"Invalid Input")</f>
        <v>Pending</v>
      </c>
    </row>
    <row r="1331" spans="1:21" x14ac:dyDescent="0.25">
      <c r="A1331" s="4" t="s">
        <v>2322</v>
      </c>
      <c r="B1331" s="5">
        <v>45351</v>
      </c>
      <c r="C1331" t="s">
        <v>73</v>
      </c>
      <c r="D1331" t="s">
        <v>3268</v>
      </c>
      <c r="E1331" t="s">
        <v>38</v>
      </c>
      <c r="F1331" t="s">
        <v>3219</v>
      </c>
      <c r="G1331" t="s">
        <v>39</v>
      </c>
      <c r="H1331" t="str">
        <f>VLOOKUP(Table1[[#This Row],[City]],Table6[#All],2,FALSE)</f>
        <v>West</v>
      </c>
      <c r="I1331" t="s">
        <v>24</v>
      </c>
      <c r="J1331" t="str">
        <f>_xlfn.XLOOKUP(Table1[[#This Row],[Tractor Model]],Table7[Product Model],Table7[Product Category],"Not Available",0)</f>
        <v>Farmtrac</v>
      </c>
      <c r="K1331" s="4">
        <v>1</v>
      </c>
      <c r="L1331" s="72">
        <v>198805</v>
      </c>
      <c r="M1331" s="4">
        <f>INDEX('Master Sheet'!$C$4:$C$12,MATCH(Table1[[#This Row],[Quantity]],'Master Sheet'!$B$4:$B$12,0))</f>
        <v>3</v>
      </c>
      <c r="N1331" s="71">
        <f>Table1[[#This Row],[Quantity]]*Table1[[#This Row],[Unit Price]]</f>
        <v>198805</v>
      </c>
      <c r="O1331" s="73">
        <v>1.9880499999999999E-2</v>
      </c>
      <c r="P1331" s="70">
        <f>Table1[[#This Row],[Gross Amount]]*(1-(Table1[[#This Row],[Discount %]]/100))</f>
        <v>192840.85</v>
      </c>
      <c r="Q1331" s="74">
        <f>(Table1[[#This Row],[Gross Amount]]*(1-(Table1[[#This Row],[Discount %]]/100)))/10000000</f>
        <v>1.9284084999999999E-2</v>
      </c>
      <c r="R1331" t="s">
        <v>54</v>
      </c>
      <c r="S1331" t="str" cm="1">
        <f t="array" ref="S1331">IFERROR(_xlfn.IFS(Table1[[#This Row],[Payment Status]]="Partial","In Transit",Table1[[#This Row],[Payment Status]]="Paid","Delivered",Table1[[#This Row],[Payment Status]]="Pending","Pending"),"Invalid Input")</f>
        <v>Delivered</v>
      </c>
      <c r="T1331" t="s">
        <v>27</v>
      </c>
      <c r="U1331" t="str" cm="1">
        <f t="array" ref="U1331">IFERROR(_xlfn.IFS(Table1[[#This Row],[Payment Status]]="Partial","In Transit",Table1[[#This Row],[Payment Status]]="Paid","Completed",Table1[[#This Row],[Payment Status]]="Pending","Pending"),"Invalid Input")</f>
        <v>Completed</v>
      </c>
    </row>
    <row r="1332" spans="1:21" x14ac:dyDescent="0.25">
      <c r="A1332" s="4" t="s">
        <v>2324</v>
      </c>
      <c r="B1332" s="5">
        <v>45539</v>
      </c>
      <c r="C1332" t="s">
        <v>62</v>
      </c>
      <c r="D1332" t="s">
        <v>3269</v>
      </c>
      <c r="E1332" t="s">
        <v>47</v>
      </c>
      <c r="F1332" t="s">
        <v>3209</v>
      </c>
      <c r="G1332" t="s">
        <v>48</v>
      </c>
      <c r="H1332" t="str">
        <f>VLOOKUP(Table1[[#This Row],[City]],Table6[#All],2,FALSE)</f>
        <v>North</v>
      </c>
      <c r="I1332" t="s">
        <v>58</v>
      </c>
      <c r="J1332" t="str">
        <f>_xlfn.XLOOKUP(Table1[[#This Row],[Tractor Model]],Table7[Product Model],Table7[Product Category],"Not Available",0)</f>
        <v>Powertrac</v>
      </c>
      <c r="K1332" s="4">
        <v>4</v>
      </c>
      <c r="L1332" s="72">
        <v>714893</v>
      </c>
      <c r="M1332" s="4">
        <f>INDEX('Master Sheet'!$C$4:$C$12,MATCH(Table1[[#This Row],[Quantity]],'Master Sheet'!$B$4:$B$12,0))</f>
        <v>6</v>
      </c>
      <c r="N1332" s="71">
        <f>Table1[[#This Row],[Quantity]]*Table1[[#This Row],[Unit Price]]</f>
        <v>2859572</v>
      </c>
      <c r="O1332" s="73">
        <v>0.28595720000000002</v>
      </c>
      <c r="P1332" s="70">
        <f>Table1[[#This Row],[Gross Amount]]*(1-(Table1[[#This Row],[Discount %]]/100))</f>
        <v>2687997.6799999997</v>
      </c>
      <c r="Q1332" s="74">
        <f>(Table1[[#This Row],[Gross Amount]]*(1-(Table1[[#This Row],[Discount %]]/100)))/10000000</f>
        <v>0.26879976799999999</v>
      </c>
      <c r="R1332" t="s">
        <v>25</v>
      </c>
      <c r="S1332" t="str" cm="1">
        <f t="array" ref="S1332">IFERROR(_xlfn.IFS(Table1[[#This Row],[Payment Status]]="Partial","In Transit",Table1[[#This Row],[Payment Status]]="Paid","Delivered",Table1[[#This Row],[Payment Status]]="Pending","Pending"),"Invalid Input")</f>
        <v>In Transit</v>
      </c>
      <c r="T1332" t="s">
        <v>27</v>
      </c>
      <c r="U1332" t="str" cm="1">
        <f t="array" ref="U1332">IFERROR(_xlfn.IFS(Table1[[#This Row],[Payment Status]]="Partial","In Transit",Table1[[#This Row],[Payment Status]]="Paid","Completed",Table1[[#This Row],[Payment Status]]="Pending","Pending"),"Invalid Input")</f>
        <v>In Transit</v>
      </c>
    </row>
    <row r="1333" spans="1:21" x14ac:dyDescent="0.25">
      <c r="A1333" s="4" t="s">
        <v>2325</v>
      </c>
      <c r="B1333" s="5">
        <v>45337</v>
      </c>
      <c r="C1333" t="s">
        <v>62</v>
      </c>
      <c r="D1333" t="s">
        <v>3268</v>
      </c>
      <c r="E1333" t="s">
        <v>66</v>
      </c>
      <c r="F1333" t="s">
        <v>3211</v>
      </c>
      <c r="G1333" t="s">
        <v>67</v>
      </c>
      <c r="H1333" t="str">
        <f>VLOOKUP(Table1[[#This Row],[City]],Table6[#All],2,FALSE)</f>
        <v>East</v>
      </c>
      <c r="I1333" t="s">
        <v>24</v>
      </c>
      <c r="J1333" t="str">
        <f>_xlfn.XLOOKUP(Table1[[#This Row],[Tractor Model]],Table7[Product Model],Table7[Product Category],"Not Available",0)</f>
        <v>Farmtrac</v>
      </c>
      <c r="K1333" s="4">
        <v>1</v>
      </c>
      <c r="L1333" s="72">
        <v>368626</v>
      </c>
      <c r="M1333" s="4">
        <f>INDEX('Master Sheet'!$C$4:$C$12,MATCH(Table1[[#This Row],[Quantity]],'Master Sheet'!$B$4:$B$12,0))</f>
        <v>3</v>
      </c>
      <c r="N1333" s="71">
        <f>Table1[[#This Row],[Quantity]]*Table1[[#This Row],[Unit Price]]</f>
        <v>368626</v>
      </c>
      <c r="O1333" s="73">
        <v>3.6862600000000002E-2</v>
      </c>
      <c r="P1333" s="70">
        <f>Table1[[#This Row],[Gross Amount]]*(1-(Table1[[#This Row],[Discount %]]/100))</f>
        <v>357567.22</v>
      </c>
      <c r="Q1333" s="74">
        <f>(Table1[[#This Row],[Gross Amount]]*(1-(Table1[[#This Row],[Discount %]]/100)))/10000000</f>
        <v>3.5756721999999998E-2</v>
      </c>
      <c r="R1333" t="s">
        <v>25</v>
      </c>
      <c r="S1333" t="str" cm="1">
        <f t="array" ref="S1333">IFERROR(_xlfn.IFS(Table1[[#This Row],[Payment Status]]="Partial","In Transit",Table1[[#This Row],[Payment Status]]="Paid","Delivered",Table1[[#This Row],[Payment Status]]="Pending","Pending"),"Invalid Input")</f>
        <v>In Transit</v>
      </c>
      <c r="T1333" t="s">
        <v>27</v>
      </c>
      <c r="U1333" t="str" cm="1">
        <f t="array" ref="U1333">IFERROR(_xlfn.IFS(Table1[[#This Row],[Payment Status]]="Partial","In Transit",Table1[[#This Row],[Payment Status]]="Paid","Completed",Table1[[#This Row],[Payment Status]]="Pending","Pending"),"Invalid Input")</f>
        <v>In Transit</v>
      </c>
    </row>
    <row r="1334" spans="1:21" x14ac:dyDescent="0.25">
      <c r="A1334" s="4" t="s">
        <v>2327</v>
      </c>
      <c r="B1334" s="5">
        <v>45407</v>
      </c>
      <c r="C1334" t="s">
        <v>41</v>
      </c>
      <c r="D1334" t="s">
        <v>3269</v>
      </c>
      <c r="E1334" t="s">
        <v>30</v>
      </c>
      <c r="F1334" t="s">
        <v>3225</v>
      </c>
      <c r="G1334" t="s">
        <v>31</v>
      </c>
      <c r="H1334" t="str">
        <f>VLOOKUP(Table1[[#This Row],[City]],Table6[#All],2,FALSE)</f>
        <v>South</v>
      </c>
      <c r="I1334" t="s">
        <v>53</v>
      </c>
      <c r="J1334" t="str">
        <f>_xlfn.XLOOKUP(Table1[[#This Row],[Tractor Model]],Table7[Product Model],Table7[Product Category],"Not Available",0)</f>
        <v>Farmtrac</v>
      </c>
      <c r="K1334" s="4">
        <v>1</v>
      </c>
      <c r="L1334" s="72">
        <v>224317</v>
      </c>
      <c r="M1334" s="4">
        <f>INDEX('Master Sheet'!$C$4:$C$12,MATCH(Table1[[#This Row],[Quantity]],'Master Sheet'!$B$4:$B$12,0))</f>
        <v>3</v>
      </c>
      <c r="N1334" s="71">
        <f>Table1[[#This Row],[Quantity]]*Table1[[#This Row],[Unit Price]]</f>
        <v>224317</v>
      </c>
      <c r="O1334" s="73">
        <v>2.2431699999999999E-2</v>
      </c>
      <c r="P1334" s="70">
        <f>Table1[[#This Row],[Gross Amount]]*(1-(Table1[[#This Row],[Discount %]]/100))</f>
        <v>217587.49</v>
      </c>
      <c r="Q1334" s="74">
        <f>(Table1[[#This Row],[Gross Amount]]*(1-(Table1[[#This Row],[Discount %]]/100)))/10000000</f>
        <v>2.1758748999999997E-2</v>
      </c>
      <c r="R1334" t="s">
        <v>42</v>
      </c>
      <c r="S1334" t="str" cm="1">
        <f t="array" ref="S1334">IFERROR(_xlfn.IFS(Table1[[#This Row],[Payment Status]]="Partial","In Transit",Table1[[#This Row],[Payment Status]]="Paid","Delivered",Table1[[#This Row],[Payment Status]]="Pending","Pending"),"Invalid Input")</f>
        <v>Pending</v>
      </c>
      <c r="T1334" t="s">
        <v>27</v>
      </c>
      <c r="U1334" t="str" cm="1">
        <f t="array" ref="U1334">IFERROR(_xlfn.IFS(Table1[[#This Row],[Payment Status]]="Partial","In Transit",Table1[[#This Row],[Payment Status]]="Paid","Completed",Table1[[#This Row],[Payment Status]]="Pending","Pending"),"Invalid Input")</f>
        <v>Pending</v>
      </c>
    </row>
    <row r="1335" spans="1:21" x14ac:dyDescent="0.25">
      <c r="A1335" s="4" t="s">
        <v>2328</v>
      </c>
      <c r="B1335" s="5">
        <v>45782</v>
      </c>
      <c r="C1335" t="s">
        <v>73</v>
      </c>
      <c r="D1335" t="s">
        <v>3268</v>
      </c>
      <c r="E1335" t="s">
        <v>47</v>
      </c>
      <c r="F1335" t="s">
        <v>3216</v>
      </c>
      <c r="G1335" t="s">
        <v>48</v>
      </c>
      <c r="H1335" t="str">
        <f>VLOOKUP(Table1[[#This Row],[City]],Table6[#All],2,FALSE)</f>
        <v>North</v>
      </c>
      <c r="I1335" t="s">
        <v>3204</v>
      </c>
      <c r="J1335" t="str">
        <f>_xlfn.XLOOKUP(Table1[[#This Row],[Tractor Model]],Table7[Product Model],Table7[Product Category],"Not Available",0)</f>
        <v>Kubota</v>
      </c>
      <c r="K1335" s="4">
        <v>8</v>
      </c>
      <c r="L1335" s="72">
        <v>299051</v>
      </c>
      <c r="M1335" s="4">
        <f>INDEX('Master Sheet'!$C$4:$C$12,MATCH(Table1[[#This Row],[Quantity]],'Master Sheet'!$B$4:$B$12,0))</f>
        <v>9</v>
      </c>
      <c r="N1335" s="71">
        <f>Table1[[#This Row],[Quantity]]*Table1[[#This Row],[Unit Price]]</f>
        <v>2392408</v>
      </c>
      <c r="O1335" s="73">
        <v>0.2392408</v>
      </c>
      <c r="P1335" s="70">
        <f>Table1[[#This Row],[Gross Amount]]*(1-(Table1[[#This Row],[Discount %]]/100))</f>
        <v>2177091.2800000003</v>
      </c>
      <c r="Q1335" s="74">
        <f>(Table1[[#This Row],[Gross Amount]]*(1-(Table1[[#This Row],[Discount %]]/100)))/10000000</f>
        <v>0.21770912800000003</v>
      </c>
      <c r="R1335" t="s">
        <v>42</v>
      </c>
      <c r="S1335" t="str" cm="1">
        <f t="array" ref="S1335">IFERROR(_xlfn.IFS(Table1[[#This Row],[Payment Status]]="Partial","In Transit",Table1[[#This Row],[Payment Status]]="Paid","Delivered",Table1[[#This Row],[Payment Status]]="Pending","Pending"),"Invalid Input")</f>
        <v>Pending</v>
      </c>
      <c r="T1335" t="s">
        <v>27</v>
      </c>
      <c r="U1335" t="str" cm="1">
        <f t="array" ref="U1335">IFERROR(_xlfn.IFS(Table1[[#This Row],[Payment Status]]="Partial","In Transit",Table1[[#This Row],[Payment Status]]="Paid","Completed",Table1[[#This Row],[Payment Status]]="Pending","Pending"),"Invalid Input")</f>
        <v>Pending</v>
      </c>
    </row>
    <row r="1336" spans="1:21" x14ac:dyDescent="0.25">
      <c r="A1336" s="4" t="s">
        <v>2329</v>
      </c>
      <c r="B1336" s="5">
        <v>45772</v>
      </c>
      <c r="C1336" t="s">
        <v>62</v>
      </c>
      <c r="D1336" t="s">
        <v>3268</v>
      </c>
      <c r="E1336" t="s">
        <v>30</v>
      </c>
      <c r="F1336" t="s">
        <v>3208</v>
      </c>
      <c r="G1336" t="s">
        <v>31</v>
      </c>
      <c r="H1336" t="str">
        <f>VLOOKUP(Table1[[#This Row],[City]],Table6[#All],2,FALSE)</f>
        <v>South</v>
      </c>
      <c r="I1336" t="s">
        <v>24</v>
      </c>
      <c r="J1336" t="str">
        <f>_xlfn.XLOOKUP(Table1[[#This Row],[Tractor Model]],Table7[Product Model],Table7[Product Category],"Not Available",0)</f>
        <v>Farmtrac</v>
      </c>
      <c r="K1336" s="4">
        <v>8</v>
      </c>
      <c r="L1336" s="72">
        <v>515209</v>
      </c>
      <c r="M1336" s="4">
        <f>INDEX('Master Sheet'!$C$4:$C$12,MATCH(Table1[[#This Row],[Quantity]],'Master Sheet'!$B$4:$B$12,0))</f>
        <v>9</v>
      </c>
      <c r="N1336" s="71">
        <f>Table1[[#This Row],[Quantity]]*Table1[[#This Row],[Unit Price]]</f>
        <v>4121672</v>
      </c>
      <c r="O1336" s="73">
        <v>0.41216720000000001</v>
      </c>
      <c r="P1336" s="70">
        <f>Table1[[#This Row],[Gross Amount]]*(1-(Table1[[#This Row],[Discount %]]/100))</f>
        <v>3750721.52</v>
      </c>
      <c r="Q1336" s="74">
        <f>(Table1[[#This Row],[Gross Amount]]*(1-(Table1[[#This Row],[Discount %]]/100)))/10000000</f>
        <v>0.37507215199999999</v>
      </c>
      <c r="R1336" t="s">
        <v>42</v>
      </c>
      <c r="S1336" t="str" cm="1">
        <f t="array" ref="S1336">IFERROR(_xlfn.IFS(Table1[[#This Row],[Payment Status]]="Partial","In Transit",Table1[[#This Row],[Payment Status]]="Paid","Delivered",Table1[[#This Row],[Payment Status]]="Pending","Pending"),"Invalid Input")</f>
        <v>Pending</v>
      </c>
      <c r="T1336" t="s">
        <v>44</v>
      </c>
      <c r="U1336" t="str" cm="1">
        <f t="array" ref="U1336">IFERROR(_xlfn.IFS(Table1[[#This Row],[Payment Status]]="Partial","In Transit",Table1[[#This Row],[Payment Status]]="Paid","Completed",Table1[[#This Row],[Payment Status]]="Pending","Pending"),"Invalid Input")</f>
        <v>Pending</v>
      </c>
    </row>
    <row r="1337" spans="1:21" x14ac:dyDescent="0.25">
      <c r="A1337" s="4" t="s">
        <v>2330</v>
      </c>
      <c r="B1337" s="5">
        <v>45737</v>
      </c>
      <c r="C1337" t="s">
        <v>33</v>
      </c>
      <c r="D1337" t="s">
        <v>3271</v>
      </c>
      <c r="E1337" t="s">
        <v>119</v>
      </c>
      <c r="F1337" t="s">
        <v>3228</v>
      </c>
      <c r="G1337" t="s">
        <v>21</v>
      </c>
      <c r="H1337" t="str">
        <f>VLOOKUP(Table1[[#This Row],[City]],Table6[#All],2,FALSE)</f>
        <v>North</v>
      </c>
      <c r="I1337" t="s">
        <v>53</v>
      </c>
      <c r="J1337" t="str">
        <f>_xlfn.XLOOKUP(Table1[[#This Row],[Tractor Model]],Table7[Product Model],Table7[Product Category],"Not Available",0)</f>
        <v>Farmtrac</v>
      </c>
      <c r="K1337" s="4">
        <v>5</v>
      </c>
      <c r="L1337" s="72">
        <v>704298</v>
      </c>
      <c r="M1337" s="4">
        <f>INDEX('Master Sheet'!$C$4:$C$12,MATCH(Table1[[#This Row],[Quantity]],'Master Sheet'!$B$4:$B$12,0))</f>
        <v>7</v>
      </c>
      <c r="N1337" s="71">
        <f>Table1[[#This Row],[Quantity]]*Table1[[#This Row],[Unit Price]]</f>
        <v>3521490</v>
      </c>
      <c r="O1337" s="73">
        <v>0.35214899999999999</v>
      </c>
      <c r="P1337" s="70">
        <f>Table1[[#This Row],[Gross Amount]]*(1-(Table1[[#This Row],[Discount %]]/100))</f>
        <v>3274985.6999999997</v>
      </c>
      <c r="Q1337" s="74">
        <f>(Table1[[#This Row],[Gross Amount]]*(1-(Table1[[#This Row],[Discount %]]/100)))/10000000</f>
        <v>0.32749856999999999</v>
      </c>
      <c r="R1337" t="s">
        <v>42</v>
      </c>
      <c r="S1337" t="str" cm="1">
        <f t="array" ref="S1337">IFERROR(_xlfn.IFS(Table1[[#This Row],[Payment Status]]="Partial","In Transit",Table1[[#This Row],[Payment Status]]="Paid","Delivered",Table1[[#This Row],[Payment Status]]="Pending","Pending"),"Invalid Input")</f>
        <v>Pending</v>
      </c>
      <c r="T1337" t="s">
        <v>27</v>
      </c>
      <c r="U1337" t="str" cm="1">
        <f t="array" ref="U1337">IFERROR(_xlfn.IFS(Table1[[#This Row],[Payment Status]]="Partial","In Transit",Table1[[#This Row],[Payment Status]]="Paid","Completed",Table1[[#This Row],[Payment Status]]="Pending","Pending"),"Invalid Input")</f>
        <v>Pending</v>
      </c>
    </row>
    <row r="1338" spans="1:21" x14ac:dyDescent="0.25">
      <c r="A1338" s="4" t="s">
        <v>2331</v>
      </c>
      <c r="B1338" s="5">
        <v>45406</v>
      </c>
      <c r="C1338" t="s">
        <v>41</v>
      </c>
      <c r="D1338" t="s">
        <v>37</v>
      </c>
      <c r="E1338" t="s">
        <v>119</v>
      </c>
      <c r="F1338" t="s">
        <v>3224</v>
      </c>
      <c r="G1338" t="s">
        <v>21</v>
      </c>
      <c r="H1338" t="str">
        <f>VLOOKUP(Table1[[#This Row],[City]],Table6[#All],2,FALSE)</f>
        <v>North</v>
      </c>
      <c r="I1338" t="s">
        <v>3203</v>
      </c>
      <c r="J1338" t="str">
        <f>_xlfn.XLOOKUP(Table1[[#This Row],[Tractor Model]],Table7[Product Model],Table7[Product Category],"Not Available",0)</f>
        <v>Kubota</v>
      </c>
      <c r="K1338" s="4">
        <v>5</v>
      </c>
      <c r="L1338" s="72">
        <v>396633</v>
      </c>
      <c r="M1338" s="4">
        <f>INDEX('Master Sheet'!$C$4:$C$12,MATCH(Table1[[#This Row],[Quantity]],'Master Sheet'!$B$4:$B$12,0))</f>
        <v>7</v>
      </c>
      <c r="N1338" s="71">
        <f>Table1[[#This Row],[Quantity]]*Table1[[#This Row],[Unit Price]]</f>
        <v>1983165</v>
      </c>
      <c r="O1338" s="73">
        <v>0.19831650000000001</v>
      </c>
      <c r="P1338" s="70">
        <f>Table1[[#This Row],[Gross Amount]]*(1-(Table1[[#This Row],[Discount %]]/100))</f>
        <v>1844343.45</v>
      </c>
      <c r="Q1338" s="74">
        <f>(Table1[[#This Row],[Gross Amount]]*(1-(Table1[[#This Row],[Discount %]]/100)))/10000000</f>
        <v>0.184434345</v>
      </c>
      <c r="R1338" t="s">
        <v>42</v>
      </c>
      <c r="S1338" t="str" cm="1">
        <f t="array" ref="S1338">IFERROR(_xlfn.IFS(Table1[[#This Row],[Payment Status]]="Partial","In Transit",Table1[[#This Row],[Payment Status]]="Paid","Delivered",Table1[[#This Row],[Payment Status]]="Pending","Pending"),"Invalid Input")</f>
        <v>Pending</v>
      </c>
      <c r="T1338" t="s">
        <v>27</v>
      </c>
      <c r="U1338" t="str" cm="1">
        <f t="array" ref="U1338">IFERROR(_xlfn.IFS(Table1[[#This Row],[Payment Status]]="Partial","In Transit",Table1[[#This Row],[Payment Status]]="Paid","Completed",Table1[[#This Row],[Payment Status]]="Pending","Pending"),"Invalid Input")</f>
        <v>Pending</v>
      </c>
    </row>
    <row r="1339" spans="1:21" x14ac:dyDescent="0.25">
      <c r="A1339" s="4" t="s">
        <v>2332</v>
      </c>
      <c r="B1339" s="5">
        <v>45474</v>
      </c>
      <c r="C1339" t="s">
        <v>62</v>
      </c>
      <c r="D1339" t="s">
        <v>3271</v>
      </c>
      <c r="E1339" t="s">
        <v>47</v>
      </c>
      <c r="F1339" t="s">
        <v>3221</v>
      </c>
      <c r="G1339" t="s">
        <v>48</v>
      </c>
      <c r="H1339" t="str">
        <f>VLOOKUP(Table1[[#This Row],[City]],Table6[#All],2,FALSE)</f>
        <v>North</v>
      </c>
      <c r="I1339" t="s">
        <v>53</v>
      </c>
      <c r="J1339" t="str">
        <f>_xlfn.XLOOKUP(Table1[[#This Row],[Tractor Model]],Table7[Product Model],Table7[Product Category],"Not Available",0)</f>
        <v>Farmtrac</v>
      </c>
      <c r="K1339" s="4">
        <v>8</v>
      </c>
      <c r="L1339" s="72">
        <v>541686</v>
      </c>
      <c r="M1339" s="4">
        <f>INDEX('Master Sheet'!$C$4:$C$12,MATCH(Table1[[#This Row],[Quantity]],'Master Sheet'!$B$4:$B$12,0))</f>
        <v>9</v>
      </c>
      <c r="N1339" s="71">
        <f>Table1[[#This Row],[Quantity]]*Table1[[#This Row],[Unit Price]]</f>
        <v>4333488</v>
      </c>
      <c r="O1339" s="73">
        <v>0.43334879999999998</v>
      </c>
      <c r="P1339" s="70">
        <f>Table1[[#This Row],[Gross Amount]]*(1-(Table1[[#This Row],[Discount %]]/100))</f>
        <v>3943474.08</v>
      </c>
      <c r="Q1339" s="74">
        <f>(Table1[[#This Row],[Gross Amount]]*(1-(Table1[[#This Row],[Discount %]]/100)))/10000000</f>
        <v>0.39434740800000001</v>
      </c>
      <c r="R1339" t="s">
        <v>42</v>
      </c>
      <c r="S1339" t="str" cm="1">
        <f t="array" ref="S1339">IFERROR(_xlfn.IFS(Table1[[#This Row],[Payment Status]]="Partial","In Transit",Table1[[#This Row],[Payment Status]]="Paid","Delivered",Table1[[#This Row],[Payment Status]]="Pending","Pending"),"Invalid Input")</f>
        <v>Pending</v>
      </c>
      <c r="T1339" t="s">
        <v>44</v>
      </c>
      <c r="U1339" t="str" cm="1">
        <f t="array" ref="U1339">IFERROR(_xlfn.IFS(Table1[[#This Row],[Payment Status]]="Partial","In Transit",Table1[[#This Row],[Payment Status]]="Paid","Completed",Table1[[#This Row],[Payment Status]]="Pending","Pending"),"Invalid Input")</f>
        <v>Pending</v>
      </c>
    </row>
    <row r="1340" spans="1:21" x14ac:dyDescent="0.25">
      <c r="A1340" s="4" t="s">
        <v>2334</v>
      </c>
      <c r="B1340" s="5">
        <v>45814</v>
      </c>
      <c r="C1340" t="s">
        <v>41</v>
      </c>
      <c r="D1340" t="s">
        <v>3271</v>
      </c>
      <c r="E1340" t="s">
        <v>119</v>
      </c>
      <c r="F1340" t="s">
        <v>3228</v>
      </c>
      <c r="G1340" t="s">
        <v>21</v>
      </c>
      <c r="H1340" t="str">
        <f>VLOOKUP(Table1[[#This Row],[City]],Table6[#All],2,FALSE)</f>
        <v>North</v>
      </c>
      <c r="I1340" t="s">
        <v>53</v>
      </c>
      <c r="J1340" t="str">
        <f>_xlfn.XLOOKUP(Table1[[#This Row],[Tractor Model]],Table7[Product Model],Table7[Product Category],"Not Available",0)</f>
        <v>Farmtrac</v>
      </c>
      <c r="K1340" s="4">
        <v>7</v>
      </c>
      <c r="L1340" s="72">
        <v>728428</v>
      </c>
      <c r="M1340" s="4">
        <f>INDEX('Master Sheet'!$C$4:$C$12,MATCH(Table1[[#This Row],[Quantity]],'Master Sheet'!$B$4:$B$12,0))</f>
        <v>9</v>
      </c>
      <c r="N1340" s="71">
        <f>Table1[[#This Row],[Quantity]]*Table1[[#This Row],[Unit Price]]</f>
        <v>5098996</v>
      </c>
      <c r="O1340" s="73">
        <v>0.50989960000000001</v>
      </c>
      <c r="P1340" s="70">
        <f>Table1[[#This Row],[Gross Amount]]*(1-(Table1[[#This Row],[Discount %]]/100))</f>
        <v>4640086.3600000003</v>
      </c>
      <c r="Q1340" s="74">
        <f>(Table1[[#This Row],[Gross Amount]]*(1-(Table1[[#This Row],[Discount %]]/100)))/10000000</f>
        <v>0.46400863600000003</v>
      </c>
      <c r="R1340" t="s">
        <v>42</v>
      </c>
      <c r="S1340" t="str" cm="1">
        <f t="array" ref="S1340">IFERROR(_xlfn.IFS(Table1[[#This Row],[Payment Status]]="Partial","In Transit",Table1[[#This Row],[Payment Status]]="Paid","Delivered",Table1[[#This Row],[Payment Status]]="Pending","Pending"),"Invalid Input")</f>
        <v>Pending</v>
      </c>
      <c r="T1340" t="s">
        <v>44</v>
      </c>
      <c r="U1340" t="str" cm="1">
        <f t="array" ref="U1340">IFERROR(_xlfn.IFS(Table1[[#This Row],[Payment Status]]="Partial","In Transit",Table1[[#This Row],[Payment Status]]="Paid","Completed",Table1[[#This Row],[Payment Status]]="Pending","Pending"),"Invalid Input")</f>
        <v>Pending</v>
      </c>
    </row>
    <row r="1341" spans="1:21" x14ac:dyDescent="0.25">
      <c r="A1341" s="4" t="s">
        <v>2335</v>
      </c>
      <c r="B1341" s="5">
        <v>45644</v>
      </c>
      <c r="C1341" t="s">
        <v>62</v>
      </c>
      <c r="D1341" t="s">
        <v>3269</v>
      </c>
      <c r="E1341" t="s">
        <v>38</v>
      </c>
      <c r="F1341" t="s">
        <v>3206</v>
      </c>
      <c r="G1341" t="s">
        <v>39</v>
      </c>
      <c r="H1341" t="str">
        <f>VLOOKUP(Table1[[#This Row],[City]],Table6[#All],2,FALSE)</f>
        <v>West</v>
      </c>
      <c r="I1341" t="s">
        <v>3203</v>
      </c>
      <c r="J1341" t="str">
        <f>_xlfn.XLOOKUP(Table1[[#This Row],[Tractor Model]],Table7[Product Model],Table7[Product Category],"Not Available",0)</f>
        <v>Kubota</v>
      </c>
      <c r="K1341" s="4">
        <v>8</v>
      </c>
      <c r="L1341" s="72">
        <v>767165</v>
      </c>
      <c r="M1341" s="4">
        <f>INDEX('Master Sheet'!$C$4:$C$12,MATCH(Table1[[#This Row],[Quantity]],'Master Sheet'!$B$4:$B$12,0))</f>
        <v>9</v>
      </c>
      <c r="N1341" s="71">
        <f>Table1[[#This Row],[Quantity]]*Table1[[#This Row],[Unit Price]]</f>
        <v>6137320</v>
      </c>
      <c r="O1341" s="73">
        <v>0.61373200000000006</v>
      </c>
      <c r="P1341" s="70">
        <f>Table1[[#This Row],[Gross Amount]]*(1-(Table1[[#This Row],[Discount %]]/100))</f>
        <v>5584961.2000000002</v>
      </c>
      <c r="Q1341" s="74">
        <f>(Table1[[#This Row],[Gross Amount]]*(1-(Table1[[#This Row],[Discount %]]/100)))/10000000</f>
        <v>0.55849612000000004</v>
      </c>
      <c r="R1341" t="s">
        <v>54</v>
      </c>
      <c r="S1341" t="str" cm="1">
        <f t="array" ref="S1341">IFERROR(_xlfn.IFS(Table1[[#This Row],[Payment Status]]="Partial","In Transit",Table1[[#This Row],[Payment Status]]="Paid","Delivered",Table1[[#This Row],[Payment Status]]="Pending","Pending"),"Invalid Input")</f>
        <v>Delivered</v>
      </c>
      <c r="T1341" t="s">
        <v>27</v>
      </c>
      <c r="U1341" t="str" cm="1">
        <f t="array" ref="U1341">IFERROR(_xlfn.IFS(Table1[[#This Row],[Payment Status]]="Partial","In Transit",Table1[[#This Row],[Payment Status]]="Paid","Completed",Table1[[#This Row],[Payment Status]]="Pending","Pending"),"Invalid Input")</f>
        <v>Completed</v>
      </c>
    </row>
    <row r="1342" spans="1:21" x14ac:dyDescent="0.25">
      <c r="A1342" s="4" t="s">
        <v>2336</v>
      </c>
      <c r="B1342" s="5">
        <v>45305</v>
      </c>
      <c r="C1342" t="s">
        <v>33</v>
      </c>
      <c r="D1342" t="s">
        <v>3270</v>
      </c>
      <c r="E1342" t="s">
        <v>66</v>
      </c>
      <c r="F1342" t="s">
        <v>3220</v>
      </c>
      <c r="G1342" t="s">
        <v>67</v>
      </c>
      <c r="H1342" t="str">
        <f>VLOOKUP(Table1[[#This Row],[City]],Table6[#All],2,FALSE)</f>
        <v>East</v>
      </c>
      <c r="I1342" t="s">
        <v>53</v>
      </c>
      <c r="J1342" t="str">
        <f>_xlfn.XLOOKUP(Table1[[#This Row],[Tractor Model]],Table7[Product Model],Table7[Product Category],"Not Available",0)</f>
        <v>Farmtrac</v>
      </c>
      <c r="K1342" s="4">
        <v>8</v>
      </c>
      <c r="L1342" s="72">
        <v>369452</v>
      </c>
      <c r="M1342" s="4">
        <f>INDEX('Master Sheet'!$C$4:$C$12,MATCH(Table1[[#This Row],[Quantity]],'Master Sheet'!$B$4:$B$12,0))</f>
        <v>9</v>
      </c>
      <c r="N1342" s="71">
        <f>Table1[[#This Row],[Quantity]]*Table1[[#This Row],[Unit Price]]</f>
        <v>2955616</v>
      </c>
      <c r="O1342" s="73">
        <v>0.29556159999999998</v>
      </c>
      <c r="P1342" s="70">
        <f>Table1[[#This Row],[Gross Amount]]*(1-(Table1[[#This Row],[Discount %]]/100))</f>
        <v>2689610.56</v>
      </c>
      <c r="Q1342" s="74">
        <f>(Table1[[#This Row],[Gross Amount]]*(1-(Table1[[#This Row],[Discount %]]/100)))/10000000</f>
        <v>0.26896105600000003</v>
      </c>
      <c r="R1342" t="s">
        <v>42</v>
      </c>
      <c r="S1342" t="str" cm="1">
        <f t="array" ref="S1342">IFERROR(_xlfn.IFS(Table1[[#This Row],[Payment Status]]="Partial","In Transit",Table1[[#This Row],[Payment Status]]="Paid","Delivered",Table1[[#This Row],[Payment Status]]="Pending","Pending"),"Invalid Input")</f>
        <v>Pending</v>
      </c>
      <c r="T1342" t="s">
        <v>27</v>
      </c>
      <c r="U1342" t="str" cm="1">
        <f t="array" ref="U1342">IFERROR(_xlfn.IFS(Table1[[#This Row],[Payment Status]]="Partial","In Transit",Table1[[#This Row],[Payment Status]]="Paid","Completed",Table1[[#This Row],[Payment Status]]="Pending","Pending"),"Invalid Input")</f>
        <v>Pending</v>
      </c>
    </row>
    <row r="1343" spans="1:21" x14ac:dyDescent="0.25">
      <c r="A1343" s="4" t="s">
        <v>2338</v>
      </c>
      <c r="B1343" s="5">
        <v>45670</v>
      </c>
      <c r="C1343" t="s">
        <v>73</v>
      </c>
      <c r="D1343" t="s">
        <v>3269</v>
      </c>
      <c r="E1343" t="s">
        <v>38</v>
      </c>
      <c r="F1343" t="s">
        <v>3206</v>
      </c>
      <c r="G1343" t="s">
        <v>39</v>
      </c>
      <c r="H1343" t="str">
        <f>VLOOKUP(Table1[[#This Row],[City]],Table6[#All],2,FALSE)</f>
        <v>West</v>
      </c>
      <c r="I1343" t="s">
        <v>3204</v>
      </c>
      <c r="J1343" t="str">
        <f>_xlfn.XLOOKUP(Table1[[#This Row],[Tractor Model]],Table7[Product Model],Table7[Product Category],"Not Available",0)</f>
        <v>Kubota</v>
      </c>
      <c r="K1343" s="4">
        <v>5</v>
      </c>
      <c r="L1343" s="72">
        <v>171437</v>
      </c>
      <c r="M1343" s="4">
        <f>INDEX('Master Sheet'!$C$4:$C$12,MATCH(Table1[[#This Row],[Quantity]],'Master Sheet'!$B$4:$B$12,0))</f>
        <v>7</v>
      </c>
      <c r="N1343" s="71">
        <f>Table1[[#This Row],[Quantity]]*Table1[[#This Row],[Unit Price]]</f>
        <v>857185</v>
      </c>
      <c r="O1343" s="73">
        <v>8.5718500000000003E-2</v>
      </c>
      <c r="P1343" s="70">
        <f>Table1[[#This Row],[Gross Amount]]*(1-(Table1[[#This Row],[Discount %]]/100))</f>
        <v>797182.04999999993</v>
      </c>
      <c r="Q1343" s="74">
        <f>(Table1[[#This Row],[Gross Amount]]*(1-(Table1[[#This Row],[Discount %]]/100)))/10000000</f>
        <v>7.9718204999999986E-2</v>
      </c>
      <c r="R1343" t="s">
        <v>54</v>
      </c>
      <c r="S1343" t="str" cm="1">
        <f t="array" ref="S1343">IFERROR(_xlfn.IFS(Table1[[#This Row],[Payment Status]]="Partial","In Transit",Table1[[#This Row],[Payment Status]]="Paid","Delivered",Table1[[#This Row],[Payment Status]]="Pending","Pending"),"Invalid Input")</f>
        <v>Delivered</v>
      </c>
      <c r="T1343" t="s">
        <v>44</v>
      </c>
      <c r="U1343" t="str" cm="1">
        <f t="array" ref="U1343">IFERROR(_xlfn.IFS(Table1[[#This Row],[Payment Status]]="Partial","In Transit",Table1[[#This Row],[Payment Status]]="Paid","Completed",Table1[[#This Row],[Payment Status]]="Pending","Pending"),"Invalid Input")</f>
        <v>Completed</v>
      </c>
    </row>
    <row r="1344" spans="1:21" x14ac:dyDescent="0.25">
      <c r="A1344" s="4" t="s">
        <v>2340</v>
      </c>
      <c r="B1344" s="5">
        <v>45451</v>
      </c>
      <c r="C1344" t="s">
        <v>52</v>
      </c>
      <c r="D1344" t="s">
        <v>3268</v>
      </c>
      <c r="E1344" t="s">
        <v>66</v>
      </c>
      <c r="F1344" t="s">
        <v>3211</v>
      </c>
      <c r="G1344" t="s">
        <v>67</v>
      </c>
      <c r="H1344" t="str">
        <f>VLOOKUP(Table1[[#This Row],[City]],Table6[#All],2,FALSE)</f>
        <v>East</v>
      </c>
      <c r="I1344" t="s">
        <v>58</v>
      </c>
      <c r="J1344" t="str">
        <f>_xlfn.XLOOKUP(Table1[[#This Row],[Tractor Model]],Table7[Product Model],Table7[Product Category],"Not Available",0)</f>
        <v>Powertrac</v>
      </c>
      <c r="K1344" s="4">
        <v>8</v>
      </c>
      <c r="L1344" s="72">
        <v>569022</v>
      </c>
      <c r="M1344" s="4">
        <f>INDEX('Master Sheet'!$C$4:$C$12,MATCH(Table1[[#This Row],[Quantity]],'Master Sheet'!$B$4:$B$12,0))</f>
        <v>9</v>
      </c>
      <c r="N1344" s="71">
        <f>Table1[[#This Row],[Quantity]]*Table1[[#This Row],[Unit Price]]</f>
        <v>4552176</v>
      </c>
      <c r="O1344" s="73">
        <v>0.4552176</v>
      </c>
      <c r="P1344" s="70">
        <f>Table1[[#This Row],[Gross Amount]]*(1-(Table1[[#This Row],[Discount %]]/100))</f>
        <v>4142480.16</v>
      </c>
      <c r="Q1344" s="74">
        <f>(Table1[[#This Row],[Gross Amount]]*(1-(Table1[[#This Row],[Discount %]]/100)))/10000000</f>
        <v>0.414248016</v>
      </c>
      <c r="R1344" t="s">
        <v>25</v>
      </c>
      <c r="S1344" t="str" cm="1">
        <f t="array" ref="S1344">IFERROR(_xlfn.IFS(Table1[[#This Row],[Payment Status]]="Partial","In Transit",Table1[[#This Row],[Payment Status]]="Paid","Delivered",Table1[[#This Row],[Payment Status]]="Pending","Pending"),"Invalid Input")</f>
        <v>In Transit</v>
      </c>
      <c r="T1344" t="s">
        <v>44</v>
      </c>
      <c r="U1344" t="str" cm="1">
        <f t="array" ref="U1344">IFERROR(_xlfn.IFS(Table1[[#This Row],[Payment Status]]="Partial","In Transit",Table1[[#This Row],[Payment Status]]="Paid","Completed",Table1[[#This Row],[Payment Status]]="Pending","Pending"),"Invalid Input")</f>
        <v>In Transit</v>
      </c>
    </row>
    <row r="1345" spans="1:21" x14ac:dyDescent="0.25">
      <c r="A1345" s="4" t="s">
        <v>2342</v>
      </c>
      <c r="B1345" s="5">
        <v>45547</v>
      </c>
      <c r="C1345" t="s">
        <v>73</v>
      </c>
      <c r="D1345" t="s">
        <v>3270</v>
      </c>
      <c r="E1345" t="s">
        <v>119</v>
      </c>
      <c r="F1345" t="s">
        <v>3212</v>
      </c>
      <c r="G1345" t="s">
        <v>21</v>
      </c>
      <c r="H1345" t="str">
        <f>VLOOKUP(Table1[[#This Row],[City]],Table6[#All],2,FALSE)</f>
        <v>North</v>
      </c>
      <c r="I1345" t="s">
        <v>53</v>
      </c>
      <c r="J1345" t="str">
        <f>_xlfn.XLOOKUP(Table1[[#This Row],[Tractor Model]],Table7[Product Model],Table7[Product Category],"Not Available",0)</f>
        <v>Farmtrac</v>
      </c>
      <c r="K1345" s="4">
        <v>2</v>
      </c>
      <c r="L1345" s="72">
        <v>484600</v>
      </c>
      <c r="M1345" s="4">
        <f>INDEX('Master Sheet'!$C$4:$C$12,MATCH(Table1[[#This Row],[Quantity]],'Master Sheet'!$B$4:$B$12,0))</f>
        <v>5</v>
      </c>
      <c r="N1345" s="71">
        <f>Table1[[#This Row],[Quantity]]*Table1[[#This Row],[Unit Price]]</f>
        <v>969200</v>
      </c>
      <c r="O1345" s="73">
        <v>9.6920000000000006E-2</v>
      </c>
      <c r="P1345" s="70">
        <f>Table1[[#This Row],[Gross Amount]]*(1-(Table1[[#This Row],[Discount %]]/100))</f>
        <v>920740</v>
      </c>
      <c r="Q1345" s="74">
        <f>(Table1[[#This Row],[Gross Amount]]*(1-(Table1[[#This Row],[Discount %]]/100)))/10000000</f>
        <v>9.2074000000000003E-2</v>
      </c>
      <c r="R1345" t="s">
        <v>42</v>
      </c>
      <c r="S1345" t="str" cm="1">
        <f t="array" ref="S1345">IFERROR(_xlfn.IFS(Table1[[#This Row],[Payment Status]]="Partial","In Transit",Table1[[#This Row],[Payment Status]]="Paid","Delivered",Table1[[#This Row],[Payment Status]]="Pending","Pending"),"Invalid Input")</f>
        <v>Pending</v>
      </c>
      <c r="T1345" t="s">
        <v>44</v>
      </c>
      <c r="U1345" t="str" cm="1">
        <f t="array" ref="U1345">IFERROR(_xlfn.IFS(Table1[[#This Row],[Payment Status]]="Partial","In Transit",Table1[[#This Row],[Payment Status]]="Paid","Completed",Table1[[#This Row],[Payment Status]]="Pending","Pending"),"Invalid Input")</f>
        <v>Pending</v>
      </c>
    </row>
    <row r="1346" spans="1:21" x14ac:dyDescent="0.25">
      <c r="A1346" s="4" t="s">
        <v>2344</v>
      </c>
      <c r="B1346" s="5">
        <v>45313</v>
      </c>
      <c r="C1346" t="s">
        <v>52</v>
      </c>
      <c r="D1346" t="s">
        <v>37</v>
      </c>
      <c r="E1346" t="s">
        <v>47</v>
      </c>
      <c r="F1346" t="s">
        <v>3215</v>
      </c>
      <c r="G1346" t="s">
        <v>48</v>
      </c>
      <c r="H1346" t="str">
        <f>VLOOKUP(Table1[[#This Row],[City]],Table6[#All],2,FALSE)</f>
        <v>North</v>
      </c>
      <c r="I1346" t="s">
        <v>53</v>
      </c>
      <c r="J1346" t="str">
        <f>_xlfn.XLOOKUP(Table1[[#This Row],[Tractor Model]],Table7[Product Model],Table7[Product Category],"Not Available",0)</f>
        <v>Farmtrac</v>
      </c>
      <c r="K1346" s="4">
        <v>3</v>
      </c>
      <c r="L1346" s="72">
        <v>458777</v>
      </c>
      <c r="M1346" s="4">
        <f>INDEX('Master Sheet'!$C$4:$C$12,MATCH(Table1[[#This Row],[Quantity]],'Master Sheet'!$B$4:$B$12,0))</f>
        <v>6</v>
      </c>
      <c r="N1346" s="71">
        <f>Table1[[#This Row],[Quantity]]*Table1[[#This Row],[Unit Price]]</f>
        <v>1376331</v>
      </c>
      <c r="O1346" s="73">
        <v>0.13763310000000001</v>
      </c>
      <c r="P1346" s="70">
        <f>Table1[[#This Row],[Gross Amount]]*(1-(Table1[[#This Row],[Discount %]]/100))</f>
        <v>1293751.1399999999</v>
      </c>
      <c r="Q1346" s="74">
        <f>(Table1[[#This Row],[Gross Amount]]*(1-(Table1[[#This Row],[Discount %]]/100)))/10000000</f>
        <v>0.12937511399999999</v>
      </c>
      <c r="R1346" t="s">
        <v>25</v>
      </c>
      <c r="S1346" t="str" cm="1">
        <f t="array" ref="S1346">IFERROR(_xlfn.IFS(Table1[[#This Row],[Payment Status]]="Partial","In Transit",Table1[[#This Row],[Payment Status]]="Paid","Delivered",Table1[[#This Row],[Payment Status]]="Pending","Pending"),"Invalid Input")</f>
        <v>In Transit</v>
      </c>
      <c r="T1346" t="s">
        <v>44</v>
      </c>
      <c r="U1346" t="str" cm="1">
        <f t="array" ref="U1346">IFERROR(_xlfn.IFS(Table1[[#This Row],[Payment Status]]="Partial","In Transit",Table1[[#This Row],[Payment Status]]="Paid","Completed",Table1[[#This Row],[Payment Status]]="Pending","Pending"),"Invalid Input")</f>
        <v>In Transit</v>
      </c>
    </row>
    <row r="1347" spans="1:21" x14ac:dyDescent="0.25">
      <c r="A1347" s="4" t="s">
        <v>2346</v>
      </c>
      <c r="B1347" s="5">
        <v>45797</v>
      </c>
      <c r="C1347" t="s">
        <v>52</v>
      </c>
      <c r="D1347" t="s">
        <v>3268</v>
      </c>
      <c r="E1347" t="s">
        <v>119</v>
      </c>
      <c r="F1347" t="s">
        <v>3227</v>
      </c>
      <c r="G1347" t="s">
        <v>21</v>
      </c>
      <c r="H1347" t="str">
        <f>VLOOKUP(Table1[[#This Row],[City]],Table6[#All],2,FALSE)</f>
        <v>North</v>
      </c>
      <c r="I1347" t="s">
        <v>3203</v>
      </c>
      <c r="J1347" t="str">
        <f>_xlfn.XLOOKUP(Table1[[#This Row],[Tractor Model]],Table7[Product Model],Table7[Product Category],"Not Available",0)</f>
        <v>Kubota</v>
      </c>
      <c r="K1347" s="4">
        <v>8</v>
      </c>
      <c r="L1347" s="72">
        <v>566434</v>
      </c>
      <c r="M1347" s="4">
        <f>INDEX('Master Sheet'!$C$4:$C$12,MATCH(Table1[[#This Row],[Quantity]],'Master Sheet'!$B$4:$B$12,0))</f>
        <v>9</v>
      </c>
      <c r="N1347" s="71">
        <f>Table1[[#This Row],[Quantity]]*Table1[[#This Row],[Unit Price]]</f>
        <v>4531472</v>
      </c>
      <c r="O1347" s="73">
        <v>0.45314719999999997</v>
      </c>
      <c r="P1347" s="70">
        <f>Table1[[#This Row],[Gross Amount]]*(1-(Table1[[#This Row],[Discount %]]/100))</f>
        <v>4123639.52</v>
      </c>
      <c r="Q1347" s="74">
        <f>(Table1[[#This Row],[Gross Amount]]*(1-(Table1[[#This Row],[Discount %]]/100)))/10000000</f>
        <v>0.41236395199999998</v>
      </c>
      <c r="R1347" t="s">
        <v>42</v>
      </c>
      <c r="S1347" t="str" cm="1">
        <f t="array" ref="S1347">IFERROR(_xlfn.IFS(Table1[[#This Row],[Payment Status]]="Partial","In Transit",Table1[[#This Row],[Payment Status]]="Paid","Delivered",Table1[[#This Row],[Payment Status]]="Pending","Pending"),"Invalid Input")</f>
        <v>Pending</v>
      </c>
      <c r="T1347" t="s">
        <v>27</v>
      </c>
      <c r="U1347" t="str" cm="1">
        <f t="array" ref="U1347">IFERROR(_xlfn.IFS(Table1[[#This Row],[Payment Status]]="Partial","In Transit",Table1[[#This Row],[Payment Status]]="Paid","Completed",Table1[[#This Row],[Payment Status]]="Pending","Pending"),"Invalid Input")</f>
        <v>Pending</v>
      </c>
    </row>
    <row r="1348" spans="1:21" x14ac:dyDescent="0.25">
      <c r="A1348" s="4" t="s">
        <v>2348</v>
      </c>
      <c r="B1348" s="5">
        <v>45656</v>
      </c>
      <c r="C1348" t="s">
        <v>73</v>
      </c>
      <c r="D1348" t="s">
        <v>3270</v>
      </c>
      <c r="E1348" t="s">
        <v>47</v>
      </c>
      <c r="F1348" t="s">
        <v>3205</v>
      </c>
      <c r="G1348" t="s">
        <v>48</v>
      </c>
      <c r="H1348" t="str">
        <f>VLOOKUP(Table1[[#This Row],[City]],Table6[#All],2,FALSE)</f>
        <v>North</v>
      </c>
      <c r="I1348" t="s">
        <v>58</v>
      </c>
      <c r="J1348" t="str">
        <f>_xlfn.XLOOKUP(Table1[[#This Row],[Tractor Model]],Table7[Product Model],Table7[Product Category],"Not Available",0)</f>
        <v>Powertrac</v>
      </c>
      <c r="K1348" s="4">
        <v>5</v>
      </c>
      <c r="L1348" s="72">
        <v>432790</v>
      </c>
      <c r="M1348" s="4">
        <f>INDEX('Master Sheet'!$C$4:$C$12,MATCH(Table1[[#This Row],[Quantity]],'Master Sheet'!$B$4:$B$12,0))</f>
        <v>7</v>
      </c>
      <c r="N1348" s="71">
        <f>Table1[[#This Row],[Quantity]]*Table1[[#This Row],[Unit Price]]</f>
        <v>2163950</v>
      </c>
      <c r="O1348" s="73">
        <v>0.216395</v>
      </c>
      <c r="P1348" s="70">
        <f>Table1[[#This Row],[Gross Amount]]*(1-(Table1[[#This Row],[Discount %]]/100))</f>
        <v>2012473.4999999998</v>
      </c>
      <c r="Q1348" s="74">
        <f>(Table1[[#This Row],[Gross Amount]]*(1-(Table1[[#This Row],[Discount %]]/100)))/10000000</f>
        <v>0.20124734999999996</v>
      </c>
      <c r="R1348" t="s">
        <v>25</v>
      </c>
      <c r="S1348" t="str" cm="1">
        <f t="array" ref="S1348">IFERROR(_xlfn.IFS(Table1[[#This Row],[Payment Status]]="Partial","In Transit",Table1[[#This Row],[Payment Status]]="Paid","Delivered",Table1[[#This Row],[Payment Status]]="Pending","Pending"),"Invalid Input")</f>
        <v>In Transit</v>
      </c>
      <c r="T1348" t="s">
        <v>44</v>
      </c>
      <c r="U1348" t="str" cm="1">
        <f t="array" ref="U1348">IFERROR(_xlfn.IFS(Table1[[#This Row],[Payment Status]]="Partial","In Transit",Table1[[#This Row],[Payment Status]]="Paid","Completed",Table1[[#This Row],[Payment Status]]="Pending","Pending"),"Invalid Input")</f>
        <v>In Transit</v>
      </c>
    </row>
    <row r="1349" spans="1:21" x14ac:dyDescent="0.25">
      <c r="A1349" s="4" t="s">
        <v>2350</v>
      </c>
      <c r="B1349" s="5">
        <v>45992</v>
      </c>
      <c r="C1349" t="s">
        <v>62</v>
      </c>
      <c r="D1349" t="s">
        <v>37</v>
      </c>
      <c r="E1349" t="s">
        <v>66</v>
      </c>
      <c r="F1349" t="s">
        <v>3226</v>
      </c>
      <c r="G1349" t="s">
        <v>67</v>
      </c>
      <c r="H1349" t="str">
        <f>VLOOKUP(Table1[[#This Row],[City]],Table6[#All],2,FALSE)</f>
        <v>East</v>
      </c>
      <c r="I1349" t="s">
        <v>3203</v>
      </c>
      <c r="J1349" t="str">
        <f>_xlfn.XLOOKUP(Table1[[#This Row],[Tractor Model]],Table7[Product Model],Table7[Product Category],"Not Available",0)</f>
        <v>Kubota</v>
      </c>
      <c r="K1349" s="4">
        <v>3</v>
      </c>
      <c r="L1349" s="72">
        <v>530608</v>
      </c>
      <c r="M1349" s="4">
        <f>INDEX('Master Sheet'!$C$4:$C$12,MATCH(Table1[[#This Row],[Quantity]],'Master Sheet'!$B$4:$B$12,0))</f>
        <v>6</v>
      </c>
      <c r="N1349" s="71">
        <f>Table1[[#This Row],[Quantity]]*Table1[[#This Row],[Unit Price]]</f>
        <v>1591824</v>
      </c>
      <c r="O1349" s="73">
        <v>0.1591824</v>
      </c>
      <c r="P1349" s="70">
        <f>Table1[[#This Row],[Gross Amount]]*(1-(Table1[[#This Row],[Discount %]]/100))</f>
        <v>1496314.5599999998</v>
      </c>
      <c r="Q1349" s="74">
        <f>(Table1[[#This Row],[Gross Amount]]*(1-(Table1[[#This Row],[Discount %]]/100)))/10000000</f>
        <v>0.149631456</v>
      </c>
      <c r="R1349" t="s">
        <v>42</v>
      </c>
      <c r="S1349" t="str" cm="1">
        <f t="array" ref="S1349">IFERROR(_xlfn.IFS(Table1[[#This Row],[Payment Status]]="Partial","In Transit",Table1[[#This Row],[Payment Status]]="Paid","Delivered",Table1[[#This Row],[Payment Status]]="Pending","Pending"),"Invalid Input")</f>
        <v>Pending</v>
      </c>
      <c r="T1349" t="s">
        <v>27</v>
      </c>
      <c r="U1349" t="str" cm="1">
        <f t="array" ref="U1349">IFERROR(_xlfn.IFS(Table1[[#This Row],[Payment Status]]="Partial","In Transit",Table1[[#This Row],[Payment Status]]="Paid","Completed",Table1[[#This Row],[Payment Status]]="Pending","Pending"),"Invalid Input")</f>
        <v>Pending</v>
      </c>
    </row>
    <row r="1350" spans="1:21" x14ac:dyDescent="0.25">
      <c r="A1350" s="4" t="s">
        <v>2352</v>
      </c>
      <c r="B1350" s="5">
        <v>45778</v>
      </c>
      <c r="C1350" t="s">
        <v>33</v>
      </c>
      <c r="D1350" t="s">
        <v>37</v>
      </c>
      <c r="E1350" t="s">
        <v>47</v>
      </c>
      <c r="F1350" t="s">
        <v>3215</v>
      </c>
      <c r="G1350" t="s">
        <v>48</v>
      </c>
      <c r="H1350" t="str">
        <f>VLOOKUP(Table1[[#This Row],[City]],Table6[#All],2,FALSE)</f>
        <v>North</v>
      </c>
      <c r="I1350" t="s">
        <v>58</v>
      </c>
      <c r="J1350" t="str">
        <f>_xlfn.XLOOKUP(Table1[[#This Row],[Tractor Model]],Table7[Product Model],Table7[Product Category],"Not Available",0)</f>
        <v>Powertrac</v>
      </c>
      <c r="K1350" s="4">
        <v>3</v>
      </c>
      <c r="L1350" s="72">
        <v>654966</v>
      </c>
      <c r="M1350" s="4">
        <f>INDEX('Master Sheet'!$C$4:$C$12,MATCH(Table1[[#This Row],[Quantity]],'Master Sheet'!$B$4:$B$12,0))</f>
        <v>6</v>
      </c>
      <c r="N1350" s="71">
        <f>Table1[[#This Row],[Quantity]]*Table1[[#This Row],[Unit Price]]</f>
        <v>1964898</v>
      </c>
      <c r="O1350" s="73">
        <v>0.19648979999999999</v>
      </c>
      <c r="P1350" s="70">
        <f>Table1[[#This Row],[Gross Amount]]*(1-(Table1[[#This Row],[Discount %]]/100))</f>
        <v>1847004.1199999999</v>
      </c>
      <c r="Q1350" s="74">
        <f>(Table1[[#This Row],[Gross Amount]]*(1-(Table1[[#This Row],[Discount %]]/100)))/10000000</f>
        <v>0.18470041199999998</v>
      </c>
      <c r="R1350" t="s">
        <v>54</v>
      </c>
      <c r="S1350" t="str" cm="1">
        <f t="array" ref="S1350">IFERROR(_xlfn.IFS(Table1[[#This Row],[Payment Status]]="Partial","In Transit",Table1[[#This Row],[Payment Status]]="Paid","Delivered",Table1[[#This Row],[Payment Status]]="Pending","Pending"),"Invalid Input")</f>
        <v>Delivered</v>
      </c>
      <c r="T1350" t="s">
        <v>27</v>
      </c>
      <c r="U1350" t="str" cm="1">
        <f t="array" ref="U1350">IFERROR(_xlfn.IFS(Table1[[#This Row],[Payment Status]]="Partial","In Transit",Table1[[#This Row],[Payment Status]]="Paid","Completed",Table1[[#This Row],[Payment Status]]="Pending","Pending"),"Invalid Input")</f>
        <v>Completed</v>
      </c>
    </row>
    <row r="1351" spans="1:21" x14ac:dyDescent="0.25">
      <c r="A1351" s="4" t="s">
        <v>2354</v>
      </c>
      <c r="B1351" s="5">
        <v>45637</v>
      </c>
      <c r="C1351" t="s">
        <v>41</v>
      </c>
      <c r="D1351" t="s">
        <v>3270</v>
      </c>
      <c r="E1351" t="s">
        <v>38</v>
      </c>
      <c r="F1351" t="s">
        <v>3218</v>
      </c>
      <c r="G1351" t="s">
        <v>39</v>
      </c>
      <c r="H1351" t="str">
        <f>VLOOKUP(Table1[[#This Row],[City]],Table6[#All],2,FALSE)</f>
        <v>West</v>
      </c>
      <c r="I1351" t="s">
        <v>58</v>
      </c>
      <c r="J1351" t="str">
        <f>_xlfn.XLOOKUP(Table1[[#This Row],[Tractor Model]],Table7[Product Model],Table7[Product Category],"Not Available",0)</f>
        <v>Powertrac</v>
      </c>
      <c r="K1351" s="4">
        <v>7</v>
      </c>
      <c r="L1351" s="72">
        <v>871041</v>
      </c>
      <c r="M1351" s="4">
        <f>INDEX('Master Sheet'!$C$4:$C$12,MATCH(Table1[[#This Row],[Quantity]],'Master Sheet'!$B$4:$B$12,0))</f>
        <v>9</v>
      </c>
      <c r="N1351" s="71">
        <f>Table1[[#This Row],[Quantity]]*Table1[[#This Row],[Unit Price]]</f>
        <v>6097287</v>
      </c>
      <c r="O1351" s="73">
        <v>0.60972870000000001</v>
      </c>
      <c r="P1351" s="70">
        <f>Table1[[#This Row],[Gross Amount]]*(1-(Table1[[#This Row],[Discount %]]/100))</f>
        <v>5548531.1699999999</v>
      </c>
      <c r="Q1351" s="74">
        <f>(Table1[[#This Row],[Gross Amount]]*(1-(Table1[[#This Row],[Discount %]]/100)))/10000000</f>
        <v>0.55485311699999995</v>
      </c>
      <c r="R1351" t="s">
        <v>54</v>
      </c>
      <c r="S1351" t="str" cm="1">
        <f t="array" ref="S1351">IFERROR(_xlfn.IFS(Table1[[#This Row],[Payment Status]]="Partial","In Transit",Table1[[#This Row],[Payment Status]]="Paid","Delivered",Table1[[#This Row],[Payment Status]]="Pending","Pending"),"Invalid Input")</f>
        <v>Delivered</v>
      </c>
      <c r="T1351" t="s">
        <v>27</v>
      </c>
      <c r="U1351" t="str" cm="1">
        <f t="array" ref="U1351">IFERROR(_xlfn.IFS(Table1[[#This Row],[Payment Status]]="Partial","In Transit",Table1[[#This Row],[Payment Status]]="Paid","Completed",Table1[[#This Row],[Payment Status]]="Pending","Pending"),"Invalid Input")</f>
        <v>Completed</v>
      </c>
    </row>
    <row r="1352" spans="1:21" x14ac:dyDescent="0.25">
      <c r="A1352" s="4" t="s">
        <v>2355</v>
      </c>
      <c r="B1352" s="5">
        <v>45437</v>
      </c>
      <c r="C1352" t="s">
        <v>41</v>
      </c>
      <c r="D1352" t="s">
        <v>3269</v>
      </c>
      <c r="E1352" t="s">
        <v>30</v>
      </c>
      <c r="F1352" t="s">
        <v>3225</v>
      </c>
      <c r="G1352" t="s">
        <v>31</v>
      </c>
      <c r="H1352" t="str">
        <f>VLOOKUP(Table1[[#This Row],[City]],Table6[#All],2,FALSE)</f>
        <v>South</v>
      </c>
      <c r="I1352" t="s">
        <v>58</v>
      </c>
      <c r="J1352" t="str">
        <f>_xlfn.XLOOKUP(Table1[[#This Row],[Tractor Model]],Table7[Product Model],Table7[Product Category],"Not Available",0)</f>
        <v>Powertrac</v>
      </c>
      <c r="K1352" s="4">
        <v>1</v>
      </c>
      <c r="L1352" s="72">
        <v>551288</v>
      </c>
      <c r="M1352" s="4">
        <f>INDEX('Master Sheet'!$C$4:$C$12,MATCH(Table1[[#This Row],[Quantity]],'Master Sheet'!$B$4:$B$12,0))</f>
        <v>3</v>
      </c>
      <c r="N1352" s="71">
        <f>Table1[[#This Row],[Quantity]]*Table1[[#This Row],[Unit Price]]</f>
        <v>551288</v>
      </c>
      <c r="O1352" s="73">
        <v>5.5128799999999999E-2</v>
      </c>
      <c r="P1352" s="70">
        <f>Table1[[#This Row],[Gross Amount]]*(1-(Table1[[#This Row],[Discount %]]/100))</f>
        <v>534749.36</v>
      </c>
      <c r="Q1352" s="74">
        <f>(Table1[[#This Row],[Gross Amount]]*(1-(Table1[[#This Row],[Discount %]]/100)))/10000000</f>
        <v>5.3474936000000001E-2</v>
      </c>
      <c r="R1352" t="s">
        <v>42</v>
      </c>
      <c r="S1352" t="str" cm="1">
        <f t="array" ref="S1352">IFERROR(_xlfn.IFS(Table1[[#This Row],[Payment Status]]="Partial","In Transit",Table1[[#This Row],[Payment Status]]="Paid","Delivered",Table1[[#This Row],[Payment Status]]="Pending","Pending"),"Invalid Input")</f>
        <v>Pending</v>
      </c>
      <c r="T1352" t="s">
        <v>27</v>
      </c>
      <c r="U1352" t="str" cm="1">
        <f t="array" ref="U1352">IFERROR(_xlfn.IFS(Table1[[#This Row],[Payment Status]]="Partial","In Transit",Table1[[#This Row],[Payment Status]]="Paid","Completed",Table1[[#This Row],[Payment Status]]="Pending","Pending"),"Invalid Input")</f>
        <v>Pending</v>
      </c>
    </row>
    <row r="1353" spans="1:21" x14ac:dyDescent="0.25">
      <c r="A1353" s="4" t="s">
        <v>2357</v>
      </c>
      <c r="B1353" s="5">
        <v>45541</v>
      </c>
      <c r="C1353" t="s">
        <v>52</v>
      </c>
      <c r="D1353" t="s">
        <v>37</v>
      </c>
      <c r="E1353" t="s">
        <v>47</v>
      </c>
      <c r="F1353" t="s">
        <v>3215</v>
      </c>
      <c r="G1353" t="s">
        <v>48</v>
      </c>
      <c r="H1353" t="str">
        <f>VLOOKUP(Table1[[#This Row],[City]],Table6[#All],2,FALSE)</f>
        <v>North</v>
      </c>
      <c r="I1353" t="s">
        <v>24</v>
      </c>
      <c r="J1353" t="str">
        <f>_xlfn.XLOOKUP(Table1[[#This Row],[Tractor Model]],Table7[Product Model],Table7[Product Category],"Not Available",0)</f>
        <v>Farmtrac</v>
      </c>
      <c r="K1353" s="4">
        <v>1</v>
      </c>
      <c r="L1353" s="72">
        <v>384105</v>
      </c>
      <c r="M1353" s="4">
        <f>INDEX('Master Sheet'!$C$4:$C$12,MATCH(Table1[[#This Row],[Quantity]],'Master Sheet'!$B$4:$B$12,0))</f>
        <v>3</v>
      </c>
      <c r="N1353" s="71">
        <f>Table1[[#This Row],[Quantity]]*Table1[[#This Row],[Unit Price]]</f>
        <v>384105</v>
      </c>
      <c r="O1353" s="73">
        <v>3.84105E-2</v>
      </c>
      <c r="P1353" s="70">
        <f>Table1[[#This Row],[Gross Amount]]*(1-(Table1[[#This Row],[Discount %]]/100))</f>
        <v>372581.85</v>
      </c>
      <c r="Q1353" s="74">
        <f>(Table1[[#This Row],[Gross Amount]]*(1-(Table1[[#This Row],[Discount %]]/100)))/10000000</f>
        <v>3.7258184999999999E-2</v>
      </c>
      <c r="R1353" t="s">
        <v>54</v>
      </c>
      <c r="S1353" t="str" cm="1">
        <f t="array" ref="S1353">IFERROR(_xlfn.IFS(Table1[[#This Row],[Payment Status]]="Partial","In Transit",Table1[[#This Row],[Payment Status]]="Paid","Delivered",Table1[[#This Row],[Payment Status]]="Pending","Pending"),"Invalid Input")</f>
        <v>Delivered</v>
      </c>
      <c r="T1353" t="s">
        <v>44</v>
      </c>
      <c r="U1353" t="str" cm="1">
        <f t="array" ref="U1353">IFERROR(_xlfn.IFS(Table1[[#This Row],[Payment Status]]="Partial","In Transit",Table1[[#This Row],[Payment Status]]="Paid","Completed",Table1[[#This Row],[Payment Status]]="Pending","Pending"),"Invalid Input")</f>
        <v>Completed</v>
      </c>
    </row>
    <row r="1354" spans="1:21" x14ac:dyDescent="0.25">
      <c r="A1354" s="4" t="s">
        <v>2358</v>
      </c>
      <c r="B1354" s="5">
        <v>45621</v>
      </c>
      <c r="C1354" t="s">
        <v>41</v>
      </c>
      <c r="D1354" t="s">
        <v>37</v>
      </c>
      <c r="E1354" t="s">
        <v>47</v>
      </c>
      <c r="F1354" t="s">
        <v>3215</v>
      </c>
      <c r="G1354" t="s">
        <v>48</v>
      </c>
      <c r="H1354" t="str">
        <f>VLOOKUP(Table1[[#This Row],[City]],Table6[#All],2,FALSE)</f>
        <v>North</v>
      </c>
      <c r="I1354" t="s">
        <v>3203</v>
      </c>
      <c r="J1354" t="str">
        <f>_xlfn.XLOOKUP(Table1[[#This Row],[Tractor Model]],Table7[Product Model],Table7[Product Category],"Not Available",0)</f>
        <v>Kubota</v>
      </c>
      <c r="K1354" s="4">
        <v>0</v>
      </c>
      <c r="L1354" s="72">
        <v>845795</v>
      </c>
      <c r="M1354" s="4">
        <f>INDEX('Master Sheet'!$C$4:$C$12,MATCH(Table1[[#This Row],[Quantity]],'Master Sheet'!$B$4:$B$12,0))</f>
        <v>0</v>
      </c>
      <c r="N1354" s="71">
        <f>Table1[[#This Row],[Quantity]]*Table1[[#This Row],[Unit Price]]</f>
        <v>0</v>
      </c>
      <c r="O1354" s="73">
        <v>0</v>
      </c>
      <c r="P1354" s="70">
        <f>Table1[[#This Row],[Gross Amount]]*(1-(Table1[[#This Row],[Discount %]]/100))</f>
        <v>0</v>
      </c>
      <c r="Q1354" s="74">
        <f>(Table1[[#This Row],[Gross Amount]]*(1-(Table1[[#This Row],[Discount %]]/100)))/10000000</f>
        <v>0</v>
      </c>
      <c r="R1354" t="s">
        <v>42</v>
      </c>
      <c r="S1354" t="str" cm="1">
        <f t="array" ref="S1354">IFERROR(_xlfn.IFS(Table1[[#This Row],[Payment Status]]="Partial","In Transit",Table1[[#This Row],[Payment Status]]="Paid","Delivered",Table1[[#This Row],[Payment Status]]="Pending","Pending"),"Invalid Input")</f>
        <v>Pending</v>
      </c>
      <c r="T1354" t="s">
        <v>27</v>
      </c>
      <c r="U1354" t="str" cm="1">
        <f t="array" ref="U1354">IFERROR(_xlfn.IFS(Table1[[#This Row],[Payment Status]]="Partial","In Transit",Table1[[#This Row],[Payment Status]]="Paid","Completed",Table1[[#This Row],[Payment Status]]="Pending","Pending"),"Invalid Input")</f>
        <v>Pending</v>
      </c>
    </row>
    <row r="1355" spans="1:21" x14ac:dyDescent="0.25">
      <c r="A1355" s="4" t="s">
        <v>2359</v>
      </c>
      <c r="B1355" s="5">
        <v>45373</v>
      </c>
      <c r="C1355" t="s">
        <v>33</v>
      </c>
      <c r="D1355" t="s">
        <v>3269</v>
      </c>
      <c r="E1355" t="s">
        <v>30</v>
      </c>
      <c r="F1355" t="s">
        <v>3225</v>
      </c>
      <c r="G1355" t="s">
        <v>31</v>
      </c>
      <c r="H1355" t="str">
        <f>VLOOKUP(Table1[[#This Row],[City]],Table6[#All],2,FALSE)</f>
        <v>South</v>
      </c>
      <c r="I1355" t="s">
        <v>58</v>
      </c>
      <c r="J1355" t="str">
        <f>_xlfn.XLOOKUP(Table1[[#This Row],[Tractor Model]],Table7[Product Model],Table7[Product Category],"Not Available",0)</f>
        <v>Powertrac</v>
      </c>
      <c r="K1355" s="4">
        <v>6</v>
      </c>
      <c r="L1355" s="72">
        <v>489473</v>
      </c>
      <c r="M1355" s="4">
        <f>INDEX('Master Sheet'!$C$4:$C$12,MATCH(Table1[[#This Row],[Quantity]],'Master Sheet'!$B$4:$B$12,0))</f>
        <v>8</v>
      </c>
      <c r="N1355" s="71">
        <f>Table1[[#This Row],[Quantity]]*Table1[[#This Row],[Unit Price]]</f>
        <v>2936838</v>
      </c>
      <c r="O1355" s="73">
        <v>0.29368379999999999</v>
      </c>
      <c r="P1355" s="70">
        <f>Table1[[#This Row],[Gross Amount]]*(1-(Table1[[#This Row],[Discount %]]/100))</f>
        <v>2701890.96</v>
      </c>
      <c r="Q1355" s="74">
        <f>(Table1[[#This Row],[Gross Amount]]*(1-(Table1[[#This Row],[Discount %]]/100)))/10000000</f>
        <v>0.27018909600000002</v>
      </c>
      <c r="R1355" t="s">
        <v>54</v>
      </c>
      <c r="S1355" t="str" cm="1">
        <f t="array" ref="S1355">IFERROR(_xlfn.IFS(Table1[[#This Row],[Payment Status]]="Partial","In Transit",Table1[[#This Row],[Payment Status]]="Paid","Delivered",Table1[[#This Row],[Payment Status]]="Pending","Pending"),"Invalid Input")</f>
        <v>Delivered</v>
      </c>
      <c r="T1355" t="s">
        <v>27</v>
      </c>
      <c r="U1355" t="str" cm="1">
        <f t="array" ref="U1355">IFERROR(_xlfn.IFS(Table1[[#This Row],[Payment Status]]="Partial","In Transit",Table1[[#This Row],[Payment Status]]="Paid","Completed",Table1[[#This Row],[Payment Status]]="Pending","Pending"),"Invalid Input")</f>
        <v>Completed</v>
      </c>
    </row>
    <row r="1356" spans="1:21" x14ac:dyDescent="0.25">
      <c r="A1356" s="4" t="s">
        <v>2361</v>
      </c>
      <c r="B1356" s="5">
        <v>45716</v>
      </c>
      <c r="C1356" t="s">
        <v>41</v>
      </c>
      <c r="D1356" t="s">
        <v>3269</v>
      </c>
      <c r="E1356" t="s">
        <v>47</v>
      </c>
      <c r="F1356" t="s">
        <v>3209</v>
      </c>
      <c r="G1356" t="s">
        <v>48</v>
      </c>
      <c r="H1356" t="str">
        <f>VLOOKUP(Table1[[#This Row],[City]],Table6[#All],2,FALSE)</f>
        <v>North</v>
      </c>
      <c r="I1356" t="s">
        <v>53</v>
      </c>
      <c r="J1356" t="str">
        <f>_xlfn.XLOOKUP(Table1[[#This Row],[Tractor Model]],Table7[Product Model],Table7[Product Category],"Not Available",0)</f>
        <v>Farmtrac</v>
      </c>
      <c r="K1356" s="4">
        <v>6</v>
      </c>
      <c r="L1356" s="72">
        <v>391319</v>
      </c>
      <c r="M1356" s="4">
        <f>INDEX('Master Sheet'!$C$4:$C$12,MATCH(Table1[[#This Row],[Quantity]],'Master Sheet'!$B$4:$B$12,0))</f>
        <v>8</v>
      </c>
      <c r="N1356" s="71">
        <f>Table1[[#This Row],[Quantity]]*Table1[[#This Row],[Unit Price]]</f>
        <v>2347914</v>
      </c>
      <c r="O1356" s="73">
        <v>0.23479140000000001</v>
      </c>
      <c r="P1356" s="70">
        <f>Table1[[#This Row],[Gross Amount]]*(1-(Table1[[#This Row],[Discount %]]/100))</f>
        <v>2160080.88</v>
      </c>
      <c r="Q1356" s="74">
        <f>(Table1[[#This Row],[Gross Amount]]*(1-(Table1[[#This Row],[Discount %]]/100)))/10000000</f>
        <v>0.21600808799999999</v>
      </c>
      <c r="R1356" t="s">
        <v>54</v>
      </c>
      <c r="S1356" t="str" cm="1">
        <f t="array" ref="S1356">IFERROR(_xlfn.IFS(Table1[[#This Row],[Payment Status]]="Partial","In Transit",Table1[[#This Row],[Payment Status]]="Paid","Delivered",Table1[[#This Row],[Payment Status]]="Pending","Pending"),"Invalid Input")</f>
        <v>Delivered</v>
      </c>
      <c r="T1356" t="s">
        <v>44</v>
      </c>
      <c r="U1356" t="str" cm="1">
        <f t="array" ref="U1356">IFERROR(_xlfn.IFS(Table1[[#This Row],[Payment Status]]="Partial","In Transit",Table1[[#This Row],[Payment Status]]="Paid","Completed",Table1[[#This Row],[Payment Status]]="Pending","Pending"),"Invalid Input")</f>
        <v>Completed</v>
      </c>
    </row>
    <row r="1357" spans="1:21" x14ac:dyDescent="0.25">
      <c r="A1357" s="4" t="s">
        <v>2362</v>
      </c>
      <c r="B1357" s="5">
        <v>45784</v>
      </c>
      <c r="C1357" t="s">
        <v>33</v>
      </c>
      <c r="D1357" t="s">
        <v>37</v>
      </c>
      <c r="E1357" t="s">
        <v>119</v>
      </c>
      <c r="F1357" t="s">
        <v>3224</v>
      </c>
      <c r="G1357" t="s">
        <v>21</v>
      </c>
      <c r="H1357" t="str">
        <f>VLOOKUP(Table1[[#This Row],[City]],Table6[#All],2,FALSE)</f>
        <v>North</v>
      </c>
      <c r="I1357" t="s">
        <v>3203</v>
      </c>
      <c r="J1357" t="str">
        <f>_xlfn.XLOOKUP(Table1[[#This Row],[Tractor Model]],Table7[Product Model],Table7[Product Category],"Not Available",0)</f>
        <v>Kubota</v>
      </c>
      <c r="K1357" s="4">
        <v>4</v>
      </c>
      <c r="L1357" s="72">
        <v>384965</v>
      </c>
      <c r="M1357" s="4">
        <f>INDEX('Master Sheet'!$C$4:$C$12,MATCH(Table1[[#This Row],[Quantity]],'Master Sheet'!$B$4:$B$12,0))</f>
        <v>6</v>
      </c>
      <c r="N1357" s="71">
        <f>Table1[[#This Row],[Quantity]]*Table1[[#This Row],[Unit Price]]</f>
        <v>1539860</v>
      </c>
      <c r="O1357" s="73">
        <v>0.15398600000000001</v>
      </c>
      <c r="P1357" s="70">
        <f>Table1[[#This Row],[Gross Amount]]*(1-(Table1[[#This Row],[Discount %]]/100))</f>
        <v>1447468.4</v>
      </c>
      <c r="Q1357" s="74">
        <f>(Table1[[#This Row],[Gross Amount]]*(1-(Table1[[#This Row],[Discount %]]/100)))/10000000</f>
        <v>0.14474683999999999</v>
      </c>
      <c r="R1357" t="s">
        <v>54</v>
      </c>
      <c r="S1357" t="str" cm="1">
        <f t="array" ref="S1357">IFERROR(_xlfn.IFS(Table1[[#This Row],[Payment Status]]="Partial","In Transit",Table1[[#This Row],[Payment Status]]="Paid","Delivered",Table1[[#This Row],[Payment Status]]="Pending","Pending"),"Invalid Input")</f>
        <v>Delivered</v>
      </c>
      <c r="T1357" t="s">
        <v>27</v>
      </c>
      <c r="U1357" t="str" cm="1">
        <f t="array" ref="U1357">IFERROR(_xlfn.IFS(Table1[[#This Row],[Payment Status]]="Partial","In Transit",Table1[[#This Row],[Payment Status]]="Paid","Completed",Table1[[#This Row],[Payment Status]]="Pending","Pending"),"Invalid Input")</f>
        <v>Completed</v>
      </c>
    </row>
    <row r="1358" spans="1:21" x14ac:dyDescent="0.25">
      <c r="A1358" s="4" t="s">
        <v>2364</v>
      </c>
      <c r="B1358" s="5">
        <v>45487</v>
      </c>
      <c r="C1358" t="s">
        <v>41</v>
      </c>
      <c r="D1358" t="s">
        <v>3271</v>
      </c>
      <c r="E1358" t="s">
        <v>38</v>
      </c>
      <c r="F1358" t="s">
        <v>3210</v>
      </c>
      <c r="G1358" t="s">
        <v>39</v>
      </c>
      <c r="H1358" t="str">
        <f>VLOOKUP(Table1[[#This Row],[City]],Table6[#All],2,FALSE)</f>
        <v>West</v>
      </c>
      <c r="I1358" t="s">
        <v>53</v>
      </c>
      <c r="J1358" t="str">
        <f>_xlfn.XLOOKUP(Table1[[#This Row],[Tractor Model]],Table7[Product Model],Table7[Product Category],"Not Available",0)</f>
        <v>Farmtrac</v>
      </c>
      <c r="K1358" s="4">
        <v>4</v>
      </c>
      <c r="L1358" s="72">
        <v>211806</v>
      </c>
      <c r="M1358" s="4">
        <f>INDEX('Master Sheet'!$C$4:$C$12,MATCH(Table1[[#This Row],[Quantity]],'Master Sheet'!$B$4:$B$12,0))</f>
        <v>6</v>
      </c>
      <c r="N1358" s="71">
        <f>Table1[[#This Row],[Quantity]]*Table1[[#This Row],[Unit Price]]</f>
        <v>847224</v>
      </c>
      <c r="O1358" s="73">
        <v>8.4722400000000003E-2</v>
      </c>
      <c r="P1358" s="70">
        <f>Table1[[#This Row],[Gross Amount]]*(1-(Table1[[#This Row],[Discount %]]/100))</f>
        <v>796390.55999999994</v>
      </c>
      <c r="Q1358" s="74">
        <f>(Table1[[#This Row],[Gross Amount]]*(1-(Table1[[#This Row],[Discount %]]/100)))/10000000</f>
        <v>7.9639056E-2</v>
      </c>
      <c r="R1358" t="s">
        <v>54</v>
      </c>
      <c r="S1358" t="str" cm="1">
        <f t="array" ref="S1358">IFERROR(_xlfn.IFS(Table1[[#This Row],[Payment Status]]="Partial","In Transit",Table1[[#This Row],[Payment Status]]="Paid","Delivered",Table1[[#This Row],[Payment Status]]="Pending","Pending"),"Invalid Input")</f>
        <v>Delivered</v>
      </c>
      <c r="T1358" t="s">
        <v>44</v>
      </c>
      <c r="U1358" t="str" cm="1">
        <f t="array" ref="U1358">IFERROR(_xlfn.IFS(Table1[[#This Row],[Payment Status]]="Partial","In Transit",Table1[[#This Row],[Payment Status]]="Paid","Completed",Table1[[#This Row],[Payment Status]]="Pending","Pending"),"Invalid Input")</f>
        <v>Completed</v>
      </c>
    </row>
    <row r="1359" spans="1:21" x14ac:dyDescent="0.25">
      <c r="A1359" s="4" t="s">
        <v>2365</v>
      </c>
      <c r="B1359" s="5">
        <v>45422</v>
      </c>
      <c r="C1359" t="s">
        <v>41</v>
      </c>
      <c r="D1359" t="s">
        <v>3268</v>
      </c>
      <c r="E1359" t="s">
        <v>47</v>
      </c>
      <c r="F1359" t="s">
        <v>3216</v>
      </c>
      <c r="G1359" t="s">
        <v>48</v>
      </c>
      <c r="H1359" t="str">
        <f>VLOOKUP(Table1[[#This Row],[City]],Table6[#All],2,FALSE)</f>
        <v>North</v>
      </c>
      <c r="I1359" t="s">
        <v>3203</v>
      </c>
      <c r="J1359" t="str">
        <f>_xlfn.XLOOKUP(Table1[[#This Row],[Tractor Model]],Table7[Product Model],Table7[Product Category],"Not Available",0)</f>
        <v>Kubota</v>
      </c>
      <c r="K1359" s="4">
        <v>1</v>
      </c>
      <c r="L1359" s="72">
        <v>411553</v>
      </c>
      <c r="M1359" s="4">
        <f>INDEX('Master Sheet'!$C$4:$C$12,MATCH(Table1[[#This Row],[Quantity]],'Master Sheet'!$B$4:$B$12,0))</f>
        <v>3</v>
      </c>
      <c r="N1359" s="71">
        <f>Table1[[#This Row],[Quantity]]*Table1[[#This Row],[Unit Price]]</f>
        <v>411553</v>
      </c>
      <c r="O1359" s="73">
        <v>4.1155299999999999E-2</v>
      </c>
      <c r="P1359" s="70">
        <f>Table1[[#This Row],[Gross Amount]]*(1-(Table1[[#This Row],[Discount %]]/100))</f>
        <v>399206.41</v>
      </c>
      <c r="Q1359" s="74">
        <f>(Table1[[#This Row],[Gross Amount]]*(1-(Table1[[#This Row],[Discount %]]/100)))/10000000</f>
        <v>3.9920641E-2</v>
      </c>
      <c r="R1359" t="s">
        <v>54</v>
      </c>
      <c r="S1359" t="str" cm="1">
        <f t="array" ref="S1359">IFERROR(_xlfn.IFS(Table1[[#This Row],[Payment Status]]="Partial","In Transit",Table1[[#This Row],[Payment Status]]="Paid","Delivered",Table1[[#This Row],[Payment Status]]="Pending","Pending"),"Invalid Input")</f>
        <v>Delivered</v>
      </c>
      <c r="T1359" t="s">
        <v>27</v>
      </c>
      <c r="U1359" t="str" cm="1">
        <f t="array" ref="U1359">IFERROR(_xlfn.IFS(Table1[[#This Row],[Payment Status]]="Partial","In Transit",Table1[[#This Row],[Payment Status]]="Paid","Completed",Table1[[#This Row],[Payment Status]]="Pending","Pending"),"Invalid Input")</f>
        <v>Completed</v>
      </c>
    </row>
    <row r="1360" spans="1:21" x14ac:dyDescent="0.25">
      <c r="A1360" s="4" t="s">
        <v>2367</v>
      </c>
      <c r="B1360" s="5">
        <v>45566</v>
      </c>
      <c r="C1360" t="s">
        <v>62</v>
      </c>
      <c r="D1360" t="s">
        <v>3269</v>
      </c>
      <c r="E1360" t="s">
        <v>38</v>
      </c>
      <c r="F1360" t="s">
        <v>3206</v>
      </c>
      <c r="G1360" t="s">
        <v>39</v>
      </c>
      <c r="H1360" t="str">
        <f>VLOOKUP(Table1[[#This Row],[City]],Table6[#All],2,FALSE)</f>
        <v>West</v>
      </c>
      <c r="I1360" t="s">
        <v>53</v>
      </c>
      <c r="J1360" t="str">
        <f>_xlfn.XLOOKUP(Table1[[#This Row],[Tractor Model]],Table7[Product Model],Table7[Product Category],"Not Available",0)</f>
        <v>Farmtrac</v>
      </c>
      <c r="K1360" s="4">
        <v>6</v>
      </c>
      <c r="L1360" s="72">
        <v>205448</v>
      </c>
      <c r="M1360" s="4">
        <f>INDEX('Master Sheet'!$C$4:$C$12,MATCH(Table1[[#This Row],[Quantity]],'Master Sheet'!$B$4:$B$12,0))</f>
        <v>8</v>
      </c>
      <c r="N1360" s="71">
        <f>Table1[[#This Row],[Quantity]]*Table1[[#This Row],[Unit Price]]</f>
        <v>1232688</v>
      </c>
      <c r="O1360" s="73">
        <v>0.1232688</v>
      </c>
      <c r="P1360" s="70">
        <f>Table1[[#This Row],[Gross Amount]]*(1-(Table1[[#This Row],[Discount %]]/100))</f>
        <v>1134072.96</v>
      </c>
      <c r="Q1360" s="74">
        <f>(Table1[[#This Row],[Gross Amount]]*(1-(Table1[[#This Row],[Discount %]]/100)))/10000000</f>
        <v>0.11340729599999999</v>
      </c>
      <c r="R1360" t="s">
        <v>42</v>
      </c>
      <c r="S1360" t="str" cm="1">
        <f t="array" ref="S1360">IFERROR(_xlfn.IFS(Table1[[#This Row],[Payment Status]]="Partial","In Transit",Table1[[#This Row],[Payment Status]]="Paid","Delivered",Table1[[#This Row],[Payment Status]]="Pending","Pending"),"Invalid Input")</f>
        <v>Pending</v>
      </c>
      <c r="T1360" t="s">
        <v>27</v>
      </c>
      <c r="U1360" t="str" cm="1">
        <f t="array" ref="U1360">IFERROR(_xlfn.IFS(Table1[[#This Row],[Payment Status]]="Partial","In Transit",Table1[[#This Row],[Payment Status]]="Paid","Completed",Table1[[#This Row],[Payment Status]]="Pending","Pending"),"Invalid Input")</f>
        <v>Pending</v>
      </c>
    </row>
    <row r="1361" spans="1:21" x14ac:dyDescent="0.25">
      <c r="A1361" s="4" t="s">
        <v>2369</v>
      </c>
      <c r="B1361" s="5">
        <v>45637</v>
      </c>
      <c r="C1361" t="s">
        <v>73</v>
      </c>
      <c r="D1361" t="s">
        <v>3268</v>
      </c>
      <c r="E1361" t="s">
        <v>38</v>
      </c>
      <c r="F1361" t="s">
        <v>3219</v>
      </c>
      <c r="G1361" t="s">
        <v>39</v>
      </c>
      <c r="H1361" t="str">
        <f>VLOOKUP(Table1[[#This Row],[City]],Table6[#All],2,FALSE)</f>
        <v>West</v>
      </c>
      <c r="I1361" t="s">
        <v>3203</v>
      </c>
      <c r="J1361" t="str">
        <f>_xlfn.XLOOKUP(Table1[[#This Row],[Tractor Model]],Table7[Product Model],Table7[Product Category],"Not Available",0)</f>
        <v>Kubota</v>
      </c>
      <c r="K1361" s="4">
        <v>6</v>
      </c>
      <c r="L1361" s="72">
        <v>56125</v>
      </c>
      <c r="M1361" s="4">
        <f>INDEX('Master Sheet'!$C$4:$C$12,MATCH(Table1[[#This Row],[Quantity]],'Master Sheet'!$B$4:$B$12,0))</f>
        <v>8</v>
      </c>
      <c r="N1361" s="71">
        <f>Table1[[#This Row],[Quantity]]*Table1[[#This Row],[Unit Price]]</f>
        <v>336750</v>
      </c>
      <c r="O1361" s="73">
        <v>3.3674999999999997E-2</v>
      </c>
      <c r="P1361" s="70">
        <f>Table1[[#This Row],[Gross Amount]]*(1-(Table1[[#This Row],[Discount %]]/100))</f>
        <v>309810</v>
      </c>
      <c r="Q1361" s="74">
        <f>(Table1[[#This Row],[Gross Amount]]*(1-(Table1[[#This Row],[Discount %]]/100)))/10000000</f>
        <v>3.0981000000000002E-2</v>
      </c>
      <c r="R1361" t="s">
        <v>54</v>
      </c>
      <c r="S1361" t="str" cm="1">
        <f t="array" ref="S1361">IFERROR(_xlfn.IFS(Table1[[#This Row],[Payment Status]]="Partial","In Transit",Table1[[#This Row],[Payment Status]]="Paid","Delivered",Table1[[#This Row],[Payment Status]]="Pending","Pending"),"Invalid Input")</f>
        <v>Delivered</v>
      </c>
      <c r="T1361" t="s">
        <v>27</v>
      </c>
      <c r="U1361" t="str" cm="1">
        <f t="array" ref="U1361">IFERROR(_xlfn.IFS(Table1[[#This Row],[Payment Status]]="Partial","In Transit",Table1[[#This Row],[Payment Status]]="Paid","Completed",Table1[[#This Row],[Payment Status]]="Pending","Pending"),"Invalid Input")</f>
        <v>Completed</v>
      </c>
    </row>
    <row r="1362" spans="1:21" x14ac:dyDescent="0.25">
      <c r="A1362" s="4" t="s">
        <v>2371</v>
      </c>
      <c r="B1362" s="5">
        <v>45439</v>
      </c>
      <c r="C1362" t="s">
        <v>73</v>
      </c>
      <c r="D1362" t="s">
        <v>3271</v>
      </c>
      <c r="E1362" t="s">
        <v>66</v>
      </c>
      <c r="F1362" t="s">
        <v>3207</v>
      </c>
      <c r="G1362" t="s">
        <v>67</v>
      </c>
      <c r="H1362" t="str">
        <f>VLOOKUP(Table1[[#This Row],[City]],Table6[#All],2,FALSE)</f>
        <v>East</v>
      </c>
      <c r="I1362" t="s">
        <v>53</v>
      </c>
      <c r="J1362" t="str">
        <f>_xlfn.XLOOKUP(Table1[[#This Row],[Tractor Model]],Table7[Product Model],Table7[Product Category],"Not Available",0)</f>
        <v>Farmtrac</v>
      </c>
      <c r="K1362" s="4">
        <v>7</v>
      </c>
      <c r="L1362" s="72">
        <v>742899</v>
      </c>
      <c r="M1362" s="4">
        <f>INDEX('Master Sheet'!$C$4:$C$12,MATCH(Table1[[#This Row],[Quantity]],'Master Sheet'!$B$4:$B$12,0))</f>
        <v>9</v>
      </c>
      <c r="N1362" s="71">
        <f>Table1[[#This Row],[Quantity]]*Table1[[#This Row],[Unit Price]]</f>
        <v>5200293</v>
      </c>
      <c r="O1362" s="73">
        <v>0.52002930000000003</v>
      </c>
      <c r="P1362" s="70">
        <f>Table1[[#This Row],[Gross Amount]]*(1-(Table1[[#This Row],[Discount %]]/100))</f>
        <v>4732266.63</v>
      </c>
      <c r="Q1362" s="74">
        <f>(Table1[[#This Row],[Gross Amount]]*(1-(Table1[[#This Row],[Discount %]]/100)))/10000000</f>
        <v>0.47322666299999999</v>
      </c>
      <c r="R1362" t="s">
        <v>42</v>
      </c>
      <c r="S1362" t="str" cm="1">
        <f t="array" ref="S1362">IFERROR(_xlfn.IFS(Table1[[#This Row],[Payment Status]]="Partial","In Transit",Table1[[#This Row],[Payment Status]]="Paid","Delivered",Table1[[#This Row],[Payment Status]]="Pending","Pending"),"Invalid Input")</f>
        <v>Pending</v>
      </c>
      <c r="T1362" t="s">
        <v>44</v>
      </c>
      <c r="U1362" t="str" cm="1">
        <f t="array" ref="U1362">IFERROR(_xlfn.IFS(Table1[[#This Row],[Payment Status]]="Partial","In Transit",Table1[[#This Row],[Payment Status]]="Paid","Completed",Table1[[#This Row],[Payment Status]]="Pending","Pending"),"Invalid Input")</f>
        <v>Pending</v>
      </c>
    </row>
    <row r="1363" spans="1:21" x14ac:dyDescent="0.25">
      <c r="A1363" s="4" t="s">
        <v>2372</v>
      </c>
      <c r="B1363" s="5">
        <v>45365</v>
      </c>
      <c r="C1363" t="s">
        <v>73</v>
      </c>
      <c r="D1363" t="s">
        <v>37</v>
      </c>
      <c r="E1363" t="s">
        <v>47</v>
      </c>
      <c r="F1363" t="s">
        <v>3215</v>
      </c>
      <c r="G1363" t="s">
        <v>48</v>
      </c>
      <c r="H1363" t="str">
        <f>VLOOKUP(Table1[[#This Row],[City]],Table6[#All],2,FALSE)</f>
        <v>North</v>
      </c>
      <c r="I1363" t="s">
        <v>24</v>
      </c>
      <c r="J1363" t="str">
        <f>_xlfn.XLOOKUP(Table1[[#This Row],[Tractor Model]],Table7[Product Model],Table7[Product Category],"Not Available",0)</f>
        <v>Farmtrac</v>
      </c>
      <c r="K1363" s="4">
        <v>1</v>
      </c>
      <c r="L1363" s="72">
        <v>348627</v>
      </c>
      <c r="M1363" s="4">
        <f>INDEX('Master Sheet'!$C$4:$C$12,MATCH(Table1[[#This Row],[Quantity]],'Master Sheet'!$B$4:$B$12,0))</f>
        <v>3</v>
      </c>
      <c r="N1363" s="71">
        <f>Table1[[#This Row],[Quantity]]*Table1[[#This Row],[Unit Price]]</f>
        <v>348627</v>
      </c>
      <c r="O1363" s="73">
        <v>3.4862700000000003E-2</v>
      </c>
      <c r="P1363" s="70">
        <f>Table1[[#This Row],[Gross Amount]]*(1-(Table1[[#This Row],[Discount %]]/100))</f>
        <v>338168.19</v>
      </c>
      <c r="Q1363" s="74">
        <f>(Table1[[#This Row],[Gross Amount]]*(1-(Table1[[#This Row],[Discount %]]/100)))/10000000</f>
        <v>3.3816818999999998E-2</v>
      </c>
      <c r="R1363" t="s">
        <v>54</v>
      </c>
      <c r="S1363" t="str" cm="1">
        <f t="array" ref="S1363">IFERROR(_xlfn.IFS(Table1[[#This Row],[Payment Status]]="Partial","In Transit",Table1[[#This Row],[Payment Status]]="Paid","Delivered",Table1[[#This Row],[Payment Status]]="Pending","Pending"),"Invalid Input")</f>
        <v>Delivered</v>
      </c>
      <c r="T1363" t="s">
        <v>27</v>
      </c>
      <c r="U1363" t="str" cm="1">
        <f t="array" ref="U1363">IFERROR(_xlfn.IFS(Table1[[#This Row],[Payment Status]]="Partial","In Transit",Table1[[#This Row],[Payment Status]]="Paid","Completed",Table1[[#This Row],[Payment Status]]="Pending","Pending"),"Invalid Input")</f>
        <v>Completed</v>
      </c>
    </row>
    <row r="1364" spans="1:21" x14ac:dyDescent="0.25">
      <c r="A1364" s="4" t="s">
        <v>2374</v>
      </c>
      <c r="B1364" s="5">
        <v>45433</v>
      </c>
      <c r="C1364" t="s">
        <v>52</v>
      </c>
      <c r="D1364" t="s">
        <v>3269</v>
      </c>
      <c r="E1364" t="s">
        <v>66</v>
      </c>
      <c r="F1364" t="s">
        <v>3213</v>
      </c>
      <c r="G1364" t="s">
        <v>67</v>
      </c>
      <c r="H1364" t="str">
        <f>VLOOKUP(Table1[[#This Row],[City]],Table6[#All],2,FALSE)</f>
        <v>East</v>
      </c>
      <c r="I1364" t="s">
        <v>53</v>
      </c>
      <c r="J1364" t="str">
        <f>_xlfn.XLOOKUP(Table1[[#This Row],[Tractor Model]],Table7[Product Model],Table7[Product Category],"Not Available",0)</f>
        <v>Farmtrac</v>
      </c>
      <c r="K1364" s="4">
        <v>1</v>
      </c>
      <c r="L1364" s="72">
        <v>104550</v>
      </c>
      <c r="M1364" s="4">
        <f>INDEX('Master Sheet'!$C$4:$C$12,MATCH(Table1[[#This Row],[Quantity]],'Master Sheet'!$B$4:$B$12,0))</f>
        <v>3</v>
      </c>
      <c r="N1364" s="71">
        <f>Table1[[#This Row],[Quantity]]*Table1[[#This Row],[Unit Price]]</f>
        <v>104550</v>
      </c>
      <c r="O1364" s="73">
        <v>1.0455000000000001E-2</v>
      </c>
      <c r="P1364" s="70">
        <f>Table1[[#This Row],[Gross Amount]]*(1-(Table1[[#This Row],[Discount %]]/100))</f>
        <v>101413.5</v>
      </c>
      <c r="Q1364" s="74">
        <f>(Table1[[#This Row],[Gross Amount]]*(1-(Table1[[#This Row],[Discount %]]/100)))/10000000</f>
        <v>1.014135E-2</v>
      </c>
      <c r="R1364" t="s">
        <v>54</v>
      </c>
      <c r="S1364" t="str" cm="1">
        <f t="array" ref="S1364">IFERROR(_xlfn.IFS(Table1[[#This Row],[Payment Status]]="Partial","In Transit",Table1[[#This Row],[Payment Status]]="Paid","Delivered",Table1[[#This Row],[Payment Status]]="Pending","Pending"),"Invalid Input")</f>
        <v>Delivered</v>
      </c>
      <c r="T1364" t="s">
        <v>44</v>
      </c>
      <c r="U1364" t="str" cm="1">
        <f t="array" ref="U1364">IFERROR(_xlfn.IFS(Table1[[#This Row],[Payment Status]]="Partial","In Transit",Table1[[#This Row],[Payment Status]]="Paid","Completed",Table1[[#This Row],[Payment Status]]="Pending","Pending"),"Invalid Input")</f>
        <v>Completed</v>
      </c>
    </row>
    <row r="1365" spans="1:21" x14ac:dyDescent="0.25">
      <c r="A1365" s="4" t="s">
        <v>2376</v>
      </c>
      <c r="B1365" s="5">
        <v>45764</v>
      </c>
      <c r="C1365" t="s">
        <v>73</v>
      </c>
      <c r="D1365" t="s">
        <v>3271</v>
      </c>
      <c r="E1365" t="s">
        <v>47</v>
      </c>
      <c r="F1365" t="s">
        <v>3221</v>
      </c>
      <c r="G1365" t="s">
        <v>48</v>
      </c>
      <c r="H1365" t="str">
        <f>VLOOKUP(Table1[[#This Row],[City]],Table6[#All],2,FALSE)</f>
        <v>North</v>
      </c>
      <c r="I1365" t="s">
        <v>53</v>
      </c>
      <c r="J1365" t="str">
        <f>_xlfn.XLOOKUP(Table1[[#This Row],[Tractor Model]],Table7[Product Model],Table7[Product Category],"Not Available",0)</f>
        <v>Farmtrac</v>
      </c>
      <c r="K1365" s="4">
        <v>8</v>
      </c>
      <c r="L1365" s="72">
        <v>254205</v>
      </c>
      <c r="M1365" s="4">
        <f>INDEX('Master Sheet'!$C$4:$C$12,MATCH(Table1[[#This Row],[Quantity]],'Master Sheet'!$B$4:$B$12,0))</f>
        <v>9</v>
      </c>
      <c r="N1365" s="71">
        <f>Table1[[#This Row],[Quantity]]*Table1[[#This Row],[Unit Price]]</f>
        <v>2033640</v>
      </c>
      <c r="O1365" s="73">
        <v>0.20336399999999999</v>
      </c>
      <c r="P1365" s="70">
        <f>Table1[[#This Row],[Gross Amount]]*(1-(Table1[[#This Row],[Discount %]]/100))</f>
        <v>1850612.4000000001</v>
      </c>
      <c r="Q1365" s="74">
        <f>(Table1[[#This Row],[Gross Amount]]*(1-(Table1[[#This Row],[Discount %]]/100)))/10000000</f>
        <v>0.18506124000000002</v>
      </c>
      <c r="R1365" t="s">
        <v>42</v>
      </c>
      <c r="S1365" t="str" cm="1">
        <f t="array" ref="S1365">IFERROR(_xlfn.IFS(Table1[[#This Row],[Payment Status]]="Partial","In Transit",Table1[[#This Row],[Payment Status]]="Paid","Delivered",Table1[[#This Row],[Payment Status]]="Pending","Pending"),"Invalid Input")</f>
        <v>Pending</v>
      </c>
      <c r="T1365" t="s">
        <v>27</v>
      </c>
      <c r="U1365" t="str" cm="1">
        <f t="array" ref="U1365">IFERROR(_xlfn.IFS(Table1[[#This Row],[Payment Status]]="Partial","In Transit",Table1[[#This Row],[Payment Status]]="Paid","Completed",Table1[[#This Row],[Payment Status]]="Pending","Pending"),"Invalid Input")</f>
        <v>Pending</v>
      </c>
    </row>
    <row r="1366" spans="1:21" x14ac:dyDescent="0.25">
      <c r="A1366" s="4" t="s">
        <v>2377</v>
      </c>
      <c r="B1366" s="5">
        <v>45632</v>
      </c>
      <c r="C1366" t="s">
        <v>41</v>
      </c>
      <c r="D1366" t="s">
        <v>3268</v>
      </c>
      <c r="E1366" t="s">
        <v>47</v>
      </c>
      <c r="F1366" t="s">
        <v>3216</v>
      </c>
      <c r="G1366" t="s">
        <v>48</v>
      </c>
      <c r="H1366" t="str">
        <f>VLOOKUP(Table1[[#This Row],[City]],Table6[#All],2,FALSE)</f>
        <v>North</v>
      </c>
      <c r="I1366" t="s">
        <v>24</v>
      </c>
      <c r="J1366" t="str">
        <f>_xlfn.XLOOKUP(Table1[[#This Row],[Tractor Model]],Table7[Product Model],Table7[Product Category],"Not Available",0)</f>
        <v>Farmtrac</v>
      </c>
      <c r="K1366" s="4">
        <v>2</v>
      </c>
      <c r="L1366" s="72">
        <v>358644</v>
      </c>
      <c r="M1366" s="4">
        <f>INDEX('Master Sheet'!$C$4:$C$12,MATCH(Table1[[#This Row],[Quantity]],'Master Sheet'!$B$4:$B$12,0))</f>
        <v>5</v>
      </c>
      <c r="N1366" s="71">
        <f>Table1[[#This Row],[Quantity]]*Table1[[#This Row],[Unit Price]]</f>
        <v>717288</v>
      </c>
      <c r="O1366" s="73">
        <v>7.1728799999999995E-2</v>
      </c>
      <c r="P1366" s="70">
        <f>Table1[[#This Row],[Gross Amount]]*(1-(Table1[[#This Row],[Discount %]]/100))</f>
        <v>681423.6</v>
      </c>
      <c r="Q1366" s="74">
        <f>(Table1[[#This Row],[Gross Amount]]*(1-(Table1[[#This Row],[Discount %]]/100)))/10000000</f>
        <v>6.8142359999999999E-2</v>
      </c>
      <c r="R1366" t="s">
        <v>54</v>
      </c>
      <c r="S1366" t="str" cm="1">
        <f t="array" ref="S1366">IFERROR(_xlfn.IFS(Table1[[#This Row],[Payment Status]]="Partial","In Transit",Table1[[#This Row],[Payment Status]]="Paid","Delivered",Table1[[#This Row],[Payment Status]]="Pending","Pending"),"Invalid Input")</f>
        <v>Delivered</v>
      </c>
      <c r="T1366" t="s">
        <v>27</v>
      </c>
      <c r="U1366" t="str" cm="1">
        <f t="array" ref="U1366">IFERROR(_xlfn.IFS(Table1[[#This Row],[Payment Status]]="Partial","In Transit",Table1[[#This Row],[Payment Status]]="Paid","Completed",Table1[[#This Row],[Payment Status]]="Pending","Pending"),"Invalid Input")</f>
        <v>Completed</v>
      </c>
    </row>
    <row r="1367" spans="1:21" x14ac:dyDescent="0.25">
      <c r="A1367" s="4" t="s">
        <v>2379</v>
      </c>
      <c r="B1367" s="5">
        <v>45687</v>
      </c>
      <c r="C1367" t="s">
        <v>73</v>
      </c>
      <c r="D1367" t="s">
        <v>3271</v>
      </c>
      <c r="E1367" t="s">
        <v>66</v>
      </c>
      <c r="F1367" t="s">
        <v>3207</v>
      </c>
      <c r="G1367" t="s">
        <v>67</v>
      </c>
      <c r="H1367" t="str">
        <f>VLOOKUP(Table1[[#This Row],[City]],Table6[#All],2,FALSE)</f>
        <v>East</v>
      </c>
      <c r="I1367" t="s">
        <v>53</v>
      </c>
      <c r="J1367" t="str">
        <f>_xlfn.XLOOKUP(Table1[[#This Row],[Tractor Model]],Table7[Product Model],Table7[Product Category],"Not Available",0)</f>
        <v>Farmtrac</v>
      </c>
      <c r="K1367" s="4">
        <v>1</v>
      </c>
      <c r="L1367" s="72">
        <v>207826</v>
      </c>
      <c r="M1367" s="4">
        <f>INDEX('Master Sheet'!$C$4:$C$12,MATCH(Table1[[#This Row],[Quantity]],'Master Sheet'!$B$4:$B$12,0))</f>
        <v>3</v>
      </c>
      <c r="N1367" s="71">
        <f>Table1[[#This Row],[Quantity]]*Table1[[#This Row],[Unit Price]]</f>
        <v>207826</v>
      </c>
      <c r="O1367" s="73">
        <v>2.0782599999999998E-2</v>
      </c>
      <c r="P1367" s="70">
        <f>Table1[[#This Row],[Gross Amount]]*(1-(Table1[[#This Row],[Discount %]]/100))</f>
        <v>201591.22</v>
      </c>
      <c r="Q1367" s="74">
        <f>(Table1[[#This Row],[Gross Amount]]*(1-(Table1[[#This Row],[Discount %]]/100)))/10000000</f>
        <v>2.0159122000000002E-2</v>
      </c>
      <c r="R1367" t="s">
        <v>54</v>
      </c>
      <c r="S1367" t="str" cm="1">
        <f t="array" ref="S1367">IFERROR(_xlfn.IFS(Table1[[#This Row],[Payment Status]]="Partial","In Transit",Table1[[#This Row],[Payment Status]]="Paid","Delivered",Table1[[#This Row],[Payment Status]]="Pending","Pending"),"Invalid Input")</f>
        <v>Delivered</v>
      </c>
      <c r="T1367" t="s">
        <v>27</v>
      </c>
      <c r="U1367" t="str" cm="1">
        <f t="array" ref="U1367">IFERROR(_xlfn.IFS(Table1[[#This Row],[Payment Status]]="Partial","In Transit",Table1[[#This Row],[Payment Status]]="Paid","Completed",Table1[[#This Row],[Payment Status]]="Pending","Pending"),"Invalid Input")</f>
        <v>Completed</v>
      </c>
    </row>
    <row r="1368" spans="1:21" x14ac:dyDescent="0.25">
      <c r="A1368" s="4" t="s">
        <v>2380</v>
      </c>
      <c r="B1368" s="5">
        <v>45618</v>
      </c>
      <c r="C1368" t="s">
        <v>41</v>
      </c>
      <c r="D1368" t="s">
        <v>37</v>
      </c>
      <c r="E1368" t="s">
        <v>38</v>
      </c>
      <c r="F1368" t="s">
        <v>3214</v>
      </c>
      <c r="G1368" t="s">
        <v>39</v>
      </c>
      <c r="H1368" t="str">
        <f>VLOOKUP(Table1[[#This Row],[City]],Table6[#All],2,FALSE)</f>
        <v>West</v>
      </c>
      <c r="I1368" t="s">
        <v>58</v>
      </c>
      <c r="J1368" t="str">
        <f>_xlfn.XLOOKUP(Table1[[#This Row],[Tractor Model]],Table7[Product Model],Table7[Product Category],"Not Available",0)</f>
        <v>Powertrac</v>
      </c>
      <c r="K1368" s="4">
        <v>4</v>
      </c>
      <c r="L1368" s="72">
        <v>474960</v>
      </c>
      <c r="M1368" s="4">
        <f>INDEX('Master Sheet'!$C$4:$C$12,MATCH(Table1[[#This Row],[Quantity]],'Master Sheet'!$B$4:$B$12,0))</f>
        <v>6</v>
      </c>
      <c r="N1368" s="71">
        <f>Table1[[#This Row],[Quantity]]*Table1[[#This Row],[Unit Price]]</f>
        <v>1899840</v>
      </c>
      <c r="O1368" s="73">
        <v>0.18998399999999999</v>
      </c>
      <c r="P1368" s="70">
        <f>Table1[[#This Row],[Gross Amount]]*(1-(Table1[[#This Row],[Discount %]]/100))</f>
        <v>1785849.5999999999</v>
      </c>
      <c r="Q1368" s="74">
        <f>(Table1[[#This Row],[Gross Amount]]*(1-(Table1[[#This Row],[Discount %]]/100)))/10000000</f>
        <v>0.17858495999999999</v>
      </c>
      <c r="R1368" t="s">
        <v>54</v>
      </c>
      <c r="S1368" t="str" cm="1">
        <f t="array" ref="S1368">IFERROR(_xlfn.IFS(Table1[[#This Row],[Payment Status]]="Partial","In Transit",Table1[[#This Row],[Payment Status]]="Paid","Delivered",Table1[[#This Row],[Payment Status]]="Pending","Pending"),"Invalid Input")</f>
        <v>Delivered</v>
      </c>
      <c r="T1368" t="s">
        <v>27</v>
      </c>
      <c r="U1368" t="str" cm="1">
        <f t="array" ref="U1368">IFERROR(_xlfn.IFS(Table1[[#This Row],[Payment Status]]="Partial","In Transit",Table1[[#This Row],[Payment Status]]="Paid","Completed",Table1[[#This Row],[Payment Status]]="Pending","Pending"),"Invalid Input")</f>
        <v>Completed</v>
      </c>
    </row>
    <row r="1369" spans="1:21" x14ac:dyDescent="0.25">
      <c r="A1369" s="4" t="s">
        <v>2381</v>
      </c>
      <c r="B1369" s="5">
        <v>45730</v>
      </c>
      <c r="C1369" t="s">
        <v>62</v>
      </c>
      <c r="D1369" t="s">
        <v>37</v>
      </c>
      <c r="E1369" t="s">
        <v>119</v>
      </c>
      <c r="F1369" t="s">
        <v>3224</v>
      </c>
      <c r="G1369" t="s">
        <v>21</v>
      </c>
      <c r="H1369" t="str">
        <f>VLOOKUP(Table1[[#This Row],[City]],Table6[#All],2,FALSE)</f>
        <v>North</v>
      </c>
      <c r="I1369" t="s">
        <v>3204</v>
      </c>
      <c r="J1369" t="str">
        <f>_xlfn.XLOOKUP(Table1[[#This Row],[Tractor Model]],Table7[Product Model],Table7[Product Category],"Not Available",0)</f>
        <v>Kubota</v>
      </c>
      <c r="K1369" s="4">
        <v>1</v>
      </c>
      <c r="L1369" s="72">
        <v>830767</v>
      </c>
      <c r="M1369" s="4">
        <f>INDEX('Master Sheet'!$C$4:$C$12,MATCH(Table1[[#This Row],[Quantity]],'Master Sheet'!$B$4:$B$12,0))</f>
        <v>3</v>
      </c>
      <c r="N1369" s="71">
        <f>Table1[[#This Row],[Quantity]]*Table1[[#This Row],[Unit Price]]</f>
        <v>830767</v>
      </c>
      <c r="O1369" s="73">
        <v>8.3076700000000003E-2</v>
      </c>
      <c r="P1369" s="70">
        <f>Table1[[#This Row],[Gross Amount]]*(1-(Table1[[#This Row],[Discount %]]/100))</f>
        <v>805843.99</v>
      </c>
      <c r="Q1369" s="74">
        <f>(Table1[[#This Row],[Gross Amount]]*(1-(Table1[[#This Row],[Discount %]]/100)))/10000000</f>
        <v>8.0584399000000001E-2</v>
      </c>
      <c r="R1369" t="s">
        <v>25</v>
      </c>
      <c r="S1369" t="str" cm="1">
        <f t="array" ref="S1369">IFERROR(_xlfn.IFS(Table1[[#This Row],[Payment Status]]="Partial","In Transit",Table1[[#This Row],[Payment Status]]="Paid","Delivered",Table1[[#This Row],[Payment Status]]="Pending","Pending"),"Invalid Input")</f>
        <v>In Transit</v>
      </c>
      <c r="T1369" t="s">
        <v>27</v>
      </c>
      <c r="U1369" t="str" cm="1">
        <f t="array" ref="U1369">IFERROR(_xlfn.IFS(Table1[[#This Row],[Payment Status]]="Partial","In Transit",Table1[[#This Row],[Payment Status]]="Paid","Completed",Table1[[#This Row],[Payment Status]]="Pending","Pending"),"Invalid Input")</f>
        <v>In Transit</v>
      </c>
    </row>
    <row r="1370" spans="1:21" x14ac:dyDescent="0.25">
      <c r="A1370" s="4" t="s">
        <v>2383</v>
      </c>
      <c r="B1370" s="5">
        <v>45496</v>
      </c>
      <c r="C1370" t="s">
        <v>73</v>
      </c>
      <c r="D1370" t="s">
        <v>37</v>
      </c>
      <c r="E1370" t="s">
        <v>66</v>
      </c>
      <c r="F1370" t="s">
        <v>3226</v>
      </c>
      <c r="G1370" t="s">
        <v>67</v>
      </c>
      <c r="H1370" t="str">
        <f>VLOOKUP(Table1[[#This Row],[City]],Table6[#All],2,FALSE)</f>
        <v>East</v>
      </c>
      <c r="I1370" t="s">
        <v>3204</v>
      </c>
      <c r="J1370" t="str">
        <f>_xlfn.XLOOKUP(Table1[[#This Row],[Tractor Model]],Table7[Product Model],Table7[Product Category],"Not Available",0)</f>
        <v>Kubota</v>
      </c>
      <c r="K1370" s="4">
        <v>5</v>
      </c>
      <c r="L1370" s="72">
        <v>113625</v>
      </c>
      <c r="M1370" s="4">
        <f>INDEX('Master Sheet'!$C$4:$C$12,MATCH(Table1[[#This Row],[Quantity]],'Master Sheet'!$B$4:$B$12,0))</f>
        <v>7</v>
      </c>
      <c r="N1370" s="71">
        <f>Table1[[#This Row],[Quantity]]*Table1[[#This Row],[Unit Price]]</f>
        <v>568125</v>
      </c>
      <c r="O1370" s="73">
        <v>5.6812500000000002E-2</v>
      </c>
      <c r="P1370" s="70">
        <f>Table1[[#This Row],[Gross Amount]]*(1-(Table1[[#This Row],[Discount %]]/100))</f>
        <v>528356.25</v>
      </c>
      <c r="Q1370" s="74">
        <f>(Table1[[#This Row],[Gross Amount]]*(1-(Table1[[#This Row],[Discount %]]/100)))/10000000</f>
        <v>5.2835624999999997E-2</v>
      </c>
      <c r="R1370" t="s">
        <v>54</v>
      </c>
      <c r="S1370" t="str" cm="1">
        <f t="array" ref="S1370">IFERROR(_xlfn.IFS(Table1[[#This Row],[Payment Status]]="Partial","In Transit",Table1[[#This Row],[Payment Status]]="Paid","Delivered",Table1[[#This Row],[Payment Status]]="Pending","Pending"),"Invalid Input")</f>
        <v>Delivered</v>
      </c>
      <c r="T1370" t="s">
        <v>27</v>
      </c>
      <c r="U1370" t="str" cm="1">
        <f t="array" ref="U1370">IFERROR(_xlfn.IFS(Table1[[#This Row],[Payment Status]]="Partial","In Transit",Table1[[#This Row],[Payment Status]]="Paid","Completed",Table1[[#This Row],[Payment Status]]="Pending","Pending"),"Invalid Input")</f>
        <v>Completed</v>
      </c>
    </row>
    <row r="1371" spans="1:21" x14ac:dyDescent="0.25">
      <c r="A1371" s="4" t="s">
        <v>2384</v>
      </c>
      <c r="B1371" s="5">
        <v>45377</v>
      </c>
      <c r="C1371" t="s">
        <v>41</v>
      </c>
      <c r="D1371" t="s">
        <v>3271</v>
      </c>
      <c r="E1371" t="s">
        <v>119</v>
      </c>
      <c r="F1371" t="s">
        <v>3228</v>
      </c>
      <c r="G1371" t="s">
        <v>21</v>
      </c>
      <c r="H1371" t="str">
        <f>VLOOKUP(Table1[[#This Row],[City]],Table6[#All],2,FALSE)</f>
        <v>North</v>
      </c>
      <c r="I1371" t="s">
        <v>53</v>
      </c>
      <c r="J1371" t="str">
        <f>_xlfn.XLOOKUP(Table1[[#This Row],[Tractor Model]],Table7[Product Model],Table7[Product Category],"Not Available",0)</f>
        <v>Farmtrac</v>
      </c>
      <c r="K1371" s="4">
        <v>5</v>
      </c>
      <c r="L1371" s="72">
        <v>598315</v>
      </c>
      <c r="M1371" s="4">
        <f>INDEX('Master Sheet'!$C$4:$C$12,MATCH(Table1[[#This Row],[Quantity]],'Master Sheet'!$B$4:$B$12,0))</f>
        <v>7</v>
      </c>
      <c r="N1371" s="71">
        <f>Table1[[#This Row],[Quantity]]*Table1[[#This Row],[Unit Price]]</f>
        <v>2991575</v>
      </c>
      <c r="O1371" s="73">
        <v>0.29915750000000002</v>
      </c>
      <c r="P1371" s="70">
        <f>Table1[[#This Row],[Gross Amount]]*(1-(Table1[[#This Row],[Discount %]]/100))</f>
        <v>2782164.75</v>
      </c>
      <c r="Q1371" s="74">
        <f>(Table1[[#This Row],[Gross Amount]]*(1-(Table1[[#This Row],[Discount %]]/100)))/10000000</f>
        <v>0.27821647500000002</v>
      </c>
      <c r="R1371" t="s">
        <v>42</v>
      </c>
      <c r="S1371" t="str" cm="1">
        <f t="array" ref="S1371">IFERROR(_xlfn.IFS(Table1[[#This Row],[Payment Status]]="Partial","In Transit",Table1[[#This Row],[Payment Status]]="Paid","Delivered",Table1[[#This Row],[Payment Status]]="Pending","Pending"),"Invalid Input")</f>
        <v>Pending</v>
      </c>
      <c r="T1371" t="s">
        <v>27</v>
      </c>
      <c r="U1371" t="str" cm="1">
        <f t="array" ref="U1371">IFERROR(_xlfn.IFS(Table1[[#This Row],[Payment Status]]="Partial","In Transit",Table1[[#This Row],[Payment Status]]="Paid","Completed",Table1[[#This Row],[Payment Status]]="Pending","Pending"),"Invalid Input")</f>
        <v>Pending</v>
      </c>
    </row>
    <row r="1372" spans="1:21" x14ac:dyDescent="0.25">
      <c r="A1372" s="4" t="s">
        <v>2385</v>
      </c>
      <c r="B1372" s="5">
        <v>45771</v>
      </c>
      <c r="C1372" t="s">
        <v>62</v>
      </c>
      <c r="D1372" t="s">
        <v>3271</v>
      </c>
      <c r="E1372" t="s">
        <v>38</v>
      </c>
      <c r="F1372" t="s">
        <v>3210</v>
      </c>
      <c r="G1372" t="s">
        <v>39</v>
      </c>
      <c r="H1372" t="str">
        <f>VLOOKUP(Table1[[#This Row],[City]],Table6[#All],2,FALSE)</f>
        <v>West</v>
      </c>
      <c r="I1372" t="s">
        <v>53</v>
      </c>
      <c r="J1372" t="str">
        <f>_xlfn.XLOOKUP(Table1[[#This Row],[Tractor Model]],Table7[Product Model],Table7[Product Category],"Not Available",0)</f>
        <v>Farmtrac</v>
      </c>
      <c r="K1372" s="4">
        <v>2</v>
      </c>
      <c r="L1372" s="72">
        <v>491669</v>
      </c>
      <c r="M1372" s="4">
        <f>INDEX('Master Sheet'!$C$4:$C$12,MATCH(Table1[[#This Row],[Quantity]],'Master Sheet'!$B$4:$B$12,0))</f>
        <v>5</v>
      </c>
      <c r="N1372" s="71">
        <f>Table1[[#This Row],[Quantity]]*Table1[[#This Row],[Unit Price]]</f>
        <v>983338</v>
      </c>
      <c r="O1372" s="73">
        <v>9.8333799999999999E-2</v>
      </c>
      <c r="P1372" s="70">
        <f>Table1[[#This Row],[Gross Amount]]*(1-(Table1[[#This Row],[Discount %]]/100))</f>
        <v>934171.1</v>
      </c>
      <c r="Q1372" s="74">
        <f>(Table1[[#This Row],[Gross Amount]]*(1-(Table1[[#This Row],[Discount %]]/100)))/10000000</f>
        <v>9.3417109999999998E-2</v>
      </c>
      <c r="R1372" t="s">
        <v>25</v>
      </c>
      <c r="S1372" t="str" cm="1">
        <f t="array" ref="S1372">IFERROR(_xlfn.IFS(Table1[[#This Row],[Payment Status]]="Partial","In Transit",Table1[[#This Row],[Payment Status]]="Paid","Delivered",Table1[[#This Row],[Payment Status]]="Pending","Pending"),"Invalid Input")</f>
        <v>In Transit</v>
      </c>
      <c r="T1372" t="s">
        <v>27</v>
      </c>
      <c r="U1372" t="str" cm="1">
        <f t="array" ref="U1372">IFERROR(_xlfn.IFS(Table1[[#This Row],[Payment Status]]="Partial","In Transit",Table1[[#This Row],[Payment Status]]="Paid","Completed",Table1[[#This Row],[Payment Status]]="Pending","Pending"),"Invalid Input")</f>
        <v>In Transit</v>
      </c>
    </row>
    <row r="1373" spans="1:21" x14ac:dyDescent="0.25">
      <c r="A1373" s="4" t="s">
        <v>2386</v>
      </c>
      <c r="B1373" s="5">
        <v>45679</v>
      </c>
      <c r="C1373" t="s">
        <v>41</v>
      </c>
      <c r="D1373" t="s">
        <v>3269</v>
      </c>
      <c r="E1373" t="s">
        <v>38</v>
      </c>
      <c r="F1373" t="s">
        <v>3206</v>
      </c>
      <c r="G1373" t="s">
        <v>39</v>
      </c>
      <c r="H1373" t="str">
        <f>VLOOKUP(Table1[[#This Row],[City]],Table6[#All],2,FALSE)</f>
        <v>West</v>
      </c>
      <c r="I1373" t="s">
        <v>24</v>
      </c>
      <c r="J1373" t="str">
        <f>_xlfn.XLOOKUP(Table1[[#This Row],[Tractor Model]],Table7[Product Model],Table7[Product Category],"Not Available",0)</f>
        <v>Farmtrac</v>
      </c>
      <c r="K1373" s="4">
        <v>2</v>
      </c>
      <c r="L1373" s="72">
        <v>218269</v>
      </c>
      <c r="M1373" s="4">
        <f>INDEX('Master Sheet'!$C$4:$C$12,MATCH(Table1[[#This Row],[Quantity]],'Master Sheet'!$B$4:$B$12,0))</f>
        <v>5</v>
      </c>
      <c r="N1373" s="71">
        <f>Table1[[#This Row],[Quantity]]*Table1[[#This Row],[Unit Price]]</f>
        <v>436538</v>
      </c>
      <c r="O1373" s="73">
        <v>4.36538E-2</v>
      </c>
      <c r="P1373" s="70">
        <f>Table1[[#This Row],[Gross Amount]]*(1-(Table1[[#This Row],[Discount %]]/100))</f>
        <v>414711.1</v>
      </c>
      <c r="Q1373" s="74">
        <f>(Table1[[#This Row],[Gross Amount]]*(1-(Table1[[#This Row],[Discount %]]/100)))/10000000</f>
        <v>4.1471109999999999E-2</v>
      </c>
      <c r="R1373" t="s">
        <v>54</v>
      </c>
      <c r="S1373" t="str" cm="1">
        <f t="array" ref="S1373">IFERROR(_xlfn.IFS(Table1[[#This Row],[Payment Status]]="Partial","In Transit",Table1[[#This Row],[Payment Status]]="Paid","Delivered",Table1[[#This Row],[Payment Status]]="Pending","Pending"),"Invalid Input")</f>
        <v>Delivered</v>
      </c>
      <c r="T1373" t="s">
        <v>27</v>
      </c>
      <c r="U1373" t="str" cm="1">
        <f t="array" ref="U1373">IFERROR(_xlfn.IFS(Table1[[#This Row],[Payment Status]]="Partial","In Transit",Table1[[#This Row],[Payment Status]]="Paid","Completed",Table1[[#This Row],[Payment Status]]="Pending","Pending"),"Invalid Input")</f>
        <v>Completed</v>
      </c>
    </row>
    <row r="1374" spans="1:21" x14ac:dyDescent="0.25">
      <c r="A1374" s="4" t="s">
        <v>2387</v>
      </c>
      <c r="B1374" s="5">
        <v>45636</v>
      </c>
      <c r="C1374" t="s">
        <v>73</v>
      </c>
      <c r="D1374" t="s">
        <v>3269</v>
      </c>
      <c r="E1374" t="s">
        <v>30</v>
      </c>
      <c r="F1374" t="s">
        <v>3225</v>
      </c>
      <c r="G1374" t="s">
        <v>31</v>
      </c>
      <c r="H1374" t="str">
        <f>VLOOKUP(Table1[[#This Row],[City]],Table6[#All],2,FALSE)</f>
        <v>South</v>
      </c>
      <c r="I1374" t="s">
        <v>58</v>
      </c>
      <c r="J1374" t="str">
        <f>_xlfn.XLOOKUP(Table1[[#This Row],[Tractor Model]],Table7[Product Model],Table7[Product Category],"Not Available",0)</f>
        <v>Powertrac</v>
      </c>
      <c r="K1374" s="4">
        <v>3</v>
      </c>
      <c r="L1374" s="72">
        <v>498064</v>
      </c>
      <c r="M1374" s="4">
        <f>INDEX('Master Sheet'!$C$4:$C$12,MATCH(Table1[[#This Row],[Quantity]],'Master Sheet'!$B$4:$B$12,0))</f>
        <v>6</v>
      </c>
      <c r="N1374" s="71">
        <f>Table1[[#This Row],[Quantity]]*Table1[[#This Row],[Unit Price]]</f>
        <v>1494192</v>
      </c>
      <c r="O1374" s="73">
        <v>0.1494192</v>
      </c>
      <c r="P1374" s="70">
        <f>Table1[[#This Row],[Gross Amount]]*(1-(Table1[[#This Row],[Discount %]]/100))</f>
        <v>1404540.48</v>
      </c>
      <c r="Q1374" s="74">
        <f>(Table1[[#This Row],[Gross Amount]]*(1-(Table1[[#This Row],[Discount %]]/100)))/10000000</f>
        <v>0.140454048</v>
      </c>
      <c r="R1374" t="s">
        <v>25</v>
      </c>
      <c r="S1374" t="str" cm="1">
        <f t="array" ref="S1374">IFERROR(_xlfn.IFS(Table1[[#This Row],[Payment Status]]="Partial","In Transit",Table1[[#This Row],[Payment Status]]="Paid","Delivered",Table1[[#This Row],[Payment Status]]="Pending","Pending"),"Invalid Input")</f>
        <v>In Transit</v>
      </c>
      <c r="T1374" t="s">
        <v>44</v>
      </c>
      <c r="U1374" t="str" cm="1">
        <f t="array" ref="U1374">IFERROR(_xlfn.IFS(Table1[[#This Row],[Payment Status]]="Partial","In Transit",Table1[[#This Row],[Payment Status]]="Paid","Completed",Table1[[#This Row],[Payment Status]]="Pending","Pending"),"Invalid Input")</f>
        <v>In Transit</v>
      </c>
    </row>
    <row r="1375" spans="1:21" x14ac:dyDescent="0.25">
      <c r="A1375" s="4" t="s">
        <v>2388</v>
      </c>
      <c r="B1375" s="5">
        <v>45545</v>
      </c>
      <c r="C1375" t="s">
        <v>41</v>
      </c>
      <c r="D1375" t="s">
        <v>3270</v>
      </c>
      <c r="E1375" t="s">
        <v>119</v>
      </c>
      <c r="F1375" t="s">
        <v>3212</v>
      </c>
      <c r="G1375" t="s">
        <v>21</v>
      </c>
      <c r="H1375" t="str">
        <f>VLOOKUP(Table1[[#This Row],[City]],Table6[#All],2,FALSE)</f>
        <v>North</v>
      </c>
      <c r="I1375" t="s">
        <v>53</v>
      </c>
      <c r="J1375" t="str">
        <f>_xlfn.XLOOKUP(Table1[[#This Row],[Tractor Model]],Table7[Product Model],Table7[Product Category],"Not Available",0)</f>
        <v>Farmtrac</v>
      </c>
      <c r="K1375" s="4">
        <v>5</v>
      </c>
      <c r="L1375" s="72">
        <v>392424</v>
      </c>
      <c r="M1375" s="4">
        <f>INDEX('Master Sheet'!$C$4:$C$12,MATCH(Table1[[#This Row],[Quantity]],'Master Sheet'!$B$4:$B$12,0))</f>
        <v>7</v>
      </c>
      <c r="N1375" s="71">
        <f>Table1[[#This Row],[Quantity]]*Table1[[#This Row],[Unit Price]]</f>
        <v>1962120</v>
      </c>
      <c r="O1375" s="73">
        <v>0.196212</v>
      </c>
      <c r="P1375" s="70">
        <f>Table1[[#This Row],[Gross Amount]]*(1-(Table1[[#This Row],[Discount %]]/100))</f>
        <v>1824771.5999999999</v>
      </c>
      <c r="Q1375" s="74">
        <f>(Table1[[#This Row],[Gross Amount]]*(1-(Table1[[#This Row],[Discount %]]/100)))/10000000</f>
        <v>0.18247716</v>
      </c>
      <c r="R1375" t="s">
        <v>42</v>
      </c>
      <c r="S1375" t="str" cm="1">
        <f t="array" ref="S1375">IFERROR(_xlfn.IFS(Table1[[#This Row],[Payment Status]]="Partial","In Transit",Table1[[#This Row],[Payment Status]]="Paid","Delivered",Table1[[#This Row],[Payment Status]]="Pending","Pending"),"Invalid Input")</f>
        <v>Pending</v>
      </c>
      <c r="T1375" t="s">
        <v>27</v>
      </c>
      <c r="U1375" t="str" cm="1">
        <f t="array" ref="U1375">IFERROR(_xlfn.IFS(Table1[[#This Row],[Payment Status]]="Partial","In Transit",Table1[[#This Row],[Payment Status]]="Paid","Completed",Table1[[#This Row],[Payment Status]]="Pending","Pending"),"Invalid Input")</f>
        <v>Pending</v>
      </c>
    </row>
    <row r="1376" spans="1:21" x14ac:dyDescent="0.25">
      <c r="A1376" s="4" t="s">
        <v>2389</v>
      </c>
      <c r="B1376" s="5">
        <v>45316</v>
      </c>
      <c r="C1376" t="s">
        <v>73</v>
      </c>
      <c r="D1376" t="s">
        <v>37</v>
      </c>
      <c r="E1376" t="s">
        <v>47</v>
      </c>
      <c r="F1376" t="s">
        <v>3215</v>
      </c>
      <c r="G1376" t="s">
        <v>48</v>
      </c>
      <c r="H1376" t="str">
        <f>VLOOKUP(Table1[[#This Row],[City]],Table6[#All],2,FALSE)</f>
        <v>North</v>
      </c>
      <c r="I1376" t="s">
        <v>53</v>
      </c>
      <c r="J1376" t="str">
        <f>_xlfn.XLOOKUP(Table1[[#This Row],[Tractor Model]],Table7[Product Model],Table7[Product Category],"Not Available",0)</f>
        <v>Farmtrac</v>
      </c>
      <c r="K1376" s="4">
        <v>6</v>
      </c>
      <c r="L1376" s="72">
        <v>489205</v>
      </c>
      <c r="M1376" s="4">
        <f>INDEX('Master Sheet'!$C$4:$C$12,MATCH(Table1[[#This Row],[Quantity]],'Master Sheet'!$B$4:$B$12,0))</f>
        <v>8</v>
      </c>
      <c r="N1376" s="71">
        <f>Table1[[#This Row],[Quantity]]*Table1[[#This Row],[Unit Price]]</f>
        <v>2935230</v>
      </c>
      <c r="O1376" s="73">
        <v>0.29352299999999998</v>
      </c>
      <c r="P1376" s="70">
        <f>Table1[[#This Row],[Gross Amount]]*(1-(Table1[[#This Row],[Discount %]]/100))</f>
        <v>2700411.6</v>
      </c>
      <c r="Q1376" s="74">
        <f>(Table1[[#This Row],[Gross Amount]]*(1-(Table1[[#This Row],[Discount %]]/100)))/10000000</f>
        <v>0.27004116</v>
      </c>
      <c r="R1376" t="s">
        <v>42</v>
      </c>
      <c r="S1376" t="str" cm="1">
        <f t="array" ref="S1376">IFERROR(_xlfn.IFS(Table1[[#This Row],[Payment Status]]="Partial","In Transit",Table1[[#This Row],[Payment Status]]="Paid","Delivered",Table1[[#This Row],[Payment Status]]="Pending","Pending"),"Invalid Input")</f>
        <v>Pending</v>
      </c>
      <c r="T1376" t="s">
        <v>44</v>
      </c>
      <c r="U1376" t="str" cm="1">
        <f t="array" ref="U1376">IFERROR(_xlfn.IFS(Table1[[#This Row],[Payment Status]]="Partial","In Transit",Table1[[#This Row],[Payment Status]]="Paid","Completed",Table1[[#This Row],[Payment Status]]="Pending","Pending"),"Invalid Input")</f>
        <v>Pending</v>
      </c>
    </row>
    <row r="1377" spans="1:21" x14ac:dyDescent="0.25">
      <c r="A1377" s="4" t="s">
        <v>2391</v>
      </c>
      <c r="B1377" s="5">
        <v>45338</v>
      </c>
      <c r="C1377" t="s">
        <v>41</v>
      </c>
      <c r="D1377" t="s">
        <v>3269</v>
      </c>
      <c r="E1377" t="s">
        <v>30</v>
      </c>
      <c r="F1377" t="s">
        <v>3225</v>
      </c>
      <c r="G1377" t="s">
        <v>31</v>
      </c>
      <c r="H1377" t="str">
        <f>VLOOKUP(Table1[[#This Row],[City]],Table6[#All],2,FALSE)</f>
        <v>South</v>
      </c>
      <c r="I1377" t="s">
        <v>53</v>
      </c>
      <c r="J1377" t="str">
        <f>_xlfn.XLOOKUP(Table1[[#This Row],[Tractor Model]],Table7[Product Model],Table7[Product Category],"Not Available",0)</f>
        <v>Farmtrac</v>
      </c>
      <c r="K1377" s="4">
        <v>5</v>
      </c>
      <c r="L1377" s="72">
        <v>161346</v>
      </c>
      <c r="M1377" s="4">
        <f>INDEX('Master Sheet'!$C$4:$C$12,MATCH(Table1[[#This Row],[Quantity]],'Master Sheet'!$B$4:$B$12,0))</f>
        <v>7</v>
      </c>
      <c r="N1377" s="71">
        <f>Table1[[#This Row],[Quantity]]*Table1[[#This Row],[Unit Price]]</f>
        <v>806730</v>
      </c>
      <c r="O1377" s="73">
        <v>8.0672999999999995E-2</v>
      </c>
      <c r="P1377" s="70">
        <f>Table1[[#This Row],[Gross Amount]]*(1-(Table1[[#This Row],[Discount %]]/100))</f>
        <v>750258.89999999991</v>
      </c>
      <c r="Q1377" s="74">
        <f>(Table1[[#This Row],[Gross Amount]]*(1-(Table1[[#This Row],[Discount %]]/100)))/10000000</f>
        <v>7.5025889999999984E-2</v>
      </c>
      <c r="R1377" t="s">
        <v>54</v>
      </c>
      <c r="S1377" t="str" cm="1">
        <f t="array" ref="S1377">IFERROR(_xlfn.IFS(Table1[[#This Row],[Payment Status]]="Partial","In Transit",Table1[[#This Row],[Payment Status]]="Paid","Delivered",Table1[[#This Row],[Payment Status]]="Pending","Pending"),"Invalid Input")</f>
        <v>Delivered</v>
      </c>
      <c r="T1377" t="s">
        <v>27</v>
      </c>
      <c r="U1377" t="str" cm="1">
        <f t="array" ref="U1377">IFERROR(_xlfn.IFS(Table1[[#This Row],[Payment Status]]="Partial","In Transit",Table1[[#This Row],[Payment Status]]="Paid","Completed",Table1[[#This Row],[Payment Status]]="Pending","Pending"),"Invalid Input")</f>
        <v>Completed</v>
      </c>
    </row>
    <row r="1378" spans="1:21" x14ac:dyDescent="0.25">
      <c r="A1378" s="4" t="s">
        <v>2392</v>
      </c>
      <c r="B1378" s="5">
        <v>45320</v>
      </c>
      <c r="C1378" t="s">
        <v>41</v>
      </c>
      <c r="D1378" t="s">
        <v>3269</v>
      </c>
      <c r="E1378" t="s">
        <v>30</v>
      </c>
      <c r="F1378" t="s">
        <v>3225</v>
      </c>
      <c r="G1378" t="s">
        <v>31</v>
      </c>
      <c r="H1378" t="str">
        <f>VLOOKUP(Table1[[#This Row],[City]],Table6[#All],2,FALSE)</f>
        <v>South</v>
      </c>
      <c r="I1378" t="s">
        <v>53</v>
      </c>
      <c r="J1378" t="str">
        <f>_xlfn.XLOOKUP(Table1[[#This Row],[Tractor Model]],Table7[Product Model],Table7[Product Category],"Not Available",0)</f>
        <v>Farmtrac</v>
      </c>
      <c r="K1378" s="4">
        <v>7</v>
      </c>
      <c r="L1378" s="72">
        <v>711821</v>
      </c>
      <c r="M1378" s="4">
        <f>INDEX('Master Sheet'!$C$4:$C$12,MATCH(Table1[[#This Row],[Quantity]],'Master Sheet'!$B$4:$B$12,0))</f>
        <v>9</v>
      </c>
      <c r="N1378" s="71">
        <f>Table1[[#This Row],[Quantity]]*Table1[[#This Row],[Unit Price]]</f>
        <v>4982747</v>
      </c>
      <c r="O1378" s="73">
        <v>0.49827470000000001</v>
      </c>
      <c r="P1378" s="70">
        <f>Table1[[#This Row],[Gross Amount]]*(1-(Table1[[#This Row],[Discount %]]/100))</f>
        <v>4534299.7700000005</v>
      </c>
      <c r="Q1378" s="74">
        <f>(Table1[[#This Row],[Gross Amount]]*(1-(Table1[[#This Row],[Discount %]]/100)))/10000000</f>
        <v>0.45342997700000004</v>
      </c>
      <c r="R1378" t="s">
        <v>54</v>
      </c>
      <c r="S1378" t="str" cm="1">
        <f t="array" ref="S1378">IFERROR(_xlfn.IFS(Table1[[#This Row],[Payment Status]]="Partial","In Transit",Table1[[#This Row],[Payment Status]]="Paid","Delivered",Table1[[#This Row],[Payment Status]]="Pending","Pending"),"Invalid Input")</f>
        <v>Delivered</v>
      </c>
      <c r="T1378" t="s">
        <v>27</v>
      </c>
      <c r="U1378" t="str" cm="1">
        <f t="array" ref="U1378">IFERROR(_xlfn.IFS(Table1[[#This Row],[Payment Status]]="Partial","In Transit",Table1[[#This Row],[Payment Status]]="Paid","Completed",Table1[[#This Row],[Payment Status]]="Pending","Pending"),"Invalid Input")</f>
        <v>Completed</v>
      </c>
    </row>
    <row r="1379" spans="1:21" x14ac:dyDescent="0.25">
      <c r="A1379" s="4" t="s">
        <v>2393</v>
      </c>
      <c r="B1379" s="5">
        <v>45677</v>
      </c>
      <c r="C1379" t="s">
        <v>41</v>
      </c>
      <c r="D1379" t="s">
        <v>37</v>
      </c>
      <c r="E1379" t="s">
        <v>66</v>
      </c>
      <c r="F1379" t="s">
        <v>3226</v>
      </c>
      <c r="G1379" t="s">
        <v>67</v>
      </c>
      <c r="H1379" t="str">
        <f>VLOOKUP(Table1[[#This Row],[City]],Table6[#All],2,FALSE)</f>
        <v>East</v>
      </c>
      <c r="I1379" t="s">
        <v>58</v>
      </c>
      <c r="J1379" t="str">
        <f>_xlfn.XLOOKUP(Table1[[#This Row],[Tractor Model]],Table7[Product Model],Table7[Product Category],"Not Available",0)</f>
        <v>Powertrac</v>
      </c>
      <c r="K1379" s="4">
        <v>7</v>
      </c>
      <c r="L1379" s="72">
        <v>259594</v>
      </c>
      <c r="M1379" s="4">
        <f>INDEX('Master Sheet'!$C$4:$C$12,MATCH(Table1[[#This Row],[Quantity]],'Master Sheet'!$B$4:$B$12,0))</f>
        <v>9</v>
      </c>
      <c r="N1379" s="71">
        <f>Table1[[#This Row],[Quantity]]*Table1[[#This Row],[Unit Price]]</f>
        <v>1817158</v>
      </c>
      <c r="O1379" s="73">
        <v>0.18171580000000001</v>
      </c>
      <c r="P1379" s="70">
        <f>Table1[[#This Row],[Gross Amount]]*(1-(Table1[[#This Row],[Discount %]]/100))</f>
        <v>1653613.78</v>
      </c>
      <c r="Q1379" s="74">
        <f>(Table1[[#This Row],[Gross Amount]]*(1-(Table1[[#This Row],[Discount %]]/100)))/10000000</f>
        <v>0.165361378</v>
      </c>
      <c r="R1379" t="s">
        <v>42</v>
      </c>
      <c r="S1379" t="str" cm="1">
        <f t="array" ref="S1379">IFERROR(_xlfn.IFS(Table1[[#This Row],[Payment Status]]="Partial","In Transit",Table1[[#This Row],[Payment Status]]="Paid","Delivered",Table1[[#This Row],[Payment Status]]="Pending","Pending"),"Invalid Input")</f>
        <v>Pending</v>
      </c>
      <c r="T1379" t="s">
        <v>27</v>
      </c>
      <c r="U1379" t="str" cm="1">
        <f t="array" ref="U1379">IFERROR(_xlfn.IFS(Table1[[#This Row],[Payment Status]]="Partial","In Transit",Table1[[#This Row],[Payment Status]]="Paid","Completed",Table1[[#This Row],[Payment Status]]="Pending","Pending"),"Invalid Input")</f>
        <v>Pending</v>
      </c>
    </row>
    <row r="1380" spans="1:21" x14ac:dyDescent="0.25">
      <c r="A1380" s="4" t="s">
        <v>2395</v>
      </c>
      <c r="B1380" s="5">
        <v>45413</v>
      </c>
      <c r="C1380" t="s">
        <v>41</v>
      </c>
      <c r="D1380" t="s">
        <v>3271</v>
      </c>
      <c r="E1380" t="s">
        <v>30</v>
      </c>
      <c r="F1380" t="s">
        <v>3217</v>
      </c>
      <c r="G1380" t="s">
        <v>31</v>
      </c>
      <c r="H1380" t="str">
        <f>VLOOKUP(Table1[[#This Row],[City]],Table6[#All],2,FALSE)</f>
        <v>South</v>
      </c>
      <c r="I1380" t="s">
        <v>53</v>
      </c>
      <c r="J1380" t="str">
        <f>_xlfn.XLOOKUP(Table1[[#This Row],[Tractor Model]],Table7[Product Model],Table7[Product Category],"Not Available",0)</f>
        <v>Farmtrac</v>
      </c>
      <c r="K1380" s="4">
        <v>1</v>
      </c>
      <c r="L1380" s="72">
        <v>290250</v>
      </c>
      <c r="M1380" s="4">
        <f>INDEX('Master Sheet'!$C$4:$C$12,MATCH(Table1[[#This Row],[Quantity]],'Master Sheet'!$B$4:$B$12,0))</f>
        <v>3</v>
      </c>
      <c r="N1380" s="71">
        <f>Table1[[#This Row],[Quantity]]*Table1[[#This Row],[Unit Price]]</f>
        <v>290250</v>
      </c>
      <c r="O1380" s="73">
        <v>2.9024999999999999E-2</v>
      </c>
      <c r="P1380" s="70">
        <f>Table1[[#This Row],[Gross Amount]]*(1-(Table1[[#This Row],[Discount %]]/100))</f>
        <v>281542.5</v>
      </c>
      <c r="Q1380" s="74">
        <f>(Table1[[#This Row],[Gross Amount]]*(1-(Table1[[#This Row],[Discount %]]/100)))/10000000</f>
        <v>2.8154249999999999E-2</v>
      </c>
      <c r="R1380" t="s">
        <v>42</v>
      </c>
      <c r="S1380" t="str" cm="1">
        <f t="array" ref="S1380">IFERROR(_xlfn.IFS(Table1[[#This Row],[Payment Status]]="Partial","In Transit",Table1[[#This Row],[Payment Status]]="Paid","Delivered",Table1[[#This Row],[Payment Status]]="Pending","Pending"),"Invalid Input")</f>
        <v>Pending</v>
      </c>
      <c r="T1380" t="s">
        <v>44</v>
      </c>
      <c r="U1380" t="str" cm="1">
        <f t="array" ref="U1380">IFERROR(_xlfn.IFS(Table1[[#This Row],[Payment Status]]="Partial","In Transit",Table1[[#This Row],[Payment Status]]="Paid","Completed",Table1[[#This Row],[Payment Status]]="Pending","Pending"),"Invalid Input")</f>
        <v>Pending</v>
      </c>
    </row>
    <row r="1381" spans="1:21" x14ac:dyDescent="0.25">
      <c r="A1381" s="4" t="s">
        <v>2397</v>
      </c>
      <c r="B1381" s="5">
        <v>45750</v>
      </c>
      <c r="C1381" t="s">
        <v>73</v>
      </c>
      <c r="D1381" t="s">
        <v>37</v>
      </c>
      <c r="E1381" t="s">
        <v>119</v>
      </c>
      <c r="F1381" t="s">
        <v>3224</v>
      </c>
      <c r="G1381" t="s">
        <v>21</v>
      </c>
      <c r="H1381" t="str">
        <f>VLOOKUP(Table1[[#This Row],[City]],Table6[#All],2,FALSE)</f>
        <v>North</v>
      </c>
      <c r="I1381" t="s">
        <v>58</v>
      </c>
      <c r="J1381" t="str">
        <f>_xlfn.XLOOKUP(Table1[[#This Row],[Tractor Model]],Table7[Product Model],Table7[Product Category],"Not Available",0)</f>
        <v>Powertrac</v>
      </c>
      <c r="K1381" s="4">
        <v>1</v>
      </c>
      <c r="L1381" s="72">
        <v>343270</v>
      </c>
      <c r="M1381" s="4">
        <f>INDEX('Master Sheet'!$C$4:$C$12,MATCH(Table1[[#This Row],[Quantity]],'Master Sheet'!$B$4:$B$12,0))</f>
        <v>3</v>
      </c>
      <c r="N1381" s="71">
        <f>Table1[[#This Row],[Quantity]]*Table1[[#This Row],[Unit Price]]</f>
        <v>343270</v>
      </c>
      <c r="O1381" s="73">
        <v>3.4327000000000003E-2</v>
      </c>
      <c r="P1381" s="70">
        <f>Table1[[#This Row],[Gross Amount]]*(1-(Table1[[#This Row],[Discount %]]/100))</f>
        <v>332971.89999999997</v>
      </c>
      <c r="Q1381" s="74">
        <f>(Table1[[#This Row],[Gross Amount]]*(1-(Table1[[#This Row],[Discount %]]/100)))/10000000</f>
        <v>3.3297189999999997E-2</v>
      </c>
      <c r="R1381" t="s">
        <v>54</v>
      </c>
      <c r="S1381" t="str" cm="1">
        <f t="array" ref="S1381">IFERROR(_xlfn.IFS(Table1[[#This Row],[Payment Status]]="Partial","In Transit",Table1[[#This Row],[Payment Status]]="Paid","Delivered",Table1[[#This Row],[Payment Status]]="Pending","Pending"),"Invalid Input")</f>
        <v>Delivered</v>
      </c>
      <c r="T1381" t="s">
        <v>27</v>
      </c>
      <c r="U1381" t="str" cm="1">
        <f t="array" ref="U1381">IFERROR(_xlfn.IFS(Table1[[#This Row],[Payment Status]]="Partial","In Transit",Table1[[#This Row],[Payment Status]]="Paid","Completed",Table1[[#This Row],[Payment Status]]="Pending","Pending"),"Invalid Input")</f>
        <v>Completed</v>
      </c>
    </row>
    <row r="1382" spans="1:21" x14ac:dyDescent="0.25">
      <c r="A1382" s="4" t="s">
        <v>2398</v>
      </c>
      <c r="B1382" s="5">
        <v>45645</v>
      </c>
      <c r="C1382" t="s">
        <v>52</v>
      </c>
      <c r="D1382" t="s">
        <v>3268</v>
      </c>
      <c r="E1382" t="s">
        <v>66</v>
      </c>
      <c r="F1382" t="s">
        <v>3211</v>
      </c>
      <c r="G1382" t="s">
        <v>67</v>
      </c>
      <c r="H1382" t="str">
        <f>VLOOKUP(Table1[[#This Row],[City]],Table6[#All],2,FALSE)</f>
        <v>East</v>
      </c>
      <c r="I1382" t="s">
        <v>58</v>
      </c>
      <c r="J1382" t="str">
        <f>_xlfn.XLOOKUP(Table1[[#This Row],[Tractor Model]],Table7[Product Model],Table7[Product Category],"Not Available",0)</f>
        <v>Powertrac</v>
      </c>
      <c r="K1382" s="4">
        <v>8</v>
      </c>
      <c r="L1382" s="72">
        <v>352514</v>
      </c>
      <c r="M1382" s="4">
        <f>INDEX('Master Sheet'!$C$4:$C$12,MATCH(Table1[[#This Row],[Quantity]],'Master Sheet'!$B$4:$B$12,0))</f>
        <v>9</v>
      </c>
      <c r="N1382" s="71">
        <f>Table1[[#This Row],[Quantity]]*Table1[[#This Row],[Unit Price]]</f>
        <v>2820112</v>
      </c>
      <c r="O1382" s="73">
        <v>0.28201120000000002</v>
      </c>
      <c r="P1382" s="70">
        <f>Table1[[#This Row],[Gross Amount]]*(1-(Table1[[#This Row],[Discount %]]/100))</f>
        <v>2566301.92</v>
      </c>
      <c r="Q1382" s="74">
        <f>(Table1[[#This Row],[Gross Amount]]*(1-(Table1[[#This Row],[Discount %]]/100)))/10000000</f>
        <v>0.25663019199999998</v>
      </c>
      <c r="R1382" t="s">
        <v>25</v>
      </c>
      <c r="S1382" t="str" cm="1">
        <f t="array" ref="S1382">IFERROR(_xlfn.IFS(Table1[[#This Row],[Payment Status]]="Partial","In Transit",Table1[[#This Row],[Payment Status]]="Paid","Delivered",Table1[[#This Row],[Payment Status]]="Pending","Pending"),"Invalid Input")</f>
        <v>In Transit</v>
      </c>
      <c r="T1382" t="s">
        <v>27</v>
      </c>
      <c r="U1382" t="str" cm="1">
        <f t="array" ref="U1382">IFERROR(_xlfn.IFS(Table1[[#This Row],[Payment Status]]="Partial","In Transit",Table1[[#This Row],[Payment Status]]="Paid","Completed",Table1[[#This Row],[Payment Status]]="Pending","Pending"),"Invalid Input")</f>
        <v>In Transit</v>
      </c>
    </row>
    <row r="1383" spans="1:21" x14ac:dyDescent="0.25">
      <c r="A1383" s="4" t="s">
        <v>2399</v>
      </c>
      <c r="B1383" s="5">
        <v>45516</v>
      </c>
      <c r="C1383" t="s">
        <v>62</v>
      </c>
      <c r="D1383" t="s">
        <v>37</v>
      </c>
      <c r="E1383" t="s">
        <v>119</v>
      </c>
      <c r="F1383" t="s">
        <v>3224</v>
      </c>
      <c r="G1383" t="s">
        <v>21</v>
      </c>
      <c r="H1383" t="str">
        <f>VLOOKUP(Table1[[#This Row],[City]],Table6[#All],2,FALSE)</f>
        <v>North</v>
      </c>
      <c r="I1383" t="s">
        <v>3204</v>
      </c>
      <c r="J1383" t="str">
        <f>_xlfn.XLOOKUP(Table1[[#This Row],[Tractor Model]],Table7[Product Model],Table7[Product Category],"Not Available",0)</f>
        <v>Kubota</v>
      </c>
      <c r="K1383" s="4">
        <v>1</v>
      </c>
      <c r="L1383" s="72">
        <v>90831</v>
      </c>
      <c r="M1383" s="4">
        <f>INDEX('Master Sheet'!$C$4:$C$12,MATCH(Table1[[#This Row],[Quantity]],'Master Sheet'!$B$4:$B$12,0))</f>
        <v>3</v>
      </c>
      <c r="N1383" s="71">
        <f>Table1[[#This Row],[Quantity]]*Table1[[#This Row],[Unit Price]]</f>
        <v>90831</v>
      </c>
      <c r="O1383" s="73">
        <v>9.0831000000000002E-3</v>
      </c>
      <c r="P1383" s="70">
        <f>Table1[[#This Row],[Gross Amount]]*(1-(Table1[[#This Row],[Discount %]]/100))</f>
        <v>88106.069999999992</v>
      </c>
      <c r="Q1383" s="74">
        <f>(Table1[[#This Row],[Gross Amount]]*(1-(Table1[[#This Row],[Discount %]]/100)))/10000000</f>
        <v>8.8106069999999998E-3</v>
      </c>
      <c r="R1383" t="s">
        <v>42</v>
      </c>
      <c r="S1383" t="str" cm="1">
        <f t="array" ref="S1383">IFERROR(_xlfn.IFS(Table1[[#This Row],[Payment Status]]="Partial","In Transit",Table1[[#This Row],[Payment Status]]="Paid","Delivered",Table1[[#This Row],[Payment Status]]="Pending","Pending"),"Invalid Input")</f>
        <v>Pending</v>
      </c>
      <c r="T1383" t="s">
        <v>27</v>
      </c>
      <c r="U1383" t="str" cm="1">
        <f t="array" ref="U1383">IFERROR(_xlfn.IFS(Table1[[#This Row],[Payment Status]]="Partial","In Transit",Table1[[#This Row],[Payment Status]]="Paid","Completed",Table1[[#This Row],[Payment Status]]="Pending","Pending"),"Invalid Input")</f>
        <v>Pending</v>
      </c>
    </row>
    <row r="1384" spans="1:21" x14ac:dyDescent="0.25">
      <c r="A1384" s="4" t="s">
        <v>2400</v>
      </c>
      <c r="B1384" s="5">
        <v>45397</v>
      </c>
      <c r="C1384" t="s">
        <v>62</v>
      </c>
      <c r="D1384" t="s">
        <v>3269</v>
      </c>
      <c r="E1384" t="s">
        <v>47</v>
      </c>
      <c r="F1384" t="s">
        <v>3209</v>
      </c>
      <c r="G1384" t="s">
        <v>48</v>
      </c>
      <c r="H1384" t="str">
        <f>VLOOKUP(Table1[[#This Row],[City]],Table6[#All],2,FALSE)</f>
        <v>North</v>
      </c>
      <c r="I1384" t="s">
        <v>3204</v>
      </c>
      <c r="J1384" t="str">
        <f>_xlfn.XLOOKUP(Table1[[#This Row],[Tractor Model]],Table7[Product Model],Table7[Product Category],"Not Available",0)</f>
        <v>Kubota</v>
      </c>
      <c r="K1384" s="4">
        <v>2</v>
      </c>
      <c r="L1384" s="72">
        <v>566595</v>
      </c>
      <c r="M1384" s="4">
        <f>INDEX('Master Sheet'!$C$4:$C$12,MATCH(Table1[[#This Row],[Quantity]],'Master Sheet'!$B$4:$B$12,0))</f>
        <v>5</v>
      </c>
      <c r="N1384" s="71">
        <f>Table1[[#This Row],[Quantity]]*Table1[[#This Row],[Unit Price]]</f>
        <v>1133190</v>
      </c>
      <c r="O1384" s="73">
        <v>0.113319</v>
      </c>
      <c r="P1384" s="70">
        <f>Table1[[#This Row],[Gross Amount]]*(1-(Table1[[#This Row],[Discount %]]/100))</f>
        <v>1076530.5</v>
      </c>
      <c r="Q1384" s="74">
        <f>(Table1[[#This Row],[Gross Amount]]*(1-(Table1[[#This Row],[Discount %]]/100)))/10000000</f>
        <v>0.10765305</v>
      </c>
      <c r="R1384" t="s">
        <v>42</v>
      </c>
      <c r="S1384" t="str" cm="1">
        <f t="array" ref="S1384">IFERROR(_xlfn.IFS(Table1[[#This Row],[Payment Status]]="Partial","In Transit",Table1[[#This Row],[Payment Status]]="Paid","Delivered",Table1[[#This Row],[Payment Status]]="Pending","Pending"),"Invalid Input")</f>
        <v>Pending</v>
      </c>
      <c r="T1384" t="s">
        <v>44</v>
      </c>
      <c r="U1384" t="str" cm="1">
        <f t="array" ref="U1384">IFERROR(_xlfn.IFS(Table1[[#This Row],[Payment Status]]="Partial","In Transit",Table1[[#This Row],[Payment Status]]="Paid","Completed",Table1[[#This Row],[Payment Status]]="Pending","Pending"),"Invalid Input")</f>
        <v>Pending</v>
      </c>
    </row>
    <row r="1385" spans="1:21" x14ac:dyDescent="0.25">
      <c r="A1385" s="4" t="s">
        <v>2402</v>
      </c>
      <c r="B1385" s="5">
        <v>45519</v>
      </c>
      <c r="C1385" t="s">
        <v>73</v>
      </c>
      <c r="D1385" t="s">
        <v>3270</v>
      </c>
      <c r="E1385" t="s">
        <v>38</v>
      </c>
      <c r="F1385" t="s">
        <v>3218</v>
      </c>
      <c r="G1385" t="s">
        <v>39</v>
      </c>
      <c r="H1385" t="str">
        <f>VLOOKUP(Table1[[#This Row],[City]],Table6[#All],2,FALSE)</f>
        <v>West</v>
      </c>
      <c r="I1385" t="s">
        <v>58</v>
      </c>
      <c r="J1385" t="str">
        <f>_xlfn.XLOOKUP(Table1[[#This Row],[Tractor Model]],Table7[Product Model],Table7[Product Category],"Not Available",0)</f>
        <v>Powertrac</v>
      </c>
      <c r="K1385" s="4">
        <v>8</v>
      </c>
      <c r="L1385" s="72">
        <v>134803</v>
      </c>
      <c r="M1385" s="4">
        <f>INDEX('Master Sheet'!$C$4:$C$12,MATCH(Table1[[#This Row],[Quantity]],'Master Sheet'!$B$4:$B$12,0))</f>
        <v>9</v>
      </c>
      <c r="N1385" s="71">
        <f>Table1[[#This Row],[Quantity]]*Table1[[#This Row],[Unit Price]]</f>
        <v>1078424</v>
      </c>
      <c r="O1385" s="73">
        <v>0.1078424</v>
      </c>
      <c r="P1385" s="70">
        <f>Table1[[#This Row],[Gross Amount]]*(1-(Table1[[#This Row],[Discount %]]/100))</f>
        <v>981365.84000000008</v>
      </c>
      <c r="Q1385" s="74">
        <f>(Table1[[#This Row],[Gross Amount]]*(1-(Table1[[#This Row],[Discount %]]/100)))/10000000</f>
        <v>9.8136584000000013E-2</v>
      </c>
      <c r="R1385" t="s">
        <v>42</v>
      </c>
      <c r="S1385" t="str" cm="1">
        <f t="array" ref="S1385">IFERROR(_xlfn.IFS(Table1[[#This Row],[Payment Status]]="Partial","In Transit",Table1[[#This Row],[Payment Status]]="Paid","Delivered",Table1[[#This Row],[Payment Status]]="Pending","Pending"),"Invalid Input")</f>
        <v>Pending</v>
      </c>
      <c r="T1385" t="s">
        <v>27</v>
      </c>
      <c r="U1385" t="str" cm="1">
        <f t="array" ref="U1385">IFERROR(_xlfn.IFS(Table1[[#This Row],[Payment Status]]="Partial","In Transit",Table1[[#This Row],[Payment Status]]="Paid","Completed",Table1[[#This Row],[Payment Status]]="Pending","Pending"),"Invalid Input")</f>
        <v>Pending</v>
      </c>
    </row>
    <row r="1386" spans="1:21" x14ac:dyDescent="0.25">
      <c r="A1386" s="4" t="s">
        <v>2403</v>
      </c>
      <c r="B1386" s="5">
        <v>45555</v>
      </c>
      <c r="C1386" t="s">
        <v>52</v>
      </c>
      <c r="D1386" t="s">
        <v>3268</v>
      </c>
      <c r="E1386" t="s">
        <v>47</v>
      </c>
      <c r="F1386" t="s">
        <v>3216</v>
      </c>
      <c r="G1386" t="s">
        <v>48</v>
      </c>
      <c r="H1386" t="str">
        <f>VLOOKUP(Table1[[#This Row],[City]],Table6[#All],2,FALSE)</f>
        <v>North</v>
      </c>
      <c r="I1386" t="s">
        <v>3203</v>
      </c>
      <c r="J1386" t="str">
        <f>_xlfn.XLOOKUP(Table1[[#This Row],[Tractor Model]],Table7[Product Model],Table7[Product Category],"Not Available",0)</f>
        <v>Kubota</v>
      </c>
      <c r="K1386" s="4">
        <v>4</v>
      </c>
      <c r="L1386" s="72">
        <v>91615</v>
      </c>
      <c r="M1386" s="4">
        <f>INDEX('Master Sheet'!$C$4:$C$12,MATCH(Table1[[#This Row],[Quantity]],'Master Sheet'!$B$4:$B$12,0))</f>
        <v>6</v>
      </c>
      <c r="N1386" s="71">
        <f>Table1[[#This Row],[Quantity]]*Table1[[#This Row],[Unit Price]]</f>
        <v>366460</v>
      </c>
      <c r="O1386" s="73">
        <v>3.6645999999999998E-2</v>
      </c>
      <c r="P1386" s="70">
        <f>Table1[[#This Row],[Gross Amount]]*(1-(Table1[[#This Row],[Discount %]]/100))</f>
        <v>344472.39999999997</v>
      </c>
      <c r="Q1386" s="74">
        <f>(Table1[[#This Row],[Gross Amount]]*(1-(Table1[[#This Row],[Discount %]]/100)))/10000000</f>
        <v>3.4447239999999997E-2</v>
      </c>
      <c r="R1386" t="s">
        <v>54</v>
      </c>
      <c r="S1386" t="str" cm="1">
        <f t="array" ref="S1386">IFERROR(_xlfn.IFS(Table1[[#This Row],[Payment Status]]="Partial","In Transit",Table1[[#This Row],[Payment Status]]="Paid","Delivered",Table1[[#This Row],[Payment Status]]="Pending","Pending"),"Invalid Input")</f>
        <v>Delivered</v>
      </c>
      <c r="T1386" t="s">
        <v>27</v>
      </c>
      <c r="U1386" t="str" cm="1">
        <f t="array" ref="U1386">IFERROR(_xlfn.IFS(Table1[[#This Row],[Payment Status]]="Partial","In Transit",Table1[[#This Row],[Payment Status]]="Paid","Completed",Table1[[#This Row],[Payment Status]]="Pending","Pending"),"Invalid Input")</f>
        <v>Completed</v>
      </c>
    </row>
    <row r="1387" spans="1:21" x14ac:dyDescent="0.25">
      <c r="A1387" s="4" t="s">
        <v>2405</v>
      </c>
      <c r="B1387" s="5">
        <v>45393</v>
      </c>
      <c r="C1387" t="s">
        <v>73</v>
      </c>
      <c r="D1387" t="s">
        <v>3270</v>
      </c>
      <c r="E1387" t="s">
        <v>38</v>
      </c>
      <c r="F1387" t="s">
        <v>3218</v>
      </c>
      <c r="G1387" t="s">
        <v>39</v>
      </c>
      <c r="H1387" t="str">
        <f>VLOOKUP(Table1[[#This Row],[City]],Table6[#All],2,FALSE)</f>
        <v>West</v>
      </c>
      <c r="I1387" t="s">
        <v>24</v>
      </c>
      <c r="J1387" t="str">
        <f>_xlfn.XLOOKUP(Table1[[#This Row],[Tractor Model]],Table7[Product Model],Table7[Product Category],"Not Available",0)</f>
        <v>Farmtrac</v>
      </c>
      <c r="K1387" s="4">
        <v>5</v>
      </c>
      <c r="L1387" s="72">
        <v>161803</v>
      </c>
      <c r="M1387" s="4">
        <f>INDEX('Master Sheet'!$C$4:$C$12,MATCH(Table1[[#This Row],[Quantity]],'Master Sheet'!$B$4:$B$12,0))</f>
        <v>7</v>
      </c>
      <c r="N1387" s="71">
        <f>Table1[[#This Row],[Quantity]]*Table1[[#This Row],[Unit Price]]</f>
        <v>809015</v>
      </c>
      <c r="O1387" s="73">
        <v>8.0901500000000001E-2</v>
      </c>
      <c r="P1387" s="70">
        <f>Table1[[#This Row],[Gross Amount]]*(1-(Table1[[#This Row],[Discount %]]/100))</f>
        <v>752383.95</v>
      </c>
      <c r="Q1387" s="74">
        <f>(Table1[[#This Row],[Gross Amount]]*(1-(Table1[[#This Row],[Discount %]]/100)))/10000000</f>
        <v>7.5238395E-2</v>
      </c>
      <c r="R1387" t="s">
        <v>25</v>
      </c>
      <c r="S1387" t="str" cm="1">
        <f t="array" ref="S1387">IFERROR(_xlfn.IFS(Table1[[#This Row],[Payment Status]]="Partial","In Transit",Table1[[#This Row],[Payment Status]]="Paid","Delivered",Table1[[#This Row],[Payment Status]]="Pending","Pending"),"Invalid Input")</f>
        <v>In Transit</v>
      </c>
      <c r="T1387" t="s">
        <v>44</v>
      </c>
      <c r="U1387" t="str" cm="1">
        <f t="array" ref="U1387">IFERROR(_xlfn.IFS(Table1[[#This Row],[Payment Status]]="Partial","In Transit",Table1[[#This Row],[Payment Status]]="Paid","Completed",Table1[[#This Row],[Payment Status]]="Pending","Pending"),"Invalid Input")</f>
        <v>In Transit</v>
      </c>
    </row>
    <row r="1388" spans="1:21" x14ac:dyDescent="0.25">
      <c r="A1388" s="4" t="s">
        <v>2406</v>
      </c>
      <c r="B1388" s="5">
        <v>45586</v>
      </c>
      <c r="C1388" t="s">
        <v>62</v>
      </c>
      <c r="D1388" t="s">
        <v>3268</v>
      </c>
      <c r="E1388" t="s">
        <v>38</v>
      </c>
      <c r="F1388" t="s">
        <v>3219</v>
      </c>
      <c r="G1388" t="s">
        <v>39</v>
      </c>
      <c r="H1388" t="str">
        <f>VLOOKUP(Table1[[#This Row],[City]],Table6[#All],2,FALSE)</f>
        <v>West</v>
      </c>
      <c r="I1388" t="s">
        <v>53</v>
      </c>
      <c r="J1388" t="str">
        <f>_xlfn.XLOOKUP(Table1[[#This Row],[Tractor Model]],Table7[Product Model],Table7[Product Category],"Not Available",0)</f>
        <v>Farmtrac</v>
      </c>
      <c r="K1388" s="4">
        <v>3</v>
      </c>
      <c r="L1388" s="72">
        <v>276853</v>
      </c>
      <c r="M1388" s="4">
        <f>INDEX('Master Sheet'!$C$4:$C$12,MATCH(Table1[[#This Row],[Quantity]],'Master Sheet'!$B$4:$B$12,0))</f>
        <v>6</v>
      </c>
      <c r="N1388" s="71">
        <f>Table1[[#This Row],[Quantity]]*Table1[[#This Row],[Unit Price]]</f>
        <v>830559</v>
      </c>
      <c r="O1388" s="73">
        <v>8.3055900000000002E-2</v>
      </c>
      <c r="P1388" s="70">
        <f>Table1[[#This Row],[Gross Amount]]*(1-(Table1[[#This Row],[Discount %]]/100))</f>
        <v>780725.46</v>
      </c>
      <c r="Q1388" s="74">
        <f>(Table1[[#This Row],[Gross Amount]]*(1-(Table1[[#This Row],[Discount %]]/100)))/10000000</f>
        <v>7.8072545999999993E-2</v>
      </c>
      <c r="R1388" t="s">
        <v>42</v>
      </c>
      <c r="S1388" t="str" cm="1">
        <f t="array" ref="S1388">IFERROR(_xlfn.IFS(Table1[[#This Row],[Payment Status]]="Partial","In Transit",Table1[[#This Row],[Payment Status]]="Paid","Delivered",Table1[[#This Row],[Payment Status]]="Pending","Pending"),"Invalid Input")</f>
        <v>Pending</v>
      </c>
      <c r="T1388" t="s">
        <v>44</v>
      </c>
      <c r="U1388" t="str" cm="1">
        <f t="array" ref="U1388">IFERROR(_xlfn.IFS(Table1[[#This Row],[Payment Status]]="Partial","In Transit",Table1[[#This Row],[Payment Status]]="Paid","Completed",Table1[[#This Row],[Payment Status]]="Pending","Pending"),"Invalid Input")</f>
        <v>Pending</v>
      </c>
    </row>
    <row r="1389" spans="1:21" x14ac:dyDescent="0.25">
      <c r="A1389" s="4" t="s">
        <v>2407</v>
      </c>
      <c r="B1389" s="5">
        <v>45602</v>
      </c>
      <c r="C1389" t="s">
        <v>41</v>
      </c>
      <c r="D1389" t="s">
        <v>3268</v>
      </c>
      <c r="E1389" t="s">
        <v>30</v>
      </c>
      <c r="F1389" t="s">
        <v>3208</v>
      </c>
      <c r="G1389" t="s">
        <v>31</v>
      </c>
      <c r="H1389" t="str">
        <f>VLOOKUP(Table1[[#This Row],[City]],Table6[#All],2,FALSE)</f>
        <v>South</v>
      </c>
      <c r="I1389" t="s">
        <v>53</v>
      </c>
      <c r="J1389" t="str">
        <f>_xlfn.XLOOKUP(Table1[[#This Row],[Tractor Model]],Table7[Product Model],Table7[Product Category],"Not Available",0)</f>
        <v>Farmtrac</v>
      </c>
      <c r="K1389" s="4">
        <v>5</v>
      </c>
      <c r="L1389" s="72">
        <v>821281</v>
      </c>
      <c r="M1389" s="4">
        <f>INDEX('Master Sheet'!$C$4:$C$12,MATCH(Table1[[#This Row],[Quantity]],'Master Sheet'!$B$4:$B$12,0))</f>
        <v>7</v>
      </c>
      <c r="N1389" s="71">
        <f>Table1[[#This Row],[Quantity]]*Table1[[#This Row],[Unit Price]]</f>
        <v>4106405</v>
      </c>
      <c r="O1389" s="73">
        <v>0.41064050000000002</v>
      </c>
      <c r="P1389" s="70">
        <f>Table1[[#This Row],[Gross Amount]]*(1-(Table1[[#This Row],[Discount %]]/100))</f>
        <v>3818956.65</v>
      </c>
      <c r="Q1389" s="74">
        <f>(Table1[[#This Row],[Gross Amount]]*(1-(Table1[[#This Row],[Discount %]]/100)))/10000000</f>
        <v>0.381895665</v>
      </c>
      <c r="R1389" t="s">
        <v>42</v>
      </c>
      <c r="S1389" t="str" cm="1">
        <f t="array" ref="S1389">IFERROR(_xlfn.IFS(Table1[[#This Row],[Payment Status]]="Partial","In Transit",Table1[[#This Row],[Payment Status]]="Paid","Delivered",Table1[[#This Row],[Payment Status]]="Pending","Pending"),"Invalid Input")</f>
        <v>Pending</v>
      </c>
      <c r="T1389" t="s">
        <v>44</v>
      </c>
      <c r="U1389" t="str" cm="1">
        <f t="array" ref="U1389">IFERROR(_xlfn.IFS(Table1[[#This Row],[Payment Status]]="Partial","In Transit",Table1[[#This Row],[Payment Status]]="Paid","Completed",Table1[[#This Row],[Payment Status]]="Pending","Pending"),"Invalid Input")</f>
        <v>Pending</v>
      </c>
    </row>
    <row r="1390" spans="1:21" x14ac:dyDescent="0.25">
      <c r="A1390" s="4" t="s">
        <v>2409</v>
      </c>
      <c r="B1390" s="5">
        <v>45601</v>
      </c>
      <c r="C1390" t="s">
        <v>33</v>
      </c>
      <c r="D1390" t="s">
        <v>3271</v>
      </c>
      <c r="E1390" t="s">
        <v>30</v>
      </c>
      <c r="F1390" t="s">
        <v>3217</v>
      </c>
      <c r="G1390" t="s">
        <v>31</v>
      </c>
      <c r="H1390" t="str">
        <f>VLOOKUP(Table1[[#This Row],[City]],Table6[#All],2,FALSE)</f>
        <v>South</v>
      </c>
      <c r="I1390" t="s">
        <v>58</v>
      </c>
      <c r="J1390" t="str">
        <f>_xlfn.XLOOKUP(Table1[[#This Row],[Tractor Model]],Table7[Product Model],Table7[Product Category],"Not Available",0)</f>
        <v>Powertrac</v>
      </c>
      <c r="K1390" s="4">
        <v>8</v>
      </c>
      <c r="L1390" s="72">
        <v>495423</v>
      </c>
      <c r="M1390" s="4">
        <f>INDEX('Master Sheet'!$C$4:$C$12,MATCH(Table1[[#This Row],[Quantity]],'Master Sheet'!$B$4:$B$12,0))</f>
        <v>9</v>
      </c>
      <c r="N1390" s="71">
        <f>Table1[[#This Row],[Quantity]]*Table1[[#This Row],[Unit Price]]</f>
        <v>3963384</v>
      </c>
      <c r="O1390" s="73">
        <v>0.39633839999999998</v>
      </c>
      <c r="P1390" s="70">
        <f>Table1[[#This Row],[Gross Amount]]*(1-(Table1[[#This Row],[Discount %]]/100))</f>
        <v>3606679.44</v>
      </c>
      <c r="Q1390" s="74">
        <f>(Table1[[#This Row],[Gross Amount]]*(1-(Table1[[#This Row],[Discount %]]/100)))/10000000</f>
        <v>0.36066794400000002</v>
      </c>
      <c r="R1390" t="s">
        <v>25</v>
      </c>
      <c r="S1390" t="str" cm="1">
        <f t="array" ref="S1390">IFERROR(_xlfn.IFS(Table1[[#This Row],[Payment Status]]="Partial","In Transit",Table1[[#This Row],[Payment Status]]="Paid","Delivered",Table1[[#This Row],[Payment Status]]="Pending","Pending"),"Invalid Input")</f>
        <v>In Transit</v>
      </c>
      <c r="T1390" t="s">
        <v>27</v>
      </c>
      <c r="U1390" t="str" cm="1">
        <f t="array" ref="U1390">IFERROR(_xlfn.IFS(Table1[[#This Row],[Payment Status]]="Partial","In Transit",Table1[[#This Row],[Payment Status]]="Paid","Completed",Table1[[#This Row],[Payment Status]]="Pending","Pending"),"Invalid Input")</f>
        <v>In Transit</v>
      </c>
    </row>
    <row r="1391" spans="1:21" x14ac:dyDescent="0.25">
      <c r="A1391" s="4" t="s">
        <v>2411</v>
      </c>
      <c r="B1391" s="5">
        <v>45385</v>
      </c>
      <c r="C1391" t="s">
        <v>33</v>
      </c>
      <c r="D1391" t="s">
        <v>3270</v>
      </c>
      <c r="E1391" t="s">
        <v>38</v>
      </c>
      <c r="F1391" t="s">
        <v>3218</v>
      </c>
      <c r="G1391" t="s">
        <v>39</v>
      </c>
      <c r="H1391" t="str">
        <f>VLOOKUP(Table1[[#This Row],[City]],Table6[#All],2,FALSE)</f>
        <v>West</v>
      </c>
      <c r="I1391" t="s">
        <v>24</v>
      </c>
      <c r="J1391" t="str">
        <f>_xlfn.XLOOKUP(Table1[[#This Row],[Tractor Model]],Table7[Product Model],Table7[Product Category],"Not Available",0)</f>
        <v>Farmtrac</v>
      </c>
      <c r="K1391" s="4">
        <v>3</v>
      </c>
      <c r="L1391" s="72">
        <v>548599</v>
      </c>
      <c r="M1391" s="4">
        <f>INDEX('Master Sheet'!$C$4:$C$12,MATCH(Table1[[#This Row],[Quantity]],'Master Sheet'!$B$4:$B$12,0))</f>
        <v>6</v>
      </c>
      <c r="N1391" s="71">
        <f>Table1[[#This Row],[Quantity]]*Table1[[#This Row],[Unit Price]]</f>
        <v>1645797</v>
      </c>
      <c r="O1391" s="73">
        <v>0.1645797</v>
      </c>
      <c r="P1391" s="70">
        <f>Table1[[#This Row],[Gross Amount]]*(1-(Table1[[#This Row],[Discount %]]/100))</f>
        <v>1547049.18</v>
      </c>
      <c r="Q1391" s="74">
        <f>(Table1[[#This Row],[Gross Amount]]*(1-(Table1[[#This Row],[Discount %]]/100)))/10000000</f>
        <v>0.154704918</v>
      </c>
      <c r="R1391" t="s">
        <v>42</v>
      </c>
      <c r="S1391" t="str" cm="1">
        <f t="array" ref="S1391">IFERROR(_xlfn.IFS(Table1[[#This Row],[Payment Status]]="Partial","In Transit",Table1[[#This Row],[Payment Status]]="Paid","Delivered",Table1[[#This Row],[Payment Status]]="Pending","Pending"),"Invalid Input")</f>
        <v>Pending</v>
      </c>
      <c r="T1391" t="s">
        <v>27</v>
      </c>
      <c r="U1391" t="str" cm="1">
        <f t="array" ref="U1391">IFERROR(_xlfn.IFS(Table1[[#This Row],[Payment Status]]="Partial","In Transit",Table1[[#This Row],[Payment Status]]="Paid","Completed",Table1[[#This Row],[Payment Status]]="Pending","Pending"),"Invalid Input")</f>
        <v>Pending</v>
      </c>
    </row>
    <row r="1392" spans="1:21" x14ac:dyDescent="0.25">
      <c r="A1392" s="4" t="s">
        <v>2413</v>
      </c>
      <c r="B1392" s="5">
        <v>45636</v>
      </c>
      <c r="C1392" t="s">
        <v>62</v>
      </c>
      <c r="D1392" t="s">
        <v>3268</v>
      </c>
      <c r="E1392" t="s">
        <v>30</v>
      </c>
      <c r="F1392" t="s">
        <v>3208</v>
      </c>
      <c r="G1392" t="s">
        <v>31</v>
      </c>
      <c r="H1392" t="str">
        <f>VLOOKUP(Table1[[#This Row],[City]],Table6[#All],2,FALSE)</f>
        <v>South</v>
      </c>
      <c r="I1392" t="s">
        <v>58</v>
      </c>
      <c r="J1392" t="str">
        <f>_xlfn.XLOOKUP(Table1[[#This Row],[Tractor Model]],Table7[Product Model],Table7[Product Category],"Not Available",0)</f>
        <v>Powertrac</v>
      </c>
      <c r="K1392" s="4">
        <v>2</v>
      </c>
      <c r="L1392" s="72">
        <v>343259</v>
      </c>
      <c r="M1392" s="4">
        <f>INDEX('Master Sheet'!$C$4:$C$12,MATCH(Table1[[#This Row],[Quantity]],'Master Sheet'!$B$4:$B$12,0))</f>
        <v>5</v>
      </c>
      <c r="N1392" s="71">
        <f>Table1[[#This Row],[Quantity]]*Table1[[#This Row],[Unit Price]]</f>
        <v>686518</v>
      </c>
      <c r="O1392" s="73">
        <v>6.8651799999999999E-2</v>
      </c>
      <c r="P1392" s="70">
        <f>Table1[[#This Row],[Gross Amount]]*(1-(Table1[[#This Row],[Discount %]]/100))</f>
        <v>652192.1</v>
      </c>
      <c r="Q1392" s="74">
        <f>(Table1[[#This Row],[Gross Amount]]*(1-(Table1[[#This Row],[Discount %]]/100)))/10000000</f>
        <v>6.521921E-2</v>
      </c>
      <c r="R1392" t="s">
        <v>42</v>
      </c>
      <c r="S1392" t="str" cm="1">
        <f t="array" ref="S1392">IFERROR(_xlfn.IFS(Table1[[#This Row],[Payment Status]]="Partial","In Transit",Table1[[#This Row],[Payment Status]]="Paid","Delivered",Table1[[#This Row],[Payment Status]]="Pending","Pending"),"Invalid Input")</f>
        <v>Pending</v>
      </c>
      <c r="T1392" t="s">
        <v>44</v>
      </c>
      <c r="U1392" t="str" cm="1">
        <f t="array" ref="U1392">IFERROR(_xlfn.IFS(Table1[[#This Row],[Payment Status]]="Partial","In Transit",Table1[[#This Row],[Payment Status]]="Paid","Completed",Table1[[#This Row],[Payment Status]]="Pending","Pending"),"Invalid Input")</f>
        <v>Pending</v>
      </c>
    </row>
    <row r="1393" spans="1:21" x14ac:dyDescent="0.25">
      <c r="A1393" s="4" t="s">
        <v>2414</v>
      </c>
      <c r="B1393" s="5">
        <v>45773</v>
      </c>
      <c r="C1393" t="s">
        <v>33</v>
      </c>
      <c r="D1393" t="s">
        <v>3271</v>
      </c>
      <c r="E1393" t="s">
        <v>38</v>
      </c>
      <c r="F1393" t="s">
        <v>3210</v>
      </c>
      <c r="G1393" t="s">
        <v>39</v>
      </c>
      <c r="H1393" t="str">
        <f>VLOOKUP(Table1[[#This Row],[City]],Table6[#All],2,FALSE)</f>
        <v>West</v>
      </c>
      <c r="I1393" t="s">
        <v>3203</v>
      </c>
      <c r="J1393" t="str">
        <f>_xlfn.XLOOKUP(Table1[[#This Row],[Tractor Model]],Table7[Product Model],Table7[Product Category],"Not Available",0)</f>
        <v>Kubota</v>
      </c>
      <c r="K1393" s="4">
        <v>7</v>
      </c>
      <c r="L1393" s="72">
        <v>773258</v>
      </c>
      <c r="M1393" s="4">
        <f>INDEX('Master Sheet'!$C$4:$C$12,MATCH(Table1[[#This Row],[Quantity]],'Master Sheet'!$B$4:$B$12,0))</f>
        <v>9</v>
      </c>
      <c r="N1393" s="71">
        <f>Table1[[#This Row],[Quantity]]*Table1[[#This Row],[Unit Price]]</f>
        <v>5412806</v>
      </c>
      <c r="O1393" s="73">
        <v>0.5412806</v>
      </c>
      <c r="P1393" s="70">
        <f>Table1[[#This Row],[Gross Amount]]*(1-(Table1[[#This Row],[Discount %]]/100))</f>
        <v>4925653.46</v>
      </c>
      <c r="Q1393" s="74">
        <f>(Table1[[#This Row],[Gross Amount]]*(1-(Table1[[#This Row],[Discount %]]/100)))/10000000</f>
        <v>0.49256534600000002</v>
      </c>
      <c r="R1393" t="s">
        <v>54</v>
      </c>
      <c r="S1393" t="str" cm="1">
        <f t="array" ref="S1393">IFERROR(_xlfn.IFS(Table1[[#This Row],[Payment Status]]="Partial","In Transit",Table1[[#This Row],[Payment Status]]="Paid","Delivered",Table1[[#This Row],[Payment Status]]="Pending","Pending"),"Invalid Input")</f>
        <v>Delivered</v>
      </c>
      <c r="T1393" t="s">
        <v>27</v>
      </c>
      <c r="U1393" t="str" cm="1">
        <f t="array" ref="U1393">IFERROR(_xlfn.IFS(Table1[[#This Row],[Payment Status]]="Partial","In Transit",Table1[[#This Row],[Payment Status]]="Paid","Completed",Table1[[#This Row],[Payment Status]]="Pending","Pending"),"Invalid Input")</f>
        <v>Completed</v>
      </c>
    </row>
    <row r="1394" spans="1:21" x14ac:dyDescent="0.25">
      <c r="A1394" s="4" t="s">
        <v>2415</v>
      </c>
      <c r="B1394" s="5">
        <v>45365</v>
      </c>
      <c r="C1394" t="s">
        <v>52</v>
      </c>
      <c r="D1394" t="s">
        <v>3268</v>
      </c>
      <c r="E1394" t="s">
        <v>119</v>
      </c>
      <c r="F1394" t="s">
        <v>3227</v>
      </c>
      <c r="G1394" t="s">
        <v>21</v>
      </c>
      <c r="H1394" t="str">
        <f>VLOOKUP(Table1[[#This Row],[City]],Table6[#All],2,FALSE)</f>
        <v>North</v>
      </c>
      <c r="I1394" t="s">
        <v>3203</v>
      </c>
      <c r="J1394" t="str">
        <f>_xlfn.XLOOKUP(Table1[[#This Row],[Tractor Model]],Table7[Product Model],Table7[Product Category],"Not Available",0)</f>
        <v>Kubota</v>
      </c>
      <c r="K1394" s="4">
        <v>4</v>
      </c>
      <c r="L1394" s="72">
        <v>442119</v>
      </c>
      <c r="M1394" s="4">
        <f>INDEX('Master Sheet'!$C$4:$C$12,MATCH(Table1[[#This Row],[Quantity]],'Master Sheet'!$B$4:$B$12,0))</f>
        <v>6</v>
      </c>
      <c r="N1394" s="71">
        <f>Table1[[#This Row],[Quantity]]*Table1[[#This Row],[Unit Price]]</f>
        <v>1768476</v>
      </c>
      <c r="O1394" s="73">
        <v>0.17684759999999999</v>
      </c>
      <c r="P1394" s="70">
        <f>Table1[[#This Row],[Gross Amount]]*(1-(Table1[[#This Row],[Discount %]]/100))</f>
        <v>1662367.44</v>
      </c>
      <c r="Q1394" s="74">
        <f>(Table1[[#This Row],[Gross Amount]]*(1-(Table1[[#This Row],[Discount %]]/100)))/10000000</f>
        <v>0.16623674399999999</v>
      </c>
      <c r="R1394" t="s">
        <v>42</v>
      </c>
      <c r="S1394" t="str" cm="1">
        <f t="array" ref="S1394">IFERROR(_xlfn.IFS(Table1[[#This Row],[Payment Status]]="Partial","In Transit",Table1[[#This Row],[Payment Status]]="Paid","Delivered",Table1[[#This Row],[Payment Status]]="Pending","Pending"),"Invalid Input")</f>
        <v>Pending</v>
      </c>
      <c r="T1394" t="s">
        <v>44</v>
      </c>
      <c r="U1394" t="str" cm="1">
        <f t="array" ref="U1394">IFERROR(_xlfn.IFS(Table1[[#This Row],[Payment Status]]="Partial","In Transit",Table1[[#This Row],[Payment Status]]="Paid","Completed",Table1[[#This Row],[Payment Status]]="Pending","Pending"),"Invalid Input")</f>
        <v>Pending</v>
      </c>
    </row>
    <row r="1395" spans="1:21" x14ac:dyDescent="0.25">
      <c r="A1395" s="4" t="s">
        <v>2417</v>
      </c>
      <c r="B1395" s="5">
        <v>45344</v>
      </c>
      <c r="C1395" t="s">
        <v>62</v>
      </c>
      <c r="D1395" t="s">
        <v>3268</v>
      </c>
      <c r="E1395" t="s">
        <v>119</v>
      </c>
      <c r="F1395" t="s">
        <v>3227</v>
      </c>
      <c r="G1395" t="s">
        <v>21</v>
      </c>
      <c r="H1395" t="str">
        <f>VLOOKUP(Table1[[#This Row],[City]],Table6[#All],2,FALSE)</f>
        <v>North</v>
      </c>
      <c r="I1395" t="s">
        <v>3203</v>
      </c>
      <c r="J1395" t="str">
        <f>_xlfn.XLOOKUP(Table1[[#This Row],[Tractor Model]],Table7[Product Model],Table7[Product Category],"Not Available",0)</f>
        <v>Kubota</v>
      </c>
      <c r="K1395" s="4">
        <v>6</v>
      </c>
      <c r="L1395" s="72">
        <v>795607</v>
      </c>
      <c r="M1395" s="4">
        <f>INDEX('Master Sheet'!$C$4:$C$12,MATCH(Table1[[#This Row],[Quantity]],'Master Sheet'!$B$4:$B$12,0))</f>
        <v>8</v>
      </c>
      <c r="N1395" s="71">
        <f>Table1[[#This Row],[Quantity]]*Table1[[#This Row],[Unit Price]]</f>
        <v>4773642</v>
      </c>
      <c r="O1395" s="73">
        <v>0.47736420000000002</v>
      </c>
      <c r="P1395" s="70">
        <f>Table1[[#This Row],[Gross Amount]]*(1-(Table1[[#This Row],[Discount %]]/100))</f>
        <v>4391750.6400000006</v>
      </c>
      <c r="Q1395" s="74">
        <f>(Table1[[#This Row],[Gross Amount]]*(1-(Table1[[#This Row],[Discount %]]/100)))/10000000</f>
        <v>0.43917506400000006</v>
      </c>
      <c r="R1395" t="s">
        <v>54</v>
      </c>
      <c r="S1395" t="str" cm="1">
        <f t="array" ref="S1395">IFERROR(_xlfn.IFS(Table1[[#This Row],[Payment Status]]="Partial","In Transit",Table1[[#This Row],[Payment Status]]="Paid","Delivered",Table1[[#This Row],[Payment Status]]="Pending","Pending"),"Invalid Input")</f>
        <v>Delivered</v>
      </c>
      <c r="T1395" t="s">
        <v>27</v>
      </c>
      <c r="U1395" t="str" cm="1">
        <f t="array" ref="U1395">IFERROR(_xlfn.IFS(Table1[[#This Row],[Payment Status]]="Partial","In Transit",Table1[[#This Row],[Payment Status]]="Paid","Completed",Table1[[#This Row],[Payment Status]]="Pending","Pending"),"Invalid Input")</f>
        <v>Completed</v>
      </c>
    </row>
    <row r="1396" spans="1:21" x14ac:dyDescent="0.25">
      <c r="A1396" s="4" t="s">
        <v>2419</v>
      </c>
      <c r="B1396" s="5">
        <v>45532</v>
      </c>
      <c r="C1396" t="s">
        <v>52</v>
      </c>
      <c r="D1396" t="s">
        <v>3270</v>
      </c>
      <c r="E1396" t="s">
        <v>66</v>
      </c>
      <c r="F1396" t="s">
        <v>3220</v>
      </c>
      <c r="G1396" t="s">
        <v>67</v>
      </c>
      <c r="H1396" t="str">
        <f>VLOOKUP(Table1[[#This Row],[City]],Table6[#All],2,FALSE)</f>
        <v>East</v>
      </c>
      <c r="I1396" t="s">
        <v>24</v>
      </c>
      <c r="J1396" t="str">
        <f>_xlfn.XLOOKUP(Table1[[#This Row],[Tractor Model]],Table7[Product Model],Table7[Product Category],"Not Available",0)</f>
        <v>Farmtrac</v>
      </c>
      <c r="K1396" s="4">
        <v>2</v>
      </c>
      <c r="L1396" s="72">
        <v>567791</v>
      </c>
      <c r="M1396" s="4">
        <f>INDEX('Master Sheet'!$C$4:$C$12,MATCH(Table1[[#This Row],[Quantity]],'Master Sheet'!$B$4:$B$12,0))</f>
        <v>5</v>
      </c>
      <c r="N1396" s="71">
        <f>Table1[[#This Row],[Quantity]]*Table1[[#This Row],[Unit Price]]</f>
        <v>1135582</v>
      </c>
      <c r="O1396" s="73">
        <v>0.1135582</v>
      </c>
      <c r="P1396" s="70">
        <f>Table1[[#This Row],[Gross Amount]]*(1-(Table1[[#This Row],[Discount %]]/100))</f>
        <v>1078802.8999999999</v>
      </c>
      <c r="Q1396" s="74">
        <f>(Table1[[#This Row],[Gross Amount]]*(1-(Table1[[#This Row],[Discount %]]/100)))/10000000</f>
        <v>0.10788028999999999</v>
      </c>
      <c r="R1396" t="s">
        <v>54</v>
      </c>
      <c r="S1396" t="str" cm="1">
        <f t="array" ref="S1396">IFERROR(_xlfn.IFS(Table1[[#This Row],[Payment Status]]="Partial","In Transit",Table1[[#This Row],[Payment Status]]="Paid","Delivered",Table1[[#This Row],[Payment Status]]="Pending","Pending"),"Invalid Input")</f>
        <v>Delivered</v>
      </c>
      <c r="T1396" t="s">
        <v>44</v>
      </c>
      <c r="U1396" t="str" cm="1">
        <f t="array" ref="U1396">IFERROR(_xlfn.IFS(Table1[[#This Row],[Payment Status]]="Partial","In Transit",Table1[[#This Row],[Payment Status]]="Paid","Completed",Table1[[#This Row],[Payment Status]]="Pending","Pending"),"Invalid Input")</f>
        <v>Completed</v>
      </c>
    </row>
    <row r="1397" spans="1:21" x14ac:dyDescent="0.25">
      <c r="A1397" s="4" t="s">
        <v>2421</v>
      </c>
      <c r="B1397" s="5">
        <v>45471</v>
      </c>
      <c r="C1397" t="s">
        <v>62</v>
      </c>
      <c r="D1397" t="s">
        <v>3271</v>
      </c>
      <c r="E1397" t="s">
        <v>30</v>
      </c>
      <c r="F1397" t="s">
        <v>3217</v>
      </c>
      <c r="G1397" t="s">
        <v>31</v>
      </c>
      <c r="H1397" t="str">
        <f>VLOOKUP(Table1[[#This Row],[City]],Table6[#All],2,FALSE)</f>
        <v>South</v>
      </c>
      <c r="I1397" t="s">
        <v>58</v>
      </c>
      <c r="J1397" t="str">
        <f>_xlfn.XLOOKUP(Table1[[#This Row],[Tractor Model]],Table7[Product Model],Table7[Product Category],"Not Available",0)</f>
        <v>Powertrac</v>
      </c>
      <c r="K1397" s="4">
        <v>7</v>
      </c>
      <c r="L1397" s="72">
        <v>319449</v>
      </c>
      <c r="M1397" s="4">
        <f>INDEX('Master Sheet'!$C$4:$C$12,MATCH(Table1[[#This Row],[Quantity]],'Master Sheet'!$B$4:$B$12,0))</f>
        <v>9</v>
      </c>
      <c r="N1397" s="71">
        <f>Table1[[#This Row],[Quantity]]*Table1[[#This Row],[Unit Price]]</f>
        <v>2236143</v>
      </c>
      <c r="O1397" s="73">
        <v>0.22361429999999999</v>
      </c>
      <c r="P1397" s="70">
        <f>Table1[[#This Row],[Gross Amount]]*(1-(Table1[[#This Row],[Discount %]]/100))</f>
        <v>2034890.1300000001</v>
      </c>
      <c r="Q1397" s="74">
        <f>(Table1[[#This Row],[Gross Amount]]*(1-(Table1[[#This Row],[Discount %]]/100)))/10000000</f>
        <v>0.20348901300000002</v>
      </c>
      <c r="R1397" t="s">
        <v>54</v>
      </c>
      <c r="S1397" t="str" cm="1">
        <f t="array" ref="S1397">IFERROR(_xlfn.IFS(Table1[[#This Row],[Payment Status]]="Partial","In Transit",Table1[[#This Row],[Payment Status]]="Paid","Delivered",Table1[[#This Row],[Payment Status]]="Pending","Pending"),"Invalid Input")</f>
        <v>Delivered</v>
      </c>
      <c r="T1397" t="s">
        <v>27</v>
      </c>
      <c r="U1397" t="str" cm="1">
        <f t="array" ref="U1397">IFERROR(_xlfn.IFS(Table1[[#This Row],[Payment Status]]="Partial","In Transit",Table1[[#This Row],[Payment Status]]="Paid","Completed",Table1[[#This Row],[Payment Status]]="Pending","Pending"),"Invalid Input")</f>
        <v>Completed</v>
      </c>
    </row>
    <row r="1398" spans="1:21" x14ac:dyDescent="0.25">
      <c r="A1398" s="4" t="s">
        <v>2422</v>
      </c>
      <c r="B1398" s="5">
        <v>45781</v>
      </c>
      <c r="C1398" t="s">
        <v>73</v>
      </c>
      <c r="D1398" t="s">
        <v>3270</v>
      </c>
      <c r="E1398" t="s">
        <v>30</v>
      </c>
      <c r="F1398" t="s">
        <v>3223</v>
      </c>
      <c r="G1398" t="s">
        <v>31</v>
      </c>
      <c r="H1398" t="str">
        <f>VLOOKUP(Table1[[#This Row],[City]],Table6[#All],2,FALSE)</f>
        <v>South</v>
      </c>
      <c r="I1398" t="s">
        <v>24</v>
      </c>
      <c r="J1398" t="str">
        <f>_xlfn.XLOOKUP(Table1[[#This Row],[Tractor Model]],Table7[Product Model],Table7[Product Category],"Not Available",0)</f>
        <v>Farmtrac</v>
      </c>
      <c r="K1398" s="4">
        <v>8</v>
      </c>
      <c r="L1398" s="72">
        <v>716603</v>
      </c>
      <c r="M1398" s="4">
        <f>INDEX('Master Sheet'!$C$4:$C$12,MATCH(Table1[[#This Row],[Quantity]],'Master Sheet'!$B$4:$B$12,0))</f>
        <v>9</v>
      </c>
      <c r="N1398" s="71">
        <f>Table1[[#This Row],[Quantity]]*Table1[[#This Row],[Unit Price]]</f>
        <v>5732824</v>
      </c>
      <c r="O1398" s="73">
        <v>0.57328239999999997</v>
      </c>
      <c r="P1398" s="70">
        <f>Table1[[#This Row],[Gross Amount]]*(1-(Table1[[#This Row],[Discount %]]/100))</f>
        <v>5216869.84</v>
      </c>
      <c r="Q1398" s="74">
        <f>(Table1[[#This Row],[Gross Amount]]*(1-(Table1[[#This Row],[Discount %]]/100)))/10000000</f>
        <v>0.52168698400000002</v>
      </c>
      <c r="R1398" t="s">
        <v>42</v>
      </c>
      <c r="S1398" t="str" cm="1">
        <f t="array" ref="S1398">IFERROR(_xlfn.IFS(Table1[[#This Row],[Payment Status]]="Partial","In Transit",Table1[[#This Row],[Payment Status]]="Paid","Delivered",Table1[[#This Row],[Payment Status]]="Pending","Pending"),"Invalid Input")</f>
        <v>Pending</v>
      </c>
      <c r="T1398" t="s">
        <v>27</v>
      </c>
      <c r="U1398" t="str" cm="1">
        <f t="array" ref="U1398">IFERROR(_xlfn.IFS(Table1[[#This Row],[Payment Status]]="Partial","In Transit",Table1[[#This Row],[Payment Status]]="Paid","Completed",Table1[[#This Row],[Payment Status]]="Pending","Pending"),"Invalid Input")</f>
        <v>Pending</v>
      </c>
    </row>
    <row r="1399" spans="1:21" x14ac:dyDescent="0.25">
      <c r="A1399" s="4" t="s">
        <v>2423</v>
      </c>
      <c r="B1399" s="5">
        <v>45808</v>
      </c>
      <c r="C1399" t="s">
        <v>41</v>
      </c>
      <c r="D1399" t="s">
        <v>3270</v>
      </c>
      <c r="E1399" t="s">
        <v>30</v>
      </c>
      <c r="F1399" t="s">
        <v>3223</v>
      </c>
      <c r="G1399" t="s">
        <v>31</v>
      </c>
      <c r="H1399" t="str">
        <f>VLOOKUP(Table1[[#This Row],[City]],Table6[#All],2,FALSE)</f>
        <v>South</v>
      </c>
      <c r="I1399" t="s">
        <v>58</v>
      </c>
      <c r="J1399" t="str">
        <f>_xlfn.XLOOKUP(Table1[[#This Row],[Tractor Model]],Table7[Product Model],Table7[Product Category],"Not Available",0)</f>
        <v>Powertrac</v>
      </c>
      <c r="K1399" s="4">
        <v>6</v>
      </c>
      <c r="L1399" s="72">
        <v>620142</v>
      </c>
      <c r="M1399" s="4">
        <f>INDEX('Master Sheet'!$C$4:$C$12,MATCH(Table1[[#This Row],[Quantity]],'Master Sheet'!$B$4:$B$12,0))</f>
        <v>8</v>
      </c>
      <c r="N1399" s="71">
        <f>Table1[[#This Row],[Quantity]]*Table1[[#This Row],[Unit Price]]</f>
        <v>3720852</v>
      </c>
      <c r="O1399" s="73">
        <v>0.3720852</v>
      </c>
      <c r="P1399" s="70">
        <f>Table1[[#This Row],[Gross Amount]]*(1-(Table1[[#This Row],[Discount %]]/100))</f>
        <v>3423183.8400000003</v>
      </c>
      <c r="Q1399" s="74">
        <f>(Table1[[#This Row],[Gross Amount]]*(1-(Table1[[#This Row],[Discount %]]/100)))/10000000</f>
        <v>0.34231838400000003</v>
      </c>
      <c r="R1399" t="s">
        <v>25</v>
      </c>
      <c r="S1399" t="str" cm="1">
        <f t="array" ref="S1399">IFERROR(_xlfn.IFS(Table1[[#This Row],[Payment Status]]="Partial","In Transit",Table1[[#This Row],[Payment Status]]="Paid","Delivered",Table1[[#This Row],[Payment Status]]="Pending","Pending"),"Invalid Input")</f>
        <v>In Transit</v>
      </c>
      <c r="T1399" t="s">
        <v>27</v>
      </c>
      <c r="U1399" t="str" cm="1">
        <f t="array" ref="U1399">IFERROR(_xlfn.IFS(Table1[[#This Row],[Payment Status]]="Partial","In Transit",Table1[[#This Row],[Payment Status]]="Paid","Completed",Table1[[#This Row],[Payment Status]]="Pending","Pending"),"Invalid Input")</f>
        <v>In Transit</v>
      </c>
    </row>
    <row r="1400" spans="1:21" x14ac:dyDescent="0.25">
      <c r="A1400" s="4" t="s">
        <v>2424</v>
      </c>
      <c r="B1400" s="5">
        <v>45341</v>
      </c>
      <c r="C1400" t="s">
        <v>73</v>
      </c>
      <c r="D1400" t="s">
        <v>3270</v>
      </c>
      <c r="E1400" t="s">
        <v>47</v>
      </c>
      <c r="F1400" t="s">
        <v>3205</v>
      </c>
      <c r="G1400" t="s">
        <v>48</v>
      </c>
      <c r="H1400" t="str">
        <f>VLOOKUP(Table1[[#This Row],[City]],Table6[#All],2,FALSE)</f>
        <v>North</v>
      </c>
      <c r="I1400" t="s">
        <v>3204</v>
      </c>
      <c r="J1400" t="str">
        <f>_xlfn.XLOOKUP(Table1[[#This Row],[Tractor Model]],Table7[Product Model],Table7[Product Category],"Not Available",0)</f>
        <v>Kubota</v>
      </c>
      <c r="K1400" s="4">
        <v>4</v>
      </c>
      <c r="L1400" s="72">
        <v>765436</v>
      </c>
      <c r="M1400" s="4">
        <f>INDEX('Master Sheet'!$C$4:$C$12,MATCH(Table1[[#This Row],[Quantity]],'Master Sheet'!$B$4:$B$12,0))</f>
        <v>6</v>
      </c>
      <c r="N1400" s="71">
        <f>Table1[[#This Row],[Quantity]]*Table1[[#This Row],[Unit Price]]</f>
        <v>3061744</v>
      </c>
      <c r="O1400" s="73">
        <v>0.30617440000000001</v>
      </c>
      <c r="P1400" s="70">
        <f>Table1[[#This Row],[Gross Amount]]*(1-(Table1[[#This Row],[Discount %]]/100))</f>
        <v>2878039.36</v>
      </c>
      <c r="Q1400" s="74">
        <f>(Table1[[#This Row],[Gross Amount]]*(1-(Table1[[#This Row],[Discount %]]/100)))/10000000</f>
        <v>0.28780393599999998</v>
      </c>
      <c r="R1400" t="s">
        <v>42</v>
      </c>
      <c r="S1400" t="str" cm="1">
        <f t="array" ref="S1400">IFERROR(_xlfn.IFS(Table1[[#This Row],[Payment Status]]="Partial","In Transit",Table1[[#This Row],[Payment Status]]="Paid","Delivered",Table1[[#This Row],[Payment Status]]="Pending","Pending"),"Invalid Input")</f>
        <v>Pending</v>
      </c>
      <c r="T1400" t="s">
        <v>44</v>
      </c>
      <c r="U1400" t="str" cm="1">
        <f t="array" ref="U1400">IFERROR(_xlfn.IFS(Table1[[#This Row],[Payment Status]]="Partial","In Transit",Table1[[#This Row],[Payment Status]]="Paid","Completed",Table1[[#This Row],[Payment Status]]="Pending","Pending"),"Invalid Input")</f>
        <v>Pending</v>
      </c>
    </row>
    <row r="1401" spans="1:21" x14ac:dyDescent="0.25">
      <c r="A1401" s="4" t="s">
        <v>2426</v>
      </c>
      <c r="B1401" s="5">
        <v>45351</v>
      </c>
      <c r="C1401" t="s">
        <v>33</v>
      </c>
      <c r="D1401" t="s">
        <v>37</v>
      </c>
      <c r="E1401" t="s">
        <v>66</v>
      </c>
      <c r="F1401" t="s">
        <v>3226</v>
      </c>
      <c r="G1401" t="s">
        <v>67</v>
      </c>
      <c r="H1401" t="str">
        <f>VLOOKUP(Table1[[#This Row],[City]],Table6[#All],2,FALSE)</f>
        <v>East</v>
      </c>
      <c r="I1401" t="s">
        <v>58</v>
      </c>
      <c r="J1401" t="str">
        <f>_xlfn.XLOOKUP(Table1[[#This Row],[Tractor Model]],Table7[Product Model],Table7[Product Category],"Not Available",0)</f>
        <v>Powertrac</v>
      </c>
      <c r="K1401" s="4">
        <v>6</v>
      </c>
      <c r="L1401" s="72">
        <v>521152</v>
      </c>
      <c r="M1401" s="4">
        <f>INDEX('Master Sheet'!$C$4:$C$12,MATCH(Table1[[#This Row],[Quantity]],'Master Sheet'!$B$4:$B$12,0))</f>
        <v>8</v>
      </c>
      <c r="N1401" s="71">
        <f>Table1[[#This Row],[Quantity]]*Table1[[#This Row],[Unit Price]]</f>
        <v>3126912</v>
      </c>
      <c r="O1401" s="73">
        <v>0.3126912</v>
      </c>
      <c r="P1401" s="70">
        <f>Table1[[#This Row],[Gross Amount]]*(1-(Table1[[#This Row],[Discount %]]/100))</f>
        <v>2876759.04</v>
      </c>
      <c r="Q1401" s="74">
        <f>(Table1[[#This Row],[Gross Amount]]*(1-(Table1[[#This Row],[Discount %]]/100)))/10000000</f>
        <v>0.28767590399999998</v>
      </c>
      <c r="R1401" t="s">
        <v>42</v>
      </c>
      <c r="S1401" t="str" cm="1">
        <f t="array" ref="S1401">IFERROR(_xlfn.IFS(Table1[[#This Row],[Payment Status]]="Partial","In Transit",Table1[[#This Row],[Payment Status]]="Paid","Delivered",Table1[[#This Row],[Payment Status]]="Pending","Pending"),"Invalid Input")</f>
        <v>Pending</v>
      </c>
      <c r="T1401" t="s">
        <v>44</v>
      </c>
      <c r="U1401" t="str" cm="1">
        <f t="array" ref="U1401">IFERROR(_xlfn.IFS(Table1[[#This Row],[Payment Status]]="Partial","In Transit",Table1[[#This Row],[Payment Status]]="Paid","Completed",Table1[[#This Row],[Payment Status]]="Pending","Pending"),"Invalid Input")</f>
        <v>Pending</v>
      </c>
    </row>
    <row r="1402" spans="1:21" x14ac:dyDescent="0.25">
      <c r="A1402" s="4" t="s">
        <v>2428</v>
      </c>
      <c r="B1402" s="5">
        <v>45497</v>
      </c>
      <c r="C1402" t="s">
        <v>62</v>
      </c>
      <c r="D1402" t="s">
        <v>3271</v>
      </c>
      <c r="E1402" t="s">
        <v>47</v>
      </c>
      <c r="F1402" t="s">
        <v>3221</v>
      </c>
      <c r="G1402" t="s">
        <v>48</v>
      </c>
      <c r="H1402" t="str">
        <f>VLOOKUP(Table1[[#This Row],[City]],Table6[#All],2,FALSE)</f>
        <v>North</v>
      </c>
      <c r="I1402" t="s">
        <v>53</v>
      </c>
      <c r="J1402" t="str">
        <f>_xlfn.XLOOKUP(Table1[[#This Row],[Tractor Model]],Table7[Product Model],Table7[Product Category],"Not Available",0)</f>
        <v>Farmtrac</v>
      </c>
      <c r="K1402" s="4">
        <v>5</v>
      </c>
      <c r="L1402" s="72">
        <v>811220</v>
      </c>
      <c r="M1402" s="4">
        <f>INDEX('Master Sheet'!$C$4:$C$12,MATCH(Table1[[#This Row],[Quantity]],'Master Sheet'!$B$4:$B$12,0))</f>
        <v>7</v>
      </c>
      <c r="N1402" s="71">
        <f>Table1[[#This Row],[Quantity]]*Table1[[#This Row],[Unit Price]]</f>
        <v>4056100</v>
      </c>
      <c r="O1402" s="73">
        <v>0.40561000000000003</v>
      </c>
      <c r="P1402" s="70">
        <f>Table1[[#This Row],[Gross Amount]]*(1-(Table1[[#This Row],[Discount %]]/100))</f>
        <v>3772172.9999999995</v>
      </c>
      <c r="Q1402" s="74">
        <f>(Table1[[#This Row],[Gross Amount]]*(1-(Table1[[#This Row],[Discount %]]/100)))/10000000</f>
        <v>0.37721729999999998</v>
      </c>
      <c r="R1402" t="s">
        <v>42</v>
      </c>
      <c r="S1402" t="str" cm="1">
        <f t="array" ref="S1402">IFERROR(_xlfn.IFS(Table1[[#This Row],[Payment Status]]="Partial","In Transit",Table1[[#This Row],[Payment Status]]="Paid","Delivered",Table1[[#This Row],[Payment Status]]="Pending","Pending"),"Invalid Input")</f>
        <v>Pending</v>
      </c>
      <c r="T1402" t="s">
        <v>27</v>
      </c>
      <c r="U1402" t="str" cm="1">
        <f t="array" ref="U1402">IFERROR(_xlfn.IFS(Table1[[#This Row],[Payment Status]]="Partial","In Transit",Table1[[#This Row],[Payment Status]]="Paid","Completed",Table1[[#This Row],[Payment Status]]="Pending","Pending"),"Invalid Input")</f>
        <v>Pending</v>
      </c>
    </row>
    <row r="1403" spans="1:21" x14ac:dyDescent="0.25">
      <c r="A1403" s="4" t="s">
        <v>2430</v>
      </c>
      <c r="B1403" s="5">
        <v>45346</v>
      </c>
      <c r="C1403" t="s">
        <v>52</v>
      </c>
      <c r="D1403" t="s">
        <v>3269</v>
      </c>
      <c r="E1403" t="s">
        <v>119</v>
      </c>
      <c r="F1403" t="s">
        <v>3229</v>
      </c>
      <c r="G1403" t="s">
        <v>21</v>
      </c>
      <c r="H1403" t="str">
        <f>VLOOKUP(Table1[[#This Row],[City]],Table6[#All],2,FALSE)</f>
        <v>North</v>
      </c>
      <c r="I1403" t="s">
        <v>3204</v>
      </c>
      <c r="J1403" t="str">
        <f>_xlfn.XLOOKUP(Table1[[#This Row],[Tractor Model]],Table7[Product Model],Table7[Product Category],"Not Available",0)</f>
        <v>Kubota</v>
      </c>
      <c r="K1403" s="4">
        <v>8</v>
      </c>
      <c r="L1403" s="72">
        <v>769412</v>
      </c>
      <c r="M1403" s="4">
        <f>INDEX('Master Sheet'!$C$4:$C$12,MATCH(Table1[[#This Row],[Quantity]],'Master Sheet'!$B$4:$B$12,0))</f>
        <v>9</v>
      </c>
      <c r="N1403" s="71">
        <f>Table1[[#This Row],[Quantity]]*Table1[[#This Row],[Unit Price]]</f>
        <v>6155296</v>
      </c>
      <c r="O1403" s="73">
        <v>0.61552960000000001</v>
      </c>
      <c r="P1403" s="70">
        <f>Table1[[#This Row],[Gross Amount]]*(1-(Table1[[#This Row],[Discount %]]/100))</f>
        <v>5601319.3600000003</v>
      </c>
      <c r="Q1403" s="74">
        <f>(Table1[[#This Row],[Gross Amount]]*(1-(Table1[[#This Row],[Discount %]]/100)))/10000000</f>
        <v>0.560131936</v>
      </c>
      <c r="R1403" t="s">
        <v>25</v>
      </c>
      <c r="S1403" t="str" cm="1">
        <f t="array" ref="S1403">IFERROR(_xlfn.IFS(Table1[[#This Row],[Payment Status]]="Partial","In Transit",Table1[[#This Row],[Payment Status]]="Paid","Delivered",Table1[[#This Row],[Payment Status]]="Pending","Pending"),"Invalid Input")</f>
        <v>In Transit</v>
      </c>
      <c r="T1403" t="s">
        <v>27</v>
      </c>
      <c r="U1403" t="str" cm="1">
        <f t="array" ref="U1403">IFERROR(_xlfn.IFS(Table1[[#This Row],[Payment Status]]="Partial","In Transit",Table1[[#This Row],[Payment Status]]="Paid","Completed",Table1[[#This Row],[Payment Status]]="Pending","Pending"),"Invalid Input")</f>
        <v>In Transit</v>
      </c>
    </row>
    <row r="1404" spans="1:21" x14ac:dyDescent="0.25">
      <c r="A1404" s="4" t="s">
        <v>2432</v>
      </c>
      <c r="B1404" s="5">
        <v>45750</v>
      </c>
      <c r="C1404" t="s">
        <v>33</v>
      </c>
      <c r="D1404" t="s">
        <v>3271</v>
      </c>
      <c r="E1404" t="s">
        <v>38</v>
      </c>
      <c r="F1404" t="s">
        <v>3210</v>
      </c>
      <c r="G1404" t="s">
        <v>39</v>
      </c>
      <c r="H1404" t="str">
        <f>VLOOKUP(Table1[[#This Row],[City]],Table6[#All],2,FALSE)</f>
        <v>West</v>
      </c>
      <c r="I1404" t="s">
        <v>24</v>
      </c>
      <c r="J1404" t="str">
        <f>_xlfn.XLOOKUP(Table1[[#This Row],[Tractor Model]],Table7[Product Model],Table7[Product Category],"Not Available",0)</f>
        <v>Farmtrac</v>
      </c>
      <c r="K1404" s="4">
        <v>3</v>
      </c>
      <c r="L1404" s="72">
        <v>375745</v>
      </c>
      <c r="M1404" s="4">
        <f>INDEX('Master Sheet'!$C$4:$C$12,MATCH(Table1[[#This Row],[Quantity]],'Master Sheet'!$B$4:$B$12,0))</f>
        <v>6</v>
      </c>
      <c r="N1404" s="71">
        <f>Table1[[#This Row],[Quantity]]*Table1[[#This Row],[Unit Price]]</f>
        <v>1127235</v>
      </c>
      <c r="O1404" s="73">
        <v>0.1127235</v>
      </c>
      <c r="P1404" s="70">
        <f>Table1[[#This Row],[Gross Amount]]*(1-(Table1[[#This Row],[Discount %]]/100))</f>
        <v>1059600.8999999999</v>
      </c>
      <c r="Q1404" s="74">
        <f>(Table1[[#This Row],[Gross Amount]]*(1-(Table1[[#This Row],[Discount %]]/100)))/10000000</f>
        <v>0.10596008999999999</v>
      </c>
      <c r="R1404" t="s">
        <v>42</v>
      </c>
      <c r="S1404" t="str" cm="1">
        <f t="array" ref="S1404">IFERROR(_xlfn.IFS(Table1[[#This Row],[Payment Status]]="Partial","In Transit",Table1[[#This Row],[Payment Status]]="Paid","Delivered",Table1[[#This Row],[Payment Status]]="Pending","Pending"),"Invalid Input")</f>
        <v>Pending</v>
      </c>
      <c r="T1404" t="s">
        <v>27</v>
      </c>
      <c r="U1404" t="str" cm="1">
        <f t="array" ref="U1404">IFERROR(_xlfn.IFS(Table1[[#This Row],[Payment Status]]="Partial","In Transit",Table1[[#This Row],[Payment Status]]="Paid","Completed",Table1[[#This Row],[Payment Status]]="Pending","Pending"),"Invalid Input")</f>
        <v>Pending</v>
      </c>
    </row>
    <row r="1405" spans="1:21" x14ac:dyDescent="0.25">
      <c r="A1405" s="4" t="s">
        <v>2434</v>
      </c>
      <c r="B1405" s="5">
        <v>45440</v>
      </c>
      <c r="C1405" t="s">
        <v>41</v>
      </c>
      <c r="D1405" t="s">
        <v>3270</v>
      </c>
      <c r="E1405" t="s">
        <v>38</v>
      </c>
      <c r="F1405" t="s">
        <v>3218</v>
      </c>
      <c r="G1405" t="s">
        <v>39</v>
      </c>
      <c r="H1405" t="str">
        <f>VLOOKUP(Table1[[#This Row],[City]],Table6[#All],2,FALSE)</f>
        <v>West</v>
      </c>
      <c r="I1405" t="s">
        <v>24</v>
      </c>
      <c r="J1405" t="str">
        <f>_xlfn.XLOOKUP(Table1[[#This Row],[Tractor Model]],Table7[Product Model],Table7[Product Category],"Not Available",0)</f>
        <v>Farmtrac</v>
      </c>
      <c r="K1405" s="4">
        <v>5</v>
      </c>
      <c r="L1405" s="72">
        <v>65500</v>
      </c>
      <c r="M1405" s="4">
        <f>INDEX('Master Sheet'!$C$4:$C$12,MATCH(Table1[[#This Row],[Quantity]],'Master Sheet'!$B$4:$B$12,0))</f>
        <v>7</v>
      </c>
      <c r="N1405" s="71">
        <f>Table1[[#This Row],[Quantity]]*Table1[[#This Row],[Unit Price]]</f>
        <v>327500</v>
      </c>
      <c r="O1405" s="73">
        <v>3.2750000000000001E-2</v>
      </c>
      <c r="P1405" s="70">
        <f>Table1[[#This Row],[Gross Amount]]*(1-(Table1[[#This Row],[Discount %]]/100))</f>
        <v>304575</v>
      </c>
      <c r="Q1405" s="74">
        <f>(Table1[[#This Row],[Gross Amount]]*(1-(Table1[[#This Row],[Discount %]]/100)))/10000000</f>
        <v>3.0457499999999998E-2</v>
      </c>
      <c r="R1405" t="s">
        <v>54</v>
      </c>
      <c r="S1405" t="str" cm="1">
        <f t="array" ref="S1405">IFERROR(_xlfn.IFS(Table1[[#This Row],[Payment Status]]="Partial","In Transit",Table1[[#This Row],[Payment Status]]="Paid","Delivered",Table1[[#This Row],[Payment Status]]="Pending","Pending"),"Invalid Input")</f>
        <v>Delivered</v>
      </c>
      <c r="T1405" t="s">
        <v>27</v>
      </c>
      <c r="U1405" t="str" cm="1">
        <f t="array" ref="U1405">IFERROR(_xlfn.IFS(Table1[[#This Row],[Payment Status]]="Partial","In Transit",Table1[[#This Row],[Payment Status]]="Paid","Completed",Table1[[#This Row],[Payment Status]]="Pending","Pending"),"Invalid Input")</f>
        <v>Completed</v>
      </c>
    </row>
    <row r="1406" spans="1:21" x14ac:dyDescent="0.25">
      <c r="A1406" s="4" t="s">
        <v>2435</v>
      </c>
      <c r="B1406" s="5">
        <v>45397</v>
      </c>
      <c r="C1406" t="s">
        <v>52</v>
      </c>
      <c r="D1406" t="s">
        <v>3268</v>
      </c>
      <c r="E1406" t="s">
        <v>30</v>
      </c>
      <c r="F1406" t="s">
        <v>3208</v>
      </c>
      <c r="G1406" t="s">
        <v>31</v>
      </c>
      <c r="H1406" t="str">
        <f>VLOOKUP(Table1[[#This Row],[City]],Table6[#All],2,FALSE)</f>
        <v>South</v>
      </c>
      <c r="I1406" t="s">
        <v>24</v>
      </c>
      <c r="J1406" t="str">
        <f>_xlfn.XLOOKUP(Table1[[#This Row],[Tractor Model]],Table7[Product Model],Table7[Product Category],"Not Available",0)</f>
        <v>Farmtrac</v>
      </c>
      <c r="K1406" s="4">
        <v>8</v>
      </c>
      <c r="L1406" s="72">
        <v>305499</v>
      </c>
      <c r="M1406" s="4">
        <f>INDEX('Master Sheet'!$C$4:$C$12,MATCH(Table1[[#This Row],[Quantity]],'Master Sheet'!$B$4:$B$12,0))</f>
        <v>9</v>
      </c>
      <c r="N1406" s="71">
        <f>Table1[[#This Row],[Quantity]]*Table1[[#This Row],[Unit Price]]</f>
        <v>2443992</v>
      </c>
      <c r="O1406" s="73">
        <v>0.24439920000000001</v>
      </c>
      <c r="P1406" s="70">
        <f>Table1[[#This Row],[Gross Amount]]*(1-(Table1[[#This Row],[Discount %]]/100))</f>
        <v>2224032.7200000002</v>
      </c>
      <c r="Q1406" s="74">
        <f>(Table1[[#This Row],[Gross Amount]]*(1-(Table1[[#This Row],[Discount %]]/100)))/10000000</f>
        <v>0.22240327200000001</v>
      </c>
      <c r="R1406" t="s">
        <v>42</v>
      </c>
      <c r="S1406" t="str" cm="1">
        <f t="array" ref="S1406">IFERROR(_xlfn.IFS(Table1[[#This Row],[Payment Status]]="Partial","In Transit",Table1[[#This Row],[Payment Status]]="Paid","Delivered",Table1[[#This Row],[Payment Status]]="Pending","Pending"),"Invalid Input")</f>
        <v>Pending</v>
      </c>
      <c r="T1406" t="s">
        <v>44</v>
      </c>
      <c r="U1406" t="str" cm="1">
        <f t="array" ref="U1406">IFERROR(_xlfn.IFS(Table1[[#This Row],[Payment Status]]="Partial","In Transit",Table1[[#This Row],[Payment Status]]="Paid","Completed",Table1[[#This Row],[Payment Status]]="Pending","Pending"),"Invalid Input")</f>
        <v>Pending</v>
      </c>
    </row>
    <row r="1407" spans="1:21" x14ac:dyDescent="0.25">
      <c r="A1407" s="4" t="s">
        <v>2436</v>
      </c>
      <c r="B1407" s="5">
        <v>45773</v>
      </c>
      <c r="C1407" t="s">
        <v>62</v>
      </c>
      <c r="D1407" t="s">
        <v>3268</v>
      </c>
      <c r="E1407" t="s">
        <v>66</v>
      </c>
      <c r="F1407" t="s">
        <v>3211</v>
      </c>
      <c r="G1407" t="s">
        <v>67</v>
      </c>
      <c r="H1407" t="str">
        <f>VLOOKUP(Table1[[#This Row],[City]],Table6[#All],2,FALSE)</f>
        <v>East</v>
      </c>
      <c r="I1407" t="s">
        <v>53</v>
      </c>
      <c r="J1407" t="str">
        <f>_xlfn.XLOOKUP(Table1[[#This Row],[Tractor Model]],Table7[Product Model],Table7[Product Category],"Not Available",0)</f>
        <v>Farmtrac</v>
      </c>
      <c r="K1407" s="4">
        <v>8</v>
      </c>
      <c r="L1407" s="72">
        <v>702511</v>
      </c>
      <c r="M1407" s="4">
        <f>INDEX('Master Sheet'!$C$4:$C$12,MATCH(Table1[[#This Row],[Quantity]],'Master Sheet'!$B$4:$B$12,0))</f>
        <v>9</v>
      </c>
      <c r="N1407" s="71">
        <f>Table1[[#This Row],[Quantity]]*Table1[[#This Row],[Unit Price]]</f>
        <v>5620088</v>
      </c>
      <c r="O1407" s="73">
        <v>0.56200879999999998</v>
      </c>
      <c r="P1407" s="70">
        <f>Table1[[#This Row],[Gross Amount]]*(1-(Table1[[#This Row],[Discount %]]/100))</f>
        <v>5114280.08</v>
      </c>
      <c r="Q1407" s="74">
        <f>(Table1[[#This Row],[Gross Amount]]*(1-(Table1[[#This Row],[Discount %]]/100)))/10000000</f>
        <v>0.51142800799999999</v>
      </c>
      <c r="R1407" t="s">
        <v>54</v>
      </c>
      <c r="S1407" t="str" cm="1">
        <f t="array" ref="S1407">IFERROR(_xlfn.IFS(Table1[[#This Row],[Payment Status]]="Partial","In Transit",Table1[[#This Row],[Payment Status]]="Paid","Delivered",Table1[[#This Row],[Payment Status]]="Pending","Pending"),"Invalid Input")</f>
        <v>Delivered</v>
      </c>
      <c r="T1407" t="s">
        <v>27</v>
      </c>
      <c r="U1407" t="str" cm="1">
        <f t="array" ref="U1407">IFERROR(_xlfn.IFS(Table1[[#This Row],[Payment Status]]="Partial","In Transit",Table1[[#This Row],[Payment Status]]="Paid","Completed",Table1[[#This Row],[Payment Status]]="Pending","Pending"),"Invalid Input")</f>
        <v>Completed</v>
      </c>
    </row>
    <row r="1408" spans="1:21" x14ac:dyDescent="0.25">
      <c r="A1408" s="4" t="s">
        <v>2437</v>
      </c>
      <c r="B1408" s="5">
        <v>45933</v>
      </c>
      <c r="C1408" t="s">
        <v>41</v>
      </c>
      <c r="D1408" t="s">
        <v>3271</v>
      </c>
      <c r="E1408" t="s">
        <v>66</v>
      </c>
      <c r="F1408" t="s">
        <v>3207</v>
      </c>
      <c r="G1408" t="s">
        <v>67</v>
      </c>
      <c r="H1408" t="str">
        <f>VLOOKUP(Table1[[#This Row],[City]],Table6[#All],2,FALSE)</f>
        <v>East</v>
      </c>
      <c r="I1408" t="s">
        <v>3203</v>
      </c>
      <c r="J1408" t="str">
        <f>_xlfn.XLOOKUP(Table1[[#This Row],[Tractor Model]],Table7[Product Model],Table7[Product Category],"Not Available",0)</f>
        <v>Kubota</v>
      </c>
      <c r="K1408" s="4">
        <v>5</v>
      </c>
      <c r="L1408" s="72">
        <v>213453</v>
      </c>
      <c r="M1408" s="4">
        <f>INDEX('Master Sheet'!$C$4:$C$12,MATCH(Table1[[#This Row],[Quantity]],'Master Sheet'!$B$4:$B$12,0))</f>
        <v>7</v>
      </c>
      <c r="N1408" s="71">
        <f>Table1[[#This Row],[Quantity]]*Table1[[#This Row],[Unit Price]]</f>
        <v>1067265</v>
      </c>
      <c r="O1408" s="73">
        <v>0.1067265</v>
      </c>
      <c r="P1408" s="70">
        <f>Table1[[#This Row],[Gross Amount]]*(1-(Table1[[#This Row],[Discount %]]/100))</f>
        <v>992556.45</v>
      </c>
      <c r="Q1408" s="74">
        <f>(Table1[[#This Row],[Gross Amount]]*(1-(Table1[[#This Row],[Discount %]]/100)))/10000000</f>
        <v>9.925564499999999E-2</v>
      </c>
      <c r="R1408" t="s">
        <v>54</v>
      </c>
      <c r="S1408" t="str" cm="1">
        <f t="array" ref="S1408">IFERROR(_xlfn.IFS(Table1[[#This Row],[Payment Status]]="Partial","In Transit",Table1[[#This Row],[Payment Status]]="Paid","Delivered",Table1[[#This Row],[Payment Status]]="Pending","Pending"),"Invalid Input")</f>
        <v>Delivered</v>
      </c>
      <c r="T1408" t="s">
        <v>44</v>
      </c>
      <c r="U1408" t="str" cm="1">
        <f t="array" ref="U1408">IFERROR(_xlfn.IFS(Table1[[#This Row],[Payment Status]]="Partial","In Transit",Table1[[#This Row],[Payment Status]]="Paid","Completed",Table1[[#This Row],[Payment Status]]="Pending","Pending"),"Invalid Input")</f>
        <v>Completed</v>
      </c>
    </row>
    <row r="1409" spans="1:21" x14ac:dyDescent="0.25">
      <c r="A1409" s="4" t="s">
        <v>2438</v>
      </c>
      <c r="B1409" s="5">
        <v>45423</v>
      </c>
      <c r="C1409" t="s">
        <v>73</v>
      </c>
      <c r="D1409" t="s">
        <v>3269</v>
      </c>
      <c r="E1409" t="s">
        <v>30</v>
      </c>
      <c r="F1409" t="s">
        <v>3225</v>
      </c>
      <c r="G1409" t="s">
        <v>31</v>
      </c>
      <c r="H1409" t="str">
        <f>VLOOKUP(Table1[[#This Row],[City]],Table6[#All],2,FALSE)</f>
        <v>South</v>
      </c>
      <c r="I1409" t="s">
        <v>53</v>
      </c>
      <c r="J1409" t="str">
        <f>_xlfn.XLOOKUP(Table1[[#This Row],[Tractor Model]],Table7[Product Model],Table7[Product Category],"Not Available",0)</f>
        <v>Farmtrac</v>
      </c>
      <c r="K1409" s="4">
        <v>8</v>
      </c>
      <c r="L1409" s="72">
        <v>201587</v>
      </c>
      <c r="M1409" s="4">
        <f>INDEX('Master Sheet'!$C$4:$C$12,MATCH(Table1[[#This Row],[Quantity]],'Master Sheet'!$B$4:$B$12,0))</f>
        <v>9</v>
      </c>
      <c r="N1409" s="71">
        <f>Table1[[#This Row],[Quantity]]*Table1[[#This Row],[Unit Price]]</f>
        <v>1612696</v>
      </c>
      <c r="O1409" s="73">
        <v>0.16126960000000001</v>
      </c>
      <c r="P1409" s="70">
        <f>Table1[[#This Row],[Gross Amount]]*(1-(Table1[[#This Row],[Discount %]]/100))</f>
        <v>1467553.36</v>
      </c>
      <c r="Q1409" s="74">
        <f>(Table1[[#This Row],[Gross Amount]]*(1-(Table1[[#This Row],[Discount %]]/100)))/10000000</f>
        <v>0.14675533600000001</v>
      </c>
      <c r="R1409" t="s">
        <v>54</v>
      </c>
      <c r="S1409" t="str" cm="1">
        <f t="array" ref="S1409">IFERROR(_xlfn.IFS(Table1[[#This Row],[Payment Status]]="Partial","In Transit",Table1[[#This Row],[Payment Status]]="Paid","Delivered",Table1[[#This Row],[Payment Status]]="Pending","Pending"),"Invalid Input")</f>
        <v>Delivered</v>
      </c>
      <c r="T1409" t="s">
        <v>44</v>
      </c>
      <c r="U1409" t="str" cm="1">
        <f t="array" ref="U1409">IFERROR(_xlfn.IFS(Table1[[#This Row],[Payment Status]]="Partial","In Transit",Table1[[#This Row],[Payment Status]]="Paid","Completed",Table1[[#This Row],[Payment Status]]="Pending","Pending"),"Invalid Input")</f>
        <v>Completed</v>
      </c>
    </row>
    <row r="1410" spans="1:21" x14ac:dyDescent="0.25">
      <c r="A1410" s="4" t="s">
        <v>2439</v>
      </c>
      <c r="B1410" s="5">
        <v>45744</v>
      </c>
      <c r="C1410" t="s">
        <v>73</v>
      </c>
      <c r="D1410" t="s">
        <v>37</v>
      </c>
      <c r="E1410" t="s">
        <v>119</v>
      </c>
      <c r="F1410" t="s">
        <v>3224</v>
      </c>
      <c r="G1410" t="s">
        <v>21</v>
      </c>
      <c r="H1410" t="str">
        <f>VLOOKUP(Table1[[#This Row],[City]],Table6[#All],2,FALSE)</f>
        <v>North</v>
      </c>
      <c r="I1410" t="s">
        <v>3204</v>
      </c>
      <c r="J1410" t="str">
        <f>_xlfn.XLOOKUP(Table1[[#This Row],[Tractor Model]],Table7[Product Model],Table7[Product Category],"Not Available",0)</f>
        <v>Kubota</v>
      </c>
      <c r="K1410" s="4">
        <v>1</v>
      </c>
      <c r="L1410" s="72">
        <v>155735</v>
      </c>
      <c r="M1410" s="4">
        <f>INDEX('Master Sheet'!$C$4:$C$12,MATCH(Table1[[#This Row],[Quantity]],'Master Sheet'!$B$4:$B$12,0))</f>
        <v>3</v>
      </c>
      <c r="N1410" s="71">
        <f>Table1[[#This Row],[Quantity]]*Table1[[#This Row],[Unit Price]]</f>
        <v>155735</v>
      </c>
      <c r="O1410" s="73">
        <v>1.5573500000000001E-2</v>
      </c>
      <c r="P1410" s="70">
        <f>Table1[[#This Row],[Gross Amount]]*(1-(Table1[[#This Row],[Discount %]]/100))</f>
        <v>151062.94999999998</v>
      </c>
      <c r="Q1410" s="74">
        <f>(Table1[[#This Row],[Gross Amount]]*(1-(Table1[[#This Row],[Discount %]]/100)))/10000000</f>
        <v>1.5106294999999999E-2</v>
      </c>
      <c r="R1410" t="s">
        <v>25</v>
      </c>
      <c r="S1410" t="str" cm="1">
        <f t="array" ref="S1410">IFERROR(_xlfn.IFS(Table1[[#This Row],[Payment Status]]="Partial","In Transit",Table1[[#This Row],[Payment Status]]="Paid","Delivered",Table1[[#This Row],[Payment Status]]="Pending","Pending"),"Invalid Input")</f>
        <v>In Transit</v>
      </c>
      <c r="T1410" t="s">
        <v>27</v>
      </c>
      <c r="U1410" t="str" cm="1">
        <f t="array" ref="U1410">IFERROR(_xlfn.IFS(Table1[[#This Row],[Payment Status]]="Partial","In Transit",Table1[[#This Row],[Payment Status]]="Paid","Completed",Table1[[#This Row],[Payment Status]]="Pending","Pending"),"Invalid Input")</f>
        <v>In Transit</v>
      </c>
    </row>
    <row r="1411" spans="1:21" x14ac:dyDescent="0.25">
      <c r="A1411" s="4" t="s">
        <v>2441</v>
      </c>
      <c r="B1411" s="5">
        <v>45457</v>
      </c>
      <c r="C1411" t="s">
        <v>52</v>
      </c>
      <c r="D1411" t="s">
        <v>3268</v>
      </c>
      <c r="E1411" t="s">
        <v>38</v>
      </c>
      <c r="F1411" t="s">
        <v>3219</v>
      </c>
      <c r="G1411" t="s">
        <v>39</v>
      </c>
      <c r="H1411" t="str">
        <f>VLOOKUP(Table1[[#This Row],[City]],Table6[#All],2,FALSE)</f>
        <v>West</v>
      </c>
      <c r="I1411" t="s">
        <v>53</v>
      </c>
      <c r="J1411" t="str">
        <f>_xlfn.XLOOKUP(Table1[[#This Row],[Tractor Model]],Table7[Product Model],Table7[Product Category],"Not Available",0)</f>
        <v>Farmtrac</v>
      </c>
      <c r="K1411" s="4">
        <v>1</v>
      </c>
      <c r="L1411" s="72">
        <v>684967</v>
      </c>
      <c r="M1411" s="4">
        <f>INDEX('Master Sheet'!$C$4:$C$12,MATCH(Table1[[#This Row],[Quantity]],'Master Sheet'!$B$4:$B$12,0))</f>
        <v>3</v>
      </c>
      <c r="N1411" s="71">
        <f>Table1[[#This Row],[Quantity]]*Table1[[#This Row],[Unit Price]]</f>
        <v>684967</v>
      </c>
      <c r="O1411" s="73">
        <v>6.8496699999999994E-2</v>
      </c>
      <c r="P1411" s="70">
        <f>Table1[[#This Row],[Gross Amount]]*(1-(Table1[[#This Row],[Discount %]]/100))</f>
        <v>664417.99</v>
      </c>
      <c r="Q1411" s="74">
        <f>(Table1[[#This Row],[Gross Amount]]*(1-(Table1[[#This Row],[Discount %]]/100)))/10000000</f>
        <v>6.6441798999999996E-2</v>
      </c>
      <c r="R1411" t="s">
        <v>54</v>
      </c>
      <c r="S1411" t="str" cm="1">
        <f t="array" ref="S1411">IFERROR(_xlfn.IFS(Table1[[#This Row],[Payment Status]]="Partial","In Transit",Table1[[#This Row],[Payment Status]]="Paid","Delivered",Table1[[#This Row],[Payment Status]]="Pending","Pending"),"Invalid Input")</f>
        <v>Delivered</v>
      </c>
      <c r="T1411" t="s">
        <v>27</v>
      </c>
      <c r="U1411" t="str" cm="1">
        <f t="array" ref="U1411">IFERROR(_xlfn.IFS(Table1[[#This Row],[Payment Status]]="Partial","In Transit",Table1[[#This Row],[Payment Status]]="Paid","Completed",Table1[[#This Row],[Payment Status]]="Pending","Pending"),"Invalid Input")</f>
        <v>Completed</v>
      </c>
    </row>
    <row r="1412" spans="1:21" x14ac:dyDescent="0.25">
      <c r="A1412" s="4" t="s">
        <v>2442</v>
      </c>
      <c r="B1412" s="5">
        <v>45592</v>
      </c>
      <c r="C1412" t="s">
        <v>41</v>
      </c>
      <c r="D1412" t="s">
        <v>3269</v>
      </c>
      <c r="E1412" t="s">
        <v>47</v>
      </c>
      <c r="F1412" t="s">
        <v>3209</v>
      </c>
      <c r="G1412" t="s">
        <v>48</v>
      </c>
      <c r="H1412" t="str">
        <f>VLOOKUP(Table1[[#This Row],[City]],Table6[#All],2,FALSE)</f>
        <v>North</v>
      </c>
      <c r="I1412" t="s">
        <v>53</v>
      </c>
      <c r="J1412" t="str">
        <f>_xlfn.XLOOKUP(Table1[[#This Row],[Tractor Model]],Table7[Product Model],Table7[Product Category],"Not Available",0)</f>
        <v>Farmtrac</v>
      </c>
      <c r="K1412" s="4">
        <v>2</v>
      </c>
      <c r="L1412" s="72">
        <v>873155</v>
      </c>
      <c r="M1412" s="4">
        <f>INDEX('Master Sheet'!$C$4:$C$12,MATCH(Table1[[#This Row],[Quantity]],'Master Sheet'!$B$4:$B$12,0))</f>
        <v>5</v>
      </c>
      <c r="N1412" s="71">
        <f>Table1[[#This Row],[Quantity]]*Table1[[#This Row],[Unit Price]]</f>
        <v>1746310</v>
      </c>
      <c r="O1412" s="73">
        <v>0.17463100000000001</v>
      </c>
      <c r="P1412" s="70">
        <f>Table1[[#This Row],[Gross Amount]]*(1-(Table1[[#This Row],[Discount %]]/100))</f>
        <v>1658994.5</v>
      </c>
      <c r="Q1412" s="74">
        <f>(Table1[[#This Row],[Gross Amount]]*(1-(Table1[[#This Row],[Discount %]]/100)))/10000000</f>
        <v>0.16589945</v>
      </c>
      <c r="R1412" t="s">
        <v>54</v>
      </c>
      <c r="S1412" t="str" cm="1">
        <f t="array" ref="S1412">IFERROR(_xlfn.IFS(Table1[[#This Row],[Payment Status]]="Partial","In Transit",Table1[[#This Row],[Payment Status]]="Paid","Delivered",Table1[[#This Row],[Payment Status]]="Pending","Pending"),"Invalid Input")</f>
        <v>Delivered</v>
      </c>
      <c r="T1412" t="s">
        <v>44</v>
      </c>
      <c r="U1412" t="str" cm="1">
        <f t="array" ref="U1412">IFERROR(_xlfn.IFS(Table1[[#This Row],[Payment Status]]="Partial","In Transit",Table1[[#This Row],[Payment Status]]="Paid","Completed",Table1[[#This Row],[Payment Status]]="Pending","Pending"),"Invalid Input")</f>
        <v>Completed</v>
      </c>
    </row>
    <row r="1413" spans="1:21" x14ac:dyDescent="0.25">
      <c r="A1413" s="4" t="s">
        <v>2444</v>
      </c>
      <c r="B1413" s="5">
        <v>45755</v>
      </c>
      <c r="C1413" t="s">
        <v>33</v>
      </c>
      <c r="D1413" t="s">
        <v>3268</v>
      </c>
      <c r="E1413" t="s">
        <v>38</v>
      </c>
      <c r="F1413" t="s">
        <v>3219</v>
      </c>
      <c r="G1413" t="s">
        <v>39</v>
      </c>
      <c r="H1413" t="str">
        <f>VLOOKUP(Table1[[#This Row],[City]],Table6[#All],2,FALSE)</f>
        <v>West</v>
      </c>
      <c r="I1413" t="s">
        <v>3203</v>
      </c>
      <c r="J1413" t="str">
        <f>_xlfn.XLOOKUP(Table1[[#This Row],[Tractor Model]],Table7[Product Model],Table7[Product Category],"Not Available",0)</f>
        <v>Kubota</v>
      </c>
      <c r="K1413" s="4">
        <v>7</v>
      </c>
      <c r="L1413" s="72">
        <v>84447</v>
      </c>
      <c r="M1413" s="4">
        <f>INDEX('Master Sheet'!$C$4:$C$12,MATCH(Table1[[#This Row],[Quantity]],'Master Sheet'!$B$4:$B$12,0))</f>
        <v>9</v>
      </c>
      <c r="N1413" s="71">
        <f>Table1[[#This Row],[Quantity]]*Table1[[#This Row],[Unit Price]]</f>
        <v>591129</v>
      </c>
      <c r="O1413" s="73">
        <v>5.9112900000000003E-2</v>
      </c>
      <c r="P1413" s="70">
        <f>Table1[[#This Row],[Gross Amount]]*(1-(Table1[[#This Row],[Discount %]]/100))</f>
        <v>537927.39</v>
      </c>
      <c r="Q1413" s="74">
        <f>(Table1[[#This Row],[Gross Amount]]*(1-(Table1[[#This Row],[Discount %]]/100)))/10000000</f>
        <v>5.3792738999999999E-2</v>
      </c>
      <c r="R1413" t="s">
        <v>54</v>
      </c>
      <c r="S1413" t="str" cm="1">
        <f t="array" ref="S1413">IFERROR(_xlfn.IFS(Table1[[#This Row],[Payment Status]]="Partial","In Transit",Table1[[#This Row],[Payment Status]]="Paid","Delivered",Table1[[#This Row],[Payment Status]]="Pending","Pending"),"Invalid Input")</f>
        <v>Delivered</v>
      </c>
      <c r="T1413" t="s">
        <v>44</v>
      </c>
      <c r="U1413" t="str" cm="1">
        <f t="array" ref="U1413">IFERROR(_xlfn.IFS(Table1[[#This Row],[Payment Status]]="Partial","In Transit",Table1[[#This Row],[Payment Status]]="Paid","Completed",Table1[[#This Row],[Payment Status]]="Pending","Pending"),"Invalid Input")</f>
        <v>Completed</v>
      </c>
    </row>
    <row r="1414" spans="1:21" x14ac:dyDescent="0.25">
      <c r="A1414" s="4" t="s">
        <v>2445</v>
      </c>
      <c r="B1414" s="5">
        <v>45758</v>
      </c>
      <c r="C1414" t="s">
        <v>62</v>
      </c>
      <c r="D1414" t="s">
        <v>37</v>
      </c>
      <c r="E1414" t="s">
        <v>66</v>
      </c>
      <c r="F1414" t="s">
        <v>3226</v>
      </c>
      <c r="G1414" t="s">
        <v>67</v>
      </c>
      <c r="H1414" t="str">
        <f>VLOOKUP(Table1[[#This Row],[City]],Table6[#All],2,FALSE)</f>
        <v>East</v>
      </c>
      <c r="I1414" t="s">
        <v>3203</v>
      </c>
      <c r="J1414" t="str">
        <f>_xlfn.XLOOKUP(Table1[[#This Row],[Tractor Model]],Table7[Product Model],Table7[Product Category],"Not Available",0)</f>
        <v>Kubota</v>
      </c>
      <c r="K1414" s="4">
        <v>6</v>
      </c>
      <c r="L1414" s="72">
        <v>398930</v>
      </c>
      <c r="M1414" s="4">
        <f>INDEX('Master Sheet'!$C$4:$C$12,MATCH(Table1[[#This Row],[Quantity]],'Master Sheet'!$B$4:$B$12,0))</f>
        <v>8</v>
      </c>
      <c r="N1414" s="71">
        <f>Table1[[#This Row],[Quantity]]*Table1[[#This Row],[Unit Price]]</f>
        <v>2393580</v>
      </c>
      <c r="O1414" s="73">
        <v>0.23935799999999999</v>
      </c>
      <c r="P1414" s="70">
        <f>Table1[[#This Row],[Gross Amount]]*(1-(Table1[[#This Row],[Discount %]]/100))</f>
        <v>2202093.6</v>
      </c>
      <c r="Q1414" s="74">
        <f>(Table1[[#This Row],[Gross Amount]]*(1-(Table1[[#This Row],[Discount %]]/100)))/10000000</f>
        <v>0.22020936000000002</v>
      </c>
      <c r="R1414" t="s">
        <v>54</v>
      </c>
      <c r="S1414" t="str" cm="1">
        <f t="array" ref="S1414">IFERROR(_xlfn.IFS(Table1[[#This Row],[Payment Status]]="Partial","In Transit",Table1[[#This Row],[Payment Status]]="Paid","Delivered",Table1[[#This Row],[Payment Status]]="Pending","Pending"),"Invalid Input")</f>
        <v>Delivered</v>
      </c>
      <c r="T1414" t="s">
        <v>44</v>
      </c>
      <c r="U1414" t="str" cm="1">
        <f t="array" ref="U1414">IFERROR(_xlfn.IFS(Table1[[#This Row],[Payment Status]]="Partial","In Transit",Table1[[#This Row],[Payment Status]]="Paid","Completed",Table1[[#This Row],[Payment Status]]="Pending","Pending"),"Invalid Input")</f>
        <v>Completed</v>
      </c>
    </row>
    <row r="1415" spans="1:21" x14ac:dyDescent="0.25">
      <c r="A1415" s="4" t="s">
        <v>2446</v>
      </c>
      <c r="B1415" s="5">
        <v>45496</v>
      </c>
      <c r="C1415" t="s">
        <v>41</v>
      </c>
      <c r="D1415" t="s">
        <v>3270</v>
      </c>
      <c r="E1415" t="s">
        <v>38</v>
      </c>
      <c r="F1415" t="s">
        <v>3218</v>
      </c>
      <c r="G1415" t="s">
        <v>39</v>
      </c>
      <c r="H1415" t="str">
        <f>VLOOKUP(Table1[[#This Row],[City]],Table6[#All],2,FALSE)</f>
        <v>West</v>
      </c>
      <c r="I1415" t="s">
        <v>24</v>
      </c>
      <c r="J1415" t="str">
        <f>_xlfn.XLOOKUP(Table1[[#This Row],[Tractor Model]],Table7[Product Model],Table7[Product Category],"Not Available",0)</f>
        <v>Farmtrac</v>
      </c>
      <c r="K1415" s="4">
        <v>7</v>
      </c>
      <c r="L1415" s="72">
        <v>120741</v>
      </c>
      <c r="M1415" s="4">
        <f>INDEX('Master Sheet'!$C$4:$C$12,MATCH(Table1[[#This Row],[Quantity]],'Master Sheet'!$B$4:$B$12,0))</f>
        <v>9</v>
      </c>
      <c r="N1415" s="71">
        <f>Table1[[#This Row],[Quantity]]*Table1[[#This Row],[Unit Price]]</f>
        <v>845187</v>
      </c>
      <c r="O1415" s="73">
        <v>8.4518700000000002E-2</v>
      </c>
      <c r="P1415" s="70">
        <f>Table1[[#This Row],[Gross Amount]]*(1-(Table1[[#This Row],[Discount %]]/100))</f>
        <v>769120.17</v>
      </c>
      <c r="Q1415" s="74">
        <f>(Table1[[#This Row],[Gross Amount]]*(1-(Table1[[#This Row],[Discount %]]/100)))/10000000</f>
        <v>7.6912016999999999E-2</v>
      </c>
      <c r="R1415" t="s">
        <v>42</v>
      </c>
      <c r="S1415" t="str" cm="1">
        <f t="array" ref="S1415">IFERROR(_xlfn.IFS(Table1[[#This Row],[Payment Status]]="Partial","In Transit",Table1[[#This Row],[Payment Status]]="Paid","Delivered",Table1[[#This Row],[Payment Status]]="Pending","Pending"),"Invalid Input")</f>
        <v>Pending</v>
      </c>
      <c r="T1415" t="s">
        <v>27</v>
      </c>
      <c r="U1415" t="str" cm="1">
        <f t="array" ref="U1415">IFERROR(_xlfn.IFS(Table1[[#This Row],[Payment Status]]="Partial","In Transit",Table1[[#This Row],[Payment Status]]="Paid","Completed",Table1[[#This Row],[Payment Status]]="Pending","Pending"),"Invalid Input")</f>
        <v>Pending</v>
      </c>
    </row>
    <row r="1416" spans="1:21" x14ac:dyDescent="0.25">
      <c r="A1416" s="4" t="s">
        <v>2447</v>
      </c>
      <c r="B1416" s="5">
        <v>45935</v>
      </c>
      <c r="C1416" t="s">
        <v>62</v>
      </c>
      <c r="D1416" t="s">
        <v>3268</v>
      </c>
      <c r="E1416" t="s">
        <v>47</v>
      </c>
      <c r="F1416" t="s">
        <v>3216</v>
      </c>
      <c r="G1416" t="s">
        <v>48</v>
      </c>
      <c r="H1416" t="str">
        <f>VLOOKUP(Table1[[#This Row],[City]],Table6[#All],2,FALSE)</f>
        <v>North</v>
      </c>
      <c r="I1416" t="s">
        <v>58</v>
      </c>
      <c r="J1416" t="str">
        <f>_xlfn.XLOOKUP(Table1[[#This Row],[Tractor Model]],Table7[Product Model],Table7[Product Category],"Not Available",0)</f>
        <v>Powertrac</v>
      </c>
      <c r="K1416" s="4">
        <v>2</v>
      </c>
      <c r="L1416" s="72">
        <v>323566</v>
      </c>
      <c r="M1416" s="4">
        <f>INDEX('Master Sheet'!$C$4:$C$12,MATCH(Table1[[#This Row],[Quantity]],'Master Sheet'!$B$4:$B$12,0))</f>
        <v>5</v>
      </c>
      <c r="N1416" s="71">
        <f>Table1[[#This Row],[Quantity]]*Table1[[#This Row],[Unit Price]]</f>
        <v>647132</v>
      </c>
      <c r="O1416" s="73">
        <v>6.4713199999999999E-2</v>
      </c>
      <c r="P1416" s="70">
        <f>Table1[[#This Row],[Gross Amount]]*(1-(Table1[[#This Row],[Discount %]]/100))</f>
        <v>614775.4</v>
      </c>
      <c r="Q1416" s="74">
        <f>(Table1[[#This Row],[Gross Amount]]*(1-(Table1[[#This Row],[Discount %]]/100)))/10000000</f>
        <v>6.1477540000000004E-2</v>
      </c>
      <c r="R1416" t="s">
        <v>54</v>
      </c>
      <c r="S1416" t="str" cm="1">
        <f t="array" ref="S1416">IFERROR(_xlfn.IFS(Table1[[#This Row],[Payment Status]]="Partial","In Transit",Table1[[#This Row],[Payment Status]]="Paid","Delivered",Table1[[#This Row],[Payment Status]]="Pending","Pending"),"Invalid Input")</f>
        <v>Delivered</v>
      </c>
      <c r="T1416" t="s">
        <v>44</v>
      </c>
      <c r="U1416" t="str" cm="1">
        <f t="array" ref="U1416">IFERROR(_xlfn.IFS(Table1[[#This Row],[Payment Status]]="Partial","In Transit",Table1[[#This Row],[Payment Status]]="Paid","Completed",Table1[[#This Row],[Payment Status]]="Pending","Pending"),"Invalid Input")</f>
        <v>Completed</v>
      </c>
    </row>
    <row r="1417" spans="1:21" x14ac:dyDescent="0.25">
      <c r="A1417" s="4" t="s">
        <v>2449</v>
      </c>
      <c r="B1417" s="5">
        <v>45642</v>
      </c>
      <c r="C1417" t="s">
        <v>52</v>
      </c>
      <c r="D1417" t="s">
        <v>3269</v>
      </c>
      <c r="E1417" t="s">
        <v>38</v>
      </c>
      <c r="F1417" t="s">
        <v>3206</v>
      </c>
      <c r="G1417" t="s">
        <v>39</v>
      </c>
      <c r="H1417" t="str">
        <f>VLOOKUP(Table1[[#This Row],[City]],Table6[#All],2,FALSE)</f>
        <v>West</v>
      </c>
      <c r="I1417" t="s">
        <v>53</v>
      </c>
      <c r="J1417" t="str">
        <f>_xlfn.XLOOKUP(Table1[[#This Row],[Tractor Model]],Table7[Product Model],Table7[Product Category],"Not Available",0)</f>
        <v>Farmtrac</v>
      </c>
      <c r="K1417" s="4">
        <v>2</v>
      </c>
      <c r="L1417" s="72">
        <v>849679</v>
      </c>
      <c r="M1417" s="4">
        <f>INDEX('Master Sheet'!$C$4:$C$12,MATCH(Table1[[#This Row],[Quantity]],'Master Sheet'!$B$4:$B$12,0))</f>
        <v>5</v>
      </c>
      <c r="N1417" s="71">
        <f>Table1[[#This Row],[Quantity]]*Table1[[#This Row],[Unit Price]]</f>
        <v>1699358</v>
      </c>
      <c r="O1417" s="73">
        <v>0.1699358</v>
      </c>
      <c r="P1417" s="70">
        <f>Table1[[#This Row],[Gross Amount]]*(1-(Table1[[#This Row],[Discount %]]/100))</f>
        <v>1614390.0999999999</v>
      </c>
      <c r="Q1417" s="74">
        <f>(Table1[[#This Row],[Gross Amount]]*(1-(Table1[[#This Row],[Discount %]]/100)))/10000000</f>
        <v>0.16143900999999999</v>
      </c>
      <c r="R1417" t="s">
        <v>42</v>
      </c>
      <c r="S1417" t="str" cm="1">
        <f t="array" ref="S1417">IFERROR(_xlfn.IFS(Table1[[#This Row],[Payment Status]]="Partial","In Transit",Table1[[#This Row],[Payment Status]]="Paid","Delivered",Table1[[#This Row],[Payment Status]]="Pending","Pending"),"Invalid Input")</f>
        <v>Pending</v>
      </c>
      <c r="T1417" t="s">
        <v>27</v>
      </c>
      <c r="U1417" t="str" cm="1">
        <f t="array" ref="U1417">IFERROR(_xlfn.IFS(Table1[[#This Row],[Payment Status]]="Partial","In Transit",Table1[[#This Row],[Payment Status]]="Paid","Completed",Table1[[#This Row],[Payment Status]]="Pending","Pending"),"Invalid Input")</f>
        <v>Pending</v>
      </c>
    </row>
    <row r="1418" spans="1:21" x14ac:dyDescent="0.25">
      <c r="A1418" s="4" t="s">
        <v>2451</v>
      </c>
      <c r="B1418" s="5">
        <v>45337</v>
      </c>
      <c r="C1418" t="s">
        <v>52</v>
      </c>
      <c r="D1418" t="s">
        <v>37</v>
      </c>
      <c r="E1418" t="s">
        <v>66</v>
      </c>
      <c r="F1418" t="s">
        <v>3226</v>
      </c>
      <c r="G1418" t="s">
        <v>67</v>
      </c>
      <c r="H1418" t="str">
        <f>VLOOKUP(Table1[[#This Row],[City]],Table6[#All],2,FALSE)</f>
        <v>East</v>
      </c>
      <c r="I1418" t="s">
        <v>53</v>
      </c>
      <c r="J1418" t="str">
        <f>_xlfn.XLOOKUP(Table1[[#This Row],[Tractor Model]],Table7[Product Model],Table7[Product Category],"Not Available",0)</f>
        <v>Farmtrac</v>
      </c>
      <c r="K1418" s="4">
        <v>2</v>
      </c>
      <c r="L1418" s="72">
        <v>805851</v>
      </c>
      <c r="M1418" s="4">
        <f>INDEX('Master Sheet'!$C$4:$C$12,MATCH(Table1[[#This Row],[Quantity]],'Master Sheet'!$B$4:$B$12,0))</f>
        <v>5</v>
      </c>
      <c r="N1418" s="71">
        <f>Table1[[#This Row],[Quantity]]*Table1[[#This Row],[Unit Price]]</f>
        <v>1611702</v>
      </c>
      <c r="O1418" s="73">
        <v>0.16117020000000001</v>
      </c>
      <c r="P1418" s="70">
        <f>Table1[[#This Row],[Gross Amount]]*(1-(Table1[[#This Row],[Discount %]]/100))</f>
        <v>1531116.9</v>
      </c>
      <c r="Q1418" s="74">
        <f>(Table1[[#This Row],[Gross Amount]]*(1-(Table1[[#This Row],[Discount %]]/100)))/10000000</f>
        <v>0.15311168999999999</v>
      </c>
      <c r="R1418" t="s">
        <v>42</v>
      </c>
      <c r="S1418" t="str" cm="1">
        <f t="array" ref="S1418">IFERROR(_xlfn.IFS(Table1[[#This Row],[Payment Status]]="Partial","In Transit",Table1[[#This Row],[Payment Status]]="Paid","Delivered",Table1[[#This Row],[Payment Status]]="Pending","Pending"),"Invalid Input")</f>
        <v>Pending</v>
      </c>
      <c r="T1418" t="s">
        <v>27</v>
      </c>
      <c r="U1418" t="str" cm="1">
        <f t="array" ref="U1418">IFERROR(_xlfn.IFS(Table1[[#This Row],[Payment Status]]="Partial","In Transit",Table1[[#This Row],[Payment Status]]="Paid","Completed",Table1[[#This Row],[Payment Status]]="Pending","Pending"),"Invalid Input")</f>
        <v>Pending</v>
      </c>
    </row>
    <row r="1419" spans="1:21" x14ac:dyDescent="0.25">
      <c r="A1419" s="4" t="s">
        <v>2452</v>
      </c>
      <c r="B1419" s="5">
        <v>45460</v>
      </c>
      <c r="C1419" t="s">
        <v>41</v>
      </c>
      <c r="D1419" t="s">
        <v>3269</v>
      </c>
      <c r="E1419" t="s">
        <v>47</v>
      </c>
      <c r="F1419" t="s">
        <v>3209</v>
      </c>
      <c r="G1419" t="s">
        <v>48</v>
      </c>
      <c r="H1419" t="str">
        <f>VLOOKUP(Table1[[#This Row],[City]],Table6[#All],2,FALSE)</f>
        <v>North</v>
      </c>
      <c r="I1419" t="s">
        <v>3204</v>
      </c>
      <c r="J1419" t="str">
        <f>_xlfn.XLOOKUP(Table1[[#This Row],[Tractor Model]],Table7[Product Model],Table7[Product Category],"Not Available",0)</f>
        <v>Kubota</v>
      </c>
      <c r="K1419" s="4">
        <v>5</v>
      </c>
      <c r="L1419" s="72">
        <v>450175</v>
      </c>
      <c r="M1419" s="4">
        <f>INDEX('Master Sheet'!$C$4:$C$12,MATCH(Table1[[#This Row],[Quantity]],'Master Sheet'!$B$4:$B$12,0))</f>
        <v>7</v>
      </c>
      <c r="N1419" s="71">
        <f>Table1[[#This Row],[Quantity]]*Table1[[#This Row],[Unit Price]]</f>
        <v>2250875</v>
      </c>
      <c r="O1419" s="73">
        <v>0.2250875</v>
      </c>
      <c r="P1419" s="70">
        <f>Table1[[#This Row],[Gross Amount]]*(1-(Table1[[#This Row],[Discount %]]/100))</f>
        <v>2093313.7499999998</v>
      </c>
      <c r="Q1419" s="74">
        <f>(Table1[[#This Row],[Gross Amount]]*(1-(Table1[[#This Row],[Discount %]]/100)))/10000000</f>
        <v>0.20933137499999999</v>
      </c>
      <c r="R1419" t="s">
        <v>25</v>
      </c>
      <c r="S1419" t="str" cm="1">
        <f t="array" ref="S1419">IFERROR(_xlfn.IFS(Table1[[#This Row],[Payment Status]]="Partial","In Transit",Table1[[#This Row],[Payment Status]]="Paid","Delivered",Table1[[#This Row],[Payment Status]]="Pending","Pending"),"Invalid Input")</f>
        <v>In Transit</v>
      </c>
      <c r="T1419" t="s">
        <v>27</v>
      </c>
      <c r="U1419" t="str" cm="1">
        <f t="array" ref="U1419">IFERROR(_xlfn.IFS(Table1[[#This Row],[Payment Status]]="Partial","In Transit",Table1[[#This Row],[Payment Status]]="Paid","Completed",Table1[[#This Row],[Payment Status]]="Pending","Pending"),"Invalid Input")</f>
        <v>In Transit</v>
      </c>
    </row>
    <row r="1420" spans="1:21" x14ac:dyDescent="0.25">
      <c r="A1420" s="4" t="s">
        <v>2454</v>
      </c>
      <c r="B1420" s="5">
        <v>45690</v>
      </c>
      <c r="C1420" t="s">
        <v>33</v>
      </c>
      <c r="D1420" t="s">
        <v>3270</v>
      </c>
      <c r="E1420" t="s">
        <v>66</v>
      </c>
      <c r="F1420" t="s">
        <v>3220</v>
      </c>
      <c r="G1420" t="s">
        <v>67</v>
      </c>
      <c r="H1420" t="str">
        <f>VLOOKUP(Table1[[#This Row],[City]],Table6[#All],2,FALSE)</f>
        <v>East</v>
      </c>
      <c r="I1420" t="s">
        <v>3203</v>
      </c>
      <c r="J1420" t="str">
        <f>_xlfn.XLOOKUP(Table1[[#This Row],[Tractor Model]],Table7[Product Model],Table7[Product Category],"Not Available",0)</f>
        <v>Kubota</v>
      </c>
      <c r="K1420" s="4">
        <v>6</v>
      </c>
      <c r="L1420" s="72">
        <v>637076</v>
      </c>
      <c r="M1420" s="4">
        <f>INDEX('Master Sheet'!$C$4:$C$12,MATCH(Table1[[#This Row],[Quantity]],'Master Sheet'!$B$4:$B$12,0))</f>
        <v>8</v>
      </c>
      <c r="N1420" s="71">
        <f>Table1[[#This Row],[Quantity]]*Table1[[#This Row],[Unit Price]]</f>
        <v>3822456</v>
      </c>
      <c r="O1420" s="73">
        <v>0.38224560000000002</v>
      </c>
      <c r="P1420" s="70">
        <f>Table1[[#This Row],[Gross Amount]]*(1-(Table1[[#This Row],[Discount %]]/100))</f>
        <v>3516659.52</v>
      </c>
      <c r="Q1420" s="74">
        <f>(Table1[[#This Row],[Gross Amount]]*(1-(Table1[[#This Row],[Discount %]]/100)))/10000000</f>
        <v>0.351665952</v>
      </c>
      <c r="R1420" t="s">
        <v>25</v>
      </c>
      <c r="S1420" t="str" cm="1">
        <f t="array" ref="S1420">IFERROR(_xlfn.IFS(Table1[[#This Row],[Payment Status]]="Partial","In Transit",Table1[[#This Row],[Payment Status]]="Paid","Delivered",Table1[[#This Row],[Payment Status]]="Pending","Pending"),"Invalid Input")</f>
        <v>In Transit</v>
      </c>
      <c r="T1420" t="s">
        <v>27</v>
      </c>
      <c r="U1420" t="str" cm="1">
        <f t="array" ref="U1420">IFERROR(_xlfn.IFS(Table1[[#This Row],[Payment Status]]="Partial","In Transit",Table1[[#This Row],[Payment Status]]="Paid","Completed",Table1[[#This Row],[Payment Status]]="Pending","Pending"),"Invalid Input")</f>
        <v>In Transit</v>
      </c>
    </row>
    <row r="1421" spans="1:21" x14ac:dyDescent="0.25">
      <c r="A1421" s="4" t="s">
        <v>2455</v>
      </c>
      <c r="B1421" s="5">
        <v>45348</v>
      </c>
      <c r="C1421" t="s">
        <v>33</v>
      </c>
      <c r="D1421" t="s">
        <v>37</v>
      </c>
      <c r="E1421" t="s">
        <v>30</v>
      </c>
      <c r="F1421" t="s">
        <v>3222</v>
      </c>
      <c r="G1421" t="s">
        <v>31</v>
      </c>
      <c r="H1421" t="str">
        <f>VLOOKUP(Table1[[#This Row],[City]],Table6[#All],2,FALSE)</f>
        <v>South</v>
      </c>
      <c r="I1421" t="s">
        <v>53</v>
      </c>
      <c r="J1421" t="str">
        <f>_xlfn.XLOOKUP(Table1[[#This Row],[Tractor Model]],Table7[Product Model],Table7[Product Category],"Not Available",0)</f>
        <v>Farmtrac</v>
      </c>
      <c r="K1421" s="4">
        <v>1</v>
      </c>
      <c r="L1421" s="72">
        <v>815225</v>
      </c>
      <c r="M1421" s="4">
        <f>INDEX('Master Sheet'!$C$4:$C$12,MATCH(Table1[[#This Row],[Quantity]],'Master Sheet'!$B$4:$B$12,0))</f>
        <v>3</v>
      </c>
      <c r="N1421" s="71">
        <f>Table1[[#This Row],[Quantity]]*Table1[[#This Row],[Unit Price]]</f>
        <v>815225</v>
      </c>
      <c r="O1421" s="73">
        <v>8.1522499999999998E-2</v>
      </c>
      <c r="P1421" s="70">
        <f>Table1[[#This Row],[Gross Amount]]*(1-(Table1[[#This Row],[Discount %]]/100))</f>
        <v>790768.25</v>
      </c>
      <c r="Q1421" s="74">
        <f>(Table1[[#This Row],[Gross Amount]]*(1-(Table1[[#This Row],[Discount %]]/100)))/10000000</f>
        <v>7.9076825000000003E-2</v>
      </c>
      <c r="R1421" t="s">
        <v>54</v>
      </c>
      <c r="S1421" t="str" cm="1">
        <f t="array" ref="S1421">IFERROR(_xlfn.IFS(Table1[[#This Row],[Payment Status]]="Partial","In Transit",Table1[[#This Row],[Payment Status]]="Paid","Delivered",Table1[[#This Row],[Payment Status]]="Pending","Pending"),"Invalid Input")</f>
        <v>Delivered</v>
      </c>
      <c r="T1421" t="s">
        <v>27</v>
      </c>
      <c r="U1421" t="str" cm="1">
        <f t="array" ref="U1421">IFERROR(_xlfn.IFS(Table1[[#This Row],[Payment Status]]="Partial","In Transit",Table1[[#This Row],[Payment Status]]="Paid","Completed",Table1[[#This Row],[Payment Status]]="Pending","Pending"),"Invalid Input")</f>
        <v>Completed</v>
      </c>
    </row>
    <row r="1422" spans="1:21" x14ac:dyDescent="0.25">
      <c r="A1422" s="4" t="s">
        <v>2457</v>
      </c>
      <c r="B1422" s="5">
        <v>45391</v>
      </c>
      <c r="C1422" t="s">
        <v>41</v>
      </c>
      <c r="D1422" t="s">
        <v>3268</v>
      </c>
      <c r="E1422" t="s">
        <v>66</v>
      </c>
      <c r="F1422" t="s">
        <v>3211</v>
      </c>
      <c r="G1422" t="s">
        <v>67</v>
      </c>
      <c r="H1422" t="str">
        <f>VLOOKUP(Table1[[#This Row],[City]],Table6[#All],2,FALSE)</f>
        <v>East</v>
      </c>
      <c r="I1422" t="s">
        <v>24</v>
      </c>
      <c r="J1422" t="str">
        <f>_xlfn.XLOOKUP(Table1[[#This Row],[Tractor Model]],Table7[Product Model],Table7[Product Category],"Not Available",0)</f>
        <v>Farmtrac</v>
      </c>
      <c r="K1422" s="4">
        <v>6</v>
      </c>
      <c r="L1422" s="72">
        <v>788381</v>
      </c>
      <c r="M1422" s="4">
        <f>INDEX('Master Sheet'!$C$4:$C$12,MATCH(Table1[[#This Row],[Quantity]],'Master Sheet'!$B$4:$B$12,0))</f>
        <v>8</v>
      </c>
      <c r="N1422" s="71">
        <f>Table1[[#This Row],[Quantity]]*Table1[[#This Row],[Unit Price]]</f>
        <v>4730286</v>
      </c>
      <c r="O1422" s="73">
        <v>0.47302860000000002</v>
      </c>
      <c r="P1422" s="70">
        <f>Table1[[#This Row],[Gross Amount]]*(1-(Table1[[#This Row],[Discount %]]/100))</f>
        <v>4351863.12</v>
      </c>
      <c r="Q1422" s="74">
        <f>(Table1[[#This Row],[Gross Amount]]*(1-(Table1[[#This Row],[Discount %]]/100)))/10000000</f>
        <v>0.43518631200000002</v>
      </c>
      <c r="R1422" t="s">
        <v>54</v>
      </c>
      <c r="S1422" t="str" cm="1">
        <f t="array" ref="S1422">IFERROR(_xlfn.IFS(Table1[[#This Row],[Payment Status]]="Partial","In Transit",Table1[[#This Row],[Payment Status]]="Paid","Delivered",Table1[[#This Row],[Payment Status]]="Pending","Pending"),"Invalid Input")</f>
        <v>Delivered</v>
      </c>
      <c r="T1422" t="s">
        <v>27</v>
      </c>
      <c r="U1422" t="str" cm="1">
        <f t="array" ref="U1422">IFERROR(_xlfn.IFS(Table1[[#This Row],[Payment Status]]="Partial","In Transit",Table1[[#This Row],[Payment Status]]="Paid","Completed",Table1[[#This Row],[Payment Status]]="Pending","Pending"),"Invalid Input")</f>
        <v>Completed</v>
      </c>
    </row>
    <row r="1423" spans="1:21" x14ac:dyDescent="0.25">
      <c r="A1423" s="4" t="s">
        <v>2458</v>
      </c>
      <c r="B1423" s="5">
        <v>45466</v>
      </c>
      <c r="C1423" t="s">
        <v>41</v>
      </c>
      <c r="D1423" t="s">
        <v>3271</v>
      </c>
      <c r="E1423" t="s">
        <v>47</v>
      </c>
      <c r="F1423" t="s">
        <v>3221</v>
      </c>
      <c r="G1423" t="s">
        <v>48</v>
      </c>
      <c r="H1423" t="str">
        <f>VLOOKUP(Table1[[#This Row],[City]],Table6[#All],2,FALSE)</f>
        <v>North</v>
      </c>
      <c r="I1423" t="s">
        <v>24</v>
      </c>
      <c r="J1423" t="str">
        <f>_xlfn.XLOOKUP(Table1[[#This Row],[Tractor Model]],Table7[Product Model],Table7[Product Category],"Not Available",0)</f>
        <v>Farmtrac</v>
      </c>
      <c r="K1423" s="4">
        <v>0</v>
      </c>
      <c r="L1423" s="72">
        <v>832149</v>
      </c>
      <c r="M1423" s="4">
        <f>INDEX('Master Sheet'!$C$4:$C$12,MATCH(Table1[[#This Row],[Quantity]],'Master Sheet'!$B$4:$B$12,0))</f>
        <v>0</v>
      </c>
      <c r="N1423" s="71">
        <f>Table1[[#This Row],[Quantity]]*Table1[[#This Row],[Unit Price]]</f>
        <v>0</v>
      </c>
      <c r="O1423" s="73">
        <v>0</v>
      </c>
      <c r="P1423" s="70">
        <f>Table1[[#This Row],[Gross Amount]]*(1-(Table1[[#This Row],[Discount %]]/100))</f>
        <v>0</v>
      </c>
      <c r="Q1423" s="74">
        <f>(Table1[[#This Row],[Gross Amount]]*(1-(Table1[[#This Row],[Discount %]]/100)))/10000000</f>
        <v>0</v>
      </c>
      <c r="R1423" t="s">
        <v>25</v>
      </c>
      <c r="S1423" t="str" cm="1">
        <f t="array" ref="S1423">IFERROR(_xlfn.IFS(Table1[[#This Row],[Payment Status]]="Partial","In Transit",Table1[[#This Row],[Payment Status]]="Paid","Delivered",Table1[[#This Row],[Payment Status]]="Pending","Pending"),"Invalid Input")</f>
        <v>In Transit</v>
      </c>
      <c r="T1423" t="s">
        <v>27</v>
      </c>
      <c r="U1423" t="str" cm="1">
        <f t="array" ref="U1423">IFERROR(_xlfn.IFS(Table1[[#This Row],[Payment Status]]="Partial","In Transit",Table1[[#This Row],[Payment Status]]="Paid","Completed",Table1[[#This Row],[Payment Status]]="Pending","Pending"),"Invalid Input")</f>
        <v>In Transit</v>
      </c>
    </row>
    <row r="1424" spans="1:21" x14ac:dyDescent="0.25">
      <c r="A1424" s="4" t="s">
        <v>2459</v>
      </c>
      <c r="B1424" s="5">
        <v>45401</v>
      </c>
      <c r="C1424" t="s">
        <v>73</v>
      </c>
      <c r="D1424" t="s">
        <v>3268</v>
      </c>
      <c r="E1424" t="s">
        <v>38</v>
      </c>
      <c r="F1424" t="s">
        <v>3219</v>
      </c>
      <c r="G1424" t="s">
        <v>39</v>
      </c>
      <c r="H1424" t="str">
        <f>VLOOKUP(Table1[[#This Row],[City]],Table6[#All],2,FALSE)</f>
        <v>West</v>
      </c>
      <c r="I1424" t="s">
        <v>3204</v>
      </c>
      <c r="J1424" t="str">
        <f>_xlfn.XLOOKUP(Table1[[#This Row],[Tractor Model]],Table7[Product Model],Table7[Product Category],"Not Available",0)</f>
        <v>Kubota</v>
      </c>
      <c r="K1424" s="4">
        <v>8</v>
      </c>
      <c r="L1424" s="72">
        <v>185100</v>
      </c>
      <c r="M1424" s="4">
        <f>INDEX('Master Sheet'!$C$4:$C$12,MATCH(Table1[[#This Row],[Quantity]],'Master Sheet'!$B$4:$B$12,0))</f>
        <v>9</v>
      </c>
      <c r="N1424" s="71">
        <f>Table1[[#This Row],[Quantity]]*Table1[[#This Row],[Unit Price]]</f>
        <v>1480800</v>
      </c>
      <c r="O1424" s="73">
        <v>0.14807999999999999</v>
      </c>
      <c r="P1424" s="70">
        <f>Table1[[#This Row],[Gross Amount]]*(1-(Table1[[#This Row],[Discount %]]/100))</f>
        <v>1347528</v>
      </c>
      <c r="Q1424" s="74">
        <f>(Table1[[#This Row],[Gross Amount]]*(1-(Table1[[#This Row],[Discount %]]/100)))/10000000</f>
        <v>0.13475280000000001</v>
      </c>
      <c r="R1424" t="s">
        <v>25</v>
      </c>
      <c r="S1424" t="str" cm="1">
        <f t="array" ref="S1424">IFERROR(_xlfn.IFS(Table1[[#This Row],[Payment Status]]="Partial","In Transit",Table1[[#This Row],[Payment Status]]="Paid","Delivered",Table1[[#This Row],[Payment Status]]="Pending","Pending"),"Invalid Input")</f>
        <v>In Transit</v>
      </c>
      <c r="T1424" t="s">
        <v>27</v>
      </c>
      <c r="U1424" t="str" cm="1">
        <f t="array" ref="U1424">IFERROR(_xlfn.IFS(Table1[[#This Row],[Payment Status]]="Partial","In Transit",Table1[[#This Row],[Payment Status]]="Paid","Completed",Table1[[#This Row],[Payment Status]]="Pending","Pending"),"Invalid Input")</f>
        <v>In Transit</v>
      </c>
    </row>
    <row r="1425" spans="1:21" x14ac:dyDescent="0.25">
      <c r="A1425" s="4" t="s">
        <v>2460</v>
      </c>
      <c r="B1425" s="5">
        <v>45767</v>
      </c>
      <c r="C1425" t="s">
        <v>41</v>
      </c>
      <c r="D1425" t="s">
        <v>3269</v>
      </c>
      <c r="E1425" t="s">
        <v>66</v>
      </c>
      <c r="F1425" t="s">
        <v>3213</v>
      </c>
      <c r="G1425" t="s">
        <v>67</v>
      </c>
      <c r="H1425" t="str">
        <f>VLOOKUP(Table1[[#This Row],[City]],Table6[#All],2,FALSE)</f>
        <v>East</v>
      </c>
      <c r="I1425" t="s">
        <v>3203</v>
      </c>
      <c r="J1425" t="str">
        <f>_xlfn.XLOOKUP(Table1[[#This Row],[Tractor Model]],Table7[Product Model],Table7[Product Category],"Not Available",0)</f>
        <v>Kubota</v>
      </c>
      <c r="K1425" s="4">
        <v>4</v>
      </c>
      <c r="L1425" s="72">
        <v>164686</v>
      </c>
      <c r="M1425" s="4">
        <f>INDEX('Master Sheet'!$C$4:$C$12,MATCH(Table1[[#This Row],[Quantity]],'Master Sheet'!$B$4:$B$12,0))</f>
        <v>6</v>
      </c>
      <c r="N1425" s="71">
        <f>Table1[[#This Row],[Quantity]]*Table1[[#This Row],[Unit Price]]</f>
        <v>658744</v>
      </c>
      <c r="O1425" s="73">
        <v>6.58744E-2</v>
      </c>
      <c r="P1425" s="70">
        <f>Table1[[#This Row],[Gross Amount]]*(1-(Table1[[#This Row],[Discount %]]/100))</f>
        <v>619219.36</v>
      </c>
      <c r="Q1425" s="74">
        <f>(Table1[[#This Row],[Gross Amount]]*(1-(Table1[[#This Row],[Discount %]]/100)))/10000000</f>
        <v>6.1921935999999997E-2</v>
      </c>
      <c r="R1425" t="s">
        <v>25</v>
      </c>
      <c r="S1425" t="str" cm="1">
        <f t="array" ref="S1425">IFERROR(_xlfn.IFS(Table1[[#This Row],[Payment Status]]="Partial","In Transit",Table1[[#This Row],[Payment Status]]="Paid","Delivered",Table1[[#This Row],[Payment Status]]="Pending","Pending"),"Invalid Input")</f>
        <v>In Transit</v>
      </c>
      <c r="T1425" t="s">
        <v>44</v>
      </c>
      <c r="U1425" t="str" cm="1">
        <f t="array" ref="U1425">IFERROR(_xlfn.IFS(Table1[[#This Row],[Payment Status]]="Partial","In Transit",Table1[[#This Row],[Payment Status]]="Paid","Completed",Table1[[#This Row],[Payment Status]]="Pending","Pending"),"Invalid Input")</f>
        <v>In Transit</v>
      </c>
    </row>
    <row r="1426" spans="1:21" x14ac:dyDescent="0.25">
      <c r="A1426" s="4" t="s">
        <v>2462</v>
      </c>
      <c r="B1426" s="5">
        <v>45341</v>
      </c>
      <c r="C1426" t="s">
        <v>73</v>
      </c>
      <c r="D1426" t="s">
        <v>3269</v>
      </c>
      <c r="E1426" t="s">
        <v>119</v>
      </c>
      <c r="F1426" t="s">
        <v>3229</v>
      </c>
      <c r="G1426" t="s">
        <v>21</v>
      </c>
      <c r="H1426" t="str">
        <f>VLOOKUP(Table1[[#This Row],[City]],Table6[#All],2,FALSE)</f>
        <v>North</v>
      </c>
      <c r="I1426" t="s">
        <v>3204</v>
      </c>
      <c r="J1426" t="str">
        <f>_xlfn.XLOOKUP(Table1[[#This Row],[Tractor Model]],Table7[Product Model],Table7[Product Category],"Not Available",0)</f>
        <v>Kubota</v>
      </c>
      <c r="K1426" s="4">
        <v>7</v>
      </c>
      <c r="L1426" s="72">
        <v>129028</v>
      </c>
      <c r="M1426" s="4">
        <f>INDEX('Master Sheet'!$C$4:$C$12,MATCH(Table1[[#This Row],[Quantity]],'Master Sheet'!$B$4:$B$12,0))</f>
        <v>9</v>
      </c>
      <c r="N1426" s="71">
        <f>Table1[[#This Row],[Quantity]]*Table1[[#This Row],[Unit Price]]</f>
        <v>903196</v>
      </c>
      <c r="O1426" s="73">
        <v>9.03196E-2</v>
      </c>
      <c r="P1426" s="70">
        <f>Table1[[#This Row],[Gross Amount]]*(1-(Table1[[#This Row],[Discount %]]/100))</f>
        <v>821908.36</v>
      </c>
      <c r="Q1426" s="74">
        <f>(Table1[[#This Row],[Gross Amount]]*(1-(Table1[[#This Row],[Discount %]]/100)))/10000000</f>
        <v>8.2190836000000003E-2</v>
      </c>
      <c r="R1426" t="s">
        <v>54</v>
      </c>
      <c r="S1426" t="str" cm="1">
        <f t="array" ref="S1426">IFERROR(_xlfn.IFS(Table1[[#This Row],[Payment Status]]="Partial","In Transit",Table1[[#This Row],[Payment Status]]="Paid","Delivered",Table1[[#This Row],[Payment Status]]="Pending","Pending"),"Invalid Input")</f>
        <v>Delivered</v>
      </c>
      <c r="T1426" t="s">
        <v>27</v>
      </c>
      <c r="U1426" t="str" cm="1">
        <f t="array" ref="U1426">IFERROR(_xlfn.IFS(Table1[[#This Row],[Payment Status]]="Partial","In Transit",Table1[[#This Row],[Payment Status]]="Paid","Completed",Table1[[#This Row],[Payment Status]]="Pending","Pending"),"Invalid Input")</f>
        <v>Completed</v>
      </c>
    </row>
    <row r="1427" spans="1:21" x14ac:dyDescent="0.25">
      <c r="A1427" s="4" t="s">
        <v>2463</v>
      </c>
      <c r="B1427" s="5">
        <v>45554</v>
      </c>
      <c r="C1427" t="s">
        <v>52</v>
      </c>
      <c r="D1427" t="s">
        <v>3270</v>
      </c>
      <c r="E1427" t="s">
        <v>119</v>
      </c>
      <c r="F1427" t="s">
        <v>3212</v>
      </c>
      <c r="G1427" t="s">
        <v>21</v>
      </c>
      <c r="H1427" t="str">
        <f>VLOOKUP(Table1[[#This Row],[City]],Table6[#All],2,FALSE)</f>
        <v>North</v>
      </c>
      <c r="I1427" t="s">
        <v>53</v>
      </c>
      <c r="J1427" t="str">
        <f>_xlfn.XLOOKUP(Table1[[#This Row],[Tractor Model]],Table7[Product Model],Table7[Product Category],"Not Available",0)</f>
        <v>Farmtrac</v>
      </c>
      <c r="K1427" s="4">
        <v>3</v>
      </c>
      <c r="L1427" s="72">
        <v>742022</v>
      </c>
      <c r="M1427" s="4">
        <f>INDEX('Master Sheet'!$C$4:$C$12,MATCH(Table1[[#This Row],[Quantity]],'Master Sheet'!$B$4:$B$12,0))</f>
        <v>6</v>
      </c>
      <c r="N1427" s="71">
        <f>Table1[[#This Row],[Quantity]]*Table1[[#This Row],[Unit Price]]</f>
        <v>2226066</v>
      </c>
      <c r="O1427" s="73">
        <v>0.22260659999999999</v>
      </c>
      <c r="P1427" s="70">
        <f>Table1[[#This Row],[Gross Amount]]*(1-(Table1[[#This Row],[Discount %]]/100))</f>
        <v>2092502.0399999998</v>
      </c>
      <c r="Q1427" s="74">
        <f>(Table1[[#This Row],[Gross Amount]]*(1-(Table1[[#This Row],[Discount %]]/100)))/10000000</f>
        <v>0.20925020399999997</v>
      </c>
      <c r="R1427" t="s">
        <v>54</v>
      </c>
      <c r="S1427" t="str" cm="1">
        <f t="array" ref="S1427">IFERROR(_xlfn.IFS(Table1[[#This Row],[Payment Status]]="Partial","In Transit",Table1[[#This Row],[Payment Status]]="Paid","Delivered",Table1[[#This Row],[Payment Status]]="Pending","Pending"),"Invalid Input")</f>
        <v>Delivered</v>
      </c>
      <c r="T1427" t="s">
        <v>27</v>
      </c>
      <c r="U1427" t="str" cm="1">
        <f t="array" ref="U1427">IFERROR(_xlfn.IFS(Table1[[#This Row],[Payment Status]]="Partial","In Transit",Table1[[#This Row],[Payment Status]]="Paid","Completed",Table1[[#This Row],[Payment Status]]="Pending","Pending"),"Invalid Input")</f>
        <v>Completed</v>
      </c>
    </row>
    <row r="1428" spans="1:21" x14ac:dyDescent="0.25">
      <c r="A1428" s="4" t="s">
        <v>2465</v>
      </c>
      <c r="B1428" s="5">
        <v>45333</v>
      </c>
      <c r="C1428" t="s">
        <v>33</v>
      </c>
      <c r="D1428" t="s">
        <v>3271</v>
      </c>
      <c r="E1428" t="s">
        <v>47</v>
      </c>
      <c r="F1428" t="s">
        <v>3221</v>
      </c>
      <c r="G1428" t="s">
        <v>48</v>
      </c>
      <c r="H1428" t="str">
        <f>VLOOKUP(Table1[[#This Row],[City]],Table6[#All],2,FALSE)</f>
        <v>North</v>
      </c>
      <c r="I1428" t="s">
        <v>53</v>
      </c>
      <c r="J1428" t="str">
        <f>_xlfn.XLOOKUP(Table1[[#This Row],[Tractor Model]],Table7[Product Model],Table7[Product Category],"Not Available",0)</f>
        <v>Farmtrac</v>
      </c>
      <c r="K1428" s="4">
        <v>2</v>
      </c>
      <c r="L1428" s="72">
        <v>400531</v>
      </c>
      <c r="M1428" s="4">
        <f>INDEX('Master Sheet'!$C$4:$C$12,MATCH(Table1[[#This Row],[Quantity]],'Master Sheet'!$B$4:$B$12,0))</f>
        <v>5</v>
      </c>
      <c r="N1428" s="71">
        <f>Table1[[#This Row],[Quantity]]*Table1[[#This Row],[Unit Price]]</f>
        <v>801062</v>
      </c>
      <c r="O1428" s="73">
        <v>8.0106200000000002E-2</v>
      </c>
      <c r="P1428" s="70">
        <f>Table1[[#This Row],[Gross Amount]]*(1-(Table1[[#This Row],[Discount %]]/100))</f>
        <v>761008.89999999991</v>
      </c>
      <c r="Q1428" s="74">
        <f>(Table1[[#This Row],[Gross Amount]]*(1-(Table1[[#This Row],[Discount %]]/100)))/10000000</f>
        <v>7.610088999999999E-2</v>
      </c>
      <c r="R1428" t="s">
        <v>54</v>
      </c>
      <c r="S1428" t="str" cm="1">
        <f t="array" ref="S1428">IFERROR(_xlfn.IFS(Table1[[#This Row],[Payment Status]]="Partial","In Transit",Table1[[#This Row],[Payment Status]]="Paid","Delivered",Table1[[#This Row],[Payment Status]]="Pending","Pending"),"Invalid Input")</f>
        <v>Delivered</v>
      </c>
      <c r="T1428" t="s">
        <v>44</v>
      </c>
      <c r="U1428" t="str" cm="1">
        <f t="array" ref="U1428">IFERROR(_xlfn.IFS(Table1[[#This Row],[Payment Status]]="Partial","In Transit",Table1[[#This Row],[Payment Status]]="Paid","Completed",Table1[[#This Row],[Payment Status]]="Pending","Pending"),"Invalid Input")</f>
        <v>Completed</v>
      </c>
    </row>
    <row r="1429" spans="1:21" x14ac:dyDescent="0.25">
      <c r="A1429" s="4" t="s">
        <v>2467</v>
      </c>
      <c r="B1429" s="5">
        <v>45456</v>
      </c>
      <c r="C1429" t="s">
        <v>52</v>
      </c>
      <c r="D1429" t="s">
        <v>3270</v>
      </c>
      <c r="E1429" t="s">
        <v>66</v>
      </c>
      <c r="F1429" t="s">
        <v>3220</v>
      </c>
      <c r="G1429" t="s">
        <v>67</v>
      </c>
      <c r="H1429" t="str">
        <f>VLOOKUP(Table1[[#This Row],[City]],Table6[#All],2,FALSE)</f>
        <v>East</v>
      </c>
      <c r="I1429" t="s">
        <v>3203</v>
      </c>
      <c r="J1429" t="str">
        <f>_xlfn.XLOOKUP(Table1[[#This Row],[Tractor Model]],Table7[Product Model],Table7[Product Category],"Not Available",0)</f>
        <v>Kubota</v>
      </c>
      <c r="K1429" s="4">
        <v>3</v>
      </c>
      <c r="L1429" s="72">
        <v>611926</v>
      </c>
      <c r="M1429" s="4">
        <f>INDEX('Master Sheet'!$C$4:$C$12,MATCH(Table1[[#This Row],[Quantity]],'Master Sheet'!$B$4:$B$12,0))</f>
        <v>6</v>
      </c>
      <c r="N1429" s="71">
        <f>Table1[[#This Row],[Quantity]]*Table1[[#This Row],[Unit Price]]</f>
        <v>1835778</v>
      </c>
      <c r="O1429" s="73">
        <v>0.18357780000000001</v>
      </c>
      <c r="P1429" s="70">
        <f>Table1[[#This Row],[Gross Amount]]*(1-(Table1[[#This Row],[Discount %]]/100))</f>
        <v>1725631.3199999998</v>
      </c>
      <c r="Q1429" s="74">
        <f>(Table1[[#This Row],[Gross Amount]]*(1-(Table1[[#This Row],[Discount %]]/100)))/10000000</f>
        <v>0.17256313199999998</v>
      </c>
      <c r="R1429" t="s">
        <v>25</v>
      </c>
      <c r="S1429" t="str" cm="1">
        <f t="array" ref="S1429">IFERROR(_xlfn.IFS(Table1[[#This Row],[Payment Status]]="Partial","In Transit",Table1[[#This Row],[Payment Status]]="Paid","Delivered",Table1[[#This Row],[Payment Status]]="Pending","Pending"),"Invalid Input")</f>
        <v>In Transit</v>
      </c>
      <c r="T1429" t="s">
        <v>44</v>
      </c>
      <c r="U1429" t="str" cm="1">
        <f t="array" ref="U1429">IFERROR(_xlfn.IFS(Table1[[#This Row],[Payment Status]]="Partial","In Transit",Table1[[#This Row],[Payment Status]]="Paid","Completed",Table1[[#This Row],[Payment Status]]="Pending","Pending"),"Invalid Input")</f>
        <v>In Transit</v>
      </c>
    </row>
    <row r="1430" spans="1:21" x14ac:dyDescent="0.25">
      <c r="A1430" s="4" t="s">
        <v>2469</v>
      </c>
      <c r="B1430" s="5">
        <v>45751</v>
      </c>
      <c r="C1430" t="s">
        <v>52</v>
      </c>
      <c r="D1430" t="s">
        <v>37</v>
      </c>
      <c r="E1430" t="s">
        <v>66</v>
      </c>
      <c r="F1430" t="s">
        <v>3226</v>
      </c>
      <c r="G1430" t="s">
        <v>67</v>
      </c>
      <c r="H1430" t="str">
        <f>VLOOKUP(Table1[[#This Row],[City]],Table6[#All],2,FALSE)</f>
        <v>East</v>
      </c>
      <c r="I1430" t="s">
        <v>3204</v>
      </c>
      <c r="J1430" t="str">
        <f>_xlfn.XLOOKUP(Table1[[#This Row],[Tractor Model]],Table7[Product Model],Table7[Product Category],"Not Available",0)</f>
        <v>Kubota</v>
      </c>
      <c r="K1430" s="4">
        <v>3</v>
      </c>
      <c r="L1430" s="72">
        <v>274247</v>
      </c>
      <c r="M1430" s="4">
        <f>INDEX('Master Sheet'!$C$4:$C$12,MATCH(Table1[[#This Row],[Quantity]],'Master Sheet'!$B$4:$B$12,0))</f>
        <v>6</v>
      </c>
      <c r="N1430" s="71">
        <f>Table1[[#This Row],[Quantity]]*Table1[[#This Row],[Unit Price]]</f>
        <v>822741</v>
      </c>
      <c r="O1430" s="73">
        <v>8.2274100000000003E-2</v>
      </c>
      <c r="P1430" s="70">
        <f>Table1[[#This Row],[Gross Amount]]*(1-(Table1[[#This Row],[Discount %]]/100))</f>
        <v>773376.53999999992</v>
      </c>
      <c r="Q1430" s="74">
        <f>(Table1[[#This Row],[Gross Amount]]*(1-(Table1[[#This Row],[Discount %]]/100)))/10000000</f>
        <v>7.7337653999999992E-2</v>
      </c>
      <c r="R1430" t="s">
        <v>42</v>
      </c>
      <c r="S1430" t="str" cm="1">
        <f t="array" ref="S1430">IFERROR(_xlfn.IFS(Table1[[#This Row],[Payment Status]]="Partial","In Transit",Table1[[#This Row],[Payment Status]]="Paid","Delivered",Table1[[#This Row],[Payment Status]]="Pending","Pending"),"Invalid Input")</f>
        <v>Pending</v>
      </c>
      <c r="T1430" t="s">
        <v>44</v>
      </c>
      <c r="U1430" t="str" cm="1">
        <f t="array" ref="U1430">IFERROR(_xlfn.IFS(Table1[[#This Row],[Payment Status]]="Partial","In Transit",Table1[[#This Row],[Payment Status]]="Paid","Completed",Table1[[#This Row],[Payment Status]]="Pending","Pending"),"Invalid Input")</f>
        <v>Pending</v>
      </c>
    </row>
    <row r="1431" spans="1:21" x14ac:dyDescent="0.25">
      <c r="A1431" s="4" t="s">
        <v>2470</v>
      </c>
      <c r="B1431" s="5">
        <v>45518</v>
      </c>
      <c r="C1431" t="s">
        <v>62</v>
      </c>
      <c r="D1431" t="s">
        <v>3268</v>
      </c>
      <c r="E1431" t="s">
        <v>119</v>
      </c>
      <c r="F1431" t="s">
        <v>3227</v>
      </c>
      <c r="G1431" t="s">
        <v>21</v>
      </c>
      <c r="H1431" t="str">
        <f>VLOOKUP(Table1[[#This Row],[City]],Table6[#All],2,FALSE)</f>
        <v>North</v>
      </c>
      <c r="I1431" t="s">
        <v>53</v>
      </c>
      <c r="J1431" t="str">
        <f>_xlfn.XLOOKUP(Table1[[#This Row],[Tractor Model]],Table7[Product Model],Table7[Product Category],"Not Available",0)</f>
        <v>Farmtrac</v>
      </c>
      <c r="K1431" s="4">
        <v>3</v>
      </c>
      <c r="L1431" s="72">
        <v>844380</v>
      </c>
      <c r="M1431" s="4">
        <f>INDEX('Master Sheet'!$C$4:$C$12,MATCH(Table1[[#This Row],[Quantity]],'Master Sheet'!$B$4:$B$12,0))</f>
        <v>6</v>
      </c>
      <c r="N1431" s="71">
        <f>Table1[[#This Row],[Quantity]]*Table1[[#This Row],[Unit Price]]</f>
        <v>2533140</v>
      </c>
      <c r="O1431" s="73">
        <v>0.25331399999999998</v>
      </c>
      <c r="P1431" s="70">
        <f>Table1[[#This Row],[Gross Amount]]*(1-(Table1[[#This Row],[Discount %]]/100))</f>
        <v>2381151.6</v>
      </c>
      <c r="Q1431" s="74">
        <f>(Table1[[#This Row],[Gross Amount]]*(1-(Table1[[#This Row],[Discount %]]/100)))/10000000</f>
        <v>0.23811516000000002</v>
      </c>
      <c r="R1431" t="s">
        <v>54</v>
      </c>
      <c r="S1431" t="str" cm="1">
        <f t="array" ref="S1431">IFERROR(_xlfn.IFS(Table1[[#This Row],[Payment Status]]="Partial","In Transit",Table1[[#This Row],[Payment Status]]="Paid","Delivered",Table1[[#This Row],[Payment Status]]="Pending","Pending"),"Invalid Input")</f>
        <v>Delivered</v>
      </c>
      <c r="T1431" t="s">
        <v>27</v>
      </c>
      <c r="U1431" t="str" cm="1">
        <f t="array" ref="U1431">IFERROR(_xlfn.IFS(Table1[[#This Row],[Payment Status]]="Partial","In Transit",Table1[[#This Row],[Payment Status]]="Paid","Completed",Table1[[#This Row],[Payment Status]]="Pending","Pending"),"Invalid Input")</f>
        <v>Completed</v>
      </c>
    </row>
    <row r="1432" spans="1:21" x14ac:dyDescent="0.25">
      <c r="A1432" s="4" t="s">
        <v>2472</v>
      </c>
      <c r="B1432" s="5">
        <v>45798</v>
      </c>
      <c r="C1432" t="s">
        <v>41</v>
      </c>
      <c r="D1432" t="s">
        <v>37</v>
      </c>
      <c r="E1432" t="s">
        <v>30</v>
      </c>
      <c r="F1432" t="s">
        <v>3222</v>
      </c>
      <c r="G1432" t="s">
        <v>31</v>
      </c>
      <c r="H1432" t="str">
        <f>VLOOKUP(Table1[[#This Row],[City]],Table6[#All],2,FALSE)</f>
        <v>South</v>
      </c>
      <c r="I1432" t="s">
        <v>3203</v>
      </c>
      <c r="J1432" t="str">
        <f>_xlfn.XLOOKUP(Table1[[#This Row],[Tractor Model]],Table7[Product Model],Table7[Product Category],"Not Available",0)</f>
        <v>Kubota</v>
      </c>
      <c r="K1432" s="4">
        <v>1</v>
      </c>
      <c r="L1432" s="72">
        <v>295333</v>
      </c>
      <c r="M1432" s="4">
        <f>INDEX('Master Sheet'!$C$4:$C$12,MATCH(Table1[[#This Row],[Quantity]],'Master Sheet'!$B$4:$B$12,0))</f>
        <v>3</v>
      </c>
      <c r="N1432" s="71">
        <f>Table1[[#This Row],[Quantity]]*Table1[[#This Row],[Unit Price]]</f>
        <v>295333</v>
      </c>
      <c r="O1432" s="73">
        <v>2.9533299999999998E-2</v>
      </c>
      <c r="P1432" s="70">
        <f>Table1[[#This Row],[Gross Amount]]*(1-(Table1[[#This Row],[Discount %]]/100))</f>
        <v>286473.01</v>
      </c>
      <c r="Q1432" s="74">
        <f>(Table1[[#This Row],[Gross Amount]]*(1-(Table1[[#This Row],[Discount %]]/100)))/10000000</f>
        <v>2.8647301E-2</v>
      </c>
      <c r="R1432" t="s">
        <v>25</v>
      </c>
      <c r="S1432" t="str" cm="1">
        <f t="array" ref="S1432">IFERROR(_xlfn.IFS(Table1[[#This Row],[Payment Status]]="Partial","In Transit",Table1[[#This Row],[Payment Status]]="Paid","Delivered",Table1[[#This Row],[Payment Status]]="Pending","Pending"),"Invalid Input")</f>
        <v>In Transit</v>
      </c>
      <c r="T1432" t="s">
        <v>27</v>
      </c>
      <c r="U1432" t="str" cm="1">
        <f t="array" ref="U1432">IFERROR(_xlfn.IFS(Table1[[#This Row],[Payment Status]]="Partial","In Transit",Table1[[#This Row],[Payment Status]]="Paid","Completed",Table1[[#This Row],[Payment Status]]="Pending","Pending"),"Invalid Input")</f>
        <v>In Transit</v>
      </c>
    </row>
    <row r="1433" spans="1:21" x14ac:dyDescent="0.25">
      <c r="A1433" s="4" t="s">
        <v>2473</v>
      </c>
      <c r="B1433" s="5">
        <v>45517</v>
      </c>
      <c r="C1433" t="s">
        <v>62</v>
      </c>
      <c r="D1433" t="s">
        <v>3269</v>
      </c>
      <c r="E1433" t="s">
        <v>66</v>
      </c>
      <c r="F1433" t="s">
        <v>3213</v>
      </c>
      <c r="G1433" t="s">
        <v>67</v>
      </c>
      <c r="H1433" t="str">
        <f>VLOOKUP(Table1[[#This Row],[City]],Table6[#All],2,FALSE)</f>
        <v>East</v>
      </c>
      <c r="I1433" t="s">
        <v>3203</v>
      </c>
      <c r="J1433" t="str">
        <f>_xlfn.XLOOKUP(Table1[[#This Row],[Tractor Model]],Table7[Product Model],Table7[Product Category],"Not Available",0)</f>
        <v>Kubota</v>
      </c>
      <c r="K1433" s="4">
        <v>8</v>
      </c>
      <c r="L1433" s="72">
        <v>624913</v>
      </c>
      <c r="M1433" s="4">
        <f>INDEX('Master Sheet'!$C$4:$C$12,MATCH(Table1[[#This Row],[Quantity]],'Master Sheet'!$B$4:$B$12,0))</f>
        <v>9</v>
      </c>
      <c r="N1433" s="71">
        <f>Table1[[#This Row],[Quantity]]*Table1[[#This Row],[Unit Price]]</f>
        <v>4999304</v>
      </c>
      <c r="O1433" s="73">
        <v>0.4999304</v>
      </c>
      <c r="P1433" s="70">
        <f>Table1[[#This Row],[Gross Amount]]*(1-(Table1[[#This Row],[Discount %]]/100))</f>
        <v>4549366.6400000006</v>
      </c>
      <c r="Q1433" s="74">
        <f>(Table1[[#This Row],[Gross Amount]]*(1-(Table1[[#This Row],[Discount %]]/100)))/10000000</f>
        <v>0.45493666400000005</v>
      </c>
      <c r="R1433" t="s">
        <v>42</v>
      </c>
      <c r="S1433" t="str" cm="1">
        <f t="array" ref="S1433">IFERROR(_xlfn.IFS(Table1[[#This Row],[Payment Status]]="Partial","In Transit",Table1[[#This Row],[Payment Status]]="Paid","Delivered",Table1[[#This Row],[Payment Status]]="Pending","Pending"),"Invalid Input")</f>
        <v>Pending</v>
      </c>
      <c r="T1433" t="s">
        <v>27</v>
      </c>
      <c r="U1433" t="str" cm="1">
        <f t="array" ref="U1433">IFERROR(_xlfn.IFS(Table1[[#This Row],[Payment Status]]="Partial","In Transit",Table1[[#This Row],[Payment Status]]="Paid","Completed",Table1[[#This Row],[Payment Status]]="Pending","Pending"),"Invalid Input")</f>
        <v>Pending</v>
      </c>
    </row>
    <row r="1434" spans="1:21" x14ac:dyDescent="0.25">
      <c r="A1434" s="4" t="s">
        <v>2474</v>
      </c>
      <c r="B1434" s="5">
        <v>45739</v>
      </c>
      <c r="C1434" t="s">
        <v>41</v>
      </c>
      <c r="D1434" t="s">
        <v>37</v>
      </c>
      <c r="E1434" t="s">
        <v>66</v>
      </c>
      <c r="F1434" t="s">
        <v>3226</v>
      </c>
      <c r="G1434" t="s">
        <v>67</v>
      </c>
      <c r="H1434" t="str">
        <f>VLOOKUP(Table1[[#This Row],[City]],Table6[#All],2,FALSE)</f>
        <v>East</v>
      </c>
      <c r="I1434" t="s">
        <v>58</v>
      </c>
      <c r="J1434" t="str">
        <f>_xlfn.XLOOKUP(Table1[[#This Row],[Tractor Model]],Table7[Product Model],Table7[Product Category],"Not Available",0)</f>
        <v>Powertrac</v>
      </c>
      <c r="K1434" s="4">
        <v>6</v>
      </c>
      <c r="L1434" s="72">
        <v>274006</v>
      </c>
      <c r="M1434" s="4">
        <f>INDEX('Master Sheet'!$C$4:$C$12,MATCH(Table1[[#This Row],[Quantity]],'Master Sheet'!$B$4:$B$12,0))</f>
        <v>8</v>
      </c>
      <c r="N1434" s="71">
        <f>Table1[[#This Row],[Quantity]]*Table1[[#This Row],[Unit Price]]</f>
        <v>1644036</v>
      </c>
      <c r="O1434" s="73">
        <v>0.16440360000000001</v>
      </c>
      <c r="P1434" s="70">
        <f>Table1[[#This Row],[Gross Amount]]*(1-(Table1[[#This Row],[Discount %]]/100))</f>
        <v>1512513.12</v>
      </c>
      <c r="Q1434" s="74">
        <f>(Table1[[#This Row],[Gross Amount]]*(1-(Table1[[#This Row],[Discount %]]/100)))/10000000</f>
        <v>0.151251312</v>
      </c>
      <c r="R1434" t="s">
        <v>42</v>
      </c>
      <c r="S1434" t="str" cm="1">
        <f t="array" ref="S1434">IFERROR(_xlfn.IFS(Table1[[#This Row],[Payment Status]]="Partial","In Transit",Table1[[#This Row],[Payment Status]]="Paid","Delivered",Table1[[#This Row],[Payment Status]]="Pending","Pending"),"Invalid Input")</f>
        <v>Pending</v>
      </c>
      <c r="T1434" t="s">
        <v>44</v>
      </c>
      <c r="U1434" t="str" cm="1">
        <f t="array" ref="U1434">IFERROR(_xlfn.IFS(Table1[[#This Row],[Payment Status]]="Partial","In Transit",Table1[[#This Row],[Payment Status]]="Paid","Completed",Table1[[#This Row],[Payment Status]]="Pending","Pending"),"Invalid Input")</f>
        <v>Pending</v>
      </c>
    </row>
    <row r="1435" spans="1:21" x14ac:dyDescent="0.25">
      <c r="A1435" s="4" t="s">
        <v>2476</v>
      </c>
      <c r="B1435" s="5">
        <v>45542</v>
      </c>
      <c r="C1435" t="s">
        <v>41</v>
      </c>
      <c r="D1435" t="s">
        <v>3268</v>
      </c>
      <c r="E1435" t="s">
        <v>66</v>
      </c>
      <c r="F1435" t="s">
        <v>3211</v>
      </c>
      <c r="G1435" t="s">
        <v>67</v>
      </c>
      <c r="H1435" t="str">
        <f>VLOOKUP(Table1[[#This Row],[City]],Table6[#All],2,FALSE)</f>
        <v>East</v>
      </c>
      <c r="I1435" t="s">
        <v>24</v>
      </c>
      <c r="J1435" t="str">
        <f>_xlfn.XLOOKUP(Table1[[#This Row],[Tractor Model]],Table7[Product Model],Table7[Product Category],"Not Available",0)</f>
        <v>Farmtrac</v>
      </c>
      <c r="K1435" s="4">
        <v>3</v>
      </c>
      <c r="L1435" s="72">
        <v>284574</v>
      </c>
      <c r="M1435" s="4">
        <f>INDEX('Master Sheet'!$C$4:$C$12,MATCH(Table1[[#This Row],[Quantity]],'Master Sheet'!$B$4:$B$12,0))</f>
        <v>6</v>
      </c>
      <c r="N1435" s="71">
        <f>Table1[[#This Row],[Quantity]]*Table1[[#This Row],[Unit Price]]</f>
        <v>853722</v>
      </c>
      <c r="O1435" s="73">
        <v>8.5372199999999995E-2</v>
      </c>
      <c r="P1435" s="70">
        <f>Table1[[#This Row],[Gross Amount]]*(1-(Table1[[#This Row],[Discount %]]/100))</f>
        <v>802498.67999999993</v>
      </c>
      <c r="Q1435" s="74">
        <f>(Table1[[#This Row],[Gross Amount]]*(1-(Table1[[#This Row],[Discount %]]/100)))/10000000</f>
        <v>8.0249867999999988E-2</v>
      </c>
      <c r="R1435" t="s">
        <v>54</v>
      </c>
      <c r="S1435" t="str" cm="1">
        <f t="array" ref="S1435">IFERROR(_xlfn.IFS(Table1[[#This Row],[Payment Status]]="Partial","In Transit",Table1[[#This Row],[Payment Status]]="Paid","Delivered",Table1[[#This Row],[Payment Status]]="Pending","Pending"),"Invalid Input")</f>
        <v>Delivered</v>
      </c>
      <c r="T1435" t="s">
        <v>27</v>
      </c>
      <c r="U1435" t="str" cm="1">
        <f t="array" ref="U1435">IFERROR(_xlfn.IFS(Table1[[#This Row],[Payment Status]]="Partial","In Transit",Table1[[#This Row],[Payment Status]]="Paid","Completed",Table1[[#This Row],[Payment Status]]="Pending","Pending"),"Invalid Input")</f>
        <v>Completed</v>
      </c>
    </row>
    <row r="1436" spans="1:21" x14ac:dyDescent="0.25">
      <c r="A1436" s="4" t="s">
        <v>2477</v>
      </c>
      <c r="B1436" s="5">
        <v>45762</v>
      </c>
      <c r="C1436" t="s">
        <v>73</v>
      </c>
      <c r="D1436" t="s">
        <v>37</v>
      </c>
      <c r="E1436" t="s">
        <v>38</v>
      </c>
      <c r="F1436" t="s">
        <v>3214</v>
      </c>
      <c r="G1436" t="s">
        <v>39</v>
      </c>
      <c r="H1436" t="str">
        <f>VLOOKUP(Table1[[#This Row],[City]],Table6[#All],2,FALSE)</f>
        <v>West</v>
      </c>
      <c r="I1436" t="s">
        <v>58</v>
      </c>
      <c r="J1436" t="str">
        <f>_xlfn.XLOOKUP(Table1[[#This Row],[Tractor Model]],Table7[Product Model],Table7[Product Category],"Not Available",0)</f>
        <v>Powertrac</v>
      </c>
      <c r="K1436" s="4">
        <v>8</v>
      </c>
      <c r="L1436" s="72">
        <v>671872</v>
      </c>
      <c r="M1436" s="4">
        <f>INDEX('Master Sheet'!$C$4:$C$12,MATCH(Table1[[#This Row],[Quantity]],'Master Sheet'!$B$4:$B$12,0))</f>
        <v>9</v>
      </c>
      <c r="N1436" s="71">
        <f>Table1[[#This Row],[Quantity]]*Table1[[#This Row],[Unit Price]]</f>
        <v>5374976</v>
      </c>
      <c r="O1436" s="73">
        <v>0.53749760000000002</v>
      </c>
      <c r="P1436" s="70">
        <f>Table1[[#This Row],[Gross Amount]]*(1-(Table1[[#This Row],[Discount %]]/100))</f>
        <v>4891228.1600000001</v>
      </c>
      <c r="Q1436" s="74">
        <f>(Table1[[#This Row],[Gross Amount]]*(1-(Table1[[#This Row],[Discount %]]/100)))/10000000</f>
        <v>0.48912281600000002</v>
      </c>
      <c r="R1436" t="s">
        <v>42</v>
      </c>
      <c r="S1436" t="str" cm="1">
        <f t="array" ref="S1436">IFERROR(_xlfn.IFS(Table1[[#This Row],[Payment Status]]="Partial","In Transit",Table1[[#This Row],[Payment Status]]="Paid","Delivered",Table1[[#This Row],[Payment Status]]="Pending","Pending"),"Invalid Input")</f>
        <v>Pending</v>
      </c>
      <c r="T1436" t="s">
        <v>27</v>
      </c>
      <c r="U1436" t="str" cm="1">
        <f t="array" ref="U1436">IFERROR(_xlfn.IFS(Table1[[#This Row],[Payment Status]]="Partial","In Transit",Table1[[#This Row],[Payment Status]]="Paid","Completed",Table1[[#This Row],[Payment Status]]="Pending","Pending"),"Invalid Input")</f>
        <v>Pending</v>
      </c>
    </row>
    <row r="1437" spans="1:21" x14ac:dyDescent="0.25">
      <c r="A1437" s="4" t="s">
        <v>2479</v>
      </c>
      <c r="B1437" s="5">
        <v>45777</v>
      </c>
      <c r="C1437" t="s">
        <v>41</v>
      </c>
      <c r="D1437" t="s">
        <v>3271</v>
      </c>
      <c r="E1437" t="s">
        <v>30</v>
      </c>
      <c r="F1437" t="s">
        <v>3217</v>
      </c>
      <c r="G1437" t="s">
        <v>31</v>
      </c>
      <c r="H1437" t="str">
        <f>VLOOKUP(Table1[[#This Row],[City]],Table6[#All],2,FALSE)</f>
        <v>South</v>
      </c>
      <c r="I1437" t="s">
        <v>24</v>
      </c>
      <c r="J1437" t="str">
        <f>_xlfn.XLOOKUP(Table1[[#This Row],[Tractor Model]],Table7[Product Model],Table7[Product Category],"Not Available",0)</f>
        <v>Farmtrac</v>
      </c>
      <c r="K1437" s="4">
        <v>5</v>
      </c>
      <c r="L1437" s="72">
        <v>384007</v>
      </c>
      <c r="M1437" s="4">
        <f>INDEX('Master Sheet'!$C$4:$C$12,MATCH(Table1[[#This Row],[Quantity]],'Master Sheet'!$B$4:$B$12,0))</f>
        <v>7</v>
      </c>
      <c r="N1437" s="71">
        <f>Table1[[#This Row],[Quantity]]*Table1[[#This Row],[Unit Price]]</f>
        <v>1920035</v>
      </c>
      <c r="O1437" s="73">
        <v>0.19200349999999999</v>
      </c>
      <c r="P1437" s="70">
        <f>Table1[[#This Row],[Gross Amount]]*(1-(Table1[[#This Row],[Discount %]]/100))</f>
        <v>1785632.5499999998</v>
      </c>
      <c r="Q1437" s="74">
        <f>(Table1[[#This Row],[Gross Amount]]*(1-(Table1[[#This Row],[Discount %]]/100)))/10000000</f>
        <v>0.17856325499999998</v>
      </c>
      <c r="R1437" t="s">
        <v>42</v>
      </c>
      <c r="S1437" t="str" cm="1">
        <f t="array" ref="S1437">IFERROR(_xlfn.IFS(Table1[[#This Row],[Payment Status]]="Partial","In Transit",Table1[[#This Row],[Payment Status]]="Paid","Delivered",Table1[[#This Row],[Payment Status]]="Pending","Pending"),"Invalid Input")</f>
        <v>Pending</v>
      </c>
      <c r="T1437" t="s">
        <v>27</v>
      </c>
      <c r="U1437" t="str" cm="1">
        <f t="array" ref="U1437">IFERROR(_xlfn.IFS(Table1[[#This Row],[Payment Status]]="Partial","In Transit",Table1[[#This Row],[Payment Status]]="Paid","Completed",Table1[[#This Row],[Payment Status]]="Pending","Pending"),"Invalid Input")</f>
        <v>Pending</v>
      </c>
    </row>
    <row r="1438" spans="1:21" x14ac:dyDescent="0.25">
      <c r="A1438" s="4" t="s">
        <v>2481</v>
      </c>
      <c r="B1438" s="5">
        <v>45744</v>
      </c>
      <c r="C1438" t="s">
        <v>52</v>
      </c>
      <c r="D1438" t="s">
        <v>3270</v>
      </c>
      <c r="E1438" t="s">
        <v>38</v>
      </c>
      <c r="F1438" t="s">
        <v>3218</v>
      </c>
      <c r="G1438" t="s">
        <v>39</v>
      </c>
      <c r="H1438" t="str">
        <f>VLOOKUP(Table1[[#This Row],[City]],Table6[#All],2,FALSE)</f>
        <v>West</v>
      </c>
      <c r="I1438" t="s">
        <v>53</v>
      </c>
      <c r="J1438" t="str">
        <f>_xlfn.XLOOKUP(Table1[[#This Row],[Tractor Model]],Table7[Product Model],Table7[Product Category],"Not Available",0)</f>
        <v>Farmtrac</v>
      </c>
      <c r="K1438" s="4">
        <v>5</v>
      </c>
      <c r="L1438" s="72">
        <v>464508</v>
      </c>
      <c r="M1438" s="4">
        <f>INDEX('Master Sheet'!$C$4:$C$12,MATCH(Table1[[#This Row],[Quantity]],'Master Sheet'!$B$4:$B$12,0))</f>
        <v>7</v>
      </c>
      <c r="N1438" s="71">
        <f>Table1[[#This Row],[Quantity]]*Table1[[#This Row],[Unit Price]]</f>
        <v>2322540</v>
      </c>
      <c r="O1438" s="73">
        <v>0.23225399999999999</v>
      </c>
      <c r="P1438" s="70">
        <f>Table1[[#This Row],[Gross Amount]]*(1-(Table1[[#This Row],[Discount %]]/100))</f>
        <v>2159962.1999999997</v>
      </c>
      <c r="Q1438" s="74">
        <f>(Table1[[#This Row],[Gross Amount]]*(1-(Table1[[#This Row],[Discount %]]/100)))/10000000</f>
        <v>0.21599621999999996</v>
      </c>
      <c r="R1438" t="s">
        <v>25</v>
      </c>
      <c r="S1438" t="str" cm="1">
        <f t="array" ref="S1438">IFERROR(_xlfn.IFS(Table1[[#This Row],[Payment Status]]="Partial","In Transit",Table1[[#This Row],[Payment Status]]="Paid","Delivered",Table1[[#This Row],[Payment Status]]="Pending","Pending"),"Invalid Input")</f>
        <v>In Transit</v>
      </c>
      <c r="T1438" t="s">
        <v>44</v>
      </c>
      <c r="U1438" t="str" cm="1">
        <f t="array" ref="U1438">IFERROR(_xlfn.IFS(Table1[[#This Row],[Payment Status]]="Partial","In Transit",Table1[[#This Row],[Payment Status]]="Paid","Completed",Table1[[#This Row],[Payment Status]]="Pending","Pending"),"Invalid Input")</f>
        <v>In Transit</v>
      </c>
    </row>
    <row r="1439" spans="1:21" x14ac:dyDescent="0.25">
      <c r="A1439" s="4" t="s">
        <v>2482</v>
      </c>
      <c r="B1439" s="5">
        <v>45345</v>
      </c>
      <c r="C1439" t="s">
        <v>33</v>
      </c>
      <c r="D1439" t="s">
        <v>37</v>
      </c>
      <c r="E1439" t="s">
        <v>38</v>
      </c>
      <c r="F1439" t="s">
        <v>3214</v>
      </c>
      <c r="G1439" t="s">
        <v>39</v>
      </c>
      <c r="H1439" t="str">
        <f>VLOOKUP(Table1[[#This Row],[City]],Table6[#All],2,FALSE)</f>
        <v>West</v>
      </c>
      <c r="I1439" t="s">
        <v>53</v>
      </c>
      <c r="J1439" t="str">
        <f>_xlfn.XLOOKUP(Table1[[#This Row],[Tractor Model]],Table7[Product Model],Table7[Product Category],"Not Available",0)</f>
        <v>Farmtrac</v>
      </c>
      <c r="K1439" s="4">
        <v>7</v>
      </c>
      <c r="L1439" s="72">
        <v>559654</v>
      </c>
      <c r="M1439" s="4">
        <f>INDEX('Master Sheet'!$C$4:$C$12,MATCH(Table1[[#This Row],[Quantity]],'Master Sheet'!$B$4:$B$12,0))</f>
        <v>9</v>
      </c>
      <c r="N1439" s="71">
        <f>Table1[[#This Row],[Quantity]]*Table1[[#This Row],[Unit Price]]</f>
        <v>3917578</v>
      </c>
      <c r="O1439" s="73">
        <v>0.39175779999999999</v>
      </c>
      <c r="P1439" s="70">
        <f>Table1[[#This Row],[Gross Amount]]*(1-(Table1[[#This Row],[Discount %]]/100))</f>
        <v>3564995.98</v>
      </c>
      <c r="Q1439" s="74">
        <f>(Table1[[#This Row],[Gross Amount]]*(1-(Table1[[#This Row],[Discount %]]/100)))/10000000</f>
        <v>0.35649959799999997</v>
      </c>
      <c r="R1439" t="s">
        <v>42</v>
      </c>
      <c r="S1439" t="str" cm="1">
        <f t="array" ref="S1439">IFERROR(_xlfn.IFS(Table1[[#This Row],[Payment Status]]="Partial","In Transit",Table1[[#This Row],[Payment Status]]="Paid","Delivered",Table1[[#This Row],[Payment Status]]="Pending","Pending"),"Invalid Input")</f>
        <v>Pending</v>
      </c>
      <c r="T1439" t="s">
        <v>27</v>
      </c>
      <c r="U1439" t="str" cm="1">
        <f t="array" ref="U1439">IFERROR(_xlfn.IFS(Table1[[#This Row],[Payment Status]]="Partial","In Transit",Table1[[#This Row],[Payment Status]]="Paid","Completed",Table1[[#This Row],[Payment Status]]="Pending","Pending"),"Invalid Input")</f>
        <v>Pending</v>
      </c>
    </row>
    <row r="1440" spans="1:21" x14ac:dyDescent="0.25">
      <c r="A1440" s="4" t="s">
        <v>2483</v>
      </c>
      <c r="B1440" s="5">
        <v>45449</v>
      </c>
      <c r="C1440" t="s">
        <v>33</v>
      </c>
      <c r="D1440" t="s">
        <v>3271</v>
      </c>
      <c r="E1440" t="s">
        <v>119</v>
      </c>
      <c r="F1440" t="s">
        <v>3228</v>
      </c>
      <c r="G1440" t="s">
        <v>21</v>
      </c>
      <c r="H1440" t="str">
        <f>VLOOKUP(Table1[[#This Row],[City]],Table6[#All],2,FALSE)</f>
        <v>North</v>
      </c>
      <c r="I1440" t="s">
        <v>24</v>
      </c>
      <c r="J1440" t="str">
        <f>_xlfn.XLOOKUP(Table1[[#This Row],[Tractor Model]],Table7[Product Model],Table7[Product Category],"Not Available",0)</f>
        <v>Farmtrac</v>
      </c>
      <c r="K1440" s="4">
        <v>4</v>
      </c>
      <c r="L1440" s="72">
        <v>87322</v>
      </c>
      <c r="M1440" s="4">
        <f>INDEX('Master Sheet'!$C$4:$C$12,MATCH(Table1[[#This Row],[Quantity]],'Master Sheet'!$B$4:$B$12,0))</f>
        <v>6</v>
      </c>
      <c r="N1440" s="71">
        <f>Table1[[#This Row],[Quantity]]*Table1[[#This Row],[Unit Price]]</f>
        <v>349288</v>
      </c>
      <c r="O1440" s="73">
        <v>3.4928800000000003E-2</v>
      </c>
      <c r="P1440" s="70">
        <f>Table1[[#This Row],[Gross Amount]]*(1-(Table1[[#This Row],[Discount %]]/100))</f>
        <v>328330.71999999997</v>
      </c>
      <c r="Q1440" s="74">
        <f>(Table1[[#This Row],[Gross Amount]]*(1-(Table1[[#This Row],[Discount %]]/100)))/10000000</f>
        <v>3.2833071999999998E-2</v>
      </c>
      <c r="R1440" t="s">
        <v>25</v>
      </c>
      <c r="S1440" t="str" cm="1">
        <f t="array" ref="S1440">IFERROR(_xlfn.IFS(Table1[[#This Row],[Payment Status]]="Partial","In Transit",Table1[[#This Row],[Payment Status]]="Paid","Delivered",Table1[[#This Row],[Payment Status]]="Pending","Pending"),"Invalid Input")</f>
        <v>In Transit</v>
      </c>
      <c r="T1440" t="s">
        <v>44</v>
      </c>
      <c r="U1440" t="str" cm="1">
        <f t="array" ref="U1440">IFERROR(_xlfn.IFS(Table1[[#This Row],[Payment Status]]="Partial","In Transit",Table1[[#This Row],[Payment Status]]="Paid","Completed",Table1[[#This Row],[Payment Status]]="Pending","Pending"),"Invalid Input")</f>
        <v>In Transit</v>
      </c>
    </row>
    <row r="1441" spans="1:21" x14ac:dyDescent="0.25">
      <c r="A1441" s="4" t="s">
        <v>2484</v>
      </c>
      <c r="B1441" s="5">
        <v>45702</v>
      </c>
      <c r="C1441" t="s">
        <v>52</v>
      </c>
      <c r="D1441" t="s">
        <v>3268</v>
      </c>
      <c r="E1441" t="s">
        <v>30</v>
      </c>
      <c r="F1441" t="s">
        <v>3208</v>
      </c>
      <c r="G1441" t="s">
        <v>31</v>
      </c>
      <c r="H1441" t="str">
        <f>VLOOKUP(Table1[[#This Row],[City]],Table6[#All],2,FALSE)</f>
        <v>South</v>
      </c>
      <c r="I1441" t="s">
        <v>3203</v>
      </c>
      <c r="J1441" t="str">
        <f>_xlfn.XLOOKUP(Table1[[#This Row],[Tractor Model]],Table7[Product Model],Table7[Product Category],"Not Available",0)</f>
        <v>Kubota</v>
      </c>
      <c r="K1441" s="4">
        <v>8</v>
      </c>
      <c r="L1441" s="72">
        <v>167317</v>
      </c>
      <c r="M1441" s="4">
        <f>INDEX('Master Sheet'!$C$4:$C$12,MATCH(Table1[[#This Row],[Quantity]],'Master Sheet'!$B$4:$B$12,0))</f>
        <v>9</v>
      </c>
      <c r="N1441" s="71">
        <f>Table1[[#This Row],[Quantity]]*Table1[[#This Row],[Unit Price]]</f>
        <v>1338536</v>
      </c>
      <c r="O1441" s="73">
        <v>0.13385359999999999</v>
      </c>
      <c r="P1441" s="70">
        <f>Table1[[#This Row],[Gross Amount]]*(1-(Table1[[#This Row],[Discount %]]/100))</f>
        <v>1218067.76</v>
      </c>
      <c r="Q1441" s="74">
        <f>(Table1[[#This Row],[Gross Amount]]*(1-(Table1[[#This Row],[Discount %]]/100)))/10000000</f>
        <v>0.12180677600000001</v>
      </c>
      <c r="R1441" t="s">
        <v>25</v>
      </c>
      <c r="S1441" t="str" cm="1">
        <f t="array" ref="S1441">IFERROR(_xlfn.IFS(Table1[[#This Row],[Payment Status]]="Partial","In Transit",Table1[[#This Row],[Payment Status]]="Paid","Delivered",Table1[[#This Row],[Payment Status]]="Pending","Pending"),"Invalid Input")</f>
        <v>In Transit</v>
      </c>
      <c r="T1441" t="s">
        <v>44</v>
      </c>
      <c r="U1441" t="str" cm="1">
        <f t="array" ref="U1441">IFERROR(_xlfn.IFS(Table1[[#This Row],[Payment Status]]="Partial","In Transit",Table1[[#This Row],[Payment Status]]="Paid","Completed",Table1[[#This Row],[Payment Status]]="Pending","Pending"),"Invalid Input")</f>
        <v>In Transit</v>
      </c>
    </row>
    <row r="1442" spans="1:21" x14ac:dyDescent="0.25">
      <c r="A1442" s="4" t="s">
        <v>2485</v>
      </c>
      <c r="B1442" s="5">
        <v>45423</v>
      </c>
      <c r="C1442" t="s">
        <v>73</v>
      </c>
      <c r="D1442" t="s">
        <v>3270</v>
      </c>
      <c r="E1442" t="s">
        <v>30</v>
      </c>
      <c r="F1442" t="s">
        <v>3223</v>
      </c>
      <c r="G1442" t="s">
        <v>31</v>
      </c>
      <c r="H1442" t="str">
        <f>VLOOKUP(Table1[[#This Row],[City]],Table6[#All],2,FALSE)</f>
        <v>South</v>
      </c>
      <c r="I1442" t="s">
        <v>3203</v>
      </c>
      <c r="J1442" t="str">
        <f>_xlfn.XLOOKUP(Table1[[#This Row],[Tractor Model]],Table7[Product Model],Table7[Product Category],"Not Available",0)</f>
        <v>Kubota</v>
      </c>
      <c r="K1442" s="4">
        <v>2</v>
      </c>
      <c r="L1442" s="72">
        <v>346795</v>
      </c>
      <c r="M1442" s="4">
        <f>INDEX('Master Sheet'!$C$4:$C$12,MATCH(Table1[[#This Row],[Quantity]],'Master Sheet'!$B$4:$B$12,0))</f>
        <v>5</v>
      </c>
      <c r="N1442" s="71">
        <f>Table1[[#This Row],[Quantity]]*Table1[[#This Row],[Unit Price]]</f>
        <v>693590</v>
      </c>
      <c r="O1442" s="73">
        <v>6.9359000000000004E-2</v>
      </c>
      <c r="P1442" s="70">
        <f>Table1[[#This Row],[Gross Amount]]*(1-(Table1[[#This Row],[Discount %]]/100))</f>
        <v>658910.5</v>
      </c>
      <c r="Q1442" s="74">
        <f>(Table1[[#This Row],[Gross Amount]]*(1-(Table1[[#This Row],[Discount %]]/100)))/10000000</f>
        <v>6.5891050000000007E-2</v>
      </c>
      <c r="R1442" t="s">
        <v>54</v>
      </c>
      <c r="S1442" t="str" cm="1">
        <f t="array" ref="S1442">IFERROR(_xlfn.IFS(Table1[[#This Row],[Payment Status]]="Partial","In Transit",Table1[[#This Row],[Payment Status]]="Paid","Delivered",Table1[[#This Row],[Payment Status]]="Pending","Pending"),"Invalid Input")</f>
        <v>Delivered</v>
      </c>
      <c r="T1442" t="s">
        <v>44</v>
      </c>
      <c r="U1442" t="str" cm="1">
        <f t="array" ref="U1442">IFERROR(_xlfn.IFS(Table1[[#This Row],[Payment Status]]="Partial","In Transit",Table1[[#This Row],[Payment Status]]="Paid","Completed",Table1[[#This Row],[Payment Status]]="Pending","Pending"),"Invalid Input")</f>
        <v>Completed</v>
      </c>
    </row>
    <row r="1443" spans="1:21" x14ac:dyDescent="0.25">
      <c r="A1443" s="4" t="s">
        <v>2487</v>
      </c>
      <c r="B1443" s="5">
        <v>45779</v>
      </c>
      <c r="C1443" t="s">
        <v>41</v>
      </c>
      <c r="D1443" t="s">
        <v>3269</v>
      </c>
      <c r="E1443" t="s">
        <v>30</v>
      </c>
      <c r="F1443" t="s">
        <v>3225</v>
      </c>
      <c r="G1443" t="s">
        <v>31</v>
      </c>
      <c r="H1443" t="str">
        <f>VLOOKUP(Table1[[#This Row],[City]],Table6[#All],2,FALSE)</f>
        <v>South</v>
      </c>
      <c r="I1443" t="s">
        <v>3203</v>
      </c>
      <c r="J1443" t="str">
        <f>_xlfn.XLOOKUP(Table1[[#This Row],[Tractor Model]],Table7[Product Model],Table7[Product Category],"Not Available",0)</f>
        <v>Kubota</v>
      </c>
      <c r="K1443" s="4">
        <v>4</v>
      </c>
      <c r="L1443" s="72">
        <v>623969</v>
      </c>
      <c r="M1443" s="4">
        <f>INDEX('Master Sheet'!$C$4:$C$12,MATCH(Table1[[#This Row],[Quantity]],'Master Sheet'!$B$4:$B$12,0))</f>
        <v>6</v>
      </c>
      <c r="N1443" s="71">
        <f>Table1[[#This Row],[Quantity]]*Table1[[#This Row],[Unit Price]]</f>
        <v>2495876</v>
      </c>
      <c r="O1443" s="73">
        <v>0.24958759999999999</v>
      </c>
      <c r="P1443" s="70">
        <f>Table1[[#This Row],[Gross Amount]]*(1-(Table1[[#This Row],[Discount %]]/100))</f>
        <v>2346123.44</v>
      </c>
      <c r="Q1443" s="74">
        <f>(Table1[[#This Row],[Gross Amount]]*(1-(Table1[[#This Row],[Discount %]]/100)))/10000000</f>
        <v>0.234612344</v>
      </c>
      <c r="R1443" t="s">
        <v>54</v>
      </c>
      <c r="S1443" t="str" cm="1">
        <f t="array" ref="S1443">IFERROR(_xlfn.IFS(Table1[[#This Row],[Payment Status]]="Partial","In Transit",Table1[[#This Row],[Payment Status]]="Paid","Delivered",Table1[[#This Row],[Payment Status]]="Pending","Pending"),"Invalid Input")</f>
        <v>Delivered</v>
      </c>
      <c r="T1443" t="s">
        <v>44</v>
      </c>
      <c r="U1443" t="str" cm="1">
        <f t="array" ref="U1443">IFERROR(_xlfn.IFS(Table1[[#This Row],[Payment Status]]="Partial","In Transit",Table1[[#This Row],[Payment Status]]="Paid","Completed",Table1[[#This Row],[Payment Status]]="Pending","Pending"),"Invalid Input")</f>
        <v>Completed</v>
      </c>
    </row>
    <row r="1444" spans="1:21" x14ac:dyDescent="0.25">
      <c r="A1444" s="4" t="s">
        <v>2489</v>
      </c>
      <c r="B1444" s="5">
        <v>45576</v>
      </c>
      <c r="C1444" t="s">
        <v>33</v>
      </c>
      <c r="D1444" t="s">
        <v>3268</v>
      </c>
      <c r="E1444" t="s">
        <v>38</v>
      </c>
      <c r="F1444" t="s">
        <v>3219</v>
      </c>
      <c r="G1444" t="s">
        <v>39</v>
      </c>
      <c r="H1444" t="str">
        <f>VLOOKUP(Table1[[#This Row],[City]],Table6[#All],2,FALSE)</f>
        <v>West</v>
      </c>
      <c r="I1444" t="s">
        <v>3203</v>
      </c>
      <c r="J1444" t="str">
        <f>_xlfn.XLOOKUP(Table1[[#This Row],[Tractor Model]],Table7[Product Model],Table7[Product Category],"Not Available",0)</f>
        <v>Kubota</v>
      </c>
      <c r="K1444" s="4">
        <v>2</v>
      </c>
      <c r="L1444" s="72">
        <v>382742</v>
      </c>
      <c r="M1444" s="4">
        <f>INDEX('Master Sheet'!$C$4:$C$12,MATCH(Table1[[#This Row],[Quantity]],'Master Sheet'!$B$4:$B$12,0))</f>
        <v>5</v>
      </c>
      <c r="N1444" s="71">
        <f>Table1[[#This Row],[Quantity]]*Table1[[#This Row],[Unit Price]]</f>
        <v>765484</v>
      </c>
      <c r="O1444" s="73">
        <v>7.6548400000000003E-2</v>
      </c>
      <c r="P1444" s="70">
        <f>Table1[[#This Row],[Gross Amount]]*(1-(Table1[[#This Row],[Discount %]]/100))</f>
        <v>727209.79999999993</v>
      </c>
      <c r="Q1444" s="74">
        <f>(Table1[[#This Row],[Gross Amount]]*(1-(Table1[[#This Row],[Discount %]]/100)))/10000000</f>
        <v>7.2720979999999991E-2</v>
      </c>
      <c r="R1444" t="s">
        <v>42</v>
      </c>
      <c r="S1444" t="str" cm="1">
        <f t="array" ref="S1444">IFERROR(_xlfn.IFS(Table1[[#This Row],[Payment Status]]="Partial","In Transit",Table1[[#This Row],[Payment Status]]="Paid","Delivered",Table1[[#This Row],[Payment Status]]="Pending","Pending"),"Invalid Input")</f>
        <v>Pending</v>
      </c>
      <c r="T1444" t="s">
        <v>44</v>
      </c>
      <c r="U1444" t="str" cm="1">
        <f t="array" ref="U1444">IFERROR(_xlfn.IFS(Table1[[#This Row],[Payment Status]]="Partial","In Transit",Table1[[#This Row],[Payment Status]]="Paid","Completed",Table1[[#This Row],[Payment Status]]="Pending","Pending"),"Invalid Input")</f>
        <v>Pending</v>
      </c>
    </row>
    <row r="1445" spans="1:21" x14ac:dyDescent="0.25">
      <c r="A1445" s="4" t="s">
        <v>2490</v>
      </c>
      <c r="B1445" s="5">
        <v>45574</v>
      </c>
      <c r="C1445" t="s">
        <v>41</v>
      </c>
      <c r="D1445" t="s">
        <v>3270</v>
      </c>
      <c r="E1445" t="s">
        <v>47</v>
      </c>
      <c r="F1445" t="s">
        <v>3205</v>
      </c>
      <c r="G1445" t="s">
        <v>48</v>
      </c>
      <c r="H1445" t="str">
        <f>VLOOKUP(Table1[[#This Row],[City]],Table6[#All],2,FALSE)</f>
        <v>North</v>
      </c>
      <c r="I1445" t="s">
        <v>3204</v>
      </c>
      <c r="J1445" t="str">
        <f>_xlfn.XLOOKUP(Table1[[#This Row],[Tractor Model]],Table7[Product Model],Table7[Product Category],"Not Available",0)</f>
        <v>Kubota</v>
      </c>
      <c r="K1445" s="4">
        <v>4</v>
      </c>
      <c r="L1445" s="72">
        <v>327003</v>
      </c>
      <c r="M1445" s="4">
        <f>INDEX('Master Sheet'!$C$4:$C$12,MATCH(Table1[[#This Row],[Quantity]],'Master Sheet'!$B$4:$B$12,0))</f>
        <v>6</v>
      </c>
      <c r="N1445" s="71">
        <f>Table1[[#This Row],[Quantity]]*Table1[[#This Row],[Unit Price]]</f>
        <v>1308012</v>
      </c>
      <c r="O1445" s="73">
        <v>0.13080120000000001</v>
      </c>
      <c r="P1445" s="70">
        <f>Table1[[#This Row],[Gross Amount]]*(1-(Table1[[#This Row],[Discount %]]/100))</f>
        <v>1229531.28</v>
      </c>
      <c r="Q1445" s="74">
        <f>(Table1[[#This Row],[Gross Amount]]*(1-(Table1[[#This Row],[Discount %]]/100)))/10000000</f>
        <v>0.12295312800000001</v>
      </c>
      <c r="R1445" t="s">
        <v>42</v>
      </c>
      <c r="S1445" t="str" cm="1">
        <f t="array" ref="S1445">IFERROR(_xlfn.IFS(Table1[[#This Row],[Payment Status]]="Partial","In Transit",Table1[[#This Row],[Payment Status]]="Paid","Delivered",Table1[[#This Row],[Payment Status]]="Pending","Pending"),"Invalid Input")</f>
        <v>Pending</v>
      </c>
      <c r="T1445" t="s">
        <v>27</v>
      </c>
      <c r="U1445" t="str" cm="1">
        <f t="array" ref="U1445">IFERROR(_xlfn.IFS(Table1[[#This Row],[Payment Status]]="Partial","In Transit",Table1[[#This Row],[Payment Status]]="Paid","Completed",Table1[[#This Row],[Payment Status]]="Pending","Pending"),"Invalid Input")</f>
        <v>Pending</v>
      </c>
    </row>
    <row r="1446" spans="1:21" x14ac:dyDescent="0.25">
      <c r="A1446" s="4" t="s">
        <v>2491</v>
      </c>
      <c r="B1446" s="5">
        <v>45740</v>
      </c>
      <c r="C1446" t="s">
        <v>73</v>
      </c>
      <c r="D1446" t="s">
        <v>3270</v>
      </c>
      <c r="E1446" t="s">
        <v>66</v>
      </c>
      <c r="F1446" t="s">
        <v>3220</v>
      </c>
      <c r="G1446" t="s">
        <v>67</v>
      </c>
      <c r="H1446" t="str">
        <f>VLOOKUP(Table1[[#This Row],[City]],Table6[#All],2,FALSE)</f>
        <v>East</v>
      </c>
      <c r="I1446" t="s">
        <v>58</v>
      </c>
      <c r="J1446" t="str">
        <f>_xlfn.XLOOKUP(Table1[[#This Row],[Tractor Model]],Table7[Product Model],Table7[Product Category],"Not Available",0)</f>
        <v>Powertrac</v>
      </c>
      <c r="K1446" s="4">
        <v>1</v>
      </c>
      <c r="L1446" s="72">
        <v>628581</v>
      </c>
      <c r="M1446" s="4">
        <f>INDEX('Master Sheet'!$C$4:$C$12,MATCH(Table1[[#This Row],[Quantity]],'Master Sheet'!$B$4:$B$12,0))</f>
        <v>3</v>
      </c>
      <c r="N1446" s="71">
        <f>Table1[[#This Row],[Quantity]]*Table1[[#This Row],[Unit Price]]</f>
        <v>628581</v>
      </c>
      <c r="O1446" s="73">
        <v>6.28581E-2</v>
      </c>
      <c r="P1446" s="70">
        <f>Table1[[#This Row],[Gross Amount]]*(1-(Table1[[#This Row],[Discount %]]/100))</f>
        <v>609723.56999999995</v>
      </c>
      <c r="Q1446" s="74">
        <f>(Table1[[#This Row],[Gross Amount]]*(1-(Table1[[#This Row],[Discount %]]/100)))/10000000</f>
        <v>6.0972356999999998E-2</v>
      </c>
      <c r="R1446" t="s">
        <v>54</v>
      </c>
      <c r="S1446" t="str" cm="1">
        <f t="array" ref="S1446">IFERROR(_xlfn.IFS(Table1[[#This Row],[Payment Status]]="Partial","In Transit",Table1[[#This Row],[Payment Status]]="Paid","Delivered",Table1[[#This Row],[Payment Status]]="Pending","Pending"),"Invalid Input")</f>
        <v>Delivered</v>
      </c>
      <c r="T1446" t="s">
        <v>27</v>
      </c>
      <c r="U1446" t="str" cm="1">
        <f t="array" ref="U1446">IFERROR(_xlfn.IFS(Table1[[#This Row],[Payment Status]]="Partial","In Transit",Table1[[#This Row],[Payment Status]]="Paid","Completed",Table1[[#This Row],[Payment Status]]="Pending","Pending"),"Invalid Input")</f>
        <v>Completed</v>
      </c>
    </row>
    <row r="1447" spans="1:21" x14ac:dyDescent="0.25">
      <c r="A1447" s="4" t="s">
        <v>2493</v>
      </c>
      <c r="B1447" s="5">
        <v>45690</v>
      </c>
      <c r="C1447" t="s">
        <v>33</v>
      </c>
      <c r="D1447" t="s">
        <v>3269</v>
      </c>
      <c r="E1447" t="s">
        <v>47</v>
      </c>
      <c r="F1447" t="s">
        <v>3209</v>
      </c>
      <c r="G1447" t="s">
        <v>48</v>
      </c>
      <c r="H1447" t="str">
        <f>VLOOKUP(Table1[[#This Row],[City]],Table6[#All],2,FALSE)</f>
        <v>North</v>
      </c>
      <c r="I1447" t="s">
        <v>3204</v>
      </c>
      <c r="J1447" t="str">
        <f>_xlfn.XLOOKUP(Table1[[#This Row],[Tractor Model]],Table7[Product Model],Table7[Product Category],"Not Available",0)</f>
        <v>Kubota</v>
      </c>
      <c r="K1447" s="4">
        <v>7</v>
      </c>
      <c r="L1447" s="72">
        <v>754275</v>
      </c>
      <c r="M1447" s="4">
        <f>INDEX('Master Sheet'!$C$4:$C$12,MATCH(Table1[[#This Row],[Quantity]],'Master Sheet'!$B$4:$B$12,0))</f>
        <v>9</v>
      </c>
      <c r="N1447" s="71">
        <f>Table1[[#This Row],[Quantity]]*Table1[[#This Row],[Unit Price]]</f>
        <v>5279925</v>
      </c>
      <c r="O1447" s="73">
        <v>0.52799249999999998</v>
      </c>
      <c r="P1447" s="70">
        <f>Table1[[#This Row],[Gross Amount]]*(1-(Table1[[#This Row],[Discount %]]/100))</f>
        <v>4804731.75</v>
      </c>
      <c r="Q1447" s="74">
        <f>(Table1[[#This Row],[Gross Amount]]*(1-(Table1[[#This Row],[Discount %]]/100)))/10000000</f>
        <v>0.48047317499999997</v>
      </c>
      <c r="R1447" t="s">
        <v>25</v>
      </c>
      <c r="S1447" t="str" cm="1">
        <f t="array" ref="S1447">IFERROR(_xlfn.IFS(Table1[[#This Row],[Payment Status]]="Partial","In Transit",Table1[[#This Row],[Payment Status]]="Paid","Delivered",Table1[[#This Row],[Payment Status]]="Pending","Pending"),"Invalid Input")</f>
        <v>In Transit</v>
      </c>
      <c r="T1447" t="s">
        <v>44</v>
      </c>
      <c r="U1447" t="str" cm="1">
        <f t="array" ref="U1447">IFERROR(_xlfn.IFS(Table1[[#This Row],[Payment Status]]="Partial","In Transit",Table1[[#This Row],[Payment Status]]="Paid","Completed",Table1[[#This Row],[Payment Status]]="Pending","Pending"),"Invalid Input")</f>
        <v>In Transit</v>
      </c>
    </row>
    <row r="1448" spans="1:21" x14ac:dyDescent="0.25">
      <c r="A1448" s="4" t="s">
        <v>2494</v>
      </c>
      <c r="B1448" s="5">
        <v>45693</v>
      </c>
      <c r="C1448" t="s">
        <v>73</v>
      </c>
      <c r="D1448" t="s">
        <v>3269</v>
      </c>
      <c r="E1448" t="s">
        <v>47</v>
      </c>
      <c r="F1448" t="s">
        <v>3209</v>
      </c>
      <c r="G1448" t="s">
        <v>48</v>
      </c>
      <c r="H1448" t="str">
        <f>VLOOKUP(Table1[[#This Row],[City]],Table6[#All],2,FALSE)</f>
        <v>North</v>
      </c>
      <c r="I1448" t="s">
        <v>58</v>
      </c>
      <c r="J1448" t="str">
        <f>_xlfn.XLOOKUP(Table1[[#This Row],[Tractor Model]],Table7[Product Model],Table7[Product Category],"Not Available",0)</f>
        <v>Powertrac</v>
      </c>
      <c r="K1448" s="4">
        <v>8</v>
      </c>
      <c r="L1448" s="72">
        <v>157240</v>
      </c>
      <c r="M1448" s="4">
        <f>INDEX('Master Sheet'!$C$4:$C$12,MATCH(Table1[[#This Row],[Quantity]],'Master Sheet'!$B$4:$B$12,0))</f>
        <v>9</v>
      </c>
      <c r="N1448" s="71">
        <f>Table1[[#This Row],[Quantity]]*Table1[[#This Row],[Unit Price]]</f>
        <v>1257920</v>
      </c>
      <c r="O1448" s="73">
        <v>0.12579199999999999</v>
      </c>
      <c r="P1448" s="70">
        <f>Table1[[#This Row],[Gross Amount]]*(1-(Table1[[#This Row],[Discount %]]/100))</f>
        <v>1144707.2</v>
      </c>
      <c r="Q1448" s="74">
        <f>(Table1[[#This Row],[Gross Amount]]*(1-(Table1[[#This Row],[Discount %]]/100)))/10000000</f>
        <v>0.11447072</v>
      </c>
      <c r="R1448" t="s">
        <v>25</v>
      </c>
      <c r="S1448" t="str" cm="1">
        <f t="array" ref="S1448">IFERROR(_xlfn.IFS(Table1[[#This Row],[Payment Status]]="Partial","In Transit",Table1[[#This Row],[Payment Status]]="Paid","Delivered",Table1[[#This Row],[Payment Status]]="Pending","Pending"),"Invalid Input")</f>
        <v>In Transit</v>
      </c>
      <c r="T1448" t="s">
        <v>27</v>
      </c>
      <c r="U1448" t="str" cm="1">
        <f t="array" ref="U1448">IFERROR(_xlfn.IFS(Table1[[#This Row],[Payment Status]]="Partial","In Transit",Table1[[#This Row],[Payment Status]]="Paid","Completed",Table1[[#This Row],[Payment Status]]="Pending","Pending"),"Invalid Input")</f>
        <v>In Transit</v>
      </c>
    </row>
    <row r="1449" spans="1:21" x14ac:dyDescent="0.25">
      <c r="A1449" s="4" t="s">
        <v>2495</v>
      </c>
      <c r="B1449" s="5">
        <v>45658</v>
      </c>
      <c r="C1449" t="s">
        <v>52</v>
      </c>
      <c r="D1449" t="s">
        <v>3270</v>
      </c>
      <c r="E1449" t="s">
        <v>38</v>
      </c>
      <c r="F1449" t="s">
        <v>3218</v>
      </c>
      <c r="G1449" t="s">
        <v>39</v>
      </c>
      <c r="H1449" t="str">
        <f>VLOOKUP(Table1[[#This Row],[City]],Table6[#All],2,FALSE)</f>
        <v>West</v>
      </c>
      <c r="I1449" t="s">
        <v>24</v>
      </c>
      <c r="J1449" t="str">
        <f>_xlfn.XLOOKUP(Table1[[#This Row],[Tractor Model]],Table7[Product Model],Table7[Product Category],"Not Available",0)</f>
        <v>Farmtrac</v>
      </c>
      <c r="K1449" s="4">
        <v>8</v>
      </c>
      <c r="L1449" s="72">
        <v>459961</v>
      </c>
      <c r="M1449" s="4">
        <f>INDEX('Master Sheet'!$C$4:$C$12,MATCH(Table1[[#This Row],[Quantity]],'Master Sheet'!$B$4:$B$12,0))</f>
        <v>9</v>
      </c>
      <c r="N1449" s="71">
        <f>Table1[[#This Row],[Quantity]]*Table1[[#This Row],[Unit Price]]</f>
        <v>3679688</v>
      </c>
      <c r="O1449" s="73">
        <v>0.36796879999999998</v>
      </c>
      <c r="P1449" s="70">
        <f>Table1[[#This Row],[Gross Amount]]*(1-(Table1[[#This Row],[Discount %]]/100))</f>
        <v>3348516.08</v>
      </c>
      <c r="Q1449" s="74">
        <f>(Table1[[#This Row],[Gross Amount]]*(1-(Table1[[#This Row],[Discount %]]/100)))/10000000</f>
        <v>0.33485160800000002</v>
      </c>
      <c r="R1449" t="s">
        <v>25</v>
      </c>
      <c r="S1449" t="str" cm="1">
        <f t="array" ref="S1449">IFERROR(_xlfn.IFS(Table1[[#This Row],[Payment Status]]="Partial","In Transit",Table1[[#This Row],[Payment Status]]="Paid","Delivered",Table1[[#This Row],[Payment Status]]="Pending","Pending"),"Invalid Input")</f>
        <v>In Transit</v>
      </c>
      <c r="T1449" t="s">
        <v>27</v>
      </c>
      <c r="U1449" t="str" cm="1">
        <f t="array" ref="U1449">IFERROR(_xlfn.IFS(Table1[[#This Row],[Payment Status]]="Partial","In Transit",Table1[[#This Row],[Payment Status]]="Paid","Completed",Table1[[#This Row],[Payment Status]]="Pending","Pending"),"Invalid Input")</f>
        <v>In Transit</v>
      </c>
    </row>
    <row r="1450" spans="1:21" x14ac:dyDescent="0.25">
      <c r="A1450" s="4" t="s">
        <v>2497</v>
      </c>
      <c r="B1450" s="5">
        <v>45566</v>
      </c>
      <c r="C1450" t="s">
        <v>33</v>
      </c>
      <c r="D1450" t="s">
        <v>3269</v>
      </c>
      <c r="E1450" t="s">
        <v>47</v>
      </c>
      <c r="F1450" t="s">
        <v>3209</v>
      </c>
      <c r="G1450" t="s">
        <v>48</v>
      </c>
      <c r="H1450" t="str">
        <f>VLOOKUP(Table1[[#This Row],[City]],Table6[#All],2,FALSE)</f>
        <v>North</v>
      </c>
      <c r="I1450" t="s">
        <v>53</v>
      </c>
      <c r="J1450" t="str">
        <f>_xlfn.XLOOKUP(Table1[[#This Row],[Tractor Model]],Table7[Product Model],Table7[Product Category],"Not Available",0)</f>
        <v>Farmtrac</v>
      </c>
      <c r="K1450" s="4">
        <v>8</v>
      </c>
      <c r="L1450" s="72">
        <v>803509</v>
      </c>
      <c r="M1450" s="4">
        <f>INDEX('Master Sheet'!$C$4:$C$12,MATCH(Table1[[#This Row],[Quantity]],'Master Sheet'!$B$4:$B$12,0))</f>
        <v>9</v>
      </c>
      <c r="N1450" s="71">
        <f>Table1[[#This Row],[Quantity]]*Table1[[#This Row],[Unit Price]]</f>
        <v>6428072</v>
      </c>
      <c r="O1450" s="73">
        <v>0.64280720000000002</v>
      </c>
      <c r="P1450" s="70">
        <f>Table1[[#This Row],[Gross Amount]]*(1-(Table1[[#This Row],[Discount %]]/100))</f>
        <v>5849545.5200000005</v>
      </c>
      <c r="Q1450" s="74">
        <f>(Table1[[#This Row],[Gross Amount]]*(1-(Table1[[#This Row],[Discount %]]/100)))/10000000</f>
        <v>0.58495455200000002</v>
      </c>
      <c r="R1450" t="s">
        <v>25</v>
      </c>
      <c r="S1450" t="str" cm="1">
        <f t="array" ref="S1450">IFERROR(_xlfn.IFS(Table1[[#This Row],[Payment Status]]="Partial","In Transit",Table1[[#This Row],[Payment Status]]="Paid","Delivered",Table1[[#This Row],[Payment Status]]="Pending","Pending"),"Invalid Input")</f>
        <v>In Transit</v>
      </c>
      <c r="T1450" t="s">
        <v>27</v>
      </c>
      <c r="U1450" t="str" cm="1">
        <f t="array" ref="U1450">IFERROR(_xlfn.IFS(Table1[[#This Row],[Payment Status]]="Partial","In Transit",Table1[[#This Row],[Payment Status]]="Paid","Completed",Table1[[#This Row],[Payment Status]]="Pending","Pending"),"Invalid Input")</f>
        <v>In Transit</v>
      </c>
    </row>
    <row r="1451" spans="1:21" x14ac:dyDescent="0.25">
      <c r="A1451" s="4" t="s">
        <v>2498</v>
      </c>
      <c r="B1451" s="5">
        <v>45441</v>
      </c>
      <c r="C1451" t="s">
        <v>33</v>
      </c>
      <c r="D1451" t="s">
        <v>3268</v>
      </c>
      <c r="E1451" t="s">
        <v>66</v>
      </c>
      <c r="F1451" t="s">
        <v>3211</v>
      </c>
      <c r="G1451" t="s">
        <v>67</v>
      </c>
      <c r="H1451" t="str">
        <f>VLOOKUP(Table1[[#This Row],[City]],Table6[#All],2,FALSE)</f>
        <v>East</v>
      </c>
      <c r="I1451" t="s">
        <v>3204</v>
      </c>
      <c r="J1451" t="str">
        <f>_xlfn.XLOOKUP(Table1[[#This Row],[Tractor Model]],Table7[Product Model],Table7[Product Category],"Not Available",0)</f>
        <v>Kubota</v>
      </c>
      <c r="K1451" s="4">
        <v>2</v>
      </c>
      <c r="L1451" s="72">
        <v>891097</v>
      </c>
      <c r="M1451" s="4">
        <f>INDEX('Master Sheet'!$C$4:$C$12,MATCH(Table1[[#This Row],[Quantity]],'Master Sheet'!$B$4:$B$12,0))</f>
        <v>5</v>
      </c>
      <c r="N1451" s="71">
        <f>Table1[[#This Row],[Quantity]]*Table1[[#This Row],[Unit Price]]</f>
        <v>1782194</v>
      </c>
      <c r="O1451" s="73">
        <v>0.1782194</v>
      </c>
      <c r="P1451" s="70">
        <f>Table1[[#This Row],[Gross Amount]]*(1-(Table1[[#This Row],[Discount %]]/100))</f>
        <v>1693084.2999999998</v>
      </c>
      <c r="Q1451" s="74">
        <f>(Table1[[#This Row],[Gross Amount]]*(1-(Table1[[#This Row],[Discount %]]/100)))/10000000</f>
        <v>0.16930842999999998</v>
      </c>
      <c r="R1451" t="s">
        <v>25</v>
      </c>
      <c r="S1451" t="str" cm="1">
        <f t="array" ref="S1451">IFERROR(_xlfn.IFS(Table1[[#This Row],[Payment Status]]="Partial","In Transit",Table1[[#This Row],[Payment Status]]="Paid","Delivered",Table1[[#This Row],[Payment Status]]="Pending","Pending"),"Invalid Input")</f>
        <v>In Transit</v>
      </c>
      <c r="T1451" t="s">
        <v>27</v>
      </c>
      <c r="U1451" t="str" cm="1">
        <f t="array" ref="U1451">IFERROR(_xlfn.IFS(Table1[[#This Row],[Payment Status]]="Partial","In Transit",Table1[[#This Row],[Payment Status]]="Paid","Completed",Table1[[#This Row],[Payment Status]]="Pending","Pending"),"Invalid Input")</f>
        <v>In Transit</v>
      </c>
    </row>
    <row r="1452" spans="1:21" x14ac:dyDescent="0.25">
      <c r="A1452" s="4" t="s">
        <v>2500</v>
      </c>
      <c r="B1452" s="5">
        <v>45693</v>
      </c>
      <c r="C1452" t="s">
        <v>41</v>
      </c>
      <c r="D1452" t="s">
        <v>3268</v>
      </c>
      <c r="E1452" t="s">
        <v>66</v>
      </c>
      <c r="F1452" t="s">
        <v>3211</v>
      </c>
      <c r="G1452" t="s">
        <v>67</v>
      </c>
      <c r="H1452" t="str">
        <f>VLOOKUP(Table1[[#This Row],[City]],Table6[#All],2,FALSE)</f>
        <v>East</v>
      </c>
      <c r="I1452" t="s">
        <v>58</v>
      </c>
      <c r="J1452" t="str">
        <f>_xlfn.XLOOKUP(Table1[[#This Row],[Tractor Model]],Table7[Product Model],Table7[Product Category],"Not Available",0)</f>
        <v>Powertrac</v>
      </c>
      <c r="K1452" s="4">
        <v>8</v>
      </c>
      <c r="L1452" s="72">
        <v>395043</v>
      </c>
      <c r="M1452" s="4">
        <f>INDEX('Master Sheet'!$C$4:$C$12,MATCH(Table1[[#This Row],[Quantity]],'Master Sheet'!$B$4:$B$12,0))</f>
        <v>9</v>
      </c>
      <c r="N1452" s="71">
        <f>Table1[[#This Row],[Quantity]]*Table1[[#This Row],[Unit Price]]</f>
        <v>3160344</v>
      </c>
      <c r="O1452" s="73">
        <v>0.31603439999999999</v>
      </c>
      <c r="P1452" s="70">
        <f>Table1[[#This Row],[Gross Amount]]*(1-(Table1[[#This Row],[Discount %]]/100))</f>
        <v>2875913.04</v>
      </c>
      <c r="Q1452" s="74">
        <f>(Table1[[#This Row],[Gross Amount]]*(1-(Table1[[#This Row],[Discount %]]/100)))/10000000</f>
        <v>0.28759130399999999</v>
      </c>
      <c r="R1452" t="s">
        <v>54</v>
      </c>
      <c r="S1452" t="str" cm="1">
        <f t="array" ref="S1452">IFERROR(_xlfn.IFS(Table1[[#This Row],[Payment Status]]="Partial","In Transit",Table1[[#This Row],[Payment Status]]="Paid","Delivered",Table1[[#This Row],[Payment Status]]="Pending","Pending"),"Invalid Input")</f>
        <v>Delivered</v>
      </c>
      <c r="T1452" t="s">
        <v>27</v>
      </c>
      <c r="U1452" t="str" cm="1">
        <f t="array" ref="U1452">IFERROR(_xlfn.IFS(Table1[[#This Row],[Payment Status]]="Partial","In Transit",Table1[[#This Row],[Payment Status]]="Paid","Completed",Table1[[#This Row],[Payment Status]]="Pending","Pending"),"Invalid Input")</f>
        <v>Completed</v>
      </c>
    </row>
    <row r="1453" spans="1:21" x14ac:dyDescent="0.25">
      <c r="A1453" s="4" t="s">
        <v>2502</v>
      </c>
      <c r="B1453" s="5">
        <v>45533</v>
      </c>
      <c r="C1453" t="s">
        <v>52</v>
      </c>
      <c r="D1453" t="s">
        <v>37</v>
      </c>
      <c r="E1453" t="s">
        <v>119</v>
      </c>
      <c r="F1453" t="s">
        <v>3224</v>
      </c>
      <c r="G1453" t="s">
        <v>21</v>
      </c>
      <c r="H1453" t="str">
        <f>VLOOKUP(Table1[[#This Row],[City]],Table6[#All],2,FALSE)</f>
        <v>North</v>
      </c>
      <c r="I1453" t="s">
        <v>53</v>
      </c>
      <c r="J1453" t="str">
        <f>_xlfn.XLOOKUP(Table1[[#This Row],[Tractor Model]],Table7[Product Model],Table7[Product Category],"Not Available",0)</f>
        <v>Farmtrac</v>
      </c>
      <c r="K1453" s="4">
        <v>1</v>
      </c>
      <c r="L1453" s="72">
        <v>593153</v>
      </c>
      <c r="M1453" s="4">
        <f>INDEX('Master Sheet'!$C$4:$C$12,MATCH(Table1[[#This Row],[Quantity]],'Master Sheet'!$B$4:$B$12,0))</f>
        <v>3</v>
      </c>
      <c r="N1453" s="71">
        <f>Table1[[#This Row],[Quantity]]*Table1[[#This Row],[Unit Price]]</f>
        <v>593153</v>
      </c>
      <c r="O1453" s="73">
        <v>5.9315300000000001E-2</v>
      </c>
      <c r="P1453" s="70">
        <f>Table1[[#This Row],[Gross Amount]]*(1-(Table1[[#This Row],[Discount %]]/100))</f>
        <v>575358.41</v>
      </c>
      <c r="Q1453" s="74">
        <f>(Table1[[#This Row],[Gross Amount]]*(1-(Table1[[#This Row],[Discount %]]/100)))/10000000</f>
        <v>5.7535841000000004E-2</v>
      </c>
      <c r="R1453" t="s">
        <v>54</v>
      </c>
      <c r="S1453" t="str" cm="1">
        <f t="array" ref="S1453">IFERROR(_xlfn.IFS(Table1[[#This Row],[Payment Status]]="Partial","In Transit",Table1[[#This Row],[Payment Status]]="Paid","Delivered",Table1[[#This Row],[Payment Status]]="Pending","Pending"),"Invalid Input")</f>
        <v>Delivered</v>
      </c>
      <c r="T1453" t="s">
        <v>44</v>
      </c>
      <c r="U1453" t="str" cm="1">
        <f t="array" ref="U1453">IFERROR(_xlfn.IFS(Table1[[#This Row],[Payment Status]]="Partial","In Transit",Table1[[#This Row],[Payment Status]]="Paid","Completed",Table1[[#This Row],[Payment Status]]="Pending","Pending"),"Invalid Input")</f>
        <v>Completed</v>
      </c>
    </row>
    <row r="1454" spans="1:21" x14ac:dyDescent="0.25">
      <c r="A1454" s="4" t="s">
        <v>2503</v>
      </c>
      <c r="B1454" s="5">
        <v>45462</v>
      </c>
      <c r="C1454" t="s">
        <v>62</v>
      </c>
      <c r="D1454" t="s">
        <v>37</v>
      </c>
      <c r="E1454" t="s">
        <v>47</v>
      </c>
      <c r="F1454" t="s">
        <v>3215</v>
      </c>
      <c r="G1454" t="s">
        <v>48</v>
      </c>
      <c r="H1454" t="str">
        <f>VLOOKUP(Table1[[#This Row],[City]],Table6[#All],2,FALSE)</f>
        <v>North</v>
      </c>
      <c r="I1454" t="s">
        <v>3204</v>
      </c>
      <c r="J1454" t="str">
        <f>_xlfn.XLOOKUP(Table1[[#This Row],[Tractor Model]],Table7[Product Model],Table7[Product Category],"Not Available",0)</f>
        <v>Kubota</v>
      </c>
      <c r="K1454" s="4">
        <v>3</v>
      </c>
      <c r="L1454" s="72">
        <v>387786</v>
      </c>
      <c r="M1454" s="4">
        <f>INDEX('Master Sheet'!$C$4:$C$12,MATCH(Table1[[#This Row],[Quantity]],'Master Sheet'!$B$4:$B$12,0))</f>
        <v>6</v>
      </c>
      <c r="N1454" s="71">
        <f>Table1[[#This Row],[Quantity]]*Table1[[#This Row],[Unit Price]]</f>
        <v>1163358</v>
      </c>
      <c r="O1454" s="73">
        <v>0.1163358</v>
      </c>
      <c r="P1454" s="70">
        <f>Table1[[#This Row],[Gross Amount]]*(1-(Table1[[#This Row],[Discount %]]/100))</f>
        <v>1093556.52</v>
      </c>
      <c r="Q1454" s="74">
        <f>(Table1[[#This Row],[Gross Amount]]*(1-(Table1[[#This Row],[Discount %]]/100)))/10000000</f>
        <v>0.109355652</v>
      </c>
      <c r="R1454" t="s">
        <v>54</v>
      </c>
      <c r="S1454" t="str" cm="1">
        <f t="array" ref="S1454">IFERROR(_xlfn.IFS(Table1[[#This Row],[Payment Status]]="Partial","In Transit",Table1[[#This Row],[Payment Status]]="Paid","Delivered",Table1[[#This Row],[Payment Status]]="Pending","Pending"),"Invalid Input")</f>
        <v>Delivered</v>
      </c>
      <c r="T1454" t="s">
        <v>44</v>
      </c>
      <c r="U1454" t="str" cm="1">
        <f t="array" ref="U1454">IFERROR(_xlfn.IFS(Table1[[#This Row],[Payment Status]]="Partial","In Transit",Table1[[#This Row],[Payment Status]]="Paid","Completed",Table1[[#This Row],[Payment Status]]="Pending","Pending"),"Invalid Input")</f>
        <v>Completed</v>
      </c>
    </row>
    <row r="1455" spans="1:21" x14ac:dyDescent="0.25">
      <c r="A1455" s="4" t="s">
        <v>2505</v>
      </c>
      <c r="B1455" s="5">
        <v>45709</v>
      </c>
      <c r="C1455" t="s">
        <v>62</v>
      </c>
      <c r="D1455" t="s">
        <v>3270</v>
      </c>
      <c r="E1455" t="s">
        <v>38</v>
      </c>
      <c r="F1455" t="s">
        <v>3218</v>
      </c>
      <c r="G1455" t="s">
        <v>39</v>
      </c>
      <c r="H1455" t="str">
        <f>VLOOKUP(Table1[[#This Row],[City]],Table6[#All],2,FALSE)</f>
        <v>West</v>
      </c>
      <c r="I1455" t="s">
        <v>53</v>
      </c>
      <c r="J1455" t="str">
        <f>_xlfn.XLOOKUP(Table1[[#This Row],[Tractor Model]],Table7[Product Model],Table7[Product Category],"Not Available",0)</f>
        <v>Farmtrac</v>
      </c>
      <c r="K1455" s="4">
        <v>7</v>
      </c>
      <c r="L1455" s="72">
        <v>677858</v>
      </c>
      <c r="M1455" s="4">
        <f>INDEX('Master Sheet'!$C$4:$C$12,MATCH(Table1[[#This Row],[Quantity]],'Master Sheet'!$B$4:$B$12,0))</f>
        <v>9</v>
      </c>
      <c r="N1455" s="71">
        <f>Table1[[#This Row],[Quantity]]*Table1[[#This Row],[Unit Price]]</f>
        <v>4745006</v>
      </c>
      <c r="O1455" s="73">
        <v>0.47450059999999999</v>
      </c>
      <c r="P1455" s="70">
        <f>Table1[[#This Row],[Gross Amount]]*(1-(Table1[[#This Row],[Discount %]]/100))</f>
        <v>4317955.46</v>
      </c>
      <c r="Q1455" s="74">
        <f>(Table1[[#This Row],[Gross Amount]]*(1-(Table1[[#This Row],[Discount %]]/100)))/10000000</f>
        <v>0.43179554599999997</v>
      </c>
      <c r="R1455" t="s">
        <v>54</v>
      </c>
      <c r="S1455" t="str" cm="1">
        <f t="array" ref="S1455">IFERROR(_xlfn.IFS(Table1[[#This Row],[Payment Status]]="Partial","In Transit",Table1[[#This Row],[Payment Status]]="Paid","Delivered",Table1[[#This Row],[Payment Status]]="Pending","Pending"),"Invalid Input")</f>
        <v>Delivered</v>
      </c>
      <c r="T1455" t="s">
        <v>27</v>
      </c>
      <c r="U1455" t="str" cm="1">
        <f t="array" ref="U1455">IFERROR(_xlfn.IFS(Table1[[#This Row],[Payment Status]]="Partial","In Transit",Table1[[#This Row],[Payment Status]]="Paid","Completed",Table1[[#This Row],[Payment Status]]="Pending","Pending"),"Invalid Input")</f>
        <v>Completed</v>
      </c>
    </row>
    <row r="1456" spans="1:21" x14ac:dyDescent="0.25">
      <c r="A1456" s="4" t="s">
        <v>2506</v>
      </c>
      <c r="B1456" s="5">
        <v>45473</v>
      </c>
      <c r="C1456" t="s">
        <v>33</v>
      </c>
      <c r="D1456" t="s">
        <v>3269</v>
      </c>
      <c r="E1456" t="s">
        <v>119</v>
      </c>
      <c r="F1456" t="s">
        <v>3229</v>
      </c>
      <c r="G1456" t="s">
        <v>21</v>
      </c>
      <c r="H1456" t="str">
        <f>VLOOKUP(Table1[[#This Row],[City]],Table6[#All],2,FALSE)</f>
        <v>North</v>
      </c>
      <c r="I1456" t="s">
        <v>3204</v>
      </c>
      <c r="J1456" t="str">
        <f>_xlfn.XLOOKUP(Table1[[#This Row],[Tractor Model]],Table7[Product Model],Table7[Product Category],"Not Available",0)</f>
        <v>Kubota</v>
      </c>
      <c r="K1456" s="4">
        <v>1</v>
      </c>
      <c r="L1456" s="72">
        <v>216488</v>
      </c>
      <c r="M1456" s="4">
        <f>INDEX('Master Sheet'!$C$4:$C$12,MATCH(Table1[[#This Row],[Quantity]],'Master Sheet'!$B$4:$B$12,0))</f>
        <v>3</v>
      </c>
      <c r="N1456" s="71">
        <f>Table1[[#This Row],[Quantity]]*Table1[[#This Row],[Unit Price]]</f>
        <v>216488</v>
      </c>
      <c r="O1456" s="73">
        <v>2.1648799999999999E-2</v>
      </c>
      <c r="P1456" s="70">
        <f>Table1[[#This Row],[Gross Amount]]*(1-(Table1[[#This Row],[Discount %]]/100))</f>
        <v>209993.36</v>
      </c>
      <c r="Q1456" s="74">
        <f>(Table1[[#This Row],[Gross Amount]]*(1-(Table1[[#This Row],[Discount %]]/100)))/10000000</f>
        <v>2.0999335999999997E-2</v>
      </c>
      <c r="R1456" t="s">
        <v>54</v>
      </c>
      <c r="S1456" t="str" cm="1">
        <f t="array" ref="S1456">IFERROR(_xlfn.IFS(Table1[[#This Row],[Payment Status]]="Partial","In Transit",Table1[[#This Row],[Payment Status]]="Paid","Delivered",Table1[[#This Row],[Payment Status]]="Pending","Pending"),"Invalid Input")</f>
        <v>Delivered</v>
      </c>
      <c r="T1456" t="s">
        <v>44</v>
      </c>
      <c r="U1456" t="str" cm="1">
        <f t="array" ref="U1456">IFERROR(_xlfn.IFS(Table1[[#This Row],[Payment Status]]="Partial","In Transit",Table1[[#This Row],[Payment Status]]="Paid","Completed",Table1[[#This Row],[Payment Status]]="Pending","Pending"),"Invalid Input")</f>
        <v>Completed</v>
      </c>
    </row>
    <row r="1457" spans="1:21" x14ac:dyDescent="0.25">
      <c r="A1457" s="4" t="s">
        <v>2508</v>
      </c>
      <c r="B1457" s="5">
        <v>45500</v>
      </c>
      <c r="C1457" t="s">
        <v>62</v>
      </c>
      <c r="D1457" t="s">
        <v>3271</v>
      </c>
      <c r="E1457" t="s">
        <v>38</v>
      </c>
      <c r="F1457" t="s">
        <v>3210</v>
      </c>
      <c r="G1457" t="s">
        <v>39</v>
      </c>
      <c r="H1457" t="str">
        <f>VLOOKUP(Table1[[#This Row],[City]],Table6[#All],2,FALSE)</f>
        <v>West</v>
      </c>
      <c r="I1457" t="s">
        <v>58</v>
      </c>
      <c r="J1457" t="str">
        <f>_xlfn.XLOOKUP(Table1[[#This Row],[Tractor Model]],Table7[Product Model],Table7[Product Category],"Not Available",0)</f>
        <v>Powertrac</v>
      </c>
      <c r="K1457" s="4">
        <v>3</v>
      </c>
      <c r="L1457" s="72">
        <v>867557</v>
      </c>
      <c r="M1457" s="4">
        <f>INDEX('Master Sheet'!$C$4:$C$12,MATCH(Table1[[#This Row],[Quantity]],'Master Sheet'!$B$4:$B$12,0))</f>
        <v>6</v>
      </c>
      <c r="N1457" s="71">
        <f>Table1[[#This Row],[Quantity]]*Table1[[#This Row],[Unit Price]]</f>
        <v>2602671</v>
      </c>
      <c r="O1457" s="73">
        <v>0.26026709999999997</v>
      </c>
      <c r="P1457" s="70">
        <f>Table1[[#This Row],[Gross Amount]]*(1-(Table1[[#This Row],[Discount %]]/100))</f>
        <v>2446510.7399999998</v>
      </c>
      <c r="Q1457" s="74">
        <f>(Table1[[#This Row],[Gross Amount]]*(1-(Table1[[#This Row],[Discount %]]/100)))/10000000</f>
        <v>0.24465107399999997</v>
      </c>
      <c r="R1457" t="s">
        <v>54</v>
      </c>
      <c r="S1457" t="str" cm="1">
        <f t="array" ref="S1457">IFERROR(_xlfn.IFS(Table1[[#This Row],[Payment Status]]="Partial","In Transit",Table1[[#This Row],[Payment Status]]="Paid","Delivered",Table1[[#This Row],[Payment Status]]="Pending","Pending"),"Invalid Input")</f>
        <v>Delivered</v>
      </c>
      <c r="T1457" t="s">
        <v>27</v>
      </c>
      <c r="U1457" t="str" cm="1">
        <f t="array" ref="U1457">IFERROR(_xlfn.IFS(Table1[[#This Row],[Payment Status]]="Partial","In Transit",Table1[[#This Row],[Payment Status]]="Paid","Completed",Table1[[#This Row],[Payment Status]]="Pending","Pending"),"Invalid Input")</f>
        <v>Completed</v>
      </c>
    </row>
    <row r="1458" spans="1:21" x14ac:dyDescent="0.25">
      <c r="A1458" s="4" t="s">
        <v>2510</v>
      </c>
      <c r="B1458" s="5">
        <v>45729</v>
      </c>
      <c r="C1458" t="s">
        <v>73</v>
      </c>
      <c r="D1458" t="s">
        <v>3271</v>
      </c>
      <c r="E1458" t="s">
        <v>66</v>
      </c>
      <c r="F1458" t="s">
        <v>3207</v>
      </c>
      <c r="G1458" t="s">
        <v>67</v>
      </c>
      <c r="H1458" t="str">
        <f>VLOOKUP(Table1[[#This Row],[City]],Table6[#All],2,FALSE)</f>
        <v>East</v>
      </c>
      <c r="I1458" t="s">
        <v>3203</v>
      </c>
      <c r="J1458" t="str">
        <f>_xlfn.XLOOKUP(Table1[[#This Row],[Tractor Model]],Table7[Product Model],Table7[Product Category],"Not Available",0)</f>
        <v>Kubota</v>
      </c>
      <c r="K1458" s="4">
        <v>2</v>
      </c>
      <c r="L1458" s="72">
        <v>414751</v>
      </c>
      <c r="M1458" s="4">
        <f>INDEX('Master Sheet'!$C$4:$C$12,MATCH(Table1[[#This Row],[Quantity]],'Master Sheet'!$B$4:$B$12,0))</f>
        <v>5</v>
      </c>
      <c r="N1458" s="71">
        <f>Table1[[#This Row],[Quantity]]*Table1[[#This Row],[Unit Price]]</f>
        <v>829502</v>
      </c>
      <c r="O1458" s="73">
        <v>8.2950200000000002E-2</v>
      </c>
      <c r="P1458" s="70">
        <f>Table1[[#This Row],[Gross Amount]]*(1-(Table1[[#This Row],[Discount %]]/100))</f>
        <v>788026.89999999991</v>
      </c>
      <c r="Q1458" s="74">
        <f>(Table1[[#This Row],[Gross Amount]]*(1-(Table1[[#This Row],[Discount %]]/100)))/10000000</f>
        <v>7.8802689999999995E-2</v>
      </c>
      <c r="R1458" t="s">
        <v>25</v>
      </c>
      <c r="S1458" t="str" cm="1">
        <f t="array" ref="S1458">IFERROR(_xlfn.IFS(Table1[[#This Row],[Payment Status]]="Partial","In Transit",Table1[[#This Row],[Payment Status]]="Paid","Delivered",Table1[[#This Row],[Payment Status]]="Pending","Pending"),"Invalid Input")</f>
        <v>In Transit</v>
      </c>
      <c r="T1458" t="s">
        <v>27</v>
      </c>
      <c r="U1458" t="str" cm="1">
        <f t="array" ref="U1458">IFERROR(_xlfn.IFS(Table1[[#This Row],[Payment Status]]="Partial","In Transit",Table1[[#This Row],[Payment Status]]="Paid","Completed",Table1[[#This Row],[Payment Status]]="Pending","Pending"),"Invalid Input")</f>
        <v>In Transit</v>
      </c>
    </row>
    <row r="1459" spans="1:21" x14ac:dyDescent="0.25">
      <c r="A1459" s="4" t="s">
        <v>2512</v>
      </c>
      <c r="B1459" s="5">
        <v>45625</v>
      </c>
      <c r="C1459" t="s">
        <v>41</v>
      </c>
      <c r="D1459" t="s">
        <v>3269</v>
      </c>
      <c r="E1459" t="s">
        <v>30</v>
      </c>
      <c r="F1459" t="s">
        <v>3225</v>
      </c>
      <c r="G1459" t="s">
        <v>31</v>
      </c>
      <c r="H1459" t="str">
        <f>VLOOKUP(Table1[[#This Row],[City]],Table6[#All],2,FALSE)</f>
        <v>South</v>
      </c>
      <c r="I1459" t="s">
        <v>3203</v>
      </c>
      <c r="J1459" t="str">
        <f>_xlfn.XLOOKUP(Table1[[#This Row],[Tractor Model]],Table7[Product Model],Table7[Product Category],"Not Available",0)</f>
        <v>Kubota</v>
      </c>
      <c r="K1459" s="4">
        <v>8</v>
      </c>
      <c r="L1459" s="72">
        <v>518227</v>
      </c>
      <c r="M1459" s="4">
        <f>INDEX('Master Sheet'!$C$4:$C$12,MATCH(Table1[[#This Row],[Quantity]],'Master Sheet'!$B$4:$B$12,0))</f>
        <v>9</v>
      </c>
      <c r="N1459" s="71">
        <f>Table1[[#This Row],[Quantity]]*Table1[[#This Row],[Unit Price]]</f>
        <v>4145816</v>
      </c>
      <c r="O1459" s="73">
        <v>0.41458159999999999</v>
      </c>
      <c r="P1459" s="70">
        <f>Table1[[#This Row],[Gross Amount]]*(1-(Table1[[#This Row],[Discount %]]/100))</f>
        <v>3772692.56</v>
      </c>
      <c r="Q1459" s="74">
        <f>(Table1[[#This Row],[Gross Amount]]*(1-(Table1[[#This Row],[Discount %]]/100)))/10000000</f>
        <v>0.377269256</v>
      </c>
      <c r="R1459" t="s">
        <v>54</v>
      </c>
      <c r="S1459" t="str" cm="1">
        <f t="array" ref="S1459">IFERROR(_xlfn.IFS(Table1[[#This Row],[Payment Status]]="Partial","In Transit",Table1[[#This Row],[Payment Status]]="Paid","Delivered",Table1[[#This Row],[Payment Status]]="Pending","Pending"),"Invalid Input")</f>
        <v>Delivered</v>
      </c>
      <c r="T1459" t="s">
        <v>27</v>
      </c>
      <c r="U1459" t="str" cm="1">
        <f t="array" ref="U1459">IFERROR(_xlfn.IFS(Table1[[#This Row],[Payment Status]]="Partial","In Transit",Table1[[#This Row],[Payment Status]]="Paid","Completed",Table1[[#This Row],[Payment Status]]="Pending","Pending"),"Invalid Input")</f>
        <v>Completed</v>
      </c>
    </row>
    <row r="1460" spans="1:21" x14ac:dyDescent="0.25">
      <c r="A1460" s="4" t="s">
        <v>2513</v>
      </c>
      <c r="B1460" s="5">
        <v>45584</v>
      </c>
      <c r="C1460" t="s">
        <v>41</v>
      </c>
      <c r="D1460" t="s">
        <v>37</v>
      </c>
      <c r="E1460" t="s">
        <v>38</v>
      </c>
      <c r="F1460" t="s">
        <v>3214</v>
      </c>
      <c r="G1460" t="s">
        <v>39</v>
      </c>
      <c r="H1460" t="str">
        <f>VLOOKUP(Table1[[#This Row],[City]],Table6[#All],2,FALSE)</f>
        <v>West</v>
      </c>
      <c r="I1460" t="s">
        <v>53</v>
      </c>
      <c r="J1460" t="str">
        <f>_xlfn.XLOOKUP(Table1[[#This Row],[Tractor Model]],Table7[Product Model],Table7[Product Category],"Not Available",0)</f>
        <v>Farmtrac</v>
      </c>
      <c r="K1460" s="4">
        <v>3</v>
      </c>
      <c r="L1460" s="72">
        <v>144932</v>
      </c>
      <c r="M1460" s="4">
        <f>INDEX('Master Sheet'!$C$4:$C$12,MATCH(Table1[[#This Row],[Quantity]],'Master Sheet'!$B$4:$B$12,0))</f>
        <v>6</v>
      </c>
      <c r="N1460" s="71">
        <f>Table1[[#This Row],[Quantity]]*Table1[[#This Row],[Unit Price]]</f>
        <v>434796</v>
      </c>
      <c r="O1460" s="73">
        <v>4.34796E-2</v>
      </c>
      <c r="P1460" s="70">
        <f>Table1[[#This Row],[Gross Amount]]*(1-(Table1[[#This Row],[Discount %]]/100))</f>
        <v>408708.24</v>
      </c>
      <c r="Q1460" s="74">
        <f>(Table1[[#This Row],[Gross Amount]]*(1-(Table1[[#This Row],[Discount %]]/100)))/10000000</f>
        <v>4.0870824E-2</v>
      </c>
      <c r="R1460" t="s">
        <v>54</v>
      </c>
      <c r="S1460" t="str" cm="1">
        <f t="array" ref="S1460">IFERROR(_xlfn.IFS(Table1[[#This Row],[Payment Status]]="Partial","In Transit",Table1[[#This Row],[Payment Status]]="Paid","Delivered",Table1[[#This Row],[Payment Status]]="Pending","Pending"),"Invalid Input")</f>
        <v>Delivered</v>
      </c>
      <c r="T1460" t="s">
        <v>44</v>
      </c>
      <c r="U1460" t="str" cm="1">
        <f t="array" ref="U1460">IFERROR(_xlfn.IFS(Table1[[#This Row],[Payment Status]]="Partial","In Transit",Table1[[#This Row],[Payment Status]]="Paid","Completed",Table1[[#This Row],[Payment Status]]="Pending","Pending"),"Invalid Input")</f>
        <v>Completed</v>
      </c>
    </row>
    <row r="1461" spans="1:21" x14ac:dyDescent="0.25">
      <c r="A1461" s="4" t="s">
        <v>2514</v>
      </c>
      <c r="B1461" s="5">
        <v>45519</v>
      </c>
      <c r="C1461" t="s">
        <v>33</v>
      </c>
      <c r="D1461" t="s">
        <v>3271</v>
      </c>
      <c r="E1461" t="s">
        <v>30</v>
      </c>
      <c r="F1461" t="s">
        <v>3217</v>
      </c>
      <c r="G1461" t="s">
        <v>31</v>
      </c>
      <c r="H1461" t="str">
        <f>VLOOKUP(Table1[[#This Row],[City]],Table6[#All],2,FALSE)</f>
        <v>South</v>
      </c>
      <c r="I1461" t="s">
        <v>58</v>
      </c>
      <c r="J1461" t="str">
        <f>_xlfn.XLOOKUP(Table1[[#This Row],[Tractor Model]],Table7[Product Model],Table7[Product Category],"Not Available",0)</f>
        <v>Powertrac</v>
      </c>
      <c r="K1461" s="4">
        <v>8</v>
      </c>
      <c r="L1461" s="72">
        <v>570227</v>
      </c>
      <c r="M1461" s="4">
        <f>INDEX('Master Sheet'!$C$4:$C$12,MATCH(Table1[[#This Row],[Quantity]],'Master Sheet'!$B$4:$B$12,0))</f>
        <v>9</v>
      </c>
      <c r="N1461" s="71">
        <f>Table1[[#This Row],[Quantity]]*Table1[[#This Row],[Unit Price]]</f>
        <v>4561816</v>
      </c>
      <c r="O1461" s="73">
        <v>0.45618160000000002</v>
      </c>
      <c r="P1461" s="70">
        <f>Table1[[#This Row],[Gross Amount]]*(1-(Table1[[#This Row],[Discount %]]/100))</f>
        <v>4151252.56</v>
      </c>
      <c r="Q1461" s="74">
        <f>(Table1[[#This Row],[Gross Amount]]*(1-(Table1[[#This Row],[Discount %]]/100)))/10000000</f>
        <v>0.415125256</v>
      </c>
      <c r="R1461" t="s">
        <v>42</v>
      </c>
      <c r="S1461" t="str" cm="1">
        <f t="array" ref="S1461">IFERROR(_xlfn.IFS(Table1[[#This Row],[Payment Status]]="Partial","In Transit",Table1[[#This Row],[Payment Status]]="Paid","Delivered",Table1[[#This Row],[Payment Status]]="Pending","Pending"),"Invalid Input")</f>
        <v>Pending</v>
      </c>
      <c r="T1461" t="s">
        <v>27</v>
      </c>
      <c r="U1461" t="str" cm="1">
        <f t="array" ref="U1461">IFERROR(_xlfn.IFS(Table1[[#This Row],[Payment Status]]="Partial","In Transit",Table1[[#This Row],[Payment Status]]="Paid","Completed",Table1[[#This Row],[Payment Status]]="Pending","Pending"),"Invalid Input")</f>
        <v>Pending</v>
      </c>
    </row>
    <row r="1462" spans="1:21" x14ac:dyDescent="0.25">
      <c r="A1462" s="4" t="s">
        <v>2515</v>
      </c>
      <c r="B1462" s="5">
        <v>45598</v>
      </c>
      <c r="C1462" t="s">
        <v>52</v>
      </c>
      <c r="D1462" t="s">
        <v>3270</v>
      </c>
      <c r="E1462" t="s">
        <v>30</v>
      </c>
      <c r="F1462" t="s">
        <v>3223</v>
      </c>
      <c r="G1462" t="s">
        <v>31</v>
      </c>
      <c r="H1462" t="str">
        <f>VLOOKUP(Table1[[#This Row],[City]],Table6[#All],2,FALSE)</f>
        <v>South</v>
      </c>
      <c r="I1462" t="s">
        <v>3204</v>
      </c>
      <c r="J1462" t="str">
        <f>_xlfn.XLOOKUP(Table1[[#This Row],[Tractor Model]],Table7[Product Model],Table7[Product Category],"Not Available",0)</f>
        <v>Kubota</v>
      </c>
      <c r="K1462" s="4">
        <v>1</v>
      </c>
      <c r="L1462" s="72">
        <v>544983</v>
      </c>
      <c r="M1462" s="4">
        <f>INDEX('Master Sheet'!$C$4:$C$12,MATCH(Table1[[#This Row],[Quantity]],'Master Sheet'!$B$4:$B$12,0))</f>
        <v>3</v>
      </c>
      <c r="N1462" s="71">
        <f>Table1[[#This Row],[Quantity]]*Table1[[#This Row],[Unit Price]]</f>
        <v>544983</v>
      </c>
      <c r="O1462" s="73">
        <v>5.44983E-2</v>
      </c>
      <c r="P1462" s="70">
        <f>Table1[[#This Row],[Gross Amount]]*(1-(Table1[[#This Row],[Discount %]]/100))</f>
        <v>528633.51</v>
      </c>
      <c r="Q1462" s="74">
        <f>(Table1[[#This Row],[Gross Amount]]*(1-(Table1[[#This Row],[Discount %]]/100)))/10000000</f>
        <v>5.2863351000000003E-2</v>
      </c>
      <c r="R1462" t="s">
        <v>25</v>
      </c>
      <c r="S1462" t="str" cm="1">
        <f t="array" ref="S1462">IFERROR(_xlfn.IFS(Table1[[#This Row],[Payment Status]]="Partial","In Transit",Table1[[#This Row],[Payment Status]]="Paid","Delivered",Table1[[#This Row],[Payment Status]]="Pending","Pending"),"Invalid Input")</f>
        <v>In Transit</v>
      </c>
      <c r="T1462" t="s">
        <v>27</v>
      </c>
      <c r="U1462" t="str" cm="1">
        <f t="array" ref="U1462">IFERROR(_xlfn.IFS(Table1[[#This Row],[Payment Status]]="Partial","In Transit",Table1[[#This Row],[Payment Status]]="Paid","Completed",Table1[[#This Row],[Payment Status]]="Pending","Pending"),"Invalid Input")</f>
        <v>In Transit</v>
      </c>
    </row>
    <row r="1463" spans="1:21" x14ac:dyDescent="0.25">
      <c r="A1463" s="4" t="s">
        <v>2516</v>
      </c>
      <c r="B1463" s="5">
        <v>45830</v>
      </c>
      <c r="C1463" t="s">
        <v>41</v>
      </c>
      <c r="D1463" t="s">
        <v>3270</v>
      </c>
      <c r="E1463" t="s">
        <v>47</v>
      </c>
      <c r="F1463" t="s">
        <v>3205</v>
      </c>
      <c r="G1463" t="s">
        <v>48</v>
      </c>
      <c r="H1463" t="str">
        <f>VLOOKUP(Table1[[#This Row],[City]],Table6[#All],2,FALSE)</f>
        <v>North</v>
      </c>
      <c r="I1463" t="s">
        <v>58</v>
      </c>
      <c r="J1463" t="str">
        <f>_xlfn.XLOOKUP(Table1[[#This Row],[Tractor Model]],Table7[Product Model],Table7[Product Category],"Not Available",0)</f>
        <v>Powertrac</v>
      </c>
      <c r="K1463" s="4">
        <v>4</v>
      </c>
      <c r="L1463" s="72">
        <v>893220</v>
      </c>
      <c r="M1463" s="4">
        <f>INDEX('Master Sheet'!$C$4:$C$12,MATCH(Table1[[#This Row],[Quantity]],'Master Sheet'!$B$4:$B$12,0))</f>
        <v>6</v>
      </c>
      <c r="N1463" s="71">
        <f>Table1[[#This Row],[Quantity]]*Table1[[#This Row],[Unit Price]]</f>
        <v>3572880</v>
      </c>
      <c r="O1463" s="73">
        <v>0.35728799999999999</v>
      </c>
      <c r="P1463" s="70">
        <f>Table1[[#This Row],[Gross Amount]]*(1-(Table1[[#This Row],[Discount %]]/100))</f>
        <v>3358507.1999999997</v>
      </c>
      <c r="Q1463" s="74">
        <f>(Table1[[#This Row],[Gross Amount]]*(1-(Table1[[#This Row],[Discount %]]/100)))/10000000</f>
        <v>0.33585071999999999</v>
      </c>
      <c r="R1463" t="s">
        <v>42</v>
      </c>
      <c r="S1463" t="str" cm="1">
        <f t="array" ref="S1463">IFERROR(_xlfn.IFS(Table1[[#This Row],[Payment Status]]="Partial","In Transit",Table1[[#This Row],[Payment Status]]="Paid","Delivered",Table1[[#This Row],[Payment Status]]="Pending","Pending"),"Invalid Input")</f>
        <v>Pending</v>
      </c>
      <c r="T1463" t="s">
        <v>27</v>
      </c>
      <c r="U1463" t="str" cm="1">
        <f t="array" ref="U1463">IFERROR(_xlfn.IFS(Table1[[#This Row],[Payment Status]]="Partial","In Transit",Table1[[#This Row],[Payment Status]]="Paid","Completed",Table1[[#This Row],[Payment Status]]="Pending","Pending"),"Invalid Input")</f>
        <v>Pending</v>
      </c>
    </row>
    <row r="1464" spans="1:21" x14ac:dyDescent="0.25">
      <c r="A1464" s="4" t="s">
        <v>2517</v>
      </c>
      <c r="B1464" s="5">
        <v>45585</v>
      </c>
      <c r="C1464" t="s">
        <v>52</v>
      </c>
      <c r="D1464" t="s">
        <v>3269</v>
      </c>
      <c r="E1464" t="s">
        <v>66</v>
      </c>
      <c r="F1464" t="s">
        <v>3213</v>
      </c>
      <c r="G1464" t="s">
        <v>67</v>
      </c>
      <c r="H1464" t="str">
        <f>VLOOKUP(Table1[[#This Row],[City]],Table6[#All],2,FALSE)</f>
        <v>East</v>
      </c>
      <c r="I1464" t="s">
        <v>53</v>
      </c>
      <c r="J1464" t="str">
        <f>_xlfn.XLOOKUP(Table1[[#This Row],[Tractor Model]],Table7[Product Model],Table7[Product Category],"Not Available",0)</f>
        <v>Farmtrac</v>
      </c>
      <c r="K1464" s="4">
        <v>7</v>
      </c>
      <c r="L1464" s="72">
        <v>172807</v>
      </c>
      <c r="M1464" s="4">
        <f>INDEX('Master Sheet'!$C$4:$C$12,MATCH(Table1[[#This Row],[Quantity]],'Master Sheet'!$B$4:$B$12,0))</f>
        <v>9</v>
      </c>
      <c r="N1464" s="71">
        <f>Table1[[#This Row],[Quantity]]*Table1[[#This Row],[Unit Price]]</f>
        <v>1209649</v>
      </c>
      <c r="O1464" s="73">
        <v>0.1209649</v>
      </c>
      <c r="P1464" s="70">
        <f>Table1[[#This Row],[Gross Amount]]*(1-(Table1[[#This Row],[Discount %]]/100))</f>
        <v>1100780.5900000001</v>
      </c>
      <c r="Q1464" s="74">
        <f>(Table1[[#This Row],[Gross Amount]]*(1-(Table1[[#This Row],[Discount %]]/100)))/10000000</f>
        <v>0.11007805900000001</v>
      </c>
      <c r="R1464" t="s">
        <v>54</v>
      </c>
      <c r="S1464" t="str" cm="1">
        <f t="array" ref="S1464">IFERROR(_xlfn.IFS(Table1[[#This Row],[Payment Status]]="Partial","In Transit",Table1[[#This Row],[Payment Status]]="Paid","Delivered",Table1[[#This Row],[Payment Status]]="Pending","Pending"),"Invalid Input")</f>
        <v>Delivered</v>
      </c>
      <c r="T1464" t="s">
        <v>44</v>
      </c>
      <c r="U1464" t="str" cm="1">
        <f t="array" ref="U1464">IFERROR(_xlfn.IFS(Table1[[#This Row],[Payment Status]]="Partial","In Transit",Table1[[#This Row],[Payment Status]]="Paid","Completed",Table1[[#This Row],[Payment Status]]="Pending","Pending"),"Invalid Input")</f>
        <v>Completed</v>
      </c>
    </row>
    <row r="1465" spans="1:21" x14ac:dyDescent="0.25">
      <c r="A1465" s="4" t="s">
        <v>2519</v>
      </c>
      <c r="B1465" s="5">
        <v>45688</v>
      </c>
      <c r="C1465" t="s">
        <v>62</v>
      </c>
      <c r="D1465" t="s">
        <v>3271</v>
      </c>
      <c r="E1465" t="s">
        <v>38</v>
      </c>
      <c r="F1465" t="s">
        <v>3210</v>
      </c>
      <c r="G1465" t="s">
        <v>39</v>
      </c>
      <c r="H1465" t="str">
        <f>VLOOKUP(Table1[[#This Row],[City]],Table6[#All],2,FALSE)</f>
        <v>West</v>
      </c>
      <c r="I1465" t="s">
        <v>24</v>
      </c>
      <c r="J1465" t="str">
        <f>_xlfn.XLOOKUP(Table1[[#This Row],[Tractor Model]],Table7[Product Model],Table7[Product Category],"Not Available",0)</f>
        <v>Farmtrac</v>
      </c>
      <c r="K1465" s="4">
        <v>1</v>
      </c>
      <c r="L1465" s="72">
        <v>184626</v>
      </c>
      <c r="M1465" s="4">
        <f>INDEX('Master Sheet'!$C$4:$C$12,MATCH(Table1[[#This Row],[Quantity]],'Master Sheet'!$B$4:$B$12,0))</f>
        <v>3</v>
      </c>
      <c r="N1465" s="71">
        <f>Table1[[#This Row],[Quantity]]*Table1[[#This Row],[Unit Price]]</f>
        <v>184626</v>
      </c>
      <c r="O1465" s="73">
        <v>1.8462599999999999E-2</v>
      </c>
      <c r="P1465" s="70">
        <f>Table1[[#This Row],[Gross Amount]]*(1-(Table1[[#This Row],[Discount %]]/100))</f>
        <v>179087.22</v>
      </c>
      <c r="Q1465" s="74">
        <f>(Table1[[#This Row],[Gross Amount]]*(1-(Table1[[#This Row],[Discount %]]/100)))/10000000</f>
        <v>1.7908721999999998E-2</v>
      </c>
      <c r="R1465" t="s">
        <v>42</v>
      </c>
      <c r="S1465" t="str" cm="1">
        <f t="array" ref="S1465">IFERROR(_xlfn.IFS(Table1[[#This Row],[Payment Status]]="Partial","In Transit",Table1[[#This Row],[Payment Status]]="Paid","Delivered",Table1[[#This Row],[Payment Status]]="Pending","Pending"),"Invalid Input")</f>
        <v>Pending</v>
      </c>
      <c r="T1465" t="s">
        <v>27</v>
      </c>
      <c r="U1465" t="str" cm="1">
        <f t="array" ref="U1465">IFERROR(_xlfn.IFS(Table1[[#This Row],[Payment Status]]="Partial","In Transit",Table1[[#This Row],[Payment Status]]="Paid","Completed",Table1[[#This Row],[Payment Status]]="Pending","Pending"),"Invalid Input")</f>
        <v>Pending</v>
      </c>
    </row>
    <row r="1466" spans="1:21" x14ac:dyDescent="0.25">
      <c r="A1466" s="4" t="s">
        <v>2521</v>
      </c>
      <c r="B1466" s="5">
        <v>45545</v>
      </c>
      <c r="C1466" t="s">
        <v>41</v>
      </c>
      <c r="D1466" t="s">
        <v>3271</v>
      </c>
      <c r="E1466" t="s">
        <v>38</v>
      </c>
      <c r="F1466" t="s">
        <v>3210</v>
      </c>
      <c r="G1466" t="s">
        <v>39</v>
      </c>
      <c r="H1466" t="str">
        <f>VLOOKUP(Table1[[#This Row],[City]],Table6[#All],2,FALSE)</f>
        <v>West</v>
      </c>
      <c r="I1466" t="s">
        <v>3203</v>
      </c>
      <c r="J1466" t="str">
        <f>_xlfn.XLOOKUP(Table1[[#This Row],[Tractor Model]],Table7[Product Model],Table7[Product Category],"Not Available",0)</f>
        <v>Kubota</v>
      </c>
      <c r="K1466" s="4">
        <v>1</v>
      </c>
      <c r="L1466" s="72">
        <v>334139</v>
      </c>
      <c r="M1466" s="4">
        <f>INDEX('Master Sheet'!$C$4:$C$12,MATCH(Table1[[#This Row],[Quantity]],'Master Sheet'!$B$4:$B$12,0))</f>
        <v>3</v>
      </c>
      <c r="N1466" s="71">
        <f>Table1[[#This Row],[Quantity]]*Table1[[#This Row],[Unit Price]]</f>
        <v>334139</v>
      </c>
      <c r="O1466" s="73">
        <v>3.3413900000000003E-2</v>
      </c>
      <c r="P1466" s="70">
        <f>Table1[[#This Row],[Gross Amount]]*(1-(Table1[[#This Row],[Discount %]]/100))</f>
        <v>324114.83</v>
      </c>
      <c r="Q1466" s="74">
        <f>(Table1[[#This Row],[Gross Amount]]*(1-(Table1[[#This Row],[Discount %]]/100)))/10000000</f>
        <v>3.2411483000000005E-2</v>
      </c>
      <c r="R1466" t="s">
        <v>25</v>
      </c>
      <c r="S1466" t="str" cm="1">
        <f t="array" ref="S1466">IFERROR(_xlfn.IFS(Table1[[#This Row],[Payment Status]]="Partial","In Transit",Table1[[#This Row],[Payment Status]]="Paid","Delivered",Table1[[#This Row],[Payment Status]]="Pending","Pending"),"Invalid Input")</f>
        <v>In Transit</v>
      </c>
      <c r="T1466" t="s">
        <v>27</v>
      </c>
      <c r="U1466" t="str" cm="1">
        <f t="array" ref="U1466">IFERROR(_xlfn.IFS(Table1[[#This Row],[Payment Status]]="Partial","In Transit",Table1[[#This Row],[Payment Status]]="Paid","Completed",Table1[[#This Row],[Payment Status]]="Pending","Pending"),"Invalid Input")</f>
        <v>In Transit</v>
      </c>
    </row>
    <row r="1467" spans="1:21" x14ac:dyDescent="0.25">
      <c r="A1467" s="4" t="s">
        <v>2522</v>
      </c>
      <c r="B1467" s="5">
        <v>45507</v>
      </c>
      <c r="C1467" t="s">
        <v>52</v>
      </c>
      <c r="D1467" t="s">
        <v>3269</v>
      </c>
      <c r="E1467" t="s">
        <v>47</v>
      </c>
      <c r="F1467" t="s">
        <v>3209</v>
      </c>
      <c r="G1467" t="s">
        <v>48</v>
      </c>
      <c r="H1467" t="str">
        <f>VLOOKUP(Table1[[#This Row],[City]],Table6[#All],2,FALSE)</f>
        <v>North</v>
      </c>
      <c r="I1467" t="s">
        <v>3203</v>
      </c>
      <c r="J1467" t="str">
        <f>_xlfn.XLOOKUP(Table1[[#This Row],[Tractor Model]],Table7[Product Model],Table7[Product Category],"Not Available",0)</f>
        <v>Kubota</v>
      </c>
      <c r="K1467" s="4">
        <v>5</v>
      </c>
      <c r="L1467" s="72">
        <v>722418</v>
      </c>
      <c r="M1467" s="4">
        <f>INDEX('Master Sheet'!$C$4:$C$12,MATCH(Table1[[#This Row],[Quantity]],'Master Sheet'!$B$4:$B$12,0))</f>
        <v>7</v>
      </c>
      <c r="N1467" s="71">
        <f>Table1[[#This Row],[Quantity]]*Table1[[#This Row],[Unit Price]]</f>
        <v>3612090</v>
      </c>
      <c r="O1467" s="73">
        <v>0.361209</v>
      </c>
      <c r="P1467" s="70">
        <f>Table1[[#This Row],[Gross Amount]]*(1-(Table1[[#This Row],[Discount %]]/100))</f>
        <v>3359243.6999999997</v>
      </c>
      <c r="Q1467" s="74">
        <f>(Table1[[#This Row],[Gross Amount]]*(1-(Table1[[#This Row],[Discount %]]/100)))/10000000</f>
        <v>0.33592436999999997</v>
      </c>
      <c r="R1467" t="s">
        <v>54</v>
      </c>
      <c r="S1467" t="str" cm="1">
        <f t="array" ref="S1467">IFERROR(_xlfn.IFS(Table1[[#This Row],[Payment Status]]="Partial","In Transit",Table1[[#This Row],[Payment Status]]="Paid","Delivered",Table1[[#This Row],[Payment Status]]="Pending","Pending"),"Invalid Input")</f>
        <v>Delivered</v>
      </c>
      <c r="T1467" t="s">
        <v>44</v>
      </c>
      <c r="U1467" t="str" cm="1">
        <f t="array" ref="U1467">IFERROR(_xlfn.IFS(Table1[[#This Row],[Payment Status]]="Partial","In Transit",Table1[[#This Row],[Payment Status]]="Paid","Completed",Table1[[#This Row],[Payment Status]]="Pending","Pending"),"Invalid Input")</f>
        <v>Completed</v>
      </c>
    </row>
    <row r="1468" spans="1:21" x14ac:dyDescent="0.25">
      <c r="A1468" s="4" t="s">
        <v>2524</v>
      </c>
      <c r="B1468" s="5">
        <v>45395</v>
      </c>
      <c r="C1468" t="s">
        <v>73</v>
      </c>
      <c r="D1468" t="s">
        <v>3270</v>
      </c>
      <c r="E1468" t="s">
        <v>119</v>
      </c>
      <c r="F1468" t="s">
        <v>3212</v>
      </c>
      <c r="G1468" t="s">
        <v>21</v>
      </c>
      <c r="H1468" t="str">
        <f>VLOOKUP(Table1[[#This Row],[City]],Table6[#All],2,FALSE)</f>
        <v>North</v>
      </c>
      <c r="I1468" t="s">
        <v>24</v>
      </c>
      <c r="J1468" t="str">
        <f>_xlfn.XLOOKUP(Table1[[#This Row],[Tractor Model]],Table7[Product Model],Table7[Product Category],"Not Available",0)</f>
        <v>Farmtrac</v>
      </c>
      <c r="K1468" s="4">
        <v>5</v>
      </c>
      <c r="L1468" s="72">
        <v>398000</v>
      </c>
      <c r="M1468" s="4">
        <f>INDEX('Master Sheet'!$C$4:$C$12,MATCH(Table1[[#This Row],[Quantity]],'Master Sheet'!$B$4:$B$12,0))</f>
        <v>7</v>
      </c>
      <c r="N1468" s="71">
        <f>Table1[[#This Row],[Quantity]]*Table1[[#This Row],[Unit Price]]</f>
        <v>1990000</v>
      </c>
      <c r="O1468" s="73">
        <v>0.19900000000000001</v>
      </c>
      <c r="P1468" s="70">
        <f>Table1[[#This Row],[Gross Amount]]*(1-(Table1[[#This Row],[Discount %]]/100))</f>
        <v>1850699.9999999998</v>
      </c>
      <c r="Q1468" s="74">
        <f>(Table1[[#This Row],[Gross Amount]]*(1-(Table1[[#This Row],[Discount %]]/100)))/10000000</f>
        <v>0.18506999999999998</v>
      </c>
      <c r="R1468" t="s">
        <v>25</v>
      </c>
      <c r="S1468" t="str" cm="1">
        <f t="array" ref="S1468">IFERROR(_xlfn.IFS(Table1[[#This Row],[Payment Status]]="Partial","In Transit",Table1[[#This Row],[Payment Status]]="Paid","Delivered",Table1[[#This Row],[Payment Status]]="Pending","Pending"),"Invalid Input")</f>
        <v>In Transit</v>
      </c>
      <c r="T1468" t="s">
        <v>27</v>
      </c>
      <c r="U1468" t="str" cm="1">
        <f t="array" ref="U1468">IFERROR(_xlfn.IFS(Table1[[#This Row],[Payment Status]]="Partial","In Transit",Table1[[#This Row],[Payment Status]]="Paid","Completed",Table1[[#This Row],[Payment Status]]="Pending","Pending"),"Invalid Input")</f>
        <v>In Transit</v>
      </c>
    </row>
    <row r="1469" spans="1:21" x14ac:dyDescent="0.25">
      <c r="A1469" s="4" t="s">
        <v>2525</v>
      </c>
      <c r="B1469" s="5">
        <v>45554</v>
      </c>
      <c r="C1469" t="s">
        <v>73</v>
      </c>
      <c r="D1469" t="s">
        <v>3271</v>
      </c>
      <c r="E1469" t="s">
        <v>66</v>
      </c>
      <c r="F1469" t="s">
        <v>3207</v>
      </c>
      <c r="G1469" t="s">
        <v>67</v>
      </c>
      <c r="H1469" t="str">
        <f>VLOOKUP(Table1[[#This Row],[City]],Table6[#All],2,FALSE)</f>
        <v>East</v>
      </c>
      <c r="I1469" t="s">
        <v>3204</v>
      </c>
      <c r="J1469" t="str">
        <f>_xlfn.XLOOKUP(Table1[[#This Row],[Tractor Model]],Table7[Product Model],Table7[Product Category],"Not Available",0)</f>
        <v>Kubota</v>
      </c>
      <c r="K1469" s="4">
        <v>2</v>
      </c>
      <c r="L1469" s="72">
        <v>259444</v>
      </c>
      <c r="M1469" s="4">
        <f>INDEX('Master Sheet'!$C$4:$C$12,MATCH(Table1[[#This Row],[Quantity]],'Master Sheet'!$B$4:$B$12,0))</f>
        <v>5</v>
      </c>
      <c r="N1469" s="71">
        <f>Table1[[#This Row],[Quantity]]*Table1[[#This Row],[Unit Price]]</f>
        <v>518888</v>
      </c>
      <c r="O1469" s="73">
        <v>5.1888799999999999E-2</v>
      </c>
      <c r="P1469" s="70">
        <f>Table1[[#This Row],[Gross Amount]]*(1-(Table1[[#This Row],[Discount %]]/100))</f>
        <v>492943.6</v>
      </c>
      <c r="Q1469" s="74">
        <f>(Table1[[#This Row],[Gross Amount]]*(1-(Table1[[#This Row],[Discount %]]/100)))/10000000</f>
        <v>4.9294359999999995E-2</v>
      </c>
      <c r="R1469" t="s">
        <v>54</v>
      </c>
      <c r="S1469" t="str" cm="1">
        <f t="array" ref="S1469">IFERROR(_xlfn.IFS(Table1[[#This Row],[Payment Status]]="Partial","In Transit",Table1[[#This Row],[Payment Status]]="Paid","Delivered",Table1[[#This Row],[Payment Status]]="Pending","Pending"),"Invalid Input")</f>
        <v>Delivered</v>
      </c>
      <c r="T1469" t="s">
        <v>27</v>
      </c>
      <c r="U1469" t="str" cm="1">
        <f t="array" ref="U1469">IFERROR(_xlfn.IFS(Table1[[#This Row],[Payment Status]]="Partial","In Transit",Table1[[#This Row],[Payment Status]]="Paid","Completed",Table1[[#This Row],[Payment Status]]="Pending","Pending"),"Invalid Input")</f>
        <v>Completed</v>
      </c>
    </row>
    <row r="1470" spans="1:21" x14ac:dyDescent="0.25">
      <c r="A1470" s="4" t="s">
        <v>2526</v>
      </c>
      <c r="B1470" s="5">
        <v>45690</v>
      </c>
      <c r="C1470" t="s">
        <v>62</v>
      </c>
      <c r="D1470" t="s">
        <v>37</v>
      </c>
      <c r="E1470" t="s">
        <v>119</v>
      </c>
      <c r="F1470" t="s">
        <v>3224</v>
      </c>
      <c r="G1470" t="s">
        <v>21</v>
      </c>
      <c r="H1470" t="str">
        <f>VLOOKUP(Table1[[#This Row],[City]],Table6[#All],2,FALSE)</f>
        <v>North</v>
      </c>
      <c r="I1470" t="s">
        <v>24</v>
      </c>
      <c r="J1470" t="str">
        <f>_xlfn.XLOOKUP(Table1[[#This Row],[Tractor Model]],Table7[Product Model],Table7[Product Category],"Not Available",0)</f>
        <v>Farmtrac</v>
      </c>
      <c r="K1470" s="4">
        <v>7</v>
      </c>
      <c r="L1470" s="72">
        <v>363939</v>
      </c>
      <c r="M1470" s="4">
        <f>INDEX('Master Sheet'!$C$4:$C$12,MATCH(Table1[[#This Row],[Quantity]],'Master Sheet'!$B$4:$B$12,0))</f>
        <v>9</v>
      </c>
      <c r="N1470" s="71">
        <f>Table1[[#This Row],[Quantity]]*Table1[[#This Row],[Unit Price]]</f>
        <v>2547573</v>
      </c>
      <c r="O1470" s="73">
        <v>0.25475730000000002</v>
      </c>
      <c r="P1470" s="70">
        <f>Table1[[#This Row],[Gross Amount]]*(1-(Table1[[#This Row],[Discount %]]/100))</f>
        <v>2318291.4300000002</v>
      </c>
      <c r="Q1470" s="74">
        <f>(Table1[[#This Row],[Gross Amount]]*(1-(Table1[[#This Row],[Discount %]]/100)))/10000000</f>
        <v>0.23182914300000002</v>
      </c>
      <c r="R1470" t="s">
        <v>54</v>
      </c>
      <c r="S1470" t="str" cm="1">
        <f t="array" ref="S1470">IFERROR(_xlfn.IFS(Table1[[#This Row],[Payment Status]]="Partial","In Transit",Table1[[#This Row],[Payment Status]]="Paid","Delivered",Table1[[#This Row],[Payment Status]]="Pending","Pending"),"Invalid Input")</f>
        <v>Delivered</v>
      </c>
      <c r="T1470" t="s">
        <v>44</v>
      </c>
      <c r="U1470" t="str" cm="1">
        <f t="array" ref="U1470">IFERROR(_xlfn.IFS(Table1[[#This Row],[Payment Status]]="Partial","In Transit",Table1[[#This Row],[Payment Status]]="Paid","Completed",Table1[[#This Row],[Payment Status]]="Pending","Pending"),"Invalid Input")</f>
        <v>Completed</v>
      </c>
    </row>
    <row r="1471" spans="1:21" x14ac:dyDescent="0.25">
      <c r="A1471" s="4" t="s">
        <v>2527</v>
      </c>
      <c r="B1471" s="5">
        <v>45353</v>
      </c>
      <c r="C1471" t="s">
        <v>33</v>
      </c>
      <c r="D1471" t="s">
        <v>3269</v>
      </c>
      <c r="E1471" t="s">
        <v>66</v>
      </c>
      <c r="F1471" t="s">
        <v>3213</v>
      </c>
      <c r="G1471" t="s">
        <v>67</v>
      </c>
      <c r="H1471" t="str">
        <f>VLOOKUP(Table1[[#This Row],[City]],Table6[#All],2,FALSE)</f>
        <v>East</v>
      </c>
      <c r="I1471" t="s">
        <v>3203</v>
      </c>
      <c r="J1471" t="str">
        <f>_xlfn.XLOOKUP(Table1[[#This Row],[Tractor Model]],Table7[Product Model],Table7[Product Category],"Not Available",0)</f>
        <v>Kubota</v>
      </c>
      <c r="K1471" s="4">
        <v>3</v>
      </c>
      <c r="L1471" s="72">
        <v>531214</v>
      </c>
      <c r="M1471" s="4">
        <f>INDEX('Master Sheet'!$C$4:$C$12,MATCH(Table1[[#This Row],[Quantity]],'Master Sheet'!$B$4:$B$12,0))</f>
        <v>6</v>
      </c>
      <c r="N1471" s="71">
        <f>Table1[[#This Row],[Quantity]]*Table1[[#This Row],[Unit Price]]</f>
        <v>1593642</v>
      </c>
      <c r="O1471" s="73">
        <v>0.15936420000000001</v>
      </c>
      <c r="P1471" s="70">
        <f>Table1[[#This Row],[Gross Amount]]*(1-(Table1[[#This Row],[Discount %]]/100))</f>
        <v>1498023.48</v>
      </c>
      <c r="Q1471" s="74">
        <f>(Table1[[#This Row],[Gross Amount]]*(1-(Table1[[#This Row],[Discount %]]/100)))/10000000</f>
        <v>0.149802348</v>
      </c>
      <c r="R1471" t="s">
        <v>42</v>
      </c>
      <c r="S1471" t="str" cm="1">
        <f t="array" ref="S1471">IFERROR(_xlfn.IFS(Table1[[#This Row],[Payment Status]]="Partial","In Transit",Table1[[#This Row],[Payment Status]]="Paid","Delivered",Table1[[#This Row],[Payment Status]]="Pending","Pending"),"Invalid Input")</f>
        <v>Pending</v>
      </c>
      <c r="T1471" t="s">
        <v>27</v>
      </c>
      <c r="U1471" t="str" cm="1">
        <f t="array" ref="U1471">IFERROR(_xlfn.IFS(Table1[[#This Row],[Payment Status]]="Partial","In Transit",Table1[[#This Row],[Payment Status]]="Paid","Completed",Table1[[#This Row],[Payment Status]]="Pending","Pending"),"Invalid Input")</f>
        <v>Pending</v>
      </c>
    </row>
    <row r="1472" spans="1:21" x14ac:dyDescent="0.25">
      <c r="A1472" s="4" t="s">
        <v>2529</v>
      </c>
      <c r="B1472" s="5">
        <v>45467</v>
      </c>
      <c r="C1472" t="s">
        <v>33</v>
      </c>
      <c r="D1472" t="s">
        <v>37</v>
      </c>
      <c r="E1472" t="s">
        <v>38</v>
      </c>
      <c r="F1472" t="s">
        <v>3214</v>
      </c>
      <c r="G1472" t="s">
        <v>39</v>
      </c>
      <c r="H1472" t="str">
        <f>VLOOKUP(Table1[[#This Row],[City]],Table6[#All],2,FALSE)</f>
        <v>West</v>
      </c>
      <c r="I1472" t="s">
        <v>3203</v>
      </c>
      <c r="J1472" t="str">
        <f>_xlfn.XLOOKUP(Table1[[#This Row],[Tractor Model]],Table7[Product Model],Table7[Product Category],"Not Available",0)</f>
        <v>Kubota</v>
      </c>
      <c r="K1472" s="4">
        <v>5</v>
      </c>
      <c r="L1472" s="72">
        <v>861749</v>
      </c>
      <c r="M1472" s="4">
        <f>INDEX('Master Sheet'!$C$4:$C$12,MATCH(Table1[[#This Row],[Quantity]],'Master Sheet'!$B$4:$B$12,0))</f>
        <v>7</v>
      </c>
      <c r="N1472" s="71">
        <f>Table1[[#This Row],[Quantity]]*Table1[[#This Row],[Unit Price]]</f>
        <v>4308745</v>
      </c>
      <c r="O1472" s="73">
        <v>0.43087449999999999</v>
      </c>
      <c r="P1472" s="70">
        <f>Table1[[#This Row],[Gross Amount]]*(1-(Table1[[#This Row],[Discount %]]/100))</f>
        <v>4007132.8499999996</v>
      </c>
      <c r="Q1472" s="74">
        <f>(Table1[[#This Row],[Gross Amount]]*(1-(Table1[[#This Row],[Discount %]]/100)))/10000000</f>
        <v>0.40071328499999997</v>
      </c>
      <c r="R1472" t="s">
        <v>42</v>
      </c>
      <c r="S1472" t="str" cm="1">
        <f t="array" ref="S1472">IFERROR(_xlfn.IFS(Table1[[#This Row],[Payment Status]]="Partial","In Transit",Table1[[#This Row],[Payment Status]]="Paid","Delivered",Table1[[#This Row],[Payment Status]]="Pending","Pending"),"Invalid Input")</f>
        <v>Pending</v>
      </c>
      <c r="T1472" t="s">
        <v>44</v>
      </c>
      <c r="U1472" t="str" cm="1">
        <f t="array" ref="U1472">IFERROR(_xlfn.IFS(Table1[[#This Row],[Payment Status]]="Partial","In Transit",Table1[[#This Row],[Payment Status]]="Paid","Completed",Table1[[#This Row],[Payment Status]]="Pending","Pending"),"Invalid Input")</f>
        <v>Pending</v>
      </c>
    </row>
    <row r="1473" spans="1:21" x14ac:dyDescent="0.25">
      <c r="A1473" s="4" t="s">
        <v>2530</v>
      </c>
      <c r="B1473" s="5">
        <v>45812</v>
      </c>
      <c r="C1473" t="s">
        <v>41</v>
      </c>
      <c r="D1473" t="s">
        <v>3268</v>
      </c>
      <c r="E1473" t="s">
        <v>119</v>
      </c>
      <c r="F1473" t="s">
        <v>3227</v>
      </c>
      <c r="G1473" t="s">
        <v>21</v>
      </c>
      <c r="H1473" t="str">
        <f>VLOOKUP(Table1[[#This Row],[City]],Table6[#All],2,FALSE)</f>
        <v>North</v>
      </c>
      <c r="I1473" t="s">
        <v>53</v>
      </c>
      <c r="J1473" t="str">
        <f>_xlfn.XLOOKUP(Table1[[#This Row],[Tractor Model]],Table7[Product Model],Table7[Product Category],"Not Available",0)</f>
        <v>Farmtrac</v>
      </c>
      <c r="K1473" s="4">
        <v>3</v>
      </c>
      <c r="L1473" s="72">
        <v>494468</v>
      </c>
      <c r="M1473" s="4">
        <f>INDEX('Master Sheet'!$C$4:$C$12,MATCH(Table1[[#This Row],[Quantity]],'Master Sheet'!$B$4:$B$12,0))</f>
        <v>6</v>
      </c>
      <c r="N1473" s="71">
        <f>Table1[[#This Row],[Quantity]]*Table1[[#This Row],[Unit Price]]</f>
        <v>1483404</v>
      </c>
      <c r="O1473" s="73">
        <v>0.14834040000000001</v>
      </c>
      <c r="P1473" s="70">
        <f>Table1[[#This Row],[Gross Amount]]*(1-(Table1[[#This Row],[Discount %]]/100))</f>
        <v>1394399.76</v>
      </c>
      <c r="Q1473" s="74">
        <f>(Table1[[#This Row],[Gross Amount]]*(1-(Table1[[#This Row],[Discount %]]/100)))/10000000</f>
        <v>0.13943997599999999</v>
      </c>
      <c r="R1473" t="s">
        <v>25</v>
      </c>
      <c r="S1473" t="str" cm="1">
        <f t="array" ref="S1473">IFERROR(_xlfn.IFS(Table1[[#This Row],[Payment Status]]="Partial","In Transit",Table1[[#This Row],[Payment Status]]="Paid","Delivered",Table1[[#This Row],[Payment Status]]="Pending","Pending"),"Invalid Input")</f>
        <v>In Transit</v>
      </c>
      <c r="T1473" t="s">
        <v>27</v>
      </c>
      <c r="U1473" t="str" cm="1">
        <f t="array" ref="U1473">IFERROR(_xlfn.IFS(Table1[[#This Row],[Payment Status]]="Partial","In Transit",Table1[[#This Row],[Payment Status]]="Paid","Completed",Table1[[#This Row],[Payment Status]]="Pending","Pending"),"Invalid Input")</f>
        <v>In Transit</v>
      </c>
    </row>
    <row r="1474" spans="1:21" x14ac:dyDescent="0.25">
      <c r="A1474" s="4" t="s">
        <v>2531</v>
      </c>
      <c r="B1474" s="5">
        <v>45558</v>
      </c>
      <c r="C1474" t="s">
        <v>73</v>
      </c>
      <c r="D1474" t="s">
        <v>37</v>
      </c>
      <c r="E1474" t="s">
        <v>38</v>
      </c>
      <c r="F1474" t="s">
        <v>3214</v>
      </c>
      <c r="G1474" t="s">
        <v>39</v>
      </c>
      <c r="H1474" t="str">
        <f>VLOOKUP(Table1[[#This Row],[City]],Table6[#All],2,FALSE)</f>
        <v>West</v>
      </c>
      <c r="I1474" t="s">
        <v>53</v>
      </c>
      <c r="J1474" t="str">
        <f>_xlfn.XLOOKUP(Table1[[#This Row],[Tractor Model]],Table7[Product Model],Table7[Product Category],"Not Available",0)</f>
        <v>Farmtrac</v>
      </c>
      <c r="K1474" s="4">
        <v>3</v>
      </c>
      <c r="L1474" s="72">
        <v>309703</v>
      </c>
      <c r="M1474" s="4">
        <f>INDEX('Master Sheet'!$C$4:$C$12,MATCH(Table1[[#This Row],[Quantity]],'Master Sheet'!$B$4:$B$12,0))</f>
        <v>6</v>
      </c>
      <c r="N1474" s="71">
        <f>Table1[[#This Row],[Quantity]]*Table1[[#This Row],[Unit Price]]</f>
        <v>929109</v>
      </c>
      <c r="O1474" s="73">
        <v>9.2910900000000005E-2</v>
      </c>
      <c r="P1474" s="70">
        <f>Table1[[#This Row],[Gross Amount]]*(1-(Table1[[#This Row],[Discount %]]/100))</f>
        <v>873362.46</v>
      </c>
      <c r="Q1474" s="74">
        <f>(Table1[[#This Row],[Gross Amount]]*(1-(Table1[[#This Row],[Discount %]]/100)))/10000000</f>
        <v>8.7336245999999992E-2</v>
      </c>
      <c r="R1474" t="s">
        <v>42</v>
      </c>
      <c r="S1474" t="str" cm="1">
        <f t="array" ref="S1474">IFERROR(_xlfn.IFS(Table1[[#This Row],[Payment Status]]="Partial","In Transit",Table1[[#This Row],[Payment Status]]="Paid","Delivered",Table1[[#This Row],[Payment Status]]="Pending","Pending"),"Invalid Input")</f>
        <v>Pending</v>
      </c>
      <c r="T1474" t="s">
        <v>27</v>
      </c>
      <c r="U1474" t="str" cm="1">
        <f t="array" ref="U1474">IFERROR(_xlfn.IFS(Table1[[#This Row],[Payment Status]]="Partial","In Transit",Table1[[#This Row],[Payment Status]]="Paid","Completed",Table1[[#This Row],[Payment Status]]="Pending","Pending"),"Invalid Input")</f>
        <v>Pending</v>
      </c>
    </row>
    <row r="1475" spans="1:21" x14ac:dyDescent="0.25">
      <c r="A1475" s="4" t="s">
        <v>2533</v>
      </c>
      <c r="B1475" s="5">
        <v>45673</v>
      </c>
      <c r="C1475" t="s">
        <v>52</v>
      </c>
      <c r="D1475" t="s">
        <v>37</v>
      </c>
      <c r="E1475" t="s">
        <v>47</v>
      </c>
      <c r="F1475" t="s">
        <v>3215</v>
      </c>
      <c r="G1475" t="s">
        <v>48</v>
      </c>
      <c r="H1475" t="str">
        <f>VLOOKUP(Table1[[#This Row],[City]],Table6[#All],2,FALSE)</f>
        <v>North</v>
      </c>
      <c r="I1475" t="s">
        <v>3203</v>
      </c>
      <c r="J1475" t="str">
        <f>_xlfn.XLOOKUP(Table1[[#This Row],[Tractor Model]],Table7[Product Model],Table7[Product Category],"Not Available",0)</f>
        <v>Kubota</v>
      </c>
      <c r="K1475" s="4">
        <v>3</v>
      </c>
      <c r="L1475" s="72">
        <v>53622</v>
      </c>
      <c r="M1475" s="4">
        <f>INDEX('Master Sheet'!$C$4:$C$12,MATCH(Table1[[#This Row],[Quantity]],'Master Sheet'!$B$4:$B$12,0))</f>
        <v>6</v>
      </c>
      <c r="N1475" s="71">
        <f>Table1[[#This Row],[Quantity]]*Table1[[#This Row],[Unit Price]]</f>
        <v>160866</v>
      </c>
      <c r="O1475" s="73">
        <v>1.60866E-2</v>
      </c>
      <c r="P1475" s="70">
        <f>Table1[[#This Row],[Gross Amount]]*(1-(Table1[[#This Row],[Discount %]]/100))</f>
        <v>151214.03999999998</v>
      </c>
      <c r="Q1475" s="74">
        <f>(Table1[[#This Row],[Gross Amount]]*(1-(Table1[[#This Row],[Discount %]]/100)))/10000000</f>
        <v>1.5121403999999998E-2</v>
      </c>
      <c r="R1475" t="s">
        <v>42</v>
      </c>
      <c r="S1475" t="str" cm="1">
        <f t="array" ref="S1475">IFERROR(_xlfn.IFS(Table1[[#This Row],[Payment Status]]="Partial","In Transit",Table1[[#This Row],[Payment Status]]="Paid","Delivered",Table1[[#This Row],[Payment Status]]="Pending","Pending"),"Invalid Input")</f>
        <v>Pending</v>
      </c>
      <c r="T1475" t="s">
        <v>27</v>
      </c>
      <c r="U1475" t="str" cm="1">
        <f t="array" ref="U1475">IFERROR(_xlfn.IFS(Table1[[#This Row],[Payment Status]]="Partial","In Transit",Table1[[#This Row],[Payment Status]]="Paid","Completed",Table1[[#This Row],[Payment Status]]="Pending","Pending"),"Invalid Input")</f>
        <v>Pending</v>
      </c>
    </row>
    <row r="1476" spans="1:21" x14ac:dyDescent="0.25">
      <c r="A1476" s="4" t="s">
        <v>2534</v>
      </c>
      <c r="B1476" s="5">
        <v>45310</v>
      </c>
      <c r="C1476" t="s">
        <v>33</v>
      </c>
      <c r="D1476" t="s">
        <v>3269</v>
      </c>
      <c r="E1476" t="s">
        <v>119</v>
      </c>
      <c r="F1476" t="s">
        <v>3229</v>
      </c>
      <c r="G1476" t="s">
        <v>21</v>
      </c>
      <c r="H1476" t="str">
        <f>VLOOKUP(Table1[[#This Row],[City]],Table6[#All],2,FALSE)</f>
        <v>North</v>
      </c>
      <c r="I1476" t="s">
        <v>58</v>
      </c>
      <c r="J1476" t="str">
        <f>_xlfn.XLOOKUP(Table1[[#This Row],[Tractor Model]],Table7[Product Model],Table7[Product Category],"Not Available",0)</f>
        <v>Powertrac</v>
      </c>
      <c r="K1476" s="4">
        <v>8</v>
      </c>
      <c r="L1476" s="72">
        <v>581605</v>
      </c>
      <c r="M1476" s="4">
        <f>INDEX('Master Sheet'!$C$4:$C$12,MATCH(Table1[[#This Row],[Quantity]],'Master Sheet'!$B$4:$B$12,0))</f>
        <v>9</v>
      </c>
      <c r="N1476" s="71">
        <f>Table1[[#This Row],[Quantity]]*Table1[[#This Row],[Unit Price]]</f>
        <v>4652840</v>
      </c>
      <c r="O1476" s="73">
        <v>0.46528399999999998</v>
      </c>
      <c r="P1476" s="70">
        <f>Table1[[#This Row],[Gross Amount]]*(1-(Table1[[#This Row],[Discount %]]/100))</f>
        <v>4234084.4000000004</v>
      </c>
      <c r="Q1476" s="74">
        <f>(Table1[[#This Row],[Gross Amount]]*(1-(Table1[[#This Row],[Discount %]]/100)))/10000000</f>
        <v>0.42340844000000005</v>
      </c>
      <c r="R1476" t="s">
        <v>25</v>
      </c>
      <c r="S1476" t="str" cm="1">
        <f t="array" ref="S1476">IFERROR(_xlfn.IFS(Table1[[#This Row],[Payment Status]]="Partial","In Transit",Table1[[#This Row],[Payment Status]]="Paid","Delivered",Table1[[#This Row],[Payment Status]]="Pending","Pending"),"Invalid Input")</f>
        <v>In Transit</v>
      </c>
      <c r="T1476" t="s">
        <v>27</v>
      </c>
      <c r="U1476" t="str" cm="1">
        <f t="array" ref="U1476">IFERROR(_xlfn.IFS(Table1[[#This Row],[Payment Status]]="Partial","In Transit",Table1[[#This Row],[Payment Status]]="Paid","Completed",Table1[[#This Row],[Payment Status]]="Pending","Pending"),"Invalid Input")</f>
        <v>In Transit</v>
      </c>
    </row>
    <row r="1477" spans="1:21" x14ac:dyDescent="0.25">
      <c r="A1477" s="4" t="s">
        <v>2535</v>
      </c>
      <c r="B1477" s="5">
        <v>45470</v>
      </c>
      <c r="C1477" t="s">
        <v>52</v>
      </c>
      <c r="D1477" t="s">
        <v>3271</v>
      </c>
      <c r="E1477" t="s">
        <v>47</v>
      </c>
      <c r="F1477" t="s">
        <v>3221</v>
      </c>
      <c r="G1477" t="s">
        <v>48</v>
      </c>
      <c r="H1477" t="str">
        <f>VLOOKUP(Table1[[#This Row],[City]],Table6[#All],2,FALSE)</f>
        <v>North</v>
      </c>
      <c r="I1477" t="s">
        <v>3203</v>
      </c>
      <c r="J1477" t="str">
        <f>_xlfn.XLOOKUP(Table1[[#This Row],[Tractor Model]],Table7[Product Model],Table7[Product Category],"Not Available",0)</f>
        <v>Kubota</v>
      </c>
      <c r="K1477" s="4">
        <v>1</v>
      </c>
      <c r="L1477" s="72">
        <v>593973</v>
      </c>
      <c r="M1477" s="4">
        <f>INDEX('Master Sheet'!$C$4:$C$12,MATCH(Table1[[#This Row],[Quantity]],'Master Sheet'!$B$4:$B$12,0))</f>
        <v>3</v>
      </c>
      <c r="N1477" s="71">
        <f>Table1[[#This Row],[Quantity]]*Table1[[#This Row],[Unit Price]]</f>
        <v>593973</v>
      </c>
      <c r="O1477" s="73">
        <v>5.93973E-2</v>
      </c>
      <c r="P1477" s="70">
        <f>Table1[[#This Row],[Gross Amount]]*(1-(Table1[[#This Row],[Discount %]]/100))</f>
        <v>576153.80999999994</v>
      </c>
      <c r="Q1477" s="74">
        <f>(Table1[[#This Row],[Gross Amount]]*(1-(Table1[[#This Row],[Discount %]]/100)))/10000000</f>
        <v>5.7615380999999993E-2</v>
      </c>
      <c r="R1477" t="s">
        <v>54</v>
      </c>
      <c r="S1477" t="str" cm="1">
        <f t="array" ref="S1477">IFERROR(_xlfn.IFS(Table1[[#This Row],[Payment Status]]="Partial","In Transit",Table1[[#This Row],[Payment Status]]="Paid","Delivered",Table1[[#This Row],[Payment Status]]="Pending","Pending"),"Invalid Input")</f>
        <v>Delivered</v>
      </c>
      <c r="T1477" t="s">
        <v>27</v>
      </c>
      <c r="U1477" t="str" cm="1">
        <f t="array" ref="U1477">IFERROR(_xlfn.IFS(Table1[[#This Row],[Payment Status]]="Partial","In Transit",Table1[[#This Row],[Payment Status]]="Paid","Completed",Table1[[#This Row],[Payment Status]]="Pending","Pending"),"Invalid Input")</f>
        <v>Completed</v>
      </c>
    </row>
    <row r="1478" spans="1:21" x14ac:dyDescent="0.25">
      <c r="A1478" s="4" t="s">
        <v>2537</v>
      </c>
      <c r="B1478" s="5">
        <v>45610</v>
      </c>
      <c r="C1478" t="s">
        <v>62</v>
      </c>
      <c r="D1478" t="s">
        <v>3270</v>
      </c>
      <c r="E1478" t="s">
        <v>38</v>
      </c>
      <c r="F1478" t="s">
        <v>3218</v>
      </c>
      <c r="G1478" t="s">
        <v>39</v>
      </c>
      <c r="H1478" t="str">
        <f>VLOOKUP(Table1[[#This Row],[City]],Table6[#All],2,FALSE)</f>
        <v>West</v>
      </c>
      <c r="I1478" t="s">
        <v>53</v>
      </c>
      <c r="J1478" t="str">
        <f>_xlfn.XLOOKUP(Table1[[#This Row],[Tractor Model]],Table7[Product Model],Table7[Product Category],"Not Available",0)</f>
        <v>Farmtrac</v>
      </c>
      <c r="K1478" s="4">
        <v>3</v>
      </c>
      <c r="L1478" s="72">
        <v>304860</v>
      </c>
      <c r="M1478" s="4">
        <f>INDEX('Master Sheet'!$C$4:$C$12,MATCH(Table1[[#This Row],[Quantity]],'Master Sheet'!$B$4:$B$12,0))</f>
        <v>6</v>
      </c>
      <c r="N1478" s="71">
        <f>Table1[[#This Row],[Quantity]]*Table1[[#This Row],[Unit Price]]</f>
        <v>914580</v>
      </c>
      <c r="O1478" s="73">
        <v>9.1457999999999998E-2</v>
      </c>
      <c r="P1478" s="70">
        <f>Table1[[#This Row],[Gross Amount]]*(1-(Table1[[#This Row],[Discount %]]/100))</f>
        <v>859705.2</v>
      </c>
      <c r="Q1478" s="74">
        <f>(Table1[[#This Row],[Gross Amount]]*(1-(Table1[[#This Row],[Discount %]]/100)))/10000000</f>
        <v>8.5970519999999995E-2</v>
      </c>
      <c r="R1478" t="s">
        <v>54</v>
      </c>
      <c r="S1478" t="str" cm="1">
        <f t="array" ref="S1478">IFERROR(_xlfn.IFS(Table1[[#This Row],[Payment Status]]="Partial","In Transit",Table1[[#This Row],[Payment Status]]="Paid","Delivered",Table1[[#This Row],[Payment Status]]="Pending","Pending"),"Invalid Input")</f>
        <v>Delivered</v>
      </c>
      <c r="T1478" t="s">
        <v>27</v>
      </c>
      <c r="U1478" t="str" cm="1">
        <f t="array" ref="U1478">IFERROR(_xlfn.IFS(Table1[[#This Row],[Payment Status]]="Partial","In Transit",Table1[[#This Row],[Payment Status]]="Paid","Completed",Table1[[#This Row],[Payment Status]]="Pending","Pending"),"Invalid Input")</f>
        <v>Completed</v>
      </c>
    </row>
    <row r="1479" spans="1:21" x14ac:dyDescent="0.25">
      <c r="A1479" s="4" t="s">
        <v>2538</v>
      </c>
      <c r="B1479" s="5">
        <v>45410</v>
      </c>
      <c r="C1479" t="s">
        <v>33</v>
      </c>
      <c r="D1479" t="s">
        <v>3269</v>
      </c>
      <c r="E1479" t="s">
        <v>119</v>
      </c>
      <c r="F1479" t="s">
        <v>3229</v>
      </c>
      <c r="G1479" t="s">
        <v>21</v>
      </c>
      <c r="H1479" t="str">
        <f>VLOOKUP(Table1[[#This Row],[City]],Table6[#All],2,FALSE)</f>
        <v>North</v>
      </c>
      <c r="I1479" t="s">
        <v>53</v>
      </c>
      <c r="J1479" t="str">
        <f>_xlfn.XLOOKUP(Table1[[#This Row],[Tractor Model]],Table7[Product Model],Table7[Product Category],"Not Available",0)</f>
        <v>Farmtrac</v>
      </c>
      <c r="K1479" s="4">
        <v>7</v>
      </c>
      <c r="L1479" s="72">
        <v>171436</v>
      </c>
      <c r="M1479" s="4">
        <f>INDEX('Master Sheet'!$C$4:$C$12,MATCH(Table1[[#This Row],[Quantity]],'Master Sheet'!$B$4:$B$12,0))</f>
        <v>9</v>
      </c>
      <c r="N1479" s="71">
        <f>Table1[[#This Row],[Quantity]]*Table1[[#This Row],[Unit Price]]</f>
        <v>1200052</v>
      </c>
      <c r="O1479" s="73">
        <v>0.12000520000000001</v>
      </c>
      <c r="P1479" s="70">
        <f>Table1[[#This Row],[Gross Amount]]*(1-(Table1[[#This Row],[Discount %]]/100))</f>
        <v>1092047.32</v>
      </c>
      <c r="Q1479" s="74">
        <f>(Table1[[#This Row],[Gross Amount]]*(1-(Table1[[#This Row],[Discount %]]/100)))/10000000</f>
        <v>0.10920473200000001</v>
      </c>
      <c r="R1479" t="s">
        <v>25</v>
      </c>
      <c r="S1479" t="str" cm="1">
        <f t="array" ref="S1479">IFERROR(_xlfn.IFS(Table1[[#This Row],[Payment Status]]="Partial","In Transit",Table1[[#This Row],[Payment Status]]="Paid","Delivered",Table1[[#This Row],[Payment Status]]="Pending","Pending"),"Invalid Input")</f>
        <v>In Transit</v>
      </c>
      <c r="T1479" t="s">
        <v>27</v>
      </c>
      <c r="U1479" t="str" cm="1">
        <f t="array" ref="U1479">IFERROR(_xlfn.IFS(Table1[[#This Row],[Payment Status]]="Partial","In Transit",Table1[[#This Row],[Payment Status]]="Paid","Completed",Table1[[#This Row],[Payment Status]]="Pending","Pending"),"Invalid Input")</f>
        <v>In Transit</v>
      </c>
    </row>
    <row r="1480" spans="1:21" x14ac:dyDescent="0.25">
      <c r="A1480" s="4" t="s">
        <v>2539</v>
      </c>
      <c r="B1480" s="5">
        <v>45511</v>
      </c>
      <c r="C1480" t="s">
        <v>33</v>
      </c>
      <c r="D1480" t="s">
        <v>3270</v>
      </c>
      <c r="E1480" t="s">
        <v>38</v>
      </c>
      <c r="F1480" t="s">
        <v>3218</v>
      </c>
      <c r="G1480" t="s">
        <v>39</v>
      </c>
      <c r="H1480" t="str">
        <f>VLOOKUP(Table1[[#This Row],[City]],Table6[#All],2,FALSE)</f>
        <v>West</v>
      </c>
      <c r="I1480" t="s">
        <v>3204</v>
      </c>
      <c r="J1480" t="str">
        <f>_xlfn.XLOOKUP(Table1[[#This Row],[Tractor Model]],Table7[Product Model],Table7[Product Category],"Not Available",0)</f>
        <v>Kubota</v>
      </c>
      <c r="K1480" s="4">
        <v>7</v>
      </c>
      <c r="L1480" s="72">
        <v>668496</v>
      </c>
      <c r="M1480" s="4">
        <f>INDEX('Master Sheet'!$C$4:$C$12,MATCH(Table1[[#This Row],[Quantity]],'Master Sheet'!$B$4:$B$12,0))</f>
        <v>9</v>
      </c>
      <c r="N1480" s="71">
        <f>Table1[[#This Row],[Quantity]]*Table1[[#This Row],[Unit Price]]</f>
        <v>4679472</v>
      </c>
      <c r="O1480" s="73">
        <v>0.46794720000000001</v>
      </c>
      <c r="P1480" s="70">
        <f>Table1[[#This Row],[Gross Amount]]*(1-(Table1[[#This Row],[Discount %]]/100))</f>
        <v>4258319.5200000005</v>
      </c>
      <c r="Q1480" s="74">
        <f>(Table1[[#This Row],[Gross Amount]]*(1-(Table1[[#This Row],[Discount %]]/100)))/10000000</f>
        <v>0.42583195200000007</v>
      </c>
      <c r="R1480" t="s">
        <v>25</v>
      </c>
      <c r="S1480" t="str" cm="1">
        <f t="array" ref="S1480">IFERROR(_xlfn.IFS(Table1[[#This Row],[Payment Status]]="Partial","In Transit",Table1[[#This Row],[Payment Status]]="Paid","Delivered",Table1[[#This Row],[Payment Status]]="Pending","Pending"),"Invalid Input")</f>
        <v>In Transit</v>
      </c>
      <c r="T1480" t="s">
        <v>44</v>
      </c>
      <c r="U1480" t="str" cm="1">
        <f t="array" ref="U1480">IFERROR(_xlfn.IFS(Table1[[#This Row],[Payment Status]]="Partial","In Transit",Table1[[#This Row],[Payment Status]]="Paid","Completed",Table1[[#This Row],[Payment Status]]="Pending","Pending"),"Invalid Input")</f>
        <v>In Transit</v>
      </c>
    </row>
    <row r="1481" spans="1:21" x14ac:dyDescent="0.25">
      <c r="A1481" s="4" t="s">
        <v>2541</v>
      </c>
      <c r="B1481" s="5">
        <v>45488</v>
      </c>
      <c r="C1481" t="s">
        <v>41</v>
      </c>
      <c r="D1481" t="s">
        <v>3268</v>
      </c>
      <c r="E1481" t="s">
        <v>47</v>
      </c>
      <c r="F1481" t="s">
        <v>3216</v>
      </c>
      <c r="G1481" t="s">
        <v>48</v>
      </c>
      <c r="H1481" t="str">
        <f>VLOOKUP(Table1[[#This Row],[City]],Table6[#All],2,FALSE)</f>
        <v>North</v>
      </c>
      <c r="I1481" t="s">
        <v>3203</v>
      </c>
      <c r="J1481" t="str">
        <f>_xlfn.XLOOKUP(Table1[[#This Row],[Tractor Model]],Table7[Product Model],Table7[Product Category],"Not Available",0)</f>
        <v>Kubota</v>
      </c>
      <c r="K1481" s="4">
        <v>7</v>
      </c>
      <c r="L1481" s="72">
        <v>627031</v>
      </c>
      <c r="M1481" s="4">
        <f>INDEX('Master Sheet'!$C$4:$C$12,MATCH(Table1[[#This Row],[Quantity]],'Master Sheet'!$B$4:$B$12,0))</f>
        <v>9</v>
      </c>
      <c r="N1481" s="71">
        <f>Table1[[#This Row],[Quantity]]*Table1[[#This Row],[Unit Price]]</f>
        <v>4389217</v>
      </c>
      <c r="O1481" s="73">
        <v>0.43892170000000003</v>
      </c>
      <c r="P1481" s="70">
        <f>Table1[[#This Row],[Gross Amount]]*(1-(Table1[[#This Row],[Discount %]]/100))</f>
        <v>3994187.47</v>
      </c>
      <c r="Q1481" s="74">
        <f>(Table1[[#This Row],[Gross Amount]]*(1-(Table1[[#This Row],[Discount %]]/100)))/10000000</f>
        <v>0.39941874700000002</v>
      </c>
      <c r="R1481" t="s">
        <v>54</v>
      </c>
      <c r="S1481" t="str" cm="1">
        <f t="array" ref="S1481">IFERROR(_xlfn.IFS(Table1[[#This Row],[Payment Status]]="Partial","In Transit",Table1[[#This Row],[Payment Status]]="Paid","Delivered",Table1[[#This Row],[Payment Status]]="Pending","Pending"),"Invalid Input")</f>
        <v>Delivered</v>
      </c>
      <c r="T1481" t="s">
        <v>27</v>
      </c>
      <c r="U1481" t="str" cm="1">
        <f t="array" ref="U1481">IFERROR(_xlfn.IFS(Table1[[#This Row],[Payment Status]]="Partial","In Transit",Table1[[#This Row],[Payment Status]]="Paid","Completed",Table1[[#This Row],[Payment Status]]="Pending","Pending"),"Invalid Input")</f>
        <v>Completed</v>
      </c>
    </row>
    <row r="1482" spans="1:21" x14ac:dyDescent="0.25">
      <c r="A1482" s="4" t="s">
        <v>2543</v>
      </c>
      <c r="B1482" s="5">
        <v>45611</v>
      </c>
      <c r="C1482" t="s">
        <v>52</v>
      </c>
      <c r="D1482" t="s">
        <v>3271</v>
      </c>
      <c r="E1482" t="s">
        <v>66</v>
      </c>
      <c r="F1482" t="s">
        <v>3207</v>
      </c>
      <c r="G1482" t="s">
        <v>67</v>
      </c>
      <c r="H1482" t="str">
        <f>VLOOKUP(Table1[[#This Row],[City]],Table6[#All],2,FALSE)</f>
        <v>East</v>
      </c>
      <c r="I1482" t="s">
        <v>24</v>
      </c>
      <c r="J1482" t="str">
        <f>_xlfn.XLOOKUP(Table1[[#This Row],[Tractor Model]],Table7[Product Model],Table7[Product Category],"Not Available",0)</f>
        <v>Farmtrac</v>
      </c>
      <c r="K1482" s="4">
        <v>7</v>
      </c>
      <c r="L1482" s="72">
        <v>389352</v>
      </c>
      <c r="M1482" s="4">
        <f>INDEX('Master Sheet'!$C$4:$C$12,MATCH(Table1[[#This Row],[Quantity]],'Master Sheet'!$B$4:$B$12,0))</f>
        <v>9</v>
      </c>
      <c r="N1482" s="71">
        <f>Table1[[#This Row],[Quantity]]*Table1[[#This Row],[Unit Price]]</f>
        <v>2725464</v>
      </c>
      <c r="O1482" s="73">
        <v>0.27254640000000002</v>
      </c>
      <c r="P1482" s="70">
        <f>Table1[[#This Row],[Gross Amount]]*(1-(Table1[[#This Row],[Discount %]]/100))</f>
        <v>2480172.2400000002</v>
      </c>
      <c r="Q1482" s="74">
        <f>(Table1[[#This Row],[Gross Amount]]*(1-(Table1[[#This Row],[Discount %]]/100)))/10000000</f>
        <v>0.24801722400000004</v>
      </c>
      <c r="R1482" t="s">
        <v>54</v>
      </c>
      <c r="S1482" t="str" cm="1">
        <f t="array" ref="S1482">IFERROR(_xlfn.IFS(Table1[[#This Row],[Payment Status]]="Partial","In Transit",Table1[[#This Row],[Payment Status]]="Paid","Delivered",Table1[[#This Row],[Payment Status]]="Pending","Pending"),"Invalid Input")</f>
        <v>Delivered</v>
      </c>
      <c r="T1482" t="s">
        <v>27</v>
      </c>
      <c r="U1482" t="str" cm="1">
        <f t="array" ref="U1482">IFERROR(_xlfn.IFS(Table1[[#This Row],[Payment Status]]="Partial","In Transit",Table1[[#This Row],[Payment Status]]="Paid","Completed",Table1[[#This Row],[Payment Status]]="Pending","Pending"),"Invalid Input")</f>
        <v>Completed</v>
      </c>
    </row>
    <row r="1483" spans="1:21" x14ac:dyDescent="0.25">
      <c r="A1483" s="4" t="s">
        <v>2544</v>
      </c>
      <c r="B1483" s="5">
        <v>45480</v>
      </c>
      <c r="C1483" t="s">
        <v>33</v>
      </c>
      <c r="D1483" t="s">
        <v>37</v>
      </c>
      <c r="E1483" t="s">
        <v>119</v>
      </c>
      <c r="F1483" t="s">
        <v>3224</v>
      </c>
      <c r="G1483" t="s">
        <v>21</v>
      </c>
      <c r="H1483" t="str">
        <f>VLOOKUP(Table1[[#This Row],[City]],Table6[#All],2,FALSE)</f>
        <v>North</v>
      </c>
      <c r="I1483" t="s">
        <v>24</v>
      </c>
      <c r="J1483" t="str">
        <f>_xlfn.XLOOKUP(Table1[[#This Row],[Tractor Model]],Table7[Product Model],Table7[Product Category],"Not Available",0)</f>
        <v>Farmtrac</v>
      </c>
      <c r="K1483" s="4">
        <v>5</v>
      </c>
      <c r="L1483" s="72">
        <v>70768</v>
      </c>
      <c r="M1483" s="4">
        <f>INDEX('Master Sheet'!$C$4:$C$12,MATCH(Table1[[#This Row],[Quantity]],'Master Sheet'!$B$4:$B$12,0))</f>
        <v>7</v>
      </c>
      <c r="N1483" s="71">
        <f>Table1[[#This Row],[Quantity]]*Table1[[#This Row],[Unit Price]]</f>
        <v>353840</v>
      </c>
      <c r="O1483" s="73">
        <v>3.5383999999999999E-2</v>
      </c>
      <c r="P1483" s="70">
        <f>Table1[[#This Row],[Gross Amount]]*(1-(Table1[[#This Row],[Discount %]]/100))</f>
        <v>329071.19999999995</v>
      </c>
      <c r="Q1483" s="74">
        <f>(Table1[[#This Row],[Gross Amount]]*(1-(Table1[[#This Row],[Discount %]]/100)))/10000000</f>
        <v>3.2907119999999998E-2</v>
      </c>
      <c r="R1483" t="s">
        <v>25</v>
      </c>
      <c r="S1483" t="str" cm="1">
        <f t="array" ref="S1483">IFERROR(_xlfn.IFS(Table1[[#This Row],[Payment Status]]="Partial","In Transit",Table1[[#This Row],[Payment Status]]="Paid","Delivered",Table1[[#This Row],[Payment Status]]="Pending","Pending"),"Invalid Input")</f>
        <v>In Transit</v>
      </c>
      <c r="T1483" t="s">
        <v>44</v>
      </c>
      <c r="U1483" t="str" cm="1">
        <f t="array" ref="U1483">IFERROR(_xlfn.IFS(Table1[[#This Row],[Payment Status]]="Partial","In Transit",Table1[[#This Row],[Payment Status]]="Paid","Completed",Table1[[#This Row],[Payment Status]]="Pending","Pending"),"Invalid Input")</f>
        <v>In Transit</v>
      </c>
    </row>
    <row r="1484" spans="1:21" x14ac:dyDescent="0.25">
      <c r="A1484" s="4" t="s">
        <v>2546</v>
      </c>
      <c r="B1484" s="5">
        <v>45393</v>
      </c>
      <c r="C1484" t="s">
        <v>41</v>
      </c>
      <c r="D1484" t="s">
        <v>3271</v>
      </c>
      <c r="E1484" t="s">
        <v>38</v>
      </c>
      <c r="F1484" t="s">
        <v>3210</v>
      </c>
      <c r="G1484" t="s">
        <v>39</v>
      </c>
      <c r="H1484" t="str">
        <f>VLOOKUP(Table1[[#This Row],[City]],Table6[#All],2,FALSE)</f>
        <v>West</v>
      </c>
      <c r="I1484" t="s">
        <v>53</v>
      </c>
      <c r="J1484" t="str">
        <f>_xlfn.XLOOKUP(Table1[[#This Row],[Tractor Model]],Table7[Product Model],Table7[Product Category],"Not Available",0)</f>
        <v>Farmtrac</v>
      </c>
      <c r="K1484" s="4">
        <v>7</v>
      </c>
      <c r="L1484" s="72">
        <v>794113</v>
      </c>
      <c r="M1484" s="4">
        <f>INDEX('Master Sheet'!$C$4:$C$12,MATCH(Table1[[#This Row],[Quantity]],'Master Sheet'!$B$4:$B$12,0))</f>
        <v>9</v>
      </c>
      <c r="N1484" s="71">
        <f>Table1[[#This Row],[Quantity]]*Table1[[#This Row],[Unit Price]]</f>
        <v>5558791</v>
      </c>
      <c r="O1484" s="73">
        <v>0.55587909999999996</v>
      </c>
      <c r="P1484" s="70">
        <f>Table1[[#This Row],[Gross Amount]]*(1-(Table1[[#This Row],[Discount %]]/100))</f>
        <v>5058499.8100000005</v>
      </c>
      <c r="Q1484" s="74">
        <f>(Table1[[#This Row],[Gross Amount]]*(1-(Table1[[#This Row],[Discount %]]/100)))/10000000</f>
        <v>0.505849981</v>
      </c>
      <c r="R1484" t="s">
        <v>42</v>
      </c>
      <c r="S1484" t="str" cm="1">
        <f t="array" ref="S1484">IFERROR(_xlfn.IFS(Table1[[#This Row],[Payment Status]]="Partial","In Transit",Table1[[#This Row],[Payment Status]]="Paid","Delivered",Table1[[#This Row],[Payment Status]]="Pending","Pending"),"Invalid Input")</f>
        <v>Pending</v>
      </c>
      <c r="T1484" t="s">
        <v>44</v>
      </c>
      <c r="U1484" t="str" cm="1">
        <f t="array" ref="U1484">IFERROR(_xlfn.IFS(Table1[[#This Row],[Payment Status]]="Partial","In Transit",Table1[[#This Row],[Payment Status]]="Paid","Completed",Table1[[#This Row],[Payment Status]]="Pending","Pending"),"Invalid Input")</f>
        <v>Pending</v>
      </c>
    </row>
    <row r="1485" spans="1:21" x14ac:dyDescent="0.25">
      <c r="A1485" s="4" t="s">
        <v>2548</v>
      </c>
      <c r="B1485" s="5">
        <v>45345</v>
      </c>
      <c r="C1485" t="s">
        <v>73</v>
      </c>
      <c r="D1485" t="s">
        <v>3271</v>
      </c>
      <c r="E1485" t="s">
        <v>119</v>
      </c>
      <c r="F1485" t="s">
        <v>3228</v>
      </c>
      <c r="G1485" t="s">
        <v>21</v>
      </c>
      <c r="H1485" t="str">
        <f>VLOOKUP(Table1[[#This Row],[City]],Table6[#All],2,FALSE)</f>
        <v>North</v>
      </c>
      <c r="I1485" t="s">
        <v>58</v>
      </c>
      <c r="J1485" t="str">
        <f>_xlfn.XLOOKUP(Table1[[#This Row],[Tractor Model]],Table7[Product Model],Table7[Product Category],"Not Available",0)</f>
        <v>Powertrac</v>
      </c>
      <c r="K1485" s="4">
        <v>5</v>
      </c>
      <c r="L1485" s="72">
        <v>860215</v>
      </c>
      <c r="M1485" s="4">
        <f>INDEX('Master Sheet'!$C$4:$C$12,MATCH(Table1[[#This Row],[Quantity]],'Master Sheet'!$B$4:$B$12,0))</f>
        <v>7</v>
      </c>
      <c r="N1485" s="71">
        <f>Table1[[#This Row],[Quantity]]*Table1[[#This Row],[Unit Price]]</f>
        <v>4301075</v>
      </c>
      <c r="O1485" s="73">
        <v>0.43010749999999998</v>
      </c>
      <c r="P1485" s="70">
        <f>Table1[[#This Row],[Gross Amount]]*(1-(Table1[[#This Row],[Discount %]]/100))</f>
        <v>3999999.7499999995</v>
      </c>
      <c r="Q1485" s="74">
        <f>(Table1[[#This Row],[Gross Amount]]*(1-(Table1[[#This Row],[Discount %]]/100)))/10000000</f>
        <v>0.39999997499999995</v>
      </c>
      <c r="R1485" t="s">
        <v>42</v>
      </c>
      <c r="S1485" t="str" cm="1">
        <f t="array" ref="S1485">IFERROR(_xlfn.IFS(Table1[[#This Row],[Payment Status]]="Partial","In Transit",Table1[[#This Row],[Payment Status]]="Paid","Delivered",Table1[[#This Row],[Payment Status]]="Pending","Pending"),"Invalid Input")</f>
        <v>Pending</v>
      </c>
      <c r="T1485" t="s">
        <v>27</v>
      </c>
      <c r="U1485" t="str" cm="1">
        <f t="array" ref="U1485">IFERROR(_xlfn.IFS(Table1[[#This Row],[Payment Status]]="Partial","In Transit",Table1[[#This Row],[Payment Status]]="Paid","Completed",Table1[[#This Row],[Payment Status]]="Pending","Pending"),"Invalid Input")</f>
        <v>Pending</v>
      </c>
    </row>
    <row r="1486" spans="1:21" x14ac:dyDescent="0.25">
      <c r="A1486" s="4" t="s">
        <v>2549</v>
      </c>
      <c r="B1486" s="5">
        <v>45612</v>
      </c>
      <c r="C1486" t="s">
        <v>41</v>
      </c>
      <c r="D1486" t="s">
        <v>37</v>
      </c>
      <c r="E1486" t="s">
        <v>47</v>
      </c>
      <c r="F1486" t="s">
        <v>3215</v>
      </c>
      <c r="G1486" t="s">
        <v>48</v>
      </c>
      <c r="H1486" t="str">
        <f>VLOOKUP(Table1[[#This Row],[City]],Table6[#All],2,FALSE)</f>
        <v>North</v>
      </c>
      <c r="I1486" t="s">
        <v>58</v>
      </c>
      <c r="J1486" t="str">
        <f>_xlfn.XLOOKUP(Table1[[#This Row],[Tractor Model]],Table7[Product Model],Table7[Product Category],"Not Available",0)</f>
        <v>Powertrac</v>
      </c>
      <c r="K1486" s="4">
        <v>4</v>
      </c>
      <c r="L1486" s="72">
        <v>316503</v>
      </c>
      <c r="M1486" s="4">
        <f>INDEX('Master Sheet'!$C$4:$C$12,MATCH(Table1[[#This Row],[Quantity]],'Master Sheet'!$B$4:$B$12,0))</f>
        <v>6</v>
      </c>
      <c r="N1486" s="71">
        <f>Table1[[#This Row],[Quantity]]*Table1[[#This Row],[Unit Price]]</f>
        <v>1266012</v>
      </c>
      <c r="O1486" s="73">
        <v>0.1266012</v>
      </c>
      <c r="P1486" s="70">
        <f>Table1[[#This Row],[Gross Amount]]*(1-(Table1[[#This Row],[Discount %]]/100))</f>
        <v>1190051.28</v>
      </c>
      <c r="Q1486" s="74">
        <f>(Table1[[#This Row],[Gross Amount]]*(1-(Table1[[#This Row],[Discount %]]/100)))/10000000</f>
        <v>0.119005128</v>
      </c>
      <c r="R1486" t="s">
        <v>25</v>
      </c>
      <c r="S1486" t="str" cm="1">
        <f t="array" ref="S1486">IFERROR(_xlfn.IFS(Table1[[#This Row],[Payment Status]]="Partial","In Transit",Table1[[#This Row],[Payment Status]]="Paid","Delivered",Table1[[#This Row],[Payment Status]]="Pending","Pending"),"Invalid Input")</f>
        <v>In Transit</v>
      </c>
      <c r="T1486" t="s">
        <v>44</v>
      </c>
      <c r="U1486" t="str" cm="1">
        <f t="array" ref="U1486">IFERROR(_xlfn.IFS(Table1[[#This Row],[Payment Status]]="Partial","In Transit",Table1[[#This Row],[Payment Status]]="Paid","Completed",Table1[[#This Row],[Payment Status]]="Pending","Pending"),"Invalid Input")</f>
        <v>In Transit</v>
      </c>
    </row>
    <row r="1487" spans="1:21" x14ac:dyDescent="0.25">
      <c r="A1487" s="4" t="s">
        <v>2551</v>
      </c>
      <c r="B1487" s="5">
        <v>45718</v>
      </c>
      <c r="C1487" t="s">
        <v>52</v>
      </c>
      <c r="D1487" t="s">
        <v>3270</v>
      </c>
      <c r="E1487" t="s">
        <v>30</v>
      </c>
      <c r="F1487" t="s">
        <v>3223</v>
      </c>
      <c r="G1487" t="s">
        <v>31</v>
      </c>
      <c r="H1487" t="str">
        <f>VLOOKUP(Table1[[#This Row],[City]],Table6[#All],2,FALSE)</f>
        <v>South</v>
      </c>
      <c r="I1487" t="s">
        <v>3203</v>
      </c>
      <c r="J1487" t="str">
        <f>_xlfn.XLOOKUP(Table1[[#This Row],[Tractor Model]],Table7[Product Model],Table7[Product Category],"Not Available",0)</f>
        <v>Kubota</v>
      </c>
      <c r="K1487" s="4">
        <v>6</v>
      </c>
      <c r="L1487" s="72">
        <v>294214</v>
      </c>
      <c r="M1487" s="4">
        <f>INDEX('Master Sheet'!$C$4:$C$12,MATCH(Table1[[#This Row],[Quantity]],'Master Sheet'!$B$4:$B$12,0))</f>
        <v>8</v>
      </c>
      <c r="N1487" s="71">
        <f>Table1[[#This Row],[Quantity]]*Table1[[#This Row],[Unit Price]]</f>
        <v>1765284</v>
      </c>
      <c r="O1487" s="73">
        <v>0.1765284</v>
      </c>
      <c r="P1487" s="70">
        <f>Table1[[#This Row],[Gross Amount]]*(1-(Table1[[#This Row],[Discount %]]/100))</f>
        <v>1624061.28</v>
      </c>
      <c r="Q1487" s="74">
        <f>(Table1[[#This Row],[Gross Amount]]*(1-(Table1[[#This Row],[Discount %]]/100)))/10000000</f>
        <v>0.16240612800000001</v>
      </c>
      <c r="R1487" t="s">
        <v>54</v>
      </c>
      <c r="S1487" t="str" cm="1">
        <f t="array" ref="S1487">IFERROR(_xlfn.IFS(Table1[[#This Row],[Payment Status]]="Partial","In Transit",Table1[[#This Row],[Payment Status]]="Paid","Delivered",Table1[[#This Row],[Payment Status]]="Pending","Pending"),"Invalid Input")</f>
        <v>Delivered</v>
      </c>
      <c r="T1487" t="s">
        <v>27</v>
      </c>
      <c r="U1487" t="str" cm="1">
        <f t="array" ref="U1487">IFERROR(_xlfn.IFS(Table1[[#This Row],[Payment Status]]="Partial","In Transit",Table1[[#This Row],[Payment Status]]="Paid","Completed",Table1[[#This Row],[Payment Status]]="Pending","Pending"),"Invalid Input")</f>
        <v>Completed</v>
      </c>
    </row>
    <row r="1488" spans="1:21" x14ac:dyDescent="0.25">
      <c r="A1488" s="4" t="s">
        <v>2553</v>
      </c>
      <c r="B1488" s="5">
        <v>45319</v>
      </c>
      <c r="C1488" t="s">
        <v>73</v>
      </c>
      <c r="D1488" t="s">
        <v>3269</v>
      </c>
      <c r="E1488" t="s">
        <v>66</v>
      </c>
      <c r="F1488" t="s">
        <v>3213</v>
      </c>
      <c r="G1488" t="s">
        <v>67</v>
      </c>
      <c r="H1488" t="str">
        <f>VLOOKUP(Table1[[#This Row],[City]],Table6[#All],2,FALSE)</f>
        <v>East</v>
      </c>
      <c r="I1488" t="s">
        <v>24</v>
      </c>
      <c r="J1488" t="str">
        <f>_xlfn.XLOOKUP(Table1[[#This Row],[Tractor Model]],Table7[Product Model],Table7[Product Category],"Not Available",0)</f>
        <v>Farmtrac</v>
      </c>
      <c r="K1488" s="4">
        <v>3</v>
      </c>
      <c r="L1488" s="72">
        <v>302979</v>
      </c>
      <c r="M1488" s="4">
        <f>INDEX('Master Sheet'!$C$4:$C$12,MATCH(Table1[[#This Row],[Quantity]],'Master Sheet'!$B$4:$B$12,0))</f>
        <v>6</v>
      </c>
      <c r="N1488" s="71">
        <f>Table1[[#This Row],[Quantity]]*Table1[[#This Row],[Unit Price]]</f>
        <v>908937</v>
      </c>
      <c r="O1488" s="73">
        <v>9.0893699999999994E-2</v>
      </c>
      <c r="P1488" s="70">
        <f>Table1[[#This Row],[Gross Amount]]*(1-(Table1[[#This Row],[Discount %]]/100))</f>
        <v>854400.77999999991</v>
      </c>
      <c r="Q1488" s="74">
        <f>(Table1[[#This Row],[Gross Amount]]*(1-(Table1[[#This Row],[Discount %]]/100)))/10000000</f>
        <v>8.5440077999999989E-2</v>
      </c>
      <c r="R1488" t="s">
        <v>54</v>
      </c>
      <c r="S1488" t="str" cm="1">
        <f t="array" ref="S1488">IFERROR(_xlfn.IFS(Table1[[#This Row],[Payment Status]]="Partial","In Transit",Table1[[#This Row],[Payment Status]]="Paid","Delivered",Table1[[#This Row],[Payment Status]]="Pending","Pending"),"Invalid Input")</f>
        <v>Delivered</v>
      </c>
      <c r="T1488" t="s">
        <v>27</v>
      </c>
      <c r="U1488" t="str" cm="1">
        <f t="array" ref="U1488">IFERROR(_xlfn.IFS(Table1[[#This Row],[Payment Status]]="Partial","In Transit",Table1[[#This Row],[Payment Status]]="Paid","Completed",Table1[[#This Row],[Payment Status]]="Pending","Pending"),"Invalid Input")</f>
        <v>Completed</v>
      </c>
    </row>
    <row r="1489" spans="1:21" x14ac:dyDescent="0.25">
      <c r="A1489" s="4" t="s">
        <v>2554</v>
      </c>
      <c r="B1489" s="5">
        <v>45434</v>
      </c>
      <c r="C1489" t="s">
        <v>52</v>
      </c>
      <c r="D1489" t="s">
        <v>3268</v>
      </c>
      <c r="E1489" t="s">
        <v>119</v>
      </c>
      <c r="F1489" t="s">
        <v>3227</v>
      </c>
      <c r="G1489" t="s">
        <v>21</v>
      </c>
      <c r="H1489" t="str">
        <f>VLOOKUP(Table1[[#This Row],[City]],Table6[#All],2,FALSE)</f>
        <v>North</v>
      </c>
      <c r="I1489" t="s">
        <v>3204</v>
      </c>
      <c r="J1489" t="str">
        <f>_xlfn.XLOOKUP(Table1[[#This Row],[Tractor Model]],Table7[Product Model],Table7[Product Category],"Not Available",0)</f>
        <v>Kubota</v>
      </c>
      <c r="K1489" s="4">
        <v>2</v>
      </c>
      <c r="L1489" s="72">
        <v>549403</v>
      </c>
      <c r="M1489" s="4">
        <f>INDEX('Master Sheet'!$C$4:$C$12,MATCH(Table1[[#This Row],[Quantity]],'Master Sheet'!$B$4:$B$12,0))</f>
        <v>5</v>
      </c>
      <c r="N1489" s="71">
        <f>Table1[[#This Row],[Quantity]]*Table1[[#This Row],[Unit Price]]</f>
        <v>1098806</v>
      </c>
      <c r="O1489" s="73">
        <v>0.10988059999999999</v>
      </c>
      <c r="P1489" s="70">
        <f>Table1[[#This Row],[Gross Amount]]*(1-(Table1[[#This Row],[Discount %]]/100))</f>
        <v>1043865.7</v>
      </c>
      <c r="Q1489" s="74">
        <f>(Table1[[#This Row],[Gross Amount]]*(1-(Table1[[#This Row],[Discount %]]/100)))/10000000</f>
        <v>0.10438657</v>
      </c>
      <c r="R1489" t="s">
        <v>25</v>
      </c>
      <c r="S1489" t="str" cm="1">
        <f t="array" ref="S1489">IFERROR(_xlfn.IFS(Table1[[#This Row],[Payment Status]]="Partial","In Transit",Table1[[#This Row],[Payment Status]]="Paid","Delivered",Table1[[#This Row],[Payment Status]]="Pending","Pending"),"Invalid Input")</f>
        <v>In Transit</v>
      </c>
      <c r="T1489" t="s">
        <v>27</v>
      </c>
      <c r="U1489" t="str" cm="1">
        <f t="array" ref="U1489">IFERROR(_xlfn.IFS(Table1[[#This Row],[Payment Status]]="Partial","In Transit",Table1[[#This Row],[Payment Status]]="Paid","Completed",Table1[[#This Row],[Payment Status]]="Pending","Pending"),"Invalid Input")</f>
        <v>In Transit</v>
      </c>
    </row>
    <row r="1490" spans="1:21" x14ac:dyDescent="0.25">
      <c r="A1490" s="4" t="s">
        <v>2556</v>
      </c>
      <c r="B1490" s="5">
        <v>45798</v>
      </c>
      <c r="C1490" t="s">
        <v>41</v>
      </c>
      <c r="D1490" t="s">
        <v>3271</v>
      </c>
      <c r="E1490" t="s">
        <v>38</v>
      </c>
      <c r="F1490" t="s">
        <v>3210</v>
      </c>
      <c r="G1490" t="s">
        <v>39</v>
      </c>
      <c r="H1490" t="str">
        <f>VLOOKUP(Table1[[#This Row],[City]],Table6[#All],2,FALSE)</f>
        <v>West</v>
      </c>
      <c r="I1490" t="s">
        <v>3204</v>
      </c>
      <c r="J1490" t="str">
        <f>_xlfn.XLOOKUP(Table1[[#This Row],[Tractor Model]],Table7[Product Model],Table7[Product Category],"Not Available",0)</f>
        <v>Kubota</v>
      </c>
      <c r="K1490" s="4">
        <v>3</v>
      </c>
      <c r="L1490" s="72">
        <v>666528</v>
      </c>
      <c r="M1490" s="4">
        <f>INDEX('Master Sheet'!$C$4:$C$12,MATCH(Table1[[#This Row],[Quantity]],'Master Sheet'!$B$4:$B$12,0))</f>
        <v>6</v>
      </c>
      <c r="N1490" s="71">
        <f>Table1[[#This Row],[Quantity]]*Table1[[#This Row],[Unit Price]]</f>
        <v>1999584</v>
      </c>
      <c r="O1490" s="73">
        <v>0.19995840000000001</v>
      </c>
      <c r="P1490" s="70">
        <f>Table1[[#This Row],[Gross Amount]]*(1-(Table1[[#This Row],[Discount %]]/100))</f>
        <v>1879608.96</v>
      </c>
      <c r="Q1490" s="74">
        <f>(Table1[[#This Row],[Gross Amount]]*(1-(Table1[[#This Row],[Discount %]]/100)))/10000000</f>
        <v>0.18796089599999999</v>
      </c>
      <c r="R1490" t="s">
        <v>54</v>
      </c>
      <c r="S1490" t="str" cm="1">
        <f t="array" ref="S1490">IFERROR(_xlfn.IFS(Table1[[#This Row],[Payment Status]]="Partial","In Transit",Table1[[#This Row],[Payment Status]]="Paid","Delivered",Table1[[#This Row],[Payment Status]]="Pending","Pending"),"Invalid Input")</f>
        <v>Delivered</v>
      </c>
      <c r="T1490" t="s">
        <v>44</v>
      </c>
      <c r="U1490" t="str" cm="1">
        <f t="array" ref="U1490">IFERROR(_xlfn.IFS(Table1[[#This Row],[Payment Status]]="Partial","In Transit",Table1[[#This Row],[Payment Status]]="Paid","Completed",Table1[[#This Row],[Payment Status]]="Pending","Pending"),"Invalid Input")</f>
        <v>Completed</v>
      </c>
    </row>
    <row r="1491" spans="1:21" x14ac:dyDescent="0.25">
      <c r="A1491" s="4" t="s">
        <v>2558</v>
      </c>
      <c r="B1491" s="5">
        <v>45547</v>
      </c>
      <c r="C1491" t="s">
        <v>73</v>
      </c>
      <c r="D1491" t="s">
        <v>3269</v>
      </c>
      <c r="E1491" t="s">
        <v>66</v>
      </c>
      <c r="F1491" t="s">
        <v>3213</v>
      </c>
      <c r="G1491" t="s">
        <v>67</v>
      </c>
      <c r="H1491" t="str">
        <f>VLOOKUP(Table1[[#This Row],[City]],Table6[#All],2,FALSE)</f>
        <v>East</v>
      </c>
      <c r="I1491" t="s">
        <v>24</v>
      </c>
      <c r="J1491" t="str">
        <f>_xlfn.XLOOKUP(Table1[[#This Row],[Tractor Model]],Table7[Product Model],Table7[Product Category],"Not Available",0)</f>
        <v>Farmtrac</v>
      </c>
      <c r="K1491" s="4">
        <v>3</v>
      </c>
      <c r="L1491" s="72">
        <v>617532</v>
      </c>
      <c r="M1491" s="4">
        <f>INDEX('Master Sheet'!$C$4:$C$12,MATCH(Table1[[#This Row],[Quantity]],'Master Sheet'!$B$4:$B$12,0))</f>
        <v>6</v>
      </c>
      <c r="N1491" s="71">
        <f>Table1[[#This Row],[Quantity]]*Table1[[#This Row],[Unit Price]]</f>
        <v>1852596</v>
      </c>
      <c r="O1491" s="73">
        <v>0.1852596</v>
      </c>
      <c r="P1491" s="70">
        <f>Table1[[#This Row],[Gross Amount]]*(1-(Table1[[#This Row],[Discount %]]/100))</f>
        <v>1741440.24</v>
      </c>
      <c r="Q1491" s="74">
        <f>(Table1[[#This Row],[Gross Amount]]*(1-(Table1[[#This Row],[Discount %]]/100)))/10000000</f>
        <v>0.17414402400000001</v>
      </c>
      <c r="R1491" t="s">
        <v>25</v>
      </c>
      <c r="S1491" t="str" cm="1">
        <f t="array" ref="S1491">IFERROR(_xlfn.IFS(Table1[[#This Row],[Payment Status]]="Partial","In Transit",Table1[[#This Row],[Payment Status]]="Paid","Delivered",Table1[[#This Row],[Payment Status]]="Pending","Pending"),"Invalid Input")</f>
        <v>In Transit</v>
      </c>
      <c r="T1491" t="s">
        <v>44</v>
      </c>
      <c r="U1491" t="str" cm="1">
        <f t="array" ref="U1491">IFERROR(_xlfn.IFS(Table1[[#This Row],[Payment Status]]="Partial","In Transit",Table1[[#This Row],[Payment Status]]="Paid","Completed",Table1[[#This Row],[Payment Status]]="Pending","Pending"),"Invalid Input")</f>
        <v>In Transit</v>
      </c>
    </row>
    <row r="1492" spans="1:21" x14ac:dyDescent="0.25">
      <c r="A1492" s="4" t="s">
        <v>2559</v>
      </c>
      <c r="B1492" s="5">
        <v>45393</v>
      </c>
      <c r="C1492" t="s">
        <v>73</v>
      </c>
      <c r="D1492" t="s">
        <v>3270</v>
      </c>
      <c r="E1492" t="s">
        <v>119</v>
      </c>
      <c r="F1492" t="s">
        <v>3212</v>
      </c>
      <c r="G1492" t="s">
        <v>21</v>
      </c>
      <c r="H1492" t="str">
        <f>VLOOKUP(Table1[[#This Row],[City]],Table6[#All],2,FALSE)</f>
        <v>North</v>
      </c>
      <c r="I1492" t="s">
        <v>58</v>
      </c>
      <c r="J1492" t="str">
        <f>_xlfn.XLOOKUP(Table1[[#This Row],[Tractor Model]],Table7[Product Model],Table7[Product Category],"Not Available",0)</f>
        <v>Powertrac</v>
      </c>
      <c r="K1492" s="4">
        <v>2</v>
      </c>
      <c r="L1492" s="72">
        <v>895665</v>
      </c>
      <c r="M1492" s="4">
        <f>INDEX('Master Sheet'!$C$4:$C$12,MATCH(Table1[[#This Row],[Quantity]],'Master Sheet'!$B$4:$B$12,0))</f>
        <v>5</v>
      </c>
      <c r="N1492" s="71">
        <f>Table1[[#This Row],[Quantity]]*Table1[[#This Row],[Unit Price]]</f>
        <v>1791330</v>
      </c>
      <c r="O1492" s="73">
        <v>0.17913299999999999</v>
      </c>
      <c r="P1492" s="70">
        <f>Table1[[#This Row],[Gross Amount]]*(1-(Table1[[#This Row],[Discount %]]/100))</f>
        <v>1701763.5</v>
      </c>
      <c r="Q1492" s="74">
        <f>(Table1[[#This Row],[Gross Amount]]*(1-(Table1[[#This Row],[Discount %]]/100)))/10000000</f>
        <v>0.17017635</v>
      </c>
      <c r="R1492" t="s">
        <v>25</v>
      </c>
      <c r="S1492" t="str" cm="1">
        <f t="array" ref="S1492">IFERROR(_xlfn.IFS(Table1[[#This Row],[Payment Status]]="Partial","In Transit",Table1[[#This Row],[Payment Status]]="Paid","Delivered",Table1[[#This Row],[Payment Status]]="Pending","Pending"),"Invalid Input")</f>
        <v>In Transit</v>
      </c>
      <c r="T1492" t="s">
        <v>44</v>
      </c>
      <c r="U1492" t="str" cm="1">
        <f t="array" ref="U1492">IFERROR(_xlfn.IFS(Table1[[#This Row],[Payment Status]]="Partial","In Transit",Table1[[#This Row],[Payment Status]]="Paid","Completed",Table1[[#This Row],[Payment Status]]="Pending","Pending"),"Invalid Input")</f>
        <v>In Transit</v>
      </c>
    </row>
    <row r="1493" spans="1:21" x14ac:dyDescent="0.25">
      <c r="A1493" s="4" t="s">
        <v>2560</v>
      </c>
      <c r="B1493" s="5">
        <v>45681</v>
      </c>
      <c r="C1493" t="s">
        <v>62</v>
      </c>
      <c r="D1493" t="s">
        <v>3271</v>
      </c>
      <c r="E1493" t="s">
        <v>30</v>
      </c>
      <c r="F1493" t="s">
        <v>3217</v>
      </c>
      <c r="G1493" t="s">
        <v>31</v>
      </c>
      <c r="H1493" t="str">
        <f>VLOOKUP(Table1[[#This Row],[City]],Table6[#All],2,FALSE)</f>
        <v>South</v>
      </c>
      <c r="I1493" t="s">
        <v>24</v>
      </c>
      <c r="J1493" t="str">
        <f>_xlfn.XLOOKUP(Table1[[#This Row],[Tractor Model]],Table7[Product Model],Table7[Product Category],"Not Available",0)</f>
        <v>Farmtrac</v>
      </c>
      <c r="K1493" s="4">
        <v>6</v>
      </c>
      <c r="L1493" s="72">
        <v>395229</v>
      </c>
      <c r="M1493" s="4">
        <f>INDEX('Master Sheet'!$C$4:$C$12,MATCH(Table1[[#This Row],[Quantity]],'Master Sheet'!$B$4:$B$12,0))</f>
        <v>8</v>
      </c>
      <c r="N1493" s="71">
        <f>Table1[[#This Row],[Quantity]]*Table1[[#This Row],[Unit Price]]</f>
        <v>2371374</v>
      </c>
      <c r="O1493" s="73">
        <v>0.2371374</v>
      </c>
      <c r="P1493" s="70">
        <f>Table1[[#This Row],[Gross Amount]]*(1-(Table1[[#This Row],[Discount %]]/100))</f>
        <v>2181664.08</v>
      </c>
      <c r="Q1493" s="74">
        <f>(Table1[[#This Row],[Gross Amount]]*(1-(Table1[[#This Row],[Discount %]]/100)))/10000000</f>
        <v>0.21816640800000001</v>
      </c>
      <c r="R1493" t="s">
        <v>42</v>
      </c>
      <c r="S1493" t="str" cm="1">
        <f t="array" ref="S1493">IFERROR(_xlfn.IFS(Table1[[#This Row],[Payment Status]]="Partial","In Transit",Table1[[#This Row],[Payment Status]]="Paid","Delivered",Table1[[#This Row],[Payment Status]]="Pending","Pending"),"Invalid Input")</f>
        <v>Pending</v>
      </c>
      <c r="T1493" t="s">
        <v>27</v>
      </c>
      <c r="U1493" t="str" cm="1">
        <f t="array" ref="U1493">IFERROR(_xlfn.IFS(Table1[[#This Row],[Payment Status]]="Partial","In Transit",Table1[[#This Row],[Payment Status]]="Paid","Completed",Table1[[#This Row],[Payment Status]]="Pending","Pending"),"Invalid Input")</f>
        <v>Pending</v>
      </c>
    </row>
    <row r="1494" spans="1:21" x14ac:dyDescent="0.25">
      <c r="A1494" s="4" t="s">
        <v>2562</v>
      </c>
      <c r="B1494" s="5">
        <v>45542</v>
      </c>
      <c r="C1494" t="s">
        <v>62</v>
      </c>
      <c r="D1494" t="s">
        <v>37</v>
      </c>
      <c r="E1494" t="s">
        <v>47</v>
      </c>
      <c r="F1494" t="s">
        <v>3215</v>
      </c>
      <c r="G1494" t="s">
        <v>48</v>
      </c>
      <c r="H1494" t="str">
        <f>VLOOKUP(Table1[[#This Row],[City]],Table6[#All],2,FALSE)</f>
        <v>North</v>
      </c>
      <c r="I1494" t="s">
        <v>53</v>
      </c>
      <c r="J1494" t="str">
        <f>_xlfn.XLOOKUP(Table1[[#This Row],[Tractor Model]],Table7[Product Model],Table7[Product Category],"Not Available",0)</f>
        <v>Farmtrac</v>
      </c>
      <c r="K1494" s="4">
        <v>5</v>
      </c>
      <c r="L1494" s="72">
        <v>812736</v>
      </c>
      <c r="M1494" s="4">
        <f>INDEX('Master Sheet'!$C$4:$C$12,MATCH(Table1[[#This Row],[Quantity]],'Master Sheet'!$B$4:$B$12,0))</f>
        <v>7</v>
      </c>
      <c r="N1494" s="71">
        <f>Table1[[#This Row],[Quantity]]*Table1[[#This Row],[Unit Price]]</f>
        <v>4063680</v>
      </c>
      <c r="O1494" s="73">
        <v>0.40636800000000001</v>
      </c>
      <c r="P1494" s="70">
        <f>Table1[[#This Row],[Gross Amount]]*(1-(Table1[[#This Row],[Discount %]]/100))</f>
        <v>3779222.4</v>
      </c>
      <c r="Q1494" s="74">
        <f>(Table1[[#This Row],[Gross Amount]]*(1-(Table1[[#This Row],[Discount %]]/100)))/10000000</f>
        <v>0.37792223999999996</v>
      </c>
      <c r="R1494" t="s">
        <v>42</v>
      </c>
      <c r="S1494" t="str" cm="1">
        <f t="array" ref="S1494">IFERROR(_xlfn.IFS(Table1[[#This Row],[Payment Status]]="Partial","In Transit",Table1[[#This Row],[Payment Status]]="Paid","Delivered",Table1[[#This Row],[Payment Status]]="Pending","Pending"),"Invalid Input")</f>
        <v>Pending</v>
      </c>
      <c r="T1494" t="s">
        <v>44</v>
      </c>
      <c r="U1494" t="str" cm="1">
        <f t="array" ref="U1494">IFERROR(_xlfn.IFS(Table1[[#This Row],[Payment Status]]="Partial","In Transit",Table1[[#This Row],[Payment Status]]="Paid","Completed",Table1[[#This Row],[Payment Status]]="Pending","Pending"),"Invalid Input")</f>
        <v>Pending</v>
      </c>
    </row>
    <row r="1495" spans="1:21" x14ac:dyDescent="0.25">
      <c r="A1495" s="4" t="s">
        <v>2563</v>
      </c>
      <c r="B1495" s="5">
        <v>45750</v>
      </c>
      <c r="C1495" t="s">
        <v>73</v>
      </c>
      <c r="D1495" t="s">
        <v>3269</v>
      </c>
      <c r="E1495" t="s">
        <v>119</v>
      </c>
      <c r="F1495" t="s">
        <v>3229</v>
      </c>
      <c r="G1495" t="s">
        <v>21</v>
      </c>
      <c r="H1495" t="str">
        <f>VLOOKUP(Table1[[#This Row],[City]],Table6[#All],2,FALSE)</f>
        <v>North</v>
      </c>
      <c r="I1495" t="s">
        <v>24</v>
      </c>
      <c r="J1495" t="str">
        <f>_xlfn.XLOOKUP(Table1[[#This Row],[Tractor Model]],Table7[Product Model],Table7[Product Category],"Not Available",0)</f>
        <v>Farmtrac</v>
      </c>
      <c r="K1495" s="4">
        <v>2</v>
      </c>
      <c r="L1495" s="72">
        <v>363766</v>
      </c>
      <c r="M1495" s="4">
        <f>INDEX('Master Sheet'!$C$4:$C$12,MATCH(Table1[[#This Row],[Quantity]],'Master Sheet'!$B$4:$B$12,0))</f>
        <v>5</v>
      </c>
      <c r="N1495" s="71">
        <f>Table1[[#This Row],[Quantity]]*Table1[[#This Row],[Unit Price]]</f>
        <v>727532</v>
      </c>
      <c r="O1495" s="73">
        <v>7.2753200000000004E-2</v>
      </c>
      <c r="P1495" s="70">
        <f>Table1[[#This Row],[Gross Amount]]*(1-(Table1[[#This Row],[Discount %]]/100))</f>
        <v>691155.4</v>
      </c>
      <c r="Q1495" s="74">
        <f>(Table1[[#This Row],[Gross Amount]]*(1-(Table1[[#This Row],[Discount %]]/100)))/10000000</f>
        <v>6.9115540000000003E-2</v>
      </c>
      <c r="R1495" t="s">
        <v>25</v>
      </c>
      <c r="S1495" t="str" cm="1">
        <f t="array" ref="S1495">IFERROR(_xlfn.IFS(Table1[[#This Row],[Payment Status]]="Partial","In Transit",Table1[[#This Row],[Payment Status]]="Paid","Delivered",Table1[[#This Row],[Payment Status]]="Pending","Pending"),"Invalid Input")</f>
        <v>In Transit</v>
      </c>
      <c r="T1495" t="s">
        <v>27</v>
      </c>
      <c r="U1495" t="str" cm="1">
        <f t="array" ref="U1495">IFERROR(_xlfn.IFS(Table1[[#This Row],[Payment Status]]="Partial","In Transit",Table1[[#This Row],[Payment Status]]="Paid","Completed",Table1[[#This Row],[Payment Status]]="Pending","Pending"),"Invalid Input")</f>
        <v>In Transit</v>
      </c>
    </row>
    <row r="1496" spans="1:21" x14ac:dyDescent="0.25">
      <c r="A1496" s="4" t="s">
        <v>2565</v>
      </c>
      <c r="B1496" s="5">
        <v>45811</v>
      </c>
      <c r="C1496" t="s">
        <v>62</v>
      </c>
      <c r="D1496" t="s">
        <v>3270</v>
      </c>
      <c r="E1496" t="s">
        <v>47</v>
      </c>
      <c r="F1496" t="s">
        <v>3205</v>
      </c>
      <c r="G1496" t="s">
        <v>48</v>
      </c>
      <c r="H1496" t="str">
        <f>VLOOKUP(Table1[[#This Row],[City]],Table6[#All],2,FALSE)</f>
        <v>North</v>
      </c>
      <c r="I1496" t="s">
        <v>58</v>
      </c>
      <c r="J1496" t="str">
        <f>_xlfn.XLOOKUP(Table1[[#This Row],[Tractor Model]],Table7[Product Model],Table7[Product Category],"Not Available",0)</f>
        <v>Powertrac</v>
      </c>
      <c r="K1496" s="4">
        <v>6</v>
      </c>
      <c r="L1496" s="72">
        <v>509952</v>
      </c>
      <c r="M1496" s="4">
        <f>INDEX('Master Sheet'!$C$4:$C$12,MATCH(Table1[[#This Row],[Quantity]],'Master Sheet'!$B$4:$B$12,0))</f>
        <v>8</v>
      </c>
      <c r="N1496" s="71">
        <f>Table1[[#This Row],[Quantity]]*Table1[[#This Row],[Unit Price]]</f>
        <v>3059712</v>
      </c>
      <c r="O1496" s="73">
        <v>0.3059712</v>
      </c>
      <c r="P1496" s="70">
        <f>Table1[[#This Row],[Gross Amount]]*(1-(Table1[[#This Row],[Discount %]]/100))</f>
        <v>2814935.04</v>
      </c>
      <c r="Q1496" s="74">
        <f>(Table1[[#This Row],[Gross Amount]]*(1-(Table1[[#This Row],[Discount %]]/100)))/10000000</f>
        <v>0.28149350400000001</v>
      </c>
      <c r="R1496" t="s">
        <v>42</v>
      </c>
      <c r="S1496" t="str" cm="1">
        <f t="array" ref="S1496">IFERROR(_xlfn.IFS(Table1[[#This Row],[Payment Status]]="Partial","In Transit",Table1[[#This Row],[Payment Status]]="Paid","Delivered",Table1[[#This Row],[Payment Status]]="Pending","Pending"),"Invalid Input")</f>
        <v>Pending</v>
      </c>
      <c r="T1496" t="s">
        <v>27</v>
      </c>
      <c r="U1496" t="str" cm="1">
        <f t="array" ref="U1496">IFERROR(_xlfn.IFS(Table1[[#This Row],[Payment Status]]="Partial","In Transit",Table1[[#This Row],[Payment Status]]="Paid","Completed",Table1[[#This Row],[Payment Status]]="Pending","Pending"),"Invalid Input")</f>
        <v>Pending</v>
      </c>
    </row>
    <row r="1497" spans="1:21" x14ac:dyDescent="0.25">
      <c r="A1497" s="4" t="s">
        <v>2566</v>
      </c>
      <c r="B1497" s="5">
        <v>45379</v>
      </c>
      <c r="C1497" t="s">
        <v>41</v>
      </c>
      <c r="D1497" t="s">
        <v>3268</v>
      </c>
      <c r="E1497" t="s">
        <v>66</v>
      </c>
      <c r="F1497" t="s">
        <v>3211</v>
      </c>
      <c r="G1497" t="s">
        <v>67</v>
      </c>
      <c r="H1497" t="str">
        <f>VLOOKUP(Table1[[#This Row],[City]],Table6[#All],2,FALSE)</f>
        <v>East</v>
      </c>
      <c r="I1497" t="s">
        <v>53</v>
      </c>
      <c r="J1497" t="str">
        <f>_xlfn.XLOOKUP(Table1[[#This Row],[Tractor Model]],Table7[Product Model],Table7[Product Category],"Not Available",0)</f>
        <v>Farmtrac</v>
      </c>
      <c r="K1497" s="4">
        <v>7</v>
      </c>
      <c r="L1497" s="72">
        <v>343473</v>
      </c>
      <c r="M1497" s="4">
        <f>INDEX('Master Sheet'!$C$4:$C$12,MATCH(Table1[[#This Row],[Quantity]],'Master Sheet'!$B$4:$B$12,0))</f>
        <v>9</v>
      </c>
      <c r="N1497" s="71">
        <f>Table1[[#This Row],[Quantity]]*Table1[[#This Row],[Unit Price]]</f>
        <v>2404311</v>
      </c>
      <c r="O1497" s="73">
        <v>0.24043110000000001</v>
      </c>
      <c r="P1497" s="70">
        <f>Table1[[#This Row],[Gross Amount]]*(1-(Table1[[#This Row],[Discount %]]/100))</f>
        <v>2187923.0100000002</v>
      </c>
      <c r="Q1497" s="74">
        <f>(Table1[[#This Row],[Gross Amount]]*(1-(Table1[[#This Row],[Discount %]]/100)))/10000000</f>
        <v>0.21879230100000002</v>
      </c>
      <c r="R1497" t="s">
        <v>42</v>
      </c>
      <c r="S1497" t="str" cm="1">
        <f t="array" ref="S1497">IFERROR(_xlfn.IFS(Table1[[#This Row],[Payment Status]]="Partial","In Transit",Table1[[#This Row],[Payment Status]]="Paid","Delivered",Table1[[#This Row],[Payment Status]]="Pending","Pending"),"Invalid Input")</f>
        <v>Pending</v>
      </c>
      <c r="T1497" t="s">
        <v>27</v>
      </c>
      <c r="U1497" t="str" cm="1">
        <f t="array" ref="U1497">IFERROR(_xlfn.IFS(Table1[[#This Row],[Payment Status]]="Partial","In Transit",Table1[[#This Row],[Payment Status]]="Paid","Completed",Table1[[#This Row],[Payment Status]]="Pending","Pending"),"Invalid Input")</f>
        <v>Pending</v>
      </c>
    </row>
    <row r="1498" spans="1:21" x14ac:dyDescent="0.25">
      <c r="A1498" s="4" t="s">
        <v>2568</v>
      </c>
      <c r="B1498" s="5">
        <v>45824</v>
      </c>
      <c r="C1498" t="s">
        <v>41</v>
      </c>
      <c r="D1498" t="s">
        <v>3270</v>
      </c>
      <c r="E1498" t="s">
        <v>38</v>
      </c>
      <c r="F1498" t="s">
        <v>3218</v>
      </c>
      <c r="G1498" t="s">
        <v>39</v>
      </c>
      <c r="H1498" t="str">
        <f>VLOOKUP(Table1[[#This Row],[City]],Table6[#All],2,FALSE)</f>
        <v>West</v>
      </c>
      <c r="I1498" t="s">
        <v>53</v>
      </c>
      <c r="J1498" t="str">
        <f>_xlfn.XLOOKUP(Table1[[#This Row],[Tractor Model]],Table7[Product Model],Table7[Product Category],"Not Available",0)</f>
        <v>Farmtrac</v>
      </c>
      <c r="K1498" s="4">
        <v>8</v>
      </c>
      <c r="L1498" s="72">
        <v>149830</v>
      </c>
      <c r="M1498" s="4">
        <f>INDEX('Master Sheet'!$C$4:$C$12,MATCH(Table1[[#This Row],[Quantity]],'Master Sheet'!$B$4:$B$12,0))</f>
        <v>9</v>
      </c>
      <c r="N1498" s="71">
        <f>Table1[[#This Row],[Quantity]]*Table1[[#This Row],[Unit Price]]</f>
        <v>1198640</v>
      </c>
      <c r="O1498" s="73">
        <v>0.119864</v>
      </c>
      <c r="P1498" s="70">
        <f>Table1[[#This Row],[Gross Amount]]*(1-(Table1[[#This Row],[Discount %]]/100))</f>
        <v>1090762.4000000001</v>
      </c>
      <c r="Q1498" s="74">
        <f>(Table1[[#This Row],[Gross Amount]]*(1-(Table1[[#This Row],[Discount %]]/100)))/10000000</f>
        <v>0.10907624000000002</v>
      </c>
      <c r="R1498" t="s">
        <v>42</v>
      </c>
      <c r="S1498" t="str" cm="1">
        <f t="array" ref="S1498">IFERROR(_xlfn.IFS(Table1[[#This Row],[Payment Status]]="Partial","In Transit",Table1[[#This Row],[Payment Status]]="Paid","Delivered",Table1[[#This Row],[Payment Status]]="Pending","Pending"),"Invalid Input")</f>
        <v>Pending</v>
      </c>
      <c r="T1498" t="s">
        <v>27</v>
      </c>
      <c r="U1498" t="str" cm="1">
        <f t="array" ref="U1498">IFERROR(_xlfn.IFS(Table1[[#This Row],[Payment Status]]="Partial","In Transit",Table1[[#This Row],[Payment Status]]="Paid","Completed",Table1[[#This Row],[Payment Status]]="Pending","Pending"),"Invalid Input")</f>
        <v>Pending</v>
      </c>
    </row>
    <row r="1499" spans="1:21" x14ac:dyDescent="0.25">
      <c r="A1499" s="4" t="s">
        <v>2570</v>
      </c>
      <c r="B1499" s="5">
        <v>45324</v>
      </c>
      <c r="C1499" t="s">
        <v>33</v>
      </c>
      <c r="D1499" t="s">
        <v>37</v>
      </c>
      <c r="E1499" t="s">
        <v>30</v>
      </c>
      <c r="F1499" t="s">
        <v>3222</v>
      </c>
      <c r="G1499" t="s">
        <v>31</v>
      </c>
      <c r="H1499" t="str">
        <f>VLOOKUP(Table1[[#This Row],[City]],Table6[#All],2,FALSE)</f>
        <v>South</v>
      </c>
      <c r="I1499" t="s">
        <v>3204</v>
      </c>
      <c r="J1499" t="str">
        <f>_xlfn.XLOOKUP(Table1[[#This Row],[Tractor Model]],Table7[Product Model],Table7[Product Category],"Not Available",0)</f>
        <v>Kubota</v>
      </c>
      <c r="K1499" s="4">
        <v>8</v>
      </c>
      <c r="L1499" s="72">
        <v>585006</v>
      </c>
      <c r="M1499" s="4">
        <f>INDEX('Master Sheet'!$C$4:$C$12,MATCH(Table1[[#This Row],[Quantity]],'Master Sheet'!$B$4:$B$12,0))</f>
        <v>9</v>
      </c>
      <c r="N1499" s="71">
        <f>Table1[[#This Row],[Quantity]]*Table1[[#This Row],[Unit Price]]</f>
        <v>4680048</v>
      </c>
      <c r="O1499" s="73">
        <v>0.4680048</v>
      </c>
      <c r="P1499" s="70">
        <f>Table1[[#This Row],[Gross Amount]]*(1-(Table1[[#This Row],[Discount %]]/100))</f>
        <v>4258843.68</v>
      </c>
      <c r="Q1499" s="74">
        <f>(Table1[[#This Row],[Gross Amount]]*(1-(Table1[[#This Row],[Discount %]]/100)))/10000000</f>
        <v>0.42588436799999996</v>
      </c>
      <c r="R1499" t="s">
        <v>42</v>
      </c>
      <c r="S1499" t="str" cm="1">
        <f t="array" ref="S1499">IFERROR(_xlfn.IFS(Table1[[#This Row],[Payment Status]]="Partial","In Transit",Table1[[#This Row],[Payment Status]]="Paid","Delivered",Table1[[#This Row],[Payment Status]]="Pending","Pending"),"Invalid Input")</f>
        <v>Pending</v>
      </c>
      <c r="T1499" t="s">
        <v>27</v>
      </c>
      <c r="U1499" t="str" cm="1">
        <f t="array" ref="U1499">IFERROR(_xlfn.IFS(Table1[[#This Row],[Payment Status]]="Partial","In Transit",Table1[[#This Row],[Payment Status]]="Paid","Completed",Table1[[#This Row],[Payment Status]]="Pending","Pending"),"Invalid Input")</f>
        <v>Pending</v>
      </c>
    </row>
    <row r="1500" spans="1:21" x14ac:dyDescent="0.25">
      <c r="A1500" s="4" t="s">
        <v>2571</v>
      </c>
      <c r="B1500" s="5">
        <v>45415</v>
      </c>
      <c r="C1500" t="s">
        <v>41</v>
      </c>
      <c r="D1500" t="s">
        <v>3270</v>
      </c>
      <c r="E1500" t="s">
        <v>47</v>
      </c>
      <c r="F1500" t="s">
        <v>3205</v>
      </c>
      <c r="G1500" t="s">
        <v>48</v>
      </c>
      <c r="H1500" t="str">
        <f>VLOOKUP(Table1[[#This Row],[City]],Table6[#All],2,FALSE)</f>
        <v>North</v>
      </c>
      <c r="I1500" t="s">
        <v>3204</v>
      </c>
      <c r="J1500" t="str">
        <f>_xlfn.XLOOKUP(Table1[[#This Row],[Tractor Model]],Table7[Product Model],Table7[Product Category],"Not Available",0)</f>
        <v>Kubota</v>
      </c>
      <c r="K1500" s="4">
        <v>1</v>
      </c>
      <c r="L1500" s="72">
        <v>222738</v>
      </c>
      <c r="M1500" s="4">
        <f>INDEX('Master Sheet'!$C$4:$C$12,MATCH(Table1[[#This Row],[Quantity]],'Master Sheet'!$B$4:$B$12,0))</f>
        <v>3</v>
      </c>
      <c r="N1500" s="71">
        <f>Table1[[#This Row],[Quantity]]*Table1[[#This Row],[Unit Price]]</f>
        <v>222738</v>
      </c>
      <c r="O1500" s="73">
        <v>2.22738E-2</v>
      </c>
      <c r="P1500" s="70">
        <f>Table1[[#This Row],[Gross Amount]]*(1-(Table1[[#This Row],[Discount %]]/100))</f>
        <v>216055.86</v>
      </c>
      <c r="Q1500" s="74">
        <f>(Table1[[#This Row],[Gross Amount]]*(1-(Table1[[#This Row],[Discount %]]/100)))/10000000</f>
        <v>2.1605586E-2</v>
      </c>
      <c r="R1500" t="s">
        <v>25</v>
      </c>
      <c r="S1500" t="str" cm="1">
        <f t="array" ref="S1500">IFERROR(_xlfn.IFS(Table1[[#This Row],[Payment Status]]="Partial","In Transit",Table1[[#This Row],[Payment Status]]="Paid","Delivered",Table1[[#This Row],[Payment Status]]="Pending","Pending"),"Invalid Input")</f>
        <v>In Transit</v>
      </c>
      <c r="T1500" t="s">
        <v>44</v>
      </c>
      <c r="U1500" t="str" cm="1">
        <f t="array" ref="U1500">IFERROR(_xlfn.IFS(Table1[[#This Row],[Payment Status]]="Partial","In Transit",Table1[[#This Row],[Payment Status]]="Paid","Completed",Table1[[#This Row],[Payment Status]]="Pending","Pending"),"Invalid Input")</f>
        <v>In Transit</v>
      </c>
    </row>
    <row r="1501" spans="1:21" x14ac:dyDescent="0.25">
      <c r="A1501" s="4" t="s">
        <v>2572</v>
      </c>
      <c r="B1501" s="5">
        <v>45453</v>
      </c>
      <c r="C1501" t="s">
        <v>33</v>
      </c>
      <c r="D1501" t="s">
        <v>3268</v>
      </c>
      <c r="E1501" t="s">
        <v>47</v>
      </c>
      <c r="F1501" t="s">
        <v>3216</v>
      </c>
      <c r="G1501" t="s">
        <v>48</v>
      </c>
      <c r="H1501" t="str">
        <f>VLOOKUP(Table1[[#This Row],[City]],Table6[#All],2,FALSE)</f>
        <v>North</v>
      </c>
      <c r="I1501" t="s">
        <v>3203</v>
      </c>
      <c r="J1501" t="str">
        <f>_xlfn.XLOOKUP(Table1[[#This Row],[Tractor Model]],Table7[Product Model],Table7[Product Category],"Not Available",0)</f>
        <v>Kubota</v>
      </c>
      <c r="K1501" s="4">
        <v>5</v>
      </c>
      <c r="L1501" s="72">
        <v>64819</v>
      </c>
      <c r="M1501" s="4">
        <f>INDEX('Master Sheet'!$C$4:$C$12,MATCH(Table1[[#This Row],[Quantity]],'Master Sheet'!$B$4:$B$12,0))</f>
        <v>7</v>
      </c>
      <c r="N1501" s="71">
        <f>Table1[[#This Row],[Quantity]]*Table1[[#This Row],[Unit Price]]</f>
        <v>324095</v>
      </c>
      <c r="O1501" s="73">
        <v>3.2409500000000001E-2</v>
      </c>
      <c r="P1501" s="70">
        <f>Table1[[#This Row],[Gross Amount]]*(1-(Table1[[#This Row],[Discount %]]/100))</f>
        <v>301408.34999999998</v>
      </c>
      <c r="Q1501" s="74">
        <f>(Table1[[#This Row],[Gross Amount]]*(1-(Table1[[#This Row],[Discount %]]/100)))/10000000</f>
        <v>3.0140834999999998E-2</v>
      </c>
      <c r="R1501" t="s">
        <v>42</v>
      </c>
      <c r="S1501" t="str" cm="1">
        <f t="array" ref="S1501">IFERROR(_xlfn.IFS(Table1[[#This Row],[Payment Status]]="Partial","In Transit",Table1[[#This Row],[Payment Status]]="Paid","Delivered",Table1[[#This Row],[Payment Status]]="Pending","Pending"),"Invalid Input")</f>
        <v>Pending</v>
      </c>
      <c r="T1501" t="s">
        <v>44</v>
      </c>
      <c r="U1501" t="str" cm="1">
        <f t="array" ref="U1501">IFERROR(_xlfn.IFS(Table1[[#This Row],[Payment Status]]="Partial","In Transit",Table1[[#This Row],[Payment Status]]="Paid","Completed",Table1[[#This Row],[Payment Status]]="Pending","Pending"),"Invalid Input")</f>
        <v>Pending</v>
      </c>
    </row>
    <row r="1502" spans="1:21" x14ac:dyDescent="0.25">
      <c r="A1502" s="4" t="s">
        <v>2573</v>
      </c>
      <c r="B1502" s="5">
        <v>45296</v>
      </c>
      <c r="C1502" t="s">
        <v>73</v>
      </c>
      <c r="D1502" t="s">
        <v>3268</v>
      </c>
      <c r="E1502" t="s">
        <v>119</v>
      </c>
      <c r="F1502" t="s">
        <v>3227</v>
      </c>
      <c r="G1502" t="s">
        <v>21</v>
      </c>
      <c r="H1502" t="str">
        <f>VLOOKUP(Table1[[#This Row],[City]],Table6[#All],2,FALSE)</f>
        <v>North</v>
      </c>
      <c r="I1502" t="s">
        <v>53</v>
      </c>
      <c r="J1502" t="str">
        <f>_xlfn.XLOOKUP(Table1[[#This Row],[Tractor Model]],Table7[Product Model],Table7[Product Category],"Not Available",0)</f>
        <v>Farmtrac</v>
      </c>
      <c r="K1502" s="4">
        <v>3</v>
      </c>
      <c r="L1502" s="72">
        <v>91971</v>
      </c>
      <c r="M1502" s="4">
        <f>INDEX('Master Sheet'!$C$4:$C$12,MATCH(Table1[[#This Row],[Quantity]],'Master Sheet'!$B$4:$B$12,0))</f>
        <v>6</v>
      </c>
      <c r="N1502" s="71">
        <f>Table1[[#This Row],[Quantity]]*Table1[[#This Row],[Unit Price]]</f>
        <v>275913</v>
      </c>
      <c r="O1502" s="73">
        <v>2.7591299999999999E-2</v>
      </c>
      <c r="P1502" s="70">
        <f>Table1[[#This Row],[Gross Amount]]*(1-(Table1[[#This Row],[Discount %]]/100))</f>
        <v>259358.21999999997</v>
      </c>
      <c r="Q1502" s="74">
        <f>(Table1[[#This Row],[Gross Amount]]*(1-(Table1[[#This Row],[Discount %]]/100)))/10000000</f>
        <v>2.5935821999999997E-2</v>
      </c>
      <c r="R1502" t="s">
        <v>42</v>
      </c>
      <c r="S1502" t="str" cm="1">
        <f t="array" ref="S1502">IFERROR(_xlfn.IFS(Table1[[#This Row],[Payment Status]]="Partial","In Transit",Table1[[#This Row],[Payment Status]]="Paid","Delivered",Table1[[#This Row],[Payment Status]]="Pending","Pending"),"Invalid Input")</f>
        <v>Pending</v>
      </c>
      <c r="T1502" t="s">
        <v>44</v>
      </c>
      <c r="U1502" t="str" cm="1">
        <f t="array" ref="U1502">IFERROR(_xlfn.IFS(Table1[[#This Row],[Payment Status]]="Partial","In Transit",Table1[[#This Row],[Payment Status]]="Paid","Completed",Table1[[#This Row],[Payment Status]]="Pending","Pending"),"Invalid Input")</f>
        <v>Pending</v>
      </c>
    </row>
    <row r="1503" spans="1:21" x14ac:dyDescent="0.25">
      <c r="A1503" s="4" t="s">
        <v>2574</v>
      </c>
      <c r="B1503" s="5">
        <v>45396</v>
      </c>
      <c r="C1503" t="s">
        <v>33</v>
      </c>
      <c r="D1503" t="s">
        <v>3270</v>
      </c>
      <c r="E1503" t="s">
        <v>119</v>
      </c>
      <c r="F1503" t="s">
        <v>3212</v>
      </c>
      <c r="G1503" t="s">
        <v>21</v>
      </c>
      <c r="H1503" t="str">
        <f>VLOOKUP(Table1[[#This Row],[City]],Table6[#All],2,FALSE)</f>
        <v>North</v>
      </c>
      <c r="I1503" t="s">
        <v>3204</v>
      </c>
      <c r="J1503" t="str">
        <f>_xlfn.XLOOKUP(Table1[[#This Row],[Tractor Model]],Table7[Product Model],Table7[Product Category],"Not Available",0)</f>
        <v>Kubota</v>
      </c>
      <c r="K1503" s="4">
        <v>5</v>
      </c>
      <c r="L1503" s="72">
        <v>572179</v>
      </c>
      <c r="M1503" s="4">
        <f>INDEX('Master Sheet'!$C$4:$C$12,MATCH(Table1[[#This Row],[Quantity]],'Master Sheet'!$B$4:$B$12,0))</f>
        <v>7</v>
      </c>
      <c r="N1503" s="71">
        <f>Table1[[#This Row],[Quantity]]*Table1[[#This Row],[Unit Price]]</f>
        <v>2860895</v>
      </c>
      <c r="O1503" s="73">
        <v>0.2860895</v>
      </c>
      <c r="P1503" s="70">
        <f>Table1[[#This Row],[Gross Amount]]*(1-(Table1[[#This Row],[Discount %]]/100))</f>
        <v>2660632.3499999996</v>
      </c>
      <c r="Q1503" s="74">
        <f>(Table1[[#This Row],[Gross Amount]]*(1-(Table1[[#This Row],[Discount %]]/100)))/10000000</f>
        <v>0.26606323499999995</v>
      </c>
      <c r="R1503" t="s">
        <v>25</v>
      </c>
      <c r="S1503" t="str" cm="1">
        <f t="array" ref="S1503">IFERROR(_xlfn.IFS(Table1[[#This Row],[Payment Status]]="Partial","In Transit",Table1[[#This Row],[Payment Status]]="Paid","Delivered",Table1[[#This Row],[Payment Status]]="Pending","Pending"),"Invalid Input")</f>
        <v>In Transit</v>
      </c>
      <c r="T1503" t="s">
        <v>44</v>
      </c>
      <c r="U1503" t="str" cm="1">
        <f t="array" ref="U1503">IFERROR(_xlfn.IFS(Table1[[#This Row],[Payment Status]]="Partial","In Transit",Table1[[#This Row],[Payment Status]]="Paid","Completed",Table1[[#This Row],[Payment Status]]="Pending","Pending"),"Invalid Input")</f>
        <v>In Transit</v>
      </c>
    </row>
    <row r="1504" spans="1:21" x14ac:dyDescent="0.25">
      <c r="A1504" s="4" t="s">
        <v>2575</v>
      </c>
      <c r="B1504" s="5">
        <v>45408</v>
      </c>
      <c r="C1504" t="s">
        <v>62</v>
      </c>
      <c r="D1504" t="s">
        <v>3271</v>
      </c>
      <c r="E1504" t="s">
        <v>119</v>
      </c>
      <c r="F1504" t="s">
        <v>3228</v>
      </c>
      <c r="G1504" t="s">
        <v>21</v>
      </c>
      <c r="H1504" t="str">
        <f>VLOOKUP(Table1[[#This Row],[City]],Table6[#All],2,FALSE)</f>
        <v>North</v>
      </c>
      <c r="I1504" t="s">
        <v>3203</v>
      </c>
      <c r="J1504" t="str">
        <f>_xlfn.XLOOKUP(Table1[[#This Row],[Tractor Model]],Table7[Product Model],Table7[Product Category],"Not Available",0)</f>
        <v>Kubota</v>
      </c>
      <c r="K1504" s="4">
        <v>8</v>
      </c>
      <c r="L1504" s="72">
        <v>789144</v>
      </c>
      <c r="M1504" s="4">
        <f>INDEX('Master Sheet'!$C$4:$C$12,MATCH(Table1[[#This Row],[Quantity]],'Master Sheet'!$B$4:$B$12,0))</f>
        <v>9</v>
      </c>
      <c r="N1504" s="71">
        <f>Table1[[#This Row],[Quantity]]*Table1[[#This Row],[Unit Price]]</f>
        <v>6313152</v>
      </c>
      <c r="O1504" s="73">
        <v>0.63131519999999997</v>
      </c>
      <c r="P1504" s="70">
        <f>Table1[[#This Row],[Gross Amount]]*(1-(Table1[[#This Row],[Discount %]]/100))</f>
        <v>5744968.3200000003</v>
      </c>
      <c r="Q1504" s="74">
        <f>(Table1[[#This Row],[Gross Amount]]*(1-(Table1[[#This Row],[Discount %]]/100)))/10000000</f>
        <v>0.57449683200000001</v>
      </c>
      <c r="R1504" t="s">
        <v>54</v>
      </c>
      <c r="S1504" t="str" cm="1">
        <f t="array" ref="S1504">IFERROR(_xlfn.IFS(Table1[[#This Row],[Payment Status]]="Partial","In Transit",Table1[[#This Row],[Payment Status]]="Paid","Delivered",Table1[[#This Row],[Payment Status]]="Pending","Pending"),"Invalid Input")</f>
        <v>Delivered</v>
      </c>
      <c r="T1504" t="s">
        <v>44</v>
      </c>
      <c r="U1504" t="str" cm="1">
        <f t="array" ref="U1504">IFERROR(_xlfn.IFS(Table1[[#This Row],[Payment Status]]="Partial","In Transit",Table1[[#This Row],[Payment Status]]="Paid","Completed",Table1[[#This Row],[Payment Status]]="Pending","Pending"),"Invalid Input")</f>
        <v>Completed</v>
      </c>
    </row>
    <row r="1505" spans="1:21" x14ac:dyDescent="0.25">
      <c r="A1505" s="4" t="s">
        <v>2576</v>
      </c>
      <c r="B1505" s="5">
        <v>45706</v>
      </c>
      <c r="C1505" t="s">
        <v>33</v>
      </c>
      <c r="D1505" t="s">
        <v>37</v>
      </c>
      <c r="E1505" t="s">
        <v>119</v>
      </c>
      <c r="F1505" t="s">
        <v>3224</v>
      </c>
      <c r="G1505" t="s">
        <v>21</v>
      </c>
      <c r="H1505" t="str">
        <f>VLOOKUP(Table1[[#This Row],[City]],Table6[#All],2,FALSE)</f>
        <v>North</v>
      </c>
      <c r="I1505" t="s">
        <v>53</v>
      </c>
      <c r="J1505" t="str">
        <f>_xlfn.XLOOKUP(Table1[[#This Row],[Tractor Model]],Table7[Product Model],Table7[Product Category],"Not Available",0)</f>
        <v>Farmtrac</v>
      </c>
      <c r="K1505" s="4">
        <v>6</v>
      </c>
      <c r="L1505" s="72">
        <v>177130</v>
      </c>
      <c r="M1505" s="4">
        <f>INDEX('Master Sheet'!$C$4:$C$12,MATCH(Table1[[#This Row],[Quantity]],'Master Sheet'!$B$4:$B$12,0))</f>
        <v>8</v>
      </c>
      <c r="N1505" s="71">
        <f>Table1[[#This Row],[Quantity]]*Table1[[#This Row],[Unit Price]]</f>
        <v>1062780</v>
      </c>
      <c r="O1505" s="73">
        <v>0.106278</v>
      </c>
      <c r="P1505" s="70">
        <f>Table1[[#This Row],[Gross Amount]]*(1-(Table1[[#This Row],[Discount %]]/100))</f>
        <v>977757.60000000009</v>
      </c>
      <c r="Q1505" s="74">
        <f>(Table1[[#This Row],[Gross Amount]]*(1-(Table1[[#This Row],[Discount %]]/100)))/10000000</f>
        <v>9.7775760000000003E-2</v>
      </c>
      <c r="R1505" t="s">
        <v>42</v>
      </c>
      <c r="S1505" t="str" cm="1">
        <f t="array" ref="S1505">IFERROR(_xlfn.IFS(Table1[[#This Row],[Payment Status]]="Partial","In Transit",Table1[[#This Row],[Payment Status]]="Paid","Delivered",Table1[[#This Row],[Payment Status]]="Pending","Pending"),"Invalid Input")</f>
        <v>Pending</v>
      </c>
      <c r="T1505" t="s">
        <v>27</v>
      </c>
      <c r="U1505" t="str" cm="1">
        <f t="array" ref="U1505">IFERROR(_xlfn.IFS(Table1[[#This Row],[Payment Status]]="Partial","In Transit",Table1[[#This Row],[Payment Status]]="Paid","Completed",Table1[[#This Row],[Payment Status]]="Pending","Pending"),"Invalid Input")</f>
        <v>Pending</v>
      </c>
    </row>
    <row r="1506" spans="1:21" x14ac:dyDescent="0.25">
      <c r="A1506" s="4" t="s">
        <v>2577</v>
      </c>
      <c r="B1506" s="5">
        <v>45612</v>
      </c>
      <c r="C1506" t="s">
        <v>52</v>
      </c>
      <c r="D1506" t="s">
        <v>3271</v>
      </c>
      <c r="E1506" t="s">
        <v>30</v>
      </c>
      <c r="F1506" t="s">
        <v>3217</v>
      </c>
      <c r="G1506" t="s">
        <v>31</v>
      </c>
      <c r="H1506" t="str">
        <f>VLOOKUP(Table1[[#This Row],[City]],Table6[#All],2,FALSE)</f>
        <v>South</v>
      </c>
      <c r="I1506" t="s">
        <v>24</v>
      </c>
      <c r="J1506" t="str">
        <f>_xlfn.XLOOKUP(Table1[[#This Row],[Tractor Model]],Table7[Product Model],Table7[Product Category],"Not Available",0)</f>
        <v>Farmtrac</v>
      </c>
      <c r="K1506" s="4">
        <v>2</v>
      </c>
      <c r="L1506" s="72">
        <v>450975</v>
      </c>
      <c r="M1506" s="4">
        <f>INDEX('Master Sheet'!$C$4:$C$12,MATCH(Table1[[#This Row],[Quantity]],'Master Sheet'!$B$4:$B$12,0))</f>
        <v>5</v>
      </c>
      <c r="N1506" s="71">
        <f>Table1[[#This Row],[Quantity]]*Table1[[#This Row],[Unit Price]]</f>
        <v>901950</v>
      </c>
      <c r="O1506" s="73">
        <v>9.0194999999999997E-2</v>
      </c>
      <c r="P1506" s="70">
        <f>Table1[[#This Row],[Gross Amount]]*(1-(Table1[[#This Row],[Discount %]]/100))</f>
        <v>856852.5</v>
      </c>
      <c r="Q1506" s="74">
        <f>(Table1[[#This Row],[Gross Amount]]*(1-(Table1[[#This Row],[Discount %]]/100)))/10000000</f>
        <v>8.5685250000000004E-2</v>
      </c>
      <c r="R1506" t="s">
        <v>42</v>
      </c>
      <c r="S1506" t="str" cm="1">
        <f t="array" ref="S1506">IFERROR(_xlfn.IFS(Table1[[#This Row],[Payment Status]]="Partial","In Transit",Table1[[#This Row],[Payment Status]]="Paid","Delivered",Table1[[#This Row],[Payment Status]]="Pending","Pending"),"Invalid Input")</f>
        <v>Pending</v>
      </c>
      <c r="T1506" t="s">
        <v>27</v>
      </c>
      <c r="U1506" t="str" cm="1">
        <f t="array" ref="U1506">IFERROR(_xlfn.IFS(Table1[[#This Row],[Payment Status]]="Partial","In Transit",Table1[[#This Row],[Payment Status]]="Paid","Completed",Table1[[#This Row],[Payment Status]]="Pending","Pending"),"Invalid Input")</f>
        <v>Pending</v>
      </c>
    </row>
    <row r="1507" spans="1:21" x14ac:dyDescent="0.25">
      <c r="A1507" s="4" t="s">
        <v>2578</v>
      </c>
      <c r="B1507" s="5">
        <v>45355</v>
      </c>
      <c r="C1507" t="s">
        <v>52</v>
      </c>
      <c r="D1507" t="s">
        <v>3271</v>
      </c>
      <c r="E1507" t="s">
        <v>30</v>
      </c>
      <c r="F1507" t="s">
        <v>3217</v>
      </c>
      <c r="G1507" t="s">
        <v>31</v>
      </c>
      <c r="H1507" t="str">
        <f>VLOOKUP(Table1[[#This Row],[City]],Table6[#All],2,FALSE)</f>
        <v>South</v>
      </c>
      <c r="I1507" t="s">
        <v>3203</v>
      </c>
      <c r="J1507" t="str">
        <f>_xlfn.XLOOKUP(Table1[[#This Row],[Tractor Model]],Table7[Product Model],Table7[Product Category],"Not Available",0)</f>
        <v>Kubota</v>
      </c>
      <c r="K1507" s="4">
        <v>5</v>
      </c>
      <c r="L1507" s="72">
        <v>884548</v>
      </c>
      <c r="M1507" s="4">
        <f>INDEX('Master Sheet'!$C$4:$C$12,MATCH(Table1[[#This Row],[Quantity]],'Master Sheet'!$B$4:$B$12,0))</f>
        <v>7</v>
      </c>
      <c r="N1507" s="71">
        <f>Table1[[#This Row],[Quantity]]*Table1[[#This Row],[Unit Price]]</f>
        <v>4422740</v>
      </c>
      <c r="O1507" s="73">
        <v>0.442274</v>
      </c>
      <c r="P1507" s="70">
        <f>Table1[[#This Row],[Gross Amount]]*(1-(Table1[[#This Row],[Discount %]]/100))</f>
        <v>4113148.1999999997</v>
      </c>
      <c r="Q1507" s="74">
        <f>(Table1[[#This Row],[Gross Amount]]*(1-(Table1[[#This Row],[Discount %]]/100)))/10000000</f>
        <v>0.41131481999999997</v>
      </c>
      <c r="R1507" t="s">
        <v>25</v>
      </c>
      <c r="S1507" t="str" cm="1">
        <f t="array" ref="S1507">IFERROR(_xlfn.IFS(Table1[[#This Row],[Payment Status]]="Partial","In Transit",Table1[[#This Row],[Payment Status]]="Paid","Delivered",Table1[[#This Row],[Payment Status]]="Pending","Pending"),"Invalid Input")</f>
        <v>In Transit</v>
      </c>
      <c r="T1507" t="s">
        <v>27</v>
      </c>
      <c r="U1507" t="str" cm="1">
        <f t="array" ref="U1507">IFERROR(_xlfn.IFS(Table1[[#This Row],[Payment Status]]="Partial","In Transit",Table1[[#This Row],[Payment Status]]="Paid","Completed",Table1[[#This Row],[Payment Status]]="Pending","Pending"),"Invalid Input")</f>
        <v>In Transit</v>
      </c>
    </row>
    <row r="1508" spans="1:21" x14ac:dyDescent="0.25">
      <c r="A1508" s="4" t="s">
        <v>2579</v>
      </c>
      <c r="B1508" s="5">
        <v>45572</v>
      </c>
      <c r="C1508" t="s">
        <v>33</v>
      </c>
      <c r="D1508" t="s">
        <v>3271</v>
      </c>
      <c r="E1508" t="s">
        <v>66</v>
      </c>
      <c r="F1508" t="s">
        <v>3207</v>
      </c>
      <c r="G1508" t="s">
        <v>67</v>
      </c>
      <c r="H1508" t="str">
        <f>VLOOKUP(Table1[[#This Row],[City]],Table6[#All],2,FALSE)</f>
        <v>East</v>
      </c>
      <c r="I1508" t="s">
        <v>53</v>
      </c>
      <c r="J1508" t="str">
        <f>_xlfn.XLOOKUP(Table1[[#This Row],[Tractor Model]],Table7[Product Model],Table7[Product Category],"Not Available",0)</f>
        <v>Farmtrac</v>
      </c>
      <c r="K1508" s="4">
        <v>4</v>
      </c>
      <c r="L1508" s="72">
        <v>637327</v>
      </c>
      <c r="M1508" s="4">
        <f>INDEX('Master Sheet'!$C$4:$C$12,MATCH(Table1[[#This Row],[Quantity]],'Master Sheet'!$B$4:$B$12,0))</f>
        <v>6</v>
      </c>
      <c r="N1508" s="71">
        <f>Table1[[#This Row],[Quantity]]*Table1[[#This Row],[Unit Price]]</f>
        <v>2549308</v>
      </c>
      <c r="O1508" s="73">
        <v>0.25493080000000001</v>
      </c>
      <c r="P1508" s="70">
        <f>Table1[[#This Row],[Gross Amount]]*(1-(Table1[[#This Row],[Discount %]]/100))</f>
        <v>2396349.52</v>
      </c>
      <c r="Q1508" s="74">
        <f>(Table1[[#This Row],[Gross Amount]]*(1-(Table1[[#This Row],[Discount %]]/100)))/10000000</f>
        <v>0.23963495200000001</v>
      </c>
      <c r="R1508" t="s">
        <v>54</v>
      </c>
      <c r="S1508" t="str" cm="1">
        <f t="array" ref="S1508">IFERROR(_xlfn.IFS(Table1[[#This Row],[Payment Status]]="Partial","In Transit",Table1[[#This Row],[Payment Status]]="Paid","Delivered",Table1[[#This Row],[Payment Status]]="Pending","Pending"),"Invalid Input")</f>
        <v>Delivered</v>
      </c>
      <c r="T1508" t="s">
        <v>27</v>
      </c>
      <c r="U1508" t="str" cm="1">
        <f t="array" ref="U1508">IFERROR(_xlfn.IFS(Table1[[#This Row],[Payment Status]]="Partial","In Transit",Table1[[#This Row],[Payment Status]]="Paid","Completed",Table1[[#This Row],[Payment Status]]="Pending","Pending"),"Invalid Input")</f>
        <v>Completed</v>
      </c>
    </row>
    <row r="1509" spans="1:21" x14ac:dyDescent="0.25">
      <c r="A1509" s="4" t="s">
        <v>2580</v>
      </c>
      <c r="B1509" s="5">
        <v>45420</v>
      </c>
      <c r="C1509" t="s">
        <v>73</v>
      </c>
      <c r="D1509" t="s">
        <v>3268</v>
      </c>
      <c r="E1509" t="s">
        <v>30</v>
      </c>
      <c r="F1509" t="s">
        <v>3208</v>
      </c>
      <c r="G1509" t="s">
        <v>31</v>
      </c>
      <c r="H1509" t="str">
        <f>VLOOKUP(Table1[[#This Row],[City]],Table6[#All],2,FALSE)</f>
        <v>South</v>
      </c>
      <c r="I1509" t="s">
        <v>53</v>
      </c>
      <c r="J1509" t="str">
        <f>_xlfn.XLOOKUP(Table1[[#This Row],[Tractor Model]],Table7[Product Model],Table7[Product Category],"Not Available",0)</f>
        <v>Farmtrac</v>
      </c>
      <c r="K1509" s="4">
        <v>6</v>
      </c>
      <c r="L1509" s="72">
        <v>438666</v>
      </c>
      <c r="M1509" s="4">
        <f>INDEX('Master Sheet'!$C$4:$C$12,MATCH(Table1[[#This Row],[Quantity]],'Master Sheet'!$B$4:$B$12,0))</f>
        <v>8</v>
      </c>
      <c r="N1509" s="71">
        <f>Table1[[#This Row],[Quantity]]*Table1[[#This Row],[Unit Price]]</f>
        <v>2631996</v>
      </c>
      <c r="O1509" s="73">
        <v>0.26319959999999998</v>
      </c>
      <c r="P1509" s="70">
        <f>Table1[[#This Row],[Gross Amount]]*(1-(Table1[[#This Row],[Discount %]]/100))</f>
        <v>2421436.3200000003</v>
      </c>
      <c r="Q1509" s="74">
        <f>(Table1[[#This Row],[Gross Amount]]*(1-(Table1[[#This Row],[Discount %]]/100)))/10000000</f>
        <v>0.24214363200000003</v>
      </c>
      <c r="R1509" t="s">
        <v>25</v>
      </c>
      <c r="S1509" t="str" cm="1">
        <f t="array" ref="S1509">IFERROR(_xlfn.IFS(Table1[[#This Row],[Payment Status]]="Partial","In Transit",Table1[[#This Row],[Payment Status]]="Paid","Delivered",Table1[[#This Row],[Payment Status]]="Pending","Pending"),"Invalid Input")</f>
        <v>In Transit</v>
      </c>
      <c r="T1509" t="s">
        <v>44</v>
      </c>
      <c r="U1509" t="str" cm="1">
        <f t="array" ref="U1509">IFERROR(_xlfn.IFS(Table1[[#This Row],[Payment Status]]="Partial","In Transit",Table1[[#This Row],[Payment Status]]="Paid","Completed",Table1[[#This Row],[Payment Status]]="Pending","Pending"),"Invalid Input")</f>
        <v>In Transit</v>
      </c>
    </row>
    <row r="1510" spans="1:21" x14ac:dyDescent="0.25">
      <c r="A1510" s="4" t="s">
        <v>2582</v>
      </c>
      <c r="B1510" s="5">
        <v>45510</v>
      </c>
      <c r="C1510" t="s">
        <v>52</v>
      </c>
      <c r="D1510" t="s">
        <v>3271</v>
      </c>
      <c r="E1510" t="s">
        <v>119</v>
      </c>
      <c r="F1510" t="s">
        <v>3228</v>
      </c>
      <c r="G1510" t="s">
        <v>21</v>
      </c>
      <c r="H1510" t="str">
        <f>VLOOKUP(Table1[[#This Row],[City]],Table6[#All],2,FALSE)</f>
        <v>North</v>
      </c>
      <c r="I1510" t="s">
        <v>58</v>
      </c>
      <c r="J1510" t="str">
        <f>_xlfn.XLOOKUP(Table1[[#This Row],[Tractor Model]],Table7[Product Model],Table7[Product Category],"Not Available",0)</f>
        <v>Powertrac</v>
      </c>
      <c r="K1510" s="4">
        <v>5</v>
      </c>
      <c r="L1510" s="72">
        <v>335493</v>
      </c>
      <c r="M1510" s="4">
        <f>INDEX('Master Sheet'!$C$4:$C$12,MATCH(Table1[[#This Row],[Quantity]],'Master Sheet'!$B$4:$B$12,0))</f>
        <v>7</v>
      </c>
      <c r="N1510" s="71">
        <f>Table1[[#This Row],[Quantity]]*Table1[[#This Row],[Unit Price]]</f>
        <v>1677465</v>
      </c>
      <c r="O1510" s="73">
        <v>0.16774649999999999</v>
      </c>
      <c r="P1510" s="70">
        <f>Table1[[#This Row],[Gross Amount]]*(1-(Table1[[#This Row],[Discount %]]/100))</f>
        <v>1560042.45</v>
      </c>
      <c r="Q1510" s="74">
        <f>(Table1[[#This Row],[Gross Amount]]*(1-(Table1[[#This Row],[Discount %]]/100)))/10000000</f>
        <v>0.15600424499999999</v>
      </c>
      <c r="R1510" t="s">
        <v>42</v>
      </c>
      <c r="S1510" t="str" cm="1">
        <f t="array" ref="S1510">IFERROR(_xlfn.IFS(Table1[[#This Row],[Payment Status]]="Partial","In Transit",Table1[[#This Row],[Payment Status]]="Paid","Delivered",Table1[[#This Row],[Payment Status]]="Pending","Pending"),"Invalid Input")</f>
        <v>Pending</v>
      </c>
      <c r="T1510" t="s">
        <v>27</v>
      </c>
      <c r="U1510" t="str" cm="1">
        <f t="array" ref="U1510">IFERROR(_xlfn.IFS(Table1[[#This Row],[Payment Status]]="Partial","In Transit",Table1[[#This Row],[Payment Status]]="Paid","Completed",Table1[[#This Row],[Payment Status]]="Pending","Pending"),"Invalid Input")</f>
        <v>Pending</v>
      </c>
    </row>
    <row r="1511" spans="1:21" x14ac:dyDescent="0.25">
      <c r="A1511" s="4" t="s">
        <v>2584</v>
      </c>
      <c r="B1511" s="5">
        <v>45533</v>
      </c>
      <c r="C1511" t="s">
        <v>62</v>
      </c>
      <c r="D1511" t="s">
        <v>3269</v>
      </c>
      <c r="E1511" t="s">
        <v>66</v>
      </c>
      <c r="F1511" t="s">
        <v>3213</v>
      </c>
      <c r="G1511" t="s">
        <v>67</v>
      </c>
      <c r="H1511" t="str">
        <f>VLOOKUP(Table1[[#This Row],[City]],Table6[#All],2,FALSE)</f>
        <v>East</v>
      </c>
      <c r="I1511" t="s">
        <v>53</v>
      </c>
      <c r="J1511" t="str">
        <f>_xlfn.XLOOKUP(Table1[[#This Row],[Tractor Model]],Table7[Product Model],Table7[Product Category],"Not Available",0)</f>
        <v>Farmtrac</v>
      </c>
      <c r="K1511" s="4">
        <v>3</v>
      </c>
      <c r="L1511" s="72">
        <v>309566</v>
      </c>
      <c r="M1511" s="4">
        <f>INDEX('Master Sheet'!$C$4:$C$12,MATCH(Table1[[#This Row],[Quantity]],'Master Sheet'!$B$4:$B$12,0))</f>
        <v>6</v>
      </c>
      <c r="N1511" s="71">
        <f>Table1[[#This Row],[Quantity]]*Table1[[#This Row],[Unit Price]]</f>
        <v>928698</v>
      </c>
      <c r="O1511" s="73">
        <v>9.2869800000000002E-2</v>
      </c>
      <c r="P1511" s="70">
        <f>Table1[[#This Row],[Gross Amount]]*(1-(Table1[[#This Row],[Discount %]]/100))</f>
        <v>872976.12</v>
      </c>
      <c r="Q1511" s="74">
        <f>(Table1[[#This Row],[Gross Amount]]*(1-(Table1[[#This Row],[Discount %]]/100)))/10000000</f>
        <v>8.7297611999999997E-2</v>
      </c>
      <c r="R1511" t="s">
        <v>25</v>
      </c>
      <c r="S1511" t="str" cm="1">
        <f t="array" ref="S1511">IFERROR(_xlfn.IFS(Table1[[#This Row],[Payment Status]]="Partial","In Transit",Table1[[#This Row],[Payment Status]]="Paid","Delivered",Table1[[#This Row],[Payment Status]]="Pending","Pending"),"Invalid Input")</f>
        <v>In Transit</v>
      </c>
      <c r="T1511" t="s">
        <v>27</v>
      </c>
      <c r="U1511" t="str" cm="1">
        <f t="array" ref="U1511">IFERROR(_xlfn.IFS(Table1[[#This Row],[Payment Status]]="Partial","In Transit",Table1[[#This Row],[Payment Status]]="Paid","Completed",Table1[[#This Row],[Payment Status]]="Pending","Pending"),"Invalid Input")</f>
        <v>In Transit</v>
      </c>
    </row>
    <row r="1512" spans="1:21" x14ac:dyDescent="0.25">
      <c r="A1512" s="4" t="s">
        <v>2586</v>
      </c>
      <c r="B1512" s="5">
        <v>45739</v>
      </c>
      <c r="C1512" t="s">
        <v>73</v>
      </c>
      <c r="D1512" t="s">
        <v>3270</v>
      </c>
      <c r="E1512" t="s">
        <v>30</v>
      </c>
      <c r="F1512" t="s">
        <v>3223</v>
      </c>
      <c r="G1512" t="s">
        <v>31</v>
      </c>
      <c r="H1512" t="str">
        <f>VLOOKUP(Table1[[#This Row],[City]],Table6[#All],2,FALSE)</f>
        <v>South</v>
      </c>
      <c r="I1512" t="s">
        <v>3203</v>
      </c>
      <c r="J1512" t="str">
        <f>_xlfn.XLOOKUP(Table1[[#This Row],[Tractor Model]],Table7[Product Model],Table7[Product Category],"Not Available",0)</f>
        <v>Kubota</v>
      </c>
      <c r="K1512" s="4">
        <v>5</v>
      </c>
      <c r="L1512" s="72">
        <v>309503</v>
      </c>
      <c r="M1512" s="4">
        <f>INDEX('Master Sheet'!$C$4:$C$12,MATCH(Table1[[#This Row],[Quantity]],'Master Sheet'!$B$4:$B$12,0))</f>
        <v>7</v>
      </c>
      <c r="N1512" s="71">
        <f>Table1[[#This Row],[Quantity]]*Table1[[#This Row],[Unit Price]]</f>
        <v>1547515</v>
      </c>
      <c r="O1512" s="73">
        <v>0.15475149999999999</v>
      </c>
      <c r="P1512" s="70">
        <f>Table1[[#This Row],[Gross Amount]]*(1-(Table1[[#This Row],[Discount %]]/100))</f>
        <v>1439188.95</v>
      </c>
      <c r="Q1512" s="74">
        <f>(Table1[[#This Row],[Gross Amount]]*(1-(Table1[[#This Row],[Discount %]]/100)))/10000000</f>
        <v>0.14391889499999999</v>
      </c>
      <c r="R1512" t="s">
        <v>54</v>
      </c>
      <c r="S1512" t="str" cm="1">
        <f t="array" ref="S1512">IFERROR(_xlfn.IFS(Table1[[#This Row],[Payment Status]]="Partial","In Transit",Table1[[#This Row],[Payment Status]]="Paid","Delivered",Table1[[#This Row],[Payment Status]]="Pending","Pending"),"Invalid Input")</f>
        <v>Delivered</v>
      </c>
      <c r="T1512" t="s">
        <v>27</v>
      </c>
      <c r="U1512" t="str" cm="1">
        <f t="array" ref="U1512">IFERROR(_xlfn.IFS(Table1[[#This Row],[Payment Status]]="Partial","In Transit",Table1[[#This Row],[Payment Status]]="Paid","Completed",Table1[[#This Row],[Payment Status]]="Pending","Pending"),"Invalid Input")</f>
        <v>Completed</v>
      </c>
    </row>
    <row r="1513" spans="1:21" x14ac:dyDescent="0.25">
      <c r="A1513" s="4" t="s">
        <v>2588</v>
      </c>
      <c r="B1513" s="5">
        <v>45817</v>
      </c>
      <c r="C1513" t="s">
        <v>73</v>
      </c>
      <c r="D1513" t="s">
        <v>37</v>
      </c>
      <c r="E1513" t="s">
        <v>30</v>
      </c>
      <c r="F1513" t="s">
        <v>3222</v>
      </c>
      <c r="G1513" t="s">
        <v>31</v>
      </c>
      <c r="H1513" t="str">
        <f>VLOOKUP(Table1[[#This Row],[City]],Table6[#All],2,FALSE)</f>
        <v>South</v>
      </c>
      <c r="I1513" t="s">
        <v>3204</v>
      </c>
      <c r="J1513" t="str">
        <f>_xlfn.XLOOKUP(Table1[[#This Row],[Tractor Model]],Table7[Product Model],Table7[Product Category],"Not Available",0)</f>
        <v>Kubota</v>
      </c>
      <c r="K1513" s="4">
        <v>5</v>
      </c>
      <c r="L1513" s="72">
        <v>108201</v>
      </c>
      <c r="M1513" s="4">
        <f>INDEX('Master Sheet'!$C$4:$C$12,MATCH(Table1[[#This Row],[Quantity]],'Master Sheet'!$B$4:$B$12,0))</f>
        <v>7</v>
      </c>
      <c r="N1513" s="71">
        <f>Table1[[#This Row],[Quantity]]*Table1[[#This Row],[Unit Price]]</f>
        <v>541005</v>
      </c>
      <c r="O1513" s="73">
        <v>5.4100500000000003E-2</v>
      </c>
      <c r="P1513" s="70">
        <f>Table1[[#This Row],[Gross Amount]]*(1-(Table1[[#This Row],[Discount %]]/100))</f>
        <v>503134.64999999997</v>
      </c>
      <c r="Q1513" s="74">
        <f>(Table1[[#This Row],[Gross Amount]]*(1-(Table1[[#This Row],[Discount %]]/100)))/10000000</f>
        <v>5.0313464999999995E-2</v>
      </c>
      <c r="R1513" t="s">
        <v>54</v>
      </c>
      <c r="S1513" t="str" cm="1">
        <f t="array" ref="S1513">IFERROR(_xlfn.IFS(Table1[[#This Row],[Payment Status]]="Partial","In Transit",Table1[[#This Row],[Payment Status]]="Paid","Delivered",Table1[[#This Row],[Payment Status]]="Pending","Pending"),"Invalid Input")</f>
        <v>Delivered</v>
      </c>
      <c r="T1513" t="s">
        <v>44</v>
      </c>
      <c r="U1513" t="str" cm="1">
        <f t="array" ref="U1513">IFERROR(_xlfn.IFS(Table1[[#This Row],[Payment Status]]="Partial","In Transit",Table1[[#This Row],[Payment Status]]="Paid","Completed",Table1[[#This Row],[Payment Status]]="Pending","Pending"),"Invalid Input")</f>
        <v>Completed</v>
      </c>
    </row>
    <row r="1514" spans="1:21" x14ac:dyDescent="0.25">
      <c r="A1514" s="4" t="s">
        <v>2589</v>
      </c>
      <c r="B1514" s="5">
        <v>45697</v>
      </c>
      <c r="C1514" t="s">
        <v>41</v>
      </c>
      <c r="D1514" t="s">
        <v>3268</v>
      </c>
      <c r="E1514" t="s">
        <v>38</v>
      </c>
      <c r="F1514" t="s">
        <v>3219</v>
      </c>
      <c r="G1514" t="s">
        <v>39</v>
      </c>
      <c r="H1514" t="str">
        <f>VLOOKUP(Table1[[#This Row],[City]],Table6[#All],2,FALSE)</f>
        <v>West</v>
      </c>
      <c r="I1514" t="s">
        <v>58</v>
      </c>
      <c r="J1514" t="str">
        <f>_xlfn.XLOOKUP(Table1[[#This Row],[Tractor Model]],Table7[Product Model],Table7[Product Category],"Not Available",0)</f>
        <v>Powertrac</v>
      </c>
      <c r="K1514" s="4">
        <v>1</v>
      </c>
      <c r="L1514" s="72">
        <v>618086</v>
      </c>
      <c r="M1514" s="4">
        <f>INDEX('Master Sheet'!$C$4:$C$12,MATCH(Table1[[#This Row],[Quantity]],'Master Sheet'!$B$4:$B$12,0))</f>
        <v>3</v>
      </c>
      <c r="N1514" s="71">
        <f>Table1[[#This Row],[Quantity]]*Table1[[#This Row],[Unit Price]]</f>
        <v>618086</v>
      </c>
      <c r="O1514" s="73">
        <v>6.1808599999999998E-2</v>
      </c>
      <c r="P1514" s="70">
        <f>Table1[[#This Row],[Gross Amount]]*(1-(Table1[[#This Row],[Discount %]]/100))</f>
        <v>599543.41999999993</v>
      </c>
      <c r="Q1514" s="74">
        <f>(Table1[[#This Row],[Gross Amount]]*(1-(Table1[[#This Row],[Discount %]]/100)))/10000000</f>
        <v>5.9954341999999994E-2</v>
      </c>
      <c r="R1514" t="s">
        <v>54</v>
      </c>
      <c r="S1514" t="str" cm="1">
        <f t="array" ref="S1514">IFERROR(_xlfn.IFS(Table1[[#This Row],[Payment Status]]="Partial","In Transit",Table1[[#This Row],[Payment Status]]="Paid","Delivered",Table1[[#This Row],[Payment Status]]="Pending","Pending"),"Invalid Input")</f>
        <v>Delivered</v>
      </c>
      <c r="T1514" t="s">
        <v>44</v>
      </c>
      <c r="U1514" t="str" cm="1">
        <f t="array" ref="U1514">IFERROR(_xlfn.IFS(Table1[[#This Row],[Payment Status]]="Partial","In Transit",Table1[[#This Row],[Payment Status]]="Paid","Completed",Table1[[#This Row],[Payment Status]]="Pending","Pending"),"Invalid Input")</f>
        <v>Completed</v>
      </c>
    </row>
    <row r="1515" spans="1:21" x14ac:dyDescent="0.25">
      <c r="A1515" s="4" t="s">
        <v>2590</v>
      </c>
      <c r="B1515" s="5">
        <v>45461</v>
      </c>
      <c r="C1515" t="s">
        <v>41</v>
      </c>
      <c r="D1515" t="s">
        <v>3268</v>
      </c>
      <c r="E1515" t="s">
        <v>47</v>
      </c>
      <c r="F1515" t="s">
        <v>3216</v>
      </c>
      <c r="G1515" t="s">
        <v>48</v>
      </c>
      <c r="H1515" t="str">
        <f>VLOOKUP(Table1[[#This Row],[City]],Table6[#All],2,FALSE)</f>
        <v>North</v>
      </c>
      <c r="I1515" t="s">
        <v>58</v>
      </c>
      <c r="J1515" t="str">
        <f>_xlfn.XLOOKUP(Table1[[#This Row],[Tractor Model]],Table7[Product Model],Table7[Product Category],"Not Available",0)</f>
        <v>Powertrac</v>
      </c>
      <c r="K1515" s="4">
        <v>7</v>
      </c>
      <c r="L1515" s="72">
        <v>465362</v>
      </c>
      <c r="M1515" s="4">
        <f>INDEX('Master Sheet'!$C$4:$C$12,MATCH(Table1[[#This Row],[Quantity]],'Master Sheet'!$B$4:$B$12,0))</f>
        <v>9</v>
      </c>
      <c r="N1515" s="71">
        <f>Table1[[#This Row],[Quantity]]*Table1[[#This Row],[Unit Price]]</f>
        <v>3257534</v>
      </c>
      <c r="O1515" s="73">
        <v>0.32575340000000003</v>
      </c>
      <c r="P1515" s="70">
        <f>Table1[[#This Row],[Gross Amount]]*(1-(Table1[[#This Row],[Discount %]]/100))</f>
        <v>2964355.94</v>
      </c>
      <c r="Q1515" s="74">
        <f>(Table1[[#This Row],[Gross Amount]]*(1-(Table1[[#This Row],[Discount %]]/100)))/10000000</f>
        <v>0.29643559399999997</v>
      </c>
      <c r="R1515" t="s">
        <v>42</v>
      </c>
      <c r="S1515" t="str" cm="1">
        <f t="array" ref="S1515">IFERROR(_xlfn.IFS(Table1[[#This Row],[Payment Status]]="Partial","In Transit",Table1[[#This Row],[Payment Status]]="Paid","Delivered",Table1[[#This Row],[Payment Status]]="Pending","Pending"),"Invalid Input")</f>
        <v>Pending</v>
      </c>
      <c r="T1515" t="s">
        <v>44</v>
      </c>
      <c r="U1515" t="str" cm="1">
        <f t="array" ref="U1515">IFERROR(_xlfn.IFS(Table1[[#This Row],[Payment Status]]="Partial","In Transit",Table1[[#This Row],[Payment Status]]="Paid","Completed",Table1[[#This Row],[Payment Status]]="Pending","Pending"),"Invalid Input")</f>
        <v>Pending</v>
      </c>
    </row>
    <row r="1516" spans="1:21" x14ac:dyDescent="0.25">
      <c r="A1516" s="4" t="s">
        <v>2592</v>
      </c>
      <c r="B1516" s="5">
        <v>45701</v>
      </c>
      <c r="C1516" t="s">
        <v>52</v>
      </c>
      <c r="D1516" t="s">
        <v>3269</v>
      </c>
      <c r="E1516" t="s">
        <v>38</v>
      </c>
      <c r="F1516" t="s">
        <v>3206</v>
      </c>
      <c r="G1516" t="s">
        <v>39</v>
      </c>
      <c r="H1516" t="str">
        <f>VLOOKUP(Table1[[#This Row],[City]],Table6[#All],2,FALSE)</f>
        <v>West</v>
      </c>
      <c r="I1516" t="s">
        <v>58</v>
      </c>
      <c r="J1516" t="str">
        <f>_xlfn.XLOOKUP(Table1[[#This Row],[Tractor Model]],Table7[Product Model],Table7[Product Category],"Not Available",0)</f>
        <v>Powertrac</v>
      </c>
      <c r="K1516" s="4">
        <v>3</v>
      </c>
      <c r="L1516" s="72">
        <v>418764</v>
      </c>
      <c r="M1516" s="4">
        <f>INDEX('Master Sheet'!$C$4:$C$12,MATCH(Table1[[#This Row],[Quantity]],'Master Sheet'!$B$4:$B$12,0))</f>
        <v>6</v>
      </c>
      <c r="N1516" s="71">
        <f>Table1[[#This Row],[Quantity]]*Table1[[#This Row],[Unit Price]]</f>
        <v>1256292</v>
      </c>
      <c r="O1516" s="73">
        <v>0.1256292</v>
      </c>
      <c r="P1516" s="70">
        <f>Table1[[#This Row],[Gross Amount]]*(1-(Table1[[#This Row],[Discount %]]/100))</f>
        <v>1180914.48</v>
      </c>
      <c r="Q1516" s="74">
        <f>(Table1[[#This Row],[Gross Amount]]*(1-(Table1[[#This Row],[Discount %]]/100)))/10000000</f>
        <v>0.118091448</v>
      </c>
      <c r="R1516" t="s">
        <v>25</v>
      </c>
      <c r="S1516" t="str" cm="1">
        <f t="array" ref="S1516">IFERROR(_xlfn.IFS(Table1[[#This Row],[Payment Status]]="Partial","In Transit",Table1[[#This Row],[Payment Status]]="Paid","Delivered",Table1[[#This Row],[Payment Status]]="Pending","Pending"),"Invalid Input")</f>
        <v>In Transit</v>
      </c>
      <c r="T1516" t="s">
        <v>27</v>
      </c>
      <c r="U1516" t="str" cm="1">
        <f t="array" ref="U1516">IFERROR(_xlfn.IFS(Table1[[#This Row],[Payment Status]]="Partial","In Transit",Table1[[#This Row],[Payment Status]]="Paid","Completed",Table1[[#This Row],[Payment Status]]="Pending","Pending"),"Invalid Input")</f>
        <v>In Transit</v>
      </c>
    </row>
    <row r="1517" spans="1:21" x14ac:dyDescent="0.25">
      <c r="A1517" s="4" t="s">
        <v>2593</v>
      </c>
      <c r="B1517" s="5">
        <v>45805</v>
      </c>
      <c r="C1517" t="s">
        <v>62</v>
      </c>
      <c r="D1517" t="s">
        <v>3268</v>
      </c>
      <c r="E1517" t="s">
        <v>38</v>
      </c>
      <c r="F1517" t="s">
        <v>3219</v>
      </c>
      <c r="G1517" t="s">
        <v>39</v>
      </c>
      <c r="H1517" t="str">
        <f>VLOOKUP(Table1[[#This Row],[City]],Table6[#All],2,FALSE)</f>
        <v>West</v>
      </c>
      <c r="I1517" t="s">
        <v>24</v>
      </c>
      <c r="J1517" t="str">
        <f>_xlfn.XLOOKUP(Table1[[#This Row],[Tractor Model]],Table7[Product Model],Table7[Product Category],"Not Available",0)</f>
        <v>Farmtrac</v>
      </c>
      <c r="K1517" s="4">
        <v>3</v>
      </c>
      <c r="L1517" s="72">
        <v>839506</v>
      </c>
      <c r="M1517" s="4">
        <f>INDEX('Master Sheet'!$C$4:$C$12,MATCH(Table1[[#This Row],[Quantity]],'Master Sheet'!$B$4:$B$12,0))</f>
        <v>6</v>
      </c>
      <c r="N1517" s="71">
        <f>Table1[[#This Row],[Quantity]]*Table1[[#This Row],[Unit Price]]</f>
        <v>2518518</v>
      </c>
      <c r="O1517" s="73">
        <v>0.25185180000000001</v>
      </c>
      <c r="P1517" s="70">
        <f>Table1[[#This Row],[Gross Amount]]*(1-(Table1[[#This Row],[Discount %]]/100))</f>
        <v>2367406.92</v>
      </c>
      <c r="Q1517" s="74">
        <f>(Table1[[#This Row],[Gross Amount]]*(1-(Table1[[#This Row],[Discount %]]/100)))/10000000</f>
        <v>0.236740692</v>
      </c>
      <c r="R1517" t="s">
        <v>54</v>
      </c>
      <c r="S1517" t="str" cm="1">
        <f t="array" ref="S1517">IFERROR(_xlfn.IFS(Table1[[#This Row],[Payment Status]]="Partial","In Transit",Table1[[#This Row],[Payment Status]]="Paid","Delivered",Table1[[#This Row],[Payment Status]]="Pending","Pending"),"Invalid Input")</f>
        <v>Delivered</v>
      </c>
      <c r="T1517" t="s">
        <v>27</v>
      </c>
      <c r="U1517" t="str" cm="1">
        <f t="array" ref="U1517">IFERROR(_xlfn.IFS(Table1[[#This Row],[Payment Status]]="Partial","In Transit",Table1[[#This Row],[Payment Status]]="Paid","Completed",Table1[[#This Row],[Payment Status]]="Pending","Pending"),"Invalid Input")</f>
        <v>Completed</v>
      </c>
    </row>
    <row r="1518" spans="1:21" x14ac:dyDescent="0.25">
      <c r="A1518" s="4" t="s">
        <v>2594</v>
      </c>
      <c r="B1518" s="5">
        <v>45557</v>
      </c>
      <c r="C1518" t="s">
        <v>62</v>
      </c>
      <c r="D1518" t="s">
        <v>3268</v>
      </c>
      <c r="E1518" t="s">
        <v>119</v>
      </c>
      <c r="F1518" t="s">
        <v>3227</v>
      </c>
      <c r="G1518" t="s">
        <v>21</v>
      </c>
      <c r="H1518" t="str">
        <f>VLOOKUP(Table1[[#This Row],[City]],Table6[#All],2,FALSE)</f>
        <v>North</v>
      </c>
      <c r="I1518" t="s">
        <v>3203</v>
      </c>
      <c r="J1518" t="str">
        <f>_xlfn.XLOOKUP(Table1[[#This Row],[Tractor Model]],Table7[Product Model],Table7[Product Category],"Not Available",0)</f>
        <v>Kubota</v>
      </c>
      <c r="K1518" s="4">
        <v>6</v>
      </c>
      <c r="L1518" s="72">
        <v>635022</v>
      </c>
      <c r="M1518" s="4">
        <f>INDEX('Master Sheet'!$C$4:$C$12,MATCH(Table1[[#This Row],[Quantity]],'Master Sheet'!$B$4:$B$12,0))</f>
        <v>8</v>
      </c>
      <c r="N1518" s="71">
        <f>Table1[[#This Row],[Quantity]]*Table1[[#This Row],[Unit Price]]</f>
        <v>3810132</v>
      </c>
      <c r="O1518" s="73">
        <v>0.3810132</v>
      </c>
      <c r="P1518" s="70">
        <f>Table1[[#This Row],[Gross Amount]]*(1-(Table1[[#This Row],[Discount %]]/100))</f>
        <v>3505321.44</v>
      </c>
      <c r="Q1518" s="74">
        <f>(Table1[[#This Row],[Gross Amount]]*(1-(Table1[[#This Row],[Discount %]]/100)))/10000000</f>
        <v>0.35053214399999999</v>
      </c>
      <c r="R1518" t="s">
        <v>42</v>
      </c>
      <c r="S1518" t="str" cm="1">
        <f t="array" ref="S1518">IFERROR(_xlfn.IFS(Table1[[#This Row],[Payment Status]]="Partial","In Transit",Table1[[#This Row],[Payment Status]]="Paid","Delivered",Table1[[#This Row],[Payment Status]]="Pending","Pending"),"Invalid Input")</f>
        <v>Pending</v>
      </c>
      <c r="T1518" t="s">
        <v>27</v>
      </c>
      <c r="U1518" t="str" cm="1">
        <f t="array" ref="U1518">IFERROR(_xlfn.IFS(Table1[[#This Row],[Payment Status]]="Partial","In Transit",Table1[[#This Row],[Payment Status]]="Paid","Completed",Table1[[#This Row],[Payment Status]]="Pending","Pending"),"Invalid Input")</f>
        <v>Pending</v>
      </c>
    </row>
    <row r="1519" spans="1:21" x14ac:dyDescent="0.25">
      <c r="A1519" s="4" t="s">
        <v>2596</v>
      </c>
      <c r="B1519" s="5">
        <v>45625</v>
      </c>
      <c r="C1519" t="s">
        <v>52</v>
      </c>
      <c r="D1519" t="s">
        <v>3271</v>
      </c>
      <c r="E1519" t="s">
        <v>47</v>
      </c>
      <c r="F1519" t="s">
        <v>3221</v>
      </c>
      <c r="G1519" t="s">
        <v>48</v>
      </c>
      <c r="H1519" t="str">
        <f>VLOOKUP(Table1[[#This Row],[City]],Table6[#All],2,FALSE)</f>
        <v>North</v>
      </c>
      <c r="I1519" t="s">
        <v>53</v>
      </c>
      <c r="J1519" t="str">
        <f>_xlfn.XLOOKUP(Table1[[#This Row],[Tractor Model]],Table7[Product Model],Table7[Product Category],"Not Available",0)</f>
        <v>Farmtrac</v>
      </c>
      <c r="K1519" s="4">
        <v>3</v>
      </c>
      <c r="L1519" s="72">
        <v>896222</v>
      </c>
      <c r="M1519" s="4">
        <f>INDEX('Master Sheet'!$C$4:$C$12,MATCH(Table1[[#This Row],[Quantity]],'Master Sheet'!$B$4:$B$12,0))</f>
        <v>6</v>
      </c>
      <c r="N1519" s="71">
        <f>Table1[[#This Row],[Quantity]]*Table1[[#This Row],[Unit Price]]</f>
        <v>2688666</v>
      </c>
      <c r="O1519" s="73">
        <v>0.26886660000000001</v>
      </c>
      <c r="P1519" s="70">
        <f>Table1[[#This Row],[Gross Amount]]*(1-(Table1[[#This Row],[Discount %]]/100))</f>
        <v>2527346.04</v>
      </c>
      <c r="Q1519" s="74">
        <f>(Table1[[#This Row],[Gross Amount]]*(1-(Table1[[#This Row],[Discount %]]/100)))/10000000</f>
        <v>0.25273460400000003</v>
      </c>
      <c r="R1519" t="s">
        <v>54</v>
      </c>
      <c r="S1519" t="str" cm="1">
        <f t="array" ref="S1519">IFERROR(_xlfn.IFS(Table1[[#This Row],[Payment Status]]="Partial","In Transit",Table1[[#This Row],[Payment Status]]="Paid","Delivered",Table1[[#This Row],[Payment Status]]="Pending","Pending"),"Invalid Input")</f>
        <v>Delivered</v>
      </c>
      <c r="T1519" t="s">
        <v>44</v>
      </c>
      <c r="U1519" t="str" cm="1">
        <f t="array" ref="U1519">IFERROR(_xlfn.IFS(Table1[[#This Row],[Payment Status]]="Partial","In Transit",Table1[[#This Row],[Payment Status]]="Paid","Completed",Table1[[#This Row],[Payment Status]]="Pending","Pending"),"Invalid Input")</f>
        <v>Completed</v>
      </c>
    </row>
    <row r="1520" spans="1:21" x14ac:dyDescent="0.25">
      <c r="A1520" s="4" t="s">
        <v>2597</v>
      </c>
      <c r="B1520" s="5">
        <v>45500</v>
      </c>
      <c r="C1520" t="s">
        <v>41</v>
      </c>
      <c r="D1520" t="s">
        <v>3268</v>
      </c>
      <c r="E1520" t="s">
        <v>30</v>
      </c>
      <c r="F1520" t="s">
        <v>3208</v>
      </c>
      <c r="G1520" t="s">
        <v>31</v>
      </c>
      <c r="H1520" t="str">
        <f>VLOOKUP(Table1[[#This Row],[City]],Table6[#All],2,FALSE)</f>
        <v>South</v>
      </c>
      <c r="I1520" t="s">
        <v>24</v>
      </c>
      <c r="J1520" t="str">
        <f>_xlfn.XLOOKUP(Table1[[#This Row],[Tractor Model]],Table7[Product Model],Table7[Product Category],"Not Available",0)</f>
        <v>Farmtrac</v>
      </c>
      <c r="K1520" s="4">
        <v>4</v>
      </c>
      <c r="L1520" s="72">
        <v>182282</v>
      </c>
      <c r="M1520" s="4">
        <f>INDEX('Master Sheet'!$C$4:$C$12,MATCH(Table1[[#This Row],[Quantity]],'Master Sheet'!$B$4:$B$12,0))</f>
        <v>6</v>
      </c>
      <c r="N1520" s="71">
        <f>Table1[[#This Row],[Quantity]]*Table1[[#This Row],[Unit Price]]</f>
        <v>729128</v>
      </c>
      <c r="O1520" s="73">
        <v>7.29128E-2</v>
      </c>
      <c r="P1520" s="70">
        <f>Table1[[#This Row],[Gross Amount]]*(1-(Table1[[#This Row],[Discount %]]/100))</f>
        <v>685380.32</v>
      </c>
      <c r="Q1520" s="74">
        <f>(Table1[[#This Row],[Gross Amount]]*(1-(Table1[[#This Row],[Discount %]]/100)))/10000000</f>
        <v>6.8538031999999999E-2</v>
      </c>
      <c r="R1520" t="s">
        <v>54</v>
      </c>
      <c r="S1520" t="str" cm="1">
        <f t="array" ref="S1520">IFERROR(_xlfn.IFS(Table1[[#This Row],[Payment Status]]="Partial","In Transit",Table1[[#This Row],[Payment Status]]="Paid","Delivered",Table1[[#This Row],[Payment Status]]="Pending","Pending"),"Invalid Input")</f>
        <v>Delivered</v>
      </c>
      <c r="T1520" t="s">
        <v>27</v>
      </c>
      <c r="U1520" t="str" cm="1">
        <f t="array" ref="U1520">IFERROR(_xlfn.IFS(Table1[[#This Row],[Payment Status]]="Partial","In Transit",Table1[[#This Row],[Payment Status]]="Paid","Completed",Table1[[#This Row],[Payment Status]]="Pending","Pending"),"Invalid Input")</f>
        <v>Completed</v>
      </c>
    </row>
    <row r="1521" spans="1:21" x14ac:dyDescent="0.25">
      <c r="A1521" s="4" t="s">
        <v>2598</v>
      </c>
      <c r="B1521" s="5">
        <v>45516</v>
      </c>
      <c r="C1521" t="s">
        <v>62</v>
      </c>
      <c r="D1521" t="s">
        <v>3269</v>
      </c>
      <c r="E1521" t="s">
        <v>30</v>
      </c>
      <c r="F1521" t="s">
        <v>3225</v>
      </c>
      <c r="G1521" t="s">
        <v>31</v>
      </c>
      <c r="H1521" t="str">
        <f>VLOOKUP(Table1[[#This Row],[City]],Table6[#All],2,FALSE)</f>
        <v>South</v>
      </c>
      <c r="I1521" t="s">
        <v>3203</v>
      </c>
      <c r="J1521" t="str">
        <f>_xlfn.XLOOKUP(Table1[[#This Row],[Tractor Model]],Table7[Product Model],Table7[Product Category],"Not Available",0)</f>
        <v>Kubota</v>
      </c>
      <c r="K1521" s="4">
        <v>4</v>
      </c>
      <c r="L1521" s="72">
        <v>213053</v>
      </c>
      <c r="M1521" s="4">
        <f>INDEX('Master Sheet'!$C$4:$C$12,MATCH(Table1[[#This Row],[Quantity]],'Master Sheet'!$B$4:$B$12,0))</f>
        <v>6</v>
      </c>
      <c r="N1521" s="71">
        <f>Table1[[#This Row],[Quantity]]*Table1[[#This Row],[Unit Price]]</f>
        <v>852212</v>
      </c>
      <c r="O1521" s="73">
        <v>8.5221199999999997E-2</v>
      </c>
      <c r="P1521" s="70">
        <f>Table1[[#This Row],[Gross Amount]]*(1-(Table1[[#This Row],[Discount %]]/100))</f>
        <v>801079.27999999991</v>
      </c>
      <c r="Q1521" s="74">
        <f>(Table1[[#This Row],[Gross Amount]]*(1-(Table1[[#This Row],[Discount %]]/100)))/10000000</f>
        <v>8.0107927999999995E-2</v>
      </c>
      <c r="R1521" t="s">
        <v>42</v>
      </c>
      <c r="S1521" t="str" cm="1">
        <f t="array" ref="S1521">IFERROR(_xlfn.IFS(Table1[[#This Row],[Payment Status]]="Partial","In Transit",Table1[[#This Row],[Payment Status]]="Paid","Delivered",Table1[[#This Row],[Payment Status]]="Pending","Pending"),"Invalid Input")</f>
        <v>Pending</v>
      </c>
      <c r="T1521" t="s">
        <v>27</v>
      </c>
      <c r="U1521" t="str" cm="1">
        <f t="array" ref="U1521">IFERROR(_xlfn.IFS(Table1[[#This Row],[Payment Status]]="Partial","In Transit",Table1[[#This Row],[Payment Status]]="Paid","Completed",Table1[[#This Row],[Payment Status]]="Pending","Pending"),"Invalid Input")</f>
        <v>Pending</v>
      </c>
    </row>
    <row r="1522" spans="1:21" x14ac:dyDescent="0.25">
      <c r="A1522" s="4" t="s">
        <v>2599</v>
      </c>
      <c r="B1522" s="5">
        <v>45830</v>
      </c>
      <c r="C1522" t="s">
        <v>41</v>
      </c>
      <c r="D1522" t="s">
        <v>3270</v>
      </c>
      <c r="E1522" t="s">
        <v>66</v>
      </c>
      <c r="F1522" t="s">
        <v>3220</v>
      </c>
      <c r="G1522" t="s">
        <v>67</v>
      </c>
      <c r="H1522" t="str">
        <f>VLOOKUP(Table1[[#This Row],[City]],Table6[#All],2,FALSE)</f>
        <v>East</v>
      </c>
      <c r="I1522" t="s">
        <v>53</v>
      </c>
      <c r="J1522" t="str">
        <f>_xlfn.XLOOKUP(Table1[[#This Row],[Tractor Model]],Table7[Product Model],Table7[Product Category],"Not Available",0)</f>
        <v>Farmtrac</v>
      </c>
      <c r="K1522" s="4">
        <v>8</v>
      </c>
      <c r="L1522" s="72">
        <v>115486</v>
      </c>
      <c r="M1522" s="4">
        <f>INDEX('Master Sheet'!$C$4:$C$12,MATCH(Table1[[#This Row],[Quantity]],'Master Sheet'!$B$4:$B$12,0))</f>
        <v>9</v>
      </c>
      <c r="N1522" s="71">
        <f>Table1[[#This Row],[Quantity]]*Table1[[#This Row],[Unit Price]]</f>
        <v>923888</v>
      </c>
      <c r="O1522" s="73">
        <v>9.2388799999999993E-2</v>
      </c>
      <c r="P1522" s="70">
        <f>Table1[[#This Row],[Gross Amount]]*(1-(Table1[[#This Row],[Discount %]]/100))</f>
        <v>840738.08000000007</v>
      </c>
      <c r="Q1522" s="74">
        <f>(Table1[[#This Row],[Gross Amount]]*(1-(Table1[[#This Row],[Discount %]]/100)))/10000000</f>
        <v>8.4073808000000014E-2</v>
      </c>
      <c r="R1522" t="s">
        <v>54</v>
      </c>
      <c r="S1522" t="str" cm="1">
        <f t="array" ref="S1522">IFERROR(_xlfn.IFS(Table1[[#This Row],[Payment Status]]="Partial","In Transit",Table1[[#This Row],[Payment Status]]="Paid","Delivered",Table1[[#This Row],[Payment Status]]="Pending","Pending"),"Invalid Input")</f>
        <v>Delivered</v>
      </c>
      <c r="T1522" t="s">
        <v>27</v>
      </c>
      <c r="U1522" t="str" cm="1">
        <f t="array" ref="U1522">IFERROR(_xlfn.IFS(Table1[[#This Row],[Payment Status]]="Partial","In Transit",Table1[[#This Row],[Payment Status]]="Paid","Completed",Table1[[#This Row],[Payment Status]]="Pending","Pending"),"Invalid Input")</f>
        <v>Completed</v>
      </c>
    </row>
    <row r="1523" spans="1:21" x14ac:dyDescent="0.25">
      <c r="A1523" s="4" t="s">
        <v>2601</v>
      </c>
      <c r="B1523" s="5">
        <v>45387</v>
      </c>
      <c r="C1523" t="s">
        <v>52</v>
      </c>
      <c r="D1523" t="s">
        <v>37</v>
      </c>
      <c r="E1523" t="s">
        <v>119</v>
      </c>
      <c r="F1523" t="s">
        <v>3224</v>
      </c>
      <c r="G1523" t="s">
        <v>21</v>
      </c>
      <c r="H1523" t="str">
        <f>VLOOKUP(Table1[[#This Row],[City]],Table6[#All],2,FALSE)</f>
        <v>North</v>
      </c>
      <c r="I1523" t="s">
        <v>58</v>
      </c>
      <c r="J1523" t="str">
        <f>_xlfn.XLOOKUP(Table1[[#This Row],[Tractor Model]],Table7[Product Model],Table7[Product Category],"Not Available",0)</f>
        <v>Powertrac</v>
      </c>
      <c r="K1523" s="4">
        <v>6</v>
      </c>
      <c r="L1523" s="72">
        <v>526335</v>
      </c>
      <c r="M1523" s="4">
        <f>INDEX('Master Sheet'!$C$4:$C$12,MATCH(Table1[[#This Row],[Quantity]],'Master Sheet'!$B$4:$B$12,0))</f>
        <v>8</v>
      </c>
      <c r="N1523" s="71">
        <f>Table1[[#This Row],[Quantity]]*Table1[[#This Row],[Unit Price]]</f>
        <v>3158010</v>
      </c>
      <c r="O1523" s="73">
        <v>0.315801</v>
      </c>
      <c r="P1523" s="70">
        <f>Table1[[#This Row],[Gross Amount]]*(1-(Table1[[#This Row],[Discount %]]/100))</f>
        <v>2905369.2</v>
      </c>
      <c r="Q1523" s="74">
        <f>(Table1[[#This Row],[Gross Amount]]*(1-(Table1[[#This Row],[Discount %]]/100)))/10000000</f>
        <v>0.29053692000000003</v>
      </c>
      <c r="R1523" t="s">
        <v>42</v>
      </c>
      <c r="S1523" t="str" cm="1">
        <f t="array" ref="S1523">IFERROR(_xlfn.IFS(Table1[[#This Row],[Payment Status]]="Partial","In Transit",Table1[[#This Row],[Payment Status]]="Paid","Delivered",Table1[[#This Row],[Payment Status]]="Pending","Pending"),"Invalid Input")</f>
        <v>Pending</v>
      </c>
      <c r="T1523" t="s">
        <v>27</v>
      </c>
      <c r="U1523" t="str" cm="1">
        <f t="array" ref="U1523">IFERROR(_xlfn.IFS(Table1[[#This Row],[Payment Status]]="Partial","In Transit",Table1[[#This Row],[Payment Status]]="Paid","Completed",Table1[[#This Row],[Payment Status]]="Pending","Pending"),"Invalid Input")</f>
        <v>Pending</v>
      </c>
    </row>
    <row r="1524" spans="1:21" x14ac:dyDescent="0.25">
      <c r="A1524" s="4" t="s">
        <v>2603</v>
      </c>
      <c r="B1524" s="5">
        <v>45391</v>
      </c>
      <c r="C1524" t="s">
        <v>33</v>
      </c>
      <c r="D1524" t="s">
        <v>3270</v>
      </c>
      <c r="E1524" t="s">
        <v>47</v>
      </c>
      <c r="F1524" t="s">
        <v>3205</v>
      </c>
      <c r="G1524" t="s">
        <v>48</v>
      </c>
      <c r="H1524" t="str">
        <f>VLOOKUP(Table1[[#This Row],[City]],Table6[#All],2,FALSE)</f>
        <v>North</v>
      </c>
      <c r="I1524" t="s">
        <v>3204</v>
      </c>
      <c r="J1524" t="str">
        <f>_xlfn.XLOOKUP(Table1[[#This Row],[Tractor Model]],Table7[Product Model],Table7[Product Category],"Not Available",0)</f>
        <v>Kubota</v>
      </c>
      <c r="K1524" s="4">
        <v>2</v>
      </c>
      <c r="L1524" s="72">
        <v>806013</v>
      </c>
      <c r="M1524" s="4">
        <f>INDEX('Master Sheet'!$C$4:$C$12,MATCH(Table1[[#This Row],[Quantity]],'Master Sheet'!$B$4:$B$12,0))</f>
        <v>5</v>
      </c>
      <c r="N1524" s="71">
        <f>Table1[[#This Row],[Quantity]]*Table1[[#This Row],[Unit Price]]</f>
        <v>1612026</v>
      </c>
      <c r="O1524" s="73">
        <v>0.1612026</v>
      </c>
      <c r="P1524" s="70">
        <f>Table1[[#This Row],[Gross Amount]]*(1-(Table1[[#This Row],[Discount %]]/100))</f>
        <v>1531424.7</v>
      </c>
      <c r="Q1524" s="74">
        <f>(Table1[[#This Row],[Gross Amount]]*(1-(Table1[[#This Row],[Discount %]]/100)))/10000000</f>
        <v>0.15314247</v>
      </c>
      <c r="R1524" t="s">
        <v>25</v>
      </c>
      <c r="S1524" t="str" cm="1">
        <f t="array" ref="S1524">IFERROR(_xlfn.IFS(Table1[[#This Row],[Payment Status]]="Partial","In Transit",Table1[[#This Row],[Payment Status]]="Paid","Delivered",Table1[[#This Row],[Payment Status]]="Pending","Pending"),"Invalid Input")</f>
        <v>In Transit</v>
      </c>
      <c r="T1524" t="s">
        <v>27</v>
      </c>
      <c r="U1524" t="str" cm="1">
        <f t="array" ref="U1524">IFERROR(_xlfn.IFS(Table1[[#This Row],[Payment Status]]="Partial","In Transit",Table1[[#This Row],[Payment Status]]="Paid","Completed",Table1[[#This Row],[Payment Status]]="Pending","Pending"),"Invalid Input")</f>
        <v>In Transit</v>
      </c>
    </row>
    <row r="1525" spans="1:21" x14ac:dyDescent="0.25">
      <c r="A1525" s="4" t="s">
        <v>2604</v>
      </c>
      <c r="B1525" s="5">
        <v>45678</v>
      </c>
      <c r="C1525" t="s">
        <v>62</v>
      </c>
      <c r="D1525" t="s">
        <v>37</v>
      </c>
      <c r="E1525" t="s">
        <v>119</v>
      </c>
      <c r="F1525" t="s">
        <v>3224</v>
      </c>
      <c r="G1525" t="s">
        <v>21</v>
      </c>
      <c r="H1525" t="str">
        <f>VLOOKUP(Table1[[#This Row],[City]],Table6[#All],2,FALSE)</f>
        <v>North</v>
      </c>
      <c r="I1525" t="s">
        <v>3203</v>
      </c>
      <c r="J1525" t="str">
        <f>_xlfn.XLOOKUP(Table1[[#This Row],[Tractor Model]],Table7[Product Model],Table7[Product Category],"Not Available",0)</f>
        <v>Kubota</v>
      </c>
      <c r="K1525" s="4">
        <v>0</v>
      </c>
      <c r="L1525" s="72">
        <v>280738</v>
      </c>
      <c r="M1525" s="4">
        <f>INDEX('Master Sheet'!$C$4:$C$12,MATCH(Table1[[#This Row],[Quantity]],'Master Sheet'!$B$4:$B$12,0))</f>
        <v>0</v>
      </c>
      <c r="N1525" s="71">
        <f>Table1[[#This Row],[Quantity]]*Table1[[#This Row],[Unit Price]]</f>
        <v>0</v>
      </c>
      <c r="O1525" s="73">
        <v>0</v>
      </c>
      <c r="P1525" s="70">
        <f>Table1[[#This Row],[Gross Amount]]*(1-(Table1[[#This Row],[Discount %]]/100))</f>
        <v>0</v>
      </c>
      <c r="Q1525" s="74">
        <f>(Table1[[#This Row],[Gross Amount]]*(1-(Table1[[#This Row],[Discount %]]/100)))/10000000</f>
        <v>0</v>
      </c>
      <c r="R1525" t="s">
        <v>54</v>
      </c>
      <c r="S1525" t="str" cm="1">
        <f t="array" ref="S1525">IFERROR(_xlfn.IFS(Table1[[#This Row],[Payment Status]]="Partial","In Transit",Table1[[#This Row],[Payment Status]]="Paid","Delivered",Table1[[#This Row],[Payment Status]]="Pending","Pending"),"Invalid Input")</f>
        <v>Delivered</v>
      </c>
      <c r="T1525" t="s">
        <v>44</v>
      </c>
      <c r="U1525" t="str" cm="1">
        <f t="array" ref="U1525">IFERROR(_xlfn.IFS(Table1[[#This Row],[Payment Status]]="Partial","In Transit",Table1[[#This Row],[Payment Status]]="Paid","Completed",Table1[[#This Row],[Payment Status]]="Pending","Pending"),"Invalid Input")</f>
        <v>Completed</v>
      </c>
    </row>
    <row r="1526" spans="1:21" x14ac:dyDescent="0.25">
      <c r="A1526" s="4" t="s">
        <v>2605</v>
      </c>
      <c r="B1526" s="5">
        <v>45761</v>
      </c>
      <c r="C1526" t="s">
        <v>52</v>
      </c>
      <c r="D1526" t="s">
        <v>3271</v>
      </c>
      <c r="E1526" t="s">
        <v>30</v>
      </c>
      <c r="F1526" t="s">
        <v>3217</v>
      </c>
      <c r="G1526" t="s">
        <v>31</v>
      </c>
      <c r="H1526" t="str">
        <f>VLOOKUP(Table1[[#This Row],[City]],Table6[#All],2,FALSE)</f>
        <v>South</v>
      </c>
      <c r="I1526" t="s">
        <v>24</v>
      </c>
      <c r="J1526" t="str">
        <f>_xlfn.XLOOKUP(Table1[[#This Row],[Tractor Model]],Table7[Product Model],Table7[Product Category],"Not Available",0)</f>
        <v>Farmtrac</v>
      </c>
      <c r="K1526" s="4">
        <v>3</v>
      </c>
      <c r="L1526" s="72">
        <v>226518</v>
      </c>
      <c r="M1526" s="4">
        <f>INDEX('Master Sheet'!$C$4:$C$12,MATCH(Table1[[#This Row],[Quantity]],'Master Sheet'!$B$4:$B$12,0))</f>
        <v>6</v>
      </c>
      <c r="N1526" s="71">
        <f>Table1[[#This Row],[Quantity]]*Table1[[#This Row],[Unit Price]]</f>
        <v>679554</v>
      </c>
      <c r="O1526" s="73">
        <v>6.7955399999999999E-2</v>
      </c>
      <c r="P1526" s="70">
        <f>Table1[[#This Row],[Gross Amount]]*(1-(Table1[[#This Row],[Discount %]]/100))</f>
        <v>638780.76</v>
      </c>
      <c r="Q1526" s="74">
        <f>(Table1[[#This Row],[Gross Amount]]*(1-(Table1[[#This Row],[Discount %]]/100)))/10000000</f>
        <v>6.3878076000000006E-2</v>
      </c>
      <c r="R1526" t="s">
        <v>42</v>
      </c>
      <c r="S1526" t="str" cm="1">
        <f t="array" ref="S1526">IFERROR(_xlfn.IFS(Table1[[#This Row],[Payment Status]]="Partial","In Transit",Table1[[#This Row],[Payment Status]]="Paid","Delivered",Table1[[#This Row],[Payment Status]]="Pending","Pending"),"Invalid Input")</f>
        <v>Pending</v>
      </c>
      <c r="T1526" t="s">
        <v>27</v>
      </c>
      <c r="U1526" t="str" cm="1">
        <f t="array" ref="U1526">IFERROR(_xlfn.IFS(Table1[[#This Row],[Payment Status]]="Partial","In Transit",Table1[[#This Row],[Payment Status]]="Paid","Completed",Table1[[#This Row],[Payment Status]]="Pending","Pending"),"Invalid Input")</f>
        <v>Pending</v>
      </c>
    </row>
    <row r="1527" spans="1:21" x14ac:dyDescent="0.25">
      <c r="A1527" s="4" t="s">
        <v>2606</v>
      </c>
      <c r="B1527" s="5">
        <v>45363</v>
      </c>
      <c r="C1527" t="s">
        <v>62</v>
      </c>
      <c r="D1527" t="s">
        <v>37</v>
      </c>
      <c r="E1527" t="s">
        <v>38</v>
      </c>
      <c r="F1527" t="s">
        <v>3214</v>
      </c>
      <c r="G1527" t="s">
        <v>39</v>
      </c>
      <c r="H1527" t="str">
        <f>VLOOKUP(Table1[[#This Row],[City]],Table6[#All],2,FALSE)</f>
        <v>West</v>
      </c>
      <c r="I1527" t="s">
        <v>24</v>
      </c>
      <c r="J1527" t="str">
        <f>_xlfn.XLOOKUP(Table1[[#This Row],[Tractor Model]],Table7[Product Model],Table7[Product Category],"Not Available",0)</f>
        <v>Farmtrac</v>
      </c>
      <c r="K1527" s="4">
        <v>8</v>
      </c>
      <c r="L1527" s="72">
        <v>424136</v>
      </c>
      <c r="M1527" s="4">
        <f>INDEX('Master Sheet'!$C$4:$C$12,MATCH(Table1[[#This Row],[Quantity]],'Master Sheet'!$B$4:$B$12,0))</f>
        <v>9</v>
      </c>
      <c r="N1527" s="71">
        <f>Table1[[#This Row],[Quantity]]*Table1[[#This Row],[Unit Price]]</f>
        <v>3393088</v>
      </c>
      <c r="O1527" s="73">
        <v>0.33930880000000002</v>
      </c>
      <c r="P1527" s="70">
        <f>Table1[[#This Row],[Gross Amount]]*(1-(Table1[[#This Row],[Discount %]]/100))</f>
        <v>3087710.08</v>
      </c>
      <c r="Q1527" s="74">
        <f>(Table1[[#This Row],[Gross Amount]]*(1-(Table1[[#This Row],[Discount %]]/100)))/10000000</f>
        <v>0.30877100800000001</v>
      </c>
      <c r="R1527" t="s">
        <v>42</v>
      </c>
      <c r="S1527" t="str" cm="1">
        <f t="array" ref="S1527">IFERROR(_xlfn.IFS(Table1[[#This Row],[Payment Status]]="Partial","In Transit",Table1[[#This Row],[Payment Status]]="Paid","Delivered",Table1[[#This Row],[Payment Status]]="Pending","Pending"),"Invalid Input")</f>
        <v>Pending</v>
      </c>
      <c r="T1527" t="s">
        <v>27</v>
      </c>
      <c r="U1527" t="str" cm="1">
        <f t="array" ref="U1527">IFERROR(_xlfn.IFS(Table1[[#This Row],[Payment Status]]="Partial","In Transit",Table1[[#This Row],[Payment Status]]="Paid","Completed",Table1[[#This Row],[Payment Status]]="Pending","Pending"),"Invalid Input")</f>
        <v>Pending</v>
      </c>
    </row>
    <row r="1528" spans="1:21" x14ac:dyDescent="0.25">
      <c r="A1528" s="4" t="s">
        <v>2607</v>
      </c>
      <c r="B1528" s="5">
        <v>45590</v>
      </c>
      <c r="C1528" t="s">
        <v>41</v>
      </c>
      <c r="D1528" t="s">
        <v>3271</v>
      </c>
      <c r="E1528" t="s">
        <v>38</v>
      </c>
      <c r="F1528" t="s">
        <v>3210</v>
      </c>
      <c r="G1528" t="s">
        <v>39</v>
      </c>
      <c r="H1528" t="str">
        <f>VLOOKUP(Table1[[#This Row],[City]],Table6[#All],2,FALSE)</f>
        <v>West</v>
      </c>
      <c r="I1528" t="s">
        <v>3204</v>
      </c>
      <c r="J1528" t="str">
        <f>_xlfn.XLOOKUP(Table1[[#This Row],[Tractor Model]],Table7[Product Model],Table7[Product Category],"Not Available",0)</f>
        <v>Kubota</v>
      </c>
      <c r="K1528" s="4">
        <v>4</v>
      </c>
      <c r="L1528" s="72">
        <v>610133</v>
      </c>
      <c r="M1528" s="4">
        <f>INDEX('Master Sheet'!$C$4:$C$12,MATCH(Table1[[#This Row],[Quantity]],'Master Sheet'!$B$4:$B$12,0))</f>
        <v>6</v>
      </c>
      <c r="N1528" s="71">
        <f>Table1[[#This Row],[Quantity]]*Table1[[#This Row],[Unit Price]]</f>
        <v>2440532</v>
      </c>
      <c r="O1528" s="73">
        <v>0.2440532</v>
      </c>
      <c r="P1528" s="70">
        <f>Table1[[#This Row],[Gross Amount]]*(1-(Table1[[#This Row],[Discount %]]/100))</f>
        <v>2294100.08</v>
      </c>
      <c r="Q1528" s="74">
        <f>(Table1[[#This Row],[Gross Amount]]*(1-(Table1[[#This Row],[Discount %]]/100)))/10000000</f>
        <v>0.229410008</v>
      </c>
      <c r="R1528" t="s">
        <v>42</v>
      </c>
      <c r="S1528" t="str" cm="1">
        <f t="array" ref="S1528">IFERROR(_xlfn.IFS(Table1[[#This Row],[Payment Status]]="Partial","In Transit",Table1[[#This Row],[Payment Status]]="Paid","Delivered",Table1[[#This Row],[Payment Status]]="Pending","Pending"),"Invalid Input")</f>
        <v>Pending</v>
      </c>
      <c r="T1528" t="s">
        <v>44</v>
      </c>
      <c r="U1528" t="str" cm="1">
        <f t="array" ref="U1528">IFERROR(_xlfn.IFS(Table1[[#This Row],[Payment Status]]="Partial","In Transit",Table1[[#This Row],[Payment Status]]="Paid","Completed",Table1[[#This Row],[Payment Status]]="Pending","Pending"),"Invalid Input")</f>
        <v>Pending</v>
      </c>
    </row>
    <row r="1529" spans="1:21" x14ac:dyDescent="0.25">
      <c r="A1529" s="4" t="s">
        <v>2609</v>
      </c>
      <c r="B1529" s="5">
        <v>45759</v>
      </c>
      <c r="C1529" t="s">
        <v>52</v>
      </c>
      <c r="D1529" t="s">
        <v>37</v>
      </c>
      <c r="E1529" t="s">
        <v>47</v>
      </c>
      <c r="F1529" t="s">
        <v>3215</v>
      </c>
      <c r="G1529" t="s">
        <v>48</v>
      </c>
      <c r="H1529" t="str">
        <f>VLOOKUP(Table1[[#This Row],[City]],Table6[#All],2,FALSE)</f>
        <v>North</v>
      </c>
      <c r="I1529" t="s">
        <v>58</v>
      </c>
      <c r="J1529" t="str">
        <f>_xlfn.XLOOKUP(Table1[[#This Row],[Tractor Model]],Table7[Product Model],Table7[Product Category],"Not Available",0)</f>
        <v>Powertrac</v>
      </c>
      <c r="K1529" s="4">
        <v>8</v>
      </c>
      <c r="L1529" s="72">
        <v>99809</v>
      </c>
      <c r="M1529" s="4">
        <f>INDEX('Master Sheet'!$C$4:$C$12,MATCH(Table1[[#This Row],[Quantity]],'Master Sheet'!$B$4:$B$12,0))</f>
        <v>9</v>
      </c>
      <c r="N1529" s="71">
        <f>Table1[[#This Row],[Quantity]]*Table1[[#This Row],[Unit Price]]</f>
        <v>798472</v>
      </c>
      <c r="O1529" s="73">
        <v>7.9847199999999993E-2</v>
      </c>
      <c r="P1529" s="70">
        <f>Table1[[#This Row],[Gross Amount]]*(1-(Table1[[#This Row],[Discount %]]/100))</f>
        <v>726609.52</v>
      </c>
      <c r="Q1529" s="74">
        <f>(Table1[[#This Row],[Gross Amount]]*(1-(Table1[[#This Row],[Discount %]]/100)))/10000000</f>
        <v>7.2660952000000001E-2</v>
      </c>
      <c r="R1529" t="s">
        <v>54</v>
      </c>
      <c r="S1529" t="str" cm="1">
        <f t="array" ref="S1529">IFERROR(_xlfn.IFS(Table1[[#This Row],[Payment Status]]="Partial","In Transit",Table1[[#This Row],[Payment Status]]="Paid","Delivered",Table1[[#This Row],[Payment Status]]="Pending","Pending"),"Invalid Input")</f>
        <v>Delivered</v>
      </c>
      <c r="T1529" t="s">
        <v>27</v>
      </c>
      <c r="U1529" t="str" cm="1">
        <f t="array" ref="U1529">IFERROR(_xlfn.IFS(Table1[[#This Row],[Payment Status]]="Partial","In Transit",Table1[[#This Row],[Payment Status]]="Paid","Completed",Table1[[#This Row],[Payment Status]]="Pending","Pending"),"Invalid Input")</f>
        <v>Completed</v>
      </c>
    </row>
    <row r="1530" spans="1:21" x14ac:dyDescent="0.25">
      <c r="A1530" s="4" t="s">
        <v>2611</v>
      </c>
      <c r="B1530" s="5">
        <v>45344</v>
      </c>
      <c r="C1530" t="s">
        <v>73</v>
      </c>
      <c r="D1530" t="s">
        <v>37</v>
      </c>
      <c r="E1530" t="s">
        <v>66</v>
      </c>
      <c r="F1530" t="s">
        <v>3226</v>
      </c>
      <c r="G1530" t="s">
        <v>67</v>
      </c>
      <c r="H1530" t="str">
        <f>VLOOKUP(Table1[[#This Row],[City]],Table6[#All],2,FALSE)</f>
        <v>East</v>
      </c>
      <c r="I1530" t="s">
        <v>58</v>
      </c>
      <c r="J1530" t="str">
        <f>_xlfn.XLOOKUP(Table1[[#This Row],[Tractor Model]],Table7[Product Model],Table7[Product Category],"Not Available",0)</f>
        <v>Powertrac</v>
      </c>
      <c r="K1530" s="4">
        <v>8</v>
      </c>
      <c r="L1530" s="72">
        <v>871884</v>
      </c>
      <c r="M1530" s="4">
        <f>INDEX('Master Sheet'!$C$4:$C$12,MATCH(Table1[[#This Row],[Quantity]],'Master Sheet'!$B$4:$B$12,0))</f>
        <v>9</v>
      </c>
      <c r="N1530" s="71">
        <f>Table1[[#This Row],[Quantity]]*Table1[[#This Row],[Unit Price]]</f>
        <v>6975072</v>
      </c>
      <c r="O1530" s="73">
        <v>0.69750719999999999</v>
      </c>
      <c r="P1530" s="70">
        <f>Table1[[#This Row],[Gross Amount]]*(1-(Table1[[#This Row],[Discount %]]/100))</f>
        <v>6347315.5200000005</v>
      </c>
      <c r="Q1530" s="74">
        <f>(Table1[[#This Row],[Gross Amount]]*(1-(Table1[[#This Row],[Discount %]]/100)))/10000000</f>
        <v>0.63473155200000009</v>
      </c>
      <c r="R1530" t="s">
        <v>42</v>
      </c>
      <c r="S1530" t="str" cm="1">
        <f t="array" ref="S1530">IFERROR(_xlfn.IFS(Table1[[#This Row],[Payment Status]]="Partial","In Transit",Table1[[#This Row],[Payment Status]]="Paid","Delivered",Table1[[#This Row],[Payment Status]]="Pending","Pending"),"Invalid Input")</f>
        <v>Pending</v>
      </c>
      <c r="T1530" t="s">
        <v>27</v>
      </c>
      <c r="U1530" t="str" cm="1">
        <f t="array" ref="U1530">IFERROR(_xlfn.IFS(Table1[[#This Row],[Payment Status]]="Partial","In Transit",Table1[[#This Row],[Payment Status]]="Paid","Completed",Table1[[#This Row],[Payment Status]]="Pending","Pending"),"Invalid Input")</f>
        <v>Pending</v>
      </c>
    </row>
    <row r="1531" spans="1:21" x14ac:dyDescent="0.25">
      <c r="A1531" s="4" t="s">
        <v>2612</v>
      </c>
      <c r="B1531" s="5">
        <v>45562</v>
      </c>
      <c r="C1531" t="s">
        <v>52</v>
      </c>
      <c r="D1531" t="s">
        <v>37</v>
      </c>
      <c r="E1531" t="s">
        <v>119</v>
      </c>
      <c r="F1531" t="s">
        <v>3224</v>
      </c>
      <c r="G1531" t="s">
        <v>21</v>
      </c>
      <c r="H1531" t="str">
        <f>VLOOKUP(Table1[[#This Row],[City]],Table6[#All],2,FALSE)</f>
        <v>North</v>
      </c>
      <c r="I1531" t="s">
        <v>3203</v>
      </c>
      <c r="J1531" t="str">
        <f>_xlfn.XLOOKUP(Table1[[#This Row],[Tractor Model]],Table7[Product Model],Table7[Product Category],"Not Available",0)</f>
        <v>Kubota</v>
      </c>
      <c r="K1531" s="4">
        <v>3</v>
      </c>
      <c r="L1531" s="72">
        <v>597444</v>
      </c>
      <c r="M1531" s="4">
        <f>INDEX('Master Sheet'!$C$4:$C$12,MATCH(Table1[[#This Row],[Quantity]],'Master Sheet'!$B$4:$B$12,0))</f>
        <v>6</v>
      </c>
      <c r="N1531" s="71">
        <f>Table1[[#This Row],[Quantity]]*Table1[[#This Row],[Unit Price]]</f>
        <v>1792332</v>
      </c>
      <c r="O1531" s="73">
        <v>0.17923320000000001</v>
      </c>
      <c r="P1531" s="70">
        <f>Table1[[#This Row],[Gross Amount]]*(1-(Table1[[#This Row],[Discount %]]/100))</f>
        <v>1684792.0799999998</v>
      </c>
      <c r="Q1531" s="74">
        <f>(Table1[[#This Row],[Gross Amount]]*(1-(Table1[[#This Row],[Discount %]]/100)))/10000000</f>
        <v>0.16847920799999999</v>
      </c>
      <c r="R1531" t="s">
        <v>42</v>
      </c>
      <c r="S1531" t="str" cm="1">
        <f t="array" ref="S1531">IFERROR(_xlfn.IFS(Table1[[#This Row],[Payment Status]]="Partial","In Transit",Table1[[#This Row],[Payment Status]]="Paid","Delivered",Table1[[#This Row],[Payment Status]]="Pending","Pending"),"Invalid Input")</f>
        <v>Pending</v>
      </c>
      <c r="T1531" t="s">
        <v>27</v>
      </c>
      <c r="U1531" t="str" cm="1">
        <f t="array" ref="U1531">IFERROR(_xlfn.IFS(Table1[[#This Row],[Payment Status]]="Partial","In Transit",Table1[[#This Row],[Payment Status]]="Paid","Completed",Table1[[#This Row],[Payment Status]]="Pending","Pending"),"Invalid Input")</f>
        <v>Pending</v>
      </c>
    </row>
    <row r="1532" spans="1:21" x14ac:dyDescent="0.25">
      <c r="A1532" s="4" t="s">
        <v>2614</v>
      </c>
      <c r="B1532" s="5">
        <v>45487</v>
      </c>
      <c r="C1532" t="s">
        <v>73</v>
      </c>
      <c r="D1532" t="s">
        <v>3269</v>
      </c>
      <c r="E1532" t="s">
        <v>38</v>
      </c>
      <c r="F1532" t="s">
        <v>3206</v>
      </c>
      <c r="G1532" t="s">
        <v>39</v>
      </c>
      <c r="H1532" t="str">
        <f>VLOOKUP(Table1[[#This Row],[City]],Table6[#All],2,FALSE)</f>
        <v>West</v>
      </c>
      <c r="I1532" t="s">
        <v>3203</v>
      </c>
      <c r="J1532" t="str">
        <f>_xlfn.XLOOKUP(Table1[[#This Row],[Tractor Model]],Table7[Product Model],Table7[Product Category],"Not Available",0)</f>
        <v>Kubota</v>
      </c>
      <c r="K1532" s="4">
        <v>2</v>
      </c>
      <c r="L1532" s="72">
        <v>323075</v>
      </c>
      <c r="M1532" s="4">
        <f>INDEX('Master Sheet'!$C$4:$C$12,MATCH(Table1[[#This Row],[Quantity]],'Master Sheet'!$B$4:$B$12,0))</f>
        <v>5</v>
      </c>
      <c r="N1532" s="71">
        <f>Table1[[#This Row],[Quantity]]*Table1[[#This Row],[Unit Price]]</f>
        <v>646150</v>
      </c>
      <c r="O1532" s="73">
        <v>6.4615000000000006E-2</v>
      </c>
      <c r="P1532" s="70">
        <f>Table1[[#This Row],[Gross Amount]]*(1-(Table1[[#This Row],[Discount %]]/100))</f>
        <v>613842.5</v>
      </c>
      <c r="Q1532" s="74">
        <f>(Table1[[#This Row],[Gross Amount]]*(1-(Table1[[#This Row],[Discount %]]/100)))/10000000</f>
        <v>6.1384250000000001E-2</v>
      </c>
      <c r="R1532" t="s">
        <v>54</v>
      </c>
      <c r="S1532" t="str" cm="1">
        <f t="array" ref="S1532">IFERROR(_xlfn.IFS(Table1[[#This Row],[Payment Status]]="Partial","In Transit",Table1[[#This Row],[Payment Status]]="Paid","Delivered",Table1[[#This Row],[Payment Status]]="Pending","Pending"),"Invalid Input")</f>
        <v>Delivered</v>
      </c>
      <c r="T1532" t="s">
        <v>27</v>
      </c>
      <c r="U1532" t="str" cm="1">
        <f t="array" ref="U1532">IFERROR(_xlfn.IFS(Table1[[#This Row],[Payment Status]]="Partial","In Transit",Table1[[#This Row],[Payment Status]]="Paid","Completed",Table1[[#This Row],[Payment Status]]="Pending","Pending"),"Invalid Input")</f>
        <v>Completed</v>
      </c>
    </row>
    <row r="1533" spans="1:21" x14ac:dyDescent="0.25">
      <c r="A1533" s="4" t="s">
        <v>2615</v>
      </c>
      <c r="B1533" s="5">
        <v>45498</v>
      </c>
      <c r="C1533" t="s">
        <v>52</v>
      </c>
      <c r="D1533" t="s">
        <v>3270</v>
      </c>
      <c r="E1533" t="s">
        <v>66</v>
      </c>
      <c r="F1533" t="s">
        <v>3220</v>
      </c>
      <c r="G1533" t="s">
        <v>67</v>
      </c>
      <c r="H1533" t="str">
        <f>VLOOKUP(Table1[[#This Row],[City]],Table6[#All],2,FALSE)</f>
        <v>East</v>
      </c>
      <c r="I1533" t="s">
        <v>58</v>
      </c>
      <c r="J1533" t="str">
        <f>_xlfn.XLOOKUP(Table1[[#This Row],[Tractor Model]],Table7[Product Model],Table7[Product Category],"Not Available",0)</f>
        <v>Powertrac</v>
      </c>
      <c r="K1533" s="4">
        <v>2</v>
      </c>
      <c r="L1533" s="72">
        <v>847839</v>
      </c>
      <c r="M1533" s="4">
        <f>INDEX('Master Sheet'!$C$4:$C$12,MATCH(Table1[[#This Row],[Quantity]],'Master Sheet'!$B$4:$B$12,0))</f>
        <v>5</v>
      </c>
      <c r="N1533" s="71">
        <f>Table1[[#This Row],[Quantity]]*Table1[[#This Row],[Unit Price]]</f>
        <v>1695678</v>
      </c>
      <c r="O1533" s="73">
        <v>0.16956779999999999</v>
      </c>
      <c r="P1533" s="70">
        <f>Table1[[#This Row],[Gross Amount]]*(1-(Table1[[#This Row],[Discount %]]/100))</f>
        <v>1610894.0999999999</v>
      </c>
      <c r="Q1533" s="74">
        <f>(Table1[[#This Row],[Gross Amount]]*(1-(Table1[[#This Row],[Discount %]]/100)))/10000000</f>
        <v>0.16108940999999999</v>
      </c>
      <c r="R1533" t="s">
        <v>42</v>
      </c>
      <c r="S1533" t="str" cm="1">
        <f t="array" ref="S1533">IFERROR(_xlfn.IFS(Table1[[#This Row],[Payment Status]]="Partial","In Transit",Table1[[#This Row],[Payment Status]]="Paid","Delivered",Table1[[#This Row],[Payment Status]]="Pending","Pending"),"Invalid Input")</f>
        <v>Pending</v>
      </c>
      <c r="T1533" t="s">
        <v>27</v>
      </c>
      <c r="U1533" t="str" cm="1">
        <f t="array" ref="U1533">IFERROR(_xlfn.IFS(Table1[[#This Row],[Payment Status]]="Partial","In Transit",Table1[[#This Row],[Payment Status]]="Paid","Completed",Table1[[#This Row],[Payment Status]]="Pending","Pending"),"Invalid Input")</f>
        <v>Pending</v>
      </c>
    </row>
    <row r="1534" spans="1:21" x14ac:dyDescent="0.25">
      <c r="A1534" s="4" t="s">
        <v>2616</v>
      </c>
      <c r="B1534" s="5">
        <v>45320</v>
      </c>
      <c r="C1534" t="s">
        <v>41</v>
      </c>
      <c r="D1534" t="s">
        <v>37</v>
      </c>
      <c r="E1534" t="s">
        <v>38</v>
      </c>
      <c r="F1534" t="s">
        <v>3214</v>
      </c>
      <c r="G1534" t="s">
        <v>39</v>
      </c>
      <c r="H1534" t="str">
        <f>VLOOKUP(Table1[[#This Row],[City]],Table6[#All],2,FALSE)</f>
        <v>West</v>
      </c>
      <c r="I1534" t="s">
        <v>3203</v>
      </c>
      <c r="J1534" t="str">
        <f>_xlfn.XLOOKUP(Table1[[#This Row],[Tractor Model]],Table7[Product Model],Table7[Product Category],"Not Available",0)</f>
        <v>Kubota</v>
      </c>
      <c r="K1534" s="4">
        <v>4</v>
      </c>
      <c r="L1534" s="72">
        <v>200308</v>
      </c>
      <c r="M1534" s="4">
        <f>INDEX('Master Sheet'!$C$4:$C$12,MATCH(Table1[[#This Row],[Quantity]],'Master Sheet'!$B$4:$B$12,0))</f>
        <v>6</v>
      </c>
      <c r="N1534" s="71">
        <f>Table1[[#This Row],[Quantity]]*Table1[[#This Row],[Unit Price]]</f>
        <v>801232</v>
      </c>
      <c r="O1534" s="73">
        <v>8.0123200000000006E-2</v>
      </c>
      <c r="P1534" s="70">
        <f>Table1[[#This Row],[Gross Amount]]*(1-(Table1[[#This Row],[Discount %]]/100))</f>
        <v>753158.08</v>
      </c>
      <c r="Q1534" s="74">
        <f>(Table1[[#This Row],[Gross Amount]]*(1-(Table1[[#This Row],[Discount %]]/100)))/10000000</f>
        <v>7.5315807999999998E-2</v>
      </c>
      <c r="R1534" t="s">
        <v>25</v>
      </c>
      <c r="S1534" t="str" cm="1">
        <f t="array" ref="S1534">IFERROR(_xlfn.IFS(Table1[[#This Row],[Payment Status]]="Partial","In Transit",Table1[[#This Row],[Payment Status]]="Paid","Delivered",Table1[[#This Row],[Payment Status]]="Pending","Pending"),"Invalid Input")</f>
        <v>In Transit</v>
      </c>
      <c r="T1534" t="s">
        <v>27</v>
      </c>
      <c r="U1534" t="str" cm="1">
        <f t="array" ref="U1534">IFERROR(_xlfn.IFS(Table1[[#This Row],[Payment Status]]="Partial","In Transit",Table1[[#This Row],[Payment Status]]="Paid","Completed",Table1[[#This Row],[Payment Status]]="Pending","Pending"),"Invalid Input")</f>
        <v>In Transit</v>
      </c>
    </row>
    <row r="1535" spans="1:21" x14ac:dyDescent="0.25">
      <c r="A1535" s="4" t="s">
        <v>2617</v>
      </c>
      <c r="B1535" s="5">
        <v>45337</v>
      </c>
      <c r="C1535" t="s">
        <v>41</v>
      </c>
      <c r="D1535" t="s">
        <v>3269</v>
      </c>
      <c r="E1535" t="s">
        <v>47</v>
      </c>
      <c r="F1535" t="s">
        <v>3209</v>
      </c>
      <c r="G1535" t="s">
        <v>48</v>
      </c>
      <c r="H1535" t="str">
        <f>VLOOKUP(Table1[[#This Row],[City]],Table6[#All],2,FALSE)</f>
        <v>North</v>
      </c>
      <c r="I1535" t="s">
        <v>58</v>
      </c>
      <c r="J1535" t="str">
        <f>_xlfn.XLOOKUP(Table1[[#This Row],[Tractor Model]],Table7[Product Model],Table7[Product Category],"Not Available",0)</f>
        <v>Powertrac</v>
      </c>
      <c r="K1535" s="4">
        <v>3</v>
      </c>
      <c r="L1535" s="72">
        <v>899332</v>
      </c>
      <c r="M1535" s="4">
        <f>INDEX('Master Sheet'!$C$4:$C$12,MATCH(Table1[[#This Row],[Quantity]],'Master Sheet'!$B$4:$B$12,0))</f>
        <v>6</v>
      </c>
      <c r="N1535" s="71">
        <f>Table1[[#This Row],[Quantity]]*Table1[[#This Row],[Unit Price]]</f>
        <v>2697996</v>
      </c>
      <c r="O1535" s="73">
        <v>0.26979959999999997</v>
      </c>
      <c r="P1535" s="70">
        <f>Table1[[#This Row],[Gross Amount]]*(1-(Table1[[#This Row],[Discount %]]/100))</f>
        <v>2536116.2399999998</v>
      </c>
      <c r="Q1535" s="74">
        <f>(Table1[[#This Row],[Gross Amount]]*(1-(Table1[[#This Row],[Discount %]]/100)))/10000000</f>
        <v>0.25361162399999998</v>
      </c>
      <c r="R1535" t="s">
        <v>54</v>
      </c>
      <c r="S1535" t="str" cm="1">
        <f t="array" ref="S1535">IFERROR(_xlfn.IFS(Table1[[#This Row],[Payment Status]]="Partial","In Transit",Table1[[#This Row],[Payment Status]]="Paid","Delivered",Table1[[#This Row],[Payment Status]]="Pending","Pending"),"Invalid Input")</f>
        <v>Delivered</v>
      </c>
      <c r="T1535" t="s">
        <v>44</v>
      </c>
      <c r="U1535" t="str" cm="1">
        <f t="array" ref="U1535">IFERROR(_xlfn.IFS(Table1[[#This Row],[Payment Status]]="Partial","In Transit",Table1[[#This Row],[Payment Status]]="Paid","Completed",Table1[[#This Row],[Payment Status]]="Pending","Pending"),"Invalid Input")</f>
        <v>Completed</v>
      </c>
    </row>
    <row r="1536" spans="1:21" x14ac:dyDescent="0.25">
      <c r="A1536" s="4" t="s">
        <v>2618</v>
      </c>
      <c r="B1536" s="5">
        <v>45799</v>
      </c>
      <c r="C1536" t="s">
        <v>62</v>
      </c>
      <c r="D1536" t="s">
        <v>37</v>
      </c>
      <c r="E1536" t="s">
        <v>66</v>
      </c>
      <c r="F1536" t="s">
        <v>3226</v>
      </c>
      <c r="G1536" t="s">
        <v>67</v>
      </c>
      <c r="H1536" t="str">
        <f>VLOOKUP(Table1[[#This Row],[City]],Table6[#All],2,FALSE)</f>
        <v>East</v>
      </c>
      <c r="I1536" t="s">
        <v>3203</v>
      </c>
      <c r="J1536" t="str">
        <f>_xlfn.XLOOKUP(Table1[[#This Row],[Tractor Model]],Table7[Product Model],Table7[Product Category],"Not Available",0)</f>
        <v>Kubota</v>
      </c>
      <c r="K1536" s="4">
        <v>7</v>
      </c>
      <c r="L1536" s="72">
        <v>295109</v>
      </c>
      <c r="M1536" s="4">
        <f>INDEX('Master Sheet'!$C$4:$C$12,MATCH(Table1[[#This Row],[Quantity]],'Master Sheet'!$B$4:$B$12,0))</f>
        <v>9</v>
      </c>
      <c r="N1536" s="71">
        <f>Table1[[#This Row],[Quantity]]*Table1[[#This Row],[Unit Price]]</f>
        <v>2065763</v>
      </c>
      <c r="O1536" s="73">
        <v>0.20657629999999999</v>
      </c>
      <c r="P1536" s="70">
        <f>Table1[[#This Row],[Gross Amount]]*(1-(Table1[[#This Row],[Discount %]]/100))</f>
        <v>1879844.33</v>
      </c>
      <c r="Q1536" s="74">
        <f>(Table1[[#This Row],[Gross Amount]]*(1-(Table1[[#This Row],[Discount %]]/100)))/10000000</f>
        <v>0.18798443300000001</v>
      </c>
      <c r="R1536" t="s">
        <v>54</v>
      </c>
      <c r="S1536" t="str" cm="1">
        <f t="array" ref="S1536">IFERROR(_xlfn.IFS(Table1[[#This Row],[Payment Status]]="Partial","In Transit",Table1[[#This Row],[Payment Status]]="Paid","Delivered",Table1[[#This Row],[Payment Status]]="Pending","Pending"),"Invalid Input")</f>
        <v>Delivered</v>
      </c>
      <c r="T1536" t="s">
        <v>27</v>
      </c>
      <c r="U1536" t="str" cm="1">
        <f t="array" ref="U1536">IFERROR(_xlfn.IFS(Table1[[#This Row],[Payment Status]]="Partial","In Transit",Table1[[#This Row],[Payment Status]]="Paid","Completed",Table1[[#This Row],[Payment Status]]="Pending","Pending"),"Invalid Input")</f>
        <v>Completed</v>
      </c>
    </row>
    <row r="1537" spans="1:21" x14ac:dyDescent="0.25">
      <c r="A1537" s="4" t="s">
        <v>2620</v>
      </c>
      <c r="B1537" s="5">
        <v>45381</v>
      </c>
      <c r="C1537" t="s">
        <v>52</v>
      </c>
      <c r="D1537" t="s">
        <v>3270</v>
      </c>
      <c r="E1537" t="s">
        <v>38</v>
      </c>
      <c r="F1537" t="s">
        <v>3218</v>
      </c>
      <c r="G1537" t="s">
        <v>39</v>
      </c>
      <c r="H1537" t="str">
        <f>VLOOKUP(Table1[[#This Row],[City]],Table6[#All],2,FALSE)</f>
        <v>West</v>
      </c>
      <c r="I1537" t="s">
        <v>3203</v>
      </c>
      <c r="J1537" t="str">
        <f>_xlfn.XLOOKUP(Table1[[#This Row],[Tractor Model]],Table7[Product Model],Table7[Product Category],"Not Available",0)</f>
        <v>Kubota</v>
      </c>
      <c r="K1537" s="4">
        <v>6</v>
      </c>
      <c r="L1537" s="72">
        <v>328479</v>
      </c>
      <c r="M1537" s="4">
        <f>INDEX('Master Sheet'!$C$4:$C$12,MATCH(Table1[[#This Row],[Quantity]],'Master Sheet'!$B$4:$B$12,0))</f>
        <v>8</v>
      </c>
      <c r="N1537" s="71">
        <f>Table1[[#This Row],[Quantity]]*Table1[[#This Row],[Unit Price]]</f>
        <v>1970874</v>
      </c>
      <c r="O1537" s="73">
        <v>0.1970874</v>
      </c>
      <c r="P1537" s="70">
        <f>Table1[[#This Row],[Gross Amount]]*(1-(Table1[[#This Row],[Discount %]]/100))</f>
        <v>1813204.08</v>
      </c>
      <c r="Q1537" s="74">
        <f>(Table1[[#This Row],[Gross Amount]]*(1-(Table1[[#This Row],[Discount %]]/100)))/10000000</f>
        <v>0.18132040800000002</v>
      </c>
      <c r="R1537" t="s">
        <v>25</v>
      </c>
      <c r="S1537" t="str" cm="1">
        <f t="array" ref="S1537">IFERROR(_xlfn.IFS(Table1[[#This Row],[Payment Status]]="Partial","In Transit",Table1[[#This Row],[Payment Status]]="Paid","Delivered",Table1[[#This Row],[Payment Status]]="Pending","Pending"),"Invalid Input")</f>
        <v>In Transit</v>
      </c>
      <c r="T1537" t="s">
        <v>27</v>
      </c>
      <c r="U1537" t="str" cm="1">
        <f t="array" ref="U1537">IFERROR(_xlfn.IFS(Table1[[#This Row],[Payment Status]]="Partial","In Transit",Table1[[#This Row],[Payment Status]]="Paid","Completed",Table1[[#This Row],[Payment Status]]="Pending","Pending"),"Invalid Input")</f>
        <v>In Transit</v>
      </c>
    </row>
    <row r="1538" spans="1:21" x14ac:dyDescent="0.25">
      <c r="A1538" s="4" t="s">
        <v>2621</v>
      </c>
      <c r="B1538" s="5">
        <v>45461</v>
      </c>
      <c r="C1538" t="s">
        <v>33</v>
      </c>
      <c r="D1538" t="s">
        <v>3269</v>
      </c>
      <c r="E1538" t="s">
        <v>66</v>
      </c>
      <c r="F1538" t="s">
        <v>3213</v>
      </c>
      <c r="G1538" t="s">
        <v>67</v>
      </c>
      <c r="H1538" t="str">
        <f>VLOOKUP(Table1[[#This Row],[City]],Table6[#All],2,FALSE)</f>
        <v>East</v>
      </c>
      <c r="I1538" t="s">
        <v>53</v>
      </c>
      <c r="J1538" t="str">
        <f>_xlfn.XLOOKUP(Table1[[#This Row],[Tractor Model]],Table7[Product Model],Table7[Product Category],"Not Available",0)</f>
        <v>Farmtrac</v>
      </c>
      <c r="K1538" s="4">
        <v>1</v>
      </c>
      <c r="L1538" s="72">
        <v>139867</v>
      </c>
      <c r="M1538" s="4">
        <f>INDEX('Master Sheet'!$C$4:$C$12,MATCH(Table1[[#This Row],[Quantity]],'Master Sheet'!$B$4:$B$12,0))</f>
        <v>3</v>
      </c>
      <c r="N1538" s="71">
        <f>Table1[[#This Row],[Quantity]]*Table1[[#This Row],[Unit Price]]</f>
        <v>139867</v>
      </c>
      <c r="O1538" s="73">
        <v>1.3986699999999999E-2</v>
      </c>
      <c r="P1538" s="70">
        <f>Table1[[#This Row],[Gross Amount]]*(1-(Table1[[#This Row],[Discount %]]/100))</f>
        <v>135670.99</v>
      </c>
      <c r="Q1538" s="74">
        <f>(Table1[[#This Row],[Gross Amount]]*(1-(Table1[[#This Row],[Discount %]]/100)))/10000000</f>
        <v>1.3567098999999999E-2</v>
      </c>
      <c r="R1538" t="s">
        <v>25</v>
      </c>
      <c r="S1538" t="str" cm="1">
        <f t="array" ref="S1538">IFERROR(_xlfn.IFS(Table1[[#This Row],[Payment Status]]="Partial","In Transit",Table1[[#This Row],[Payment Status]]="Paid","Delivered",Table1[[#This Row],[Payment Status]]="Pending","Pending"),"Invalid Input")</f>
        <v>In Transit</v>
      </c>
      <c r="T1538" t="s">
        <v>27</v>
      </c>
      <c r="U1538" t="str" cm="1">
        <f t="array" ref="U1538">IFERROR(_xlfn.IFS(Table1[[#This Row],[Payment Status]]="Partial","In Transit",Table1[[#This Row],[Payment Status]]="Paid","Completed",Table1[[#This Row],[Payment Status]]="Pending","Pending"),"Invalid Input")</f>
        <v>In Transit</v>
      </c>
    </row>
    <row r="1539" spans="1:21" x14ac:dyDescent="0.25">
      <c r="A1539" s="4" t="s">
        <v>2622</v>
      </c>
      <c r="B1539" s="5">
        <v>45742</v>
      </c>
      <c r="C1539" t="s">
        <v>62</v>
      </c>
      <c r="D1539" t="s">
        <v>3271</v>
      </c>
      <c r="E1539" t="s">
        <v>66</v>
      </c>
      <c r="F1539" t="s">
        <v>3207</v>
      </c>
      <c r="G1539" t="s">
        <v>67</v>
      </c>
      <c r="H1539" t="str">
        <f>VLOOKUP(Table1[[#This Row],[City]],Table6[#All],2,FALSE)</f>
        <v>East</v>
      </c>
      <c r="I1539" t="s">
        <v>58</v>
      </c>
      <c r="J1539" t="str">
        <f>_xlfn.XLOOKUP(Table1[[#This Row],[Tractor Model]],Table7[Product Model],Table7[Product Category],"Not Available",0)</f>
        <v>Powertrac</v>
      </c>
      <c r="K1539" s="4">
        <v>5</v>
      </c>
      <c r="L1539" s="72">
        <v>824449</v>
      </c>
      <c r="M1539" s="4">
        <f>INDEX('Master Sheet'!$C$4:$C$12,MATCH(Table1[[#This Row],[Quantity]],'Master Sheet'!$B$4:$B$12,0))</f>
        <v>7</v>
      </c>
      <c r="N1539" s="71">
        <f>Table1[[#This Row],[Quantity]]*Table1[[#This Row],[Unit Price]]</f>
        <v>4122245</v>
      </c>
      <c r="O1539" s="73">
        <v>0.41222449999999999</v>
      </c>
      <c r="P1539" s="70">
        <f>Table1[[#This Row],[Gross Amount]]*(1-(Table1[[#This Row],[Discount %]]/100))</f>
        <v>3833687.8499999996</v>
      </c>
      <c r="Q1539" s="74">
        <f>(Table1[[#This Row],[Gross Amount]]*(1-(Table1[[#This Row],[Discount %]]/100)))/10000000</f>
        <v>0.38336878499999999</v>
      </c>
      <c r="R1539" t="s">
        <v>42</v>
      </c>
      <c r="S1539" t="str" cm="1">
        <f t="array" ref="S1539">IFERROR(_xlfn.IFS(Table1[[#This Row],[Payment Status]]="Partial","In Transit",Table1[[#This Row],[Payment Status]]="Paid","Delivered",Table1[[#This Row],[Payment Status]]="Pending","Pending"),"Invalid Input")</f>
        <v>Pending</v>
      </c>
      <c r="T1539" t="s">
        <v>27</v>
      </c>
      <c r="U1539" t="str" cm="1">
        <f t="array" ref="U1539">IFERROR(_xlfn.IFS(Table1[[#This Row],[Payment Status]]="Partial","In Transit",Table1[[#This Row],[Payment Status]]="Paid","Completed",Table1[[#This Row],[Payment Status]]="Pending","Pending"),"Invalid Input")</f>
        <v>Pending</v>
      </c>
    </row>
    <row r="1540" spans="1:21" x14ac:dyDescent="0.25">
      <c r="A1540" s="4" t="s">
        <v>2624</v>
      </c>
      <c r="B1540" s="5">
        <v>45461</v>
      </c>
      <c r="C1540" t="s">
        <v>62</v>
      </c>
      <c r="D1540" t="s">
        <v>3268</v>
      </c>
      <c r="E1540" t="s">
        <v>30</v>
      </c>
      <c r="F1540" t="s">
        <v>3208</v>
      </c>
      <c r="G1540" t="s">
        <v>31</v>
      </c>
      <c r="H1540" t="str">
        <f>VLOOKUP(Table1[[#This Row],[City]],Table6[#All],2,FALSE)</f>
        <v>South</v>
      </c>
      <c r="I1540" t="s">
        <v>24</v>
      </c>
      <c r="J1540" t="str">
        <f>_xlfn.XLOOKUP(Table1[[#This Row],[Tractor Model]],Table7[Product Model],Table7[Product Category],"Not Available",0)</f>
        <v>Farmtrac</v>
      </c>
      <c r="K1540" s="4">
        <v>2</v>
      </c>
      <c r="L1540" s="72">
        <v>709336</v>
      </c>
      <c r="M1540" s="4">
        <f>INDEX('Master Sheet'!$C$4:$C$12,MATCH(Table1[[#This Row],[Quantity]],'Master Sheet'!$B$4:$B$12,0))</f>
        <v>5</v>
      </c>
      <c r="N1540" s="71">
        <f>Table1[[#This Row],[Quantity]]*Table1[[#This Row],[Unit Price]]</f>
        <v>1418672</v>
      </c>
      <c r="O1540" s="73">
        <v>0.1418672</v>
      </c>
      <c r="P1540" s="70">
        <f>Table1[[#This Row],[Gross Amount]]*(1-(Table1[[#This Row],[Discount %]]/100))</f>
        <v>1347738.4</v>
      </c>
      <c r="Q1540" s="74">
        <f>(Table1[[#This Row],[Gross Amount]]*(1-(Table1[[#This Row],[Discount %]]/100)))/10000000</f>
        <v>0.13477383999999998</v>
      </c>
      <c r="R1540" t="s">
        <v>25</v>
      </c>
      <c r="S1540" t="str" cm="1">
        <f t="array" ref="S1540">IFERROR(_xlfn.IFS(Table1[[#This Row],[Payment Status]]="Partial","In Transit",Table1[[#This Row],[Payment Status]]="Paid","Delivered",Table1[[#This Row],[Payment Status]]="Pending","Pending"),"Invalid Input")</f>
        <v>In Transit</v>
      </c>
      <c r="T1540" t="s">
        <v>27</v>
      </c>
      <c r="U1540" t="str" cm="1">
        <f t="array" ref="U1540">IFERROR(_xlfn.IFS(Table1[[#This Row],[Payment Status]]="Partial","In Transit",Table1[[#This Row],[Payment Status]]="Paid","Completed",Table1[[#This Row],[Payment Status]]="Pending","Pending"),"Invalid Input")</f>
        <v>In Transit</v>
      </c>
    </row>
    <row r="1541" spans="1:21" x14ac:dyDescent="0.25">
      <c r="A1541" s="4" t="s">
        <v>2625</v>
      </c>
      <c r="B1541" s="5">
        <v>45555</v>
      </c>
      <c r="C1541" t="s">
        <v>33</v>
      </c>
      <c r="D1541" t="s">
        <v>3271</v>
      </c>
      <c r="E1541" t="s">
        <v>47</v>
      </c>
      <c r="F1541" t="s">
        <v>3221</v>
      </c>
      <c r="G1541" t="s">
        <v>48</v>
      </c>
      <c r="H1541" t="str">
        <f>VLOOKUP(Table1[[#This Row],[City]],Table6[#All],2,FALSE)</f>
        <v>North</v>
      </c>
      <c r="I1541" t="s">
        <v>3203</v>
      </c>
      <c r="J1541" t="str">
        <f>_xlfn.XLOOKUP(Table1[[#This Row],[Tractor Model]],Table7[Product Model],Table7[Product Category],"Not Available",0)</f>
        <v>Kubota</v>
      </c>
      <c r="K1541" s="4">
        <v>8</v>
      </c>
      <c r="L1541" s="72">
        <v>698811</v>
      </c>
      <c r="M1541" s="4">
        <f>INDEX('Master Sheet'!$C$4:$C$12,MATCH(Table1[[#This Row],[Quantity]],'Master Sheet'!$B$4:$B$12,0))</f>
        <v>9</v>
      </c>
      <c r="N1541" s="71">
        <f>Table1[[#This Row],[Quantity]]*Table1[[#This Row],[Unit Price]]</f>
        <v>5590488</v>
      </c>
      <c r="O1541" s="73">
        <v>0.55904880000000001</v>
      </c>
      <c r="P1541" s="70">
        <f>Table1[[#This Row],[Gross Amount]]*(1-(Table1[[#This Row],[Discount %]]/100))</f>
        <v>5087344.08</v>
      </c>
      <c r="Q1541" s="74">
        <f>(Table1[[#This Row],[Gross Amount]]*(1-(Table1[[#This Row],[Discount %]]/100)))/10000000</f>
        <v>0.50873440800000003</v>
      </c>
      <c r="R1541" t="s">
        <v>42</v>
      </c>
      <c r="S1541" t="str" cm="1">
        <f t="array" ref="S1541">IFERROR(_xlfn.IFS(Table1[[#This Row],[Payment Status]]="Partial","In Transit",Table1[[#This Row],[Payment Status]]="Paid","Delivered",Table1[[#This Row],[Payment Status]]="Pending","Pending"),"Invalid Input")</f>
        <v>Pending</v>
      </c>
      <c r="T1541" t="s">
        <v>27</v>
      </c>
      <c r="U1541" t="str" cm="1">
        <f t="array" ref="U1541">IFERROR(_xlfn.IFS(Table1[[#This Row],[Payment Status]]="Partial","In Transit",Table1[[#This Row],[Payment Status]]="Paid","Completed",Table1[[#This Row],[Payment Status]]="Pending","Pending"),"Invalid Input")</f>
        <v>Pending</v>
      </c>
    </row>
    <row r="1542" spans="1:21" x14ac:dyDescent="0.25">
      <c r="A1542" s="4" t="s">
        <v>2627</v>
      </c>
      <c r="B1542" s="5">
        <v>45761</v>
      </c>
      <c r="C1542" t="s">
        <v>62</v>
      </c>
      <c r="D1542" t="s">
        <v>3271</v>
      </c>
      <c r="E1542" t="s">
        <v>66</v>
      </c>
      <c r="F1542" t="s">
        <v>3207</v>
      </c>
      <c r="G1542" t="s">
        <v>67</v>
      </c>
      <c r="H1542" t="str">
        <f>VLOOKUP(Table1[[#This Row],[City]],Table6[#All],2,FALSE)</f>
        <v>East</v>
      </c>
      <c r="I1542" t="s">
        <v>3204</v>
      </c>
      <c r="J1542" t="str">
        <f>_xlfn.XLOOKUP(Table1[[#This Row],[Tractor Model]],Table7[Product Model],Table7[Product Category],"Not Available",0)</f>
        <v>Kubota</v>
      </c>
      <c r="K1542" s="4">
        <v>3</v>
      </c>
      <c r="L1542" s="72">
        <v>89805</v>
      </c>
      <c r="M1542" s="4">
        <f>INDEX('Master Sheet'!$C$4:$C$12,MATCH(Table1[[#This Row],[Quantity]],'Master Sheet'!$B$4:$B$12,0))</f>
        <v>6</v>
      </c>
      <c r="N1542" s="71">
        <f>Table1[[#This Row],[Quantity]]*Table1[[#This Row],[Unit Price]]</f>
        <v>269415</v>
      </c>
      <c r="O1542" s="73">
        <v>2.69415E-2</v>
      </c>
      <c r="P1542" s="70">
        <f>Table1[[#This Row],[Gross Amount]]*(1-(Table1[[#This Row],[Discount %]]/100))</f>
        <v>253250.09999999998</v>
      </c>
      <c r="Q1542" s="74">
        <f>(Table1[[#This Row],[Gross Amount]]*(1-(Table1[[#This Row],[Discount %]]/100)))/10000000</f>
        <v>2.5325009999999998E-2</v>
      </c>
      <c r="R1542" t="s">
        <v>42</v>
      </c>
      <c r="S1542" t="str" cm="1">
        <f t="array" ref="S1542">IFERROR(_xlfn.IFS(Table1[[#This Row],[Payment Status]]="Partial","In Transit",Table1[[#This Row],[Payment Status]]="Paid","Delivered",Table1[[#This Row],[Payment Status]]="Pending","Pending"),"Invalid Input")</f>
        <v>Pending</v>
      </c>
      <c r="T1542" t="s">
        <v>27</v>
      </c>
      <c r="U1542" t="str" cm="1">
        <f t="array" ref="U1542">IFERROR(_xlfn.IFS(Table1[[#This Row],[Payment Status]]="Partial","In Transit",Table1[[#This Row],[Payment Status]]="Paid","Completed",Table1[[#This Row],[Payment Status]]="Pending","Pending"),"Invalid Input")</f>
        <v>Pending</v>
      </c>
    </row>
    <row r="1543" spans="1:21" x14ac:dyDescent="0.25">
      <c r="A1543" s="4" t="s">
        <v>2628</v>
      </c>
      <c r="B1543" s="5">
        <v>45534</v>
      </c>
      <c r="C1543" t="s">
        <v>73</v>
      </c>
      <c r="D1543" t="s">
        <v>3269</v>
      </c>
      <c r="E1543" t="s">
        <v>47</v>
      </c>
      <c r="F1543" t="s">
        <v>3209</v>
      </c>
      <c r="G1543" t="s">
        <v>48</v>
      </c>
      <c r="H1543" t="str">
        <f>VLOOKUP(Table1[[#This Row],[City]],Table6[#All],2,FALSE)</f>
        <v>North</v>
      </c>
      <c r="I1543" t="s">
        <v>53</v>
      </c>
      <c r="J1543" t="str">
        <f>_xlfn.XLOOKUP(Table1[[#This Row],[Tractor Model]],Table7[Product Model],Table7[Product Category],"Not Available",0)</f>
        <v>Farmtrac</v>
      </c>
      <c r="K1543" s="4">
        <v>7</v>
      </c>
      <c r="L1543" s="72">
        <v>127477</v>
      </c>
      <c r="M1543" s="4">
        <f>INDEX('Master Sheet'!$C$4:$C$12,MATCH(Table1[[#This Row],[Quantity]],'Master Sheet'!$B$4:$B$12,0))</f>
        <v>9</v>
      </c>
      <c r="N1543" s="71">
        <f>Table1[[#This Row],[Quantity]]*Table1[[#This Row],[Unit Price]]</f>
        <v>892339</v>
      </c>
      <c r="O1543" s="73">
        <v>8.9233900000000005E-2</v>
      </c>
      <c r="P1543" s="70">
        <f>Table1[[#This Row],[Gross Amount]]*(1-(Table1[[#This Row],[Discount %]]/100))</f>
        <v>812028.49</v>
      </c>
      <c r="Q1543" s="74">
        <f>(Table1[[#This Row],[Gross Amount]]*(1-(Table1[[#This Row],[Discount %]]/100)))/10000000</f>
        <v>8.1202848999999994E-2</v>
      </c>
      <c r="R1543" t="s">
        <v>54</v>
      </c>
      <c r="S1543" t="str" cm="1">
        <f t="array" ref="S1543">IFERROR(_xlfn.IFS(Table1[[#This Row],[Payment Status]]="Partial","In Transit",Table1[[#This Row],[Payment Status]]="Paid","Delivered",Table1[[#This Row],[Payment Status]]="Pending","Pending"),"Invalid Input")</f>
        <v>Delivered</v>
      </c>
      <c r="T1543" t="s">
        <v>44</v>
      </c>
      <c r="U1543" t="str" cm="1">
        <f t="array" ref="U1543">IFERROR(_xlfn.IFS(Table1[[#This Row],[Payment Status]]="Partial","In Transit",Table1[[#This Row],[Payment Status]]="Paid","Completed",Table1[[#This Row],[Payment Status]]="Pending","Pending"),"Invalid Input")</f>
        <v>Completed</v>
      </c>
    </row>
    <row r="1544" spans="1:21" x14ac:dyDescent="0.25">
      <c r="A1544" s="4" t="s">
        <v>2629</v>
      </c>
      <c r="B1544" s="5">
        <v>45601</v>
      </c>
      <c r="C1544" t="s">
        <v>52</v>
      </c>
      <c r="D1544" t="s">
        <v>3268</v>
      </c>
      <c r="E1544" t="s">
        <v>38</v>
      </c>
      <c r="F1544" t="s">
        <v>3219</v>
      </c>
      <c r="G1544" t="s">
        <v>39</v>
      </c>
      <c r="H1544" t="str">
        <f>VLOOKUP(Table1[[#This Row],[City]],Table6[#All],2,FALSE)</f>
        <v>West</v>
      </c>
      <c r="I1544" t="s">
        <v>24</v>
      </c>
      <c r="J1544" t="str">
        <f>_xlfn.XLOOKUP(Table1[[#This Row],[Tractor Model]],Table7[Product Model],Table7[Product Category],"Not Available",0)</f>
        <v>Farmtrac</v>
      </c>
      <c r="K1544" s="4">
        <v>2</v>
      </c>
      <c r="L1544" s="72">
        <v>812640</v>
      </c>
      <c r="M1544" s="4">
        <f>INDEX('Master Sheet'!$C$4:$C$12,MATCH(Table1[[#This Row],[Quantity]],'Master Sheet'!$B$4:$B$12,0))</f>
        <v>5</v>
      </c>
      <c r="N1544" s="71">
        <f>Table1[[#This Row],[Quantity]]*Table1[[#This Row],[Unit Price]]</f>
        <v>1625280</v>
      </c>
      <c r="O1544" s="73">
        <v>0.16252800000000001</v>
      </c>
      <c r="P1544" s="70">
        <f>Table1[[#This Row],[Gross Amount]]*(1-(Table1[[#This Row],[Discount %]]/100))</f>
        <v>1544016</v>
      </c>
      <c r="Q1544" s="74">
        <f>(Table1[[#This Row],[Gross Amount]]*(1-(Table1[[#This Row],[Discount %]]/100)))/10000000</f>
        <v>0.1544016</v>
      </c>
      <c r="R1544" t="s">
        <v>25</v>
      </c>
      <c r="S1544" t="str" cm="1">
        <f t="array" ref="S1544">IFERROR(_xlfn.IFS(Table1[[#This Row],[Payment Status]]="Partial","In Transit",Table1[[#This Row],[Payment Status]]="Paid","Delivered",Table1[[#This Row],[Payment Status]]="Pending","Pending"),"Invalid Input")</f>
        <v>In Transit</v>
      </c>
      <c r="T1544" t="s">
        <v>44</v>
      </c>
      <c r="U1544" t="str" cm="1">
        <f t="array" ref="U1544">IFERROR(_xlfn.IFS(Table1[[#This Row],[Payment Status]]="Partial","In Transit",Table1[[#This Row],[Payment Status]]="Paid","Completed",Table1[[#This Row],[Payment Status]]="Pending","Pending"),"Invalid Input")</f>
        <v>In Transit</v>
      </c>
    </row>
    <row r="1545" spans="1:21" x14ac:dyDescent="0.25">
      <c r="A1545" s="4" t="s">
        <v>2630</v>
      </c>
      <c r="B1545" s="5">
        <v>45526</v>
      </c>
      <c r="C1545" t="s">
        <v>41</v>
      </c>
      <c r="D1545" t="s">
        <v>3268</v>
      </c>
      <c r="E1545" t="s">
        <v>38</v>
      </c>
      <c r="F1545" t="s">
        <v>3219</v>
      </c>
      <c r="G1545" t="s">
        <v>39</v>
      </c>
      <c r="H1545" t="str">
        <f>VLOOKUP(Table1[[#This Row],[City]],Table6[#All],2,FALSE)</f>
        <v>West</v>
      </c>
      <c r="I1545" t="s">
        <v>53</v>
      </c>
      <c r="J1545" t="str">
        <f>_xlfn.XLOOKUP(Table1[[#This Row],[Tractor Model]],Table7[Product Model],Table7[Product Category],"Not Available",0)</f>
        <v>Farmtrac</v>
      </c>
      <c r="K1545" s="4">
        <v>5</v>
      </c>
      <c r="L1545" s="72">
        <v>276957</v>
      </c>
      <c r="M1545" s="4">
        <f>INDEX('Master Sheet'!$C$4:$C$12,MATCH(Table1[[#This Row],[Quantity]],'Master Sheet'!$B$4:$B$12,0))</f>
        <v>7</v>
      </c>
      <c r="N1545" s="71">
        <f>Table1[[#This Row],[Quantity]]*Table1[[#This Row],[Unit Price]]</f>
        <v>1384785</v>
      </c>
      <c r="O1545" s="73">
        <v>0.1384785</v>
      </c>
      <c r="P1545" s="70">
        <f>Table1[[#This Row],[Gross Amount]]*(1-(Table1[[#This Row],[Discount %]]/100))</f>
        <v>1287850.0499999998</v>
      </c>
      <c r="Q1545" s="74">
        <f>(Table1[[#This Row],[Gross Amount]]*(1-(Table1[[#This Row],[Discount %]]/100)))/10000000</f>
        <v>0.12878500499999998</v>
      </c>
      <c r="R1545" t="s">
        <v>42</v>
      </c>
      <c r="S1545" t="str" cm="1">
        <f t="array" ref="S1545">IFERROR(_xlfn.IFS(Table1[[#This Row],[Payment Status]]="Partial","In Transit",Table1[[#This Row],[Payment Status]]="Paid","Delivered",Table1[[#This Row],[Payment Status]]="Pending","Pending"),"Invalid Input")</f>
        <v>Pending</v>
      </c>
      <c r="T1545" t="s">
        <v>27</v>
      </c>
      <c r="U1545" t="str" cm="1">
        <f t="array" ref="U1545">IFERROR(_xlfn.IFS(Table1[[#This Row],[Payment Status]]="Partial","In Transit",Table1[[#This Row],[Payment Status]]="Paid","Completed",Table1[[#This Row],[Payment Status]]="Pending","Pending"),"Invalid Input")</f>
        <v>Pending</v>
      </c>
    </row>
    <row r="1546" spans="1:21" x14ac:dyDescent="0.25">
      <c r="A1546" s="4" t="s">
        <v>2631</v>
      </c>
      <c r="B1546" s="5">
        <v>45469</v>
      </c>
      <c r="C1546" t="s">
        <v>41</v>
      </c>
      <c r="D1546" t="s">
        <v>3271</v>
      </c>
      <c r="E1546" t="s">
        <v>38</v>
      </c>
      <c r="F1546" t="s">
        <v>3210</v>
      </c>
      <c r="G1546" t="s">
        <v>39</v>
      </c>
      <c r="H1546" t="str">
        <f>VLOOKUP(Table1[[#This Row],[City]],Table6[#All],2,FALSE)</f>
        <v>West</v>
      </c>
      <c r="I1546" t="s">
        <v>3203</v>
      </c>
      <c r="J1546" t="str">
        <f>_xlfn.XLOOKUP(Table1[[#This Row],[Tractor Model]],Table7[Product Model],Table7[Product Category],"Not Available",0)</f>
        <v>Kubota</v>
      </c>
      <c r="K1546" s="4">
        <v>7</v>
      </c>
      <c r="L1546" s="72">
        <v>245642</v>
      </c>
      <c r="M1546" s="4">
        <f>INDEX('Master Sheet'!$C$4:$C$12,MATCH(Table1[[#This Row],[Quantity]],'Master Sheet'!$B$4:$B$12,0))</f>
        <v>9</v>
      </c>
      <c r="N1546" s="71">
        <f>Table1[[#This Row],[Quantity]]*Table1[[#This Row],[Unit Price]]</f>
        <v>1719494</v>
      </c>
      <c r="O1546" s="73">
        <v>0.1719494</v>
      </c>
      <c r="P1546" s="70">
        <f>Table1[[#This Row],[Gross Amount]]*(1-(Table1[[#This Row],[Discount %]]/100))</f>
        <v>1564739.54</v>
      </c>
      <c r="Q1546" s="74">
        <f>(Table1[[#This Row],[Gross Amount]]*(1-(Table1[[#This Row],[Discount %]]/100)))/10000000</f>
        <v>0.156473954</v>
      </c>
      <c r="R1546" t="s">
        <v>42</v>
      </c>
      <c r="S1546" t="str" cm="1">
        <f t="array" ref="S1546">IFERROR(_xlfn.IFS(Table1[[#This Row],[Payment Status]]="Partial","In Transit",Table1[[#This Row],[Payment Status]]="Paid","Delivered",Table1[[#This Row],[Payment Status]]="Pending","Pending"),"Invalid Input")</f>
        <v>Pending</v>
      </c>
      <c r="T1546" t="s">
        <v>44</v>
      </c>
      <c r="U1546" t="str" cm="1">
        <f t="array" ref="U1546">IFERROR(_xlfn.IFS(Table1[[#This Row],[Payment Status]]="Partial","In Transit",Table1[[#This Row],[Payment Status]]="Paid","Completed",Table1[[#This Row],[Payment Status]]="Pending","Pending"),"Invalid Input")</f>
        <v>Pending</v>
      </c>
    </row>
    <row r="1547" spans="1:21" x14ac:dyDescent="0.25">
      <c r="A1547" s="4" t="s">
        <v>2633</v>
      </c>
      <c r="B1547" s="5">
        <v>45603</v>
      </c>
      <c r="C1547" t="s">
        <v>62</v>
      </c>
      <c r="D1547" t="s">
        <v>3271</v>
      </c>
      <c r="E1547" t="s">
        <v>66</v>
      </c>
      <c r="F1547" t="s">
        <v>3207</v>
      </c>
      <c r="G1547" t="s">
        <v>67</v>
      </c>
      <c r="H1547" t="str">
        <f>VLOOKUP(Table1[[#This Row],[City]],Table6[#All],2,FALSE)</f>
        <v>East</v>
      </c>
      <c r="I1547" t="s">
        <v>53</v>
      </c>
      <c r="J1547" t="str">
        <f>_xlfn.XLOOKUP(Table1[[#This Row],[Tractor Model]],Table7[Product Model],Table7[Product Category],"Not Available",0)</f>
        <v>Farmtrac</v>
      </c>
      <c r="K1547" s="4">
        <v>6</v>
      </c>
      <c r="L1547" s="72">
        <v>850468</v>
      </c>
      <c r="M1547" s="4">
        <f>INDEX('Master Sheet'!$C$4:$C$12,MATCH(Table1[[#This Row],[Quantity]],'Master Sheet'!$B$4:$B$12,0))</f>
        <v>8</v>
      </c>
      <c r="N1547" s="71">
        <f>Table1[[#This Row],[Quantity]]*Table1[[#This Row],[Unit Price]]</f>
        <v>5102808</v>
      </c>
      <c r="O1547" s="73">
        <v>0.51028079999999998</v>
      </c>
      <c r="P1547" s="70">
        <f>Table1[[#This Row],[Gross Amount]]*(1-(Table1[[#This Row],[Discount %]]/100))</f>
        <v>4694583.3600000003</v>
      </c>
      <c r="Q1547" s="74">
        <f>(Table1[[#This Row],[Gross Amount]]*(1-(Table1[[#This Row],[Discount %]]/100)))/10000000</f>
        <v>0.46945833600000003</v>
      </c>
      <c r="R1547" t="s">
        <v>25</v>
      </c>
      <c r="S1547" t="str" cm="1">
        <f t="array" ref="S1547">IFERROR(_xlfn.IFS(Table1[[#This Row],[Payment Status]]="Partial","In Transit",Table1[[#This Row],[Payment Status]]="Paid","Delivered",Table1[[#This Row],[Payment Status]]="Pending","Pending"),"Invalid Input")</f>
        <v>In Transit</v>
      </c>
      <c r="T1547" t="s">
        <v>44</v>
      </c>
      <c r="U1547" t="str" cm="1">
        <f t="array" ref="U1547">IFERROR(_xlfn.IFS(Table1[[#This Row],[Payment Status]]="Partial","In Transit",Table1[[#This Row],[Payment Status]]="Paid","Completed",Table1[[#This Row],[Payment Status]]="Pending","Pending"),"Invalid Input")</f>
        <v>In Transit</v>
      </c>
    </row>
    <row r="1548" spans="1:21" x14ac:dyDescent="0.25">
      <c r="A1548" s="4" t="s">
        <v>2635</v>
      </c>
      <c r="B1548" s="5">
        <v>45694</v>
      </c>
      <c r="C1548" t="s">
        <v>52</v>
      </c>
      <c r="D1548" t="s">
        <v>3271</v>
      </c>
      <c r="E1548" t="s">
        <v>66</v>
      </c>
      <c r="F1548" t="s">
        <v>3207</v>
      </c>
      <c r="G1548" t="s">
        <v>67</v>
      </c>
      <c r="H1548" t="str">
        <f>VLOOKUP(Table1[[#This Row],[City]],Table6[#All],2,FALSE)</f>
        <v>East</v>
      </c>
      <c r="I1548" t="s">
        <v>58</v>
      </c>
      <c r="J1548" t="str">
        <f>_xlfn.XLOOKUP(Table1[[#This Row],[Tractor Model]],Table7[Product Model],Table7[Product Category],"Not Available",0)</f>
        <v>Powertrac</v>
      </c>
      <c r="K1548" s="4">
        <v>4</v>
      </c>
      <c r="L1548" s="72">
        <v>473700</v>
      </c>
      <c r="M1548" s="4">
        <f>INDEX('Master Sheet'!$C$4:$C$12,MATCH(Table1[[#This Row],[Quantity]],'Master Sheet'!$B$4:$B$12,0))</f>
        <v>6</v>
      </c>
      <c r="N1548" s="71">
        <f>Table1[[#This Row],[Quantity]]*Table1[[#This Row],[Unit Price]]</f>
        <v>1894800</v>
      </c>
      <c r="O1548" s="73">
        <v>0.18948000000000001</v>
      </c>
      <c r="P1548" s="70">
        <f>Table1[[#This Row],[Gross Amount]]*(1-(Table1[[#This Row],[Discount %]]/100))</f>
        <v>1781112</v>
      </c>
      <c r="Q1548" s="74">
        <f>(Table1[[#This Row],[Gross Amount]]*(1-(Table1[[#This Row],[Discount %]]/100)))/10000000</f>
        <v>0.1781112</v>
      </c>
      <c r="R1548" t="s">
        <v>54</v>
      </c>
      <c r="S1548" t="str" cm="1">
        <f t="array" ref="S1548">IFERROR(_xlfn.IFS(Table1[[#This Row],[Payment Status]]="Partial","In Transit",Table1[[#This Row],[Payment Status]]="Paid","Delivered",Table1[[#This Row],[Payment Status]]="Pending","Pending"),"Invalid Input")</f>
        <v>Delivered</v>
      </c>
      <c r="T1548" t="s">
        <v>27</v>
      </c>
      <c r="U1548" t="str" cm="1">
        <f t="array" ref="U1548">IFERROR(_xlfn.IFS(Table1[[#This Row],[Payment Status]]="Partial","In Transit",Table1[[#This Row],[Payment Status]]="Paid","Completed",Table1[[#This Row],[Payment Status]]="Pending","Pending"),"Invalid Input")</f>
        <v>Completed</v>
      </c>
    </row>
    <row r="1549" spans="1:21" x14ac:dyDescent="0.25">
      <c r="A1549" s="4" t="s">
        <v>2636</v>
      </c>
      <c r="B1549" s="5">
        <v>45684</v>
      </c>
      <c r="C1549" t="s">
        <v>52</v>
      </c>
      <c r="D1549" t="s">
        <v>3269</v>
      </c>
      <c r="E1549" t="s">
        <v>38</v>
      </c>
      <c r="F1549" t="s">
        <v>3206</v>
      </c>
      <c r="G1549" t="s">
        <v>39</v>
      </c>
      <c r="H1549" t="str">
        <f>VLOOKUP(Table1[[#This Row],[City]],Table6[#All],2,FALSE)</f>
        <v>West</v>
      </c>
      <c r="I1549" t="s">
        <v>3204</v>
      </c>
      <c r="J1549" t="str">
        <f>_xlfn.XLOOKUP(Table1[[#This Row],[Tractor Model]],Table7[Product Model],Table7[Product Category],"Not Available",0)</f>
        <v>Kubota</v>
      </c>
      <c r="K1549" s="4">
        <v>8</v>
      </c>
      <c r="L1549" s="72">
        <v>548482</v>
      </c>
      <c r="M1549" s="4">
        <f>INDEX('Master Sheet'!$C$4:$C$12,MATCH(Table1[[#This Row],[Quantity]],'Master Sheet'!$B$4:$B$12,0))</f>
        <v>9</v>
      </c>
      <c r="N1549" s="71">
        <f>Table1[[#This Row],[Quantity]]*Table1[[#This Row],[Unit Price]]</f>
        <v>4387856</v>
      </c>
      <c r="O1549" s="73">
        <v>0.4387856</v>
      </c>
      <c r="P1549" s="70">
        <f>Table1[[#This Row],[Gross Amount]]*(1-(Table1[[#This Row],[Discount %]]/100))</f>
        <v>3992948.96</v>
      </c>
      <c r="Q1549" s="74">
        <f>(Table1[[#This Row],[Gross Amount]]*(1-(Table1[[#This Row],[Discount %]]/100)))/10000000</f>
        <v>0.39929489600000001</v>
      </c>
      <c r="R1549" t="s">
        <v>54</v>
      </c>
      <c r="S1549" t="str" cm="1">
        <f t="array" ref="S1549">IFERROR(_xlfn.IFS(Table1[[#This Row],[Payment Status]]="Partial","In Transit",Table1[[#This Row],[Payment Status]]="Paid","Delivered",Table1[[#This Row],[Payment Status]]="Pending","Pending"),"Invalid Input")</f>
        <v>Delivered</v>
      </c>
      <c r="T1549" t="s">
        <v>27</v>
      </c>
      <c r="U1549" t="str" cm="1">
        <f t="array" ref="U1549">IFERROR(_xlfn.IFS(Table1[[#This Row],[Payment Status]]="Partial","In Transit",Table1[[#This Row],[Payment Status]]="Paid","Completed",Table1[[#This Row],[Payment Status]]="Pending","Pending"),"Invalid Input")</f>
        <v>Completed</v>
      </c>
    </row>
    <row r="1550" spans="1:21" x14ac:dyDescent="0.25">
      <c r="A1550" s="4" t="s">
        <v>2637</v>
      </c>
      <c r="B1550" s="5">
        <v>45747</v>
      </c>
      <c r="C1550" t="s">
        <v>52</v>
      </c>
      <c r="D1550" t="s">
        <v>3268</v>
      </c>
      <c r="E1550" t="s">
        <v>30</v>
      </c>
      <c r="F1550" t="s">
        <v>3208</v>
      </c>
      <c r="G1550" t="s">
        <v>31</v>
      </c>
      <c r="H1550" t="str">
        <f>VLOOKUP(Table1[[#This Row],[City]],Table6[#All],2,FALSE)</f>
        <v>South</v>
      </c>
      <c r="I1550" t="s">
        <v>3203</v>
      </c>
      <c r="J1550" t="str">
        <f>_xlfn.XLOOKUP(Table1[[#This Row],[Tractor Model]],Table7[Product Model],Table7[Product Category],"Not Available",0)</f>
        <v>Kubota</v>
      </c>
      <c r="K1550" s="4">
        <v>0</v>
      </c>
      <c r="L1550" s="72">
        <v>323347</v>
      </c>
      <c r="M1550" s="4">
        <f>INDEX('Master Sheet'!$C$4:$C$12,MATCH(Table1[[#This Row],[Quantity]],'Master Sheet'!$B$4:$B$12,0))</f>
        <v>0</v>
      </c>
      <c r="N1550" s="71">
        <f>Table1[[#This Row],[Quantity]]*Table1[[#This Row],[Unit Price]]</f>
        <v>0</v>
      </c>
      <c r="O1550" s="73">
        <v>0</v>
      </c>
      <c r="P1550" s="70">
        <f>Table1[[#This Row],[Gross Amount]]*(1-(Table1[[#This Row],[Discount %]]/100))</f>
        <v>0</v>
      </c>
      <c r="Q1550" s="74">
        <f>(Table1[[#This Row],[Gross Amount]]*(1-(Table1[[#This Row],[Discount %]]/100)))/10000000</f>
        <v>0</v>
      </c>
      <c r="R1550" t="s">
        <v>42</v>
      </c>
      <c r="S1550" t="str" cm="1">
        <f t="array" ref="S1550">IFERROR(_xlfn.IFS(Table1[[#This Row],[Payment Status]]="Partial","In Transit",Table1[[#This Row],[Payment Status]]="Paid","Delivered",Table1[[#This Row],[Payment Status]]="Pending","Pending"),"Invalid Input")</f>
        <v>Pending</v>
      </c>
      <c r="T1550" t="s">
        <v>27</v>
      </c>
      <c r="U1550" t="str" cm="1">
        <f t="array" ref="U1550">IFERROR(_xlfn.IFS(Table1[[#This Row],[Payment Status]]="Partial","In Transit",Table1[[#This Row],[Payment Status]]="Paid","Completed",Table1[[#This Row],[Payment Status]]="Pending","Pending"),"Invalid Input")</f>
        <v>Pending</v>
      </c>
    </row>
    <row r="1551" spans="1:21" x14ac:dyDescent="0.25">
      <c r="A1551" s="4" t="s">
        <v>2638</v>
      </c>
      <c r="B1551" s="5">
        <v>45492</v>
      </c>
      <c r="C1551" t="s">
        <v>52</v>
      </c>
      <c r="D1551" t="s">
        <v>37</v>
      </c>
      <c r="E1551" t="s">
        <v>47</v>
      </c>
      <c r="F1551" t="s">
        <v>3215</v>
      </c>
      <c r="G1551" t="s">
        <v>48</v>
      </c>
      <c r="H1551" t="str">
        <f>VLOOKUP(Table1[[#This Row],[City]],Table6[#All],2,FALSE)</f>
        <v>North</v>
      </c>
      <c r="I1551" t="s">
        <v>53</v>
      </c>
      <c r="J1551" t="str">
        <f>_xlfn.XLOOKUP(Table1[[#This Row],[Tractor Model]],Table7[Product Model],Table7[Product Category],"Not Available",0)</f>
        <v>Farmtrac</v>
      </c>
      <c r="K1551" s="4">
        <v>4</v>
      </c>
      <c r="L1551" s="72">
        <v>170514</v>
      </c>
      <c r="M1551" s="4">
        <f>INDEX('Master Sheet'!$C$4:$C$12,MATCH(Table1[[#This Row],[Quantity]],'Master Sheet'!$B$4:$B$12,0))</f>
        <v>6</v>
      </c>
      <c r="N1551" s="71">
        <f>Table1[[#This Row],[Quantity]]*Table1[[#This Row],[Unit Price]]</f>
        <v>682056</v>
      </c>
      <c r="O1551" s="73">
        <v>6.8205600000000005E-2</v>
      </c>
      <c r="P1551" s="70">
        <f>Table1[[#This Row],[Gross Amount]]*(1-(Table1[[#This Row],[Discount %]]/100))</f>
        <v>641132.64</v>
      </c>
      <c r="Q1551" s="74">
        <f>(Table1[[#This Row],[Gross Amount]]*(1-(Table1[[#This Row],[Discount %]]/100)))/10000000</f>
        <v>6.4113264000000003E-2</v>
      </c>
      <c r="R1551" t="s">
        <v>42</v>
      </c>
      <c r="S1551" t="str" cm="1">
        <f t="array" ref="S1551">IFERROR(_xlfn.IFS(Table1[[#This Row],[Payment Status]]="Partial","In Transit",Table1[[#This Row],[Payment Status]]="Paid","Delivered",Table1[[#This Row],[Payment Status]]="Pending","Pending"),"Invalid Input")</f>
        <v>Pending</v>
      </c>
      <c r="T1551" t="s">
        <v>44</v>
      </c>
      <c r="U1551" t="str" cm="1">
        <f t="array" ref="U1551">IFERROR(_xlfn.IFS(Table1[[#This Row],[Payment Status]]="Partial","In Transit",Table1[[#This Row],[Payment Status]]="Paid","Completed",Table1[[#This Row],[Payment Status]]="Pending","Pending"),"Invalid Input")</f>
        <v>Pending</v>
      </c>
    </row>
    <row r="1552" spans="1:21" x14ac:dyDescent="0.25">
      <c r="A1552" s="4" t="s">
        <v>2640</v>
      </c>
      <c r="B1552" s="5">
        <v>45515</v>
      </c>
      <c r="C1552" t="s">
        <v>52</v>
      </c>
      <c r="D1552" t="s">
        <v>3269</v>
      </c>
      <c r="E1552" t="s">
        <v>119</v>
      </c>
      <c r="F1552" t="s">
        <v>3229</v>
      </c>
      <c r="G1552" t="s">
        <v>21</v>
      </c>
      <c r="H1552" t="str">
        <f>VLOOKUP(Table1[[#This Row],[City]],Table6[#All],2,FALSE)</f>
        <v>North</v>
      </c>
      <c r="I1552" t="s">
        <v>3204</v>
      </c>
      <c r="J1552" t="str">
        <f>_xlfn.XLOOKUP(Table1[[#This Row],[Tractor Model]],Table7[Product Model],Table7[Product Category],"Not Available",0)</f>
        <v>Kubota</v>
      </c>
      <c r="K1552" s="4">
        <v>7</v>
      </c>
      <c r="L1552" s="72">
        <v>417861</v>
      </c>
      <c r="M1552" s="4">
        <f>INDEX('Master Sheet'!$C$4:$C$12,MATCH(Table1[[#This Row],[Quantity]],'Master Sheet'!$B$4:$B$12,0))</f>
        <v>9</v>
      </c>
      <c r="N1552" s="71">
        <f>Table1[[#This Row],[Quantity]]*Table1[[#This Row],[Unit Price]]</f>
        <v>2925027</v>
      </c>
      <c r="O1552" s="73">
        <v>0.2925027</v>
      </c>
      <c r="P1552" s="70">
        <f>Table1[[#This Row],[Gross Amount]]*(1-(Table1[[#This Row],[Discount %]]/100))</f>
        <v>2661774.5700000003</v>
      </c>
      <c r="Q1552" s="74">
        <f>(Table1[[#This Row],[Gross Amount]]*(1-(Table1[[#This Row],[Discount %]]/100)))/10000000</f>
        <v>0.26617745700000001</v>
      </c>
      <c r="R1552" t="s">
        <v>25</v>
      </c>
      <c r="S1552" t="str" cm="1">
        <f t="array" ref="S1552">IFERROR(_xlfn.IFS(Table1[[#This Row],[Payment Status]]="Partial","In Transit",Table1[[#This Row],[Payment Status]]="Paid","Delivered",Table1[[#This Row],[Payment Status]]="Pending","Pending"),"Invalid Input")</f>
        <v>In Transit</v>
      </c>
      <c r="T1552" t="s">
        <v>44</v>
      </c>
      <c r="U1552" t="str" cm="1">
        <f t="array" ref="U1552">IFERROR(_xlfn.IFS(Table1[[#This Row],[Payment Status]]="Partial","In Transit",Table1[[#This Row],[Payment Status]]="Paid","Completed",Table1[[#This Row],[Payment Status]]="Pending","Pending"),"Invalid Input")</f>
        <v>In Transit</v>
      </c>
    </row>
    <row r="1553" spans="1:21" x14ac:dyDescent="0.25">
      <c r="A1553" s="4" t="s">
        <v>2642</v>
      </c>
      <c r="B1553" s="5">
        <v>45597</v>
      </c>
      <c r="C1553" t="s">
        <v>52</v>
      </c>
      <c r="D1553" t="s">
        <v>3269</v>
      </c>
      <c r="E1553" t="s">
        <v>119</v>
      </c>
      <c r="F1553" t="s">
        <v>3229</v>
      </c>
      <c r="G1553" t="s">
        <v>21</v>
      </c>
      <c r="H1553" t="str">
        <f>VLOOKUP(Table1[[#This Row],[City]],Table6[#All],2,FALSE)</f>
        <v>North</v>
      </c>
      <c r="I1553" t="s">
        <v>3203</v>
      </c>
      <c r="J1553" t="str">
        <f>_xlfn.XLOOKUP(Table1[[#This Row],[Tractor Model]],Table7[Product Model],Table7[Product Category],"Not Available",0)</f>
        <v>Kubota</v>
      </c>
      <c r="K1553" s="4">
        <v>4</v>
      </c>
      <c r="L1553" s="72">
        <v>516752</v>
      </c>
      <c r="M1553" s="4">
        <f>INDEX('Master Sheet'!$C$4:$C$12,MATCH(Table1[[#This Row],[Quantity]],'Master Sheet'!$B$4:$B$12,0))</f>
        <v>6</v>
      </c>
      <c r="N1553" s="71">
        <f>Table1[[#This Row],[Quantity]]*Table1[[#This Row],[Unit Price]]</f>
        <v>2067008</v>
      </c>
      <c r="O1553" s="73">
        <v>0.20670079999999999</v>
      </c>
      <c r="P1553" s="70">
        <f>Table1[[#This Row],[Gross Amount]]*(1-(Table1[[#This Row],[Discount %]]/100))</f>
        <v>1942987.5199999998</v>
      </c>
      <c r="Q1553" s="74">
        <f>(Table1[[#This Row],[Gross Amount]]*(1-(Table1[[#This Row],[Discount %]]/100)))/10000000</f>
        <v>0.19429875199999999</v>
      </c>
      <c r="R1553" t="s">
        <v>42</v>
      </c>
      <c r="S1553" t="str" cm="1">
        <f t="array" ref="S1553">IFERROR(_xlfn.IFS(Table1[[#This Row],[Payment Status]]="Partial","In Transit",Table1[[#This Row],[Payment Status]]="Paid","Delivered",Table1[[#This Row],[Payment Status]]="Pending","Pending"),"Invalid Input")</f>
        <v>Pending</v>
      </c>
      <c r="T1553" t="s">
        <v>27</v>
      </c>
      <c r="U1553" t="str" cm="1">
        <f t="array" ref="U1553">IFERROR(_xlfn.IFS(Table1[[#This Row],[Payment Status]]="Partial","In Transit",Table1[[#This Row],[Payment Status]]="Paid","Completed",Table1[[#This Row],[Payment Status]]="Pending","Pending"),"Invalid Input")</f>
        <v>Pending</v>
      </c>
    </row>
    <row r="1554" spans="1:21" x14ac:dyDescent="0.25">
      <c r="A1554" s="4" t="s">
        <v>2643</v>
      </c>
      <c r="B1554" s="5">
        <v>45593</v>
      </c>
      <c r="C1554" t="s">
        <v>62</v>
      </c>
      <c r="D1554" t="s">
        <v>37</v>
      </c>
      <c r="E1554" t="s">
        <v>30</v>
      </c>
      <c r="F1554" t="s">
        <v>3222</v>
      </c>
      <c r="G1554" t="s">
        <v>31</v>
      </c>
      <c r="H1554" t="str">
        <f>VLOOKUP(Table1[[#This Row],[City]],Table6[#All],2,FALSE)</f>
        <v>South</v>
      </c>
      <c r="I1554" t="s">
        <v>3204</v>
      </c>
      <c r="J1554" t="str">
        <f>_xlfn.XLOOKUP(Table1[[#This Row],[Tractor Model]],Table7[Product Model],Table7[Product Category],"Not Available",0)</f>
        <v>Kubota</v>
      </c>
      <c r="K1554" s="4">
        <v>7</v>
      </c>
      <c r="L1554" s="72">
        <v>614476</v>
      </c>
      <c r="M1554" s="4">
        <f>INDEX('Master Sheet'!$C$4:$C$12,MATCH(Table1[[#This Row],[Quantity]],'Master Sheet'!$B$4:$B$12,0))</f>
        <v>9</v>
      </c>
      <c r="N1554" s="71">
        <f>Table1[[#This Row],[Quantity]]*Table1[[#This Row],[Unit Price]]</f>
        <v>4301332</v>
      </c>
      <c r="O1554" s="73">
        <v>0.43013319999999999</v>
      </c>
      <c r="P1554" s="70">
        <f>Table1[[#This Row],[Gross Amount]]*(1-(Table1[[#This Row],[Discount %]]/100))</f>
        <v>3914212.12</v>
      </c>
      <c r="Q1554" s="74">
        <f>(Table1[[#This Row],[Gross Amount]]*(1-(Table1[[#This Row],[Discount %]]/100)))/10000000</f>
        <v>0.39142121200000002</v>
      </c>
      <c r="R1554" t="s">
        <v>54</v>
      </c>
      <c r="S1554" t="str" cm="1">
        <f t="array" ref="S1554">IFERROR(_xlfn.IFS(Table1[[#This Row],[Payment Status]]="Partial","In Transit",Table1[[#This Row],[Payment Status]]="Paid","Delivered",Table1[[#This Row],[Payment Status]]="Pending","Pending"),"Invalid Input")</f>
        <v>Delivered</v>
      </c>
      <c r="T1554" t="s">
        <v>44</v>
      </c>
      <c r="U1554" t="str" cm="1">
        <f t="array" ref="U1554">IFERROR(_xlfn.IFS(Table1[[#This Row],[Payment Status]]="Partial","In Transit",Table1[[#This Row],[Payment Status]]="Paid","Completed",Table1[[#This Row],[Payment Status]]="Pending","Pending"),"Invalid Input")</f>
        <v>Completed</v>
      </c>
    </row>
    <row r="1555" spans="1:21" x14ac:dyDescent="0.25">
      <c r="A1555" s="4" t="s">
        <v>2644</v>
      </c>
      <c r="B1555" s="5">
        <v>45464</v>
      </c>
      <c r="C1555" t="s">
        <v>73</v>
      </c>
      <c r="D1555" t="s">
        <v>3269</v>
      </c>
      <c r="E1555" t="s">
        <v>30</v>
      </c>
      <c r="F1555" t="s">
        <v>3225</v>
      </c>
      <c r="G1555" t="s">
        <v>31</v>
      </c>
      <c r="H1555" t="str">
        <f>VLOOKUP(Table1[[#This Row],[City]],Table6[#All],2,FALSE)</f>
        <v>South</v>
      </c>
      <c r="I1555" t="s">
        <v>53</v>
      </c>
      <c r="J1555" t="str">
        <f>_xlfn.XLOOKUP(Table1[[#This Row],[Tractor Model]],Table7[Product Model],Table7[Product Category],"Not Available",0)</f>
        <v>Farmtrac</v>
      </c>
      <c r="K1555" s="4">
        <v>5</v>
      </c>
      <c r="L1555" s="72">
        <v>488204</v>
      </c>
      <c r="M1555" s="4">
        <f>INDEX('Master Sheet'!$C$4:$C$12,MATCH(Table1[[#This Row],[Quantity]],'Master Sheet'!$B$4:$B$12,0))</f>
        <v>7</v>
      </c>
      <c r="N1555" s="71">
        <f>Table1[[#This Row],[Quantity]]*Table1[[#This Row],[Unit Price]]</f>
        <v>2441020</v>
      </c>
      <c r="O1555" s="73">
        <v>0.24410200000000001</v>
      </c>
      <c r="P1555" s="70">
        <f>Table1[[#This Row],[Gross Amount]]*(1-(Table1[[#This Row],[Discount %]]/100))</f>
        <v>2270148.5999999996</v>
      </c>
      <c r="Q1555" s="74">
        <f>(Table1[[#This Row],[Gross Amount]]*(1-(Table1[[#This Row],[Discount %]]/100)))/10000000</f>
        <v>0.22701485999999996</v>
      </c>
      <c r="R1555" t="s">
        <v>42</v>
      </c>
      <c r="S1555" t="str" cm="1">
        <f t="array" ref="S1555">IFERROR(_xlfn.IFS(Table1[[#This Row],[Payment Status]]="Partial","In Transit",Table1[[#This Row],[Payment Status]]="Paid","Delivered",Table1[[#This Row],[Payment Status]]="Pending","Pending"),"Invalid Input")</f>
        <v>Pending</v>
      </c>
      <c r="T1555" t="s">
        <v>44</v>
      </c>
      <c r="U1555" t="str" cm="1">
        <f t="array" ref="U1555">IFERROR(_xlfn.IFS(Table1[[#This Row],[Payment Status]]="Partial","In Transit",Table1[[#This Row],[Payment Status]]="Paid","Completed",Table1[[#This Row],[Payment Status]]="Pending","Pending"),"Invalid Input")</f>
        <v>Pending</v>
      </c>
    </row>
    <row r="1556" spans="1:21" x14ac:dyDescent="0.25">
      <c r="A1556" s="4" t="s">
        <v>2646</v>
      </c>
      <c r="B1556" s="5">
        <v>45767</v>
      </c>
      <c r="C1556" t="s">
        <v>33</v>
      </c>
      <c r="D1556" t="s">
        <v>3269</v>
      </c>
      <c r="E1556" t="s">
        <v>47</v>
      </c>
      <c r="F1556" t="s">
        <v>3209</v>
      </c>
      <c r="G1556" t="s">
        <v>48</v>
      </c>
      <c r="H1556" t="str">
        <f>VLOOKUP(Table1[[#This Row],[City]],Table6[#All],2,FALSE)</f>
        <v>North</v>
      </c>
      <c r="I1556" t="s">
        <v>3203</v>
      </c>
      <c r="J1556" t="str">
        <f>_xlfn.XLOOKUP(Table1[[#This Row],[Tractor Model]],Table7[Product Model],Table7[Product Category],"Not Available",0)</f>
        <v>Kubota</v>
      </c>
      <c r="K1556" s="4">
        <v>6</v>
      </c>
      <c r="L1556" s="72">
        <v>807845</v>
      </c>
      <c r="M1556" s="4">
        <f>INDEX('Master Sheet'!$C$4:$C$12,MATCH(Table1[[#This Row],[Quantity]],'Master Sheet'!$B$4:$B$12,0))</f>
        <v>8</v>
      </c>
      <c r="N1556" s="71">
        <f>Table1[[#This Row],[Quantity]]*Table1[[#This Row],[Unit Price]]</f>
        <v>4847070</v>
      </c>
      <c r="O1556" s="73">
        <v>0.484707</v>
      </c>
      <c r="P1556" s="70">
        <f>Table1[[#This Row],[Gross Amount]]*(1-(Table1[[#This Row],[Discount %]]/100))</f>
        <v>4459304.4000000004</v>
      </c>
      <c r="Q1556" s="74">
        <f>(Table1[[#This Row],[Gross Amount]]*(1-(Table1[[#This Row],[Discount %]]/100)))/10000000</f>
        <v>0.44593044000000004</v>
      </c>
      <c r="R1556" t="s">
        <v>42</v>
      </c>
      <c r="S1556" t="str" cm="1">
        <f t="array" ref="S1556">IFERROR(_xlfn.IFS(Table1[[#This Row],[Payment Status]]="Partial","In Transit",Table1[[#This Row],[Payment Status]]="Paid","Delivered",Table1[[#This Row],[Payment Status]]="Pending","Pending"),"Invalid Input")</f>
        <v>Pending</v>
      </c>
      <c r="T1556" t="s">
        <v>27</v>
      </c>
      <c r="U1556" t="str" cm="1">
        <f t="array" ref="U1556">IFERROR(_xlfn.IFS(Table1[[#This Row],[Payment Status]]="Partial","In Transit",Table1[[#This Row],[Payment Status]]="Paid","Completed",Table1[[#This Row],[Payment Status]]="Pending","Pending"),"Invalid Input")</f>
        <v>Pending</v>
      </c>
    </row>
    <row r="1557" spans="1:21" x14ac:dyDescent="0.25">
      <c r="A1557" s="4" t="s">
        <v>2647</v>
      </c>
      <c r="B1557" s="5">
        <v>45544</v>
      </c>
      <c r="C1557" t="s">
        <v>73</v>
      </c>
      <c r="D1557" t="s">
        <v>3268</v>
      </c>
      <c r="E1557" t="s">
        <v>38</v>
      </c>
      <c r="F1557" t="s">
        <v>3219</v>
      </c>
      <c r="G1557" t="s">
        <v>39</v>
      </c>
      <c r="H1557" t="str">
        <f>VLOOKUP(Table1[[#This Row],[City]],Table6[#All],2,FALSE)</f>
        <v>West</v>
      </c>
      <c r="I1557" t="s">
        <v>58</v>
      </c>
      <c r="J1557" t="str">
        <f>_xlfn.XLOOKUP(Table1[[#This Row],[Tractor Model]],Table7[Product Model],Table7[Product Category],"Not Available",0)</f>
        <v>Powertrac</v>
      </c>
      <c r="K1557" s="4">
        <v>3</v>
      </c>
      <c r="L1557" s="72">
        <v>108323</v>
      </c>
      <c r="M1557" s="4">
        <f>INDEX('Master Sheet'!$C$4:$C$12,MATCH(Table1[[#This Row],[Quantity]],'Master Sheet'!$B$4:$B$12,0))</f>
        <v>6</v>
      </c>
      <c r="N1557" s="71">
        <f>Table1[[#This Row],[Quantity]]*Table1[[#This Row],[Unit Price]]</f>
        <v>324969</v>
      </c>
      <c r="O1557" s="73">
        <v>3.2496900000000002E-2</v>
      </c>
      <c r="P1557" s="70">
        <f>Table1[[#This Row],[Gross Amount]]*(1-(Table1[[#This Row],[Discount %]]/100))</f>
        <v>305470.86</v>
      </c>
      <c r="Q1557" s="74">
        <f>(Table1[[#This Row],[Gross Amount]]*(1-(Table1[[#This Row],[Discount %]]/100)))/10000000</f>
        <v>3.0547085999999998E-2</v>
      </c>
      <c r="R1557" t="s">
        <v>54</v>
      </c>
      <c r="S1557" t="str" cm="1">
        <f t="array" ref="S1557">IFERROR(_xlfn.IFS(Table1[[#This Row],[Payment Status]]="Partial","In Transit",Table1[[#This Row],[Payment Status]]="Paid","Delivered",Table1[[#This Row],[Payment Status]]="Pending","Pending"),"Invalid Input")</f>
        <v>Delivered</v>
      </c>
      <c r="T1557" t="s">
        <v>44</v>
      </c>
      <c r="U1557" t="str" cm="1">
        <f t="array" ref="U1557">IFERROR(_xlfn.IFS(Table1[[#This Row],[Payment Status]]="Partial","In Transit",Table1[[#This Row],[Payment Status]]="Paid","Completed",Table1[[#This Row],[Payment Status]]="Pending","Pending"),"Invalid Input")</f>
        <v>Completed</v>
      </c>
    </row>
    <row r="1558" spans="1:21" x14ac:dyDescent="0.25">
      <c r="A1558" s="4" t="s">
        <v>2648</v>
      </c>
      <c r="B1558" s="5">
        <v>45578</v>
      </c>
      <c r="C1558" t="s">
        <v>41</v>
      </c>
      <c r="D1558" t="s">
        <v>37</v>
      </c>
      <c r="E1558" t="s">
        <v>119</v>
      </c>
      <c r="F1558" t="s">
        <v>3224</v>
      </c>
      <c r="G1558" t="s">
        <v>21</v>
      </c>
      <c r="H1558" t="str">
        <f>VLOOKUP(Table1[[#This Row],[City]],Table6[#All],2,FALSE)</f>
        <v>North</v>
      </c>
      <c r="I1558" t="s">
        <v>58</v>
      </c>
      <c r="J1558" t="str">
        <f>_xlfn.XLOOKUP(Table1[[#This Row],[Tractor Model]],Table7[Product Model],Table7[Product Category],"Not Available",0)</f>
        <v>Powertrac</v>
      </c>
      <c r="K1558" s="4">
        <v>6</v>
      </c>
      <c r="L1558" s="72">
        <v>207094</v>
      </c>
      <c r="M1558" s="4">
        <f>INDEX('Master Sheet'!$C$4:$C$12,MATCH(Table1[[#This Row],[Quantity]],'Master Sheet'!$B$4:$B$12,0))</f>
        <v>8</v>
      </c>
      <c r="N1558" s="71">
        <f>Table1[[#This Row],[Quantity]]*Table1[[#This Row],[Unit Price]]</f>
        <v>1242564</v>
      </c>
      <c r="O1558" s="73">
        <v>0.1242564</v>
      </c>
      <c r="P1558" s="70">
        <f>Table1[[#This Row],[Gross Amount]]*(1-(Table1[[#This Row],[Discount %]]/100))</f>
        <v>1143158.8800000001</v>
      </c>
      <c r="Q1558" s="74">
        <f>(Table1[[#This Row],[Gross Amount]]*(1-(Table1[[#This Row],[Discount %]]/100)))/10000000</f>
        <v>0.11431588800000002</v>
      </c>
      <c r="R1558" t="s">
        <v>25</v>
      </c>
      <c r="S1558" t="str" cm="1">
        <f t="array" ref="S1558">IFERROR(_xlfn.IFS(Table1[[#This Row],[Payment Status]]="Partial","In Transit",Table1[[#This Row],[Payment Status]]="Paid","Delivered",Table1[[#This Row],[Payment Status]]="Pending","Pending"),"Invalid Input")</f>
        <v>In Transit</v>
      </c>
      <c r="T1558" t="s">
        <v>27</v>
      </c>
      <c r="U1558" t="str" cm="1">
        <f t="array" ref="U1558">IFERROR(_xlfn.IFS(Table1[[#This Row],[Payment Status]]="Partial","In Transit",Table1[[#This Row],[Payment Status]]="Paid","Completed",Table1[[#This Row],[Payment Status]]="Pending","Pending"),"Invalid Input")</f>
        <v>In Transit</v>
      </c>
    </row>
    <row r="1559" spans="1:21" x14ac:dyDescent="0.25">
      <c r="A1559" s="4" t="s">
        <v>2650</v>
      </c>
      <c r="B1559" s="5">
        <v>45783</v>
      </c>
      <c r="C1559" t="s">
        <v>52</v>
      </c>
      <c r="D1559" t="s">
        <v>3269</v>
      </c>
      <c r="E1559" t="s">
        <v>30</v>
      </c>
      <c r="F1559" t="s">
        <v>3225</v>
      </c>
      <c r="G1559" t="s">
        <v>31</v>
      </c>
      <c r="H1559" t="str">
        <f>VLOOKUP(Table1[[#This Row],[City]],Table6[#All],2,FALSE)</f>
        <v>South</v>
      </c>
      <c r="I1559" t="s">
        <v>3204</v>
      </c>
      <c r="J1559" t="str">
        <f>_xlfn.XLOOKUP(Table1[[#This Row],[Tractor Model]],Table7[Product Model],Table7[Product Category],"Not Available",0)</f>
        <v>Kubota</v>
      </c>
      <c r="K1559" s="4">
        <v>8</v>
      </c>
      <c r="L1559" s="72">
        <v>236885</v>
      </c>
      <c r="M1559" s="4">
        <f>INDEX('Master Sheet'!$C$4:$C$12,MATCH(Table1[[#This Row],[Quantity]],'Master Sheet'!$B$4:$B$12,0))</f>
        <v>9</v>
      </c>
      <c r="N1559" s="71">
        <f>Table1[[#This Row],[Quantity]]*Table1[[#This Row],[Unit Price]]</f>
        <v>1895080</v>
      </c>
      <c r="O1559" s="73">
        <v>0.18950800000000001</v>
      </c>
      <c r="P1559" s="70">
        <f>Table1[[#This Row],[Gross Amount]]*(1-(Table1[[#This Row],[Discount %]]/100))</f>
        <v>1724522.8</v>
      </c>
      <c r="Q1559" s="74">
        <f>(Table1[[#This Row],[Gross Amount]]*(1-(Table1[[#This Row],[Discount %]]/100)))/10000000</f>
        <v>0.17245228000000001</v>
      </c>
      <c r="R1559" t="s">
        <v>54</v>
      </c>
      <c r="S1559" t="str" cm="1">
        <f t="array" ref="S1559">IFERROR(_xlfn.IFS(Table1[[#This Row],[Payment Status]]="Partial","In Transit",Table1[[#This Row],[Payment Status]]="Paid","Delivered",Table1[[#This Row],[Payment Status]]="Pending","Pending"),"Invalid Input")</f>
        <v>Delivered</v>
      </c>
      <c r="T1559" t="s">
        <v>44</v>
      </c>
      <c r="U1559" t="str" cm="1">
        <f t="array" ref="U1559">IFERROR(_xlfn.IFS(Table1[[#This Row],[Payment Status]]="Partial","In Transit",Table1[[#This Row],[Payment Status]]="Paid","Completed",Table1[[#This Row],[Payment Status]]="Pending","Pending"),"Invalid Input")</f>
        <v>Completed</v>
      </c>
    </row>
    <row r="1560" spans="1:21" x14ac:dyDescent="0.25">
      <c r="A1560" s="4" t="s">
        <v>2651</v>
      </c>
      <c r="B1560" s="5">
        <v>45761</v>
      </c>
      <c r="C1560" t="s">
        <v>41</v>
      </c>
      <c r="D1560" t="s">
        <v>3268</v>
      </c>
      <c r="E1560" t="s">
        <v>119</v>
      </c>
      <c r="F1560" t="s">
        <v>3227</v>
      </c>
      <c r="G1560" t="s">
        <v>21</v>
      </c>
      <c r="H1560" t="str">
        <f>VLOOKUP(Table1[[#This Row],[City]],Table6[#All],2,FALSE)</f>
        <v>North</v>
      </c>
      <c r="I1560" t="s">
        <v>24</v>
      </c>
      <c r="J1560" t="str">
        <f>_xlfn.XLOOKUP(Table1[[#This Row],[Tractor Model]],Table7[Product Model],Table7[Product Category],"Not Available",0)</f>
        <v>Farmtrac</v>
      </c>
      <c r="K1560" s="4">
        <v>2</v>
      </c>
      <c r="L1560" s="72">
        <v>538010</v>
      </c>
      <c r="M1560" s="4">
        <f>INDEX('Master Sheet'!$C$4:$C$12,MATCH(Table1[[#This Row],[Quantity]],'Master Sheet'!$B$4:$B$12,0))</f>
        <v>5</v>
      </c>
      <c r="N1560" s="71">
        <f>Table1[[#This Row],[Quantity]]*Table1[[#This Row],[Unit Price]]</f>
        <v>1076020</v>
      </c>
      <c r="O1560" s="73">
        <v>0.107602</v>
      </c>
      <c r="P1560" s="70">
        <f>Table1[[#This Row],[Gross Amount]]*(1-(Table1[[#This Row],[Discount %]]/100))</f>
        <v>1022219</v>
      </c>
      <c r="Q1560" s="74">
        <f>(Table1[[#This Row],[Gross Amount]]*(1-(Table1[[#This Row],[Discount %]]/100)))/10000000</f>
        <v>0.1022219</v>
      </c>
      <c r="R1560" t="s">
        <v>54</v>
      </c>
      <c r="S1560" t="str" cm="1">
        <f t="array" ref="S1560">IFERROR(_xlfn.IFS(Table1[[#This Row],[Payment Status]]="Partial","In Transit",Table1[[#This Row],[Payment Status]]="Paid","Delivered",Table1[[#This Row],[Payment Status]]="Pending","Pending"),"Invalid Input")</f>
        <v>Delivered</v>
      </c>
      <c r="T1560" t="s">
        <v>27</v>
      </c>
      <c r="U1560" t="str" cm="1">
        <f t="array" ref="U1560">IFERROR(_xlfn.IFS(Table1[[#This Row],[Payment Status]]="Partial","In Transit",Table1[[#This Row],[Payment Status]]="Paid","Completed",Table1[[#This Row],[Payment Status]]="Pending","Pending"),"Invalid Input")</f>
        <v>Completed</v>
      </c>
    </row>
    <row r="1561" spans="1:21" x14ac:dyDescent="0.25">
      <c r="A1561" s="4" t="s">
        <v>2652</v>
      </c>
      <c r="B1561" s="5">
        <v>45756</v>
      </c>
      <c r="C1561" t="s">
        <v>62</v>
      </c>
      <c r="D1561" t="s">
        <v>37</v>
      </c>
      <c r="E1561" t="s">
        <v>38</v>
      </c>
      <c r="F1561" t="s">
        <v>3214</v>
      </c>
      <c r="G1561" t="s">
        <v>39</v>
      </c>
      <c r="H1561" t="str">
        <f>VLOOKUP(Table1[[#This Row],[City]],Table6[#All],2,FALSE)</f>
        <v>West</v>
      </c>
      <c r="I1561" t="s">
        <v>53</v>
      </c>
      <c r="J1561" t="str">
        <f>_xlfn.XLOOKUP(Table1[[#This Row],[Tractor Model]],Table7[Product Model],Table7[Product Category],"Not Available",0)</f>
        <v>Farmtrac</v>
      </c>
      <c r="K1561" s="4">
        <v>8</v>
      </c>
      <c r="L1561" s="72">
        <v>757784</v>
      </c>
      <c r="M1561" s="4">
        <f>INDEX('Master Sheet'!$C$4:$C$12,MATCH(Table1[[#This Row],[Quantity]],'Master Sheet'!$B$4:$B$12,0))</f>
        <v>9</v>
      </c>
      <c r="N1561" s="71">
        <f>Table1[[#This Row],[Quantity]]*Table1[[#This Row],[Unit Price]]</f>
        <v>6062272</v>
      </c>
      <c r="O1561" s="73">
        <v>0.60622719999999997</v>
      </c>
      <c r="P1561" s="70">
        <f>Table1[[#This Row],[Gross Amount]]*(1-(Table1[[#This Row],[Discount %]]/100))</f>
        <v>5516667.5200000005</v>
      </c>
      <c r="Q1561" s="74">
        <f>(Table1[[#This Row],[Gross Amount]]*(1-(Table1[[#This Row],[Discount %]]/100)))/10000000</f>
        <v>0.55166675200000004</v>
      </c>
      <c r="R1561" t="s">
        <v>54</v>
      </c>
      <c r="S1561" t="str" cm="1">
        <f t="array" ref="S1561">IFERROR(_xlfn.IFS(Table1[[#This Row],[Payment Status]]="Partial","In Transit",Table1[[#This Row],[Payment Status]]="Paid","Delivered",Table1[[#This Row],[Payment Status]]="Pending","Pending"),"Invalid Input")</f>
        <v>Delivered</v>
      </c>
      <c r="T1561" t="s">
        <v>27</v>
      </c>
      <c r="U1561" t="str" cm="1">
        <f t="array" ref="U1561">IFERROR(_xlfn.IFS(Table1[[#This Row],[Payment Status]]="Partial","In Transit",Table1[[#This Row],[Payment Status]]="Paid","Completed",Table1[[#This Row],[Payment Status]]="Pending","Pending"),"Invalid Input")</f>
        <v>Completed</v>
      </c>
    </row>
    <row r="1562" spans="1:21" x14ac:dyDescent="0.25">
      <c r="A1562" s="4" t="s">
        <v>2654</v>
      </c>
      <c r="B1562" s="5">
        <v>45802</v>
      </c>
      <c r="C1562" t="s">
        <v>52</v>
      </c>
      <c r="D1562" t="s">
        <v>3271</v>
      </c>
      <c r="E1562" t="s">
        <v>66</v>
      </c>
      <c r="F1562" t="s">
        <v>3207</v>
      </c>
      <c r="G1562" t="s">
        <v>67</v>
      </c>
      <c r="H1562" t="str">
        <f>VLOOKUP(Table1[[#This Row],[City]],Table6[#All],2,FALSE)</f>
        <v>East</v>
      </c>
      <c r="I1562" t="s">
        <v>24</v>
      </c>
      <c r="J1562" t="str">
        <f>_xlfn.XLOOKUP(Table1[[#This Row],[Tractor Model]],Table7[Product Model],Table7[Product Category],"Not Available",0)</f>
        <v>Farmtrac</v>
      </c>
      <c r="K1562" s="4">
        <v>1</v>
      </c>
      <c r="L1562" s="72">
        <v>836264</v>
      </c>
      <c r="M1562" s="4">
        <f>INDEX('Master Sheet'!$C$4:$C$12,MATCH(Table1[[#This Row],[Quantity]],'Master Sheet'!$B$4:$B$12,0))</f>
        <v>3</v>
      </c>
      <c r="N1562" s="71">
        <f>Table1[[#This Row],[Quantity]]*Table1[[#This Row],[Unit Price]]</f>
        <v>836264</v>
      </c>
      <c r="O1562" s="73">
        <v>8.3626400000000004E-2</v>
      </c>
      <c r="P1562" s="70">
        <f>Table1[[#This Row],[Gross Amount]]*(1-(Table1[[#This Row],[Discount %]]/100))</f>
        <v>811176.08</v>
      </c>
      <c r="Q1562" s="74">
        <f>(Table1[[#This Row],[Gross Amount]]*(1-(Table1[[#This Row],[Discount %]]/100)))/10000000</f>
        <v>8.1117607999999994E-2</v>
      </c>
      <c r="R1562" t="s">
        <v>25</v>
      </c>
      <c r="S1562" t="str" cm="1">
        <f t="array" ref="S1562">IFERROR(_xlfn.IFS(Table1[[#This Row],[Payment Status]]="Partial","In Transit",Table1[[#This Row],[Payment Status]]="Paid","Delivered",Table1[[#This Row],[Payment Status]]="Pending","Pending"),"Invalid Input")</f>
        <v>In Transit</v>
      </c>
      <c r="T1562" t="s">
        <v>27</v>
      </c>
      <c r="U1562" t="str" cm="1">
        <f t="array" ref="U1562">IFERROR(_xlfn.IFS(Table1[[#This Row],[Payment Status]]="Partial","In Transit",Table1[[#This Row],[Payment Status]]="Paid","Completed",Table1[[#This Row],[Payment Status]]="Pending","Pending"),"Invalid Input")</f>
        <v>In Transit</v>
      </c>
    </row>
    <row r="1563" spans="1:21" x14ac:dyDescent="0.25">
      <c r="A1563" s="4" t="s">
        <v>2655</v>
      </c>
      <c r="B1563" s="5">
        <v>45707</v>
      </c>
      <c r="C1563" t="s">
        <v>33</v>
      </c>
      <c r="D1563" t="s">
        <v>3271</v>
      </c>
      <c r="E1563" t="s">
        <v>30</v>
      </c>
      <c r="F1563" t="s">
        <v>3217</v>
      </c>
      <c r="G1563" t="s">
        <v>31</v>
      </c>
      <c r="H1563" t="str">
        <f>VLOOKUP(Table1[[#This Row],[City]],Table6[#All],2,FALSE)</f>
        <v>South</v>
      </c>
      <c r="I1563" t="s">
        <v>58</v>
      </c>
      <c r="J1563" t="str">
        <f>_xlfn.XLOOKUP(Table1[[#This Row],[Tractor Model]],Table7[Product Model],Table7[Product Category],"Not Available",0)</f>
        <v>Powertrac</v>
      </c>
      <c r="K1563" s="4">
        <v>6</v>
      </c>
      <c r="L1563" s="72">
        <v>728043</v>
      </c>
      <c r="M1563" s="4">
        <f>INDEX('Master Sheet'!$C$4:$C$12,MATCH(Table1[[#This Row],[Quantity]],'Master Sheet'!$B$4:$B$12,0))</f>
        <v>8</v>
      </c>
      <c r="N1563" s="71">
        <f>Table1[[#This Row],[Quantity]]*Table1[[#This Row],[Unit Price]]</f>
        <v>4368258</v>
      </c>
      <c r="O1563" s="73">
        <v>0.43682579999999999</v>
      </c>
      <c r="P1563" s="70">
        <f>Table1[[#This Row],[Gross Amount]]*(1-(Table1[[#This Row],[Discount %]]/100))</f>
        <v>4018797.3600000003</v>
      </c>
      <c r="Q1563" s="74">
        <f>(Table1[[#This Row],[Gross Amount]]*(1-(Table1[[#This Row],[Discount %]]/100)))/10000000</f>
        <v>0.40187973600000004</v>
      </c>
      <c r="R1563" t="s">
        <v>42</v>
      </c>
      <c r="S1563" t="str" cm="1">
        <f t="array" ref="S1563">IFERROR(_xlfn.IFS(Table1[[#This Row],[Payment Status]]="Partial","In Transit",Table1[[#This Row],[Payment Status]]="Paid","Delivered",Table1[[#This Row],[Payment Status]]="Pending","Pending"),"Invalid Input")</f>
        <v>Pending</v>
      </c>
      <c r="T1563" t="s">
        <v>27</v>
      </c>
      <c r="U1563" t="str" cm="1">
        <f t="array" ref="U1563">IFERROR(_xlfn.IFS(Table1[[#This Row],[Payment Status]]="Partial","In Transit",Table1[[#This Row],[Payment Status]]="Paid","Completed",Table1[[#This Row],[Payment Status]]="Pending","Pending"),"Invalid Input")</f>
        <v>Pending</v>
      </c>
    </row>
    <row r="1564" spans="1:21" x14ac:dyDescent="0.25">
      <c r="A1564" s="4" t="s">
        <v>2657</v>
      </c>
      <c r="B1564" s="5">
        <v>45718</v>
      </c>
      <c r="C1564" t="s">
        <v>41</v>
      </c>
      <c r="D1564" t="s">
        <v>3269</v>
      </c>
      <c r="E1564" t="s">
        <v>66</v>
      </c>
      <c r="F1564" t="s">
        <v>3213</v>
      </c>
      <c r="G1564" t="s">
        <v>67</v>
      </c>
      <c r="H1564" t="str">
        <f>VLOOKUP(Table1[[#This Row],[City]],Table6[#All],2,FALSE)</f>
        <v>East</v>
      </c>
      <c r="I1564" t="s">
        <v>3204</v>
      </c>
      <c r="J1564" t="str">
        <f>_xlfn.XLOOKUP(Table1[[#This Row],[Tractor Model]],Table7[Product Model],Table7[Product Category],"Not Available",0)</f>
        <v>Kubota</v>
      </c>
      <c r="K1564" s="4">
        <v>2</v>
      </c>
      <c r="L1564" s="72">
        <v>406461</v>
      </c>
      <c r="M1564" s="4">
        <f>INDEX('Master Sheet'!$C$4:$C$12,MATCH(Table1[[#This Row],[Quantity]],'Master Sheet'!$B$4:$B$12,0))</f>
        <v>5</v>
      </c>
      <c r="N1564" s="71">
        <f>Table1[[#This Row],[Quantity]]*Table1[[#This Row],[Unit Price]]</f>
        <v>812922</v>
      </c>
      <c r="O1564" s="73">
        <v>8.1292199999999995E-2</v>
      </c>
      <c r="P1564" s="70">
        <f>Table1[[#This Row],[Gross Amount]]*(1-(Table1[[#This Row],[Discount %]]/100))</f>
        <v>772275.89999999991</v>
      </c>
      <c r="Q1564" s="74">
        <f>(Table1[[#This Row],[Gross Amount]]*(1-(Table1[[#This Row],[Discount %]]/100)))/10000000</f>
        <v>7.7227589999999985E-2</v>
      </c>
      <c r="R1564" t="s">
        <v>42</v>
      </c>
      <c r="S1564" t="str" cm="1">
        <f t="array" ref="S1564">IFERROR(_xlfn.IFS(Table1[[#This Row],[Payment Status]]="Partial","In Transit",Table1[[#This Row],[Payment Status]]="Paid","Delivered",Table1[[#This Row],[Payment Status]]="Pending","Pending"),"Invalid Input")</f>
        <v>Pending</v>
      </c>
      <c r="T1564" t="s">
        <v>44</v>
      </c>
      <c r="U1564" t="str" cm="1">
        <f t="array" ref="U1564">IFERROR(_xlfn.IFS(Table1[[#This Row],[Payment Status]]="Partial","In Transit",Table1[[#This Row],[Payment Status]]="Paid","Completed",Table1[[#This Row],[Payment Status]]="Pending","Pending"),"Invalid Input")</f>
        <v>Pending</v>
      </c>
    </row>
    <row r="1565" spans="1:21" x14ac:dyDescent="0.25">
      <c r="A1565" s="4" t="s">
        <v>2658</v>
      </c>
      <c r="B1565" s="5">
        <v>45605</v>
      </c>
      <c r="C1565" t="s">
        <v>33</v>
      </c>
      <c r="D1565" t="s">
        <v>3269</v>
      </c>
      <c r="E1565" t="s">
        <v>38</v>
      </c>
      <c r="F1565" t="s">
        <v>3206</v>
      </c>
      <c r="G1565" t="s">
        <v>39</v>
      </c>
      <c r="H1565" t="str">
        <f>VLOOKUP(Table1[[#This Row],[City]],Table6[#All],2,FALSE)</f>
        <v>West</v>
      </c>
      <c r="I1565" t="s">
        <v>3204</v>
      </c>
      <c r="J1565" t="str">
        <f>_xlfn.XLOOKUP(Table1[[#This Row],[Tractor Model]],Table7[Product Model],Table7[Product Category],"Not Available",0)</f>
        <v>Kubota</v>
      </c>
      <c r="K1565" s="4">
        <v>4</v>
      </c>
      <c r="L1565" s="72">
        <v>541184</v>
      </c>
      <c r="M1565" s="4">
        <f>INDEX('Master Sheet'!$C$4:$C$12,MATCH(Table1[[#This Row],[Quantity]],'Master Sheet'!$B$4:$B$12,0))</f>
        <v>6</v>
      </c>
      <c r="N1565" s="71">
        <f>Table1[[#This Row],[Quantity]]*Table1[[#This Row],[Unit Price]]</f>
        <v>2164736</v>
      </c>
      <c r="O1565" s="73">
        <v>0.21647359999999999</v>
      </c>
      <c r="P1565" s="70">
        <f>Table1[[#This Row],[Gross Amount]]*(1-(Table1[[#This Row],[Discount %]]/100))</f>
        <v>2034851.8399999999</v>
      </c>
      <c r="Q1565" s="74">
        <f>(Table1[[#This Row],[Gross Amount]]*(1-(Table1[[#This Row],[Discount %]]/100)))/10000000</f>
        <v>0.20348518399999999</v>
      </c>
      <c r="R1565" t="s">
        <v>25</v>
      </c>
      <c r="S1565" t="str" cm="1">
        <f t="array" ref="S1565">IFERROR(_xlfn.IFS(Table1[[#This Row],[Payment Status]]="Partial","In Transit",Table1[[#This Row],[Payment Status]]="Paid","Delivered",Table1[[#This Row],[Payment Status]]="Pending","Pending"),"Invalid Input")</f>
        <v>In Transit</v>
      </c>
      <c r="T1565" t="s">
        <v>44</v>
      </c>
      <c r="U1565" t="str" cm="1">
        <f t="array" ref="U1565">IFERROR(_xlfn.IFS(Table1[[#This Row],[Payment Status]]="Partial","In Transit",Table1[[#This Row],[Payment Status]]="Paid","Completed",Table1[[#This Row],[Payment Status]]="Pending","Pending"),"Invalid Input")</f>
        <v>In Transit</v>
      </c>
    </row>
    <row r="1566" spans="1:21" x14ac:dyDescent="0.25">
      <c r="A1566" s="4" t="s">
        <v>2660</v>
      </c>
      <c r="B1566" s="5">
        <v>45647</v>
      </c>
      <c r="C1566" t="s">
        <v>73</v>
      </c>
      <c r="D1566" t="s">
        <v>3271</v>
      </c>
      <c r="E1566" t="s">
        <v>47</v>
      </c>
      <c r="F1566" t="s">
        <v>3221</v>
      </c>
      <c r="G1566" t="s">
        <v>48</v>
      </c>
      <c r="H1566" t="str">
        <f>VLOOKUP(Table1[[#This Row],[City]],Table6[#All],2,FALSE)</f>
        <v>North</v>
      </c>
      <c r="I1566" t="s">
        <v>3204</v>
      </c>
      <c r="J1566" t="str">
        <f>_xlfn.XLOOKUP(Table1[[#This Row],[Tractor Model]],Table7[Product Model],Table7[Product Category],"Not Available",0)</f>
        <v>Kubota</v>
      </c>
      <c r="K1566" s="4">
        <v>4</v>
      </c>
      <c r="L1566" s="72">
        <v>125713</v>
      </c>
      <c r="M1566" s="4">
        <f>INDEX('Master Sheet'!$C$4:$C$12,MATCH(Table1[[#This Row],[Quantity]],'Master Sheet'!$B$4:$B$12,0))</f>
        <v>6</v>
      </c>
      <c r="N1566" s="71">
        <f>Table1[[#This Row],[Quantity]]*Table1[[#This Row],[Unit Price]]</f>
        <v>502852</v>
      </c>
      <c r="O1566" s="73">
        <v>5.0285200000000002E-2</v>
      </c>
      <c r="P1566" s="70">
        <f>Table1[[#This Row],[Gross Amount]]*(1-(Table1[[#This Row],[Discount %]]/100))</f>
        <v>472680.87999999995</v>
      </c>
      <c r="Q1566" s="74">
        <f>(Table1[[#This Row],[Gross Amount]]*(1-(Table1[[#This Row],[Discount %]]/100)))/10000000</f>
        <v>4.7268087999999993E-2</v>
      </c>
      <c r="R1566" t="s">
        <v>54</v>
      </c>
      <c r="S1566" t="str" cm="1">
        <f t="array" ref="S1566">IFERROR(_xlfn.IFS(Table1[[#This Row],[Payment Status]]="Partial","In Transit",Table1[[#This Row],[Payment Status]]="Paid","Delivered",Table1[[#This Row],[Payment Status]]="Pending","Pending"),"Invalid Input")</f>
        <v>Delivered</v>
      </c>
      <c r="T1566" t="s">
        <v>27</v>
      </c>
      <c r="U1566" t="str" cm="1">
        <f t="array" ref="U1566">IFERROR(_xlfn.IFS(Table1[[#This Row],[Payment Status]]="Partial","In Transit",Table1[[#This Row],[Payment Status]]="Paid","Completed",Table1[[#This Row],[Payment Status]]="Pending","Pending"),"Invalid Input")</f>
        <v>Completed</v>
      </c>
    </row>
    <row r="1567" spans="1:21" x14ac:dyDescent="0.25">
      <c r="A1567" s="4" t="s">
        <v>2661</v>
      </c>
      <c r="B1567" s="5">
        <v>45681</v>
      </c>
      <c r="C1567" t="s">
        <v>33</v>
      </c>
      <c r="D1567" t="s">
        <v>3271</v>
      </c>
      <c r="E1567" t="s">
        <v>66</v>
      </c>
      <c r="F1567" t="s">
        <v>3207</v>
      </c>
      <c r="G1567" t="s">
        <v>67</v>
      </c>
      <c r="H1567" t="str">
        <f>VLOOKUP(Table1[[#This Row],[City]],Table6[#All],2,FALSE)</f>
        <v>East</v>
      </c>
      <c r="I1567" t="s">
        <v>3204</v>
      </c>
      <c r="J1567" t="str">
        <f>_xlfn.XLOOKUP(Table1[[#This Row],[Tractor Model]],Table7[Product Model],Table7[Product Category],"Not Available",0)</f>
        <v>Kubota</v>
      </c>
      <c r="K1567" s="4">
        <v>3</v>
      </c>
      <c r="L1567" s="72">
        <v>378612</v>
      </c>
      <c r="M1567" s="4">
        <f>INDEX('Master Sheet'!$C$4:$C$12,MATCH(Table1[[#This Row],[Quantity]],'Master Sheet'!$B$4:$B$12,0))</f>
        <v>6</v>
      </c>
      <c r="N1567" s="71">
        <f>Table1[[#This Row],[Quantity]]*Table1[[#This Row],[Unit Price]]</f>
        <v>1135836</v>
      </c>
      <c r="O1567" s="73">
        <v>0.11358360000000001</v>
      </c>
      <c r="P1567" s="70">
        <f>Table1[[#This Row],[Gross Amount]]*(1-(Table1[[#This Row],[Discount %]]/100))</f>
        <v>1067685.8399999999</v>
      </c>
      <c r="Q1567" s="74">
        <f>(Table1[[#This Row],[Gross Amount]]*(1-(Table1[[#This Row],[Discount %]]/100)))/10000000</f>
        <v>0.10676858399999999</v>
      </c>
      <c r="R1567" t="s">
        <v>54</v>
      </c>
      <c r="S1567" t="str" cm="1">
        <f t="array" ref="S1567">IFERROR(_xlfn.IFS(Table1[[#This Row],[Payment Status]]="Partial","In Transit",Table1[[#This Row],[Payment Status]]="Paid","Delivered",Table1[[#This Row],[Payment Status]]="Pending","Pending"),"Invalid Input")</f>
        <v>Delivered</v>
      </c>
      <c r="T1567" t="s">
        <v>44</v>
      </c>
      <c r="U1567" t="str" cm="1">
        <f t="array" ref="U1567">IFERROR(_xlfn.IFS(Table1[[#This Row],[Payment Status]]="Partial","In Transit",Table1[[#This Row],[Payment Status]]="Paid","Completed",Table1[[#This Row],[Payment Status]]="Pending","Pending"),"Invalid Input")</f>
        <v>Completed</v>
      </c>
    </row>
    <row r="1568" spans="1:21" x14ac:dyDescent="0.25">
      <c r="A1568" s="4" t="s">
        <v>2662</v>
      </c>
      <c r="B1568" s="5">
        <v>45436</v>
      </c>
      <c r="C1568" t="s">
        <v>33</v>
      </c>
      <c r="D1568" t="s">
        <v>3269</v>
      </c>
      <c r="E1568" t="s">
        <v>47</v>
      </c>
      <c r="F1568" t="s">
        <v>3209</v>
      </c>
      <c r="G1568" t="s">
        <v>48</v>
      </c>
      <c r="H1568" t="str">
        <f>VLOOKUP(Table1[[#This Row],[City]],Table6[#All],2,FALSE)</f>
        <v>North</v>
      </c>
      <c r="I1568" t="s">
        <v>58</v>
      </c>
      <c r="J1568" t="str">
        <f>_xlfn.XLOOKUP(Table1[[#This Row],[Tractor Model]],Table7[Product Model],Table7[Product Category],"Not Available",0)</f>
        <v>Powertrac</v>
      </c>
      <c r="K1568" s="4">
        <v>4</v>
      </c>
      <c r="L1568" s="72">
        <v>558195</v>
      </c>
      <c r="M1568" s="4">
        <f>INDEX('Master Sheet'!$C$4:$C$12,MATCH(Table1[[#This Row],[Quantity]],'Master Sheet'!$B$4:$B$12,0))</f>
        <v>6</v>
      </c>
      <c r="N1568" s="71">
        <f>Table1[[#This Row],[Quantity]]*Table1[[#This Row],[Unit Price]]</f>
        <v>2232780</v>
      </c>
      <c r="O1568" s="73">
        <v>0.223278</v>
      </c>
      <c r="P1568" s="70">
        <f>Table1[[#This Row],[Gross Amount]]*(1-(Table1[[#This Row],[Discount %]]/100))</f>
        <v>2098813.1999999997</v>
      </c>
      <c r="Q1568" s="74">
        <f>(Table1[[#This Row],[Gross Amount]]*(1-(Table1[[#This Row],[Discount %]]/100)))/10000000</f>
        <v>0.20988131999999998</v>
      </c>
      <c r="R1568" t="s">
        <v>25</v>
      </c>
      <c r="S1568" t="str" cm="1">
        <f t="array" ref="S1568">IFERROR(_xlfn.IFS(Table1[[#This Row],[Payment Status]]="Partial","In Transit",Table1[[#This Row],[Payment Status]]="Paid","Delivered",Table1[[#This Row],[Payment Status]]="Pending","Pending"),"Invalid Input")</f>
        <v>In Transit</v>
      </c>
      <c r="T1568" t="s">
        <v>27</v>
      </c>
      <c r="U1568" t="str" cm="1">
        <f t="array" ref="U1568">IFERROR(_xlfn.IFS(Table1[[#This Row],[Payment Status]]="Partial","In Transit",Table1[[#This Row],[Payment Status]]="Paid","Completed",Table1[[#This Row],[Payment Status]]="Pending","Pending"),"Invalid Input")</f>
        <v>In Transit</v>
      </c>
    </row>
    <row r="1569" spans="1:21" x14ac:dyDescent="0.25">
      <c r="A1569" s="4" t="s">
        <v>2663</v>
      </c>
      <c r="B1569" s="5">
        <v>45735</v>
      </c>
      <c r="C1569" t="s">
        <v>62</v>
      </c>
      <c r="D1569" t="s">
        <v>3269</v>
      </c>
      <c r="E1569" t="s">
        <v>66</v>
      </c>
      <c r="F1569" t="s">
        <v>3213</v>
      </c>
      <c r="G1569" t="s">
        <v>67</v>
      </c>
      <c r="H1569" t="str">
        <f>VLOOKUP(Table1[[#This Row],[City]],Table6[#All],2,FALSE)</f>
        <v>East</v>
      </c>
      <c r="I1569" t="s">
        <v>53</v>
      </c>
      <c r="J1569" t="str">
        <f>_xlfn.XLOOKUP(Table1[[#This Row],[Tractor Model]],Table7[Product Model],Table7[Product Category],"Not Available",0)</f>
        <v>Farmtrac</v>
      </c>
      <c r="K1569" s="4">
        <v>5</v>
      </c>
      <c r="L1569" s="72">
        <v>442322</v>
      </c>
      <c r="M1569" s="4">
        <f>INDEX('Master Sheet'!$C$4:$C$12,MATCH(Table1[[#This Row],[Quantity]],'Master Sheet'!$B$4:$B$12,0))</f>
        <v>7</v>
      </c>
      <c r="N1569" s="71">
        <f>Table1[[#This Row],[Quantity]]*Table1[[#This Row],[Unit Price]]</f>
        <v>2211610</v>
      </c>
      <c r="O1569" s="73">
        <v>0.221161</v>
      </c>
      <c r="P1569" s="70">
        <f>Table1[[#This Row],[Gross Amount]]*(1-(Table1[[#This Row],[Discount %]]/100))</f>
        <v>2056797.2999999998</v>
      </c>
      <c r="Q1569" s="74">
        <f>(Table1[[#This Row],[Gross Amount]]*(1-(Table1[[#This Row],[Discount %]]/100)))/10000000</f>
        <v>0.20567972999999998</v>
      </c>
      <c r="R1569" t="s">
        <v>42</v>
      </c>
      <c r="S1569" t="str" cm="1">
        <f t="array" ref="S1569">IFERROR(_xlfn.IFS(Table1[[#This Row],[Payment Status]]="Partial","In Transit",Table1[[#This Row],[Payment Status]]="Paid","Delivered",Table1[[#This Row],[Payment Status]]="Pending","Pending"),"Invalid Input")</f>
        <v>Pending</v>
      </c>
      <c r="T1569" t="s">
        <v>44</v>
      </c>
      <c r="U1569" t="str" cm="1">
        <f t="array" ref="U1569">IFERROR(_xlfn.IFS(Table1[[#This Row],[Payment Status]]="Partial","In Transit",Table1[[#This Row],[Payment Status]]="Paid","Completed",Table1[[#This Row],[Payment Status]]="Pending","Pending"),"Invalid Input")</f>
        <v>Pending</v>
      </c>
    </row>
    <row r="1570" spans="1:21" x14ac:dyDescent="0.25">
      <c r="A1570" s="4" t="s">
        <v>2664</v>
      </c>
      <c r="B1570" s="5">
        <v>45622</v>
      </c>
      <c r="C1570" t="s">
        <v>62</v>
      </c>
      <c r="D1570" t="s">
        <v>3269</v>
      </c>
      <c r="E1570" t="s">
        <v>66</v>
      </c>
      <c r="F1570" t="s">
        <v>3213</v>
      </c>
      <c r="G1570" t="s">
        <v>67</v>
      </c>
      <c r="H1570" t="str">
        <f>VLOOKUP(Table1[[#This Row],[City]],Table6[#All],2,FALSE)</f>
        <v>East</v>
      </c>
      <c r="I1570" t="s">
        <v>58</v>
      </c>
      <c r="J1570" t="str">
        <f>_xlfn.XLOOKUP(Table1[[#This Row],[Tractor Model]],Table7[Product Model],Table7[Product Category],"Not Available",0)</f>
        <v>Powertrac</v>
      </c>
      <c r="K1570" s="4">
        <v>1</v>
      </c>
      <c r="L1570" s="72">
        <v>686937</v>
      </c>
      <c r="M1570" s="4">
        <f>INDEX('Master Sheet'!$C$4:$C$12,MATCH(Table1[[#This Row],[Quantity]],'Master Sheet'!$B$4:$B$12,0))</f>
        <v>3</v>
      </c>
      <c r="N1570" s="71">
        <f>Table1[[#This Row],[Quantity]]*Table1[[#This Row],[Unit Price]]</f>
        <v>686937</v>
      </c>
      <c r="O1570" s="73">
        <v>6.8693699999999996E-2</v>
      </c>
      <c r="P1570" s="70">
        <f>Table1[[#This Row],[Gross Amount]]*(1-(Table1[[#This Row],[Discount %]]/100))</f>
        <v>666328.89</v>
      </c>
      <c r="Q1570" s="74">
        <f>(Table1[[#This Row],[Gross Amount]]*(1-(Table1[[#This Row],[Discount %]]/100)))/10000000</f>
        <v>6.6632889000000001E-2</v>
      </c>
      <c r="R1570" t="s">
        <v>42</v>
      </c>
      <c r="S1570" t="str" cm="1">
        <f t="array" ref="S1570">IFERROR(_xlfn.IFS(Table1[[#This Row],[Payment Status]]="Partial","In Transit",Table1[[#This Row],[Payment Status]]="Paid","Delivered",Table1[[#This Row],[Payment Status]]="Pending","Pending"),"Invalid Input")</f>
        <v>Pending</v>
      </c>
      <c r="T1570" t="s">
        <v>27</v>
      </c>
      <c r="U1570" t="str" cm="1">
        <f t="array" ref="U1570">IFERROR(_xlfn.IFS(Table1[[#This Row],[Payment Status]]="Partial","In Transit",Table1[[#This Row],[Payment Status]]="Paid","Completed",Table1[[#This Row],[Payment Status]]="Pending","Pending"),"Invalid Input")</f>
        <v>Pending</v>
      </c>
    </row>
    <row r="1571" spans="1:21" x14ac:dyDescent="0.25">
      <c r="A1571" s="4" t="s">
        <v>2666</v>
      </c>
      <c r="B1571" s="5">
        <v>45427</v>
      </c>
      <c r="C1571" t="s">
        <v>62</v>
      </c>
      <c r="D1571" t="s">
        <v>3271</v>
      </c>
      <c r="E1571" t="s">
        <v>38</v>
      </c>
      <c r="F1571" t="s">
        <v>3210</v>
      </c>
      <c r="G1571" t="s">
        <v>39</v>
      </c>
      <c r="H1571" t="str">
        <f>VLOOKUP(Table1[[#This Row],[City]],Table6[#All],2,FALSE)</f>
        <v>West</v>
      </c>
      <c r="I1571" t="s">
        <v>3204</v>
      </c>
      <c r="J1571" t="str">
        <f>_xlfn.XLOOKUP(Table1[[#This Row],[Tractor Model]],Table7[Product Model],Table7[Product Category],"Not Available",0)</f>
        <v>Kubota</v>
      </c>
      <c r="K1571" s="4">
        <v>5</v>
      </c>
      <c r="L1571" s="72">
        <v>336130</v>
      </c>
      <c r="M1571" s="4">
        <f>INDEX('Master Sheet'!$C$4:$C$12,MATCH(Table1[[#This Row],[Quantity]],'Master Sheet'!$B$4:$B$12,0))</f>
        <v>7</v>
      </c>
      <c r="N1571" s="71">
        <f>Table1[[#This Row],[Quantity]]*Table1[[#This Row],[Unit Price]]</f>
        <v>1680650</v>
      </c>
      <c r="O1571" s="73">
        <v>0.16806499999999999</v>
      </c>
      <c r="P1571" s="70">
        <f>Table1[[#This Row],[Gross Amount]]*(1-(Table1[[#This Row],[Discount %]]/100))</f>
        <v>1563004.5</v>
      </c>
      <c r="Q1571" s="74">
        <f>(Table1[[#This Row],[Gross Amount]]*(1-(Table1[[#This Row],[Discount %]]/100)))/10000000</f>
        <v>0.15630045000000001</v>
      </c>
      <c r="R1571" t="s">
        <v>25</v>
      </c>
      <c r="S1571" t="str" cm="1">
        <f t="array" ref="S1571">IFERROR(_xlfn.IFS(Table1[[#This Row],[Payment Status]]="Partial","In Transit",Table1[[#This Row],[Payment Status]]="Paid","Delivered",Table1[[#This Row],[Payment Status]]="Pending","Pending"),"Invalid Input")</f>
        <v>In Transit</v>
      </c>
      <c r="T1571" t="s">
        <v>27</v>
      </c>
      <c r="U1571" t="str" cm="1">
        <f t="array" ref="U1571">IFERROR(_xlfn.IFS(Table1[[#This Row],[Payment Status]]="Partial","In Transit",Table1[[#This Row],[Payment Status]]="Paid","Completed",Table1[[#This Row],[Payment Status]]="Pending","Pending"),"Invalid Input")</f>
        <v>In Transit</v>
      </c>
    </row>
    <row r="1572" spans="1:21" x14ac:dyDescent="0.25">
      <c r="A1572" s="4" t="s">
        <v>2667</v>
      </c>
      <c r="B1572" s="5">
        <v>45671</v>
      </c>
      <c r="C1572" t="s">
        <v>73</v>
      </c>
      <c r="D1572" t="s">
        <v>37</v>
      </c>
      <c r="E1572" t="s">
        <v>66</v>
      </c>
      <c r="F1572" t="s">
        <v>3226</v>
      </c>
      <c r="G1572" t="s">
        <v>67</v>
      </c>
      <c r="H1572" t="str">
        <f>VLOOKUP(Table1[[#This Row],[City]],Table6[#All],2,FALSE)</f>
        <v>East</v>
      </c>
      <c r="I1572" t="s">
        <v>3204</v>
      </c>
      <c r="J1572" t="str">
        <f>_xlfn.XLOOKUP(Table1[[#This Row],[Tractor Model]],Table7[Product Model],Table7[Product Category],"Not Available",0)</f>
        <v>Kubota</v>
      </c>
      <c r="K1572" s="4">
        <v>6</v>
      </c>
      <c r="L1572" s="72">
        <v>488810</v>
      </c>
      <c r="M1572" s="4">
        <f>INDEX('Master Sheet'!$C$4:$C$12,MATCH(Table1[[#This Row],[Quantity]],'Master Sheet'!$B$4:$B$12,0))</f>
        <v>8</v>
      </c>
      <c r="N1572" s="71">
        <f>Table1[[#This Row],[Quantity]]*Table1[[#This Row],[Unit Price]]</f>
        <v>2932860</v>
      </c>
      <c r="O1572" s="73">
        <v>0.29328599999999999</v>
      </c>
      <c r="P1572" s="70">
        <f>Table1[[#This Row],[Gross Amount]]*(1-(Table1[[#This Row],[Discount %]]/100))</f>
        <v>2698231.2</v>
      </c>
      <c r="Q1572" s="74">
        <f>(Table1[[#This Row],[Gross Amount]]*(1-(Table1[[#This Row],[Discount %]]/100)))/10000000</f>
        <v>0.26982312000000003</v>
      </c>
      <c r="R1572" t="s">
        <v>42</v>
      </c>
      <c r="S1572" t="str" cm="1">
        <f t="array" ref="S1572">IFERROR(_xlfn.IFS(Table1[[#This Row],[Payment Status]]="Partial","In Transit",Table1[[#This Row],[Payment Status]]="Paid","Delivered",Table1[[#This Row],[Payment Status]]="Pending","Pending"),"Invalid Input")</f>
        <v>Pending</v>
      </c>
      <c r="T1572" t="s">
        <v>44</v>
      </c>
      <c r="U1572" t="str" cm="1">
        <f t="array" ref="U1572">IFERROR(_xlfn.IFS(Table1[[#This Row],[Payment Status]]="Partial","In Transit",Table1[[#This Row],[Payment Status]]="Paid","Completed",Table1[[#This Row],[Payment Status]]="Pending","Pending"),"Invalid Input")</f>
        <v>Pending</v>
      </c>
    </row>
    <row r="1573" spans="1:21" x14ac:dyDescent="0.25">
      <c r="A1573" s="4" t="s">
        <v>2669</v>
      </c>
      <c r="B1573" s="5">
        <v>45620</v>
      </c>
      <c r="C1573" t="s">
        <v>62</v>
      </c>
      <c r="D1573" t="s">
        <v>37</v>
      </c>
      <c r="E1573" t="s">
        <v>38</v>
      </c>
      <c r="F1573" t="s">
        <v>3214</v>
      </c>
      <c r="G1573" t="s">
        <v>39</v>
      </c>
      <c r="H1573" t="str">
        <f>VLOOKUP(Table1[[#This Row],[City]],Table6[#All],2,FALSE)</f>
        <v>West</v>
      </c>
      <c r="I1573" t="s">
        <v>24</v>
      </c>
      <c r="J1573" t="str">
        <f>_xlfn.XLOOKUP(Table1[[#This Row],[Tractor Model]],Table7[Product Model],Table7[Product Category],"Not Available",0)</f>
        <v>Farmtrac</v>
      </c>
      <c r="K1573" s="4">
        <v>8</v>
      </c>
      <c r="L1573" s="72">
        <v>582648</v>
      </c>
      <c r="M1573" s="4">
        <f>INDEX('Master Sheet'!$C$4:$C$12,MATCH(Table1[[#This Row],[Quantity]],'Master Sheet'!$B$4:$B$12,0))</f>
        <v>9</v>
      </c>
      <c r="N1573" s="71">
        <f>Table1[[#This Row],[Quantity]]*Table1[[#This Row],[Unit Price]]</f>
        <v>4661184</v>
      </c>
      <c r="O1573" s="73">
        <v>0.46611839999999999</v>
      </c>
      <c r="P1573" s="70">
        <f>Table1[[#This Row],[Gross Amount]]*(1-(Table1[[#This Row],[Discount %]]/100))</f>
        <v>4241677.4400000004</v>
      </c>
      <c r="Q1573" s="74">
        <f>(Table1[[#This Row],[Gross Amount]]*(1-(Table1[[#This Row],[Discount %]]/100)))/10000000</f>
        <v>0.42416774400000001</v>
      </c>
      <c r="R1573" t="s">
        <v>25</v>
      </c>
      <c r="S1573" t="str" cm="1">
        <f t="array" ref="S1573">IFERROR(_xlfn.IFS(Table1[[#This Row],[Payment Status]]="Partial","In Transit",Table1[[#This Row],[Payment Status]]="Paid","Delivered",Table1[[#This Row],[Payment Status]]="Pending","Pending"),"Invalid Input")</f>
        <v>In Transit</v>
      </c>
      <c r="T1573" t="s">
        <v>27</v>
      </c>
      <c r="U1573" t="str" cm="1">
        <f t="array" ref="U1573">IFERROR(_xlfn.IFS(Table1[[#This Row],[Payment Status]]="Partial","In Transit",Table1[[#This Row],[Payment Status]]="Paid","Completed",Table1[[#This Row],[Payment Status]]="Pending","Pending"),"Invalid Input")</f>
        <v>In Transit</v>
      </c>
    </row>
    <row r="1574" spans="1:21" x14ac:dyDescent="0.25">
      <c r="A1574" s="4" t="s">
        <v>2671</v>
      </c>
      <c r="B1574" s="5">
        <v>45710</v>
      </c>
      <c r="C1574" t="s">
        <v>41</v>
      </c>
      <c r="D1574" t="s">
        <v>37</v>
      </c>
      <c r="E1574" t="s">
        <v>47</v>
      </c>
      <c r="F1574" t="s">
        <v>3215</v>
      </c>
      <c r="G1574" t="s">
        <v>48</v>
      </c>
      <c r="H1574" t="str">
        <f>VLOOKUP(Table1[[#This Row],[City]],Table6[#All],2,FALSE)</f>
        <v>North</v>
      </c>
      <c r="I1574" t="s">
        <v>53</v>
      </c>
      <c r="J1574" t="str">
        <f>_xlfn.XLOOKUP(Table1[[#This Row],[Tractor Model]],Table7[Product Model],Table7[Product Category],"Not Available",0)</f>
        <v>Farmtrac</v>
      </c>
      <c r="K1574" s="4">
        <v>4</v>
      </c>
      <c r="L1574" s="72">
        <v>568632</v>
      </c>
      <c r="M1574" s="4">
        <f>INDEX('Master Sheet'!$C$4:$C$12,MATCH(Table1[[#This Row],[Quantity]],'Master Sheet'!$B$4:$B$12,0))</f>
        <v>6</v>
      </c>
      <c r="N1574" s="71">
        <f>Table1[[#This Row],[Quantity]]*Table1[[#This Row],[Unit Price]]</f>
        <v>2274528</v>
      </c>
      <c r="O1574" s="73">
        <v>0.22745280000000001</v>
      </c>
      <c r="P1574" s="70">
        <f>Table1[[#This Row],[Gross Amount]]*(1-(Table1[[#This Row],[Discount %]]/100))</f>
        <v>2138056.3199999998</v>
      </c>
      <c r="Q1574" s="74">
        <f>(Table1[[#This Row],[Gross Amount]]*(1-(Table1[[#This Row],[Discount %]]/100)))/10000000</f>
        <v>0.213805632</v>
      </c>
      <c r="R1574" t="s">
        <v>25</v>
      </c>
      <c r="S1574" t="str" cm="1">
        <f t="array" ref="S1574">IFERROR(_xlfn.IFS(Table1[[#This Row],[Payment Status]]="Partial","In Transit",Table1[[#This Row],[Payment Status]]="Paid","Delivered",Table1[[#This Row],[Payment Status]]="Pending","Pending"),"Invalid Input")</f>
        <v>In Transit</v>
      </c>
      <c r="T1574" t="s">
        <v>27</v>
      </c>
      <c r="U1574" t="str" cm="1">
        <f t="array" ref="U1574">IFERROR(_xlfn.IFS(Table1[[#This Row],[Payment Status]]="Partial","In Transit",Table1[[#This Row],[Payment Status]]="Paid","Completed",Table1[[#This Row],[Payment Status]]="Pending","Pending"),"Invalid Input")</f>
        <v>In Transit</v>
      </c>
    </row>
    <row r="1575" spans="1:21" x14ac:dyDescent="0.25">
      <c r="A1575" s="4" t="s">
        <v>2673</v>
      </c>
      <c r="B1575" s="5">
        <v>45349</v>
      </c>
      <c r="C1575" t="s">
        <v>52</v>
      </c>
      <c r="D1575" t="s">
        <v>3270</v>
      </c>
      <c r="E1575" t="s">
        <v>30</v>
      </c>
      <c r="F1575" t="s">
        <v>3223</v>
      </c>
      <c r="G1575" t="s">
        <v>31</v>
      </c>
      <c r="H1575" t="str">
        <f>VLOOKUP(Table1[[#This Row],[City]],Table6[#All],2,FALSE)</f>
        <v>South</v>
      </c>
      <c r="I1575" t="s">
        <v>24</v>
      </c>
      <c r="J1575" t="str">
        <f>_xlfn.XLOOKUP(Table1[[#This Row],[Tractor Model]],Table7[Product Model],Table7[Product Category],"Not Available",0)</f>
        <v>Farmtrac</v>
      </c>
      <c r="K1575" s="4">
        <v>7</v>
      </c>
      <c r="L1575" s="72">
        <v>495547</v>
      </c>
      <c r="M1575" s="4">
        <f>INDEX('Master Sheet'!$C$4:$C$12,MATCH(Table1[[#This Row],[Quantity]],'Master Sheet'!$B$4:$B$12,0))</f>
        <v>9</v>
      </c>
      <c r="N1575" s="71">
        <f>Table1[[#This Row],[Quantity]]*Table1[[#This Row],[Unit Price]]</f>
        <v>3468829</v>
      </c>
      <c r="O1575" s="73">
        <v>0.34688289999999999</v>
      </c>
      <c r="P1575" s="70">
        <f>Table1[[#This Row],[Gross Amount]]*(1-(Table1[[#This Row],[Discount %]]/100))</f>
        <v>3156634.39</v>
      </c>
      <c r="Q1575" s="74">
        <f>(Table1[[#This Row],[Gross Amount]]*(1-(Table1[[#This Row],[Discount %]]/100)))/10000000</f>
        <v>0.31566343899999999</v>
      </c>
      <c r="R1575" t="s">
        <v>25</v>
      </c>
      <c r="S1575" t="str" cm="1">
        <f t="array" ref="S1575">IFERROR(_xlfn.IFS(Table1[[#This Row],[Payment Status]]="Partial","In Transit",Table1[[#This Row],[Payment Status]]="Paid","Delivered",Table1[[#This Row],[Payment Status]]="Pending","Pending"),"Invalid Input")</f>
        <v>In Transit</v>
      </c>
      <c r="T1575" t="s">
        <v>27</v>
      </c>
      <c r="U1575" t="str" cm="1">
        <f t="array" ref="U1575">IFERROR(_xlfn.IFS(Table1[[#This Row],[Payment Status]]="Partial","In Transit",Table1[[#This Row],[Payment Status]]="Paid","Completed",Table1[[#This Row],[Payment Status]]="Pending","Pending"),"Invalid Input")</f>
        <v>In Transit</v>
      </c>
    </row>
    <row r="1576" spans="1:21" x14ac:dyDescent="0.25">
      <c r="A1576" s="4" t="s">
        <v>2674</v>
      </c>
      <c r="B1576" s="5">
        <v>45304</v>
      </c>
      <c r="C1576" t="s">
        <v>41</v>
      </c>
      <c r="D1576" t="s">
        <v>3269</v>
      </c>
      <c r="E1576" t="s">
        <v>38</v>
      </c>
      <c r="F1576" t="s">
        <v>3206</v>
      </c>
      <c r="G1576" t="s">
        <v>39</v>
      </c>
      <c r="H1576" t="str">
        <f>VLOOKUP(Table1[[#This Row],[City]],Table6[#All],2,FALSE)</f>
        <v>West</v>
      </c>
      <c r="I1576" t="s">
        <v>58</v>
      </c>
      <c r="J1576" t="str">
        <f>_xlfn.XLOOKUP(Table1[[#This Row],[Tractor Model]],Table7[Product Model],Table7[Product Category],"Not Available",0)</f>
        <v>Powertrac</v>
      </c>
      <c r="K1576" s="4">
        <v>2</v>
      </c>
      <c r="L1576" s="72">
        <v>438284</v>
      </c>
      <c r="M1576" s="4">
        <f>INDEX('Master Sheet'!$C$4:$C$12,MATCH(Table1[[#This Row],[Quantity]],'Master Sheet'!$B$4:$B$12,0))</f>
        <v>5</v>
      </c>
      <c r="N1576" s="71">
        <f>Table1[[#This Row],[Quantity]]*Table1[[#This Row],[Unit Price]]</f>
        <v>876568</v>
      </c>
      <c r="O1576" s="73">
        <v>8.7656800000000007E-2</v>
      </c>
      <c r="P1576" s="70">
        <f>Table1[[#This Row],[Gross Amount]]*(1-(Table1[[#This Row],[Discount %]]/100))</f>
        <v>832739.6</v>
      </c>
      <c r="Q1576" s="74">
        <f>(Table1[[#This Row],[Gross Amount]]*(1-(Table1[[#This Row],[Discount %]]/100)))/10000000</f>
        <v>8.3273959999999994E-2</v>
      </c>
      <c r="R1576" t="s">
        <v>42</v>
      </c>
      <c r="S1576" t="str" cm="1">
        <f t="array" ref="S1576">IFERROR(_xlfn.IFS(Table1[[#This Row],[Payment Status]]="Partial","In Transit",Table1[[#This Row],[Payment Status]]="Paid","Delivered",Table1[[#This Row],[Payment Status]]="Pending","Pending"),"Invalid Input")</f>
        <v>Pending</v>
      </c>
      <c r="T1576" t="s">
        <v>44</v>
      </c>
      <c r="U1576" t="str" cm="1">
        <f t="array" ref="U1576">IFERROR(_xlfn.IFS(Table1[[#This Row],[Payment Status]]="Partial","In Transit",Table1[[#This Row],[Payment Status]]="Paid","Completed",Table1[[#This Row],[Payment Status]]="Pending","Pending"),"Invalid Input")</f>
        <v>Pending</v>
      </c>
    </row>
    <row r="1577" spans="1:21" x14ac:dyDescent="0.25">
      <c r="A1577" s="4" t="s">
        <v>2675</v>
      </c>
      <c r="B1577" s="5">
        <v>45556</v>
      </c>
      <c r="C1577" t="s">
        <v>41</v>
      </c>
      <c r="D1577" t="s">
        <v>3268</v>
      </c>
      <c r="E1577" t="s">
        <v>30</v>
      </c>
      <c r="F1577" t="s">
        <v>3208</v>
      </c>
      <c r="G1577" t="s">
        <v>31</v>
      </c>
      <c r="H1577" t="str">
        <f>VLOOKUP(Table1[[#This Row],[City]],Table6[#All],2,FALSE)</f>
        <v>South</v>
      </c>
      <c r="I1577" t="s">
        <v>58</v>
      </c>
      <c r="J1577" t="str">
        <f>_xlfn.XLOOKUP(Table1[[#This Row],[Tractor Model]],Table7[Product Model],Table7[Product Category],"Not Available",0)</f>
        <v>Powertrac</v>
      </c>
      <c r="K1577" s="4">
        <v>3</v>
      </c>
      <c r="L1577" s="72">
        <v>426325</v>
      </c>
      <c r="M1577" s="4">
        <f>INDEX('Master Sheet'!$C$4:$C$12,MATCH(Table1[[#This Row],[Quantity]],'Master Sheet'!$B$4:$B$12,0))</f>
        <v>6</v>
      </c>
      <c r="N1577" s="71">
        <f>Table1[[#This Row],[Quantity]]*Table1[[#This Row],[Unit Price]]</f>
        <v>1278975</v>
      </c>
      <c r="O1577" s="73">
        <v>0.1278975</v>
      </c>
      <c r="P1577" s="70">
        <f>Table1[[#This Row],[Gross Amount]]*(1-(Table1[[#This Row],[Discount %]]/100))</f>
        <v>1202236.5</v>
      </c>
      <c r="Q1577" s="74">
        <f>(Table1[[#This Row],[Gross Amount]]*(1-(Table1[[#This Row],[Discount %]]/100)))/10000000</f>
        <v>0.12022365</v>
      </c>
      <c r="R1577" t="s">
        <v>25</v>
      </c>
      <c r="S1577" t="str" cm="1">
        <f t="array" ref="S1577">IFERROR(_xlfn.IFS(Table1[[#This Row],[Payment Status]]="Partial","In Transit",Table1[[#This Row],[Payment Status]]="Paid","Delivered",Table1[[#This Row],[Payment Status]]="Pending","Pending"),"Invalid Input")</f>
        <v>In Transit</v>
      </c>
      <c r="T1577" t="s">
        <v>27</v>
      </c>
      <c r="U1577" t="str" cm="1">
        <f t="array" ref="U1577">IFERROR(_xlfn.IFS(Table1[[#This Row],[Payment Status]]="Partial","In Transit",Table1[[#This Row],[Payment Status]]="Paid","Completed",Table1[[#This Row],[Payment Status]]="Pending","Pending"),"Invalid Input")</f>
        <v>In Transit</v>
      </c>
    </row>
    <row r="1578" spans="1:21" x14ac:dyDescent="0.25">
      <c r="A1578" s="4" t="s">
        <v>2676</v>
      </c>
      <c r="B1578" s="5">
        <v>45306</v>
      </c>
      <c r="C1578" t="s">
        <v>41</v>
      </c>
      <c r="D1578" t="s">
        <v>3270</v>
      </c>
      <c r="E1578" t="s">
        <v>66</v>
      </c>
      <c r="F1578" t="s">
        <v>3220</v>
      </c>
      <c r="G1578" t="s">
        <v>67</v>
      </c>
      <c r="H1578" t="str">
        <f>VLOOKUP(Table1[[#This Row],[City]],Table6[#All],2,FALSE)</f>
        <v>East</v>
      </c>
      <c r="I1578" t="s">
        <v>3203</v>
      </c>
      <c r="J1578" t="str">
        <f>_xlfn.XLOOKUP(Table1[[#This Row],[Tractor Model]],Table7[Product Model],Table7[Product Category],"Not Available",0)</f>
        <v>Kubota</v>
      </c>
      <c r="K1578" s="4">
        <v>5</v>
      </c>
      <c r="L1578" s="72">
        <v>278424</v>
      </c>
      <c r="M1578" s="4">
        <f>INDEX('Master Sheet'!$C$4:$C$12,MATCH(Table1[[#This Row],[Quantity]],'Master Sheet'!$B$4:$B$12,0))</f>
        <v>7</v>
      </c>
      <c r="N1578" s="71">
        <f>Table1[[#This Row],[Quantity]]*Table1[[#This Row],[Unit Price]]</f>
        <v>1392120</v>
      </c>
      <c r="O1578" s="73">
        <v>0.139212</v>
      </c>
      <c r="P1578" s="70">
        <f>Table1[[#This Row],[Gross Amount]]*(1-(Table1[[#This Row],[Discount %]]/100))</f>
        <v>1294671.5999999999</v>
      </c>
      <c r="Q1578" s="74">
        <f>(Table1[[#This Row],[Gross Amount]]*(1-(Table1[[#This Row],[Discount %]]/100)))/10000000</f>
        <v>0.12946716</v>
      </c>
      <c r="R1578" t="s">
        <v>54</v>
      </c>
      <c r="S1578" t="str" cm="1">
        <f t="array" ref="S1578">IFERROR(_xlfn.IFS(Table1[[#This Row],[Payment Status]]="Partial","In Transit",Table1[[#This Row],[Payment Status]]="Paid","Delivered",Table1[[#This Row],[Payment Status]]="Pending","Pending"),"Invalid Input")</f>
        <v>Delivered</v>
      </c>
      <c r="T1578" t="s">
        <v>27</v>
      </c>
      <c r="U1578" t="str" cm="1">
        <f t="array" ref="U1578">IFERROR(_xlfn.IFS(Table1[[#This Row],[Payment Status]]="Partial","In Transit",Table1[[#This Row],[Payment Status]]="Paid","Completed",Table1[[#This Row],[Payment Status]]="Pending","Pending"),"Invalid Input")</f>
        <v>Completed</v>
      </c>
    </row>
    <row r="1579" spans="1:21" x14ac:dyDescent="0.25">
      <c r="A1579" s="4" t="s">
        <v>2678</v>
      </c>
      <c r="B1579" s="5">
        <v>45805</v>
      </c>
      <c r="C1579" t="s">
        <v>33</v>
      </c>
      <c r="D1579" t="s">
        <v>37</v>
      </c>
      <c r="E1579" t="s">
        <v>119</v>
      </c>
      <c r="F1579" t="s">
        <v>3224</v>
      </c>
      <c r="G1579" t="s">
        <v>21</v>
      </c>
      <c r="H1579" t="str">
        <f>VLOOKUP(Table1[[#This Row],[City]],Table6[#All],2,FALSE)</f>
        <v>North</v>
      </c>
      <c r="I1579" t="s">
        <v>53</v>
      </c>
      <c r="J1579" t="str">
        <f>_xlfn.XLOOKUP(Table1[[#This Row],[Tractor Model]],Table7[Product Model],Table7[Product Category],"Not Available",0)</f>
        <v>Farmtrac</v>
      </c>
      <c r="K1579" s="4">
        <v>4</v>
      </c>
      <c r="L1579" s="72">
        <v>311552</v>
      </c>
      <c r="M1579" s="4">
        <f>INDEX('Master Sheet'!$C$4:$C$12,MATCH(Table1[[#This Row],[Quantity]],'Master Sheet'!$B$4:$B$12,0))</f>
        <v>6</v>
      </c>
      <c r="N1579" s="71">
        <f>Table1[[#This Row],[Quantity]]*Table1[[#This Row],[Unit Price]]</f>
        <v>1246208</v>
      </c>
      <c r="O1579" s="73">
        <v>0.1246208</v>
      </c>
      <c r="P1579" s="70">
        <f>Table1[[#This Row],[Gross Amount]]*(1-(Table1[[#This Row],[Discount %]]/100))</f>
        <v>1171435.52</v>
      </c>
      <c r="Q1579" s="74">
        <f>(Table1[[#This Row],[Gross Amount]]*(1-(Table1[[#This Row],[Discount %]]/100)))/10000000</f>
        <v>0.117143552</v>
      </c>
      <c r="R1579" t="s">
        <v>54</v>
      </c>
      <c r="S1579" t="str" cm="1">
        <f t="array" ref="S1579">IFERROR(_xlfn.IFS(Table1[[#This Row],[Payment Status]]="Partial","In Transit",Table1[[#This Row],[Payment Status]]="Paid","Delivered",Table1[[#This Row],[Payment Status]]="Pending","Pending"),"Invalid Input")</f>
        <v>Delivered</v>
      </c>
      <c r="T1579" t="s">
        <v>44</v>
      </c>
      <c r="U1579" t="str" cm="1">
        <f t="array" ref="U1579">IFERROR(_xlfn.IFS(Table1[[#This Row],[Payment Status]]="Partial","In Transit",Table1[[#This Row],[Payment Status]]="Paid","Completed",Table1[[#This Row],[Payment Status]]="Pending","Pending"),"Invalid Input")</f>
        <v>Completed</v>
      </c>
    </row>
    <row r="1580" spans="1:21" x14ac:dyDescent="0.25">
      <c r="A1580" s="4" t="s">
        <v>2679</v>
      </c>
      <c r="B1580" s="5">
        <v>45532</v>
      </c>
      <c r="C1580" t="s">
        <v>33</v>
      </c>
      <c r="D1580" t="s">
        <v>3271</v>
      </c>
      <c r="E1580" t="s">
        <v>66</v>
      </c>
      <c r="F1580" t="s">
        <v>3207</v>
      </c>
      <c r="G1580" t="s">
        <v>67</v>
      </c>
      <c r="H1580" t="str">
        <f>VLOOKUP(Table1[[#This Row],[City]],Table6[#All],2,FALSE)</f>
        <v>East</v>
      </c>
      <c r="I1580" t="s">
        <v>3203</v>
      </c>
      <c r="J1580" t="str">
        <f>_xlfn.XLOOKUP(Table1[[#This Row],[Tractor Model]],Table7[Product Model],Table7[Product Category],"Not Available",0)</f>
        <v>Kubota</v>
      </c>
      <c r="K1580" s="4">
        <v>6</v>
      </c>
      <c r="L1580" s="72">
        <v>587790</v>
      </c>
      <c r="M1580" s="4">
        <f>INDEX('Master Sheet'!$C$4:$C$12,MATCH(Table1[[#This Row],[Quantity]],'Master Sheet'!$B$4:$B$12,0))</f>
        <v>8</v>
      </c>
      <c r="N1580" s="71">
        <f>Table1[[#This Row],[Quantity]]*Table1[[#This Row],[Unit Price]]</f>
        <v>3526740</v>
      </c>
      <c r="O1580" s="73">
        <v>0.35267399999999999</v>
      </c>
      <c r="P1580" s="70">
        <f>Table1[[#This Row],[Gross Amount]]*(1-(Table1[[#This Row],[Discount %]]/100))</f>
        <v>3244600.8000000003</v>
      </c>
      <c r="Q1580" s="74">
        <f>(Table1[[#This Row],[Gross Amount]]*(1-(Table1[[#This Row],[Discount %]]/100)))/10000000</f>
        <v>0.32446008000000004</v>
      </c>
      <c r="R1580" t="s">
        <v>25</v>
      </c>
      <c r="S1580" t="str" cm="1">
        <f t="array" ref="S1580">IFERROR(_xlfn.IFS(Table1[[#This Row],[Payment Status]]="Partial","In Transit",Table1[[#This Row],[Payment Status]]="Paid","Delivered",Table1[[#This Row],[Payment Status]]="Pending","Pending"),"Invalid Input")</f>
        <v>In Transit</v>
      </c>
      <c r="T1580" t="s">
        <v>27</v>
      </c>
      <c r="U1580" t="str" cm="1">
        <f t="array" ref="U1580">IFERROR(_xlfn.IFS(Table1[[#This Row],[Payment Status]]="Partial","In Transit",Table1[[#This Row],[Payment Status]]="Paid","Completed",Table1[[#This Row],[Payment Status]]="Pending","Pending"),"Invalid Input")</f>
        <v>In Transit</v>
      </c>
    </row>
    <row r="1581" spans="1:21" x14ac:dyDescent="0.25">
      <c r="A1581" s="4" t="s">
        <v>2681</v>
      </c>
      <c r="B1581" s="5">
        <v>45513</v>
      </c>
      <c r="C1581" t="s">
        <v>62</v>
      </c>
      <c r="D1581" t="s">
        <v>3269</v>
      </c>
      <c r="E1581" t="s">
        <v>66</v>
      </c>
      <c r="F1581" t="s">
        <v>3213</v>
      </c>
      <c r="G1581" t="s">
        <v>67</v>
      </c>
      <c r="H1581" t="str">
        <f>VLOOKUP(Table1[[#This Row],[City]],Table6[#All],2,FALSE)</f>
        <v>East</v>
      </c>
      <c r="I1581" t="s">
        <v>58</v>
      </c>
      <c r="J1581" t="str">
        <f>_xlfn.XLOOKUP(Table1[[#This Row],[Tractor Model]],Table7[Product Model],Table7[Product Category],"Not Available",0)</f>
        <v>Powertrac</v>
      </c>
      <c r="K1581" s="4">
        <v>8</v>
      </c>
      <c r="L1581" s="72">
        <v>117721</v>
      </c>
      <c r="M1581" s="4">
        <f>INDEX('Master Sheet'!$C$4:$C$12,MATCH(Table1[[#This Row],[Quantity]],'Master Sheet'!$B$4:$B$12,0))</f>
        <v>9</v>
      </c>
      <c r="N1581" s="71">
        <f>Table1[[#This Row],[Quantity]]*Table1[[#This Row],[Unit Price]]</f>
        <v>941768</v>
      </c>
      <c r="O1581" s="73">
        <v>9.4176800000000005E-2</v>
      </c>
      <c r="P1581" s="70">
        <f>Table1[[#This Row],[Gross Amount]]*(1-(Table1[[#This Row],[Discount %]]/100))</f>
        <v>857008.88</v>
      </c>
      <c r="Q1581" s="74">
        <f>(Table1[[#This Row],[Gross Amount]]*(1-(Table1[[#This Row],[Discount %]]/100)))/10000000</f>
        <v>8.5700888000000003E-2</v>
      </c>
      <c r="R1581" t="s">
        <v>54</v>
      </c>
      <c r="S1581" t="str" cm="1">
        <f t="array" ref="S1581">IFERROR(_xlfn.IFS(Table1[[#This Row],[Payment Status]]="Partial","In Transit",Table1[[#This Row],[Payment Status]]="Paid","Delivered",Table1[[#This Row],[Payment Status]]="Pending","Pending"),"Invalid Input")</f>
        <v>Delivered</v>
      </c>
      <c r="T1581" t="s">
        <v>27</v>
      </c>
      <c r="U1581" t="str" cm="1">
        <f t="array" ref="U1581">IFERROR(_xlfn.IFS(Table1[[#This Row],[Payment Status]]="Partial","In Transit",Table1[[#This Row],[Payment Status]]="Paid","Completed",Table1[[#This Row],[Payment Status]]="Pending","Pending"),"Invalid Input")</f>
        <v>Completed</v>
      </c>
    </row>
    <row r="1582" spans="1:21" x14ac:dyDescent="0.25">
      <c r="A1582" s="4" t="s">
        <v>2682</v>
      </c>
      <c r="B1582" s="5">
        <v>45344</v>
      </c>
      <c r="C1582" t="s">
        <v>52</v>
      </c>
      <c r="D1582" t="s">
        <v>3271</v>
      </c>
      <c r="E1582" t="s">
        <v>30</v>
      </c>
      <c r="F1582" t="s">
        <v>3217</v>
      </c>
      <c r="G1582" t="s">
        <v>31</v>
      </c>
      <c r="H1582" t="str">
        <f>VLOOKUP(Table1[[#This Row],[City]],Table6[#All],2,FALSE)</f>
        <v>South</v>
      </c>
      <c r="I1582" t="s">
        <v>24</v>
      </c>
      <c r="J1582" t="str">
        <f>_xlfn.XLOOKUP(Table1[[#This Row],[Tractor Model]],Table7[Product Model],Table7[Product Category],"Not Available",0)</f>
        <v>Farmtrac</v>
      </c>
      <c r="K1582" s="4">
        <v>6</v>
      </c>
      <c r="L1582" s="72">
        <v>251492</v>
      </c>
      <c r="M1582" s="4">
        <f>INDEX('Master Sheet'!$C$4:$C$12,MATCH(Table1[[#This Row],[Quantity]],'Master Sheet'!$B$4:$B$12,0))</f>
        <v>8</v>
      </c>
      <c r="N1582" s="71">
        <f>Table1[[#This Row],[Quantity]]*Table1[[#This Row],[Unit Price]]</f>
        <v>1508952</v>
      </c>
      <c r="O1582" s="73">
        <v>0.15089520000000001</v>
      </c>
      <c r="P1582" s="70">
        <f>Table1[[#This Row],[Gross Amount]]*(1-(Table1[[#This Row],[Discount %]]/100))</f>
        <v>1388235.84</v>
      </c>
      <c r="Q1582" s="74">
        <f>(Table1[[#This Row],[Gross Amount]]*(1-(Table1[[#This Row],[Discount %]]/100)))/10000000</f>
        <v>0.138823584</v>
      </c>
      <c r="R1582" t="s">
        <v>25</v>
      </c>
      <c r="S1582" t="str" cm="1">
        <f t="array" ref="S1582">IFERROR(_xlfn.IFS(Table1[[#This Row],[Payment Status]]="Partial","In Transit",Table1[[#This Row],[Payment Status]]="Paid","Delivered",Table1[[#This Row],[Payment Status]]="Pending","Pending"),"Invalid Input")</f>
        <v>In Transit</v>
      </c>
      <c r="T1582" t="s">
        <v>27</v>
      </c>
      <c r="U1582" t="str" cm="1">
        <f t="array" ref="U1582">IFERROR(_xlfn.IFS(Table1[[#This Row],[Payment Status]]="Partial","In Transit",Table1[[#This Row],[Payment Status]]="Paid","Completed",Table1[[#This Row],[Payment Status]]="Pending","Pending"),"Invalid Input")</f>
        <v>In Transit</v>
      </c>
    </row>
    <row r="1583" spans="1:21" x14ac:dyDescent="0.25">
      <c r="A1583" s="4" t="s">
        <v>2683</v>
      </c>
      <c r="B1583" s="5">
        <v>45320</v>
      </c>
      <c r="C1583" t="s">
        <v>33</v>
      </c>
      <c r="D1583" t="s">
        <v>3268</v>
      </c>
      <c r="E1583" t="s">
        <v>119</v>
      </c>
      <c r="F1583" t="s">
        <v>3227</v>
      </c>
      <c r="G1583" t="s">
        <v>21</v>
      </c>
      <c r="H1583" t="str">
        <f>VLOOKUP(Table1[[#This Row],[City]],Table6[#All],2,FALSE)</f>
        <v>North</v>
      </c>
      <c r="I1583" t="s">
        <v>3203</v>
      </c>
      <c r="J1583" t="str">
        <f>_xlfn.XLOOKUP(Table1[[#This Row],[Tractor Model]],Table7[Product Model],Table7[Product Category],"Not Available",0)</f>
        <v>Kubota</v>
      </c>
      <c r="K1583" s="4">
        <v>6</v>
      </c>
      <c r="L1583" s="72">
        <v>656273</v>
      </c>
      <c r="M1583" s="4">
        <f>INDEX('Master Sheet'!$C$4:$C$12,MATCH(Table1[[#This Row],[Quantity]],'Master Sheet'!$B$4:$B$12,0))</f>
        <v>8</v>
      </c>
      <c r="N1583" s="71">
        <f>Table1[[#This Row],[Quantity]]*Table1[[#This Row],[Unit Price]]</f>
        <v>3937638</v>
      </c>
      <c r="O1583" s="73">
        <v>0.3937638</v>
      </c>
      <c r="P1583" s="70">
        <f>Table1[[#This Row],[Gross Amount]]*(1-(Table1[[#This Row],[Discount %]]/100))</f>
        <v>3622626.96</v>
      </c>
      <c r="Q1583" s="74">
        <f>(Table1[[#This Row],[Gross Amount]]*(1-(Table1[[#This Row],[Discount %]]/100)))/10000000</f>
        <v>0.362262696</v>
      </c>
      <c r="R1583" t="s">
        <v>42</v>
      </c>
      <c r="S1583" t="str" cm="1">
        <f t="array" ref="S1583">IFERROR(_xlfn.IFS(Table1[[#This Row],[Payment Status]]="Partial","In Transit",Table1[[#This Row],[Payment Status]]="Paid","Delivered",Table1[[#This Row],[Payment Status]]="Pending","Pending"),"Invalid Input")</f>
        <v>Pending</v>
      </c>
      <c r="T1583" t="s">
        <v>27</v>
      </c>
      <c r="U1583" t="str" cm="1">
        <f t="array" ref="U1583">IFERROR(_xlfn.IFS(Table1[[#This Row],[Payment Status]]="Partial","In Transit",Table1[[#This Row],[Payment Status]]="Paid","Completed",Table1[[#This Row],[Payment Status]]="Pending","Pending"),"Invalid Input")</f>
        <v>Pending</v>
      </c>
    </row>
    <row r="1584" spans="1:21" x14ac:dyDescent="0.25">
      <c r="A1584" s="4" t="s">
        <v>2685</v>
      </c>
      <c r="B1584" s="5">
        <v>45319</v>
      </c>
      <c r="C1584" t="s">
        <v>33</v>
      </c>
      <c r="D1584" t="s">
        <v>37</v>
      </c>
      <c r="E1584" t="s">
        <v>119</v>
      </c>
      <c r="F1584" t="s">
        <v>3224</v>
      </c>
      <c r="G1584" t="s">
        <v>21</v>
      </c>
      <c r="H1584" t="str">
        <f>VLOOKUP(Table1[[#This Row],[City]],Table6[#All],2,FALSE)</f>
        <v>North</v>
      </c>
      <c r="I1584" t="s">
        <v>58</v>
      </c>
      <c r="J1584" t="str">
        <f>_xlfn.XLOOKUP(Table1[[#This Row],[Tractor Model]],Table7[Product Model],Table7[Product Category],"Not Available",0)</f>
        <v>Powertrac</v>
      </c>
      <c r="K1584" s="4">
        <v>5</v>
      </c>
      <c r="L1584" s="72">
        <v>472668</v>
      </c>
      <c r="M1584" s="4">
        <f>INDEX('Master Sheet'!$C$4:$C$12,MATCH(Table1[[#This Row],[Quantity]],'Master Sheet'!$B$4:$B$12,0))</f>
        <v>7</v>
      </c>
      <c r="N1584" s="71">
        <f>Table1[[#This Row],[Quantity]]*Table1[[#This Row],[Unit Price]]</f>
        <v>2363340</v>
      </c>
      <c r="O1584" s="73">
        <v>0.23633399999999999</v>
      </c>
      <c r="P1584" s="70">
        <f>Table1[[#This Row],[Gross Amount]]*(1-(Table1[[#This Row],[Discount %]]/100))</f>
        <v>2197906.1999999997</v>
      </c>
      <c r="Q1584" s="74">
        <f>(Table1[[#This Row],[Gross Amount]]*(1-(Table1[[#This Row],[Discount %]]/100)))/10000000</f>
        <v>0.21979061999999996</v>
      </c>
      <c r="R1584" t="s">
        <v>54</v>
      </c>
      <c r="S1584" t="str" cm="1">
        <f t="array" ref="S1584">IFERROR(_xlfn.IFS(Table1[[#This Row],[Payment Status]]="Partial","In Transit",Table1[[#This Row],[Payment Status]]="Paid","Delivered",Table1[[#This Row],[Payment Status]]="Pending","Pending"),"Invalid Input")</f>
        <v>Delivered</v>
      </c>
      <c r="T1584" t="s">
        <v>27</v>
      </c>
      <c r="U1584" t="str" cm="1">
        <f t="array" ref="U1584">IFERROR(_xlfn.IFS(Table1[[#This Row],[Payment Status]]="Partial","In Transit",Table1[[#This Row],[Payment Status]]="Paid","Completed",Table1[[#This Row],[Payment Status]]="Pending","Pending"),"Invalid Input")</f>
        <v>Completed</v>
      </c>
    </row>
    <row r="1585" spans="1:21" x14ac:dyDescent="0.25">
      <c r="A1585" s="4" t="s">
        <v>2686</v>
      </c>
      <c r="B1585" s="5">
        <v>45732</v>
      </c>
      <c r="C1585" t="s">
        <v>33</v>
      </c>
      <c r="D1585" t="s">
        <v>37</v>
      </c>
      <c r="E1585" t="s">
        <v>119</v>
      </c>
      <c r="F1585" t="s">
        <v>3224</v>
      </c>
      <c r="G1585" t="s">
        <v>21</v>
      </c>
      <c r="H1585" t="str">
        <f>VLOOKUP(Table1[[#This Row],[City]],Table6[#All],2,FALSE)</f>
        <v>North</v>
      </c>
      <c r="I1585" t="s">
        <v>53</v>
      </c>
      <c r="J1585" t="str">
        <f>_xlfn.XLOOKUP(Table1[[#This Row],[Tractor Model]],Table7[Product Model],Table7[Product Category],"Not Available",0)</f>
        <v>Farmtrac</v>
      </c>
      <c r="K1585" s="4">
        <v>1</v>
      </c>
      <c r="L1585" s="72">
        <v>392156</v>
      </c>
      <c r="M1585" s="4">
        <f>INDEX('Master Sheet'!$C$4:$C$12,MATCH(Table1[[#This Row],[Quantity]],'Master Sheet'!$B$4:$B$12,0))</f>
        <v>3</v>
      </c>
      <c r="N1585" s="71">
        <f>Table1[[#This Row],[Quantity]]*Table1[[#This Row],[Unit Price]]</f>
        <v>392156</v>
      </c>
      <c r="O1585" s="73">
        <v>3.9215600000000003E-2</v>
      </c>
      <c r="P1585" s="70">
        <f>Table1[[#This Row],[Gross Amount]]*(1-(Table1[[#This Row],[Discount %]]/100))</f>
        <v>380391.32</v>
      </c>
      <c r="Q1585" s="74">
        <f>(Table1[[#This Row],[Gross Amount]]*(1-(Table1[[#This Row],[Discount %]]/100)))/10000000</f>
        <v>3.8039132000000003E-2</v>
      </c>
      <c r="R1585" t="s">
        <v>25</v>
      </c>
      <c r="S1585" t="str" cm="1">
        <f t="array" ref="S1585">IFERROR(_xlfn.IFS(Table1[[#This Row],[Payment Status]]="Partial","In Transit",Table1[[#This Row],[Payment Status]]="Paid","Delivered",Table1[[#This Row],[Payment Status]]="Pending","Pending"),"Invalid Input")</f>
        <v>In Transit</v>
      </c>
      <c r="T1585" t="s">
        <v>44</v>
      </c>
      <c r="U1585" t="str" cm="1">
        <f t="array" ref="U1585">IFERROR(_xlfn.IFS(Table1[[#This Row],[Payment Status]]="Partial","In Transit",Table1[[#This Row],[Payment Status]]="Paid","Completed",Table1[[#This Row],[Payment Status]]="Pending","Pending"),"Invalid Input")</f>
        <v>In Transit</v>
      </c>
    </row>
    <row r="1586" spans="1:21" x14ac:dyDescent="0.25">
      <c r="A1586" s="4" t="s">
        <v>2687</v>
      </c>
      <c r="B1586" s="5">
        <v>45626</v>
      </c>
      <c r="C1586" t="s">
        <v>73</v>
      </c>
      <c r="D1586" t="s">
        <v>37</v>
      </c>
      <c r="E1586" t="s">
        <v>38</v>
      </c>
      <c r="F1586" t="s">
        <v>3214</v>
      </c>
      <c r="G1586" t="s">
        <v>39</v>
      </c>
      <c r="H1586" t="str">
        <f>VLOOKUP(Table1[[#This Row],[City]],Table6[#All],2,FALSE)</f>
        <v>West</v>
      </c>
      <c r="I1586" t="s">
        <v>53</v>
      </c>
      <c r="J1586" t="str">
        <f>_xlfn.XLOOKUP(Table1[[#This Row],[Tractor Model]],Table7[Product Model],Table7[Product Category],"Not Available",0)</f>
        <v>Farmtrac</v>
      </c>
      <c r="K1586" s="4">
        <v>6</v>
      </c>
      <c r="L1586" s="72">
        <v>686991</v>
      </c>
      <c r="M1586" s="4">
        <f>INDEX('Master Sheet'!$C$4:$C$12,MATCH(Table1[[#This Row],[Quantity]],'Master Sheet'!$B$4:$B$12,0))</f>
        <v>8</v>
      </c>
      <c r="N1586" s="71">
        <f>Table1[[#This Row],[Quantity]]*Table1[[#This Row],[Unit Price]]</f>
        <v>4121946</v>
      </c>
      <c r="O1586" s="73">
        <v>0.41219460000000002</v>
      </c>
      <c r="P1586" s="70">
        <f>Table1[[#This Row],[Gross Amount]]*(1-(Table1[[#This Row],[Discount %]]/100))</f>
        <v>3792190.3200000003</v>
      </c>
      <c r="Q1586" s="74">
        <f>(Table1[[#This Row],[Gross Amount]]*(1-(Table1[[#This Row],[Discount %]]/100)))/10000000</f>
        <v>0.37921903200000001</v>
      </c>
      <c r="R1586" t="s">
        <v>42</v>
      </c>
      <c r="S1586" t="str" cm="1">
        <f t="array" ref="S1586">IFERROR(_xlfn.IFS(Table1[[#This Row],[Payment Status]]="Partial","In Transit",Table1[[#This Row],[Payment Status]]="Paid","Delivered",Table1[[#This Row],[Payment Status]]="Pending","Pending"),"Invalid Input")</f>
        <v>Pending</v>
      </c>
      <c r="T1586" t="s">
        <v>27</v>
      </c>
      <c r="U1586" t="str" cm="1">
        <f t="array" ref="U1586">IFERROR(_xlfn.IFS(Table1[[#This Row],[Payment Status]]="Partial","In Transit",Table1[[#This Row],[Payment Status]]="Paid","Completed",Table1[[#This Row],[Payment Status]]="Pending","Pending"),"Invalid Input")</f>
        <v>Pending</v>
      </c>
    </row>
    <row r="1587" spans="1:21" x14ac:dyDescent="0.25">
      <c r="A1587" s="4" t="s">
        <v>2688</v>
      </c>
      <c r="B1587" s="5">
        <v>45487</v>
      </c>
      <c r="C1587" t="s">
        <v>41</v>
      </c>
      <c r="D1587" t="s">
        <v>3268</v>
      </c>
      <c r="E1587" t="s">
        <v>119</v>
      </c>
      <c r="F1587" t="s">
        <v>3227</v>
      </c>
      <c r="G1587" t="s">
        <v>21</v>
      </c>
      <c r="H1587" t="str">
        <f>VLOOKUP(Table1[[#This Row],[City]],Table6[#All],2,FALSE)</f>
        <v>North</v>
      </c>
      <c r="I1587" t="s">
        <v>3204</v>
      </c>
      <c r="J1587" t="str">
        <f>_xlfn.XLOOKUP(Table1[[#This Row],[Tractor Model]],Table7[Product Model],Table7[Product Category],"Not Available",0)</f>
        <v>Kubota</v>
      </c>
      <c r="K1587" s="4">
        <v>0</v>
      </c>
      <c r="L1587" s="72">
        <v>896806</v>
      </c>
      <c r="M1587" s="4">
        <f>INDEX('Master Sheet'!$C$4:$C$12,MATCH(Table1[[#This Row],[Quantity]],'Master Sheet'!$B$4:$B$12,0))</f>
        <v>0</v>
      </c>
      <c r="N1587" s="71">
        <f>Table1[[#This Row],[Quantity]]*Table1[[#This Row],[Unit Price]]</f>
        <v>0</v>
      </c>
      <c r="O1587" s="73">
        <v>0</v>
      </c>
      <c r="P1587" s="70">
        <f>Table1[[#This Row],[Gross Amount]]*(1-(Table1[[#This Row],[Discount %]]/100))</f>
        <v>0</v>
      </c>
      <c r="Q1587" s="74">
        <f>(Table1[[#This Row],[Gross Amount]]*(1-(Table1[[#This Row],[Discount %]]/100)))/10000000</f>
        <v>0</v>
      </c>
      <c r="R1587" t="s">
        <v>54</v>
      </c>
      <c r="S1587" t="str" cm="1">
        <f t="array" ref="S1587">IFERROR(_xlfn.IFS(Table1[[#This Row],[Payment Status]]="Partial","In Transit",Table1[[#This Row],[Payment Status]]="Paid","Delivered",Table1[[#This Row],[Payment Status]]="Pending","Pending"),"Invalid Input")</f>
        <v>Delivered</v>
      </c>
      <c r="T1587" t="s">
        <v>27</v>
      </c>
      <c r="U1587" t="str" cm="1">
        <f t="array" ref="U1587">IFERROR(_xlfn.IFS(Table1[[#This Row],[Payment Status]]="Partial","In Transit",Table1[[#This Row],[Payment Status]]="Paid","Completed",Table1[[#This Row],[Payment Status]]="Pending","Pending"),"Invalid Input")</f>
        <v>Completed</v>
      </c>
    </row>
    <row r="1588" spans="1:21" x14ac:dyDescent="0.25">
      <c r="A1588" s="4" t="s">
        <v>2689</v>
      </c>
      <c r="B1588" s="5">
        <v>45600</v>
      </c>
      <c r="C1588" t="s">
        <v>41</v>
      </c>
      <c r="D1588" t="s">
        <v>3268</v>
      </c>
      <c r="E1588" t="s">
        <v>66</v>
      </c>
      <c r="F1588" t="s">
        <v>3211</v>
      </c>
      <c r="G1588" t="s">
        <v>67</v>
      </c>
      <c r="H1588" t="str">
        <f>VLOOKUP(Table1[[#This Row],[City]],Table6[#All],2,FALSE)</f>
        <v>East</v>
      </c>
      <c r="I1588" t="s">
        <v>3203</v>
      </c>
      <c r="J1588" t="str">
        <f>_xlfn.XLOOKUP(Table1[[#This Row],[Tractor Model]],Table7[Product Model],Table7[Product Category],"Not Available",0)</f>
        <v>Kubota</v>
      </c>
      <c r="K1588" s="4">
        <v>8</v>
      </c>
      <c r="L1588" s="72">
        <v>245596</v>
      </c>
      <c r="M1588" s="4">
        <f>INDEX('Master Sheet'!$C$4:$C$12,MATCH(Table1[[#This Row],[Quantity]],'Master Sheet'!$B$4:$B$12,0))</f>
        <v>9</v>
      </c>
      <c r="N1588" s="71">
        <f>Table1[[#This Row],[Quantity]]*Table1[[#This Row],[Unit Price]]</f>
        <v>1964768</v>
      </c>
      <c r="O1588" s="73">
        <v>0.19647680000000001</v>
      </c>
      <c r="P1588" s="70">
        <f>Table1[[#This Row],[Gross Amount]]*(1-(Table1[[#This Row],[Discount %]]/100))</f>
        <v>1787938.8800000001</v>
      </c>
      <c r="Q1588" s="74">
        <f>(Table1[[#This Row],[Gross Amount]]*(1-(Table1[[#This Row],[Discount %]]/100)))/10000000</f>
        <v>0.17879388800000001</v>
      </c>
      <c r="R1588" t="s">
        <v>54</v>
      </c>
      <c r="S1588" t="str" cm="1">
        <f t="array" ref="S1588">IFERROR(_xlfn.IFS(Table1[[#This Row],[Payment Status]]="Partial","In Transit",Table1[[#This Row],[Payment Status]]="Paid","Delivered",Table1[[#This Row],[Payment Status]]="Pending","Pending"),"Invalid Input")</f>
        <v>Delivered</v>
      </c>
      <c r="T1588" t="s">
        <v>27</v>
      </c>
      <c r="U1588" t="str" cm="1">
        <f t="array" ref="U1588">IFERROR(_xlfn.IFS(Table1[[#This Row],[Payment Status]]="Partial","In Transit",Table1[[#This Row],[Payment Status]]="Paid","Completed",Table1[[#This Row],[Payment Status]]="Pending","Pending"),"Invalid Input")</f>
        <v>Completed</v>
      </c>
    </row>
    <row r="1589" spans="1:21" x14ac:dyDescent="0.25">
      <c r="A1589" s="4" t="s">
        <v>2691</v>
      </c>
      <c r="B1589" s="5">
        <v>45516</v>
      </c>
      <c r="C1589" t="s">
        <v>41</v>
      </c>
      <c r="D1589" t="s">
        <v>3269</v>
      </c>
      <c r="E1589" t="s">
        <v>38</v>
      </c>
      <c r="F1589" t="s">
        <v>3206</v>
      </c>
      <c r="G1589" t="s">
        <v>39</v>
      </c>
      <c r="H1589" t="str">
        <f>VLOOKUP(Table1[[#This Row],[City]],Table6[#All],2,FALSE)</f>
        <v>West</v>
      </c>
      <c r="I1589" t="s">
        <v>3204</v>
      </c>
      <c r="J1589" t="str">
        <f>_xlfn.XLOOKUP(Table1[[#This Row],[Tractor Model]],Table7[Product Model],Table7[Product Category],"Not Available",0)</f>
        <v>Kubota</v>
      </c>
      <c r="K1589" s="4">
        <v>7</v>
      </c>
      <c r="L1589" s="72">
        <v>810749</v>
      </c>
      <c r="M1589" s="4">
        <f>INDEX('Master Sheet'!$C$4:$C$12,MATCH(Table1[[#This Row],[Quantity]],'Master Sheet'!$B$4:$B$12,0))</f>
        <v>9</v>
      </c>
      <c r="N1589" s="71">
        <f>Table1[[#This Row],[Quantity]]*Table1[[#This Row],[Unit Price]]</f>
        <v>5675243</v>
      </c>
      <c r="O1589" s="73">
        <v>0.56752429999999998</v>
      </c>
      <c r="P1589" s="70">
        <f>Table1[[#This Row],[Gross Amount]]*(1-(Table1[[#This Row],[Discount %]]/100))</f>
        <v>5164471.13</v>
      </c>
      <c r="Q1589" s="74">
        <f>(Table1[[#This Row],[Gross Amount]]*(1-(Table1[[#This Row],[Discount %]]/100)))/10000000</f>
        <v>0.51644711300000001</v>
      </c>
      <c r="R1589" t="s">
        <v>54</v>
      </c>
      <c r="S1589" t="str" cm="1">
        <f t="array" ref="S1589">IFERROR(_xlfn.IFS(Table1[[#This Row],[Payment Status]]="Partial","In Transit",Table1[[#This Row],[Payment Status]]="Paid","Delivered",Table1[[#This Row],[Payment Status]]="Pending","Pending"),"Invalid Input")</f>
        <v>Delivered</v>
      </c>
      <c r="T1589" t="s">
        <v>27</v>
      </c>
      <c r="U1589" t="str" cm="1">
        <f t="array" ref="U1589">IFERROR(_xlfn.IFS(Table1[[#This Row],[Payment Status]]="Partial","In Transit",Table1[[#This Row],[Payment Status]]="Paid","Completed",Table1[[#This Row],[Payment Status]]="Pending","Pending"),"Invalid Input")</f>
        <v>Completed</v>
      </c>
    </row>
    <row r="1590" spans="1:21" x14ac:dyDescent="0.25">
      <c r="A1590" s="4" t="s">
        <v>2692</v>
      </c>
      <c r="B1590" s="5">
        <v>45689</v>
      </c>
      <c r="C1590" t="s">
        <v>33</v>
      </c>
      <c r="D1590" t="s">
        <v>3269</v>
      </c>
      <c r="E1590" t="s">
        <v>47</v>
      </c>
      <c r="F1590" t="s">
        <v>3209</v>
      </c>
      <c r="G1590" t="s">
        <v>48</v>
      </c>
      <c r="H1590" t="str">
        <f>VLOOKUP(Table1[[#This Row],[City]],Table6[#All],2,FALSE)</f>
        <v>North</v>
      </c>
      <c r="I1590" t="s">
        <v>3204</v>
      </c>
      <c r="J1590" t="str">
        <f>_xlfn.XLOOKUP(Table1[[#This Row],[Tractor Model]],Table7[Product Model],Table7[Product Category],"Not Available",0)</f>
        <v>Kubota</v>
      </c>
      <c r="K1590" s="4">
        <v>3</v>
      </c>
      <c r="L1590" s="72">
        <v>478226</v>
      </c>
      <c r="M1590" s="4">
        <f>INDEX('Master Sheet'!$C$4:$C$12,MATCH(Table1[[#This Row],[Quantity]],'Master Sheet'!$B$4:$B$12,0))</f>
        <v>6</v>
      </c>
      <c r="N1590" s="71">
        <f>Table1[[#This Row],[Quantity]]*Table1[[#This Row],[Unit Price]]</f>
        <v>1434678</v>
      </c>
      <c r="O1590" s="73">
        <v>0.14346780000000001</v>
      </c>
      <c r="P1590" s="70">
        <f>Table1[[#This Row],[Gross Amount]]*(1-(Table1[[#This Row],[Discount %]]/100))</f>
        <v>1348597.3199999998</v>
      </c>
      <c r="Q1590" s="74">
        <f>(Table1[[#This Row],[Gross Amount]]*(1-(Table1[[#This Row],[Discount %]]/100)))/10000000</f>
        <v>0.13485973199999998</v>
      </c>
      <c r="R1590" t="s">
        <v>54</v>
      </c>
      <c r="S1590" t="str" cm="1">
        <f t="array" ref="S1590">IFERROR(_xlfn.IFS(Table1[[#This Row],[Payment Status]]="Partial","In Transit",Table1[[#This Row],[Payment Status]]="Paid","Delivered",Table1[[#This Row],[Payment Status]]="Pending","Pending"),"Invalid Input")</f>
        <v>Delivered</v>
      </c>
      <c r="T1590" t="s">
        <v>44</v>
      </c>
      <c r="U1590" t="str" cm="1">
        <f t="array" ref="U1590">IFERROR(_xlfn.IFS(Table1[[#This Row],[Payment Status]]="Partial","In Transit",Table1[[#This Row],[Payment Status]]="Paid","Completed",Table1[[#This Row],[Payment Status]]="Pending","Pending"),"Invalid Input")</f>
        <v>Completed</v>
      </c>
    </row>
    <row r="1591" spans="1:21" x14ac:dyDescent="0.25">
      <c r="A1591" s="4" t="s">
        <v>2694</v>
      </c>
      <c r="B1591" s="5">
        <v>45300</v>
      </c>
      <c r="C1591" t="s">
        <v>62</v>
      </c>
      <c r="D1591" t="s">
        <v>3271</v>
      </c>
      <c r="E1591" t="s">
        <v>119</v>
      </c>
      <c r="F1591" t="s">
        <v>3228</v>
      </c>
      <c r="G1591" t="s">
        <v>21</v>
      </c>
      <c r="H1591" t="str">
        <f>VLOOKUP(Table1[[#This Row],[City]],Table6[#All],2,FALSE)</f>
        <v>North</v>
      </c>
      <c r="I1591" t="s">
        <v>24</v>
      </c>
      <c r="J1591" t="str">
        <f>_xlfn.XLOOKUP(Table1[[#This Row],[Tractor Model]],Table7[Product Model],Table7[Product Category],"Not Available",0)</f>
        <v>Farmtrac</v>
      </c>
      <c r="K1591" s="4">
        <v>6</v>
      </c>
      <c r="L1591" s="72">
        <v>523633</v>
      </c>
      <c r="M1591" s="4">
        <f>INDEX('Master Sheet'!$C$4:$C$12,MATCH(Table1[[#This Row],[Quantity]],'Master Sheet'!$B$4:$B$12,0))</f>
        <v>8</v>
      </c>
      <c r="N1591" s="71">
        <f>Table1[[#This Row],[Quantity]]*Table1[[#This Row],[Unit Price]]</f>
        <v>3141798</v>
      </c>
      <c r="O1591" s="73">
        <v>0.31417980000000001</v>
      </c>
      <c r="P1591" s="70">
        <f>Table1[[#This Row],[Gross Amount]]*(1-(Table1[[#This Row],[Discount %]]/100))</f>
        <v>2890454.16</v>
      </c>
      <c r="Q1591" s="74">
        <f>(Table1[[#This Row],[Gross Amount]]*(1-(Table1[[#This Row],[Discount %]]/100)))/10000000</f>
        <v>0.289045416</v>
      </c>
      <c r="R1591" t="s">
        <v>54</v>
      </c>
      <c r="S1591" t="str" cm="1">
        <f t="array" ref="S1591">IFERROR(_xlfn.IFS(Table1[[#This Row],[Payment Status]]="Partial","In Transit",Table1[[#This Row],[Payment Status]]="Paid","Delivered",Table1[[#This Row],[Payment Status]]="Pending","Pending"),"Invalid Input")</f>
        <v>Delivered</v>
      </c>
      <c r="T1591" t="s">
        <v>27</v>
      </c>
      <c r="U1591" t="str" cm="1">
        <f t="array" ref="U1591">IFERROR(_xlfn.IFS(Table1[[#This Row],[Payment Status]]="Partial","In Transit",Table1[[#This Row],[Payment Status]]="Paid","Completed",Table1[[#This Row],[Payment Status]]="Pending","Pending"),"Invalid Input")</f>
        <v>Completed</v>
      </c>
    </row>
    <row r="1592" spans="1:21" x14ac:dyDescent="0.25">
      <c r="A1592" s="4" t="s">
        <v>2696</v>
      </c>
      <c r="B1592" s="5">
        <v>45369</v>
      </c>
      <c r="C1592" t="s">
        <v>52</v>
      </c>
      <c r="D1592" t="s">
        <v>3271</v>
      </c>
      <c r="E1592" t="s">
        <v>30</v>
      </c>
      <c r="F1592" t="s">
        <v>3217</v>
      </c>
      <c r="G1592" t="s">
        <v>31</v>
      </c>
      <c r="H1592" t="str">
        <f>VLOOKUP(Table1[[#This Row],[City]],Table6[#All],2,FALSE)</f>
        <v>South</v>
      </c>
      <c r="I1592" t="s">
        <v>24</v>
      </c>
      <c r="J1592" t="str">
        <f>_xlfn.XLOOKUP(Table1[[#This Row],[Tractor Model]],Table7[Product Model],Table7[Product Category],"Not Available",0)</f>
        <v>Farmtrac</v>
      </c>
      <c r="K1592" s="4">
        <v>6</v>
      </c>
      <c r="L1592" s="72">
        <v>390253</v>
      </c>
      <c r="M1592" s="4">
        <f>INDEX('Master Sheet'!$C$4:$C$12,MATCH(Table1[[#This Row],[Quantity]],'Master Sheet'!$B$4:$B$12,0))</f>
        <v>8</v>
      </c>
      <c r="N1592" s="71">
        <f>Table1[[#This Row],[Quantity]]*Table1[[#This Row],[Unit Price]]</f>
        <v>2341518</v>
      </c>
      <c r="O1592" s="73">
        <v>0.23415179999999999</v>
      </c>
      <c r="P1592" s="70">
        <f>Table1[[#This Row],[Gross Amount]]*(1-(Table1[[#This Row],[Discount %]]/100))</f>
        <v>2154196.56</v>
      </c>
      <c r="Q1592" s="74">
        <f>(Table1[[#This Row],[Gross Amount]]*(1-(Table1[[#This Row],[Discount %]]/100)))/10000000</f>
        <v>0.21541965600000001</v>
      </c>
      <c r="R1592" t="s">
        <v>25</v>
      </c>
      <c r="S1592" t="str" cm="1">
        <f t="array" ref="S1592">IFERROR(_xlfn.IFS(Table1[[#This Row],[Payment Status]]="Partial","In Transit",Table1[[#This Row],[Payment Status]]="Paid","Delivered",Table1[[#This Row],[Payment Status]]="Pending","Pending"),"Invalid Input")</f>
        <v>In Transit</v>
      </c>
      <c r="T1592" t="s">
        <v>27</v>
      </c>
      <c r="U1592" t="str" cm="1">
        <f t="array" ref="U1592">IFERROR(_xlfn.IFS(Table1[[#This Row],[Payment Status]]="Partial","In Transit",Table1[[#This Row],[Payment Status]]="Paid","Completed",Table1[[#This Row],[Payment Status]]="Pending","Pending"),"Invalid Input")</f>
        <v>In Transit</v>
      </c>
    </row>
    <row r="1593" spans="1:21" x14ac:dyDescent="0.25">
      <c r="A1593" s="4" t="s">
        <v>2698</v>
      </c>
      <c r="B1593" s="5">
        <v>45320</v>
      </c>
      <c r="C1593" t="s">
        <v>52</v>
      </c>
      <c r="D1593" t="s">
        <v>3269</v>
      </c>
      <c r="E1593" t="s">
        <v>119</v>
      </c>
      <c r="F1593" t="s">
        <v>3229</v>
      </c>
      <c r="G1593" t="s">
        <v>21</v>
      </c>
      <c r="H1593" t="str">
        <f>VLOOKUP(Table1[[#This Row],[City]],Table6[#All],2,FALSE)</f>
        <v>North</v>
      </c>
      <c r="I1593" t="s">
        <v>3204</v>
      </c>
      <c r="J1593" t="str">
        <f>_xlfn.XLOOKUP(Table1[[#This Row],[Tractor Model]],Table7[Product Model],Table7[Product Category],"Not Available",0)</f>
        <v>Kubota</v>
      </c>
      <c r="K1593" s="4">
        <v>5</v>
      </c>
      <c r="L1593" s="72">
        <v>316810</v>
      </c>
      <c r="M1593" s="4">
        <f>INDEX('Master Sheet'!$C$4:$C$12,MATCH(Table1[[#This Row],[Quantity]],'Master Sheet'!$B$4:$B$12,0))</f>
        <v>7</v>
      </c>
      <c r="N1593" s="71">
        <f>Table1[[#This Row],[Quantity]]*Table1[[#This Row],[Unit Price]]</f>
        <v>1584050</v>
      </c>
      <c r="O1593" s="73">
        <v>0.15840499999999999</v>
      </c>
      <c r="P1593" s="70">
        <f>Table1[[#This Row],[Gross Amount]]*(1-(Table1[[#This Row],[Discount %]]/100))</f>
        <v>1473166.5</v>
      </c>
      <c r="Q1593" s="74">
        <f>(Table1[[#This Row],[Gross Amount]]*(1-(Table1[[#This Row],[Discount %]]/100)))/10000000</f>
        <v>0.14731664999999999</v>
      </c>
      <c r="R1593" t="s">
        <v>54</v>
      </c>
      <c r="S1593" t="str" cm="1">
        <f t="array" ref="S1593">IFERROR(_xlfn.IFS(Table1[[#This Row],[Payment Status]]="Partial","In Transit",Table1[[#This Row],[Payment Status]]="Paid","Delivered",Table1[[#This Row],[Payment Status]]="Pending","Pending"),"Invalid Input")</f>
        <v>Delivered</v>
      </c>
      <c r="T1593" t="s">
        <v>44</v>
      </c>
      <c r="U1593" t="str" cm="1">
        <f t="array" ref="U1593">IFERROR(_xlfn.IFS(Table1[[#This Row],[Payment Status]]="Partial","In Transit",Table1[[#This Row],[Payment Status]]="Paid","Completed",Table1[[#This Row],[Payment Status]]="Pending","Pending"),"Invalid Input")</f>
        <v>Completed</v>
      </c>
    </row>
    <row r="1594" spans="1:21" x14ac:dyDescent="0.25">
      <c r="A1594" s="4" t="s">
        <v>2699</v>
      </c>
      <c r="B1594" s="5">
        <v>45652</v>
      </c>
      <c r="C1594" t="s">
        <v>41</v>
      </c>
      <c r="D1594" t="s">
        <v>37</v>
      </c>
      <c r="E1594" t="s">
        <v>66</v>
      </c>
      <c r="F1594" t="s">
        <v>3226</v>
      </c>
      <c r="G1594" t="s">
        <v>67</v>
      </c>
      <c r="H1594" t="str">
        <f>VLOOKUP(Table1[[#This Row],[City]],Table6[#All],2,FALSE)</f>
        <v>East</v>
      </c>
      <c r="I1594" t="s">
        <v>3203</v>
      </c>
      <c r="J1594" t="str">
        <f>_xlfn.XLOOKUP(Table1[[#This Row],[Tractor Model]],Table7[Product Model],Table7[Product Category],"Not Available",0)</f>
        <v>Kubota</v>
      </c>
      <c r="K1594" s="4">
        <v>6</v>
      </c>
      <c r="L1594" s="72">
        <v>568931</v>
      </c>
      <c r="M1594" s="4">
        <f>INDEX('Master Sheet'!$C$4:$C$12,MATCH(Table1[[#This Row],[Quantity]],'Master Sheet'!$B$4:$B$12,0))</f>
        <v>8</v>
      </c>
      <c r="N1594" s="71">
        <f>Table1[[#This Row],[Quantity]]*Table1[[#This Row],[Unit Price]]</f>
        <v>3413586</v>
      </c>
      <c r="O1594" s="73">
        <v>0.34135860000000001</v>
      </c>
      <c r="P1594" s="70">
        <f>Table1[[#This Row],[Gross Amount]]*(1-(Table1[[#This Row],[Discount %]]/100))</f>
        <v>3140499.12</v>
      </c>
      <c r="Q1594" s="74">
        <f>(Table1[[#This Row],[Gross Amount]]*(1-(Table1[[#This Row],[Discount %]]/100)))/10000000</f>
        <v>0.31404991199999999</v>
      </c>
      <c r="R1594" t="s">
        <v>25</v>
      </c>
      <c r="S1594" t="str" cm="1">
        <f t="array" ref="S1594">IFERROR(_xlfn.IFS(Table1[[#This Row],[Payment Status]]="Partial","In Transit",Table1[[#This Row],[Payment Status]]="Paid","Delivered",Table1[[#This Row],[Payment Status]]="Pending","Pending"),"Invalid Input")</f>
        <v>In Transit</v>
      </c>
      <c r="T1594" t="s">
        <v>27</v>
      </c>
      <c r="U1594" t="str" cm="1">
        <f t="array" ref="U1594">IFERROR(_xlfn.IFS(Table1[[#This Row],[Payment Status]]="Partial","In Transit",Table1[[#This Row],[Payment Status]]="Paid","Completed",Table1[[#This Row],[Payment Status]]="Pending","Pending"),"Invalid Input")</f>
        <v>In Transit</v>
      </c>
    </row>
    <row r="1595" spans="1:21" x14ac:dyDescent="0.25">
      <c r="A1595" s="4" t="s">
        <v>2701</v>
      </c>
      <c r="B1595" s="5">
        <v>45708</v>
      </c>
      <c r="C1595" t="s">
        <v>41</v>
      </c>
      <c r="D1595" t="s">
        <v>3269</v>
      </c>
      <c r="E1595" t="s">
        <v>119</v>
      </c>
      <c r="F1595" t="s">
        <v>3229</v>
      </c>
      <c r="G1595" t="s">
        <v>21</v>
      </c>
      <c r="H1595" t="str">
        <f>VLOOKUP(Table1[[#This Row],[City]],Table6[#All],2,FALSE)</f>
        <v>North</v>
      </c>
      <c r="I1595" t="s">
        <v>3204</v>
      </c>
      <c r="J1595" t="str">
        <f>_xlfn.XLOOKUP(Table1[[#This Row],[Tractor Model]],Table7[Product Model],Table7[Product Category],"Not Available",0)</f>
        <v>Kubota</v>
      </c>
      <c r="K1595" s="4">
        <v>1</v>
      </c>
      <c r="L1595" s="72">
        <v>678408</v>
      </c>
      <c r="M1595" s="4">
        <f>INDEX('Master Sheet'!$C$4:$C$12,MATCH(Table1[[#This Row],[Quantity]],'Master Sheet'!$B$4:$B$12,0))</f>
        <v>3</v>
      </c>
      <c r="N1595" s="71">
        <f>Table1[[#This Row],[Quantity]]*Table1[[#This Row],[Unit Price]]</f>
        <v>678408</v>
      </c>
      <c r="O1595" s="73">
        <v>6.7840800000000007E-2</v>
      </c>
      <c r="P1595" s="70">
        <f>Table1[[#This Row],[Gross Amount]]*(1-(Table1[[#This Row],[Discount %]]/100))</f>
        <v>658055.76</v>
      </c>
      <c r="Q1595" s="74">
        <f>(Table1[[#This Row],[Gross Amount]]*(1-(Table1[[#This Row],[Discount %]]/100)))/10000000</f>
        <v>6.5805576000000005E-2</v>
      </c>
      <c r="R1595" t="s">
        <v>54</v>
      </c>
      <c r="S1595" t="str" cm="1">
        <f t="array" ref="S1595">IFERROR(_xlfn.IFS(Table1[[#This Row],[Payment Status]]="Partial","In Transit",Table1[[#This Row],[Payment Status]]="Paid","Delivered",Table1[[#This Row],[Payment Status]]="Pending","Pending"),"Invalid Input")</f>
        <v>Delivered</v>
      </c>
      <c r="T1595" t="s">
        <v>27</v>
      </c>
      <c r="U1595" t="str" cm="1">
        <f t="array" ref="U1595">IFERROR(_xlfn.IFS(Table1[[#This Row],[Payment Status]]="Partial","In Transit",Table1[[#This Row],[Payment Status]]="Paid","Completed",Table1[[#This Row],[Payment Status]]="Pending","Pending"),"Invalid Input")</f>
        <v>Completed</v>
      </c>
    </row>
    <row r="1596" spans="1:21" x14ac:dyDescent="0.25">
      <c r="A1596" s="4" t="s">
        <v>2703</v>
      </c>
      <c r="B1596" s="5">
        <v>45556</v>
      </c>
      <c r="C1596" t="s">
        <v>33</v>
      </c>
      <c r="D1596" t="s">
        <v>3271</v>
      </c>
      <c r="E1596" t="s">
        <v>38</v>
      </c>
      <c r="F1596" t="s">
        <v>3210</v>
      </c>
      <c r="G1596" t="s">
        <v>39</v>
      </c>
      <c r="H1596" t="str">
        <f>VLOOKUP(Table1[[#This Row],[City]],Table6[#All],2,FALSE)</f>
        <v>West</v>
      </c>
      <c r="I1596" t="s">
        <v>24</v>
      </c>
      <c r="J1596" t="str">
        <f>_xlfn.XLOOKUP(Table1[[#This Row],[Tractor Model]],Table7[Product Model],Table7[Product Category],"Not Available",0)</f>
        <v>Farmtrac</v>
      </c>
      <c r="K1596" s="4">
        <v>5</v>
      </c>
      <c r="L1596" s="72">
        <v>572271</v>
      </c>
      <c r="M1596" s="4">
        <f>INDEX('Master Sheet'!$C$4:$C$12,MATCH(Table1[[#This Row],[Quantity]],'Master Sheet'!$B$4:$B$12,0))</f>
        <v>7</v>
      </c>
      <c r="N1596" s="71">
        <f>Table1[[#This Row],[Quantity]]*Table1[[#This Row],[Unit Price]]</f>
        <v>2861355</v>
      </c>
      <c r="O1596" s="73">
        <v>0.28613549999999999</v>
      </c>
      <c r="P1596" s="70">
        <f>Table1[[#This Row],[Gross Amount]]*(1-(Table1[[#This Row],[Discount %]]/100))</f>
        <v>2661060.15</v>
      </c>
      <c r="Q1596" s="74">
        <f>(Table1[[#This Row],[Gross Amount]]*(1-(Table1[[#This Row],[Discount %]]/100)))/10000000</f>
        <v>0.26610601499999997</v>
      </c>
      <c r="R1596" t="s">
        <v>54</v>
      </c>
      <c r="S1596" t="str" cm="1">
        <f t="array" ref="S1596">IFERROR(_xlfn.IFS(Table1[[#This Row],[Payment Status]]="Partial","In Transit",Table1[[#This Row],[Payment Status]]="Paid","Delivered",Table1[[#This Row],[Payment Status]]="Pending","Pending"),"Invalid Input")</f>
        <v>Delivered</v>
      </c>
      <c r="T1596" t="s">
        <v>44</v>
      </c>
      <c r="U1596" t="str" cm="1">
        <f t="array" ref="U1596">IFERROR(_xlfn.IFS(Table1[[#This Row],[Payment Status]]="Partial","In Transit",Table1[[#This Row],[Payment Status]]="Paid","Completed",Table1[[#This Row],[Payment Status]]="Pending","Pending"),"Invalid Input")</f>
        <v>Completed</v>
      </c>
    </row>
    <row r="1597" spans="1:21" x14ac:dyDescent="0.25">
      <c r="A1597" s="4" t="s">
        <v>2705</v>
      </c>
      <c r="B1597" s="5">
        <v>45803</v>
      </c>
      <c r="C1597" t="s">
        <v>41</v>
      </c>
      <c r="D1597" t="s">
        <v>3271</v>
      </c>
      <c r="E1597" t="s">
        <v>30</v>
      </c>
      <c r="F1597" t="s">
        <v>3217</v>
      </c>
      <c r="G1597" t="s">
        <v>31</v>
      </c>
      <c r="H1597" t="str">
        <f>VLOOKUP(Table1[[#This Row],[City]],Table6[#All],2,FALSE)</f>
        <v>South</v>
      </c>
      <c r="I1597" t="s">
        <v>53</v>
      </c>
      <c r="J1597" t="str">
        <f>_xlfn.XLOOKUP(Table1[[#This Row],[Tractor Model]],Table7[Product Model],Table7[Product Category],"Not Available",0)</f>
        <v>Farmtrac</v>
      </c>
      <c r="K1597" s="4">
        <v>1</v>
      </c>
      <c r="L1597" s="72">
        <v>84024</v>
      </c>
      <c r="M1597" s="4">
        <f>INDEX('Master Sheet'!$C$4:$C$12,MATCH(Table1[[#This Row],[Quantity]],'Master Sheet'!$B$4:$B$12,0))</f>
        <v>3</v>
      </c>
      <c r="N1597" s="71">
        <f>Table1[[#This Row],[Quantity]]*Table1[[#This Row],[Unit Price]]</f>
        <v>84024</v>
      </c>
      <c r="O1597" s="73">
        <v>8.4024000000000008E-3</v>
      </c>
      <c r="P1597" s="70">
        <f>Table1[[#This Row],[Gross Amount]]*(1-(Table1[[#This Row],[Discount %]]/100))</f>
        <v>81503.28</v>
      </c>
      <c r="Q1597" s="74">
        <f>(Table1[[#This Row],[Gross Amount]]*(1-(Table1[[#This Row],[Discount %]]/100)))/10000000</f>
        <v>8.1503280000000001E-3</v>
      </c>
      <c r="R1597" t="s">
        <v>42</v>
      </c>
      <c r="S1597" t="str" cm="1">
        <f t="array" ref="S1597">IFERROR(_xlfn.IFS(Table1[[#This Row],[Payment Status]]="Partial","In Transit",Table1[[#This Row],[Payment Status]]="Paid","Delivered",Table1[[#This Row],[Payment Status]]="Pending","Pending"),"Invalid Input")</f>
        <v>Pending</v>
      </c>
      <c r="T1597" t="s">
        <v>44</v>
      </c>
      <c r="U1597" t="str" cm="1">
        <f t="array" ref="U1597">IFERROR(_xlfn.IFS(Table1[[#This Row],[Payment Status]]="Partial","In Transit",Table1[[#This Row],[Payment Status]]="Paid","Completed",Table1[[#This Row],[Payment Status]]="Pending","Pending"),"Invalid Input")</f>
        <v>Pending</v>
      </c>
    </row>
    <row r="1598" spans="1:21" x14ac:dyDescent="0.25">
      <c r="A1598" s="4" t="s">
        <v>2706</v>
      </c>
      <c r="B1598" s="5">
        <v>45521</v>
      </c>
      <c r="C1598" t="s">
        <v>62</v>
      </c>
      <c r="D1598" t="s">
        <v>3271</v>
      </c>
      <c r="E1598" t="s">
        <v>119</v>
      </c>
      <c r="F1598" t="s">
        <v>3228</v>
      </c>
      <c r="G1598" t="s">
        <v>21</v>
      </c>
      <c r="H1598" t="str">
        <f>VLOOKUP(Table1[[#This Row],[City]],Table6[#All],2,FALSE)</f>
        <v>North</v>
      </c>
      <c r="I1598" t="s">
        <v>58</v>
      </c>
      <c r="J1598" t="str">
        <f>_xlfn.XLOOKUP(Table1[[#This Row],[Tractor Model]],Table7[Product Model],Table7[Product Category],"Not Available",0)</f>
        <v>Powertrac</v>
      </c>
      <c r="K1598" s="4">
        <v>8</v>
      </c>
      <c r="L1598" s="72">
        <v>891140</v>
      </c>
      <c r="M1598" s="4">
        <f>INDEX('Master Sheet'!$C$4:$C$12,MATCH(Table1[[#This Row],[Quantity]],'Master Sheet'!$B$4:$B$12,0))</f>
        <v>9</v>
      </c>
      <c r="N1598" s="71">
        <f>Table1[[#This Row],[Quantity]]*Table1[[#This Row],[Unit Price]]</f>
        <v>7129120</v>
      </c>
      <c r="O1598" s="73">
        <v>0.71291199999999999</v>
      </c>
      <c r="P1598" s="70">
        <f>Table1[[#This Row],[Gross Amount]]*(1-(Table1[[#This Row],[Discount %]]/100))</f>
        <v>6487499.2000000002</v>
      </c>
      <c r="Q1598" s="74">
        <f>(Table1[[#This Row],[Gross Amount]]*(1-(Table1[[#This Row],[Discount %]]/100)))/10000000</f>
        <v>0.64874991999999998</v>
      </c>
      <c r="R1598" t="s">
        <v>54</v>
      </c>
      <c r="S1598" t="str" cm="1">
        <f t="array" ref="S1598">IFERROR(_xlfn.IFS(Table1[[#This Row],[Payment Status]]="Partial","In Transit",Table1[[#This Row],[Payment Status]]="Paid","Delivered",Table1[[#This Row],[Payment Status]]="Pending","Pending"),"Invalid Input")</f>
        <v>Delivered</v>
      </c>
      <c r="T1598" t="s">
        <v>44</v>
      </c>
      <c r="U1598" t="str" cm="1">
        <f t="array" ref="U1598">IFERROR(_xlfn.IFS(Table1[[#This Row],[Payment Status]]="Partial","In Transit",Table1[[#This Row],[Payment Status]]="Paid","Completed",Table1[[#This Row],[Payment Status]]="Pending","Pending"),"Invalid Input")</f>
        <v>Completed</v>
      </c>
    </row>
    <row r="1599" spans="1:21" x14ac:dyDescent="0.25">
      <c r="A1599" s="4" t="s">
        <v>2708</v>
      </c>
      <c r="B1599" s="5">
        <v>45734</v>
      </c>
      <c r="C1599" t="s">
        <v>73</v>
      </c>
      <c r="D1599" t="s">
        <v>3269</v>
      </c>
      <c r="E1599" t="s">
        <v>66</v>
      </c>
      <c r="F1599" t="s">
        <v>3213</v>
      </c>
      <c r="G1599" t="s">
        <v>67</v>
      </c>
      <c r="H1599" t="str">
        <f>VLOOKUP(Table1[[#This Row],[City]],Table6[#All],2,FALSE)</f>
        <v>East</v>
      </c>
      <c r="I1599" t="s">
        <v>24</v>
      </c>
      <c r="J1599" t="str">
        <f>_xlfn.XLOOKUP(Table1[[#This Row],[Tractor Model]],Table7[Product Model],Table7[Product Category],"Not Available",0)</f>
        <v>Farmtrac</v>
      </c>
      <c r="K1599" s="4">
        <v>3</v>
      </c>
      <c r="L1599" s="72">
        <v>325774</v>
      </c>
      <c r="M1599" s="4">
        <f>INDEX('Master Sheet'!$C$4:$C$12,MATCH(Table1[[#This Row],[Quantity]],'Master Sheet'!$B$4:$B$12,0))</f>
        <v>6</v>
      </c>
      <c r="N1599" s="71">
        <f>Table1[[#This Row],[Quantity]]*Table1[[#This Row],[Unit Price]]</f>
        <v>977322</v>
      </c>
      <c r="O1599" s="73">
        <v>9.7732200000000005E-2</v>
      </c>
      <c r="P1599" s="70">
        <f>Table1[[#This Row],[Gross Amount]]*(1-(Table1[[#This Row],[Discount %]]/100))</f>
        <v>918682.67999999993</v>
      </c>
      <c r="Q1599" s="74">
        <f>(Table1[[#This Row],[Gross Amount]]*(1-(Table1[[#This Row],[Discount %]]/100)))/10000000</f>
        <v>9.1868267999999989E-2</v>
      </c>
      <c r="R1599" t="s">
        <v>54</v>
      </c>
      <c r="S1599" t="str" cm="1">
        <f t="array" ref="S1599">IFERROR(_xlfn.IFS(Table1[[#This Row],[Payment Status]]="Partial","In Transit",Table1[[#This Row],[Payment Status]]="Paid","Delivered",Table1[[#This Row],[Payment Status]]="Pending","Pending"),"Invalid Input")</f>
        <v>Delivered</v>
      </c>
      <c r="T1599" t="s">
        <v>27</v>
      </c>
      <c r="U1599" t="str" cm="1">
        <f t="array" ref="U1599">IFERROR(_xlfn.IFS(Table1[[#This Row],[Payment Status]]="Partial","In Transit",Table1[[#This Row],[Payment Status]]="Paid","Completed",Table1[[#This Row],[Payment Status]]="Pending","Pending"),"Invalid Input")</f>
        <v>Completed</v>
      </c>
    </row>
    <row r="1600" spans="1:21" x14ac:dyDescent="0.25">
      <c r="A1600" s="4" t="s">
        <v>2710</v>
      </c>
      <c r="B1600" s="5">
        <v>45554</v>
      </c>
      <c r="C1600" t="s">
        <v>52</v>
      </c>
      <c r="D1600" t="s">
        <v>37</v>
      </c>
      <c r="E1600" t="s">
        <v>66</v>
      </c>
      <c r="F1600" t="s">
        <v>3226</v>
      </c>
      <c r="G1600" t="s">
        <v>67</v>
      </c>
      <c r="H1600" t="str">
        <f>VLOOKUP(Table1[[#This Row],[City]],Table6[#All],2,FALSE)</f>
        <v>East</v>
      </c>
      <c r="I1600" t="s">
        <v>24</v>
      </c>
      <c r="J1600" t="str">
        <f>_xlfn.XLOOKUP(Table1[[#This Row],[Tractor Model]],Table7[Product Model],Table7[Product Category],"Not Available",0)</f>
        <v>Farmtrac</v>
      </c>
      <c r="K1600" s="4">
        <v>3</v>
      </c>
      <c r="L1600" s="72">
        <v>543024</v>
      </c>
      <c r="M1600" s="4">
        <f>INDEX('Master Sheet'!$C$4:$C$12,MATCH(Table1[[#This Row],[Quantity]],'Master Sheet'!$B$4:$B$12,0))</f>
        <v>6</v>
      </c>
      <c r="N1600" s="71">
        <f>Table1[[#This Row],[Quantity]]*Table1[[#This Row],[Unit Price]]</f>
        <v>1629072</v>
      </c>
      <c r="O1600" s="73">
        <v>0.1629072</v>
      </c>
      <c r="P1600" s="70">
        <f>Table1[[#This Row],[Gross Amount]]*(1-(Table1[[#This Row],[Discount %]]/100))</f>
        <v>1531327.68</v>
      </c>
      <c r="Q1600" s="74">
        <f>(Table1[[#This Row],[Gross Amount]]*(1-(Table1[[#This Row],[Discount %]]/100)))/10000000</f>
        <v>0.153132768</v>
      </c>
      <c r="R1600" t="s">
        <v>42</v>
      </c>
      <c r="S1600" t="str" cm="1">
        <f t="array" ref="S1600">IFERROR(_xlfn.IFS(Table1[[#This Row],[Payment Status]]="Partial","In Transit",Table1[[#This Row],[Payment Status]]="Paid","Delivered",Table1[[#This Row],[Payment Status]]="Pending","Pending"),"Invalid Input")</f>
        <v>Pending</v>
      </c>
      <c r="T1600" t="s">
        <v>27</v>
      </c>
      <c r="U1600" t="str" cm="1">
        <f t="array" ref="U1600">IFERROR(_xlfn.IFS(Table1[[#This Row],[Payment Status]]="Partial","In Transit",Table1[[#This Row],[Payment Status]]="Paid","Completed",Table1[[#This Row],[Payment Status]]="Pending","Pending"),"Invalid Input")</f>
        <v>Pending</v>
      </c>
    </row>
    <row r="1601" spans="1:21" x14ac:dyDescent="0.25">
      <c r="A1601" s="4" t="s">
        <v>2711</v>
      </c>
      <c r="B1601" s="5">
        <v>45767</v>
      </c>
      <c r="C1601" t="s">
        <v>73</v>
      </c>
      <c r="D1601" t="s">
        <v>3268</v>
      </c>
      <c r="E1601" t="s">
        <v>119</v>
      </c>
      <c r="F1601" t="s">
        <v>3227</v>
      </c>
      <c r="G1601" t="s">
        <v>21</v>
      </c>
      <c r="H1601" t="str">
        <f>VLOOKUP(Table1[[#This Row],[City]],Table6[#All],2,FALSE)</f>
        <v>North</v>
      </c>
      <c r="I1601" t="s">
        <v>58</v>
      </c>
      <c r="J1601" t="str">
        <f>_xlfn.XLOOKUP(Table1[[#This Row],[Tractor Model]],Table7[Product Model],Table7[Product Category],"Not Available",0)</f>
        <v>Powertrac</v>
      </c>
      <c r="K1601" s="4">
        <v>8</v>
      </c>
      <c r="L1601" s="72">
        <v>305541</v>
      </c>
      <c r="M1601" s="4">
        <f>INDEX('Master Sheet'!$C$4:$C$12,MATCH(Table1[[#This Row],[Quantity]],'Master Sheet'!$B$4:$B$12,0))</f>
        <v>9</v>
      </c>
      <c r="N1601" s="71">
        <f>Table1[[#This Row],[Quantity]]*Table1[[#This Row],[Unit Price]]</f>
        <v>2444328</v>
      </c>
      <c r="O1601" s="73">
        <v>0.24443280000000001</v>
      </c>
      <c r="P1601" s="70">
        <f>Table1[[#This Row],[Gross Amount]]*(1-(Table1[[#This Row],[Discount %]]/100))</f>
        <v>2224338.48</v>
      </c>
      <c r="Q1601" s="74">
        <f>(Table1[[#This Row],[Gross Amount]]*(1-(Table1[[#This Row],[Discount %]]/100)))/10000000</f>
        <v>0.22243384799999999</v>
      </c>
      <c r="R1601" t="s">
        <v>54</v>
      </c>
      <c r="S1601" t="str" cm="1">
        <f t="array" ref="S1601">IFERROR(_xlfn.IFS(Table1[[#This Row],[Payment Status]]="Partial","In Transit",Table1[[#This Row],[Payment Status]]="Paid","Delivered",Table1[[#This Row],[Payment Status]]="Pending","Pending"),"Invalid Input")</f>
        <v>Delivered</v>
      </c>
      <c r="T1601" t="s">
        <v>27</v>
      </c>
      <c r="U1601" t="str" cm="1">
        <f t="array" ref="U1601">IFERROR(_xlfn.IFS(Table1[[#This Row],[Payment Status]]="Partial","In Transit",Table1[[#This Row],[Payment Status]]="Paid","Completed",Table1[[#This Row],[Payment Status]]="Pending","Pending"),"Invalid Input")</f>
        <v>Completed</v>
      </c>
    </row>
    <row r="1602" spans="1:21" x14ac:dyDescent="0.25">
      <c r="A1602" s="4" t="s">
        <v>2712</v>
      </c>
      <c r="B1602" s="5">
        <v>45592</v>
      </c>
      <c r="C1602" t="s">
        <v>33</v>
      </c>
      <c r="D1602" t="s">
        <v>3270</v>
      </c>
      <c r="E1602" t="s">
        <v>30</v>
      </c>
      <c r="F1602" t="s">
        <v>3223</v>
      </c>
      <c r="G1602" t="s">
        <v>31</v>
      </c>
      <c r="H1602" t="str">
        <f>VLOOKUP(Table1[[#This Row],[City]],Table6[#All],2,FALSE)</f>
        <v>South</v>
      </c>
      <c r="I1602" t="s">
        <v>53</v>
      </c>
      <c r="J1602" t="str">
        <f>_xlfn.XLOOKUP(Table1[[#This Row],[Tractor Model]],Table7[Product Model],Table7[Product Category],"Not Available",0)</f>
        <v>Farmtrac</v>
      </c>
      <c r="K1602" s="4">
        <v>1</v>
      </c>
      <c r="L1602" s="72">
        <v>289799</v>
      </c>
      <c r="M1602" s="4">
        <f>INDEX('Master Sheet'!$C$4:$C$12,MATCH(Table1[[#This Row],[Quantity]],'Master Sheet'!$B$4:$B$12,0))</f>
        <v>3</v>
      </c>
      <c r="N1602" s="71">
        <f>Table1[[#This Row],[Quantity]]*Table1[[#This Row],[Unit Price]]</f>
        <v>289799</v>
      </c>
      <c r="O1602" s="73">
        <v>2.8979899999999999E-2</v>
      </c>
      <c r="P1602" s="70">
        <f>Table1[[#This Row],[Gross Amount]]*(1-(Table1[[#This Row],[Discount %]]/100))</f>
        <v>281105.02999999997</v>
      </c>
      <c r="Q1602" s="74">
        <f>(Table1[[#This Row],[Gross Amount]]*(1-(Table1[[#This Row],[Discount %]]/100)))/10000000</f>
        <v>2.8110502999999998E-2</v>
      </c>
      <c r="R1602" t="s">
        <v>25</v>
      </c>
      <c r="S1602" t="str" cm="1">
        <f t="array" ref="S1602">IFERROR(_xlfn.IFS(Table1[[#This Row],[Payment Status]]="Partial","In Transit",Table1[[#This Row],[Payment Status]]="Paid","Delivered",Table1[[#This Row],[Payment Status]]="Pending","Pending"),"Invalid Input")</f>
        <v>In Transit</v>
      </c>
      <c r="T1602" t="s">
        <v>27</v>
      </c>
      <c r="U1602" t="str" cm="1">
        <f t="array" ref="U1602">IFERROR(_xlfn.IFS(Table1[[#This Row],[Payment Status]]="Partial","In Transit",Table1[[#This Row],[Payment Status]]="Paid","Completed",Table1[[#This Row],[Payment Status]]="Pending","Pending"),"Invalid Input")</f>
        <v>In Transit</v>
      </c>
    </row>
    <row r="1603" spans="1:21" x14ac:dyDescent="0.25">
      <c r="A1603" s="4" t="s">
        <v>2713</v>
      </c>
      <c r="B1603" s="5">
        <v>45965</v>
      </c>
      <c r="C1603" t="s">
        <v>41</v>
      </c>
      <c r="D1603" t="s">
        <v>3268</v>
      </c>
      <c r="E1603" t="s">
        <v>66</v>
      </c>
      <c r="F1603" t="s">
        <v>3211</v>
      </c>
      <c r="G1603" t="s">
        <v>67</v>
      </c>
      <c r="H1603" t="str">
        <f>VLOOKUP(Table1[[#This Row],[City]],Table6[#All],2,FALSE)</f>
        <v>East</v>
      </c>
      <c r="I1603" t="s">
        <v>3203</v>
      </c>
      <c r="J1603" t="str">
        <f>_xlfn.XLOOKUP(Table1[[#This Row],[Tractor Model]],Table7[Product Model],Table7[Product Category],"Not Available",0)</f>
        <v>Kubota</v>
      </c>
      <c r="K1603" s="4">
        <v>3</v>
      </c>
      <c r="L1603" s="72">
        <v>269574</v>
      </c>
      <c r="M1603" s="4">
        <f>INDEX('Master Sheet'!$C$4:$C$12,MATCH(Table1[[#This Row],[Quantity]],'Master Sheet'!$B$4:$B$12,0))</f>
        <v>6</v>
      </c>
      <c r="N1603" s="71">
        <f>Table1[[#This Row],[Quantity]]*Table1[[#This Row],[Unit Price]]</f>
        <v>808722</v>
      </c>
      <c r="O1603" s="73">
        <v>8.0872200000000005E-2</v>
      </c>
      <c r="P1603" s="70">
        <f>Table1[[#This Row],[Gross Amount]]*(1-(Table1[[#This Row],[Discount %]]/100))</f>
        <v>760198.67999999993</v>
      </c>
      <c r="Q1603" s="74">
        <f>(Table1[[#This Row],[Gross Amount]]*(1-(Table1[[#This Row],[Discount %]]/100)))/10000000</f>
        <v>7.601986799999999E-2</v>
      </c>
      <c r="R1603" t="s">
        <v>42</v>
      </c>
      <c r="S1603" t="str" cm="1">
        <f t="array" ref="S1603">IFERROR(_xlfn.IFS(Table1[[#This Row],[Payment Status]]="Partial","In Transit",Table1[[#This Row],[Payment Status]]="Paid","Delivered",Table1[[#This Row],[Payment Status]]="Pending","Pending"),"Invalid Input")</f>
        <v>Pending</v>
      </c>
      <c r="T1603" t="s">
        <v>44</v>
      </c>
      <c r="U1603" t="str" cm="1">
        <f t="array" ref="U1603">IFERROR(_xlfn.IFS(Table1[[#This Row],[Payment Status]]="Partial","In Transit",Table1[[#This Row],[Payment Status]]="Paid","Completed",Table1[[#This Row],[Payment Status]]="Pending","Pending"),"Invalid Input")</f>
        <v>Pending</v>
      </c>
    </row>
    <row r="1604" spans="1:21" x14ac:dyDescent="0.25">
      <c r="A1604" s="4" t="s">
        <v>2714</v>
      </c>
      <c r="B1604" s="5">
        <v>45539</v>
      </c>
      <c r="C1604" t="s">
        <v>33</v>
      </c>
      <c r="D1604" t="s">
        <v>3268</v>
      </c>
      <c r="E1604" t="s">
        <v>66</v>
      </c>
      <c r="F1604" t="s">
        <v>3211</v>
      </c>
      <c r="G1604" t="s">
        <v>67</v>
      </c>
      <c r="H1604" t="str">
        <f>VLOOKUP(Table1[[#This Row],[City]],Table6[#All],2,FALSE)</f>
        <v>East</v>
      </c>
      <c r="I1604" t="s">
        <v>53</v>
      </c>
      <c r="J1604" t="str">
        <f>_xlfn.XLOOKUP(Table1[[#This Row],[Tractor Model]],Table7[Product Model],Table7[Product Category],"Not Available",0)</f>
        <v>Farmtrac</v>
      </c>
      <c r="K1604" s="4">
        <v>8</v>
      </c>
      <c r="L1604" s="72">
        <v>645745</v>
      </c>
      <c r="M1604" s="4">
        <f>INDEX('Master Sheet'!$C$4:$C$12,MATCH(Table1[[#This Row],[Quantity]],'Master Sheet'!$B$4:$B$12,0))</f>
        <v>9</v>
      </c>
      <c r="N1604" s="71">
        <f>Table1[[#This Row],[Quantity]]*Table1[[#This Row],[Unit Price]]</f>
        <v>5165960</v>
      </c>
      <c r="O1604" s="73">
        <v>0.51659600000000006</v>
      </c>
      <c r="P1604" s="70">
        <f>Table1[[#This Row],[Gross Amount]]*(1-(Table1[[#This Row],[Discount %]]/100))</f>
        <v>4701023.6000000006</v>
      </c>
      <c r="Q1604" s="74">
        <f>(Table1[[#This Row],[Gross Amount]]*(1-(Table1[[#This Row],[Discount %]]/100)))/10000000</f>
        <v>0.47010236000000005</v>
      </c>
      <c r="R1604" t="s">
        <v>54</v>
      </c>
      <c r="S1604" t="str" cm="1">
        <f t="array" ref="S1604">IFERROR(_xlfn.IFS(Table1[[#This Row],[Payment Status]]="Partial","In Transit",Table1[[#This Row],[Payment Status]]="Paid","Delivered",Table1[[#This Row],[Payment Status]]="Pending","Pending"),"Invalid Input")</f>
        <v>Delivered</v>
      </c>
      <c r="T1604" t="s">
        <v>27</v>
      </c>
      <c r="U1604" t="str" cm="1">
        <f t="array" ref="U1604">IFERROR(_xlfn.IFS(Table1[[#This Row],[Payment Status]]="Partial","In Transit",Table1[[#This Row],[Payment Status]]="Paid","Completed",Table1[[#This Row],[Payment Status]]="Pending","Pending"),"Invalid Input")</f>
        <v>Completed</v>
      </c>
    </row>
    <row r="1605" spans="1:21" x14ac:dyDescent="0.25">
      <c r="A1605" s="4" t="s">
        <v>2716</v>
      </c>
      <c r="B1605" s="5">
        <v>45808</v>
      </c>
      <c r="C1605" t="s">
        <v>73</v>
      </c>
      <c r="D1605" t="s">
        <v>3269</v>
      </c>
      <c r="E1605" t="s">
        <v>66</v>
      </c>
      <c r="F1605" t="s">
        <v>3213</v>
      </c>
      <c r="G1605" t="s">
        <v>67</v>
      </c>
      <c r="H1605" t="str">
        <f>VLOOKUP(Table1[[#This Row],[City]],Table6[#All],2,FALSE)</f>
        <v>East</v>
      </c>
      <c r="I1605" t="s">
        <v>3204</v>
      </c>
      <c r="J1605" t="str">
        <f>_xlfn.XLOOKUP(Table1[[#This Row],[Tractor Model]],Table7[Product Model],Table7[Product Category],"Not Available",0)</f>
        <v>Kubota</v>
      </c>
      <c r="K1605" s="4">
        <v>3</v>
      </c>
      <c r="L1605" s="72">
        <v>602748</v>
      </c>
      <c r="M1605" s="4">
        <f>INDEX('Master Sheet'!$C$4:$C$12,MATCH(Table1[[#This Row],[Quantity]],'Master Sheet'!$B$4:$B$12,0))</f>
        <v>6</v>
      </c>
      <c r="N1605" s="71">
        <f>Table1[[#This Row],[Quantity]]*Table1[[#This Row],[Unit Price]]</f>
        <v>1808244</v>
      </c>
      <c r="O1605" s="73">
        <v>0.1808244</v>
      </c>
      <c r="P1605" s="70">
        <f>Table1[[#This Row],[Gross Amount]]*(1-(Table1[[#This Row],[Discount %]]/100))</f>
        <v>1699749.3599999999</v>
      </c>
      <c r="Q1605" s="74">
        <f>(Table1[[#This Row],[Gross Amount]]*(1-(Table1[[#This Row],[Discount %]]/100)))/10000000</f>
        <v>0.16997493599999999</v>
      </c>
      <c r="R1605" t="s">
        <v>54</v>
      </c>
      <c r="S1605" t="str" cm="1">
        <f t="array" ref="S1605">IFERROR(_xlfn.IFS(Table1[[#This Row],[Payment Status]]="Partial","In Transit",Table1[[#This Row],[Payment Status]]="Paid","Delivered",Table1[[#This Row],[Payment Status]]="Pending","Pending"),"Invalid Input")</f>
        <v>Delivered</v>
      </c>
      <c r="T1605" t="s">
        <v>27</v>
      </c>
      <c r="U1605" t="str" cm="1">
        <f t="array" ref="U1605">IFERROR(_xlfn.IFS(Table1[[#This Row],[Payment Status]]="Partial","In Transit",Table1[[#This Row],[Payment Status]]="Paid","Completed",Table1[[#This Row],[Payment Status]]="Pending","Pending"),"Invalid Input")</f>
        <v>Completed</v>
      </c>
    </row>
    <row r="1606" spans="1:21" x14ac:dyDescent="0.25">
      <c r="A1606" s="4" t="s">
        <v>2718</v>
      </c>
      <c r="B1606" s="5">
        <v>45461</v>
      </c>
      <c r="C1606" t="s">
        <v>73</v>
      </c>
      <c r="D1606" t="s">
        <v>37</v>
      </c>
      <c r="E1606" t="s">
        <v>30</v>
      </c>
      <c r="F1606" t="s">
        <v>3222</v>
      </c>
      <c r="G1606" t="s">
        <v>31</v>
      </c>
      <c r="H1606" t="str">
        <f>VLOOKUP(Table1[[#This Row],[City]],Table6[#All],2,FALSE)</f>
        <v>South</v>
      </c>
      <c r="I1606" t="s">
        <v>58</v>
      </c>
      <c r="J1606" t="str">
        <f>_xlfn.XLOOKUP(Table1[[#This Row],[Tractor Model]],Table7[Product Model],Table7[Product Category],"Not Available",0)</f>
        <v>Powertrac</v>
      </c>
      <c r="K1606" s="4">
        <v>2</v>
      </c>
      <c r="L1606" s="72">
        <v>840345</v>
      </c>
      <c r="M1606" s="4">
        <f>INDEX('Master Sheet'!$C$4:$C$12,MATCH(Table1[[#This Row],[Quantity]],'Master Sheet'!$B$4:$B$12,0))</f>
        <v>5</v>
      </c>
      <c r="N1606" s="71">
        <f>Table1[[#This Row],[Quantity]]*Table1[[#This Row],[Unit Price]]</f>
        <v>1680690</v>
      </c>
      <c r="O1606" s="73">
        <v>0.168069</v>
      </c>
      <c r="P1606" s="70">
        <f>Table1[[#This Row],[Gross Amount]]*(1-(Table1[[#This Row],[Discount %]]/100))</f>
        <v>1596655.5</v>
      </c>
      <c r="Q1606" s="74">
        <f>(Table1[[#This Row],[Gross Amount]]*(1-(Table1[[#This Row],[Discount %]]/100)))/10000000</f>
        <v>0.15966554999999999</v>
      </c>
      <c r="R1606" t="s">
        <v>42</v>
      </c>
      <c r="S1606" t="str" cm="1">
        <f t="array" ref="S1606">IFERROR(_xlfn.IFS(Table1[[#This Row],[Payment Status]]="Partial","In Transit",Table1[[#This Row],[Payment Status]]="Paid","Delivered",Table1[[#This Row],[Payment Status]]="Pending","Pending"),"Invalid Input")</f>
        <v>Pending</v>
      </c>
      <c r="T1606" t="s">
        <v>44</v>
      </c>
      <c r="U1606" t="str" cm="1">
        <f t="array" ref="U1606">IFERROR(_xlfn.IFS(Table1[[#This Row],[Payment Status]]="Partial","In Transit",Table1[[#This Row],[Payment Status]]="Paid","Completed",Table1[[#This Row],[Payment Status]]="Pending","Pending"),"Invalid Input")</f>
        <v>Pending</v>
      </c>
    </row>
    <row r="1607" spans="1:21" x14ac:dyDescent="0.25">
      <c r="A1607" s="4" t="s">
        <v>2719</v>
      </c>
      <c r="B1607" s="5">
        <v>45500</v>
      </c>
      <c r="C1607" t="s">
        <v>41</v>
      </c>
      <c r="D1607" t="s">
        <v>3270</v>
      </c>
      <c r="E1607" t="s">
        <v>66</v>
      </c>
      <c r="F1607" t="s">
        <v>3220</v>
      </c>
      <c r="G1607" t="s">
        <v>67</v>
      </c>
      <c r="H1607" t="str">
        <f>VLOOKUP(Table1[[#This Row],[City]],Table6[#All],2,FALSE)</f>
        <v>East</v>
      </c>
      <c r="I1607" t="s">
        <v>24</v>
      </c>
      <c r="J1607" t="str">
        <f>_xlfn.XLOOKUP(Table1[[#This Row],[Tractor Model]],Table7[Product Model],Table7[Product Category],"Not Available",0)</f>
        <v>Farmtrac</v>
      </c>
      <c r="K1607" s="4">
        <v>7</v>
      </c>
      <c r="L1607" s="72">
        <v>252287</v>
      </c>
      <c r="M1607" s="4">
        <f>INDEX('Master Sheet'!$C$4:$C$12,MATCH(Table1[[#This Row],[Quantity]],'Master Sheet'!$B$4:$B$12,0))</f>
        <v>9</v>
      </c>
      <c r="N1607" s="71">
        <f>Table1[[#This Row],[Quantity]]*Table1[[#This Row],[Unit Price]]</f>
        <v>1766009</v>
      </c>
      <c r="O1607" s="73">
        <v>0.17660090000000001</v>
      </c>
      <c r="P1607" s="70">
        <f>Table1[[#This Row],[Gross Amount]]*(1-(Table1[[#This Row],[Discount %]]/100))</f>
        <v>1607068.19</v>
      </c>
      <c r="Q1607" s="74">
        <f>(Table1[[#This Row],[Gross Amount]]*(1-(Table1[[#This Row],[Discount %]]/100)))/10000000</f>
        <v>0.160706819</v>
      </c>
      <c r="R1607" t="s">
        <v>54</v>
      </c>
      <c r="S1607" t="str" cm="1">
        <f t="array" ref="S1607">IFERROR(_xlfn.IFS(Table1[[#This Row],[Payment Status]]="Partial","In Transit",Table1[[#This Row],[Payment Status]]="Paid","Delivered",Table1[[#This Row],[Payment Status]]="Pending","Pending"),"Invalid Input")</f>
        <v>Delivered</v>
      </c>
      <c r="T1607" t="s">
        <v>27</v>
      </c>
      <c r="U1607" t="str" cm="1">
        <f t="array" ref="U1607">IFERROR(_xlfn.IFS(Table1[[#This Row],[Payment Status]]="Partial","In Transit",Table1[[#This Row],[Payment Status]]="Paid","Completed",Table1[[#This Row],[Payment Status]]="Pending","Pending"),"Invalid Input")</f>
        <v>Completed</v>
      </c>
    </row>
    <row r="1608" spans="1:21" x14ac:dyDescent="0.25">
      <c r="A1608" s="4" t="s">
        <v>2721</v>
      </c>
      <c r="B1608" s="5">
        <v>45509</v>
      </c>
      <c r="C1608" t="s">
        <v>73</v>
      </c>
      <c r="D1608" t="s">
        <v>3269</v>
      </c>
      <c r="E1608" t="s">
        <v>119</v>
      </c>
      <c r="F1608" t="s">
        <v>3229</v>
      </c>
      <c r="G1608" t="s">
        <v>21</v>
      </c>
      <c r="H1608" t="str">
        <f>VLOOKUP(Table1[[#This Row],[City]],Table6[#All],2,FALSE)</f>
        <v>North</v>
      </c>
      <c r="I1608" t="s">
        <v>24</v>
      </c>
      <c r="J1608" t="str">
        <f>_xlfn.XLOOKUP(Table1[[#This Row],[Tractor Model]],Table7[Product Model],Table7[Product Category],"Not Available",0)</f>
        <v>Farmtrac</v>
      </c>
      <c r="K1608" s="4">
        <v>8</v>
      </c>
      <c r="L1608" s="72">
        <v>494911</v>
      </c>
      <c r="M1608" s="4">
        <f>INDEX('Master Sheet'!$C$4:$C$12,MATCH(Table1[[#This Row],[Quantity]],'Master Sheet'!$B$4:$B$12,0))</f>
        <v>9</v>
      </c>
      <c r="N1608" s="71">
        <f>Table1[[#This Row],[Quantity]]*Table1[[#This Row],[Unit Price]]</f>
        <v>3959288</v>
      </c>
      <c r="O1608" s="73">
        <v>0.39592880000000003</v>
      </c>
      <c r="P1608" s="70">
        <f>Table1[[#This Row],[Gross Amount]]*(1-(Table1[[#This Row],[Discount %]]/100))</f>
        <v>3602952.08</v>
      </c>
      <c r="Q1608" s="74">
        <f>(Table1[[#This Row],[Gross Amount]]*(1-(Table1[[#This Row],[Discount %]]/100)))/10000000</f>
        <v>0.36029520800000003</v>
      </c>
      <c r="R1608" t="s">
        <v>25</v>
      </c>
      <c r="S1608" t="str" cm="1">
        <f t="array" ref="S1608">IFERROR(_xlfn.IFS(Table1[[#This Row],[Payment Status]]="Partial","In Transit",Table1[[#This Row],[Payment Status]]="Paid","Delivered",Table1[[#This Row],[Payment Status]]="Pending","Pending"),"Invalid Input")</f>
        <v>In Transit</v>
      </c>
      <c r="T1608" t="s">
        <v>27</v>
      </c>
      <c r="U1608" t="str" cm="1">
        <f t="array" ref="U1608">IFERROR(_xlfn.IFS(Table1[[#This Row],[Payment Status]]="Partial","In Transit",Table1[[#This Row],[Payment Status]]="Paid","Completed",Table1[[#This Row],[Payment Status]]="Pending","Pending"),"Invalid Input")</f>
        <v>In Transit</v>
      </c>
    </row>
    <row r="1609" spans="1:21" x14ac:dyDescent="0.25">
      <c r="A1609" s="4" t="s">
        <v>2723</v>
      </c>
      <c r="B1609" s="5">
        <v>45642</v>
      </c>
      <c r="C1609" t="s">
        <v>73</v>
      </c>
      <c r="D1609" t="s">
        <v>37</v>
      </c>
      <c r="E1609" t="s">
        <v>119</v>
      </c>
      <c r="F1609" t="s">
        <v>3224</v>
      </c>
      <c r="G1609" t="s">
        <v>21</v>
      </c>
      <c r="H1609" t="str">
        <f>VLOOKUP(Table1[[#This Row],[City]],Table6[#All],2,FALSE)</f>
        <v>North</v>
      </c>
      <c r="I1609" t="s">
        <v>58</v>
      </c>
      <c r="J1609" t="str">
        <f>_xlfn.XLOOKUP(Table1[[#This Row],[Tractor Model]],Table7[Product Model],Table7[Product Category],"Not Available",0)</f>
        <v>Powertrac</v>
      </c>
      <c r="K1609" s="4">
        <v>3</v>
      </c>
      <c r="L1609" s="72">
        <v>820075</v>
      </c>
      <c r="M1609" s="4">
        <f>INDEX('Master Sheet'!$C$4:$C$12,MATCH(Table1[[#This Row],[Quantity]],'Master Sheet'!$B$4:$B$12,0))</f>
        <v>6</v>
      </c>
      <c r="N1609" s="71">
        <f>Table1[[#This Row],[Quantity]]*Table1[[#This Row],[Unit Price]]</f>
        <v>2460225</v>
      </c>
      <c r="O1609" s="73">
        <v>0.24602250000000001</v>
      </c>
      <c r="P1609" s="70">
        <f>Table1[[#This Row],[Gross Amount]]*(1-(Table1[[#This Row],[Discount %]]/100))</f>
        <v>2312611.5</v>
      </c>
      <c r="Q1609" s="74">
        <f>(Table1[[#This Row],[Gross Amount]]*(1-(Table1[[#This Row],[Discount %]]/100)))/10000000</f>
        <v>0.23126115</v>
      </c>
      <c r="R1609" t="s">
        <v>54</v>
      </c>
      <c r="S1609" t="str" cm="1">
        <f t="array" ref="S1609">IFERROR(_xlfn.IFS(Table1[[#This Row],[Payment Status]]="Partial","In Transit",Table1[[#This Row],[Payment Status]]="Paid","Delivered",Table1[[#This Row],[Payment Status]]="Pending","Pending"),"Invalid Input")</f>
        <v>Delivered</v>
      </c>
      <c r="T1609" t="s">
        <v>44</v>
      </c>
      <c r="U1609" t="str" cm="1">
        <f t="array" ref="U1609">IFERROR(_xlfn.IFS(Table1[[#This Row],[Payment Status]]="Partial","In Transit",Table1[[#This Row],[Payment Status]]="Paid","Completed",Table1[[#This Row],[Payment Status]]="Pending","Pending"),"Invalid Input")</f>
        <v>Completed</v>
      </c>
    </row>
    <row r="1610" spans="1:21" x14ac:dyDescent="0.25">
      <c r="A1610" s="4" t="s">
        <v>2725</v>
      </c>
      <c r="B1610" s="5">
        <v>45793</v>
      </c>
      <c r="C1610" t="s">
        <v>52</v>
      </c>
      <c r="D1610" t="s">
        <v>3269</v>
      </c>
      <c r="E1610" t="s">
        <v>47</v>
      </c>
      <c r="F1610" t="s">
        <v>3209</v>
      </c>
      <c r="G1610" t="s">
        <v>48</v>
      </c>
      <c r="H1610" t="str">
        <f>VLOOKUP(Table1[[#This Row],[City]],Table6[#All],2,FALSE)</f>
        <v>North</v>
      </c>
      <c r="I1610" t="s">
        <v>58</v>
      </c>
      <c r="J1610" t="str">
        <f>_xlfn.XLOOKUP(Table1[[#This Row],[Tractor Model]],Table7[Product Model],Table7[Product Category],"Not Available",0)</f>
        <v>Powertrac</v>
      </c>
      <c r="K1610" s="4">
        <v>3</v>
      </c>
      <c r="L1610" s="72">
        <v>831680</v>
      </c>
      <c r="M1610" s="4">
        <f>INDEX('Master Sheet'!$C$4:$C$12,MATCH(Table1[[#This Row],[Quantity]],'Master Sheet'!$B$4:$B$12,0))</f>
        <v>6</v>
      </c>
      <c r="N1610" s="71">
        <f>Table1[[#This Row],[Quantity]]*Table1[[#This Row],[Unit Price]]</f>
        <v>2495040</v>
      </c>
      <c r="O1610" s="73">
        <v>0.249504</v>
      </c>
      <c r="P1610" s="70">
        <f>Table1[[#This Row],[Gross Amount]]*(1-(Table1[[#This Row],[Discount %]]/100))</f>
        <v>2345337.6</v>
      </c>
      <c r="Q1610" s="74">
        <f>(Table1[[#This Row],[Gross Amount]]*(1-(Table1[[#This Row],[Discount %]]/100)))/10000000</f>
        <v>0.23453376000000001</v>
      </c>
      <c r="R1610" t="s">
        <v>42</v>
      </c>
      <c r="S1610" t="str" cm="1">
        <f t="array" ref="S1610">IFERROR(_xlfn.IFS(Table1[[#This Row],[Payment Status]]="Partial","In Transit",Table1[[#This Row],[Payment Status]]="Paid","Delivered",Table1[[#This Row],[Payment Status]]="Pending","Pending"),"Invalid Input")</f>
        <v>Pending</v>
      </c>
      <c r="T1610" t="s">
        <v>27</v>
      </c>
      <c r="U1610" t="str" cm="1">
        <f t="array" ref="U1610">IFERROR(_xlfn.IFS(Table1[[#This Row],[Payment Status]]="Partial","In Transit",Table1[[#This Row],[Payment Status]]="Paid","Completed",Table1[[#This Row],[Payment Status]]="Pending","Pending"),"Invalid Input")</f>
        <v>Pending</v>
      </c>
    </row>
    <row r="1611" spans="1:21" x14ac:dyDescent="0.25">
      <c r="A1611" s="4" t="s">
        <v>2726</v>
      </c>
      <c r="B1611" s="5">
        <v>45596</v>
      </c>
      <c r="C1611" t="s">
        <v>52</v>
      </c>
      <c r="D1611" t="s">
        <v>3268</v>
      </c>
      <c r="E1611" t="s">
        <v>119</v>
      </c>
      <c r="F1611" t="s">
        <v>3227</v>
      </c>
      <c r="G1611" t="s">
        <v>21</v>
      </c>
      <c r="H1611" t="str">
        <f>VLOOKUP(Table1[[#This Row],[City]],Table6[#All],2,FALSE)</f>
        <v>North</v>
      </c>
      <c r="I1611" t="s">
        <v>24</v>
      </c>
      <c r="J1611" t="str">
        <f>_xlfn.XLOOKUP(Table1[[#This Row],[Tractor Model]],Table7[Product Model],Table7[Product Category],"Not Available",0)</f>
        <v>Farmtrac</v>
      </c>
      <c r="K1611" s="4">
        <v>7</v>
      </c>
      <c r="L1611" s="72">
        <v>83743</v>
      </c>
      <c r="M1611" s="4">
        <f>INDEX('Master Sheet'!$C$4:$C$12,MATCH(Table1[[#This Row],[Quantity]],'Master Sheet'!$B$4:$B$12,0))</f>
        <v>9</v>
      </c>
      <c r="N1611" s="71">
        <f>Table1[[#This Row],[Quantity]]*Table1[[#This Row],[Unit Price]]</f>
        <v>586201</v>
      </c>
      <c r="O1611" s="73">
        <v>5.8620100000000001E-2</v>
      </c>
      <c r="P1611" s="70">
        <f>Table1[[#This Row],[Gross Amount]]*(1-(Table1[[#This Row],[Discount %]]/100))</f>
        <v>533442.91</v>
      </c>
      <c r="Q1611" s="74">
        <f>(Table1[[#This Row],[Gross Amount]]*(1-(Table1[[#This Row],[Discount %]]/100)))/10000000</f>
        <v>5.3344291000000002E-2</v>
      </c>
      <c r="R1611" t="s">
        <v>25</v>
      </c>
      <c r="S1611" t="str" cm="1">
        <f t="array" ref="S1611">IFERROR(_xlfn.IFS(Table1[[#This Row],[Payment Status]]="Partial","In Transit",Table1[[#This Row],[Payment Status]]="Paid","Delivered",Table1[[#This Row],[Payment Status]]="Pending","Pending"),"Invalid Input")</f>
        <v>In Transit</v>
      </c>
      <c r="T1611" t="s">
        <v>27</v>
      </c>
      <c r="U1611" t="str" cm="1">
        <f t="array" ref="U1611">IFERROR(_xlfn.IFS(Table1[[#This Row],[Payment Status]]="Partial","In Transit",Table1[[#This Row],[Payment Status]]="Paid","Completed",Table1[[#This Row],[Payment Status]]="Pending","Pending"),"Invalid Input")</f>
        <v>In Transit</v>
      </c>
    </row>
    <row r="1612" spans="1:21" x14ac:dyDescent="0.25">
      <c r="A1612" s="4" t="s">
        <v>2727</v>
      </c>
      <c r="B1612" s="5">
        <v>45823</v>
      </c>
      <c r="C1612" t="s">
        <v>41</v>
      </c>
      <c r="D1612" t="s">
        <v>3268</v>
      </c>
      <c r="E1612" t="s">
        <v>38</v>
      </c>
      <c r="F1612" t="s">
        <v>3219</v>
      </c>
      <c r="G1612" t="s">
        <v>39</v>
      </c>
      <c r="H1612" t="str">
        <f>VLOOKUP(Table1[[#This Row],[City]],Table6[#All],2,FALSE)</f>
        <v>West</v>
      </c>
      <c r="I1612" t="s">
        <v>53</v>
      </c>
      <c r="J1612" t="str">
        <f>_xlfn.XLOOKUP(Table1[[#This Row],[Tractor Model]],Table7[Product Model],Table7[Product Category],"Not Available",0)</f>
        <v>Farmtrac</v>
      </c>
      <c r="K1612" s="4">
        <v>3</v>
      </c>
      <c r="L1612" s="72">
        <v>618950</v>
      </c>
      <c r="M1612" s="4">
        <f>INDEX('Master Sheet'!$C$4:$C$12,MATCH(Table1[[#This Row],[Quantity]],'Master Sheet'!$B$4:$B$12,0))</f>
        <v>6</v>
      </c>
      <c r="N1612" s="71">
        <f>Table1[[#This Row],[Quantity]]*Table1[[#This Row],[Unit Price]]</f>
        <v>1856850</v>
      </c>
      <c r="O1612" s="73">
        <v>0.18568499999999999</v>
      </c>
      <c r="P1612" s="70">
        <f>Table1[[#This Row],[Gross Amount]]*(1-(Table1[[#This Row],[Discount %]]/100))</f>
        <v>1745439</v>
      </c>
      <c r="Q1612" s="74">
        <f>(Table1[[#This Row],[Gross Amount]]*(1-(Table1[[#This Row],[Discount %]]/100)))/10000000</f>
        <v>0.1745439</v>
      </c>
      <c r="R1612" t="s">
        <v>54</v>
      </c>
      <c r="S1612" t="str" cm="1">
        <f t="array" ref="S1612">IFERROR(_xlfn.IFS(Table1[[#This Row],[Payment Status]]="Partial","In Transit",Table1[[#This Row],[Payment Status]]="Paid","Delivered",Table1[[#This Row],[Payment Status]]="Pending","Pending"),"Invalid Input")</f>
        <v>Delivered</v>
      </c>
      <c r="T1612" t="s">
        <v>27</v>
      </c>
      <c r="U1612" t="str" cm="1">
        <f t="array" ref="U1612">IFERROR(_xlfn.IFS(Table1[[#This Row],[Payment Status]]="Partial","In Transit",Table1[[#This Row],[Payment Status]]="Paid","Completed",Table1[[#This Row],[Payment Status]]="Pending","Pending"),"Invalid Input")</f>
        <v>Completed</v>
      </c>
    </row>
    <row r="1613" spans="1:21" x14ac:dyDescent="0.25">
      <c r="A1613" s="4" t="s">
        <v>2729</v>
      </c>
      <c r="B1613" s="5">
        <v>45965</v>
      </c>
      <c r="C1613" t="s">
        <v>33</v>
      </c>
      <c r="D1613" t="s">
        <v>3270</v>
      </c>
      <c r="E1613" t="s">
        <v>119</v>
      </c>
      <c r="F1613" t="s">
        <v>3212</v>
      </c>
      <c r="G1613" t="s">
        <v>21</v>
      </c>
      <c r="H1613" t="str">
        <f>VLOOKUP(Table1[[#This Row],[City]],Table6[#All],2,FALSE)</f>
        <v>North</v>
      </c>
      <c r="I1613" t="s">
        <v>3204</v>
      </c>
      <c r="J1613" t="str">
        <f>_xlfn.XLOOKUP(Table1[[#This Row],[Tractor Model]],Table7[Product Model],Table7[Product Category],"Not Available",0)</f>
        <v>Kubota</v>
      </c>
      <c r="K1613" s="4">
        <v>8</v>
      </c>
      <c r="L1613" s="72">
        <v>606549</v>
      </c>
      <c r="M1613" s="4">
        <f>INDEX('Master Sheet'!$C$4:$C$12,MATCH(Table1[[#This Row],[Quantity]],'Master Sheet'!$B$4:$B$12,0))</f>
        <v>9</v>
      </c>
      <c r="N1613" s="71">
        <f>Table1[[#This Row],[Quantity]]*Table1[[#This Row],[Unit Price]]</f>
        <v>4852392</v>
      </c>
      <c r="O1613" s="73">
        <v>0.48523919999999998</v>
      </c>
      <c r="P1613" s="70">
        <f>Table1[[#This Row],[Gross Amount]]*(1-(Table1[[#This Row],[Discount %]]/100))</f>
        <v>4415676.72</v>
      </c>
      <c r="Q1613" s="74">
        <f>(Table1[[#This Row],[Gross Amount]]*(1-(Table1[[#This Row],[Discount %]]/100)))/10000000</f>
        <v>0.44156767199999997</v>
      </c>
      <c r="R1613" t="s">
        <v>25</v>
      </c>
      <c r="S1613" t="str" cm="1">
        <f t="array" ref="S1613">IFERROR(_xlfn.IFS(Table1[[#This Row],[Payment Status]]="Partial","In Transit",Table1[[#This Row],[Payment Status]]="Paid","Delivered",Table1[[#This Row],[Payment Status]]="Pending","Pending"),"Invalid Input")</f>
        <v>In Transit</v>
      </c>
      <c r="T1613" t="s">
        <v>27</v>
      </c>
      <c r="U1613" t="str" cm="1">
        <f t="array" ref="U1613">IFERROR(_xlfn.IFS(Table1[[#This Row],[Payment Status]]="Partial","In Transit",Table1[[#This Row],[Payment Status]]="Paid","Completed",Table1[[#This Row],[Payment Status]]="Pending","Pending"),"Invalid Input")</f>
        <v>In Transit</v>
      </c>
    </row>
    <row r="1614" spans="1:21" x14ac:dyDescent="0.25">
      <c r="A1614" s="4" t="s">
        <v>2730</v>
      </c>
      <c r="B1614" s="5">
        <v>45560</v>
      </c>
      <c r="C1614" t="s">
        <v>52</v>
      </c>
      <c r="D1614" t="s">
        <v>3268</v>
      </c>
      <c r="E1614" t="s">
        <v>38</v>
      </c>
      <c r="F1614" t="s">
        <v>3219</v>
      </c>
      <c r="G1614" t="s">
        <v>39</v>
      </c>
      <c r="H1614" t="str">
        <f>VLOOKUP(Table1[[#This Row],[City]],Table6[#All],2,FALSE)</f>
        <v>West</v>
      </c>
      <c r="I1614" t="s">
        <v>3204</v>
      </c>
      <c r="J1614" t="str">
        <f>_xlfn.XLOOKUP(Table1[[#This Row],[Tractor Model]],Table7[Product Model],Table7[Product Category],"Not Available",0)</f>
        <v>Kubota</v>
      </c>
      <c r="K1614" s="4">
        <v>2</v>
      </c>
      <c r="L1614" s="72">
        <v>179545</v>
      </c>
      <c r="M1614" s="4">
        <f>INDEX('Master Sheet'!$C$4:$C$12,MATCH(Table1[[#This Row],[Quantity]],'Master Sheet'!$B$4:$B$12,0))</f>
        <v>5</v>
      </c>
      <c r="N1614" s="71">
        <f>Table1[[#This Row],[Quantity]]*Table1[[#This Row],[Unit Price]]</f>
        <v>359090</v>
      </c>
      <c r="O1614" s="73">
        <v>3.5909000000000003E-2</v>
      </c>
      <c r="P1614" s="70">
        <f>Table1[[#This Row],[Gross Amount]]*(1-(Table1[[#This Row],[Discount %]]/100))</f>
        <v>341135.5</v>
      </c>
      <c r="Q1614" s="74">
        <f>(Table1[[#This Row],[Gross Amount]]*(1-(Table1[[#This Row],[Discount %]]/100)))/10000000</f>
        <v>3.4113549999999999E-2</v>
      </c>
      <c r="R1614" t="s">
        <v>54</v>
      </c>
      <c r="S1614" t="str" cm="1">
        <f t="array" ref="S1614">IFERROR(_xlfn.IFS(Table1[[#This Row],[Payment Status]]="Partial","In Transit",Table1[[#This Row],[Payment Status]]="Paid","Delivered",Table1[[#This Row],[Payment Status]]="Pending","Pending"),"Invalid Input")</f>
        <v>Delivered</v>
      </c>
      <c r="T1614" t="s">
        <v>27</v>
      </c>
      <c r="U1614" t="str" cm="1">
        <f t="array" ref="U1614">IFERROR(_xlfn.IFS(Table1[[#This Row],[Payment Status]]="Partial","In Transit",Table1[[#This Row],[Payment Status]]="Paid","Completed",Table1[[#This Row],[Payment Status]]="Pending","Pending"),"Invalid Input")</f>
        <v>Completed</v>
      </c>
    </row>
    <row r="1615" spans="1:21" x14ac:dyDescent="0.25">
      <c r="A1615" s="4" t="s">
        <v>2731</v>
      </c>
      <c r="B1615" s="5">
        <v>45605</v>
      </c>
      <c r="C1615" t="s">
        <v>33</v>
      </c>
      <c r="D1615" t="s">
        <v>3269</v>
      </c>
      <c r="E1615" t="s">
        <v>38</v>
      </c>
      <c r="F1615" t="s">
        <v>3206</v>
      </c>
      <c r="G1615" t="s">
        <v>39</v>
      </c>
      <c r="H1615" t="str">
        <f>VLOOKUP(Table1[[#This Row],[City]],Table6[#All],2,FALSE)</f>
        <v>West</v>
      </c>
      <c r="I1615" t="s">
        <v>58</v>
      </c>
      <c r="J1615" t="str">
        <f>_xlfn.XLOOKUP(Table1[[#This Row],[Tractor Model]],Table7[Product Model],Table7[Product Category],"Not Available",0)</f>
        <v>Powertrac</v>
      </c>
      <c r="K1615" s="4">
        <v>1</v>
      </c>
      <c r="L1615" s="72">
        <v>132827</v>
      </c>
      <c r="M1615" s="4">
        <f>INDEX('Master Sheet'!$C$4:$C$12,MATCH(Table1[[#This Row],[Quantity]],'Master Sheet'!$B$4:$B$12,0))</f>
        <v>3</v>
      </c>
      <c r="N1615" s="71">
        <f>Table1[[#This Row],[Quantity]]*Table1[[#This Row],[Unit Price]]</f>
        <v>132827</v>
      </c>
      <c r="O1615" s="73">
        <v>1.32827E-2</v>
      </c>
      <c r="P1615" s="70">
        <f>Table1[[#This Row],[Gross Amount]]*(1-(Table1[[#This Row],[Discount %]]/100))</f>
        <v>128842.19</v>
      </c>
      <c r="Q1615" s="74">
        <f>(Table1[[#This Row],[Gross Amount]]*(1-(Table1[[#This Row],[Discount %]]/100)))/10000000</f>
        <v>1.2884219000000001E-2</v>
      </c>
      <c r="R1615" t="s">
        <v>25</v>
      </c>
      <c r="S1615" t="str" cm="1">
        <f t="array" ref="S1615">IFERROR(_xlfn.IFS(Table1[[#This Row],[Payment Status]]="Partial","In Transit",Table1[[#This Row],[Payment Status]]="Paid","Delivered",Table1[[#This Row],[Payment Status]]="Pending","Pending"),"Invalid Input")</f>
        <v>In Transit</v>
      </c>
      <c r="T1615" t="s">
        <v>27</v>
      </c>
      <c r="U1615" t="str" cm="1">
        <f t="array" ref="U1615">IFERROR(_xlfn.IFS(Table1[[#This Row],[Payment Status]]="Partial","In Transit",Table1[[#This Row],[Payment Status]]="Paid","Completed",Table1[[#This Row],[Payment Status]]="Pending","Pending"),"Invalid Input")</f>
        <v>In Transit</v>
      </c>
    </row>
    <row r="1616" spans="1:21" x14ac:dyDescent="0.25">
      <c r="A1616" s="4" t="s">
        <v>2732</v>
      </c>
      <c r="B1616" s="5">
        <v>45604</v>
      </c>
      <c r="C1616" t="s">
        <v>52</v>
      </c>
      <c r="D1616" t="s">
        <v>37</v>
      </c>
      <c r="E1616" t="s">
        <v>47</v>
      </c>
      <c r="F1616" t="s">
        <v>3215</v>
      </c>
      <c r="G1616" t="s">
        <v>48</v>
      </c>
      <c r="H1616" t="str">
        <f>VLOOKUP(Table1[[#This Row],[City]],Table6[#All],2,FALSE)</f>
        <v>North</v>
      </c>
      <c r="I1616" t="s">
        <v>58</v>
      </c>
      <c r="J1616" t="str">
        <f>_xlfn.XLOOKUP(Table1[[#This Row],[Tractor Model]],Table7[Product Model],Table7[Product Category],"Not Available",0)</f>
        <v>Powertrac</v>
      </c>
      <c r="K1616" s="4">
        <v>8</v>
      </c>
      <c r="L1616" s="72">
        <v>143089</v>
      </c>
      <c r="M1616" s="4">
        <f>INDEX('Master Sheet'!$C$4:$C$12,MATCH(Table1[[#This Row],[Quantity]],'Master Sheet'!$B$4:$B$12,0))</f>
        <v>9</v>
      </c>
      <c r="N1616" s="71">
        <f>Table1[[#This Row],[Quantity]]*Table1[[#This Row],[Unit Price]]</f>
        <v>1144712</v>
      </c>
      <c r="O1616" s="73">
        <v>0.1144712</v>
      </c>
      <c r="P1616" s="70">
        <f>Table1[[#This Row],[Gross Amount]]*(1-(Table1[[#This Row],[Discount %]]/100))</f>
        <v>1041687.92</v>
      </c>
      <c r="Q1616" s="74">
        <f>(Table1[[#This Row],[Gross Amount]]*(1-(Table1[[#This Row],[Discount %]]/100)))/10000000</f>
        <v>0.10416879200000001</v>
      </c>
      <c r="R1616" t="s">
        <v>54</v>
      </c>
      <c r="S1616" t="str" cm="1">
        <f t="array" ref="S1616">IFERROR(_xlfn.IFS(Table1[[#This Row],[Payment Status]]="Partial","In Transit",Table1[[#This Row],[Payment Status]]="Paid","Delivered",Table1[[#This Row],[Payment Status]]="Pending","Pending"),"Invalid Input")</f>
        <v>Delivered</v>
      </c>
      <c r="T1616" t="s">
        <v>44</v>
      </c>
      <c r="U1616" t="str" cm="1">
        <f t="array" ref="U1616">IFERROR(_xlfn.IFS(Table1[[#This Row],[Payment Status]]="Partial","In Transit",Table1[[#This Row],[Payment Status]]="Paid","Completed",Table1[[#This Row],[Payment Status]]="Pending","Pending"),"Invalid Input")</f>
        <v>Completed</v>
      </c>
    </row>
    <row r="1617" spans="1:21" x14ac:dyDescent="0.25">
      <c r="A1617" s="4" t="s">
        <v>2734</v>
      </c>
      <c r="B1617" s="5">
        <v>45784</v>
      </c>
      <c r="C1617" t="s">
        <v>41</v>
      </c>
      <c r="D1617" t="s">
        <v>37</v>
      </c>
      <c r="E1617" t="s">
        <v>30</v>
      </c>
      <c r="F1617" t="s">
        <v>3222</v>
      </c>
      <c r="G1617" t="s">
        <v>31</v>
      </c>
      <c r="H1617" t="str">
        <f>VLOOKUP(Table1[[#This Row],[City]],Table6[#All],2,FALSE)</f>
        <v>South</v>
      </c>
      <c r="I1617" t="s">
        <v>24</v>
      </c>
      <c r="J1617" t="str">
        <f>_xlfn.XLOOKUP(Table1[[#This Row],[Tractor Model]],Table7[Product Model],Table7[Product Category],"Not Available",0)</f>
        <v>Farmtrac</v>
      </c>
      <c r="K1617" s="4">
        <v>8</v>
      </c>
      <c r="L1617" s="72">
        <v>433882</v>
      </c>
      <c r="M1617" s="4">
        <f>INDEX('Master Sheet'!$C$4:$C$12,MATCH(Table1[[#This Row],[Quantity]],'Master Sheet'!$B$4:$B$12,0))</f>
        <v>9</v>
      </c>
      <c r="N1617" s="71">
        <f>Table1[[#This Row],[Quantity]]*Table1[[#This Row],[Unit Price]]</f>
        <v>3471056</v>
      </c>
      <c r="O1617" s="73">
        <v>0.34710560000000001</v>
      </c>
      <c r="P1617" s="70">
        <f>Table1[[#This Row],[Gross Amount]]*(1-(Table1[[#This Row],[Discount %]]/100))</f>
        <v>3158660.96</v>
      </c>
      <c r="Q1617" s="74">
        <f>(Table1[[#This Row],[Gross Amount]]*(1-(Table1[[#This Row],[Discount %]]/100)))/10000000</f>
        <v>0.31586609599999999</v>
      </c>
      <c r="R1617" t="s">
        <v>25</v>
      </c>
      <c r="S1617" t="str" cm="1">
        <f t="array" ref="S1617">IFERROR(_xlfn.IFS(Table1[[#This Row],[Payment Status]]="Partial","In Transit",Table1[[#This Row],[Payment Status]]="Paid","Delivered",Table1[[#This Row],[Payment Status]]="Pending","Pending"),"Invalid Input")</f>
        <v>In Transit</v>
      </c>
      <c r="T1617" t="s">
        <v>27</v>
      </c>
      <c r="U1617" t="str" cm="1">
        <f t="array" ref="U1617">IFERROR(_xlfn.IFS(Table1[[#This Row],[Payment Status]]="Partial","In Transit",Table1[[#This Row],[Payment Status]]="Paid","Completed",Table1[[#This Row],[Payment Status]]="Pending","Pending"),"Invalid Input")</f>
        <v>In Transit</v>
      </c>
    </row>
    <row r="1618" spans="1:21" x14ac:dyDescent="0.25">
      <c r="A1618" s="4" t="s">
        <v>2735</v>
      </c>
      <c r="B1618" s="5">
        <v>45444</v>
      </c>
      <c r="C1618" t="s">
        <v>41</v>
      </c>
      <c r="D1618" t="s">
        <v>3268</v>
      </c>
      <c r="E1618" t="s">
        <v>47</v>
      </c>
      <c r="F1618" t="s">
        <v>3216</v>
      </c>
      <c r="G1618" t="s">
        <v>48</v>
      </c>
      <c r="H1618" t="str">
        <f>VLOOKUP(Table1[[#This Row],[City]],Table6[#All],2,FALSE)</f>
        <v>North</v>
      </c>
      <c r="I1618" t="s">
        <v>58</v>
      </c>
      <c r="J1618" t="str">
        <f>_xlfn.XLOOKUP(Table1[[#This Row],[Tractor Model]],Table7[Product Model],Table7[Product Category],"Not Available",0)</f>
        <v>Powertrac</v>
      </c>
      <c r="K1618" s="4">
        <v>4</v>
      </c>
      <c r="L1618" s="72">
        <v>145732</v>
      </c>
      <c r="M1618" s="4">
        <f>INDEX('Master Sheet'!$C$4:$C$12,MATCH(Table1[[#This Row],[Quantity]],'Master Sheet'!$B$4:$B$12,0))</f>
        <v>6</v>
      </c>
      <c r="N1618" s="71">
        <f>Table1[[#This Row],[Quantity]]*Table1[[#This Row],[Unit Price]]</f>
        <v>582928</v>
      </c>
      <c r="O1618" s="73">
        <v>5.8292799999999999E-2</v>
      </c>
      <c r="P1618" s="70">
        <f>Table1[[#This Row],[Gross Amount]]*(1-(Table1[[#This Row],[Discount %]]/100))</f>
        <v>547952.31999999995</v>
      </c>
      <c r="Q1618" s="74">
        <f>(Table1[[#This Row],[Gross Amount]]*(1-(Table1[[#This Row],[Discount %]]/100)))/10000000</f>
        <v>5.4795231999999992E-2</v>
      </c>
      <c r="R1618" t="s">
        <v>25</v>
      </c>
      <c r="S1618" t="str" cm="1">
        <f t="array" ref="S1618">IFERROR(_xlfn.IFS(Table1[[#This Row],[Payment Status]]="Partial","In Transit",Table1[[#This Row],[Payment Status]]="Paid","Delivered",Table1[[#This Row],[Payment Status]]="Pending","Pending"),"Invalid Input")</f>
        <v>In Transit</v>
      </c>
      <c r="T1618" t="s">
        <v>27</v>
      </c>
      <c r="U1618" t="str" cm="1">
        <f t="array" ref="U1618">IFERROR(_xlfn.IFS(Table1[[#This Row],[Payment Status]]="Partial","In Transit",Table1[[#This Row],[Payment Status]]="Paid","Completed",Table1[[#This Row],[Payment Status]]="Pending","Pending"),"Invalid Input")</f>
        <v>In Transit</v>
      </c>
    </row>
    <row r="1619" spans="1:21" x14ac:dyDescent="0.25">
      <c r="A1619" s="4" t="s">
        <v>2737</v>
      </c>
      <c r="B1619" s="5">
        <v>45484</v>
      </c>
      <c r="C1619" t="s">
        <v>52</v>
      </c>
      <c r="D1619" t="s">
        <v>3271</v>
      </c>
      <c r="E1619" t="s">
        <v>66</v>
      </c>
      <c r="F1619" t="s">
        <v>3207</v>
      </c>
      <c r="G1619" t="s">
        <v>67</v>
      </c>
      <c r="H1619" t="str">
        <f>VLOOKUP(Table1[[#This Row],[City]],Table6[#All],2,FALSE)</f>
        <v>East</v>
      </c>
      <c r="I1619" t="s">
        <v>53</v>
      </c>
      <c r="J1619" t="str">
        <f>_xlfn.XLOOKUP(Table1[[#This Row],[Tractor Model]],Table7[Product Model],Table7[Product Category],"Not Available",0)</f>
        <v>Farmtrac</v>
      </c>
      <c r="K1619" s="4">
        <v>6</v>
      </c>
      <c r="L1619" s="72">
        <v>107287</v>
      </c>
      <c r="M1619" s="4">
        <f>INDEX('Master Sheet'!$C$4:$C$12,MATCH(Table1[[#This Row],[Quantity]],'Master Sheet'!$B$4:$B$12,0))</f>
        <v>8</v>
      </c>
      <c r="N1619" s="71">
        <f>Table1[[#This Row],[Quantity]]*Table1[[#This Row],[Unit Price]]</f>
        <v>643722</v>
      </c>
      <c r="O1619" s="73">
        <v>6.4372200000000004E-2</v>
      </c>
      <c r="P1619" s="70">
        <f>Table1[[#This Row],[Gross Amount]]*(1-(Table1[[#This Row],[Discount %]]/100))</f>
        <v>592224.24</v>
      </c>
      <c r="Q1619" s="74">
        <f>(Table1[[#This Row],[Gross Amount]]*(1-(Table1[[#This Row],[Discount %]]/100)))/10000000</f>
        <v>5.9222423999999996E-2</v>
      </c>
      <c r="R1619" t="s">
        <v>25</v>
      </c>
      <c r="S1619" t="str" cm="1">
        <f t="array" ref="S1619">IFERROR(_xlfn.IFS(Table1[[#This Row],[Payment Status]]="Partial","In Transit",Table1[[#This Row],[Payment Status]]="Paid","Delivered",Table1[[#This Row],[Payment Status]]="Pending","Pending"),"Invalid Input")</f>
        <v>In Transit</v>
      </c>
      <c r="T1619" t="s">
        <v>27</v>
      </c>
      <c r="U1619" t="str" cm="1">
        <f t="array" ref="U1619">IFERROR(_xlfn.IFS(Table1[[#This Row],[Payment Status]]="Partial","In Transit",Table1[[#This Row],[Payment Status]]="Paid","Completed",Table1[[#This Row],[Payment Status]]="Pending","Pending"),"Invalid Input")</f>
        <v>In Transit</v>
      </c>
    </row>
    <row r="1620" spans="1:21" x14ac:dyDescent="0.25">
      <c r="A1620" s="4" t="s">
        <v>2738</v>
      </c>
      <c r="B1620" s="5">
        <v>45318</v>
      </c>
      <c r="C1620" t="s">
        <v>62</v>
      </c>
      <c r="D1620" t="s">
        <v>3271</v>
      </c>
      <c r="E1620" t="s">
        <v>66</v>
      </c>
      <c r="F1620" t="s">
        <v>3207</v>
      </c>
      <c r="G1620" t="s">
        <v>67</v>
      </c>
      <c r="H1620" t="str">
        <f>VLOOKUP(Table1[[#This Row],[City]],Table6[#All],2,FALSE)</f>
        <v>East</v>
      </c>
      <c r="I1620" t="s">
        <v>58</v>
      </c>
      <c r="J1620" t="str">
        <f>_xlfn.XLOOKUP(Table1[[#This Row],[Tractor Model]],Table7[Product Model],Table7[Product Category],"Not Available",0)</f>
        <v>Powertrac</v>
      </c>
      <c r="K1620" s="4">
        <v>8</v>
      </c>
      <c r="L1620" s="72">
        <v>557833</v>
      </c>
      <c r="M1620" s="4">
        <f>INDEX('Master Sheet'!$C$4:$C$12,MATCH(Table1[[#This Row],[Quantity]],'Master Sheet'!$B$4:$B$12,0))</f>
        <v>9</v>
      </c>
      <c r="N1620" s="71">
        <f>Table1[[#This Row],[Quantity]]*Table1[[#This Row],[Unit Price]]</f>
        <v>4462664</v>
      </c>
      <c r="O1620" s="73">
        <v>0.44626640000000001</v>
      </c>
      <c r="P1620" s="70">
        <f>Table1[[#This Row],[Gross Amount]]*(1-(Table1[[#This Row],[Discount %]]/100))</f>
        <v>4061024.24</v>
      </c>
      <c r="Q1620" s="74">
        <f>(Table1[[#This Row],[Gross Amount]]*(1-(Table1[[#This Row],[Discount %]]/100)))/10000000</f>
        <v>0.40610242400000002</v>
      </c>
      <c r="R1620" t="s">
        <v>42</v>
      </c>
      <c r="S1620" t="str" cm="1">
        <f t="array" ref="S1620">IFERROR(_xlfn.IFS(Table1[[#This Row],[Payment Status]]="Partial","In Transit",Table1[[#This Row],[Payment Status]]="Paid","Delivered",Table1[[#This Row],[Payment Status]]="Pending","Pending"),"Invalid Input")</f>
        <v>Pending</v>
      </c>
      <c r="T1620" t="s">
        <v>27</v>
      </c>
      <c r="U1620" t="str" cm="1">
        <f t="array" ref="U1620">IFERROR(_xlfn.IFS(Table1[[#This Row],[Payment Status]]="Partial","In Transit",Table1[[#This Row],[Payment Status]]="Paid","Completed",Table1[[#This Row],[Payment Status]]="Pending","Pending"),"Invalid Input")</f>
        <v>Pending</v>
      </c>
    </row>
    <row r="1621" spans="1:21" x14ac:dyDescent="0.25">
      <c r="A1621" s="4" t="s">
        <v>2739</v>
      </c>
      <c r="B1621" s="5">
        <v>45554</v>
      </c>
      <c r="C1621" t="s">
        <v>52</v>
      </c>
      <c r="D1621" t="s">
        <v>3269</v>
      </c>
      <c r="E1621" t="s">
        <v>38</v>
      </c>
      <c r="F1621" t="s">
        <v>3206</v>
      </c>
      <c r="G1621" t="s">
        <v>39</v>
      </c>
      <c r="H1621" t="str">
        <f>VLOOKUP(Table1[[#This Row],[City]],Table6[#All],2,FALSE)</f>
        <v>West</v>
      </c>
      <c r="I1621" t="s">
        <v>58</v>
      </c>
      <c r="J1621" t="str">
        <f>_xlfn.XLOOKUP(Table1[[#This Row],[Tractor Model]],Table7[Product Model],Table7[Product Category],"Not Available",0)</f>
        <v>Powertrac</v>
      </c>
      <c r="K1621" s="4">
        <v>1</v>
      </c>
      <c r="L1621" s="72">
        <v>490485</v>
      </c>
      <c r="M1621" s="4">
        <f>INDEX('Master Sheet'!$C$4:$C$12,MATCH(Table1[[#This Row],[Quantity]],'Master Sheet'!$B$4:$B$12,0))</f>
        <v>3</v>
      </c>
      <c r="N1621" s="71">
        <f>Table1[[#This Row],[Quantity]]*Table1[[#This Row],[Unit Price]]</f>
        <v>490485</v>
      </c>
      <c r="O1621" s="73">
        <v>4.9048500000000002E-2</v>
      </c>
      <c r="P1621" s="70">
        <f>Table1[[#This Row],[Gross Amount]]*(1-(Table1[[#This Row],[Discount %]]/100))</f>
        <v>475770.45</v>
      </c>
      <c r="Q1621" s="74">
        <f>(Table1[[#This Row],[Gross Amount]]*(1-(Table1[[#This Row],[Discount %]]/100)))/10000000</f>
        <v>4.7577044999999998E-2</v>
      </c>
      <c r="R1621" t="s">
        <v>42</v>
      </c>
      <c r="S1621" t="str" cm="1">
        <f t="array" ref="S1621">IFERROR(_xlfn.IFS(Table1[[#This Row],[Payment Status]]="Partial","In Transit",Table1[[#This Row],[Payment Status]]="Paid","Delivered",Table1[[#This Row],[Payment Status]]="Pending","Pending"),"Invalid Input")</f>
        <v>Pending</v>
      </c>
      <c r="T1621" t="s">
        <v>44</v>
      </c>
      <c r="U1621" t="str" cm="1">
        <f t="array" ref="U1621">IFERROR(_xlfn.IFS(Table1[[#This Row],[Payment Status]]="Partial","In Transit",Table1[[#This Row],[Payment Status]]="Paid","Completed",Table1[[#This Row],[Payment Status]]="Pending","Pending"),"Invalid Input")</f>
        <v>Pending</v>
      </c>
    </row>
    <row r="1622" spans="1:21" x14ac:dyDescent="0.25">
      <c r="A1622" s="4" t="s">
        <v>2740</v>
      </c>
      <c r="B1622" s="5">
        <v>45546</v>
      </c>
      <c r="C1622" t="s">
        <v>41</v>
      </c>
      <c r="D1622" t="s">
        <v>3271</v>
      </c>
      <c r="E1622" t="s">
        <v>30</v>
      </c>
      <c r="F1622" t="s">
        <v>3217</v>
      </c>
      <c r="G1622" t="s">
        <v>31</v>
      </c>
      <c r="H1622" t="str">
        <f>VLOOKUP(Table1[[#This Row],[City]],Table6[#All],2,FALSE)</f>
        <v>South</v>
      </c>
      <c r="I1622" t="s">
        <v>3203</v>
      </c>
      <c r="J1622" t="str">
        <f>_xlfn.XLOOKUP(Table1[[#This Row],[Tractor Model]],Table7[Product Model],Table7[Product Category],"Not Available",0)</f>
        <v>Kubota</v>
      </c>
      <c r="K1622" s="4">
        <v>2</v>
      </c>
      <c r="L1622" s="72">
        <v>839876</v>
      </c>
      <c r="M1622" s="4">
        <f>INDEX('Master Sheet'!$C$4:$C$12,MATCH(Table1[[#This Row],[Quantity]],'Master Sheet'!$B$4:$B$12,0))</f>
        <v>5</v>
      </c>
      <c r="N1622" s="71">
        <f>Table1[[#This Row],[Quantity]]*Table1[[#This Row],[Unit Price]]</f>
        <v>1679752</v>
      </c>
      <c r="O1622" s="73">
        <v>0.16797519999999999</v>
      </c>
      <c r="P1622" s="70">
        <f>Table1[[#This Row],[Gross Amount]]*(1-(Table1[[#This Row],[Discount %]]/100))</f>
        <v>1595764.4</v>
      </c>
      <c r="Q1622" s="74">
        <f>(Table1[[#This Row],[Gross Amount]]*(1-(Table1[[#This Row],[Discount %]]/100)))/10000000</f>
        <v>0.15957643999999999</v>
      </c>
      <c r="R1622" t="s">
        <v>25</v>
      </c>
      <c r="S1622" t="str" cm="1">
        <f t="array" ref="S1622">IFERROR(_xlfn.IFS(Table1[[#This Row],[Payment Status]]="Partial","In Transit",Table1[[#This Row],[Payment Status]]="Paid","Delivered",Table1[[#This Row],[Payment Status]]="Pending","Pending"),"Invalid Input")</f>
        <v>In Transit</v>
      </c>
      <c r="T1622" t="s">
        <v>27</v>
      </c>
      <c r="U1622" t="str" cm="1">
        <f t="array" ref="U1622">IFERROR(_xlfn.IFS(Table1[[#This Row],[Payment Status]]="Partial","In Transit",Table1[[#This Row],[Payment Status]]="Paid","Completed",Table1[[#This Row],[Payment Status]]="Pending","Pending"),"Invalid Input")</f>
        <v>In Transit</v>
      </c>
    </row>
    <row r="1623" spans="1:21" x14ac:dyDescent="0.25">
      <c r="A1623" s="4" t="s">
        <v>2741</v>
      </c>
      <c r="B1623" s="5">
        <v>45317</v>
      </c>
      <c r="C1623" t="s">
        <v>41</v>
      </c>
      <c r="D1623" t="s">
        <v>3271</v>
      </c>
      <c r="E1623" t="s">
        <v>30</v>
      </c>
      <c r="F1623" t="s">
        <v>3217</v>
      </c>
      <c r="G1623" t="s">
        <v>31</v>
      </c>
      <c r="H1623" t="str">
        <f>VLOOKUP(Table1[[#This Row],[City]],Table6[#All],2,FALSE)</f>
        <v>South</v>
      </c>
      <c r="I1623" t="s">
        <v>3203</v>
      </c>
      <c r="J1623" t="str">
        <f>_xlfn.XLOOKUP(Table1[[#This Row],[Tractor Model]],Table7[Product Model],Table7[Product Category],"Not Available",0)</f>
        <v>Kubota</v>
      </c>
      <c r="K1623" s="4">
        <v>0</v>
      </c>
      <c r="L1623" s="72">
        <v>612666</v>
      </c>
      <c r="M1623" s="4">
        <f>INDEX('Master Sheet'!$C$4:$C$12,MATCH(Table1[[#This Row],[Quantity]],'Master Sheet'!$B$4:$B$12,0))</f>
        <v>0</v>
      </c>
      <c r="N1623" s="71">
        <f>Table1[[#This Row],[Quantity]]*Table1[[#This Row],[Unit Price]]</f>
        <v>0</v>
      </c>
      <c r="O1623" s="73">
        <v>0</v>
      </c>
      <c r="P1623" s="70">
        <f>Table1[[#This Row],[Gross Amount]]*(1-(Table1[[#This Row],[Discount %]]/100))</f>
        <v>0</v>
      </c>
      <c r="Q1623" s="74">
        <f>(Table1[[#This Row],[Gross Amount]]*(1-(Table1[[#This Row],[Discount %]]/100)))/10000000</f>
        <v>0</v>
      </c>
      <c r="R1623" t="s">
        <v>54</v>
      </c>
      <c r="S1623" t="str" cm="1">
        <f t="array" ref="S1623">IFERROR(_xlfn.IFS(Table1[[#This Row],[Payment Status]]="Partial","In Transit",Table1[[#This Row],[Payment Status]]="Paid","Delivered",Table1[[#This Row],[Payment Status]]="Pending","Pending"),"Invalid Input")</f>
        <v>Delivered</v>
      </c>
      <c r="T1623" t="s">
        <v>44</v>
      </c>
      <c r="U1623" t="str" cm="1">
        <f t="array" ref="U1623">IFERROR(_xlfn.IFS(Table1[[#This Row],[Payment Status]]="Partial","In Transit",Table1[[#This Row],[Payment Status]]="Paid","Completed",Table1[[#This Row],[Payment Status]]="Pending","Pending"),"Invalid Input")</f>
        <v>Completed</v>
      </c>
    </row>
    <row r="1624" spans="1:21" x14ac:dyDescent="0.25">
      <c r="A1624" s="4" t="s">
        <v>2742</v>
      </c>
      <c r="B1624" s="5">
        <v>45364</v>
      </c>
      <c r="C1624" t="s">
        <v>41</v>
      </c>
      <c r="D1624" t="s">
        <v>3270</v>
      </c>
      <c r="E1624" t="s">
        <v>47</v>
      </c>
      <c r="F1624" t="s">
        <v>3205</v>
      </c>
      <c r="G1624" t="s">
        <v>48</v>
      </c>
      <c r="H1624" t="str">
        <f>VLOOKUP(Table1[[#This Row],[City]],Table6[#All],2,FALSE)</f>
        <v>North</v>
      </c>
      <c r="I1624" t="s">
        <v>58</v>
      </c>
      <c r="J1624" t="str">
        <f>_xlfn.XLOOKUP(Table1[[#This Row],[Tractor Model]],Table7[Product Model],Table7[Product Category],"Not Available",0)</f>
        <v>Powertrac</v>
      </c>
      <c r="K1624" s="4">
        <v>7</v>
      </c>
      <c r="L1624" s="72">
        <v>232782</v>
      </c>
      <c r="M1624" s="4">
        <f>INDEX('Master Sheet'!$C$4:$C$12,MATCH(Table1[[#This Row],[Quantity]],'Master Sheet'!$B$4:$B$12,0))</f>
        <v>9</v>
      </c>
      <c r="N1624" s="71">
        <f>Table1[[#This Row],[Quantity]]*Table1[[#This Row],[Unit Price]]</f>
        <v>1629474</v>
      </c>
      <c r="O1624" s="73">
        <v>0.16294739999999999</v>
      </c>
      <c r="P1624" s="70">
        <f>Table1[[#This Row],[Gross Amount]]*(1-(Table1[[#This Row],[Discount %]]/100))</f>
        <v>1482821.34</v>
      </c>
      <c r="Q1624" s="74">
        <f>(Table1[[#This Row],[Gross Amount]]*(1-(Table1[[#This Row],[Discount %]]/100)))/10000000</f>
        <v>0.14828213400000001</v>
      </c>
      <c r="R1624" t="s">
        <v>42</v>
      </c>
      <c r="S1624" t="str" cm="1">
        <f t="array" ref="S1624">IFERROR(_xlfn.IFS(Table1[[#This Row],[Payment Status]]="Partial","In Transit",Table1[[#This Row],[Payment Status]]="Paid","Delivered",Table1[[#This Row],[Payment Status]]="Pending","Pending"),"Invalid Input")</f>
        <v>Pending</v>
      </c>
      <c r="T1624" t="s">
        <v>27</v>
      </c>
      <c r="U1624" t="str" cm="1">
        <f t="array" ref="U1624">IFERROR(_xlfn.IFS(Table1[[#This Row],[Payment Status]]="Partial","In Transit",Table1[[#This Row],[Payment Status]]="Paid","Completed",Table1[[#This Row],[Payment Status]]="Pending","Pending"),"Invalid Input")</f>
        <v>Pending</v>
      </c>
    </row>
    <row r="1625" spans="1:21" x14ac:dyDescent="0.25">
      <c r="A1625" s="4" t="s">
        <v>2743</v>
      </c>
      <c r="B1625" s="5">
        <v>45683</v>
      </c>
      <c r="C1625" t="s">
        <v>52</v>
      </c>
      <c r="D1625" t="s">
        <v>37</v>
      </c>
      <c r="E1625" t="s">
        <v>119</v>
      </c>
      <c r="F1625" t="s">
        <v>3224</v>
      </c>
      <c r="G1625" t="s">
        <v>21</v>
      </c>
      <c r="H1625" t="str">
        <f>VLOOKUP(Table1[[#This Row],[City]],Table6[#All],2,FALSE)</f>
        <v>North</v>
      </c>
      <c r="I1625" t="s">
        <v>58</v>
      </c>
      <c r="J1625" t="str">
        <f>_xlfn.XLOOKUP(Table1[[#This Row],[Tractor Model]],Table7[Product Model],Table7[Product Category],"Not Available",0)</f>
        <v>Powertrac</v>
      </c>
      <c r="K1625" s="4">
        <v>2</v>
      </c>
      <c r="L1625" s="72">
        <v>251926</v>
      </c>
      <c r="M1625" s="4">
        <f>INDEX('Master Sheet'!$C$4:$C$12,MATCH(Table1[[#This Row],[Quantity]],'Master Sheet'!$B$4:$B$12,0))</f>
        <v>5</v>
      </c>
      <c r="N1625" s="71">
        <f>Table1[[#This Row],[Quantity]]*Table1[[#This Row],[Unit Price]]</f>
        <v>503852</v>
      </c>
      <c r="O1625" s="73">
        <v>5.0385199999999998E-2</v>
      </c>
      <c r="P1625" s="70">
        <f>Table1[[#This Row],[Gross Amount]]*(1-(Table1[[#This Row],[Discount %]]/100))</f>
        <v>478659.39999999997</v>
      </c>
      <c r="Q1625" s="74">
        <f>(Table1[[#This Row],[Gross Amount]]*(1-(Table1[[#This Row],[Discount %]]/100)))/10000000</f>
        <v>4.7865939999999996E-2</v>
      </c>
      <c r="R1625" t="s">
        <v>42</v>
      </c>
      <c r="S1625" t="str" cm="1">
        <f t="array" ref="S1625">IFERROR(_xlfn.IFS(Table1[[#This Row],[Payment Status]]="Partial","In Transit",Table1[[#This Row],[Payment Status]]="Paid","Delivered",Table1[[#This Row],[Payment Status]]="Pending","Pending"),"Invalid Input")</f>
        <v>Pending</v>
      </c>
      <c r="T1625" t="s">
        <v>27</v>
      </c>
      <c r="U1625" t="str" cm="1">
        <f t="array" ref="U1625">IFERROR(_xlfn.IFS(Table1[[#This Row],[Payment Status]]="Partial","In Transit",Table1[[#This Row],[Payment Status]]="Paid","Completed",Table1[[#This Row],[Payment Status]]="Pending","Pending"),"Invalid Input")</f>
        <v>Pending</v>
      </c>
    </row>
    <row r="1626" spans="1:21" x14ac:dyDescent="0.25">
      <c r="A1626" s="4" t="s">
        <v>2745</v>
      </c>
      <c r="B1626" s="5">
        <v>45487</v>
      </c>
      <c r="C1626" t="s">
        <v>41</v>
      </c>
      <c r="D1626" t="s">
        <v>3268</v>
      </c>
      <c r="E1626" t="s">
        <v>38</v>
      </c>
      <c r="F1626" t="s">
        <v>3219</v>
      </c>
      <c r="G1626" t="s">
        <v>39</v>
      </c>
      <c r="H1626" t="str">
        <f>VLOOKUP(Table1[[#This Row],[City]],Table6[#All],2,FALSE)</f>
        <v>West</v>
      </c>
      <c r="I1626" t="s">
        <v>58</v>
      </c>
      <c r="J1626" t="str">
        <f>_xlfn.XLOOKUP(Table1[[#This Row],[Tractor Model]],Table7[Product Model],Table7[Product Category],"Not Available",0)</f>
        <v>Powertrac</v>
      </c>
      <c r="K1626" s="4">
        <v>8</v>
      </c>
      <c r="L1626" s="72">
        <v>736278</v>
      </c>
      <c r="M1626" s="4">
        <f>INDEX('Master Sheet'!$C$4:$C$12,MATCH(Table1[[#This Row],[Quantity]],'Master Sheet'!$B$4:$B$12,0))</f>
        <v>9</v>
      </c>
      <c r="N1626" s="71">
        <f>Table1[[#This Row],[Quantity]]*Table1[[#This Row],[Unit Price]]</f>
        <v>5890224</v>
      </c>
      <c r="O1626" s="73">
        <v>0.58902239999999995</v>
      </c>
      <c r="P1626" s="70">
        <f>Table1[[#This Row],[Gross Amount]]*(1-(Table1[[#This Row],[Discount %]]/100))</f>
        <v>5360103.84</v>
      </c>
      <c r="Q1626" s="74">
        <f>(Table1[[#This Row],[Gross Amount]]*(1-(Table1[[#This Row],[Discount %]]/100)))/10000000</f>
        <v>0.53601038400000001</v>
      </c>
      <c r="R1626" t="s">
        <v>54</v>
      </c>
      <c r="S1626" t="str" cm="1">
        <f t="array" ref="S1626">IFERROR(_xlfn.IFS(Table1[[#This Row],[Payment Status]]="Partial","In Transit",Table1[[#This Row],[Payment Status]]="Paid","Delivered",Table1[[#This Row],[Payment Status]]="Pending","Pending"),"Invalid Input")</f>
        <v>Delivered</v>
      </c>
      <c r="T1626" t="s">
        <v>27</v>
      </c>
      <c r="U1626" t="str" cm="1">
        <f t="array" ref="U1626">IFERROR(_xlfn.IFS(Table1[[#This Row],[Payment Status]]="Partial","In Transit",Table1[[#This Row],[Payment Status]]="Paid","Completed",Table1[[#This Row],[Payment Status]]="Pending","Pending"),"Invalid Input")</f>
        <v>Completed</v>
      </c>
    </row>
    <row r="1627" spans="1:21" x14ac:dyDescent="0.25">
      <c r="A1627" s="4" t="s">
        <v>2746</v>
      </c>
      <c r="B1627" s="5">
        <v>45589</v>
      </c>
      <c r="C1627" t="s">
        <v>73</v>
      </c>
      <c r="D1627" t="s">
        <v>37</v>
      </c>
      <c r="E1627" t="s">
        <v>119</v>
      </c>
      <c r="F1627" t="s">
        <v>3224</v>
      </c>
      <c r="G1627" t="s">
        <v>21</v>
      </c>
      <c r="H1627" t="str">
        <f>VLOOKUP(Table1[[#This Row],[City]],Table6[#All],2,FALSE)</f>
        <v>North</v>
      </c>
      <c r="I1627" t="s">
        <v>53</v>
      </c>
      <c r="J1627" t="str">
        <f>_xlfn.XLOOKUP(Table1[[#This Row],[Tractor Model]],Table7[Product Model],Table7[Product Category],"Not Available",0)</f>
        <v>Farmtrac</v>
      </c>
      <c r="K1627" s="4">
        <v>2</v>
      </c>
      <c r="L1627" s="72">
        <v>337127</v>
      </c>
      <c r="M1627" s="4">
        <f>INDEX('Master Sheet'!$C$4:$C$12,MATCH(Table1[[#This Row],[Quantity]],'Master Sheet'!$B$4:$B$12,0))</f>
        <v>5</v>
      </c>
      <c r="N1627" s="71">
        <f>Table1[[#This Row],[Quantity]]*Table1[[#This Row],[Unit Price]]</f>
        <v>674254</v>
      </c>
      <c r="O1627" s="73">
        <v>6.7425399999999996E-2</v>
      </c>
      <c r="P1627" s="70">
        <f>Table1[[#This Row],[Gross Amount]]*(1-(Table1[[#This Row],[Discount %]]/100))</f>
        <v>640541.29999999993</v>
      </c>
      <c r="Q1627" s="74">
        <f>(Table1[[#This Row],[Gross Amount]]*(1-(Table1[[#This Row],[Discount %]]/100)))/10000000</f>
        <v>6.4054129999999987E-2</v>
      </c>
      <c r="R1627" t="s">
        <v>54</v>
      </c>
      <c r="S1627" t="str" cm="1">
        <f t="array" ref="S1627">IFERROR(_xlfn.IFS(Table1[[#This Row],[Payment Status]]="Partial","In Transit",Table1[[#This Row],[Payment Status]]="Paid","Delivered",Table1[[#This Row],[Payment Status]]="Pending","Pending"),"Invalid Input")</f>
        <v>Delivered</v>
      </c>
      <c r="T1627" t="s">
        <v>44</v>
      </c>
      <c r="U1627" t="str" cm="1">
        <f t="array" ref="U1627">IFERROR(_xlfn.IFS(Table1[[#This Row],[Payment Status]]="Partial","In Transit",Table1[[#This Row],[Payment Status]]="Paid","Completed",Table1[[#This Row],[Payment Status]]="Pending","Pending"),"Invalid Input")</f>
        <v>Completed</v>
      </c>
    </row>
    <row r="1628" spans="1:21" x14ac:dyDescent="0.25">
      <c r="A1628" s="4" t="s">
        <v>2747</v>
      </c>
      <c r="B1628" s="5">
        <v>45454</v>
      </c>
      <c r="C1628" t="s">
        <v>73</v>
      </c>
      <c r="D1628" t="s">
        <v>3269</v>
      </c>
      <c r="E1628" t="s">
        <v>47</v>
      </c>
      <c r="F1628" t="s">
        <v>3209</v>
      </c>
      <c r="G1628" t="s">
        <v>48</v>
      </c>
      <c r="H1628" t="str">
        <f>VLOOKUP(Table1[[#This Row],[City]],Table6[#All],2,FALSE)</f>
        <v>North</v>
      </c>
      <c r="I1628" t="s">
        <v>24</v>
      </c>
      <c r="J1628" t="str">
        <f>_xlfn.XLOOKUP(Table1[[#This Row],[Tractor Model]],Table7[Product Model],Table7[Product Category],"Not Available",0)</f>
        <v>Farmtrac</v>
      </c>
      <c r="K1628" s="4">
        <v>1</v>
      </c>
      <c r="L1628" s="72">
        <v>176220</v>
      </c>
      <c r="M1628" s="4">
        <f>INDEX('Master Sheet'!$C$4:$C$12,MATCH(Table1[[#This Row],[Quantity]],'Master Sheet'!$B$4:$B$12,0))</f>
        <v>3</v>
      </c>
      <c r="N1628" s="71">
        <f>Table1[[#This Row],[Quantity]]*Table1[[#This Row],[Unit Price]]</f>
        <v>176220</v>
      </c>
      <c r="O1628" s="73">
        <v>1.7621999999999999E-2</v>
      </c>
      <c r="P1628" s="70">
        <f>Table1[[#This Row],[Gross Amount]]*(1-(Table1[[#This Row],[Discount %]]/100))</f>
        <v>170933.4</v>
      </c>
      <c r="Q1628" s="74">
        <f>(Table1[[#This Row],[Gross Amount]]*(1-(Table1[[#This Row],[Discount %]]/100)))/10000000</f>
        <v>1.7093339999999999E-2</v>
      </c>
      <c r="R1628" t="s">
        <v>25</v>
      </c>
      <c r="S1628" t="str" cm="1">
        <f t="array" ref="S1628">IFERROR(_xlfn.IFS(Table1[[#This Row],[Payment Status]]="Partial","In Transit",Table1[[#This Row],[Payment Status]]="Paid","Delivered",Table1[[#This Row],[Payment Status]]="Pending","Pending"),"Invalid Input")</f>
        <v>In Transit</v>
      </c>
      <c r="T1628" t="s">
        <v>44</v>
      </c>
      <c r="U1628" t="str" cm="1">
        <f t="array" ref="U1628">IFERROR(_xlfn.IFS(Table1[[#This Row],[Payment Status]]="Partial","In Transit",Table1[[#This Row],[Payment Status]]="Paid","Completed",Table1[[#This Row],[Payment Status]]="Pending","Pending"),"Invalid Input")</f>
        <v>In Transit</v>
      </c>
    </row>
    <row r="1629" spans="1:21" x14ac:dyDescent="0.25">
      <c r="A1629" s="4" t="s">
        <v>2748</v>
      </c>
      <c r="B1629" s="5">
        <v>45638</v>
      </c>
      <c r="C1629" t="s">
        <v>62</v>
      </c>
      <c r="D1629" t="s">
        <v>3270</v>
      </c>
      <c r="E1629" t="s">
        <v>119</v>
      </c>
      <c r="F1629" t="s">
        <v>3212</v>
      </c>
      <c r="G1629" t="s">
        <v>21</v>
      </c>
      <c r="H1629" t="str">
        <f>VLOOKUP(Table1[[#This Row],[City]],Table6[#All],2,FALSE)</f>
        <v>North</v>
      </c>
      <c r="I1629" t="s">
        <v>3204</v>
      </c>
      <c r="J1629" t="str">
        <f>_xlfn.XLOOKUP(Table1[[#This Row],[Tractor Model]],Table7[Product Model],Table7[Product Category],"Not Available",0)</f>
        <v>Kubota</v>
      </c>
      <c r="K1629" s="4">
        <v>1</v>
      </c>
      <c r="L1629" s="72">
        <v>363968</v>
      </c>
      <c r="M1629" s="4">
        <f>INDEX('Master Sheet'!$C$4:$C$12,MATCH(Table1[[#This Row],[Quantity]],'Master Sheet'!$B$4:$B$12,0))</f>
        <v>3</v>
      </c>
      <c r="N1629" s="71">
        <f>Table1[[#This Row],[Quantity]]*Table1[[#This Row],[Unit Price]]</f>
        <v>363968</v>
      </c>
      <c r="O1629" s="73">
        <v>3.63968E-2</v>
      </c>
      <c r="P1629" s="70">
        <f>Table1[[#This Row],[Gross Amount]]*(1-(Table1[[#This Row],[Discount %]]/100))</f>
        <v>353048.95999999996</v>
      </c>
      <c r="Q1629" s="74">
        <f>(Table1[[#This Row],[Gross Amount]]*(1-(Table1[[#This Row],[Discount %]]/100)))/10000000</f>
        <v>3.5304895999999995E-2</v>
      </c>
      <c r="R1629" t="s">
        <v>42</v>
      </c>
      <c r="S1629" t="str" cm="1">
        <f t="array" ref="S1629">IFERROR(_xlfn.IFS(Table1[[#This Row],[Payment Status]]="Partial","In Transit",Table1[[#This Row],[Payment Status]]="Paid","Delivered",Table1[[#This Row],[Payment Status]]="Pending","Pending"),"Invalid Input")</f>
        <v>Pending</v>
      </c>
      <c r="T1629" t="s">
        <v>27</v>
      </c>
      <c r="U1629" t="str" cm="1">
        <f t="array" ref="U1629">IFERROR(_xlfn.IFS(Table1[[#This Row],[Payment Status]]="Partial","In Transit",Table1[[#This Row],[Payment Status]]="Paid","Completed",Table1[[#This Row],[Payment Status]]="Pending","Pending"),"Invalid Input")</f>
        <v>Pending</v>
      </c>
    </row>
    <row r="1630" spans="1:21" x14ac:dyDescent="0.25">
      <c r="A1630" s="4" t="s">
        <v>2749</v>
      </c>
      <c r="B1630" s="5">
        <v>45520</v>
      </c>
      <c r="C1630" t="s">
        <v>62</v>
      </c>
      <c r="D1630" t="s">
        <v>3268</v>
      </c>
      <c r="E1630" t="s">
        <v>38</v>
      </c>
      <c r="F1630" t="s">
        <v>3219</v>
      </c>
      <c r="G1630" t="s">
        <v>39</v>
      </c>
      <c r="H1630" t="str">
        <f>VLOOKUP(Table1[[#This Row],[City]],Table6[#All],2,FALSE)</f>
        <v>West</v>
      </c>
      <c r="I1630" t="s">
        <v>58</v>
      </c>
      <c r="J1630" t="str">
        <f>_xlfn.XLOOKUP(Table1[[#This Row],[Tractor Model]],Table7[Product Model],Table7[Product Category],"Not Available",0)</f>
        <v>Powertrac</v>
      </c>
      <c r="K1630" s="4">
        <v>7</v>
      </c>
      <c r="L1630" s="72">
        <v>407362</v>
      </c>
      <c r="M1630" s="4">
        <f>INDEX('Master Sheet'!$C$4:$C$12,MATCH(Table1[[#This Row],[Quantity]],'Master Sheet'!$B$4:$B$12,0))</f>
        <v>9</v>
      </c>
      <c r="N1630" s="71">
        <f>Table1[[#This Row],[Quantity]]*Table1[[#This Row],[Unit Price]]</f>
        <v>2851534</v>
      </c>
      <c r="O1630" s="73">
        <v>0.2851534</v>
      </c>
      <c r="P1630" s="70">
        <f>Table1[[#This Row],[Gross Amount]]*(1-(Table1[[#This Row],[Discount %]]/100))</f>
        <v>2594895.94</v>
      </c>
      <c r="Q1630" s="74">
        <f>(Table1[[#This Row],[Gross Amount]]*(1-(Table1[[#This Row],[Discount %]]/100)))/10000000</f>
        <v>0.25948959399999999</v>
      </c>
      <c r="R1630" t="s">
        <v>42</v>
      </c>
      <c r="S1630" t="str" cm="1">
        <f t="array" ref="S1630">IFERROR(_xlfn.IFS(Table1[[#This Row],[Payment Status]]="Partial","In Transit",Table1[[#This Row],[Payment Status]]="Paid","Delivered",Table1[[#This Row],[Payment Status]]="Pending","Pending"),"Invalid Input")</f>
        <v>Pending</v>
      </c>
      <c r="T1630" t="s">
        <v>27</v>
      </c>
      <c r="U1630" t="str" cm="1">
        <f t="array" ref="U1630">IFERROR(_xlfn.IFS(Table1[[#This Row],[Payment Status]]="Partial","In Transit",Table1[[#This Row],[Payment Status]]="Paid","Completed",Table1[[#This Row],[Payment Status]]="Pending","Pending"),"Invalid Input")</f>
        <v>Pending</v>
      </c>
    </row>
    <row r="1631" spans="1:21" x14ac:dyDescent="0.25">
      <c r="A1631" s="4" t="s">
        <v>2751</v>
      </c>
      <c r="B1631" s="5">
        <v>45816</v>
      </c>
      <c r="C1631" t="s">
        <v>73</v>
      </c>
      <c r="D1631" t="s">
        <v>3268</v>
      </c>
      <c r="E1631" t="s">
        <v>30</v>
      </c>
      <c r="F1631" t="s">
        <v>3208</v>
      </c>
      <c r="G1631" t="s">
        <v>31</v>
      </c>
      <c r="H1631" t="str">
        <f>VLOOKUP(Table1[[#This Row],[City]],Table6[#All],2,FALSE)</f>
        <v>South</v>
      </c>
      <c r="I1631" t="s">
        <v>3203</v>
      </c>
      <c r="J1631" t="str">
        <f>_xlfn.XLOOKUP(Table1[[#This Row],[Tractor Model]],Table7[Product Model],Table7[Product Category],"Not Available",0)</f>
        <v>Kubota</v>
      </c>
      <c r="K1631" s="4">
        <v>8</v>
      </c>
      <c r="L1631" s="72">
        <v>627114</v>
      </c>
      <c r="M1631" s="4">
        <f>INDEX('Master Sheet'!$C$4:$C$12,MATCH(Table1[[#This Row],[Quantity]],'Master Sheet'!$B$4:$B$12,0))</f>
        <v>9</v>
      </c>
      <c r="N1631" s="71">
        <f>Table1[[#This Row],[Quantity]]*Table1[[#This Row],[Unit Price]]</f>
        <v>5016912</v>
      </c>
      <c r="O1631" s="73">
        <v>0.5016912</v>
      </c>
      <c r="P1631" s="70">
        <f>Table1[[#This Row],[Gross Amount]]*(1-(Table1[[#This Row],[Discount %]]/100))</f>
        <v>4565389.92</v>
      </c>
      <c r="Q1631" s="74">
        <f>(Table1[[#This Row],[Gross Amount]]*(1-(Table1[[#This Row],[Discount %]]/100)))/10000000</f>
        <v>0.45653899199999998</v>
      </c>
      <c r="R1631" t="s">
        <v>54</v>
      </c>
      <c r="S1631" t="str" cm="1">
        <f t="array" ref="S1631">IFERROR(_xlfn.IFS(Table1[[#This Row],[Payment Status]]="Partial","In Transit",Table1[[#This Row],[Payment Status]]="Paid","Delivered",Table1[[#This Row],[Payment Status]]="Pending","Pending"),"Invalid Input")</f>
        <v>Delivered</v>
      </c>
      <c r="T1631" t="s">
        <v>27</v>
      </c>
      <c r="U1631" t="str" cm="1">
        <f t="array" ref="U1631">IFERROR(_xlfn.IFS(Table1[[#This Row],[Payment Status]]="Partial","In Transit",Table1[[#This Row],[Payment Status]]="Paid","Completed",Table1[[#This Row],[Payment Status]]="Pending","Pending"),"Invalid Input")</f>
        <v>Completed</v>
      </c>
    </row>
    <row r="1632" spans="1:21" x14ac:dyDescent="0.25">
      <c r="A1632" s="4" t="s">
        <v>2753</v>
      </c>
      <c r="B1632" s="5">
        <v>45384</v>
      </c>
      <c r="C1632" t="s">
        <v>62</v>
      </c>
      <c r="D1632" t="s">
        <v>3271</v>
      </c>
      <c r="E1632" t="s">
        <v>66</v>
      </c>
      <c r="F1632" t="s">
        <v>3207</v>
      </c>
      <c r="G1632" t="s">
        <v>67</v>
      </c>
      <c r="H1632" t="str">
        <f>VLOOKUP(Table1[[#This Row],[City]],Table6[#All],2,FALSE)</f>
        <v>East</v>
      </c>
      <c r="I1632" t="s">
        <v>58</v>
      </c>
      <c r="J1632" t="str">
        <f>_xlfn.XLOOKUP(Table1[[#This Row],[Tractor Model]],Table7[Product Model],Table7[Product Category],"Not Available",0)</f>
        <v>Powertrac</v>
      </c>
      <c r="K1632" s="4">
        <v>3</v>
      </c>
      <c r="L1632" s="72">
        <v>139932</v>
      </c>
      <c r="M1632" s="4">
        <f>INDEX('Master Sheet'!$C$4:$C$12,MATCH(Table1[[#This Row],[Quantity]],'Master Sheet'!$B$4:$B$12,0))</f>
        <v>6</v>
      </c>
      <c r="N1632" s="71">
        <f>Table1[[#This Row],[Quantity]]*Table1[[#This Row],[Unit Price]]</f>
        <v>419796</v>
      </c>
      <c r="O1632" s="73">
        <v>4.1979599999999999E-2</v>
      </c>
      <c r="P1632" s="70">
        <f>Table1[[#This Row],[Gross Amount]]*(1-(Table1[[#This Row],[Discount %]]/100))</f>
        <v>394608.24</v>
      </c>
      <c r="Q1632" s="74">
        <f>(Table1[[#This Row],[Gross Amount]]*(1-(Table1[[#This Row],[Discount %]]/100)))/10000000</f>
        <v>3.9460823999999999E-2</v>
      </c>
      <c r="R1632" t="s">
        <v>42</v>
      </c>
      <c r="S1632" t="str" cm="1">
        <f t="array" ref="S1632">IFERROR(_xlfn.IFS(Table1[[#This Row],[Payment Status]]="Partial","In Transit",Table1[[#This Row],[Payment Status]]="Paid","Delivered",Table1[[#This Row],[Payment Status]]="Pending","Pending"),"Invalid Input")</f>
        <v>Pending</v>
      </c>
      <c r="T1632" t="s">
        <v>44</v>
      </c>
      <c r="U1632" t="str" cm="1">
        <f t="array" ref="U1632">IFERROR(_xlfn.IFS(Table1[[#This Row],[Payment Status]]="Partial","In Transit",Table1[[#This Row],[Payment Status]]="Paid","Completed",Table1[[#This Row],[Payment Status]]="Pending","Pending"),"Invalid Input")</f>
        <v>Pending</v>
      </c>
    </row>
    <row r="1633" spans="1:21" x14ac:dyDescent="0.25">
      <c r="A1633" s="4" t="s">
        <v>2754</v>
      </c>
      <c r="B1633" s="5">
        <v>45405</v>
      </c>
      <c r="C1633" t="s">
        <v>52</v>
      </c>
      <c r="D1633" t="s">
        <v>3270</v>
      </c>
      <c r="E1633" t="s">
        <v>66</v>
      </c>
      <c r="F1633" t="s">
        <v>3220</v>
      </c>
      <c r="G1633" t="s">
        <v>67</v>
      </c>
      <c r="H1633" t="str">
        <f>VLOOKUP(Table1[[#This Row],[City]],Table6[#All],2,FALSE)</f>
        <v>East</v>
      </c>
      <c r="I1633" t="s">
        <v>58</v>
      </c>
      <c r="J1633" t="str">
        <f>_xlfn.XLOOKUP(Table1[[#This Row],[Tractor Model]],Table7[Product Model],Table7[Product Category],"Not Available",0)</f>
        <v>Powertrac</v>
      </c>
      <c r="K1633" s="4">
        <v>3</v>
      </c>
      <c r="L1633" s="72">
        <v>623058</v>
      </c>
      <c r="M1633" s="4">
        <f>INDEX('Master Sheet'!$C$4:$C$12,MATCH(Table1[[#This Row],[Quantity]],'Master Sheet'!$B$4:$B$12,0))</f>
        <v>6</v>
      </c>
      <c r="N1633" s="71">
        <f>Table1[[#This Row],[Quantity]]*Table1[[#This Row],[Unit Price]]</f>
        <v>1869174</v>
      </c>
      <c r="O1633" s="73">
        <v>0.18691740000000001</v>
      </c>
      <c r="P1633" s="70">
        <f>Table1[[#This Row],[Gross Amount]]*(1-(Table1[[#This Row],[Discount %]]/100))</f>
        <v>1757023.5599999998</v>
      </c>
      <c r="Q1633" s="74">
        <f>(Table1[[#This Row],[Gross Amount]]*(1-(Table1[[#This Row],[Discount %]]/100)))/10000000</f>
        <v>0.17570235599999998</v>
      </c>
      <c r="R1633" t="s">
        <v>25</v>
      </c>
      <c r="S1633" t="str" cm="1">
        <f t="array" ref="S1633">IFERROR(_xlfn.IFS(Table1[[#This Row],[Payment Status]]="Partial","In Transit",Table1[[#This Row],[Payment Status]]="Paid","Delivered",Table1[[#This Row],[Payment Status]]="Pending","Pending"),"Invalid Input")</f>
        <v>In Transit</v>
      </c>
      <c r="T1633" t="s">
        <v>27</v>
      </c>
      <c r="U1633" t="str" cm="1">
        <f t="array" ref="U1633">IFERROR(_xlfn.IFS(Table1[[#This Row],[Payment Status]]="Partial","In Transit",Table1[[#This Row],[Payment Status]]="Paid","Completed",Table1[[#This Row],[Payment Status]]="Pending","Pending"),"Invalid Input")</f>
        <v>In Transit</v>
      </c>
    </row>
    <row r="1634" spans="1:21" x14ac:dyDescent="0.25">
      <c r="A1634" s="4" t="s">
        <v>2755</v>
      </c>
      <c r="B1634" s="5">
        <v>45509</v>
      </c>
      <c r="C1634" t="s">
        <v>62</v>
      </c>
      <c r="D1634" t="s">
        <v>37</v>
      </c>
      <c r="E1634" t="s">
        <v>119</v>
      </c>
      <c r="F1634" t="s">
        <v>3224</v>
      </c>
      <c r="G1634" t="s">
        <v>21</v>
      </c>
      <c r="H1634" t="str">
        <f>VLOOKUP(Table1[[#This Row],[City]],Table6[#All],2,FALSE)</f>
        <v>North</v>
      </c>
      <c r="I1634" t="s">
        <v>3203</v>
      </c>
      <c r="J1634" t="str">
        <f>_xlfn.XLOOKUP(Table1[[#This Row],[Tractor Model]],Table7[Product Model],Table7[Product Category],"Not Available",0)</f>
        <v>Kubota</v>
      </c>
      <c r="K1634" s="4">
        <v>4</v>
      </c>
      <c r="L1634" s="72">
        <v>743663</v>
      </c>
      <c r="M1634" s="4">
        <f>INDEX('Master Sheet'!$C$4:$C$12,MATCH(Table1[[#This Row],[Quantity]],'Master Sheet'!$B$4:$B$12,0))</f>
        <v>6</v>
      </c>
      <c r="N1634" s="71">
        <f>Table1[[#This Row],[Quantity]]*Table1[[#This Row],[Unit Price]]</f>
        <v>2974652</v>
      </c>
      <c r="O1634" s="73">
        <v>0.29746519999999999</v>
      </c>
      <c r="P1634" s="70">
        <f>Table1[[#This Row],[Gross Amount]]*(1-(Table1[[#This Row],[Discount %]]/100))</f>
        <v>2796172.88</v>
      </c>
      <c r="Q1634" s="74">
        <f>(Table1[[#This Row],[Gross Amount]]*(1-(Table1[[#This Row],[Discount %]]/100)))/10000000</f>
        <v>0.27961728799999996</v>
      </c>
      <c r="R1634" t="s">
        <v>54</v>
      </c>
      <c r="S1634" t="str" cm="1">
        <f t="array" ref="S1634">IFERROR(_xlfn.IFS(Table1[[#This Row],[Payment Status]]="Partial","In Transit",Table1[[#This Row],[Payment Status]]="Paid","Delivered",Table1[[#This Row],[Payment Status]]="Pending","Pending"),"Invalid Input")</f>
        <v>Delivered</v>
      </c>
      <c r="T1634" t="s">
        <v>44</v>
      </c>
      <c r="U1634" t="str" cm="1">
        <f t="array" ref="U1634">IFERROR(_xlfn.IFS(Table1[[#This Row],[Payment Status]]="Partial","In Transit",Table1[[#This Row],[Payment Status]]="Paid","Completed",Table1[[#This Row],[Payment Status]]="Pending","Pending"),"Invalid Input")</f>
        <v>Completed</v>
      </c>
    </row>
    <row r="1635" spans="1:21" x14ac:dyDescent="0.25">
      <c r="A1635" s="4" t="s">
        <v>2756</v>
      </c>
      <c r="B1635" s="5">
        <v>45465</v>
      </c>
      <c r="C1635" t="s">
        <v>62</v>
      </c>
      <c r="D1635" t="s">
        <v>37</v>
      </c>
      <c r="E1635" t="s">
        <v>119</v>
      </c>
      <c r="F1635" t="s">
        <v>3224</v>
      </c>
      <c r="G1635" t="s">
        <v>21</v>
      </c>
      <c r="H1635" t="str">
        <f>VLOOKUP(Table1[[#This Row],[City]],Table6[#All],2,FALSE)</f>
        <v>North</v>
      </c>
      <c r="I1635" t="s">
        <v>3203</v>
      </c>
      <c r="J1635" t="str">
        <f>_xlfn.XLOOKUP(Table1[[#This Row],[Tractor Model]],Table7[Product Model],Table7[Product Category],"Not Available",0)</f>
        <v>Kubota</v>
      </c>
      <c r="K1635" s="4">
        <v>6</v>
      </c>
      <c r="L1635" s="72">
        <v>556898</v>
      </c>
      <c r="M1635" s="4">
        <f>INDEX('Master Sheet'!$C$4:$C$12,MATCH(Table1[[#This Row],[Quantity]],'Master Sheet'!$B$4:$B$12,0))</f>
        <v>8</v>
      </c>
      <c r="N1635" s="71">
        <f>Table1[[#This Row],[Quantity]]*Table1[[#This Row],[Unit Price]]</f>
        <v>3341388</v>
      </c>
      <c r="O1635" s="73">
        <v>0.33413880000000001</v>
      </c>
      <c r="P1635" s="70">
        <f>Table1[[#This Row],[Gross Amount]]*(1-(Table1[[#This Row],[Discount %]]/100))</f>
        <v>3074076.96</v>
      </c>
      <c r="Q1635" s="74">
        <f>(Table1[[#This Row],[Gross Amount]]*(1-(Table1[[#This Row],[Discount %]]/100)))/10000000</f>
        <v>0.30740769600000001</v>
      </c>
      <c r="R1635" t="s">
        <v>42</v>
      </c>
      <c r="S1635" t="str" cm="1">
        <f t="array" ref="S1635">IFERROR(_xlfn.IFS(Table1[[#This Row],[Payment Status]]="Partial","In Transit",Table1[[#This Row],[Payment Status]]="Paid","Delivered",Table1[[#This Row],[Payment Status]]="Pending","Pending"),"Invalid Input")</f>
        <v>Pending</v>
      </c>
      <c r="T1635" t="s">
        <v>27</v>
      </c>
      <c r="U1635" t="str" cm="1">
        <f t="array" ref="U1635">IFERROR(_xlfn.IFS(Table1[[#This Row],[Payment Status]]="Partial","In Transit",Table1[[#This Row],[Payment Status]]="Paid","Completed",Table1[[#This Row],[Payment Status]]="Pending","Pending"),"Invalid Input")</f>
        <v>Pending</v>
      </c>
    </row>
    <row r="1636" spans="1:21" x14ac:dyDescent="0.25">
      <c r="A1636" s="4" t="s">
        <v>2757</v>
      </c>
      <c r="B1636" s="5">
        <v>45358</v>
      </c>
      <c r="C1636" t="s">
        <v>62</v>
      </c>
      <c r="D1636" t="s">
        <v>3268</v>
      </c>
      <c r="E1636" t="s">
        <v>119</v>
      </c>
      <c r="F1636" t="s">
        <v>3227</v>
      </c>
      <c r="G1636" t="s">
        <v>21</v>
      </c>
      <c r="H1636" t="str">
        <f>VLOOKUP(Table1[[#This Row],[City]],Table6[#All],2,FALSE)</f>
        <v>North</v>
      </c>
      <c r="I1636" t="s">
        <v>3203</v>
      </c>
      <c r="J1636" t="str">
        <f>_xlfn.XLOOKUP(Table1[[#This Row],[Tractor Model]],Table7[Product Model],Table7[Product Category],"Not Available",0)</f>
        <v>Kubota</v>
      </c>
      <c r="K1636" s="4">
        <v>1</v>
      </c>
      <c r="L1636" s="72">
        <v>115899</v>
      </c>
      <c r="M1636" s="4">
        <f>INDEX('Master Sheet'!$C$4:$C$12,MATCH(Table1[[#This Row],[Quantity]],'Master Sheet'!$B$4:$B$12,0))</f>
        <v>3</v>
      </c>
      <c r="N1636" s="71">
        <f>Table1[[#This Row],[Quantity]]*Table1[[#This Row],[Unit Price]]</f>
        <v>115899</v>
      </c>
      <c r="O1636" s="73">
        <v>1.15899E-2</v>
      </c>
      <c r="P1636" s="70">
        <f>Table1[[#This Row],[Gross Amount]]*(1-(Table1[[#This Row],[Discount %]]/100))</f>
        <v>112422.03</v>
      </c>
      <c r="Q1636" s="74">
        <f>(Table1[[#This Row],[Gross Amount]]*(1-(Table1[[#This Row],[Discount %]]/100)))/10000000</f>
        <v>1.1242202999999999E-2</v>
      </c>
      <c r="R1636" t="s">
        <v>54</v>
      </c>
      <c r="S1636" t="str" cm="1">
        <f t="array" ref="S1636">IFERROR(_xlfn.IFS(Table1[[#This Row],[Payment Status]]="Partial","In Transit",Table1[[#This Row],[Payment Status]]="Paid","Delivered",Table1[[#This Row],[Payment Status]]="Pending","Pending"),"Invalid Input")</f>
        <v>Delivered</v>
      </c>
      <c r="T1636" t="s">
        <v>27</v>
      </c>
      <c r="U1636" t="str" cm="1">
        <f t="array" ref="U1636">IFERROR(_xlfn.IFS(Table1[[#This Row],[Payment Status]]="Partial","In Transit",Table1[[#This Row],[Payment Status]]="Paid","Completed",Table1[[#This Row],[Payment Status]]="Pending","Pending"),"Invalid Input")</f>
        <v>Completed</v>
      </c>
    </row>
    <row r="1637" spans="1:21" x14ac:dyDescent="0.25">
      <c r="A1637" s="4" t="s">
        <v>2758</v>
      </c>
      <c r="B1637" s="5">
        <v>45604</v>
      </c>
      <c r="C1637" t="s">
        <v>62</v>
      </c>
      <c r="D1637" t="s">
        <v>3270</v>
      </c>
      <c r="E1637" t="s">
        <v>47</v>
      </c>
      <c r="F1637" t="s">
        <v>3205</v>
      </c>
      <c r="G1637" t="s">
        <v>48</v>
      </c>
      <c r="H1637" t="str">
        <f>VLOOKUP(Table1[[#This Row],[City]],Table6[#All],2,FALSE)</f>
        <v>North</v>
      </c>
      <c r="I1637" t="s">
        <v>3204</v>
      </c>
      <c r="J1637" t="str">
        <f>_xlfn.XLOOKUP(Table1[[#This Row],[Tractor Model]],Table7[Product Model],Table7[Product Category],"Not Available",0)</f>
        <v>Kubota</v>
      </c>
      <c r="K1637" s="4">
        <v>2</v>
      </c>
      <c r="L1637" s="72">
        <v>331367</v>
      </c>
      <c r="M1637" s="4">
        <f>INDEX('Master Sheet'!$C$4:$C$12,MATCH(Table1[[#This Row],[Quantity]],'Master Sheet'!$B$4:$B$12,0))</f>
        <v>5</v>
      </c>
      <c r="N1637" s="71">
        <f>Table1[[#This Row],[Quantity]]*Table1[[#This Row],[Unit Price]]</f>
        <v>662734</v>
      </c>
      <c r="O1637" s="73">
        <v>6.6273399999999996E-2</v>
      </c>
      <c r="P1637" s="70">
        <f>Table1[[#This Row],[Gross Amount]]*(1-(Table1[[#This Row],[Discount %]]/100))</f>
        <v>629597.29999999993</v>
      </c>
      <c r="Q1637" s="74">
        <f>(Table1[[#This Row],[Gross Amount]]*(1-(Table1[[#This Row],[Discount %]]/100)))/10000000</f>
        <v>6.2959729999999992E-2</v>
      </c>
      <c r="R1637" t="s">
        <v>25</v>
      </c>
      <c r="S1637" t="str" cm="1">
        <f t="array" ref="S1637">IFERROR(_xlfn.IFS(Table1[[#This Row],[Payment Status]]="Partial","In Transit",Table1[[#This Row],[Payment Status]]="Paid","Delivered",Table1[[#This Row],[Payment Status]]="Pending","Pending"),"Invalid Input")</f>
        <v>In Transit</v>
      </c>
      <c r="T1637" t="s">
        <v>44</v>
      </c>
      <c r="U1637" t="str" cm="1">
        <f t="array" ref="U1637">IFERROR(_xlfn.IFS(Table1[[#This Row],[Payment Status]]="Partial","In Transit",Table1[[#This Row],[Payment Status]]="Paid","Completed",Table1[[#This Row],[Payment Status]]="Pending","Pending"),"Invalid Input")</f>
        <v>In Transit</v>
      </c>
    </row>
    <row r="1638" spans="1:21" x14ac:dyDescent="0.25">
      <c r="A1638" s="4" t="s">
        <v>2760</v>
      </c>
      <c r="B1638" s="5">
        <v>45597</v>
      </c>
      <c r="C1638" t="s">
        <v>73</v>
      </c>
      <c r="D1638" t="s">
        <v>3269</v>
      </c>
      <c r="E1638" t="s">
        <v>38</v>
      </c>
      <c r="F1638" t="s">
        <v>3206</v>
      </c>
      <c r="G1638" t="s">
        <v>39</v>
      </c>
      <c r="H1638" t="str">
        <f>VLOOKUP(Table1[[#This Row],[City]],Table6[#All],2,FALSE)</f>
        <v>West</v>
      </c>
      <c r="I1638" t="s">
        <v>3203</v>
      </c>
      <c r="J1638" t="str">
        <f>_xlfn.XLOOKUP(Table1[[#This Row],[Tractor Model]],Table7[Product Model],Table7[Product Category],"Not Available",0)</f>
        <v>Kubota</v>
      </c>
      <c r="K1638" s="4">
        <v>4</v>
      </c>
      <c r="L1638" s="72">
        <v>537966</v>
      </c>
      <c r="M1638" s="4">
        <f>INDEX('Master Sheet'!$C$4:$C$12,MATCH(Table1[[#This Row],[Quantity]],'Master Sheet'!$B$4:$B$12,0))</f>
        <v>6</v>
      </c>
      <c r="N1638" s="71">
        <f>Table1[[#This Row],[Quantity]]*Table1[[#This Row],[Unit Price]]</f>
        <v>2151864</v>
      </c>
      <c r="O1638" s="73">
        <v>0.2151864</v>
      </c>
      <c r="P1638" s="70">
        <f>Table1[[#This Row],[Gross Amount]]*(1-(Table1[[#This Row],[Discount %]]/100))</f>
        <v>2022752.16</v>
      </c>
      <c r="Q1638" s="74">
        <f>(Table1[[#This Row],[Gross Amount]]*(1-(Table1[[#This Row],[Discount %]]/100)))/10000000</f>
        <v>0.20227521599999998</v>
      </c>
      <c r="R1638" t="s">
        <v>25</v>
      </c>
      <c r="S1638" t="str" cm="1">
        <f t="array" ref="S1638">IFERROR(_xlfn.IFS(Table1[[#This Row],[Payment Status]]="Partial","In Transit",Table1[[#This Row],[Payment Status]]="Paid","Delivered",Table1[[#This Row],[Payment Status]]="Pending","Pending"),"Invalid Input")</f>
        <v>In Transit</v>
      </c>
      <c r="T1638" t="s">
        <v>27</v>
      </c>
      <c r="U1638" t="str" cm="1">
        <f t="array" ref="U1638">IFERROR(_xlfn.IFS(Table1[[#This Row],[Payment Status]]="Partial","In Transit",Table1[[#This Row],[Payment Status]]="Paid","Completed",Table1[[#This Row],[Payment Status]]="Pending","Pending"),"Invalid Input")</f>
        <v>In Transit</v>
      </c>
    </row>
    <row r="1639" spans="1:21" x14ac:dyDescent="0.25">
      <c r="A1639" s="4" t="s">
        <v>2761</v>
      </c>
      <c r="B1639" s="5">
        <v>45472</v>
      </c>
      <c r="C1639" t="s">
        <v>33</v>
      </c>
      <c r="D1639" t="s">
        <v>37</v>
      </c>
      <c r="E1639" t="s">
        <v>119</v>
      </c>
      <c r="F1639" t="s">
        <v>3224</v>
      </c>
      <c r="G1639" t="s">
        <v>21</v>
      </c>
      <c r="H1639" t="str">
        <f>VLOOKUP(Table1[[#This Row],[City]],Table6[#All],2,FALSE)</f>
        <v>North</v>
      </c>
      <c r="I1639" t="s">
        <v>3203</v>
      </c>
      <c r="J1639" t="str">
        <f>_xlfn.XLOOKUP(Table1[[#This Row],[Tractor Model]],Table7[Product Model],Table7[Product Category],"Not Available",0)</f>
        <v>Kubota</v>
      </c>
      <c r="K1639" s="4">
        <v>3</v>
      </c>
      <c r="L1639" s="72">
        <v>574832</v>
      </c>
      <c r="M1639" s="4">
        <f>INDEX('Master Sheet'!$C$4:$C$12,MATCH(Table1[[#This Row],[Quantity]],'Master Sheet'!$B$4:$B$12,0))</f>
        <v>6</v>
      </c>
      <c r="N1639" s="71">
        <f>Table1[[#This Row],[Quantity]]*Table1[[#This Row],[Unit Price]]</f>
        <v>1724496</v>
      </c>
      <c r="O1639" s="73">
        <v>0.17244960000000001</v>
      </c>
      <c r="P1639" s="70">
        <f>Table1[[#This Row],[Gross Amount]]*(1-(Table1[[#This Row],[Discount %]]/100))</f>
        <v>1621026.24</v>
      </c>
      <c r="Q1639" s="74">
        <f>(Table1[[#This Row],[Gross Amount]]*(1-(Table1[[#This Row],[Discount %]]/100)))/10000000</f>
        <v>0.162102624</v>
      </c>
      <c r="R1639" t="s">
        <v>54</v>
      </c>
      <c r="S1639" t="str" cm="1">
        <f t="array" ref="S1639">IFERROR(_xlfn.IFS(Table1[[#This Row],[Payment Status]]="Partial","In Transit",Table1[[#This Row],[Payment Status]]="Paid","Delivered",Table1[[#This Row],[Payment Status]]="Pending","Pending"),"Invalid Input")</f>
        <v>Delivered</v>
      </c>
      <c r="T1639" t="s">
        <v>27</v>
      </c>
      <c r="U1639" t="str" cm="1">
        <f t="array" ref="U1639">IFERROR(_xlfn.IFS(Table1[[#This Row],[Payment Status]]="Partial","In Transit",Table1[[#This Row],[Payment Status]]="Paid","Completed",Table1[[#This Row],[Payment Status]]="Pending","Pending"),"Invalid Input")</f>
        <v>Completed</v>
      </c>
    </row>
    <row r="1640" spans="1:21" x14ac:dyDescent="0.25">
      <c r="A1640" s="4" t="s">
        <v>2762</v>
      </c>
      <c r="B1640" s="5">
        <v>45572</v>
      </c>
      <c r="C1640" t="s">
        <v>33</v>
      </c>
      <c r="D1640" t="s">
        <v>3268</v>
      </c>
      <c r="E1640" t="s">
        <v>66</v>
      </c>
      <c r="F1640" t="s">
        <v>3211</v>
      </c>
      <c r="G1640" t="s">
        <v>67</v>
      </c>
      <c r="H1640" t="str">
        <f>VLOOKUP(Table1[[#This Row],[City]],Table6[#All],2,FALSE)</f>
        <v>East</v>
      </c>
      <c r="I1640" t="s">
        <v>3203</v>
      </c>
      <c r="J1640" t="str">
        <f>_xlfn.XLOOKUP(Table1[[#This Row],[Tractor Model]],Table7[Product Model],Table7[Product Category],"Not Available",0)</f>
        <v>Kubota</v>
      </c>
      <c r="K1640" s="4">
        <v>8</v>
      </c>
      <c r="L1640" s="72">
        <v>547388</v>
      </c>
      <c r="M1640" s="4">
        <f>INDEX('Master Sheet'!$C$4:$C$12,MATCH(Table1[[#This Row],[Quantity]],'Master Sheet'!$B$4:$B$12,0))</f>
        <v>9</v>
      </c>
      <c r="N1640" s="71">
        <f>Table1[[#This Row],[Quantity]]*Table1[[#This Row],[Unit Price]]</f>
        <v>4379104</v>
      </c>
      <c r="O1640" s="73">
        <v>0.43791039999999998</v>
      </c>
      <c r="P1640" s="70">
        <f>Table1[[#This Row],[Gross Amount]]*(1-(Table1[[#This Row],[Discount %]]/100))</f>
        <v>3984984.64</v>
      </c>
      <c r="Q1640" s="74">
        <f>(Table1[[#This Row],[Gross Amount]]*(1-(Table1[[#This Row],[Discount %]]/100)))/10000000</f>
        <v>0.398498464</v>
      </c>
      <c r="R1640" t="s">
        <v>42</v>
      </c>
      <c r="S1640" t="str" cm="1">
        <f t="array" ref="S1640">IFERROR(_xlfn.IFS(Table1[[#This Row],[Payment Status]]="Partial","In Transit",Table1[[#This Row],[Payment Status]]="Paid","Delivered",Table1[[#This Row],[Payment Status]]="Pending","Pending"),"Invalid Input")</f>
        <v>Pending</v>
      </c>
      <c r="T1640" t="s">
        <v>27</v>
      </c>
      <c r="U1640" t="str" cm="1">
        <f t="array" ref="U1640">IFERROR(_xlfn.IFS(Table1[[#This Row],[Payment Status]]="Partial","In Transit",Table1[[#This Row],[Payment Status]]="Paid","Completed",Table1[[#This Row],[Payment Status]]="Pending","Pending"),"Invalid Input")</f>
        <v>Pending</v>
      </c>
    </row>
    <row r="1641" spans="1:21" x14ac:dyDescent="0.25">
      <c r="A1641" s="4" t="s">
        <v>2763</v>
      </c>
      <c r="B1641" s="5">
        <v>45491</v>
      </c>
      <c r="C1641" t="s">
        <v>52</v>
      </c>
      <c r="D1641" t="s">
        <v>3269</v>
      </c>
      <c r="E1641" t="s">
        <v>38</v>
      </c>
      <c r="F1641" t="s">
        <v>3206</v>
      </c>
      <c r="G1641" t="s">
        <v>39</v>
      </c>
      <c r="H1641" t="str">
        <f>VLOOKUP(Table1[[#This Row],[City]],Table6[#All],2,FALSE)</f>
        <v>West</v>
      </c>
      <c r="I1641" t="s">
        <v>58</v>
      </c>
      <c r="J1641" t="str">
        <f>_xlfn.XLOOKUP(Table1[[#This Row],[Tractor Model]],Table7[Product Model],Table7[Product Category],"Not Available",0)</f>
        <v>Powertrac</v>
      </c>
      <c r="K1641" s="4">
        <v>1</v>
      </c>
      <c r="L1641" s="72">
        <v>555307</v>
      </c>
      <c r="M1641" s="4">
        <f>INDEX('Master Sheet'!$C$4:$C$12,MATCH(Table1[[#This Row],[Quantity]],'Master Sheet'!$B$4:$B$12,0))</f>
        <v>3</v>
      </c>
      <c r="N1641" s="71">
        <f>Table1[[#This Row],[Quantity]]*Table1[[#This Row],[Unit Price]]</f>
        <v>555307</v>
      </c>
      <c r="O1641" s="73">
        <v>5.5530700000000002E-2</v>
      </c>
      <c r="P1641" s="70">
        <f>Table1[[#This Row],[Gross Amount]]*(1-(Table1[[#This Row],[Discount %]]/100))</f>
        <v>538647.79</v>
      </c>
      <c r="Q1641" s="74">
        <f>(Table1[[#This Row],[Gross Amount]]*(1-(Table1[[#This Row],[Discount %]]/100)))/10000000</f>
        <v>5.3864779000000002E-2</v>
      </c>
      <c r="R1641" t="s">
        <v>42</v>
      </c>
      <c r="S1641" t="str" cm="1">
        <f t="array" ref="S1641">IFERROR(_xlfn.IFS(Table1[[#This Row],[Payment Status]]="Partial","In Transit",Table1[[#This Row],[Payment Status]]="Paid","Delivered",Table1[[#This Row],[Payment Status]]="Pending","Pending"),"Invalid Input")</f>
        <v>Pending</v>
      </c>
      <c r="T1641" t="s">
        <v>44</v>
      </c>
      <c r="U1641" t="str" cm="1">
        <f t="array" ref="U1641">IFERROR(_xlfn.IFS(Table1[[#This Row],[Payment Status]]="Partial","In Transit",Table1[[#This Row],[Payment Status]]="Paid","Completed",Table1[[#This Row],[Payment Status]]="Pending","Pending"),"Invalid Input")</f>
        <v>Pending</v>
      </c>
    </row>
    <row r="1642" spans="1:21" x14ac:dyDescent="0.25">
      <c r="A1642" s="4" t="s">
        <v>2764</v>
      </c>
      <c r="B1642" s="5">
        <v>45338</v>
      </c>
      <c r="C1642" t="s">
        <v>33</v>
      </c>
      <c r="D1642" t="s">
        <v>3270</v>
      </c>
      <c r="E1642" t="s">
        <v>38</v>
      </c>
      <c r="F1642" t="s">
        <v>3218</v>
      </c>
      <c r="G1642" t="s">
        <v>39</v>
      </c>
      <c r="H1642" t="str">
        <f>VLOOKUP(Table1[[#This Row],[City]],Table6[#All],2,FALSE)</f>
        <v>West</v>
      </c>
      <c r="I1642" t="s">
        <v>58</v>
      </c>
      <c r="J1642" t="str">
        <f>_xlfn.XLOOKUP(Table1[[#This Row],[Tractor Model]],Table7[Product Model],Table7[Product Category],"Not Available",0)</f>
        <v>Powertrac</v>
      </c>
      <c r="K1642" s="4">
        <v>4</v>
      </c>
      <c r="L1642" s="72">
        <v>629417</v>
      </c>
      <c r="M1642" s="4">
        <f>INDEX('Master Sheet'!$C$4:$C$12,MATCH(Table1[[#This Row],[Quantity]],'Master Sheet'!$B$4:$B$12,0))</f>
        <v>6</v>
      </c>
      <c r="N1642" s="71">
        <f>Table1[[#This Row],[Quantity]]*Table1[[#This Row],[Unit Price]]</f>
        <v>2517668</v>
      </c>
      <c r="O1642" s="73">
        <v>0.25176680000000001</v>
      </c>
      <c r="P1642" s="70">
        <f>Table1[[#This Row],[Gross Amount]]*(1-(Table1[[#This Row],[Discount %]]/100))</f>
        <v>2366607.92</v>
      </c>
      <c r="Q1642" s="74">
        <f>(Table1[[#This Row],[Gross Amount]]*(1-(Table1[[#This Row],[Discount %]]/100)))/10000000</f>
        <v>0.23666079199999998</v>
      </c>
      <c r="R1642" t="s">
        <v>42</v>
      </c>
      <c r="S1642" t="str" cm="1">
        <f t="array" ref="S1642">IFERROR(_xlfn.IFS(Table1[[#This Row],[Payment Status]]="Partial","In Transit",Table1[[#This Row],[Payment Status]]="Paid","Delivered",Table1[[#This Row],[Payment Status]]="Pending","Pending"),"Invalid Input")</f>
        <v>Pending</v>
      </c>
      <c r="T1642" t="s">
        <v>27</v>
      </c>
      <c r="U1642" t="str" cm="1">
        <f t="array" ref="U1642">IFERROR(_xlfn.IFS(Table1[[#This Row],[Payment Status]]="Partial","In Transit",Table1[[#This Row],[Payment Status]]="Paid","Completed",Table1[[#This Row],[Payment Status]]="Pending","Pending"),"Invalid Input")</f>
        <v>Pending</v>
      </c>
    </row>
    <row r="1643" spans="1:21" x14ac:dyDescent="0.25">
      <c r="A1643" s="4" t="s">
        <v>2765</v>
      </c>
      <c r="B1643" s="5">
        <v>45613</v>
      </c>
      <c r="C1643" t="s">
        <v>41</v>
      </c>
      <c r="D1643" t="s">
        <v>3271</v>
      </c>
      <c r="E1643" t="s">
        <v>30</v>
      </c>
      <c r="F1643" t="s">
        <v>3217</v>
      </c>
      <c r="G1643" t="s">
        <v>31</v>
      </c>
      <c r="H1643" t="str">
        <f>VLOOKUP(Table1[[#This Row],[City]],Table6[#All],2,FALSE)</f>
        <v>South</v>
      </c>
      <c r="I1643" t="s">
        <v>3203</v>
      </c>
      <c r="J1643" t="str">
        <f>_xlfn.XLOOKUP(Table1[[#This Row],[Tractor Model]],Table7[Product Model],Table7[Product Category],"Not Available",0)</f>
        <v>Kubota</v>
      </c>
      <c r="K1643" s="4">
        <v>2</v>
      </c>
      <c r="L1643" s="72">
        <v>157446</v>
      </c>
      <c r="M1643" s="4">
        <f>INDEX('Master Sheet'!$C$4:$C$12,MATCH(Table1[[#This Row],[Quantity]],'Master Sheet'!$B$4:$B$12,0))</f>
        <v>5</v>
      </c>
      <c r="N1643" s="71">
        <f>Table1[[#This Row],[Quantity]]*Table1[[#This Row],[Unit Price]]</f>
        <v>314892</v>
      </c>
      <c r="O1643" s="73">
        <v>3.1489200000000002E-2</v>
      </c>
      <c r="P1643" s="70">
        <f>Table1[[#This Row],[Gross Amount]]*(1-(Table1[[#This Row],[Discount %]]/100))</f>
        <v>299147.39999999997</v>
      </c>
      <c r="Q1643" s="74">
        <f>(Table1[[#This Row],[Gross Amount]]*(1-(Table1[[#This Row],[Discount %]]/100)))/10000000</f>
        <v>2.9914739999999995E-2</v>
      </c>
      <c r="R1643" t="s">
        <v>42</v>
      </c>
      <c r="S1643" t="str" cm="1">
        <f t="array" ref="S1643">IFERROR(_xlfn.IFS(Table1[[#This Row],[Payment Status]]="Partial","In Transit",Table1[[#This Row],[Payment Status]]="Paid","Delivered",Table1[[#This Row],[Payment Status]]="Pending","Pending"),"Invalid Input")</f>
        <v>Pending</v>
      </c>
      <c r="T1643" t="s">
        <v>27</v>
      </c>
      <c r="U1643" t="str" cm="1">
        <f t="array" ref="U1643">IFERROR(_xlfn.IFS(Table1[[#This Row],[Payment Status]]="Partial","In Transit",Table1[[#This Row],[Payment Status]]="Paid","Completed",Table1[[#This Row],[Payment Status]]="Pending","Pending"),"Invalid Input")</f>
        <v>Pending</v>
      </c>
    </row>
    <row r="1644" spans="1:21" x14ac:dyDescent="0.25">
      <c r="A1644" s="4" t="s">
        <v>2766</v>
      </c>
      <c r="B1644" s="5">
        <v>45801</v>
      </c>
      <c r="C1644" t="s">
        <v>73</v>
      </c>
      <c r="D1644" t="s">
        <v>3271</v>
      </c>
      <c r="E1644" t="s">
        <v>119</v>
      </c>
      <c r="F1644" t="s">
        <v>3228</v>
      </c>
      <c r="G1644" t="s">
        <v>21</v>
      </c>
      <c r="H1644" t="str">
        <f>VLOOKUP(Table1[[#This Row],[City]],Table6[#All],2,FALSE)</f>
        <v>North</v>
      </c>
      <c r="I1644" t="s">
        <v>3204</v>
      </c>
      <c r="J1644" t="str">
        <f>_xlfn.XLOOKUP(Table1[[#This Row],[Tractor Model]],Table7[Product Model],Table7[Product Category],"Not Available",0)</f>
        <v>Kubota</v>
      </c>
      <c r="K1644" s="4">
        <v>3</v>
      </c>
      <c r="L1644" s="72">
        <v>724625</v>
      </c>
      <c r="M1644" s="4">
        <f>INDEX('Master Sheet'!$C$4:$C$12,MATCH(Table1[[#This Row],[Quantity]],'Master Sheet'!$B$4:$B$12,0))</f>
        <v>6</v>
      </c>
      <c r="N1644" s="71">
        <f>Table1[[#This Row],[Quantity]]*Table1[[#This Row],[Unit Price]]</f>
        <v>2173875</v>
      </c>
      <c r="O1644" s="73">
        <v>0.21738750000000001</v>
      </c>
      <c r="P1644" s="70">
        <f>Table1[[#This Row],[Gross Amount]]*(1-(Table1[[#This Row],[Discount %]]/100))</f>
        <v>2043442.5</v>
      </c>
      <c r="Q1644" s="74">
        <f>(Table1[[#This Row],[Gross Amount]]*(1-(Table1[[#This Row],[Discount %]]/100)))/10000000</f>
        <v>0.20434425000000001</v>
      </c>
      <c r="R1644" t="s">
        <v>54</v>
      </c>
      <c r="S1644" t="str" cm="1">
        <f t="array" ref="S1644">IFERROR(_xlfn.IFS(Table1[[#This Row],[Payment Status]]="Partial","In Transit",Table1[[#This Row],[Payment Status]]="Paid","Delivered",Table1[[#This Row],[Payment Status]]="Pending","Pending"),"Invalid Input")</f>
        <v>Delivered</v>
      </c>
      <c r="T1644" t="s">
        <v>27</v>
      </c>
      <c r="U1644" t="str" cm="1">
        <f t="array" ref="U1644">IFERROR(_xlfn.IFS(Table1[[#This Row],[Payment Status]]="Partial","In Transit",Table1[[#This Row],[Payment Status]]="Paid","Completed",Table1[[#This Row],[Payment Status]]="Pending","Pending"),"Invalid Input")</f>
        <v>Completed</v>
      </c>
    </row>
    <row r="1645" spans="1:21" x14ac:dyDescent="0.25">
      <c r="A1645" s="4" t="s">
        <v>2767</v>
      </c>
      <c r="B1645" s="5">
        <v>45527</v>
      </c>
      <c r="C1645" t="s">
        <v>73</v>
      </c>
      <c r="D1645" t="s">
        <v>3268</v>
      </c>
      <c r="E1645" t="s">
        <v>47</v>
      </c>
      <c r="F1645" t="s">
        <v>3216</v>
      </c>
      <c r="G1645" t="s">
        <v>48</v>
      </c>
      <c r="H1645" t="str">
        <f>VLOOKUP(Table1[[#This Row],[City]],Table6[#All],2,FALSE)</f>
        <v>North</v>
      </c>
      <c r="I1645" t="s">
        <v>3204</v>
      </c>
      <c r="J1645" t="str">
        <f>_xlfn.XLOOKUP(Table1[[#This Row],[Tractor Model]],Table7[Product Model],Table7[Product Category],"Not Available",0)</f>
        <v>Kubota</v>
      </c>
      <c r="K1645" s="4">
        <v>3</v>
      </c>
      <c r="L1645" s="72">
        <v>896119</v>
      </c>
      <c r="M1645" s="4">
        <f>INDEX('Master Sheet'!$C$4:$C$12,MATCH(Table1[[#This Row],[Quantity]],'Master Sheet'!$B$4:$B$12,0))</f>
        <v>6</v>
      </c>
      <c r="N1645" s="71">
        <f>Table1[[#This Row],[Quantity]]*Table1[[#This Row],[Unit Price]]</f>
        <v>2688357</v>
      </c>
      <c r="O1645" s="73">
        <v>0.26883570000000001</v>
      </c>
      <c r="P1645" s="70">
        <f>Table1[[#This Row],[Gross Amount]]*(1-(Table1[[#This Row],[Discount %]]/100))</f>
        <v>2527055.58</v>
      </c>
      <c r="Q1645" s="74">
        <f>(Table1[[#This Row],[Gross Amount]]*(1-(Table1[[#This Row],[Discount %]]/100)))/10000000</f>
        <v>0.252705558</v>
      </c>
      <c r="R1645" t="s">
        <v>25</v>
      </c>
      <c r="S1645" t="str" cm="1">
        <f t="array" ref="S1645">IFERROR(_xlfn.IFS(Table1[[#This Row],[Payment Status]]="Partial","In Transit",Table1[[#This Row],[Payment Status]]="Paid","Delivered",Table1[[#This Row],[Payment Status]]="Pending","Pending"),"Invalid Input")</f>
        <v>In Transit</v>
      </c>
      <c r="T1645" t="s">
        <v>44</v>
      </c>
      <c r="U1645" t="str" cm="1">
        <f t="array" ref="U1645">IFERROR(_xlfn.IFS(Table1[[#This Row],[Payment Status]]="Partial","In Transit",Table1[[#This Row],[Payment Status]]="Paid","Completed",Table1[[#This Row],[Payment Status]]="Pending","Pending"),"Invalid Input")</f>
        <v>In Transit</v>
      </c>
    </row>
    <row r="1646" spans="1:21" x14ac:dyDescent="0.25">
      <c r="A1646" s="4" t="s">
        <v>2769</v>
      </c>
      <c r="B1646" s="5">
        <v>45720</v>
      </c>
      <c r="C1646" t="s">
        <v>41</v>
      </c>
      <c r="D1646" t="s">
        <v>3270</v>
      </c>
      <c r="E1646" t="s">
        <v>119</v>
      </c>
      <c r="F1646" t="s">
        <v>3212</v>
      </c>
      <c r="G1646" t="s">
        <v>21</v>
      </c>
      <c r="H1646" t="str">
        <f>VLOOKUP(Table1[[#This Row],[City]],Table6[#All],2,FALSE)</f>
        <v>North</v>
      </c>
      <c r="I1646" t="s">
        <v>3204</v>
      </c>
      <c r="J1646" t="str">
        <f>_xlfn.XLOOKUP(Table1[[#This Row],[Tractor Model]],Table7[Product Model],Table7[Product Category],"Not Available",0)</f>
        <v>Kubota</v>
      </c>
      <c r="K1646" s="4">
        <v>7</v>
      </c>
      <c r="L1646" s="72">
        <v>445222</v>
      </c>
      <c r="M1646" s="4">
        <f>INDEX('Master Sheet'!$C$4:$C$12,MATCH(Table1[[#This Row],[Quantity]],'Master Sheet'!$B$4:$B$12,0))</f>
        <v>9</v>
      </c>
      <c r="N1646" s="71">
        <f>Table1[[#This Row],[Quantity]]*Table1[[#This Row],[Unit Price]]</f>
        <v>3116554</v>
      </c>
      <c r="O1646" s="73">
        <v>0.31165540000000003</v>
      </c>
      <c r="P1646" s="70">
        <f>Table1[[#This Row],[Gross Amount]]*(1-(Table1[[#This Row],[Discount %]]/100))</f>
        <v>2836064.14</v>
      </c>
      <c r="Q1646" s="74">
        <f>(Table1[[#This Row],[Gross Amount]]*(1-(Table1[[#This Row],[Discount %]]/100)))/10000000</f>
        <v>0.28360641400000003</v>
      </c>
      <c r="R1646" t="s">
        <v>25</v>
      </c>
      <c r="S1646" t="str" cm="1">
        <f t="array" ref="S1646">IFERROR(_xlfn.IFS(Table1[[#This Row],[Payment Status]]="Partial","In Transit",Table1[[#This Row],[Payment Status]]="Paid","Delivered",Table1[[#This Row],[Payment Status]]="Pending","Pending"),"Invalid Input")</f>
        <v>In Transit</v>
      </c>
      <c r="T1646" t="s">
        <v>44</v>
      </c>
      <c r="U1646" t="str" cm="1">
        <f t="array" ref="U1646">IFERROR(_xlfn.IFS(Table1[[#This Row],[Payment Status]]="Partial","In Transit",Table1[[#This Row],[Payment Status]]="Paid","Completed",Table1[[#This Row],[Payment Status]]="Pending","Pending"),"Invalid Input")</f>
        <v>In Transit</v>
      </c>
    </row>
    <row r="1647" spans="1:21" x14ac:dyDescent="0.25">
      <c r="A1647" s="4" t="s">
        <v>2770</v>
      </c>
      <c r="B1647" s="5">
        <v>45425</v>
      </c>
      <c r="C1647" t="s">
        <v>33</v>
      </c>
      <c r="D1647" t="s">
        <v>37</v>
      </c>
      <c r="E1647" t="s">
        <v>47</v>
      </c>
      <c r="F1647" t="s">
        <v>3215</v>
      </c>
      <c r="G1647" t="s">
        <v>48</v>
      </c>
      <c r="H1647" t="str">
        <f>VLOOKUP(Table1[[#This Row],[City]],Table6[#All],2,FALSE)</f>
        <v>North</v>
      </c>
      <c r="I1647" t="s">
        <v>3203</v>
      </c>
      <c r="J1647" t="str">
        <f>_xlfn.XLOOKUP(Table1[[#This Row],[Tractor Model]],Table7[Product Model],Table7[Product Category],"Not Available",0)</f>
        <v>Kubota</v>
      </c>
      <c r="K1647" s="4">
        <v>6</v>
      </c>
      <c r="L1647" s="72">
        <v>586616</v>
      </c>
      <c r="M1647" s="4">
        <f>INDEX('Master Sheet'!$C$4:$C$12,MATCH(Table1[[#This Row],[Quantity]],'Master Sheet'!$B$4:$B$12,0))</f>
        <v>8</v>
      </c>
      <c r="N1647" s="71">
        <f>Table1[[#This Row],[Quantity]]*Table1[[#This Row],[Unit Price]]</f>
        <v>3519696</v>
      </c>
      <c r="O1647" s="73">
        <v>0.35196959999999999</v>
      </c>
      <c r="P1647" s="70">
        <f>Table1[[#This Row],[Gross Amount]]*(1-(Table1[[#This Row],[Discount %]]/100))</f>
        <v>3238120.3200000003</v>
      </c>
      <c r="Q1647" s="74">
        <f>(Table1[[#This Row],[Gross Amount]]*(1-(Table1[[#This Row],[Discount %]]/100)))/10000000</f>
        <v>0.32381203200000003</v>
      </c>
      <c r="R1647" t="s">
        <v>42</v>
      </c>
      <c r="S1647" t="str" cm="1">
        <f t="array" ref="S1647">IFERROR(_xlfn.IFS(Table1[[#This Row],[Payment Status]]="Partial","In Transit",Table1[[#This Row],[Payment Status]]="Paid","Delivered",Table1[[#This Row],[Payment Status]]="Pending","Pending"),"Invalid Input")</f>
        <v>Pending</v>
      </c>
      <c r="T1647" t="s">
        <v>44</v>
      </c>
      <c r="U1647" t="str" cm="1">
        <f t="array" ref="U1647">IFERROR(_xlfn.IFS(Table1[[#This Row],[Payment Status]]="Partial","In Transit",Table1[[#This Row],[Payment Status]]="Paid","Completed",Table1[[#This Row],[Payment Status]]="Pending","Pending"),"Invalid Input")</f>
        <v>Pending</v>
      </c>
    </row>
    <row r="1648" spans="1:21" x14ac:dyDescent="0.25">
      <c r="A1648" s="4" t="s">
        <v>2771</v>
      </c>
      <c r="B1648" s="5">
        <v>45795</v>
      </c>
      <c r="C1648" t="s">
        <v>62</v>
      </c>
      <c r="D1648" t="s">
        <v>3268</v>
      </c>
      <c r="E1648" t="s">
        <v>30</v>
      </c>
      <c r="F1648" t="s">
        <v>3208</v>
      </c>
      <c r="G1648" t="s">
        <v>31</v>
      </c>
      <c r="H1648" t="str">
        <f>VLOOKUP(Table1[[#This Row],[City]],Table6[#All],2,FALSE)</f>
        <v>South</v>
      </c>
      <c r="I1648" t="s">
        <v>24</v>
      </c>
      <c r="J1648" t="str">
        <f>_xlfn.XLOOKUP(Table1[[#This Row],[Tractor Model]],Table7[Product Model],Table7[Product Category],"Not Available",0)</f>
        <v>Farmtrac</v>
      </c>
      <c r="K1648" s="4">
        <v>3</v>
      </c>
      <c r="L1648" s="72">
        <v>525371</v>
      </c>
      <c r="M1648" s="4">
        <f>INDEX('Master Sheet'!$C$4:$C$12,MATCH(Table1[[#This Row],[Quantity]],'Master Sheet'!$B$4:$B$12,0))</f>
        <v>6</v>
      </c>
      <c r="N1648" s="71">
        <f>Table1[[#This Row],[Quantity]]*Table1[[#This Row],[Unit Price]]</f>
        <v>1576113</v>
      </c>
      <c r="O1648" s="73">
        <v>0.15761130000000001</v>
      </c>
      <c r="P1648" s="70">
        <f>Table1[[#This Row],[Gross Amount]]*(1-(Table1[[#This Row],[Discount %]]/100))</f>
        <v>1481546.22</v>
      </c>
      <c r="Q1648" s="74">
        <f>(Table1[[#This Row],[Gross Amount]]*(1-(Table1[[#This Row],[Discount %]]/100)))/10000000</f>
        <v>0.14815462199999999</v>
      </c>
      <c r="R1648" t="s">
        <v>25</v>
      </c>
      <c r="S1648" t="str" cm="1">
        <f t="array" ref="S1648">IFERROR(_xlfn.IFS(Table1[[#This Row],[Payment Status]]="Partial","In Transit",Table1[[#This Row],[Payment Status]]="Paid","Delivered",Table1[[#This Row],[Payment Status]]="Pending","Pending"),"Invalid Input")</f>
        <v>In Transit</v>
      </c>
      <c r="T1648" t="s">
        <v>27</v>
      </c>
      <c r="U1648" t="str" cm="1">
        <f t="array" ref="U1648">IFERROR(_xlfn.IFS(Table1[[#This Row],[Payment Status]]="Partial","In Transit",Table1[[#This Row],[Payment Status]]="Paid","Completed",Table1[[#This Row],[Payment Status]]="Pending","Pending"),"Invalid Input")</f>
        <v>In Transit</v>
      </c>
    </row>
    <row r="1649" spans="1:21" x14ac:dyDescent="0.25">
      <c r="A1649" s="4" t="s">
        <v>2772</v>
      </c>
      <c r="B1649" s="5">
        <v>45733</v>
      </c>
      <c r="C1649" t="s">
        <v>41</v>
      </c>
      <c r="D1649" t="s">
        <v>37</v>
      </c>
      <c r="E1649" t="s">
        <v>119</v>
      </c>
      <c r="F1649" t="s">
        <v>3224</v>
      </c>
      <c r="G1649" t="s">
        <v>21</v>
      </c>
      <c r="H1649" t="str">
        <f>VLOOKUP(Table1[[#This Row],[City]],Table6[#All],2,FALSE)</f>
        <v>North</v>
      </c>
      <c r="I1649" t="s">
        <v>3203</v>
      </c>
      <c r="J1649" t="str">
        <f>_xlfn.XLOOKUP(Table1[[#This Row],[Tractor Model]],Table7[Product Model],Table7[Product Category],"Not Available",0)</f>
        <v>Kubota</v>
      </c>
      <c r="K1649" s="4">
        <v>2</v>
      </c>
      <c r="L1649" s="72">
        <v>169012</v>
      </c>
      <c r="M1649" s="4">
        <f>INDEX('Master Sheet'!$C$4:$C$12,MATCH(Table1[[#This Row],[Quantity]],'Master Sheet'!$B$4:$B$12,0))</f>
        <v>5</v>
      </c>
      <c r="N1649" s="71">
        <f>Table1[[#This Row],[Quantity]]*Table1[[#This Row],[Unit Price]]</f>
        <v>338024</v>
      </c>
      <c r="O1649" s="73">
        <v>3.3802400000000003E-2</v>
      </c>
      <c r="P1649" s="70">
        <f>Table1[[#This Row],[Gross Amount]]*(1-(Table1[[#This Row],[Discount %]]/100))</f>
        <v>321122.8</v>
      </c>
      <c r="Q1649" s="74">
        <f>(Table1[[#This Row],[Gross Amount]]*(1-(Table1[[#This Row],[Discount %]]/100)))/10000000</f>
        <v>3.211228E-2</v>
      </c>
      <c r="R1649" t="s">
        <v>42</v>
      </c>
      <c r="S1649" t="str" cm="1">
        <f t="array" ref="S1649">IFERROR(_xlfn.IFS(Table1[[#This Row],[Payment Status]]="Partial","In Transit",Table1[[#This Row],[Payment Status]]="Paid","Delivered",Table1[[#This Row],[Payment Status]]="Pending","Pending"),"Invalid Input")</f>
        <v>Pending</v>
      </c>
      <c r="T1649" t="s">
        <v>27</v>
      </c>
      <c r="U1649" t="str" cm="1">
        <f t="array" ref="U1649">IFERROR(_xlfn.IFS(Table1[[#This Row],[Payment Status]]="Partial","In Transit",Table1[[#This Row],[Payment Status]]="Paid","Completed",Table1[[#This Row],[Payment Status]]="Pending","Pending"),"Invalid Input")</f>
        <v>Pending</v>
      </c>
    </row>
    <row r="1650" spans="1:21" x14ac:dyDescent="0.25">
      <c r="A1650" s="4" t="s">
        <v>2773</v>
      </c>
      <c r="B1650" s="5">
        <v>45298</v>
      </c>
      <c r="C1650" t="s">
        <v>52</v>
      </c>
      <c r="D1650" t="s">
        <v>3269</v>
      </c>
      <c r="E1650" t="s">
        <v>30</v>
      </c>
      <c r="F1650" t="s">
        <v>3225</v>
      </c>
      <c r="G1650" t="s">
        <v>31</v>
      </c>
      <c r="H1650" t="str">
        <f>VLOOKUP(Table1[[#This Row],[City]],Table6[#All],2,FALSE)</f>
        <v>South</v>
      </c>
      <c r="I1650" t="s">
        <v>53</v>
      </c>
      <c r="J1650" t="str">
        <f>_xlfn.XLOOKUP(Table1[[#This Row],[Tractor Model]],Table7[Product Model],Table7[Product Category],"Not Available",0)</f>
        <v>Farmtrac</v>
      </c>
      <c r="K1650" s="4">
        <v>2</v>
      </c>
      <c r="L1650" s="72">
        <v>876218</v>
      </c>
      <c r="M1650" s="4">
        <f>INDEX('Master Sheet'!$C$4:$C$12,MATCH(Table1[[#This Row],[Quantity]],'Master Sheet'!$B$4:$B$12,0))</f>
        <v>5</v>
      </c>
      <c r="N1650" s="71">
        <f>Table1[[#This Row],[Quantity]]*Table1[[#This Row],[Unit Price]]</f>
        <v>1752436</v>
      </c>
      <c r="O1650" s="73">
        <v>0.1752436</v>
      </c>
      <c r="P1650" s="70">
        <f>Table1[[#This Row],[Gross Amount]]*(1-(Table1[[#This Row],[Discount %]]/100))</f>
        <v>1664814.2</v>
      </c>
      <c r="Q1650" s="74">
        <f>(Table1[[#This Row],[Gross Amount]]*(1-(Table1[[#This Row],[Discount %]]/100)))/10000000</f>
        <v>0.16648141999999999</v>
      </c>
      <c r="R1650" t="s">
        <v>54</v>
      </c>
      <c r="S1650" t="str" cm="1">
        <f t="array" ref="S1650">IFERROR(_xlfn.IFS(Table1[[#This Row],[Payment Status]]="Partial","In Transit",Table1[[#This Row],[Payment Status]]="Paid","Delivered",Table1[[#This Row],[Payment Status]]="Pending","Pending"),"Invalid Input")</f>
        <v>Delivered</v>
      </c>
      <c r="T1650" t="s">
        <v>27</v>
      </c>
      <c r="U1650" t="str" cm="1">
        <f t="array" ref="U1650">IFERROR(_xlfn.IFS(Table1[[#This Row],[Payment Status]]="Partial","In Transit",Table1[[#This Row],[Payment Status]]="Paid","Completed",Table1[[#This Row],[Payment Status]]="Pending","Pending"),"Invalid Input")</f>
        <v>Completed</v>
      </c>
    </row>
    <row r="1651" spans="1:21" x14ac:dyDescent="0.25">
      <c r="A1651" s="4" t="s">
        <v>2774</v>
      </c>
      <c r="B1651" s="5">
        <v>45819</v>
      </c>
      <c r="C1651" t="s">
        <v>33</v>
      </c>
      <c r="D1651" t="s">
        <v>3271</v>
      </c>
      <c r="E1651" t="s">
        <v>30</v>
      </c>
      <c r="F1651" t="s">
        <v>3217</v>
      </c>
      <c r="G1651" t="s">
        <v>31</v>
      </c>
      <c r="H1651" t="str">
        <f>VLOOKUP(Table1[[#This Row],[City]],Table6[#All],2,FALSE)</f>
        <v>South</v>
      </c>
      <c r="I1651" t="s">
        <v>3203</v>
      </c>
      <c r="J1651" t="str">
        <f>_xlfn.XLOOKUP(Table1[[#This Row],[Tractor Model]],Table7[Product Model],Table7[Product Category],"Not Available",0)</f>
        <v>Kubota</v>
      </c>
      <c r="K1651" s="4">
        <v>2</v>
      </c>
      <c r="L1651" s="72">
        <v>364565</v>
      </c>
      <c r="M1651" s="4">
        <f>INDEX('Master Sheet'!$C$4:$C$12,MATCH(Table1[[#This Row],[Quantity]],'Master Sheet'!$B$4:$B$12,0))</f>
        <v>5</v>
      </c>
      <c r="N1651" s="71">
        <f>Table1[[#This Row],[Quantity]]*Table1[[#This Row],[Unit Price]]</f>
        <v>729130</v>
      </c>
      <c r="O1651" s="73">
        <v>7.2913000000000006E-2</v>
      </c>
      <c r="P1651" s="70">
        <f>Table1[[#This Row],[Gross Amount]]*(1-(Table1[[#This Row],[Discount %]]/100))</f>
        <v>692673.5</v>
      </c>
      <c r="Q1651" s="74">
        <f>(Table1[[#This Row],[Gross Amount]]*(1-(Table1[[#This Row],[Discount %]]/100)))/10000000</f>
        <v>6.9267350000000005E-2</v>
      </c>
      <c r="R1651" t="s">
        <v>25</v>
      </c>
      <c r="S1651" t="str" cm="1">
        <f t="array" ref="S1651">IFERROR(_xlfn.IFS(Table1[[#This Row],[Payment Status]]="Partial","In Transit",Table1[[#This Row],[Payment Status]]="Paid","Delivered",Table1[[#This Row],[Payment Status]]="Pending","Pending"),"Invalid Input")</f>
        <v>In Transit</v>
      </c>
      <c r="T1651" t="s">
        <v>27</v>
      </c>
      <c r="U1651" t="str" cm="1">
        <f t="array" ref="U1651">IFERROR(_xlfn.IFS(Table1[[#This Row],[Payment Status]]="Partial","In Transit",Table1[[#This Row],[Payment Status]]="Paid","Completed",Table1[[#This Row],[Payment Status]]="Pending","Pending"),"Invalid Input")</f>
        <v>In Transit</v>
      </c>
    </row>
    <row r="1652" spans="1:21" x14ac:dyDescent="0.25">
      <c r="A1652" s="4" t="s">
        <v>2775</v>
      </c>
      <c r="B1652" s="5">
        <v>45607</v>
      </c>
      <c r="C1652" t="s">
        <v>33</v>
      </c>
      <c r="D1652" t="s">
        <v>37</v>
      </c>
      <c r="E1652" t="s">
        <v>38</v>
      </c>
      <c r="F1652" t="s">
        <v>3214</v>
      </c>
      <c r="G1652" t="s">
        <v>39</v>
      </c>
      <c r="H1652" t="str">
        <f>VLOOKUP(Table1[[#This Row],[City]],Table6[#All],2,FALSE)</f>
        <v>West</v>
      </c>
      <c r="I1652" t="s">
        <v>53</v>
      </c>
      <c r="J1652" t="str">
        <f>_xlfn.XLOOKUP(Table1[[#This Row],[Tractor Model]],Table7[Product Model],Table7[Product Category],"Not Available",0)</f>
        <v>Farmtrac</v>
      </c>
      <c r="K1652" s="4">
        <v>7</v>
      </c>
      <c r="L1652" s="72">
        <v>213852</v>
      </c>
      <c r="M1652" s="4">
        <f>INDEX('Master Sheet'!$C$4:$C$12,MATCH(Table1[[#This Row],[Quantity]],'Master Sheet'!$B$4:$B$12,0))</f>
        <v>9</v>
      </c>
      <c r="N1652" s="71">
        <f>Table1[[#This Row],[Quantity]]*Table1[[#This Row],[Unit Price]]</f>
        <v>1496964</v>
      </c>
      <c r="O1652" s="73">
        <v>0.14969640000000001</v>
      </c>
      <c r="P1652" s="70">
        <f>Table1[[#This Row],[Gross Amount]]*(1-(Table1[[#This Row],[Discount %]]/100))</f>
        <v>1362237.24</v>
      </c>
      <c r="Q1652" s="74">
        <f>(Table1[[#This Row],[Gross Amount]]*(1-(Table1[[#This Row],[Discount %]]/100)))/10000000</f>
        <v>0.13622372399999999</v>
      </c>
      <c r="R1652" t="s">
        <v>54</v>
      </c>
      <c r="S1652" t="str" cm="1">
        <f t="array" ref="S1652">IFERROR(_xlfn.IFS(Table1[[#This Row],[Payment Status]]="Partial","In Transit",Table1[[#This Row],[Payment Status]]="Paid","Delivered",Table1[[#This Row],[Payment Status]]="Pending","Pending"),"Invalid Input")</f>
        <v>Delivered</v>
      </c>
      <c r="T1652" t="s">
        <v>44</v>
      </c>
      <c r="U1652" t="str" cm="1">
        <f t="array" ref="U1652">IFERROR(_xlfn.IFS(Table1[[#This Row],[Payment Status]]="Partial","In Transit",Table1[[#This Row],[Payment Status]]="Paid","Completed",Table1[[#This Row],[Payment Status]]="Pending","Pending"),"Invalid Input")</f>
        <v>Completed</v>
      </c>
    </row>
    <row r="1653" spans="1:21" x14ac:dyDescent="0.25">
      <c r="A1653" s="4" t="s">
        <v>2776</v>
      </c>
      <c r="B1653" s="5">
        <v>45310</v>
      </c>
      <c r="C1653" t="s">
        <v>52</v>
      </c>
      <c r="D1653" t="s">
        <v>3270</v>
      </c>
      <c r="E1653" t="s">
        <v>47</v>
      </c>
      <c r="F1653" t="s">
        <v>3205</v>
      </c>
      <c r="G1653" t="s">
        <v>48</v>
      </c>
      <c r="H1653" t="str">
        <f>VLOOKUP(Table1[[#This Row],[City]],Table6[#All],2,FALSE)</f>
        <v>North</v>
      </c>
      <c r="I1653" t="s">
        <v>24</v>
      </c>
      <c r="J1653" t="str">
        <f>_xlfn.XLOOKUP(Table1[[#This Row],[Tractor Model]],Table7[Product Model],Table7[Product Category],"Not Available",0)</f>
        <v>Farmtrac</v>
      </c>
      <c r="K1653" s="4">
        <v>4</v>
      </c>
      <c r="L1653" s="72">
        <v>422207</v>
      </c>
      <c r="M1653" s="4">
        <f>INDEX('Master Sheet'!$C$4:$C$12,MATCH(Table1[[#This Row],[Quantity]],'Master Sheet'!$B$4:$B$12,0))</f>
        <v>6</v>
      </c>
      <c r="N1653" s="71">
        <f>Table1[[#This Row],[Quantity]]*Table1[[#This Row],[Unit Price]]</f>
        <v>1688828</v>
      </c>
      <c r="O1653" s="73">
        <v>0.1688828</v>
      </c>
      <c r="P1653" s="70">
        <f>Table1[[#This Row],[Gross Amount]]*(1-(Table1[[#This Row],[Discount %]]/100))</f>
        <v>1587498.3199999998</v>
      </c>
      <c r="Q1653" s="74">
        <f>(Table1[[#This Row],[Gross Amount]]*(1-(Table1[[#This Row],[Discount %]]/100)))/10000000</f>
        <v>0.15874983199999998</v>
      </c>
      <c r="R1653" t="s">
        <v>42</v>
      </c>
      <c r="S1653" t="str" cm="1">
        <f t="array" ref="S1653">IFERROR(_xlfn.IFS(Table1[[#This Row],[Payment Status]]="Partial","In Transit",Table1[[#This Row],[Payment Status]]="Paid","Delivered",Table1[[#This Row],[Payment Status]]="Pending","Pending"),"Invalid Input")</f>
        <v>Pending</v>
      </c>
      <c r="T1653" t="s">
        <v>27</v>
      </c>
      <c r="U1653" t="str" cm="1">
        <f t="array" ref="U1653">IFERROR(_xlfn.IFS(Table1[[#This Row],[Payment Status]]="Partial","In Transit",Table1[[#This Row],[Payment Status]]="Paid","Completed",Table1[[#This Row],[Payment Status]]="Pending","Pending"),"Invalid Input")</f>
        <v>Pending</v>
      </c>
    </row>
    <row r="1654" spans="1:21" x14ac:dyDescent="0.25">
      <c r="A1654" s="4" t="s">
        <v>2777</v>
      </c>
      <c r="B1654" s="5">
        <v>45333</v>
      </c>
      <c r="C1654" t="s">
        <v>41</v>
      </c>
      <c r="D1654" t="s">
        <v>3270</v>
      </c>
      <c r="E1654" t="s">
        <v>30</v>
      </c>
      <c r="F1654" t="s">
        <v>3223</v>
      </c>
      <c r="G1654" t="s">
        <v>31</v>
      </c>
      <c r="H1654" t="str">
        <f>VLOOKUP(Table1[[#This Row],[City]],Table6[#All],2,FALSE)</f>
        <v>South</v>
      </c>
      <c r="I1654" t="s">
        <v>53</v>
      </c>
      <c r="J1654" t="str">
        <f>_xlfn.XLOOKUP(Table1[[#This Row],[Tractor Model]],Table7[Product Model],Table7[Product Category],"Not Available",0)</f>
        <v>Farmtrac</v>
      </c>
      <c r="K1654" s="4">
        <v>0</v>
      </c>
      <c r="L1654" s="72">
        <v>571139</v>
      </c>
      <c r="M1654" s="4">
        <f>INDEX('Master Sheet'!$C$4:$C$12,MATCH(Table1[[#This Row],[Quantity]],'Master Sheet'!$B$4:$B$12,0))</f>
        <v>0</v>
      </c>
      <c r="N1654" s="71">
        <f>Table1[[#This Row],[Quantity]]*Table1[[#This Row],[Unit Price]]</f>
        <v>0</v>
      </c>
      <c r="O1654" s="73">
        <v>0</v>
      </c>
      <c r="P1654" s="70">
        <f>Table1[[#This Row],[Gross Amount]]*(1-(Table1[[#This Row],[Discount %]]/100))</f>
        <v>0</v>
      </c>
      <c r="Q1654" s="74">
        <f>(Table1[[#This Row],[Gross Amount]]*(1-(Table1[[#This Row],[Discount %]]/100)))/10000000</f>
        <v>0</v>
      </c>
      <c r="R1654" t="s">
        <v>54</v>
      </c>
      <c r="S1654" t="str" cm="1">
        <f t="array" ref="S1654">IFERROR(_xlfn.IFS(Table1[[#This Row],[Payment Status]]="Partial","In Transit",Table1[[#This Row],[Payment Status]]="Paid","Delivered",Table1[[#This Row],[Payment Status]]="Pending","Pending"),"Invalid Input")</f>
        <v>Delivered</v>
      </c>
      <c r="T1654" t="s">
        <v>44</v>
      </c>
      <c r="U1654" t="str" cm="1">
        <f t="array" ref="U1654">IFERROR(_xlfn.IFS(Table1[[#This Row],[Payment Status]]="Partial","In Transit",Table1[[#This Row],[Payment Status]]="Paid","Completed",Table1[[#This Row],[Payment Status]]="Pending","Pending"),"Invalid Input")</f>
        <v>Completed</v>
      </c>
    </row>
    <row r="1655" spans="1:21" x14ac:dyDescent="0.25">
      <c r="A1655" s="4" t="s">
        <v>2778</v>
      </c>
      <c r="B1655" s="5">
        <v>45531</v>
      </c>
      <c r="C1655" t="s">
        <v>41</v>
      </c>
      <c r="D1655" t="s">
        <v>3269</v>
      </c>
      <c r="E1655" t="s">
        <v>38</v>
      </c>
      <c r="F1655" t="s">
        <v>3206</v>
      </c>
      <c r="G1655" t="s">
        <v>39</v>
      </c>
      <c r="H1655" t="str">
        <f>VLOOKUP(Table1[[#This Row],[City]],Table6[#All],2,FALSE)</f>
        <v>West</v>
      </c>
      <c r="I1655" t="s">
        <v>3204</v>
      </c>
      <c r="J1655" t="str">
        <f>_xlfn.XLOOKUP(Table1[[#This Row],[Tractor Model]],Table7[Product Model],Table7[Product Category],"Not Available",0)</f>
        <v>Kubota</v>
      </c>
      <c r="K1655" s="4">
        <v>6</v>
      </c>
      <c r="L1655" s="72">
        <v>670827</v>
      </c>
      <c r="M1655" s="4">
        <f>INDEX('Master Sheet'!$C$4:$C$12,MATCH(Table1[[#This Row],[Quantity]],'Master Sheet'!$B$4:$B$12,0))</f>
        <v>8</v>
      </c>
      <c r="N1655" s="71">
        <f>Table1[[#This Row],[Quantity]]*Table1[[#This Row],[Unit Price]]</f>
        <v>4024962</v>
      </c>
      <c r="O1655" s="73">
        <v>0.40249620000000003</v>
      </c>
      <c r="P1655" s="70">
        <f>Table1[[#This Row],[Gross Amount]]*(1-(Table1[[#This Row],[Discount %]]/100))</f>
        <v>3702965.04</v>
      </c>
      <c r="Q1655" s="74">
        <f>(Table1[[#This Row],[Gross Amount]]*(1-(Table1[[#This Row],[Discount %]]/100)))/10000000</f>
        <v>0.37029650400000003</v>
      </c>
      <c r="R1655" t="s">
        <v>54</v>
      </c>
      <c r="S1655" t="str" cm="1">
        <f t="array" ref="S1655">IFERROR(_xlfn.IFS(Table1[[#This Row],[Payment Status]]="Partial","In Transit",Table1[[#This Row],[Payment Status]]="Paid","Delivered",Table1[[#This Row],[Payment Status]]="Pending","Pending"),"Invalid Input")</f>
        <v>Delivered</v>
      </c>
      <c r="T1655" t="s">
        <v>27</v>
      </c>
      <c r="U1655" t="str" cm="1">
        <f t="array" ref="U1655">IFERROR(_xlfn.IFS(Table1[[#This Row],[Payment Status]]="Partial","In Transit",Table1[[#This Row],[Payment Status]]="Paid","Completed",Table1[[#This Row],[Payment Status]]="Pending","Pending"),"Invalid Input")</f>
        <v>Completed</v>
      </c>
    </row>
    <row r="1656" spans="1:21" x14ac:dyDescent="0.25">
      <c r="A1656" s="4" t="s">
        <v>2779</v>
      </c>
      <c r="B1656" s="5">
        <v>45661</v>
      </c>
      <c r="C1656" t="s">
        <v>62</v>
      </c>
      <c r="D1656" t="s">
        <v>3270</v>
      </c>
      <c r="E1656" t="s">
        <v>47</v>
      </c>
      <c r="F1656" t="s">
        <v>3205</v>
      </c>
      <c r="G1656" t="s">
        <v>48</v>
      </c>
      <c r="H1656" t="str">
        <f>VLOOKUP(Table1[[#This Row],[City]],Table6[#All],2,FALSE)</f>
        <v>North</v>
      </c>
      <c r="I1656" t="s">
        <v>58</v>
      </c>
      <c r="J1656" t="str">
        <f>_xlfn.XLOOKUP(Table1[[#This Row],[Tractor Model]],Table7[Product Model],Table7[Product Category],"Not Available",0)</f>
        <v>Powertrac</v>
      </c>
      <c r="K1656" s="4">
        <v>5</v>
      </c>
      <c r="L1656" s="72">
        <v>175389</v>
      </c>
      <c r="M1656" s="4">
        <f>INDEX('Master Sheet'!$C$4:$C$12,MATCH(Table1[[#This Row],[Quantity]],'Master Sheet'!$B$4:$B$12,0))</f>
        <v>7</v>
      </c>
      <c r="N1656" s="71">
        <f>Table1[[#This Row],[Quantity]]*Table1[[#This Row],[Unit Price]]</f>
        <v>876945</v>
      </c>
      <c r="O1656" s="73">
        <v>8.7694499999999995E-2</v>
      </c>
      <c r="P1656" s="70">
        <f>Table1[[#This Row],[Gross Amount]]*(1-(Table1[[#This Row],[Discount %]]/100))</f>
        <v>815558.85</v>
      </c>
      <c r="Q1656" s="74">
        <f>(Table1[[#This Row],[Gross Amount]]*(1-(Table1[[#This Row],[Discount %]]/100)))/10000000</f>
        <v>8.1555884999999995E-2</v>
      </c>
      <c r="R1656" t="s">
        <v>54</v>
      </c>
      <c r="S1656" t="str" cm="1">
        <f t="array" ref="S1656">IFERROR(_xlfn.IFS(Table1[[#This Row],[Payment Status]]="Partial","In Transit",Table1[[#This Row],[Payment Status]]="Paid","Delivered",Table1[[#This Row],[Payment Status]]="Pending","Pending"),"Invalid Input")</f>
        <v>Delivered</v>
      </c>
      <c r="T1656" t="s">
        <v>27</v>
      </c>
      <c r="U1656" t="str" cm="1">
        <f t="array" ref="U1656">IFERROR(_xlfn.IFS(Table1[[#This Row],[Payment Status]]="Partial","In Transit",Table1[[#This Row],[Payment Status]]="Paid","Completed",Table1[[#This Row],[Payment Status]]="Pending","Pending"),"Invalid Input")</f>
        <v>Completed</v>
      </c>
    </row>
    <row r="1657" spans="1:21" x14ac:dyDescent="0.25">
      <c r="A1657" s="4" t="s">
        <v>2780</v>
      </c>
      <c r="B1657" s="5">
        <v>45366</v>
      </c>
      <c r="C1657" t="s">
        <v>52</v>
      </c>
      <c r="D1657" t="s">
        <v>3271</v>
      </c>
      <c r="E1657" t="s">
        <v>119</v>
      </c>
      <c r="F1657" t="s">
        <v>3228</v>
      </c>
      <c r="G1657" t="s">
        <v>21</v>
      </c>
      <c r="H1657" t="str">
        <f>VLOOKUP(Table1[[#This Row],[City]],Table6[#All],2,FALSE)</f>
        <v>North</v>
      </c>
      <c r="I1657" t="s">
        <v>53</v>
      </c>
      <c r="J1657" t="str">
        <f>_xlfn.XLOOKUP(Table1[[#This Row],[Tractor Model]],Table7[Product Model],Table7[Product Category],"Not Available",0)</f>
        <v>Farmtrac</v>
      </c>
      <c r="K1657" s="4">
        <v>4</v>
      </c>
      <c r="L1657" s="72">
        <v>162783</v>
      </c>
      <c r="M1657" s="4">
        <f>INDEX('Master Sheet'!$C$4:$C$12,MATCH(Table1[[#This Row],[Quantity]],'Master Sheet'!$B$4:$B$12,0))</f>
        <v>6</v>
      </c>
      <c r="N1657" s="71">
        <f>Table1[[#This Row],[Quantity]]*Table1[[#This Row],[Unit Price]]</f>
        <v>651132</v>
      </c>
      <c r="O1657" s="73">
        <v>6.5113199999999996E-2</v>
      </c>
      <c r="P1657" s="70">
        <f>Table1[[#This Row],[Gross Amount]]*(1-(Table1[[#This Row],[Discount %]]/100))</f>
        <v>612064.07999999996</v>
      </c>
      <c r="Q1657" s="74">
        <f>(Table1[[#This Row],[Gross Amount]]*(1-(Table1[[#This Row],[Discount %]]/100)))/10000000</f>
        <v>6.1206407999999997E-2</v>
      </c>
      <c r="R1657" t="s">
        <v>42</v>
      </c>
      <c r="S1657" t="str" cm="1">
        <f t="array" ref="S1657">IFERROR(_xlfn.IFS(Table1[[#This Row],[Payment Status]]="Partial","In Transit",Table1[[#This Row],[Payment Status]]="Paid","Delivered",Table1[[#This Row],[Payment Status]]="Pending","Pending"),"Invalid Input")</f>
        <v>Pending</v>
      </c>
      <c r="T1657" t="s">
        <v>27</v>
      </c>
      <c r="U1657" t="str" cm="1">
        <f t="array" ref="U1657">IFERROR(_xlfn.IFS(Table1[[#This Row],[Payment Status]]="Partial","In Transit",Table1[[#This Row],[Payment Status]]="Paid","Completed",Table1[[#This Row],[Payment Status]]="Pending","Pending"),"Invalid Input")</f>
        <v>Pending</v>
      </c>
    </row>
    <row r="1658" spans="1:21" x14ac:dyDescent="0.25">
      <c r="A1658" s="4" t="s">
        <v>2781</v>
      </c>
      <c r="B1658" s="5">
        <v>45706</v>
      </c>
      <c r="C1658" t="s">
        <v>73</v>
      </c>
      <c r="D1658" t="s">
        <v>3269</v>
      </c>
      <c r="E1658" t="s">
        <v>38</v>
      </c>
      <c r="F1658" t="s">
        <v>3206</v>
      </c>
      <c r="G1658" t="s">
        <v>39</v>
      </c>
      <c r="H1658" t="str">
        <f>VLOOKUP(Table1[[#This Row],[City]],Table6[#All],2,FALSE)</f>
        <v>West</v>
      </c>
      <c r="I1658" t="s">
        <v>3204</v>
      </c>
      <c r="J1658" t="str">
        <f>_xlfn.XLOOKUP(Table1[[#This Row],[Tractor Model]],Table7[Product Model],Table7[Product Category],"Not Available",0)</f>
        <v>Kubota</v>
      </c>
      <c r="K1658" s="4">
        <v>7</v>
      </c>
      <c r="L1658" s="72">
        <v>539697</v>
      </c>
      <c r="M1658" s="4">
        <f>INDEX('Master Sheet'!$C$4:$C$12,MATCH(Table1[[#This Row],[Quantity]],'Master Sheet'!$B$4:$B$12,0))</f>
        <v>9</v>
      </c>
      <c r="N1658" s="71">
        <f>Table1[[#This Row],[Quantity]]*Table1[[#This Row],[Unit Price]]</f>
        <v>3777879</v>
      </c>
      <c r="O1658" s="73">
        <v>0.37778790000000001</v>
      </c>
      <c r="P1658" s="70">
        <f>Table1[[#This Row],[Gross Amount]]*(1-(Table1[[#This Row],[Discount %]]/100))</f>
        <v>3437869.89</v>
      </c>
      <c r="Q1658" s="74">
        <f>(Table1[[#This Row],[Gross Amount]]*(1-(Table1[[#This Row],[Discount %]]/100)))/10000000</f>
        <v>0.34378698899999999</v>
      </c>
      <c r="R1658" t="s">
        <v>25</v>
      </c>
      <c r="S1658" t="str" cm="1">
        <f t="array" ref="S1658">IFERROR(_xlfn.IFS(Table1[[#This Row],[Payment Status]]="Partial","In Transit",Table1[[#This Row],[Payment Status]]="Paid","Delivered",Table1[[#This Row],[Payment Status]]="Pending","Pending"),"Invalid Input")</f>
        <v>In Transit</v>
      </c>
      <c r="T1658" t="s">
        <v>44</v>
      </c>
      <c r="U1658" t="str" cm="1">
        <f t="array" ref="U1658">IFERROR(_xlfn.IFS(Table1[[#This Row],[Payment Status]]="Partial","In Transit",Table1[[#This Row],[Payment Status]]="Paid","Completed",Table1[[#This Row],[Payment Status]]="Pending","Pending"),"Invalid Input")</f>
        <v>In Transit</v>
      </c>
    </row>
    <row r="1659" spans="1:21" x14ac:dyDescent="0.25">
      <c r="A1659" s="4" t="s">
        <v>2782</v>
      </c>
      <c r="B1659" s="5">
        <v>45706</v>
      </c>
      <c r="C1659" t="s">
        <v>41</v>
      </c>
      <c r="D1659" t="s">
        <v>37</v>
      </c>
      <c r="E1659" t="s">
        <v>119</v>
      </c>
      <c r="F1659" t="s">
        <v>3224</v>
      </c>
      <c r="G1659" t="s">
        <v>21</v>
      </c>
      <c r="H1659" t="str">
        <f>VLOOKUP(Table1[[#This Row],[City]],Table6[#All],2,FALSE)</f>
        <v>North</v>
      </c>
      <c r="I1659" t="s">
        <v>24</v>
      </c>
      <c r="J1659" t="str">
        <f>_xlfn.XLOOKUP(Table1[[#This Row],[Tractor Model]],Table7[Product Model],Table7[Product Category],"Not Available",0)</f>
        <v>Farmtrac</v>
      </c>
      <c r="K1659" s="4">
        <v>5</v>
      </c>
      <c r="L1659" s="72">
        <v>370635</v>
      </c>
      <c r="M1659" s="4">
        <f>INDEX('Master Sheet'!$C$4:$C$12,MATCH(Table1[[#This Row],[Quantity]],'Master Sheet'!$B$4:$B$12,0))</f>
        <v>7</v>
      </c>
      <c r="N1659" s="71">
        <f>Table1[[#This Row],[Quantity]]*Table1[[#This Row],[Unit Price]]</f>
        <v>1853175</v>
      </c>
      <c r="O1659" s="73">
        <v>0.1853175</v>
      </c>
      <c r="P1659" s="70">
        <f>Table1[[#This Row],[Gross Amount]]*(1-(Table1[[#This Row],[Discount %]]/100))</f>
        <v>1723452.75</v>
      </c>
      <c r="Q1659" s="74">
        <f>(Table1[[#This Row],[Gross Amount]]*(1-(Table1[[#This Row],[Discount %]]/100)))/10000000</f>
        <v>0.17234527499999999</v>
      </c>
      <c r="R1659" t="s">
        <v>25</v>
      </c>
      <c r="S1659" t="str" cm="1">
        <f t="array" ref="S1659">IFERROR(_xlfn.IFS(Table1[[#This Row],[Payment Status]]="Partial","In Transit",Table1[[#This Row],[Payment Status]]="Paid","Delivered",Table1[[#This Row],[Payment Status]]="Pending","Pending"),"Invalid Input")</f>
        <v>In Transit</v>
      </c>
      <c r="T1659" t="s">
        <v>27</v>
      </c>
      <c r="U1659" t="str" cm="1">
        <f t="array" ref="U1659">IFERROR(_xlfn.IFS(Table1[[#This Row],[Payment Status]]="Partial","In Transit",Table1[[#This Row],[Payment Status]]="Paid","Completed",Table1[[#This Row],[Payment Status]]="Pending","Pending"),"Invalid Input")</f>
        <v>In Transit</v>
      </c>
    </row>
    <row r="1660" spans="1:21" x14ac:dyDescent="0.25">
      <c r="A1660" s="4" t="s">
        <v>2783</v>
      </c>
      <c r="B1660" s="5">
        <v>45324</v>
      </c>
      <c r="C1660" t="s">
        <v>62</v>
      </c>
      <c r="D1660" t="s">
        <v>3271</v>
      </c>
      <c r="E1660" t="s">
        <v>30</v>
      </c>
      <c r="F1660" t="s">
        <v>3217</v>
      </c>
      <c r="G1660" t="s">
        <v>31</v>
      </c>
      <c r="H1660" t="str">
        <f>VLOOKUP(Table1[[#This Row],[City]],Table6[#All],2,FALSE)</f>
        <v>South</v>
      </c>
      <c r="I1660" t="s">
        <v>24</v>
      </c>
      <c r="J1660" t="str">
        <f>_xlfn.XLOOKUP(Table1[[#This Row],[Tractor Model]],Table7[Product Model],Table7[Product Category],"Not Available",0)</f>
        <v>Farmtrac</v>
      </c>
      <c r="K1660" s="4">
        <v>2</v>
      </c>
      <c r="L1660" s="72">
        <v>692159</v>
      </c>
      <c r="M1660" s="4">
        <f>INDEX('Master Sheet'!$C$4:$C$12,MATCH(Table1[[#This Row],[Quantity]],'Master Sheet'!$B$4:$B$12,0))</f>
        <v>5</v>
      </c>
      <c r="N1660" s="71">
        <f>Table1[[#This Row],[Quantity]]*Table1[[#This Row],[Unit Price]]</f>
        <v>1384318</v>
      </c>
      <c r="O1660" s="73">
        <v>0.13843179999999999</v>
      </c>
      <c r="P1660" s="70">
        <f>Table1[[#This Row],[Gross Amount]]*(1-(Table1[[#This Row],[Discount %]]/100))</f>
        <v>1315102.0999999999</v>
      </c>
      <c r="Q1660" s="74">
        <f>(Table1[[#This Row],[Gross Amount]]*(1-(Table1[[#This Row],[Discount %]]/100)))/10000000</f>
        <v>0.13151020999999999</v>
      </c>
      <c r="R1660" t="s">
        <v>54</v>
      </c>
      <c r="S1660" t="str" cm="1">
        <f t="array" ref="S1660">IFERROR(_xlfn.IFS(Table1[[#This Row],[Payment Status]]="Partial","In Transit",Table1[[#This Row],[Payment Status]]="Paid","Delivered",Table1[[#This Row],[Payment Status]]="Pending","Pending"),"Invalid Input")</f>
        <v>Delivered</v>
      </c>
      <c r="T1660" t="s">
        <v>44</v>
      </c>
      <c r="U1660" t="str" cm="1">
        <f t="array" ref="U1660">IFERROR(_xlfn.IFS(Table1[[#This Row],[Payment Status]]="Partial","In Transit",Table1[[#This Row],[Payment Status]]="Paid","Completed",Table1[[#This Row],[Payment Status]]="Pending","Pending"),"Invalid Input")</f>
        <v>Completed</v>
      </c>
    </row>
    <row r="1661" spans="1:21" x14ac:dyDescent="0.25">
      <c r="A1661" s="4" t="s">
        <v>2784</v>
      </c>
      <c r="B1661" s="5">
        <v>45521</v>
      </c>
      <c r="C1661" t="s">
        <v>41</v>
      </c>
      <c r="D1661" t="s">
        <v>37</v>
      </c>
      <c r="E1661" t="s">
        <v>66</v>
      </c>
      <c r="F1661" t="s">
        <v>3226</v>
      </c>
      <c r="G1661" t="s">
        <v>67</v>
      </c>
      <c r="H1661" t="str">
        <f>VLOOKUP(Table1[[#This Row],[City]],Table6[#All],2,FALSE)</f>
        <v>East</v>
      </c>
      <c r="I1661" t="s">
        <v>24</v>
      </c>
      <c r="J1661" t="str">
        <f>_xlfn.XLOOKUP(Table1[[#This Row],[Tractor Model]],Table7[Product Model],Table7[Product Category],"Not Available",0)</f>
        <v>Farmtrac</v>
      </c>
      <c r="K1661" s="4">
        <v>7</v>
      </c>
      <c r="L1661" s="72">
        <v>364111</v>
      </c>
      <c r="M1661" s="4">
        <f>INDEX('Master Sheet'!$C$4:$C$12,MATCH(Table1[[#This Row],[Quantity]],'Master Sheet'!$B$4:$B$12,0))</f>
        <v>9</v>
      </c>
      <c r="N1661" s="71">
        <f>Table1[[#This Row],[Quantity]]*Table1[[#This Row],[Unit Price]]</f>
        <v>2548777</v>
      </c>
      <c r="O1661" s="73">
        <v>0.25487769999999998</v>
      </c>
      <c r="P1661" s="70">
        <f>Table1[[#This Row],[Gross Amount]]*(1-(Table1[[#This Row],[Discount %]]/100))</f>
        <v>2319387.0700000003</v>
      </c>
      <c r="Q1661" s="74">
        <f>(Table1[[#This Row],[Gross Amount]]*(1-(Table1[[#This Row],[Discount %]]/100)))/10000000</f>
        <v>0.23193870700000002</v>
      </c>
      <c r="R1661" t="s">
        <v>54</v>
      </c>
      <c r="S1661" t="str" cm="1">
        <f t="array" ref="S1661">IFERROR(_xlfn.IFS(Table1[[#This Row],[Payment Status]]="Partial","In Transit",Table1[[#This Row],[Payment Status]]="Paid","Delivered",Table1[[#This Row],[Payment Status]]="Pending","Pending"),"Invalid Input")</f>
        <v>Delivered</v>
      </c>
      <c r="T1661" t="s">
        <v>27</v>
      </c>
      <c r="U1661" t="str" cm="1">
        <f t="array" ref="U1661">IFERROR(_xlfn.IFS(Table1[[#This Row],[Payment Status]]="Partial","In Transit",Table1[[#This Row],[Payment Status]]="Paid","Completed",Table1[[#This Row],[Payment Status]]="Pending","Pending"),"Invalid Input")</f>
        <v>Completed</v>
      </c>
    </row>
    <row r="1662" spans="1:21" x14ac:dyDescent="0.25">
      <c r="A1662" s="4" t="s">
        <v>2785</v>
      </c>
      <c r="B1662" s="5">
        <v>45997</v>
      </c>
      <c r="C1662" t="s">
        <v>41</v>
      </c>
      <c r="D1662" t="s">
        <v>3270</v>
      </c>
      <c r="E1662" t="s">
        <v>47</v>
      </c>
      <c r="F1662" t="s">
        <v>3205</v>
      </c>
      <c r="G1662" t="s">
        <v>48</v>
      </c>
      <c r="H1662" t="str">
        <f>VLOOKUP(Table1[[#This Row],[City]],Table6[#All],2,FALSE)</f>
        <v>North</v>
      </c>
      <c r="I1662" t="s">
        <v>24</v>
      </c>
      <c r="J1662" t="str">
        <f>_xlfn.XLOOKUP(Table1[[#This Row],[Tractor Model]],Table7[Product Model],Table7[Product Category],"Not Available",0)</f>
        <v>Farmtrac</v>
      </c>
      <c r="K1662" s="4">
        <v>1</v>
      </c>
      <c r="L1662" s="72">
        <v>715279</v>
      </c>
      <c r="M1662" s="4">
        <f>INDEX('Master Sheet'!$C$4:$C$12,MATCH(Table1[[#This Row],[Quantity]],'Master Sheet'!$B$4:$B$12,0))</f>
        <v>3</v>
      </c>
      <c r="N1662" s="71">
        <f>Table1[[#This Row],[Quantity]]*Table1[[#This Row],[Unit Price]]</f>
        <v>715279</v>
      </c>
      <c r="O1662" s="73">
        <v>7.1527900000000005E-2</v>
      </c>
      <c r="P1662" s="70">
        <f>Table1[[#This Row],[Gross Amount]]*(1-(Table1[[#This Row],[Discount %]]/100))</f>
        <v>693820.63</v>
      </c>
      <c r="Q1662" s="74">
        <f>(Table1[[#This Row],[Gross Amount]]*(1-(Table1[[#This Row],[Discount %]]/100)))/10000000</f>
        <v>6.9382062999999994E-2</v>
      </c>
      <c r="R1662" t="s">
        <v>25</v>
      </c>
      <c r="S1662" t="str" cm="1">
        <f t="array" ref="S1662">IFERROR(_xlfn.IFS(Table1[[#This Row],[Payment Status]]="Partial","In Transit",Table1[[#This Row],[Payment Status]]="Paid","Delivered",Table1[[#This Row],[Payment Status]]="Pending","Pending"),"Invalid Input")</f>
        <v>In Transit</v>
      </c>
      <c r="T1662" t="s">
        <v>27</v>
      </c>
      <c r="U1662" t="str" cm="1">
        <f t="array" ref="U1662">IFERROR(_xlfn.IFS(Table1[[#This Row],[Payment Status]]="Partial","In Transit",Table1[[#This Row],[Payment Status]]="Paid","Completed",Table1[[#This Row],[Payment Status]]="Pending","Pending"),"Invalid Input")</f>
        <v>In Transit</v>
      </c>
    </row>
    <row r="1663" spans="1:21" x14ac:dyDescent="0.25">
      <c r="A1663" s="4" t="s">
        <v>2786</v>
      </c>
      <c r="B1663" s="5">
        <v>45783</v>
      </c>
      <c r="C1663" t="s">
        <v>52</v>
      </c>
      <c r="D1663" t="s">
        <v>3271</v>
      </c>
      <c r="E1663" t="s">
        <v>47</v>
      </c>
      <c r="F1663" t="s">
        <v>3221</v>
      </c>
      <c r="G1663" t="s">
        <v>48</v>
      </c>
      <c r="H1663" t="str">
        <f>VLOOKUP(Table1[[#This Row],[City]],Table6[#All],2,FALSE)</f>
        <v>North</v>
      </c>
      <c r="I1663" t="s">
        <v>53</v>
      </c>
      <c r="J1663" t="str">
        <f>_xlfn.XLOOKUP(Table1[[#This Row],[Tractor Model]],Table7[Product Model],Table7[Product Category],"Not Available",0)</f>
        <v>Farmtrac</v>
      </c>
      <c r="K1663" s="4">
        <v>4</v>
      </c>
      <c r="L1663" s="72">
        <v>93304</v>
      </c>
      <c r="M1663" s="4">
        <f>INDEX('Master Sheet'!$C$4:$C$12,MATCH(Table1[[#This Row],[Quantity]],'Master Sheet'!$B$4:$B$12,0))</f>
        <v>6</v>
      </c>
      <c r="N1663" s="71">
        <f>Table1[[#This Row],[Quantity]]*Table1[[#This Row],[Unit Price]]</f>
        <v>373216</v>
      </c>
      <c r="O1663" s="73">
        <v>3.7321600000000003E-2</v>
      </c>
      <c r="P1663" s="70">
        <f>Table1[[#This Row],[Gross Amount]]*(1-(Table1[[#This Row],[Discount %]]/100))</f>
        <v>350823.04</v>
      </c>
      <c r="Q1663" s="74">
        <f>(Table1[[#This Row],[Gross Amount]]*(1-(Table1[[#This Row],[Discount %]]/100)))/10000000</f>
        <v>3.5082303999999995E-2</v>
      </c>
      <c r="R1663" t="s">
        <v>25</v>
      </c>
      <c r="S1663" t="str" cm="1">
        <f t="array" ref="S1663">IFERROR(_xlfn.IFS(Table1[[#This Row],[Payment Status]]="Partial","In Transit",Table1[[#This Row],[Payment Status]]="Paid","Delivered",Table1[[#This Row],[Payment Status]]="Pending","Pending"),"Invalid Input")</f>
        <v>In Transit</v>
      </c>
      <c r="T1663" t="s">
        <v>27</v>
      </c>
      <c r="U1663" t="str" cm="1">
        <f t="array" ref="U1663">IFERROR(_xlfn.IFS(Table1[[#This Row],[Payment Status]]="Partial","In Transit",Table1[[#This Row],[Payment Status]]="Paid","Completed",Table1[[#This Row],[Payment Status]]="Pending","Pending"),"Invalid Input")</f>
        <v>In Transit</v>
      </c>
    </row>
    <row r="1664" spans="1:21" x14ac:dyDescent="0.25">
      <c r="A1664" s="4" t="s">
        <v>2787</v>
      </c>
      <c r="B1664" s="5">
        <v>45509</v>
      </c>
      <c r="C1664" t="s">
        <v>33</v>
      </c>
      <c r="D1664" t="s">
        <v>3271</v>
      </c>
      <c r="E1664" t="s">
        <v>119</v>
      </c>
      <c r="F1664" t="s">
        <v>3228</v>
      </c>
      <c r="G1664" t="s">
        <v>21</v>
      </c>
      <c r="H1664" t="str">
        <f>VLOOKUP(Table1[[#This Row],[City]],Table6[#All],2,FALSE)</f>
        <v>North</v>
      </c>
      <c r="I1664" t="s">
        <v>24</v>
      </c>
      <c r="J1664" t="str">
        <f>_xlfn.XLOOKUP(Table1[[#This Row],[Tractor Model]],Table7[Product Model],Table7[Product Category],"Not Available",0)</f>
        <v>Farmtrac</v>
      </c>
      <c r="K1664" s="4">
        <v>2</v>
      </c>
      <c r="L1664" s="72">
        <v>341218</v>
      </c>
      <c r="M1664" s="4">
        <f>INDEX('Master Sheet'!$C$4:$C$12,MATCH(Table1[[#This Row],[Quantity]],'Master Sheet'!$B$4:$B$12,0))</f>
        <v>5</v>
      </c>
      <c r="N1664" s="71">
        <f>Table1[[#This Row],[Quantity]]*Table1[[#This Row],[Unit Price]]</f>
        <v>682436</v>
      </c>
      <c r="O1664" s="73">
        <v>6.8243600000000001E-2</v>
      </c>
      <c r="P1664" s="70">
        <f>Table1[[#This Row],[Gross Amount]]*(1-(Table1[[#This Row],[Discount %]]/100))</f>
        <v>648314.19999999995</v>
      </c>
      <c r="Q1664" s="74">
        <f>(Table1[[#This Row],[Gross Amount]]*(1-(Table1[[#This Row],[Discount %]]/100)))/10000000</f>
        <v>6.4831420000000001E-2</v>
      </c>
      <c r="R1664" t="s">
        <v>25</v>
      </c>
      <c r="S1664" t="str" cm="1">
        <f t="array" ref="S1664">IFERROR(_xlfn.IFS(Table1[[#This Row],[Payment Status]]="Partial","In Transit",Table1[[#This Row],[Payment Status]]="Paid","Delivered",Table1[[#This Row],[Payment Status]]="Pending","Pending"),"Invalid Input")</f>
        <v>In Transit</v>
      </c>
      <c r="T1664" t="s">
        <v>44</v>
      </c>
      <c r="U1664" t="str" cm="1">
        <f t="array" ref="U1664">IFERROR(_xlfn.IFS(Table1[[#This Row],[Payment Status]]="Partial","In Transit",Table1[[#This Row],[Payment Status]]="Paid","Completed",Table1[[#This Row],[Payment Status]]="Pending","Pending"),"Invalid Input")</f>
        <v>In Transit</v>
      </c>
    </row>
    <row r="1665" spans="1:21" x14ac:dyDescent="0.25">
      <c r="A1665" s="4" t="s">
        <v>2788</v>
      </c>
      <c r="B1665" s="5">
        <v>45789</v>
      </c>
      <c r="C1665" t="s">
        <v>73</v>
      </c>
      <c r="D1665" t="s">
        <v>3270</v>
      </c>
      <c r="E1665" t="s">
        <v>30</v>
      </c>
      <c r="F1665" t="s">
        <v>3223</v>
      </c>
      <c r="G1665" t="s">
        <v>31</v>
      </c>
      <c r="H1665" t="str">
        <f>VLOOKUP(Table1[[#This Row],[City]],Table6[#All],2,FALSE)</f>
        <v>South</v>
      </c>
      <c r="I1665" t="s">
        <v>3204</v>
      </c>
      <c r="J1665" t="str">
        <f>_xlfn.XLOOKUP(Table1[[#This Row],[Tractor Model]],Table7[Product Model],Table7[Product Category],"Not Available",0)</f>
        <v>Kubota</v>
      </c>
      <c r="K1665" s="4">
        <v>8</v>
      </c>
      <c r="L1665" s="72">
        <v>127291</v>
      </c>
      <c r="M1665" s="4">
        <f>INDEX('Master Sheet'!$C$4:$C$12,MATCH(Table1[[#This Row],[Quantity]],'Master Sheet'!$B$4:$B$12,0))</f>
        <v>9</v>
      </c>
      <c r="N1665" s="71">
        <f>Table1[[#This Row],[Quantity]]*Table1[[#This Row],[Unit Price]]</f>
        <v>1018328</v>
      </c>
      <c r="O1665" s="73">
        <v>0.1018328</v>
      </c>
      <c r="P1665" s="70">
        <f>Table1[[#This Row],[Gross Amount]]*(1-(Table1[[#This Row],[Discount %]]/100))</f>
        <v>926678.48</v>
      </c>
      <c r="Q1665" s="74">
        <f>(Table1[[#This Row],[Gross Amount]]*(1-(Table1[[#This Row],[Discount %]]/100)))/10000000</f>
        <v>9.2667847999999997E-2</v>
      </c>
      <c r="R1665" t="s">
        <v>42</v>
      </c>
      <c r="S1665" t="str" cm="1">
        <f t="array" ref="S1665">IFERROR(_xlfn.IFS(Table1[[#This Row],[Payment Status]]="Partial","In Transit",Table1[[#This Row],[Payment Status]]="Paid","Delivered",Table1[[#This Row],[Payment Status]]="Pending","Pending"),"Invalid Input")</f>
        <v>Pending</v>
      </c>
      <c r="T1665" t="s">
        <v>27</v>
      </c>
      <c r="U1665" t="str" cm="1">
        <f t="array" ref="U1665">IFERROR(_xlfn.IFS(Table1[[#This Row],[Payment Status]]="Partial","In Transit",Table1[[#This Row],[Payment Status]]="Paid","Completed",Table1[[#This Row],[Payment Status]]="Pending","Pending"),"Invalid Input")</f>
        <v>Pending</v>
      </c>
    </row>
    <row r="1666" spans="1:21" x14ac:dyDescent="0.25">
      <c r="A1666" s="4" t="s">
        <v>2790</v>
      </c>
      <c r="B1666" s="5">
        <v>45643</v>
      </c>
      <c r="C1666" t="s">
        <v>62</v>
      </c>
      <c r="D1666" t="s">
        <v>3269</v>
      </c>
      <c r="E1666" t="s">
        <v>38</v>
      </c>
      <c r="F1666" t="s">
        <v>3206</v>
      </c>
      <c r="G1666" t="s">
        <v>39</v>
      </c>
      <c r="H1666" t="str">
        <f>VLOOKUP(Table1[[#This Row],[City]],Table6[#All],2,FALSE)</f>
        <v>West</v>
      </c>
      <c r="I1666" t="s">
        <v>53</v>
      </c>
      <c r="J1666" t="str">
        <f>_xlfn.XLOOKUP(Table1[[#This Row],[Tractor Model]],Table7[Product Model],Table7[Product Category],"Not Available",0)</f>
        <v>Farmtrac</v>
      </c>
      <c r="K1666" s="4">
        <v>6</v>
      </c>
      <c r="L1666" s="72">
        <v>346263</v>
      </c>
      <c r="M1666" s="4">
        <f>INDEX('Master Sheet'!$C$4:$C$12,MATCH(Table1[[#This Row],[Quantity]],'Master Sheet'!$B$4:$B$12,0))</f>
        <v>8</v>
      </c>
      <c r="N1666" s="71">
        <f>Table1[[#This Row],[Quantity]]*Table1[[#This Row],[Unit Price]]</f>
        <v>2077578</v>
      </c>
      <c r="O1666" s="73">
        <v>0.20775779999999999</v>
      </c>
      <c r="P1666" s="70">
        <f>Table1[[#This Row],[Gross Amount]]*(1-(Table1[[#This Row],[Discount %]]/100))</f>
        <v>1911371.76</v>
      </c>
      <c r="Q1666" s="74">
        <f>(Table1[[#This Row],[Gross Amount]]*(1-(Table1[[#This Row],[Discount %]]/100)))/10000000</f>
        <v>0.19113717599999999</v>
      </c>
      <c r="R1666" t="s">
        <v>54</v>
      </c>
      <c r="S1666" t="str" cm="1">
        <f t="array" ref="S1666">IFERROR(_xlfn.IFS(Table1[[#This Row],[Payment Status]]="Partial","In Transit",Table1[[#This Row],[Payment Status]]="Paid","Delivered",Table1[[#This Row],[Payment Status]]="Pending","Pending"),"Invalid Input")</f>
        <v>Delivered</v>
      </c>
      <c r="T1666" t="s">
        <v>44</v>
      </c>
      <c r="U1666" t="str" cm="1">
        <f t="array" ref="U1666">IFERROR(_xlfn.IFS(Table1[[#This Row],[Payment Status]]="Partial","In Transit",Table1[[#This Row],[Payment Status]]="Paid","Completed",Table1[[#This Row],[Payment Status]]="Pending","Pending"),"Invalid Input")</f>
        <v>Completed</v>
      </c>
    </row>
    <row r="1667" spans="1:21" x14ac:dyDescent="0.25">
      <c r="A1667" s="4" t="s">
        <v>2792</v>
      </c>
      <c r="B1667" s="5">
        <v>45293</v>
      </c>
      <c r="C1667" t="s">
        <v>73</v>
      </c>
      <c r="D1667" t="s">
        <v>3268</v>
      </c>
      <c r="E1667" t="s">
        <v>66</v>
      </c>
      <c r="F1667" t="s">
        <v>3211</v>
      </c>
      <c r="G1667" t="s">
        <v>67</v>
      </c>
      <c r="H1667" t="str">
        <f>VLOOKUP(Table1[[#This Row],[City]],Table6[#All],2,FALSE)</f>
        <v>East</v>
      </c>
      <c r="I1667" t="s">
        <v>24</v>
      </c>
      <c r="J1667" t="str">
        <f>_xlfn.XLOOKUP(Table1[[#This Row],[Tractor Model]],Table7[Product Model],Table7[Product Category],"Not Available",0)</f>
        <v>Farmtrac</v>
      </c>
      <c r="K1667" s="4">
        <v>2</v>
      </c>
      <c r="L1667" s="72">
        <v>536118</v>
      </c>
      <c r="M1667" s="4">
        <f>INDEX('Master Sheet'!$C$4:$C$12,MATCH(Table1[[#This Row],[Quantity]],'Master Sheet'!$B$4:$B$12,0))</f>
        <v>5</v>
      </c>
      <c r="N1667" s="71">
        <f>Table1[[#This Row],[Quantity]]*Table1[[#This Row],[Unit Price]]</f>
        <v>1072236</v>
      </c>
      <c r="O1667" s="73">
        <v>0.1072236</v>
      </c>
      <c r="P1667" s="70">
        <f>Table1[[#This Row],[Gross Amount]]*(1-(Table1[[#This Row],[Discount %]]/100))</f>
        <v>1018624.2</v>
      </c>
      <c r="Q1667" s="74">
        <f>(Table1[[#This Row],[Gross Amount]]*(1-(Table1[[#This Row],[Discount %]]/100)))/10000000</f>
        <v>0.10186242</v>
      </c>
      <c r="R1667" t="s">
        <v>54</v>
      </c>
      <c r="S1667" t="str" cm="1">
        <f t="array" ref="S1667">IFERROR(_xlfn.IFS(Table1[[#This Row],[Payment Status]]="Partial","In Transit",Table1[[#This Row],[Payment Status]]="Paid","Delivered",Table1[[#This Row],[Payment Status]]="Pending","Pending"),"Invalid Input")</f>
        <v>Delivered</v>
      </c>
      <c r="T1667" t="s">
        <v>27</v>
      </c>
      <c r="U1667" t="str" cm="1">
        <f t="array" ref="U1667">IFERROR(_xlfn.IFS(Table1[[#This Row],[Payment Status]]="Partial","In Transit",Table1[[#This Row],[Payment Status]]="Paid","Completed",Table1[[#This Row],[Payment Status]]="Pending","Pending"),"Invalid Input")</f>
        <v>Completed</v>
      </c>
    </row>
    <row r="1668" spans="1:21" x14ac:dyDescent="0.25">
      <c r="A1668" s="4" t="s">
        <v>2794</v>
      </c>
      <c r="B1668" s="5">
        <v>45806</v>
      </c>
      <c r="C1668" t="s">
        <v>52</v>
      </c>
      <c r="D1668" t="s">
        <v>3271</v>
      </c>
      <c r="E1668" t="s">
        <v>47</v>
      </c>
      <c r="F1668" t="s">
        <v>3221</v>
      </c>
      <c r="G1668" t="s">
        <v>48</v>
      </c>
      <c r="H1668" t="str">
        <f>VLOOKUP(Table1[[#This Row],[City]],Table6[#All],2,FALSE)</f>
        <v>North</v>
      </c>
      <c r="I1668" t="s">
        <v>3204</v>
      </c>
      <c r="J1668" t="str">
        <f>_xlfn.XLOOKUP(Table1[[#This Row],[Tractor Model]],Table7[Product Model],Table7[Product Category],"Not Available",0)</f>
        <v>Kubota</v>
      </c>
      <c r="K1668" s="4">
        <v>6</v>
      </c>
      <c r="L1668" s="72">
        <v>251243</v>
      </c>
      <c r="M1668" s="4">
        <f>INDEX('Master Sheet'!$C$4:$C$12,MATCH(Table1[[#This Row],[Quantity]],'Master Sheet'!$B$4:$B$12,0))</f>
        <v>8</v>
      </c>
      <c r="N1668" s="71">
        <f>Table1[[#This Row],[Quantity]]*Table1[[#This Row],[Unit Price]]</f>
        <v>1507458</v>
      </c>
      <c r="O1668" s="73">
        <v>0.15074580000000001</v>
      </c>
      <c r="P1668" s="70">
        <f>Table1[[#This Row],[Gross Amount]]*(1-(Table1[[#This Row],[Discount %]]/100))</f>
        <v>1386861.36</v>
      </c>
      <c r="Q1668" s="74">
        <f>(Table1[[#This Row],[Gross Amount]]*(1-(Table1[[#This Row],[Discount %]]/100)))/10000000</f>
        <v>0.13868613600000002</v>
      </c>
      <c r="R1668" t="s">
        <v>25</v>
      </c>
      <c r="S1668" t="str" cm="1">
        <f t="array" ref="S1668">IFERROR(_xlfn.IFS(Table1[[#This Row],[Payment Status]]="Partial","In Transit",Table1[[#This Row],[Payment Status]]="Paid","Delivered",Table1[[#This Row],[Payment Status]]="Pending","Pending"),"Invalid Input")</f>
        <v>In Transit</v>
      </c>
      <c r="T1668" t="s">
        <v>27</v>
      </c>
      <c r="U1668" t="str" cm="1">
        <f t="array" ref="U1668">IFERROR(_xlfn.IFS(Table1[[#This Row],[Payment Status]]="Partial","In Transit",Table1[[#This Row],[Payment Status]]="Paid","Completed",Table1[[#This Row],[Payment Status]]="Pending","Pending"),"Invalid Input")</f>
        <v>In Transit</v>
      </c>
    </row>
    <row r="1669" spans="1:21" x14ac:dyDescent="0.25">
      <c r="A1669" s="4" t="s">
        <v>2795</v>
      </c>
      <c r="B1669" s="5">
        <v>45568</v>
      </c>
      <c r="C1669" t="s">
        <v>33</v>
      </c>
      <c r="D1669" t="s">
        <v>3271</v>
      </c>
      <c r="E1669" t="s">
        <v>66</v>
      </c>
      <c r="F1669" t="s">
        <v>3207</v>
      </c>
      <c r="G1669" t="s">
        <v>67</v>
      </c>
      <c r="H1669" t="str">
        <f>VLOOKUP(Table1[[#This Row],[City]],Table6[#All],2,FALSE)</f>
        <v>East</v>
      </c>
      <c r="I1669" t="s">
        <v>58</v>
      </c>
      <c r="J1669" t="str">
        <f>_xlfn.XLOOKUP(Table1[[#This Row],[Tractor Model]],Table7[Product Model],Table7[Product Category],"Not Available",0)</f>
        <v>Powertrac</v>
      </c>
      <c r="K1669" s="4">
        <v>3</v>
      </c>
      <c r="L1669" s="72">
        <v>135410</v>
      </c>
      <c r="M1669" s="4">
        <f>INDEX('Master Sheet'!$C$4:$C$12,MATCH(Table1[[#This Row],[Quantity]],'Master Sheet'!$B$4:$B$12,0))</f>
        <v>6</v>
      </c>
      <c r="N1669" s="71">
        <f>Table1[[#This Row],[Quantity]]*Table1[[#This Row],[Unit Price]]</f>
        <v>406230</v>
      </c>
      <c r="O1669" s="73">
        <v>4.0622999999999999E-2</v>
      </c>
      <c r="P1669" s="70">
        <f>Table1[[#This Row],[Gross Amount]]*(1-(Table1[[#This Row],[Discount %]]/100))</f>
        <v>381856.19999999995</v>
      </c>
      <c r="Q1669" s="74">
        <f>(Table1[[#This Row],[Gross Amount]]*(1-(Table1[[#This Row],[Discount %]]/100)))/10000000</f>
        <v>3.8185619999999997E-2</v>
      </c>
      <c r="R1669" t="s">
        <v>54</v>
      </c>
      <c r="S1669" t="str" cm="1">
        <f t="array" ref="S1669">IFERROR(_xlfn.IFS(Table1[[#This Row],[Payment Status]]="Partial","In Transit",Table1[[#This Row],[Payment Status]]="Paid","Delivered",Table1[[#This Row],[Payment Status]]="Pending","Pending"),"Invalid Input")</f>
        <v>Delivered</v>
      </c>
      <c r="T1669" t="s">
        <v>27</v>
      </c>
      <c r="U1669" t="str" cm="1">
        <f t="array" ref="U1669">IFERROR(_xlfn.IFS(Table1[[#This Row],[Payment Status]]="Partial","In Transit",Table1[[#This Row],[Payment Status]]="Paid","Completed",Table1[[#This Row],[Payment Status]]="Pending","Pending"),"Invalid Input")</f>
        <v>Completed</v>
      </c>
    </row>
    <row r="1670" spans="1:21" x14ac:dyDescent="0.25">
      <c r="A1670" s="4" t="s">
        <v>2796</v>
      </c>
      <c r="B1670" s="5">
        <v>45443</v>
      </c>
      <c r="C1670" t="s">
        <v>62</v>
      </c>
      <c r="D1670" t="s">
        <v>3268</v>
      </c>
      <c r="E1670" t="s">
        <v>30</v>
      </c>
      <c r="F1670" t="s">
        <v>3208</v>
      </c>
      <c r="G1670" t="s">
        <v>31</v>
      </c>
      <c r="H1670" t="str">
        <f>VLOOKUP(Table1[[#This Row],[City]],Table6[#All],2,FALSE)</f>
        <v>South</v>
      </c>
      <c r="I1670" t="s">
        <v>58</v>
      </c>
      <c r="J1670" t="str">
        <f>_xlfn.XLOOKUP(Table1[[#This Row],[Tractor Model]],Table7[Product Model],Table7[Product Category],"Not Available",0)</f>
        <v>Powertrac</v>
      </c>
      <c r="K1670" s="4">
        <v>6</v>
      </c>
      <c r="L1670" s="72">
        <v>321038</v>
      </c>
      <c r="M1670" s="4">
        <f>INDEX('Master Sheet'!$C$4:$C$12,MATCH(Table1[[#This Row],[Quantity]],'Master Sheet'!$B$4:$B$12,0))</f>
        <v>8</v>
      </c>
      <c r="N1670" s="71">
        <f>Table1[[#This Row],[Quantity]]*Table1[[#This Row],[Unit Price]]</f>
        <v>1926228</v>
      </c>
      <c r="O1670" s="73">
        <v>0.19262280000000001</v>
      </c>
      <c r="P1670" s="70">
        <f>Table1[[#This Row],[Gross Amount]]*(1-(Table1[[#This Row],[Discount %]]/100))</f>
        <v>1772129.76</v>
      </c>
      <c r="Q1670" s="74">
        <f>(Table1[[#This Row],[Gross Amount]]*(1-(Table1[[#This Row],[Discount %]]/100)))/10000000</f>
        <v>0.17721297599999999</v>
      </c>
      <c r="R1670" t="s">
        <v>42</v>
      </c>
      <c r="S1670" t="str" cm="1">
        <f t="array" ref="S1670">IFERROR(_xlfn.IFS(Table1[[#This Row],[Payment Status]]="Partial","In Transit",Table1[[#This Row],[Payment Status]]="Paid","Delivered",Table1[[#This Row],[Payment Status]]="Pending","Pending"),"Invalid Input")</f>
        <v>Pending</v>
      </c>
      <c r="T1670" t="s">
        <v>44</v>
      </c>
      <c r="U1670" t="str" cm="1">
        <f t="array" ref="U1670">IFERROR(_xlfn.IFS(Table1[[#This Row],[Payment Status]]="Partial","In Transit",Table1[[#This Row],[Payment Status]]="Paid","Completed",Table1[[#This Row],[Payment Status]]="Pending","Pending"),"Invalid Input")</f>
        <v>Pending</v>
      </c>
    </row>
    <row r="1671" spans="1:21" x14ac:dyDescent="0.25">
      <c r="A1671" s="4" t="s">
        <v>2797</v>
      </c>
      <c r="B1671" s="5">
        <v>45323</v>
      </c>
      <c r="C1671" t="s">
        <v>41</v>
      </c>
      <c r="D1671" t="s">
        <v>3271</v>
      </c>
      <c r="E1671" t="s">
        <v>47</v>
      </c>
      <c r="F1671" t="s">
        <v>3221</v>
      </c>
      <c r="G1671" t="s">
        <v>48</v>
      </c>
      <c r="H1671" t="str">
        <f>VLOOKUP(Table1[[#This Row],[City]],Table6[#All],2,FALSE)</f>
        <v>North</v>
      </c>
      <c r="I1671" t="s">
        <v>3204</v>
      </c>
      <c r="J1671" t="str">
        <f>_xlfn.XLOOKUP(Table1[[#This Row],[Tractor Model]],Table7[Product Model],Table7[Product Category],"Not Available",0)</f>
        <v>Kubota</v>
      </c>
      <c r="K1671" s="4">
        <v>6</v>
      </c>
      <c r="L1671" s="72">
        <v>658939</v>
      </c>
      <c r="M1671" s="4">
        <f>INDEX('Master Sheet'!$C$4:$C$12,MATCH(Table1[[#This Row],[Quantity]],'Master Sheet'!$B$4:$B$12,0))</f>
        <v>8</v>
      </c>
      <c r="N1671" s="71">
        <f>Table1[[#This Row],[Quantity]]*Table1[[#This Row],[Unit Price]]</f>
        <v>3953634</v>
      </c>
      <c r="O1671" s="73">
        <v>0.39536339999999998</v>
      </c>
      <c r="P1671" s="70">
        <f>Table1[[#This Row],[Gross Amount]]*(1-(Table1[[#This Row],[Discount %]]/100))</f>
        <v>3637343.2800000003</v>
      </c>
      <c r="Q1671" s="74">
        <f>(Table1[[#This Row],[Gross Amount]]*(1-(Table1[[#This Row],[Discount %]]/100)))/10000000</f>
        <v>0.36373432800000005</v>
      </c>
      <c r="R1671" t="s">
        <v>42</v>
      </c>
      <c r="S1671" t="str" cm="1">
        <f t="array" ref="S1671">IFERROR(_xlfn.IFS(Table1[[#This Row],[Payment Status]]="Partial","In Transit",Table1[[#This Row],[Payment Status]]="Paid","Delivered",Table1[[#This Row],[Payment Status]]="Pending","Pending"),"Invalid Input")</f>
        <v>Pending</v>
      </c>
      <c r="T1671" t="s">
        <v>27</v>
      </c>
      <c r="U1671" t="str" cm="1">
        <f t="array" ref="U1671">IFERROR(_xlfn.IFS(Table1[[#This Row],[Payment Status]]="Partial","In Transit",Table1[[#This Row],[Payment Status]]="Paid","Completed",Table1[[#This Row],[Payment Status]]="Pending","Pending"),"Invalid Input")</f>
        <v>Pending</v>
      </c>
    </row>
    <row r="1672" spans="1:21" x14ac:dyDescent="0.25">
      <c r="A1672" s="4" t="s">
        <v>2799</v>
      </c>
      <c r="B1672" s="5">
        <v>45587</v>
      </c>
      <c r="C1672" t="s">
        <v>73</v>
      </c>
      <c r="D1672" t="s">
        <v>3270</v>
      </c>
      <c r="E1672" t="s">
        <v>30</v>
      </c>
      <c r="F1672" t="s">
        <v>3223</v>
      </c>
      <c r="G1672" t="s">
        <v>31</v>
      </c>
      <c r="H1672" t="str">
        <f>VLOOKUP(Table1[[#This Row],[City]],Table6[#All],2,FALSE)</f>
        <v>South</v>
      </c>
      <c r="I1672" t="s">
        <v>3204</v>
      </c>
      <c r="J1672" t="str">
        <f>_xlfn.XLOOKUP(Table1[[#This Row],[Tractor Model]],Table7[Product Model],Table7[Product Category],"Not Available",0)</f>
        <v>Kubota</v>
      </c>
      <c r="K1672" s="4">
        <v>6</v>
      </c>
      <c r="L1672" s="72">
        <v>502582</v>
      </c>
      <c r="M1672" s="4">
        <f>INDEX('Master Sheet'!$C$4:$C$12,MATCH(Table1[[#This Row],[Quantity]],'Master Sheet'!$B$4:$B$12,0))</f>
        <v>8</v>
      </c>
      <c r="N1672" s="71">
        <f>Table1[[#This Row],[Quantity]]*Table1[[#This Row],[Unit Price]]</f>
        <v>3015492</v>
      </c>
      <c r="O1672" s="73">
        <v>0.30154920000000002</v>
      </c>
      <c r="P1672" s="70">
        <f>Table1[[#This Row],[Gross Amount]]*(1-(Table1[[#This Row],[Discount %]]/100))</f>
        <v>2774252.64</v>
      </c>
      <c r="Q1672" s="74">
        <f>(Table1[[#This Row],[Gross Amount]]*(1-(Table1[[#This Row],[Discount %]]/100)))/10000000</f>
        <v>0.277425264</v>
      </c>
      <c r="R1672" t="s">
        <v>54</v>
      </c>
      <c r="S1672" t="str" cm="1">
        <f t="array" ref="S1672">IFERROR(_xlfn.IFS(Table1[[#This Row],[Payment Status]]="Partial","In Transit",Table1[[#This Row],[Payment Status]]="Paid","Delivered",Table1[[#This Row],[Payment Status]]="Pending","Pending"),"Invalid Input")</f>
        <v>Delivered</v>
      </c>
      <c r="T1672" t="s">
        <v>27</v>
      </c>
      <c r="U1672" t="str" cm="1">
        <f t="array" ref="U1672">IFERROR(_xlfn.IFS(Table1[[#This Row],[Payment Status]]="Partial","In Transit",Table1[[#This Row],[Payment Status]]="Paid","Completed",Table1[[#This Row],[Payment Status]]="Pending","Pending"),"Invalid Input")</f>
        <v>Completed</v>
      </c>
    </row>
    <row r="1673" spans="1:21" x14ac:dyDescent="0.25">
      <c r="A1673" s="4" t="s">
        <v>2801</v>
      </c>
      <c r="B1673" s="5">
        <v>45691</v>
      </c>
      <c r="C1673" t="s">
        <v>73</v>
      </c>
      <c r="D1673" t="s">
        <v>3269</v>
      </c>
      <c r="E1673" t="s">
        <v>66</v>
      </c>
      <c r="F1673" t="s">
        <v>3213</v>
      </c>
      <c r="G1673" t="s">
        <v>67</v>
      </c>
      <c r="H1673" t="str">
        <f>VLOOKUP(Table1[[#This Row],[City]],Table6[#All],2,FALSE)</f>
        <v>East</v>
      </c>
      <c r="I1673" t="s">
        <v>3203</v>
      </c>
      <c r="J1673" t="str">
        <f>_xlfn.XLOOKUP(Table1[[#This Row],[Tractor Model]],Table7[Product Model],Table7[Product Category],"Not Available",0)</f>
        <v>Kubota</v>
      </c>
      <c r="K1673" s="4">
        <v>7</v>
      </c>
      <c r="L1673" s="72">
        <v>667597</v>
      </c>
      <c r="M1673" s="4">
        <f>INDEX('Master Sheet'!$C$4:$C$12,MATCH(Table1[[#This Row],[Quantity]],'Master Sheet'!$B$4:$B$12,0))</f>
        <v>9</v>
      </c>
      <c r="N1673" s="71">
        <f>Table1[[#This Row],[Quantity]]*Table1[[#This Row],[Unit Price]]</f>
        <v>4673179</v>
      </c>
      <c r="O1673" s="73">
        <v>0.46731790000000001</v>
      </c>
      <c r="P1673" s="70">
        <f>Table1[[#This Row],[Gross Amount]]*(1-(Table1[[#This Row],[Discount %]]/100))</f>
        <v>4252592.8900000006</v>
      </c>
      <c r="Q1673" s="74">
        <f>(Table1[[#This Row],[Gross Amount]]*(1-(Table1[[#This Row],[Discount %]]/100)))/10000000</f>
        <v>0.42525928900000004</v>
      </c>
      <c r="R1673" t="s">
        <v>54</v>
      </c>
      <c r="S1673" t="str" cm="1">
        <f t="array" ref="S1673">IFERROR(_xlfn.IFS(Table1[[#This Row],[Payment Status]]="Partial","In Transit",Table1[[#This Row],[Payment Status]]="Paid","Delivered",Table1[[#This Row],[Payment Status]]="Pending","Pending"),"Invalid Input")</f>
        <v>Delivered</v>
      </c>
      <c r="T1673" t="s">
        <v>44</v>
      </c>
      <c r="U1673" t="str" cm="1">
        <f t="array" ref="U1673">IFERROR(_xlfn.IFS(Table1[[#This Row],[Payment Status]]="Partial","In Transit",Table1[[#This Row],[Payment Status]]="Paid","Completed",Table1[[#This Row],[Payment Status]]="Pending","Pending"),"Invalid Input")</f>
        <v>Completed</v>
      </c>
    </row>
    <row r="1674" spans="1:21" x14ac:dyDescent="0.25">
      <c r="A1674" s="4" t="s">
        <v>2803</v>
      </c>
      <c r="B1674" s="5">
        <v>45620</v>
      </c>
      <c r="C1674" t="s">
        <v>62</v>
      </c>
      <c r="D1674" t="s">
        <v>37</v>
      </c>
      <c r="E1674" t="s">
        <v>66</v>
      </c>
      <c r="F1674" t="s">
        <v>3226</v>
      </c>
      <c r="G1674" t="s">
        <v>67</v>
      </c>
      <c r="H1674" t="str">
        <f>VLOOKUP(Table1[[#This Row],[City]],Table6[#All],2,FALSE)</f>
        <v>East</v>
      </c>
      <c r="I1674" t="s">
        <v>58</v>
      </c>
      <c r="J1674" t="str">
        <f>_xlfn.XLOOKUP(Table1[[#This Row],[Tractor Model]],Table7[Product Model],Table7[Product Category],"Not Available",0)</f>
        <v>Powertrac</v>
      </c>
      <c r="K1674" s="4">
        <v>2</v>
      </c>
      <c r="L1674" s="72">
        <v>542811</v>
      </c>
      <c r="M1674" s="4">
        <f>INDEX('Master Sheet'!$C$4:$C$12,MATCH(Table1[[#This Row],[Quantity]],'Master Sheet'!$B$4:$B$12,0))</f>
        <v>5</v>
      </c>
      <c r="N1674" s="71">
        <f>Table1[[#This Row],[Quantity]]*Table1[[#This Row],[Unit Price]]</f>
        <v>1085622</v>
      </c>
      <c r="O1674" s="73">
        <v>0.1085622</v>
      </c>
      <c r="P1674" s="70">
        <f>Table1[[#This Row],[Gross Amount]]*(1-(Table1[[#This Row],[Discount %]]/100))</f>
        <v>1031340.8999999999</v>
      </c>
      <c r="Q1674" s="74">
        <f>(Table1[[#This Row],[Gross Amount]]*(1-(Table1[[#This Row],[Discount %]]/100)))/10000000</f>
        <v>0.10313408999999998</v>
      </c>
      <c r="R1674" t="s">
        <v>42</v>
      </c>
      <c r="S1674" t="str" cm="1">
        <f t="array" ref="S1674">IFERROR(_xlfn.IFS(Table1[[#This Row],[Payment Status]]="Partial","In Transit",Table1[[#This Row],[Payment Status]]="Paid","Delivered",Table1[[#This Row],[Payment Status]]="Pending","Pending"),"Invalid Input")</f>
        <v>Pending</v>
      </c>
      <c r="T1674" t="s">
        <v>27</v>
      </c>
      <c r="U1674" t="str" cm="1">
        <f t="array" ref="U1674">IFERROR(_xlfn.IFS(Table1[[#This Row],[Payment Status]]="Partial","In Transit",Table1[[#This Row],[Payment Status]]="Paid","Completed",Table1[[#This Row],[Payment Status]]="Pending","Pending"),"Invalid Input")</f>
        <v>Pending</v>
      </c>
    </row>
    <row r="1675" spans="1:21" x14ac:dyDescent="0.25">
      <c r="A1675" s="4" t="s">
        <v>2804</v>
      </c>
      <c r="B1675" s="5">
        <v>45546</v>
      </c>
      <c r="C1675" t="s">
        <v>33</v>
      </c>
      <c r="D1675" t="s">
        <v>3270</v>
      </c>
      <c r="E1675" t="s">
        <v>38</v>
      </c>
      <c r="F1675" t="s">
        <v>3218</v>
      </c>
      <c r="G1675" t="s">
        <v>39</v>
      </c>
      <c r="H1675" t="str">
        <f>VLOOKUP(Table1[[#This Row],[City]],Table6[#All],2,FALSE)</f>
        <v>West</v>
      </c>
      <c r="I1675" t="s">
        <v>58</v>
      </c>
      <c r="J1675" t="str">
        <f>_xlfn.XLOOKUP(Table1[[#This Row],[Tractor Model]],Table7[Product Model],Table7[Product Category],"Not Available",0)</f>
        <v>Powertrac</v>
      </c>
      <c r="K1675" s="4">
        <v>5</v>
      </c>
      <c r="L1675" s="72">
        <v>769458</v>
      </c>
      <c r="M1675" s="4">
        <f>INDEX('Master Sheet'!$C$4:$C$12,MATCH(Table1[[#This Row],[Quantity]],'Master Sheet'!$B$4:$B$12,0))</f>
        <v>7</v>
      </c>
      <c r="N1675" s="71">
        <f>Table1[[#This Row],[Quantity]]*Table1[[#This Row],[Unit Price]]</f>
        <v>3847290</v>
      </c>
      <c r="O1675" s="73">
        <v>0.38472899999999999</v>
      </c>
      <c r="P1675" s="70">
        <f>Table1[[#This Row],[Gross Amount]]*(1-(Table1[[#This Row],[Discount %]]/100))</f>
        <v>3577979.6999999997</v>
      </c>
      <c r="Q1675" s="74">
        <f>(Table1[[#This Row],[Gross Amount]]*(1-(Table1[[#This Row],[Discount %]]/100)))/10000000</f>
        <v>0.35779796999999997</v>
      </c>
      <c r="R1675" t="s">
        <v>54</v>
      </c>
      <c r="S1675" t="str" cm="1">
        <f t="array" ref="S1675">IFERROR(_xlfn.IFS(Table1[[#This Row],[Payment Status]]="Partial","In Transit",Table1[[#This Row],[Payment Status]]="Paid","Delivered",Table1[[#This Row],[Payment Status]]="Pending","Pending"),"Invalid Input")</f>
        <v>Delivered</v>
      </c>
      <c r="T1675" t="s">
        <v>27</v>
      </c>
      <c r="U1675" t="str" cm="1">
        <f t="array" ref="U1675">IFERROR(_xlfn.IFS(Table1[[#This Row],[Payment Status]]="Partial","In Transit",Table1[[#This Row],[Payment Status]]="Paid","Completed",Table1[[#This Row],[Payment Status]]="Pending","Pending"),"Invalid Input")</f>
        <v>Completed</v>
      </c>
    </row>
    <row r="1676" spans="1:21" x14ac:dyDescent="0.25">
      <c r="A1676" s="4" t="s">
        <v>2805</v>
      </c>
      <c r="B1676" s="5">
        <v>45751</v>
      </c>
      <c r="C1676" t="s">
        <v>41</v>
      </c>
      <c r="D1676" t="s">
        <v>3271</v>
      </c>
      <c r="E1676" t="s">
        <v>119</v>
      </c>
      <c r="F1676" t="s">
        <v>3228</v>
      </c>
      <c r="G1676" t="s">
        <v>21</v>
      </c>
      <c r="H1676" t="str">
        <f>VLOOKUP(Table1[[#This Row],[City]],Table6[#All],2,FALSE)</f>
        <v>North</v>
      </c>
      <c r="I1676" t="s">
        <v>24</v>
      </c>
      <c r="J1676" t="str">
        <f>_xlfn.XLOOKUP(Table1[[#This Row],[Tractor Model]],Table7[Product Model],Table7[Product Category],"Not Available",0)</f>
        <v>Farmtrac</v>
      </c>
      <c r="K1676" s="4">
        <v>3</v>
      </c>
      <c r="L1676" s="72">
        <v>632899</v>
      </c>
      <c r="M1676" s="4">
        <f>INDEX('Master Sheet'!$C$4:$C$12,MATCH(Table1[[#This Row],[Quantity]],'Master Sheet'!$B$4:$B$12,0))</f>
        <v>6</v>
      </c>
      <c r="N1676" s="71">
        <f>Table1[[#This Row],[Quantity]]*Table1[[#This Row],[Unit Price]]</f>
        <v>1898697</v>
      </c>
      <c r="O1676" s="73">
        <v>0.1898697</v>
      </c>
      <c r="P1676" s="70">
        <f>Table1[[#This Row],[Gross Amount]]*(1-(Table1[[#This Row],[Discount %]]/100))</f>
        <v>1784775.18</v>
      </c>
      <c r="Q1676" s="74">
        <f>(Table1[[#This Row],[Gross Amount]]*(1-(Table1[[#This Row],[Discount %]]/100)))/10000000</f>
        <v>0.178477518</v>
      </c>
      <c r="R1676" t="s">
        <v>42</v>
      </c>
      <c r="S1676" t="str" cm="1">
        <f t="array" ref="S1676">IFERROR(_xlfn.IFS(Table1[[#This Row],[Payment Status]]="Partial","In Transit",Table1[[#This Row],[Payment Status]]="Paid","Delivered",Table1[[#This Row],[Payment Status]]="Pending","Pending"),"Invalid Input")</f>
        <v>Pending</v>
      </c>
      <c r="T1676" t="s">
        <v>27</v>
      </c>
      <c r="U1676" t="str" cm="1">
        <f t="array" ref="U1676">IFERROR(_xlfn.IFS(Table1[[#This Row],[Payment Status]]="Partial","In Transit",Table1[[#This Row],[Payment Status]]="Paid","Completed",Table1[[#This Row],[Payment Status]]="Pending","Pending"),"Invalid Input")</f>
        <v>Pending</v>
      </c>
    </row>
    <row r="1677" spans="1:21" x14ac:dyDescent="0.25">
      <c r="A1677" s="4" t="s">
        <v>2806</v>
      </c>
      <c r="B1677" s="5">
        <v>45573</v>
      </c>
      <c r="C1677" t="s">
        <v>73</v>
      </c>
      <c r="D1677" t="s">
        <v>37</v>
      </c>
      <c r="E1677" t="s">
        <v>30</v>
      </c>
      <c r="F1677" t="s">
        <v>3222</v>
      </c>
      <c r="G1677" t="s">
        <v>31</v>
      </c>
      <c r="H1677" t="str">
        <f>VLOOKUP(Table1[[#This Row],[City]],Table6[#All],2,FALSE)</f>
        <v>South</v>
      </c>
      <c r="I1677" t="s">
        <v>3204</v>
      </c>
      <c r="J1677" t="str">
        <f>_xlfn.XLOOKUP(Table1[[#This Row],[Tractor Model]],Table7[Product Model],Table7[Product Category],"Not Available",0)</f>
        <v>Kubota</v>
      </c>
      <c r="K1677" s="4">
        <v>1</v>
      </c>
      <c r="L1677" s="72">
        <v>336401</v>
      </c>
      <c r="M1677" s="4">
        <f>INDEX('Master Sheet'!$C$4:$C$12,MATCH(Table1[[#This Row],[Quantity]],'Master Sheet'!$B$4:$B$12,0))</f>
        <v>3</v>
      </c>
      <c r="N1677" s="71">
        <f>Table1[[#This Row],[Quantity]]*Table1[[#This Row],[Unit Price]]</f>
        <v>336401</v>
      </c>
      <c r="O1677" s="73">
        <v>3.3640099999999999E-2</v>
      </c>
      <c r="P1677" s="70">
        <f>Table1[[#This Row],[Gross Amount]]*(1-(Table1[[#This Row],[Discount %]]/100))</f>
        <v>326308.96999999997</v>
      </c>
      <c r="Q1677" s="74">
        <f>(Table1[[#This Row],[Gross Amount]]*(1-(Table1[[#This Row],[Discount %]]/100)))/10000000</f>
        <v>3.2630896999999999E-2</v>
      </c>
      <c r="R1677" t="s">
        <v>42</v>
      </c>
      <c r="S1677" t="str" cm="1">
        <f t="array" ref="S1677">IFERROR(_xlfn.IFS(Table1[[#This Row],[Payment Status]]="Partial","In Transit",Table1[[#This Row],[Payment Status]]="Paid","Delivered",Table1[[#This Row],[Payment Status]]="Pending","Pending"),"Invalid Input")</f>
        <v>Pending</v>
      </c>
      <c r="T1677" t="s">
        <v>27</v>
      </c>
      <c r="U1677" t="str" cm="1">
        <f t="array" ref="U1677">IFERROR(_xlfn.IFS(Table1[[#This Row],[Payment Status]]="Partial","In Transit",Table1[[#This Row],[Payment Status]]="Paid","Completed",Table1[[#This Row],[Payment Status]]="Pending","Pending"),"Invalid Input")</f>
        <v>Pending</v>
      </c>
    </row>
    <row r="1678" spans="1:21" x14ac:dyDescent="0.25">
      <c r="A1678" s="4" t="s">
        <v>2807</v>
      </c>
      <c r="B1678" s="5">
        <v>45609</v>
      </c>
      <c r="C1678" t="s">
        <v>33</v>
      </c>
      <c r="D1678" t="s">
        <v>3271</v>
      </c>
      <c r="E1678" t="s">
        <v>47</v>
      </c>
      <c r="F1678" t="s">
        <v>3221</v>
      </c>
      <c r="G1678" t="s">
        <v>48</v>
      </c>
      <c r="H1678" t="str">
        <f>VLOOKUP(Table1[[#This Row],[City]],Table6[#All],2,FALSE)</f>
        <v>North</v>
      </c>
      <c r="I1678" t="s">
        <v>3203</v>
      </c>
      <c r="J1678" t="str">
        <f>_xlfn.XLOOKUP(Table1[[#This Row],[Tractor Model]],Table7[Product Model],Table7[Product Category],"Not Available",0)</f>
        <v>Kubota</v>
      </c>
      <c r="K1678" s="4">
        <v>2</v>
      </c>
      <c r="L1678" s="72">
        <v>655919</v>
      </c>
      <c r="M1678" s="4">
        <f>INDEX('Master Sheet'!$C$4:$C$12,MATCH(Table1[[#This Row],[Quantity]],'Master Sheet'!$B$4:$B$12,0))</f>
        <v>5</v>
      </c>
      <c r="N1678" s="71">
        <f>Table1[[#This Row],[Quantity]]*Table1[[#This Row],[Unit Price]]</f>
        <v>1311838</v>
      </c>
      <c r="O1678" s="73">
        <v>0.13118379999999999</v>
      </c>
      <c r="P1678" s="70">
        <f>Table1[[#This Row],[Gross Amount]]*(1-(Table1[[#This Row],[Discount %]]/100))</f>
        <v>1246246.0999999999</v>
      </c>
      <c r="Q1678" s="74">
        <f>(Table1[[#This Row],[Gross Amount]]*(1-(Table1[[#This Row],[Discount %]]/100)))/10000000</f>
        <v>0.12462460999999998</v>
      </c>
      <c r="R1678" t="s">
        <v>42</v>
      </c>
      <c r="S1678" t="str" cm="1">
        <f t="array" ref="S1678">IFERROR(_xlfn.IFS(Table1[[#This Row],[Payment Status]]="Partial","In Transit",Table1[[#This Row],[Payment Status]]="Paid","Delivered",Table1[[#This Row],[Payment Status]]="Pending","Pending"),"Invalid Input")</f>
        <v>Pending</v>
      </c>
      <c r="T1678" t="s">
        <v>27</v>
      </c>
      <c r="U1678" t="str" cm="1">
        <f t="array" ref="U1678">IFERROR(_xlfn.IFS(Table1[[#This Row],[Payment Status]]="Partial","In Transit",Table1[[#This Row],[Payment Status]]="Paid","Completed",Table1[[#This Row],[Payment Status]]="Pending","Pending"),"Invalid Input")</f>
        <v>Pending</v>
      </c>
    </row>
    <row r="1679" spans="1:21" x14ac:dyDescent="0.25">
      <c r="A1679" s="4" t="s">
        <v>2808</v>
      </c>
      <c r="B1679" s="5">
        <v>45409</v>
      </c>
      <c r="C1679" t="s">
        <v>62</v>
      </c>
      <c r="D1679" t="s">
        <v>37</v>
      </c>
      <c r="E1679" t="s">
        <v>119</v>
      </c>
      <c r="F1679" t="s">
        <v>3224</v>
      </c>
      <c r="G1679" t="s">
        <v>21</v>
      </c>
      <c r="H1679" t="str">
        <f>VLOOKUP(Table1[[#This Row],[City]],Table6[#All],2,FALSE)</f>
        <v>North</v>
      </c>
      <c r="I1679" t="s">
        <v>3204</v>
      </c>
      <c r="J1679" t="str">
        <f>_xlfn.XLOOKUP(Table1[[#This Row],[Tractor Model]],Table7[Product Model],Table7[Product Category],"Not Available",0)</f>
        <v>Kubota</v>
      </c>
      <c r="K1679" s="4">
        <v>1</v>
      </c>
      <c r="L1679" s="72">
        <v>323328</v>
      </c>
      <c r="M1679" s="4">
        <f>INDEX('Master Sheet'!$C$4:$C$12,MATCH(Table1[[#This Row],[Quantity]],'Master Sheet'!$B$4:$B$12,0))</f>
        <v>3</v>
      </c>
      <c r="N1679" s="71">
        <f>Table1[[#This Row],[Quantity]]*Table1[[#This Row],[Unit Price]]</f>
        <v>323328</v>
      </c>
      <c r="O1679" s="73">
        <v>3.2332800000000002E-2</v>
      </c>
      <c r="P1679" s="70">
        <f>Table1[[#This Row],[Gross Amount]]*(1-(Table1[[#This Row],[Discount %]]/100))</f>
        <v>313628.15999999997</v>
      </c>
      <c r="Q1679" s="74">
        <f>(Table1[[#This Row],[Gross Amount]]*(1-(Table1[[#This Row],[Discount %]]/100)))/10000000</f>
        <v>3.1362815999999995E-2</v>
      </c>
      <c r="R1679" t="s">
        <v>25</v>
      </c>
      <c r="S1679" t="str" cm="1">
        <f t="array" ref="S1679">IFERROR(_xlfn.IFS(Table1[[#This Row],[Payment Status]]="Partial","In Transit",Table1[[#This Row],[Payment Status]]="Paid","Delivered",Table1[[#This Row],[Payment Status]]="Pending","Pending"),"Invalid Input")</f>
        <v>In Transit</v>
      </c>
      <c r="T1679" t="s">
        <v>27</v>
      </c>
      <c r="U1679" t="str" cm="1">
        <f t="array" ref="U1679">IFERROR(_xlfn.IFS(Table1[[#This Row],[Payment Status]]="Partial","In Transit",Table1[[#This Row],[Payment Status]]="Paid","Completed",Table1[[#This Row],[Payment Status]]="Pending","Pending"),"Invalid Input")</f>
        <v>In Transit</v>
      </c>
    </row>
    <row r="1680" spans="1:21" x14ac:dyDescent="0.25">
      <c r="A1680" s="4" t="s">
        <v>2810</v>
      </c>
      <c r="B1680" s="5">
        <v>45571</v>
      </c>
      <c r="C1680" t="s">
        <v>52</v>
      </c>
      <c r="D1680" t="s">
        <v>37</v>
      </c>
      <c r="E1680" t="s">
        <v>119</v>
      </c>
      <c r="F1680" t="s">
        <v>3224</v>
      </c>
      <c r="G1680" t="s">
        <v>21</v>
      </c>
      <c r="H1680" t="str">
        <f>VLOOKUP(Table1[[#This Row],[City]],Table6[#All],2,FALSE)</f>
        <v>North</v>
      </c>
      <c r="I1680" t="s">
        <v>24</v>
      </c>
      <c r="J1680" t="str">
        <f>_xlfn.XLOOKUP(Table1[[#This Row],[Tractor Model]],Table7[Product Model],Table7[Product Category],"Not Available",0)</f>
        <v>Farmtrac</v>
      </c>
      <c r="K1680" s="4">
        <v>6</v>
      </c>
      <c r="L1680" s="72">
        <v>98229</v>
      </c>
      <c r="M1680" s="4">
        <f>INDEX('Master Sheet'!$C$4:$C$12,MATCH(Table1[[#This Row],[Quantity]],'Master Sheet'!$B$4:$B$12,0))</f>
        <v>8</v>
      </c>
      <c r="N1680" s="71">
        <f>Table1[[#This Row],[Quantity]]*Table1[[#This Row],[Unit Price]]</f>
        <v>589374</v>
      </c>
      <c r="O1680" s="73">
        <v>5.8937400000000001E-2</v>
      </c>
      <c r="P1680" s="70">
        <f>Table1[[#This Row],[Gross Amount]]*(1-(Table1[[#This Row],[Discount %]]/100))</f>
        <v>542224.08000000007</v>
      </c>
      <c r="Q1680" s="74">
        <f>(Table1[[#This Row],[Gross Amount]]*(1-(Table1[[#This Row],[Discount %]]/100)))/10000000</f>
        <v>5.4222408000000007E-2</v>
      </c>
      <c r="R1680" t="s">
        <v>25</v>
      </c>
      <c r="S1680" t="str" cm="1">
        <f t="array" ref="S1680">IFERROR(_xlfn.IFS(Table1[[#This Row],[Payment Status]]="Partial","In Transit",Table1[[#This Row],[Payment Status]]="Paid","Delivered",Table1[[#This Row],[Payment Status]]="Pending","Pending"),"Invalid Input")</f>
        <v>In Transit</v>
      </c>
      <c r="T1680" t="s">
        <v>27</v>
      </c>
      <c r="U1680" t="str" cm="1">
        <f t="array" ref="U1680">IFERROR(_xlfn.IFS(Table1[[#This Row],[Payment Status]]="Partial","In Transit",Table1[[#This Row],[Payment Status]]="Paid","Completed",Table1[[#This Row],[Payment Status]]="Pending","Pending"),"Invalid Input")</f>
        <v>In Transit</v>
      </c>
    </row>
    <row r="1681" spans="1:21" x14ac:dyDescent="0.25">
      <c r="A1681" s="4" t="s">
        <v>2811</v>
      </c>
      <c r="B1681" s="5">
        <v>45805</v>
      </c>
      <c r="C1681" t="s">
        <v>41</v>
      </c>
      <c r="D1681" t="s">
        <v>37</v>
      </c>
      <c r="E1681" t="s">
        <v>47</v>
      </c>
      <c r="F1681" t="s">
        <v>3215</v>
      </c>
      <c r="G1681" t="s">
        <v>48</v>
      </c>
      <c r="H1681" t="str">
        <f>VLOOKUP(Table1[[#This Row],[City]],Table6[#All],2,FALSE)</f>
        <v>North</v>
      </c>
      <c r="I1681" t="s">
        <v>53</v>
      </c>
      <c r="J1681" t="str">
        <f>_xlfn.XLOOKUP(Table1[[#This Row],[Tractor Model]],Table7[Product Model],Table7[Product Category],"Not Available",0)</f>
        <v>Farmtrac</v>
      </c>
      <c r="K1681" s="4">
        <v>1</v>
      </c>
      <c r="L1681" s="72">
        <v>156614</v>
      </c>
      <c r="M1681" s="4">
        <f>INDEX('Master Sheet'!$C$4:$C$12,MATCH(Table1[[#This Row],[Quantity]],'Master Sheet'!$B$4:$B$12,0))</f>
        <v>3</v>
      </c>
      <c r="N1681" s="71">
        <f>Table1[[#This Row],[Quantity]]*Table1[[#This Row],[Unit Price]]</f>
        <v>156614</v>
      </c>
      <c r="O1681" s="73">
        <v>1.5661399999999999E-2</v>
      </c>
      <c r="P1681" s="70">
        <f>Table1[[#This Row],[Gross Amount]]*(1-(Table1[[#This Row],[Discount %]]/100))</f>
        <v>151915.57999999999</v>
      </c>
      <c r="Q1681" s="74">
        <f>(Table1[[#This Row],[Gross Amount]]*(1-(Table1[[#This Row],[Discount %]]/100)))/10000000</f>
        <v>1.5191557999999999E-2</v>
      </c>
      <c r="R1681" t="s">
        <v>42</v>
      </c>
      <c r="S1681" t="str" cm="1">
        <f t="array" ref="S1681">IFERROR(_xlfn.IFS(Table1[[#This Row],[Payment Status]]="Partial","In Transit",Table1[[#This Row],[Payment Status]]="Paid","Delivered",Table1[[#This Row],[Payment Status]]="Pending","Pending"),"Invalid Input")</f>
        <v>Pending</v>
      </c>
      <c r="T1681" t="s">
        <v>44</v>
      </c>
      <c r="U1681" t="str" cm="1">
        <f t="array" ref="U1681">IFERROR(_xlfn.IFS(Table1[[#This Row],[Payment Status]]="Partial","In Transit",Table1[[#This Row],[Payment Status]]="Paid","Completed",Table1[[#This Row],[Payment Status]]="Pending","Pending"),"Invalid Input")</f>
        <v>Pending</v>
      </c>
    </row>
    <row r="1682" spans="1:21" x14ac:dyDescent="0.25">
      <c r="A1682" s="4" t="s">
        <v>2812</v>
      </c>
      <c r="B1682" s="5">
        <v>45500</v>
      </c>
      <c r="C1682" t="s">
        <v>41</v>
      </c>
      <c r="D1682" t="s">
        <v>3270</v>
      </c>
      <c r="E1682" t="s">
        <v>38</v>
      </c>
      <c r="F1682" t="s">
        <v>3218</v>
      </c>
      <c r="G1682" t="s">
        <v>39</v>
      </c>
      <c r="H1682" t="str">
        <f>VLOOKUP(Table1[[#This Row],[City]],Table6[#All],2,FALSE)</f>
        <v>West</v>
      </c>
      <c r="I1682" t="s">
        <v>58</v>
      </c>
      <c r="J1682" t="str">
        <f>_xlfn.XLOOKUP(Table1[[#This Row],[Tractor Model]],Table7[Product Model],Table7[Product Category],"Not Available",0)</f>
        <v>Powertrac</v>
      </c>
      <c r="K1682" s="4">
        <v>5</v>
      </c>
      <c r="L1682" s="72">
        <v>425940</v>
      </c>
      <c r="M1682" s="4">
        <f>INDEX('Master Sheet'!$C$4:$C$12,MATCH(Table1[[#This Row],[Quantity]],'Master Sheet'!$B$4:$B$12,0))</f>
        <v>7</v>
      </c>
      <c r="N1682" s="71">
        <f>Table1[[#This Row],[Quantity]]*Table1[[#This Row],[Unit Price]]</f>
        <v>2129700</v>
      </c>
      <c r="O1682" s="73">
        <v>0.21296999999999999</v>
      </c>
      <c r="P1682" s="70">
        <f>Table1[[#This Row],[Gross Amount]]*(1-(Table1[[#This Row],[Discount %]]/100))</f>
        <v>1980620.9999999998</v>
      </c>
      <c r="Q1682" s="74">
        <f>(Table1[[#This Row],[Gross Amount]]*(1-(Table1[[#This Row],[Discount %]]/100)))/10000000</f>
        <v>0.19806209999999996</v>
      </c>
      <c r="R1682" t="s">
        <v>42</v>
      </c>
      <c r="S1682" t="str" cm="1">
        <f t="array" ref="S1682">IFERROR(_xlfn.IFS(Table1[[#This Row],[Payment Status]]="Partial","In Transit",Table1[[#This Row],[Payment Status]]="Paid","Delivered",Table1[[#This Row],[Payment Status]]="Pending","Pending"),"Invalid Input")</f>
        <v>Pending</v>
      </c>
      <c r="T1682" t="s">
        <v>27</v>
      </c>
      <c r="U1682" t="str" cm="1">
        <f t="array" ref="U1682">IFERROR(_xlfn.IFS(Table1[[#This Row],[Payment Status]]="Partial","In Transit",Table1[[#This Row],[Payment Status]]="Paid","Completed",Table1[[#This Row],[Payment Status]]="Pending","Pending"),"Invalid Input")</f>
        <v>Pending</v>
      </c>
    </row>
    <row r="1683" spans="1:21" x14ac:dyDescent="0.25">
      <c r="A1683" s="4" t="s">
        <v>2813</v>
      </c>
      <c r="B1683" s="5">
        <v>45449</v>
      </c>
      <c r="C1683" t="s">
        <v>62</v>
      </c>
      <c r="D1683" t="s">
        <v>37</v>
      </c>
      <c r="E1683" t="s">
        <v>47</v>
      </c>
      <c r="F1683" t="s">
        <v>3215</v>
      </c>
      <c r="G1683" t="s">
        <v>48</v>
      </c>
      <c r="H1683" t="str">
        <f>VLOOKUP(Table1[[#This Row],[City]],Table6[#All],2,FALSE)</f>
        <v>North</v>
      </c>
      <c r="I1683" t="s">
        <v>3203</v>
      </c>
      <c r="J1683" t="str">
        <f>_xlfn.XLOOKUP(Table1[[#This Row],[Tractor Model]],Table7[Product Model],Table7[Product Category],"Not Available",0)</f>
        <v>Kubota</v>
      </c>
      <c r="K1683" s="4">
        <v>2</v>
      </c>
      <c r="L1683" s="72">
        <v>494895</v>
      </c>
      <c r="M1683" s="4">
        <f>INDEX('Master Sheet'!$C$4:$C$12,MATCH(Table1[[#This Row],[Quantity]],'Master Sheet'!$B$4:$B$12,0))</f>
        <v>5</v>
      </c>
      <c r="N1683" s="71">
        <f>Table1[[#This Row],[Quantity]]*Table1[[#This Row],[Unit Price]]</f>
        <v>989790</v>
      </c>
      <c r="O1683" s="73">
        <v>9.8978999999999998E-2</v>
      </c>
      <c r="P1683" s="70">
        <f>Table1[[#This Row],[Gross Amount]]*(1-(Table1[[#This Row],[Discount %]]/100))</f>
        <v>940300.5</v>
      </c>
      <c r="Q1683" s="74">
        <f>(Table1[[#This Row],[Gross Amount]]*(1-(Table1[[#This Row],[Discount %]]/100)))/10000000</f>
        <v>9.4030050000000004E-2</v>
      </c>
      <c r="R1683" t="s">
        <v>42</v>
      </c>
      <c r="S1683" t="str" cm="1">
        <f t="array" ref="S1683">IFERROR(_xlfn.IFS(Table1[[#This Row],[Payment Status]]="Partial","In Transit",Table1[[#This Row],[Payment Status]]="Paid","Delivered",Table1[[#This Row],[Payment Status]]="Pending","Pending"),"Invalid Input")</f>
        <v>Pending</v>
      </c>
      <c r="T1683" t="s">
        <v>44</v>
      </c>
      <c r="U1683" t="str" cm="1">
        <f t="array" ref="U1683">IFERROR(_xlfn.IFS(Table1[[#This Row],[Payment Status]]="Partial","In Transit",Table1[[#This Row],[Payment Status]]="Paid","Completed",Table1[[#This Row],[Payment Status]]="Pending","Pending"),"Invalid Input")</f>
        <v>Pending</v>
      </c>
    </row>
    <row r="1684" spans="1:21" x14ac:dyDescent="0.25">
      <c r="A1684" s="4" t="s">
        <v>2814</v>
      </c>
      <c r="B1684" s="5">
        <v>45512</v>
      </c>
      <c r="C1684" t="s">
        <v>62</v>
      </c>
      <c r="D1684" t="s">
        <v>3271</v>
      </c>
      <c r="E1684" t="s">
        <v>47</v>
      </c>
      <c r="F1684" t="s">
        <v>3221</v>
      </c>
      <c r="G1684" t="s">
        <v>48</v>
      </c>
      <c r="H1684" t="str">
        <f>VLOOKUP(Table1[[#This Row],[City]],Table6[#All],2,FALSE)</f>
        <v>North</v>
      </c>
      <c r="I1684" t="s">
        <v>24</v>
      </c>
      <c r="J1684" t="str">
        <f>_xlfn.XLOOKUP(Table1[[#This Row],[Tractor Model]],Table7[Product Model],Table7[Product Category],"Not Available",0)</f>
        <v>Farmtrac</v>
      </c>
      <c r="K1684" s="4">
        <v>3</v>
      </c>
      <c r="L1684" s="72">
        <v>740363</v>
      </c>
      <c r="M1684" s="4">
        <f>INDEX('Master Sheet'!$C$4:$C$12,MATCH(Table1[[#This Row],[Quantity]],'Master Sheet'!$B$4:$B$12,0))</f>
        <v>6</v>
      </c>
      <c r="N1684" s="71">
        <f>Table1[[#This Row],[Quantity]]*Table1[[#This Row],[Unit Price]]</f>
        <v>2221089</v>
      </c>
      <c r="O1684" s="73">
        <v>0.2221089</v>
      </c>
      <c r="P1684" s="70">
        <f>Table1[[#This Row],[Gross Amount]]*(1-(Table1[[#This Row],[Discount %]]/100))</f>
        <v>2087823.66</v>
      </c>
      <c r="Q1684" s="74">
        <f>(Table1[[#This Row],[Gross Amount]]*(1-(Table1[[#This Row],[Discount %]]/100)))/10000000</f>
        <v>0.208782366</v>
      </c>
      <c r="R1684" t="s">
        <v>25</v>
      </c>
      <c r="S1684" t="str" cm="1">
        <f t="array" ref="S1684">IFERROR(_xlfn.IFS(Table1[[#This Row],[Payment Status]]="Partial","In Transit",Table1[[#This Row],[Payment Status]]="Paid","Delivered",Table1[[#This Row],[Payment Status]]="Pending","Pending"),"Invalid Input")</f>
        <v>In Transit</v>
      </c>
      <c r="T1684" t="s">
        <v>27</v>
      </c>
      <c r="U1684" t="str" cm="1">
        <f t="array" ref="U1684">IFERROR(_xlfn.IFS(Table1[[#This Row],[Payment Status]]="Partial","In Transit",Table1[[#This Row],[Payment Status]]="Paid","Completed",Table1[[#This Row],[Payment Status]]="Pending","Pending"),"Invalid Input")</f>
        <v>In Transit</v>
      </c>
    </row>
    <row r="1685" spans="1:21" x14ac:dyDescent="0.25">
      <c r="A1685" s="4" t="s">
        <v>2815</v>
      </c>
      <c r="B1685" s="5">
        <v>45775</v>
      </c>
      <c r="C1685" t="s">
        <v>52</v>
      </c>
      <c r="D1685" t="s">
        <v>3269</v>
      </c>
      <c r="E1685" t="s">
        <v>38</v>
      </c>
      <c r="F1685" t="s">
        <v>3206</v>
      </c>
      <c r="G1685" t="s">
        <v>39</v>
      </c>
      <c r="H1685" t="str">
        <f>VLOOKUP(Table1[[#This Row],[City]],Table6[#All],2,FALSE)</f>
        <v>West</v>
      </c>
      <c r="I1685" t="s">
        <v>58</v>
      </c>
      <c r="J1685" t="str">
        <f>_xlfn.XLOOKUP(Table1[[#This Row],[Tractor Model]],Table7[Product Model],Table7[Product Category],"Not Available",0)</f>
        <v>Powertrac</v>
      </c>
      <c r="K1685" s="4">
        <v>7</v>
      </c>
      <c r="L1685" s="72">
        <v>601256</v>
      </c>
      <c r="M1685" s="4">
        <f>INDEX('Master Sheet'!$C$4:$C$12,MATCH(Table1[[#This Row],[Quantity]],'Master Sheet'!$B$4:$B$12,0))</f>
        <v>9</v>
      </c>
      <c r="N1685" s="71">
        <f>Table1[[#This Row],[Quantity]]*Table1[[#This Row],[Unit Price]]</f>
        <v>4208792</v>
      </c>
      <c r="O1685" s="73">
        <v>0.42087920000000001</v>
      </c>
      <c r="P1685" s="70">
        <f>Table1[[#This Row],[Gross Amount]]*(1-(Table1[[#This Row],[Discount %]]/100))</f>
        <v>3830000.72</v>
      </c>
      <c r="Q1685" s="74">
        <f>(Table1[[#This Row],[Gross Amount]]*(1-(Table1[[#This Row],[Discount %]]/100)))/10000000</f>
        <v>0.38300007200000002</v>
      </c>
      <c r="R1685" t="s">
        <v>42</v>
      </c>
      <c r="S1685" t="str" cm="1">
        <f t="array" ref="S1685">IFERROR(_xlfn.IFS(Table1[[#This Row],[Payment Status]]="Partial","In Transit",Table1[[#This Row],[Payment Status]]="Paid","Delivered",Table1[[#This Row],[Payment Status]]="Pending","Pending"),"Invalid Input")</f>
        <v>Pending</v>
      </c>
      <c r="T1685" t="s">
        <v>27</v>
      </c>
      <c r="U1685" t="str" cm="1">
        <f t="array" ref="U1685">IFERROR(_xlfn.IFS(Table1[[#This Row],[Payment Status]]="Partial","In Transit",Table1[[#This Row],[Payment Status]]="Paid","Completed",Table1[[#This Row],[Payment Status]]="Pending","Pending"),"Invalid Input")</f>
        <v>Pending</v>
      </c>
    </row>
    <row r="1686" spans="1:21" x14ac:dyDescent="0.25">
      <c r="A1686" s="4" t="s">
        <v>2816</v>
      </c>
      <c r="B1686" s="5">
        <v>45545</v>
      </c>
      <c r="C1686" t="s">
        <v>73</v>
      </c>
      <c r="D1686" t="s">
        <v>3268</v>
      </c>
      <c r="E1686" t="s">
        <v>47</v>
      </c>
      <c r="F1686" t="s">
        <v>3216</v>
      </c>
      <c r="G1686" t="s">
        <v>48</v>
      </c>
      <c r="H1686" t="str">
        <f>VLOOKUP(Table1[[#This Row],[City]],Table6[#All],2,FALSE)</f>
        <v>North</v>
      </c>
      <c r="I1686" t="s">
        <v>3203</v>
      </c>
      <c r="J1686" t="str">
        <f>_xlfn.XLOOKUP(Table1[[#This Row],[Tractor Model]],Table7[Product Model],Table7[Product Category],"Not Available",0)</f>
        <v>Kubota</v>
      </c>
      <c r="K1686" s="4">
        <v>6</v>
      </c>
      <c r="L1686" s="72">
        <v>254071</v>
      </c>
      <c r="M1686" s="4">
        <f>INDEX('Master Sheet'!$C$4:$C$12,MATCH(Table1[[#This Row],[Quantity]],'Master Sheet'!$B$4:$B$12,0))</f>
        <v>8</v>
      </c>
      <c r="N1686" s="71">
        <f>Table1[[#This Row],[Quantity]]*Table1[[#This Row],[Unit Price]]</f>
        <v>1524426</v>
      </c>
      <c r="O1686" s="73">
        <v>0.15244260000000001</v>
      </c>
      <c r="P1686" s="70">
        <f>Table1[[#This Row],[Gross Amount]]*(1-(Table1[[#This Row],[Discount %]]/100))</f>
        <v>1402471.9200000002</v>
      </c>
      <c r="Q1686" s="74">
        <f>(Table1[[#This Row],[Gross Amount]]*(1-(Table1[[#This Row],[Discount %]]/100)))/10000000</f>
        <v>0.14024719200000002</v>
      </c>
      <c r="R1686" t="s">
        <v>54</v>
      </c>
      <c r="S1686" t="str" cm="1">
        <f t="array" ref="S1686">IFERROR(_xlfn.IFS(Table1[[#This Row],[Payment Status]]="Partial","In Transit",Table1[[#This Row],[Payment Status]]="Paid","Delivered",Table1[[#This Row],[Payment Status]]="Pending","Pending"),"Invalid Input")</f>
        <v>Delivered</v>
      </c>
      <c r="T1686" t="s">
        <v>44</v>
      </c>
      <c r="U1686" t="str" cm="1">
        <f t="array" ref="U1686">IFERROR(_xlfn.IFS(Table1[[#This Row],[Payment Status]]="Partial","In Transit",Table1[[#This Row],[Payment Status]]="Paid","Completed",Table1[[#This Row],[Payment Status]]="Pending","Pending"),"Invalid Input")</f>
        <v>Completed</v>
      </c>
    </row>
    <row r="1687" spans="1:21" x14ac:dyDescent="0.25">
      <c r="A1687" s="4" t="s">
        <v>2817</v>
      </c>
      <c r="B1687" s="5">
        <v>45831</v>
      </c>
      <c r="C1687" t="s">
        <v>62</v>
      </c>
      <c r="D1687" t="s">
        <v>3270</v>
      </c>
      <c r="E1687" t="s">
        <v>119</v>
      </c>
      <c r="F1687" t="s">
        <v>3212</v>
      </c>
      <c r="G1687" t="s">
        <v>21</v>
      </c>
      <c r="H1687" t="str">
        <f>VLOOKUP(Table1[[#This Row],[City]],Table6[#All],2,FALSE)</f>
        <v>North</v>
      </c>
      <c r="I1687" t="s">
        <v>53</v>
      </c>
      <c r="J1687" t="str">
        <f>_xlfn.XLOOKUP(Table1[[#This Row],[Tractor Model]],Table7[Product Model],Table7[Product Category],"Not Available",0)</f>
        <v>Farmtrac</v>
      </c>
      <c r="K1687" s="4">
        <v>8</v>
      </c>
      <c r="L1687" s="72">
        <v>60250</v>
      </c>
      <c r="M1687" s="4">
        <f>INDEX('Master Sheet'!$C$4:$C$12,MATCH(Table1[[#This Row],[Quantity]],'Master Sheet'!$B$4:$B$12,0))</f>
        <v>9</v>
      </c>
      <c r="N1687" s="71">
        <f>Table1[[#This Row],[Quantity]]*Table1[[#This Row],[Unit Price]]</f>
        <v>482000</v>
      </c>
      <c r="O1687" s="73">
        <v>4.82E-2</v>
      </c>
      <c r="P1687" s="70">
        <f>Table1[[#This Row],[Gross Amount]]*(1-(Table1[[#This Row],[Discount %]]/100))</f>
        <v>438620</v>
      </c>
      <c r="Q1687" s="74">
        <f>(Table1[[#This Row],[Gross Amount]]*(1-(Table1[[#This Row],[Discount %]]/100)))/10000000</f>
        <v>4.3861999999999998E-2</v>
      </c>
      <c r="R1687" t="s">
        <v>25</v>
      </c>
      <c r="S1687" t="str" cm="1">
        <f t="array" ref="S1687">IFERROR(_xlfn.IFS(Table1[[#This Row],[Payment Status]]="Partial","In Transit",Table1[[#This Row],[Payment Status]]="Paid","Delivered",Table1[[#This Row],[Payment Status]]="Pending","Pending"),"Invalid Input")</f>
        <v>In Transit</v>
      </c>
      <c r="T1687" t="s">
        <v>44</v>
      </c>
      <c r="U1687" t="str" cm="1">
        <f t="array" ref="U1687">IFERROR(_xlfn.IFS(Table1[[#This Row],[Payment Status]]="Partial","In Transit",Table1[[#This Row],[Payment Status]]="Paid","Completed",Table1[[#This Row],[Payment Status]]="Pending","Pending"),"Invalid Input")</f>
        <v>In Transit</v>
      </c>
    </row>
    <row r="1688" spans="1:21" x14ac:dyDescent="0.25">
      <c r="A1688" s="4" t="s">
        <v>2818</v>
      </c>
      <c r="B1688" s="5">
        <v>45561</v>
      </c>
      <c r="C1688" t="s">
        <v>41</v>
      </c>
      <c r="D1688" t="s">
        <v>3268</v>
      </c>
      <c r="E1688" t="s">
        <v>38</v>
      </c>
      <c r="F1688" t="s">
        <v>3219</v>
      </c>
      <c r="G1688" t="s">
        <v>39</v>
      </c>
      <c r="H1688" t="str">
        <f>VLOOKUP(Table1[[#This Row],[City]],Table6[#All],2,FALSE)</f>
        <v>West</v>
      </c>
      <c r="I1688" t="s">
        <v>24</v>
      </c>
      <c r="J1688" t="str">
        <f>_xlfn.XLOOKUP(Table1[[#This Row],[Tractor Model]],Table7[Product Model],Table7[Product Category],"Not Available",0)</f>
        <v>Farmtrac</v>
      </c>
      <c r="K1688" s="4">
        <v>2</v>
      </c>
      <c r="L1688" s="72">
        <v>275877</v>
      </c>
      <c r="M1688" s="4">
        <f>INDEX('Master Sheet'!$C$4:$C$12,MATCH(Table1[[#This Row],[Quantity]],'Master Sheet'!$B$4:$B$12,0))</f>
        <v>5</v>
      </c>
      <c r="N1688" s="71">
        <f>Table1[[#This Row],[Quantity]]*Table1[[#This Row],[Unit Price]]</f>
        <v>551754</v>
      </c>
      <c r="O1688" s="73">
        <v>5.5175399999999999E-2</v>
      </c>
      <c r="P1688" s="70">
        <f>Table1[[#This Row],[Gross Amount]]*(1-(Table1[[#This Row],[Discount %]]/100))</f>
        <v>524166.3</v>
      </c>
      <c r="Q1688" s="74">
        <f>(Table1[[#This Row],[Gross Amount]]*(1-(Table1[[#This Row],[Discount %]]/100)))/10000000</f>
        <v>5.2416629999999999E-2</v>
      </c>
      <c r="R1688" t="s">
        <v>54</v>
      </c>
      <c r="S1688" t="str" cm="1">
        <f t="array" ref="S1688">IFERROR(_xlfn.IFS(Table1[[#This Row],[Payment Status]]="Partial","In Transit",Table1[[#This Row],[Payment Status]]="Paid","Delivered",Table1[[#This Row],[Payment Status]]="Pending","Pending"),"Invalid Input")</f>
        <v>Delivered</v>
      </c>
      <c r="T1688" t="s">
        <v>27</v>
      </c>
      <c r="U1688" t="str" cm="1">
        <f t="array" ref="U1688">IFERROR(_xlfn.IFS(Table1[[#This Row],[Payment Status]]="Partial","In Transit",Table1[[#This Row],[Payment Status]]="Paid","Completed",Table1[[#This Row],[Payment Status]]="Pending","Pending"),"Invalid Input")</f>
        <v>Completed</v>
      </c>
    </row>
    <row r="1689" spans="1:21" x14ac:dyDescent="0.25">
      <c r="A1689" s="4" t="s">
        <v>2819</v>
      </c>
      <c r="B1689" s="5">
        <v>45405</v>
      </c>
      <c r="C1689" t="s">
        <v>73</v>
      </c>
      <c r="D1689" t="s">
        <v>3270</v>
      </c>
      <c r="E1689" t="s">
        <v>66</v>
      </c>
      <c r="F1689" t="s">
        <v>3220</v>
      </c>
      <c r="G1689" t="s">
        <v>67</v>
      </c>
      <c r="H1689" t="str">
        <f>VLOOKUP(Table1[[#This Row],[City]],Table6[#All],2,FALSE)</f>
        <v>East</v>
      </c>
      <c r="I1689" t="s">
        <v>58</v>
      </c>
      <c r="J1689" t="str">
        <f>_xlfn.XLOOKUP(Table1[[#This Row],[Tractor Model]],Table7[Product Model],Table7[Product Category],"Not Available",0)</f>
        <v>Powertrac</v>
      </c>
      <c r="K1689" s="4">
        <v>7</v>
      </c>
      <c r="L1689" s="72">
        <v>210074</v>
      </c>
      <c r="M1689" s="4">
        <f>INDEX('Master Sheet'!$C$4:$C$12,MATCH(Table1[[#This Row],[Quantity]],'Master Sheet'!$B$4:$B$12,0))</f>
        <v>9</v>
      </c>
      <c r="N1689" s="71">
        <f>Table1[[#This Row],[Quantity]]*Table1[[#This Row],[Unit Price]]</f>
        <v>1470518</v>
      </c>
      <c r="O1689" s="73">
        <v>0.14705180000000001</v>
      </c>
      <c r="P1689" s="70">
        <f>Table1[[#This Row],[Gross Amount]]*(1-(Table1[[#This Row],[Discount %]]/100))</f>
        <v>1338171.3800000001</v>
      </c>
      <c r="Q1689" s="74">
        <f>(Table1[[#This Row],[Gross Amount]]*(1-(Table1[[#This Row],[Discount %]]/100)))/10000000</f>
        <v>0.133817138</v>
      </c>
      <c r="R1689" t="s">
        <v>54</v>
      </c>
      <c r="S1689" t="str" cm="1">
        <f t="array" ref="S1689">IFERROR(_xlfn.IFS(Table1[[#This Row],[Payment Status]]="Partial","In Transit",Table1[[#This Row],[Payment Status]]="Paid","Delivered",Table1[[#This Row],[Payment Status]]="Pending","Pending"),"Invalid Input")</f>
        <v>Delivered</v>
      </c>
      <c r="T1689" t="s">
        <v>27</v>
      </c>
      <c r="U1689" t="str" cm="1">
        <f t="array" ref="U1689">IFERROR(_xlfn.IFS(Table1[[#This Row],[Payment Status]]="Partial","In Transit",Table1[[#This Row],[Payment Status]]="Paid","Completed",Table1[[#This Row],[Payment Status]]="Pending","Pending"),"Invalid Input")</f>
        <v>Completed</v>
      </c>
    </row>
    <row r="1690" spans="1:21" x14ac:dyDescent="0.25">
      <c r="A1690" s="4" t="s">
        <v>2820</v>
      </c>
      <c r="B1690" s="5">
        <v>45542</v>
      </c>
      <c r="C1690" t="s">
        <v>73</v>
      </c>
      <c r="D1690" t="s">
        <v>3270</v>
      </c>
      <c r="E1690" t="s">
        <v>119</v>
      </c>
      <c r="F1690" t="s">
        <v>3212</v>
      </c>
      <c r="G1690" t="s">
        <v>21</v>
      </c>
      <c r="H1690" t="str">
        <f>VLOOKUP(Table1[[#This Row],[City]],Table6[#All],2,FALSE)</f>
        <v>North</v>
      </c>
      <c r="I1690" t="s">
        <v>3203</v>
      </c>
      <c r="J1690" t="str">
        <f>_xlfn.XLOOKUP(Table1[[#This Row],[Tractor Model]],Table7[Product Model],Table7[Product Category],"Not Available",0)</f>
        <v>Kubota</v>
      </c>
      <c r="K1690" s="4">
        <v>3</v>
      </c>
      <c r="L1690" s="72">
        <v>669138</v>
      </c>
      <c r="M1690" s="4">
        <f>INDEX('Master Sheet'!$C$4:$C$12,MATCH(Table1[[#This Row],[Quantity]],'Master Sheet'!$B$4:$B$12,0))</f>
        <v>6</v>
      </c>
      <c r="N1690" s="71">
        <f>Table1[[#This Row],[Quantity]]*Table1[[#This Row],[Unit Price]]</f>
        <v>2007414</v>
      </c>
      <c r="O1690" s="73">
        <v>0.20074139999999999</v>
      </c>
      <c r="P1690" s="70">
        <f>Table1[[#This Row],[Gross Amount]]*(1-(Table1[[#This Row],[Discount %]]/100))</f>
        <v>1886969.16</v>
      </c>
      <c r="Q1690" s="74">
        <f>(Table1[[#This Row],[Gross Amount]]*(1-(Table1[[#This Row],[Discount %]]/100)))/10000000</f>
        <v>0.18869691599999999</v>
      </c>
      <c r="R1690" t="s">
        <v>54</v>
      </c>
      <c r="S1690" t="str" cm="1">
        <f t="array" ref="S1690">IFERROR(_xlfn.IFS(Table1[[#This Row],[Payment Status]]="Partial","In Transit",Table1[[#This Row],[Payment Status]]="Paid","Delivered",Table1[[#This Row],[Payment Status]]="Pending","Pending"),"Invalid Input")</f>
        <v>Delivered</v>
      </c>
      <c r="T1690" t="s">
        <v>44</v>
      </c>
      <c r="U1690" t="str" cm="1">
        <f t="array" ref="U1690">IFERROR(_xlfn.IFS(Table1[[#This Row],[Payment Status]]="Partial","In Transit",Table1[[#This Row],[Payment Status]]="Paid","Completed",Table1[[#This Row],[Payment Status]]="Pending","Pending"),"Invalid Input")</f>
        <v>Completed</v>
      </c>
    </row>
    <row r="1691" spans="1:21" x14ac:dyDescent="0.25">
      <c r="A1691" s="4" t="s">
        <v>2821</v>
      </c>
      <c r="B1691" s="5">
        <v>45702</v>
      </c>
      <c r="C1691" t="s">
        <v>41</v>
      </c>
      <c r="D1691" t="s">
        <v>37</v>
      </c>
      <c r="E1691" t="s">
        <v>47</v>
      </c>
      <c r="F1691" t="s">
        <v>3215</v>
      </c>
      <c r="G1691" t="s">
        <v>48</v>
      </c>
      <c r="H1691" t="str">
        <f>VLOOKUP(Table1[[#This Row],[City]],Table6[#All],2,FALSE)</f>
        <v>North</v>
      </c>
      <c r="I1691" t="s">
        <v>58</v>
      </c>
      <c r="J1691" t="str">
        <f>_xlfn.XLOOKUP(Table1[[#This Row],[Tractor Model]],Table7[Product Model],Table7[Product Category],"Not Available",0)</f>
        <v>Powertrac</v>
      </c>
      <c r="K1691" s="4">
        <v>6</v>
      </c>
      <c r="L1691" s="72">
        <v>260244</v>
      </c>
      <c r="M1691" s="4">
        <f>INDEX('Master Sheet'!$C$4:$C$12,MATCH(Table1[[#This Row],[Quantity]],'Master Sheet'!$B$4:$B$12,0))</f>
        <v>8</v>
      </c>
      <c r="N1691" s="71">
        <f>Table1[[#This Row],[Quantity]]*Table1[[#This Row],[Unit Price]]</f>
        <v>1561464</v>
      </c>
      <c r="O1691" s="73">
        <v>0.15614639999999999</v>
      </c>
      <c r="P1691" s="70">
        <f>Table1[[#This Row],[Gross Amount]]*(1-(Table1[[#This Row],[Discount %]]/100))</f>
        <v>1436546.8800000001</v>
      </c>
      <c r="Q1691" s="74">
        <f>(Table1[[#This Row],[Gross Amount]]*(1-(Table1[[#This Row],[Discount %]]/100)))/10000000</f>
        <v>0.143654688</v>
      </c>
      <c r="R1691" t="s">
        <v>25</v>
      </c>
      <c r="S1691" t="str" cm="1">
        <f t="array" ref="S1691">IFERROR(_xlfn.IFS(Table1[[#This Row],[Payment Status]]="Partial","In Transit",Table1[[#This Row],[Payment Status]]="Paid","Delivered",Table1[[#This Row],[Payment Status]]="Pending","Pending"),"Invalid Input")</f>
        <v>In Transit</v>
      </c>
      <c r="T1691" t="s">
        <v>27</v>
      </c>
      <c r="U1691" t="str" cm="1">
        <f t="array" ref="U1691">IFERROR(_xlfn.IFS(Table1[[#This Row],[Payment Status]]="Partial","In Transit",Table1[[#This Row],[Payment Status]]="Paid","Completed",Table1[[#This Row],[Payment Status]]="Pending","Pending"),"Invalid Input")</f>
        <v>In Transit</v>
      </c>
    </row>
    <row r="1692" spans="1:21" x14ac:dyDescent="0.25">
      <c r="A1692" s="4" t="s">
        <v>2822</v>
      </c>
      <c r="B1692" s="5">
        <v>45613</v>
      </c>
      <c r="C1692" t="s">
        <v>52</v>
      </c>
      <c r="D1692" t="s">
        <v>37</v>
      </c>
      <c r="E1692" t="s">
        <v>30</v>
      </c>
      <c r="F1692" t="s">
        <v>3222</v>
      </c>
      <c r="G1692" t="s">
        <v>31</v>
      </c>
      <c r="H1692" t="str">
        <f>VLOOKUP(Table1[[#This Row],[City]],Table6[#All],2,FALSE)</f>
        <v>South</v>
      </c>
      <c r="I1692" t="s">
        <v>24</v>
      </c>
      <c r="J1692" t="str">
        <f>_xlfn.XLOOKUP(Table1[[#This Row],[Tractor Model]],Table7[Product Model],Table7[Product Category],"Not Available",0)</f>
        <v>Farmtrac</v>
      </c>
      <c r="K1692" s="4">
        <v>2</v>
      </c>
      <c r="L1692" s="72">
        <v>798431</v>
      </c>
      <c r="M1692" s="4">
        <f>INDEX('Master Sheet'!$C$4:$C$12,MATCH(Table1[[#This Row],[Quantity]],'Master Sheet'!$B$4:$B$12,0))</f>
        <v>5</v>
      </c>
      <c r="N1692" s="71">
        <f>Table1[[#This Row],[Quantity]]*Table1[[#This Row],[Unit Price]]</f>
        <v>1596862</v>
      </c>
      <c r="O1692" s="73">
        <v>0.1596862</v>
      </c>
      <c r="P1692" s="70">
        <f>Table1[[#This Row],[Gross Amount]]*(1-(Table1[[#This Row],[Discount %]]/100))</f>
        <v>1517018.9</v>
      </c>
      <c r="Q1692" s="74">
        <f>(Table1[[#This Row],[Gross Amount]]*(1-(Table1[[#This Row],[Discount %]]/100)))/10000000</f>
        <v>0.15170188999999998</v>
      </c>
      <c r="R1692" t="s">
        <v>54</v>
      </c>
      <c r="S1692" t="str" cm="1">
        <f t="array" ref="S1692">IFERROR(_xlfn.IFS(Table1[[#This Row],[Payment Status]]="Partial","In Transit",Table1[[#This Row],[Payment Status]]="Paid","Delivered",Table1[[#This Row],[Payment Status]]="Pending","Pending"),"Invalid Input")</f>
        <v>Delivered</v>
      </c>
      <c r="T1692" t="s">
        <v>44</v>
      </c>
      <c r="U1692" t="str" cm="1">
        <f t="array" ref="U1692">IFERROR(_xlfn.IFS(Table1[[#This Row],[Payment Status]]="Partial","In Transit",Table1[[#This Row],[Payment Status]]="Paid","Completed",Table1[[#This Row],[Payment Status]]="Pending","Pending"),"Invalid Input")</f>
        <v>Completed</v>
      </c>
    </row>
    <row r="1693" spans="1:21" x14ac:dyDescent="0.25">
      <c r="A1693" s="4" t="s">
        <v>2823</v>
      </c>
      <c r="B1693" s="5">
        <v>45646</v>
      </c>
      <c r="C1693" t="s">
        <v>52</v>
      </c>
      <c r="D1693" t="s">
        <v>3268</v>
      </c>
      <c r="E1693" t="s">
        <v>119</v>
      </c>
      <c r="F1693" t="s">
        <v>3227</v>
      </c>
      <c r="G1693" t="s">
        <v>21</v>
      </c>
      <c r="H1693" t="str">
        <f>VLOOKUP(Table1[[#This Row],[City]],Table6[#All],2,FALSE)</f>
        <v>North</v>
      </c>
      <c r="I1693" t="s">
        <v>53</v>
      </c>
      <c r="J1693" t="str">
        <f>_xlfn.XLOOKUP(Table1[[#This Row],[Tractor Model]],Table7[Product Model],Table7[Product Category],"Not Available",0)</f>
        <v>Farmtrac</v>
      </c>
      <c r="K1693" s="4">
        <v>6</v>
      </c>
      <c r="L1693" s="72">
        <v>357614</v>
      </c>
      <c r="M1693" s="4">
        <f>INDEX('Master Sheet'!$C$4:$C$12,MATCH(Table1[[#This Row],[Quantity]],'Master Sheet'!$B$4:$B$12,0))</f>
        <v>8</v>
      </c>
      <c r="N1693" s="71">
        <f>Table1[[#This Row],[Quantity]]*Table1[[#This Row],[Unit Price]]</f>
        <v>2145684</v>
      </c>
      <c r="O1693" s="73">
        <v>0.21456839999999999</v>
      </c>
      <c r="P1693" s="70">
        <f>Table1[[#This Row],[Gross Amount]]*(1-(Table1[[#This Row],[Discount %]]/100))</f>
        <v>1974029.28</v>
      </c>
      <c r="Q1693" s="74">
        <f>(Table1[[#This Row],[Gross Amount]]*(1-(Table1[[#This Row],[Discount %]]/100)))/10000000</f>
        <v>0.19740292800000001</v>
      </c>
      <c r="R1693" t="s">
        <v>25</v>
      </c>
      <c r="S1693" t="str" cm="1">
        <f t="array" ref="S1693">IFERROR(_xlfn.IFS(Table1[[#This Row],[Payment Status]]="Partial","In Transit",Table1[[#This Row],[Payment Status]]="Paid","Delivered",Table1[[#This Row],[Payment Status]]="Pending","Pending"),"Invalid Input")</f>
        <v>In Transit</v>
      </c>
      <c r="T1693" t="s">
        <v>44</v>
      </c>
      <c r="U1693" t="str" cm="1">
        <f t="array" ref="U1693">IFERROR(_xlfn.IFS(Table1[[#This Row],[Payment Status]]="Partial","In Transit",Table1[[#This Row],[Payment Status]]="Paid","Completed",Table1[[#This Row],[Payment Status]]="Pending","Pending"),"Invalid Input")</f>
        <v>In Transit</v>
      </c>
    </row>
    <row r="1694" spans="1:21" x14ac:dyDescent="0.25">
      <c r="A1694" s="4" t="s">
        <v>2824</v>
      </c>
      <c r="B1694" s="5">
        <v>45431</v>
      </c>
      <c r="C1694" t="s">
        <v>33</v>
      </c>
      <c r="D1694" t="s">
        <v>3269</v>
      </c>
      <c r="E1694" t="s">
        <v>38</v>
      </c>
      <c r="F1694" t="s">
        <v>3206</v>
      </c>
      <c r="G1694" t="s">
        <v>39</v>
      </c>
      <c r="H1694" t="str">
        <f>VLOOKUP(Table1[[#This Row],[City]],Table6[#All],2,FALSE)</f>
        <v>West</v>
      </c>
      <c r="I1694" t="s">
        <v>3204</v>
      </c>
      <c r="J1694" t="str">
        <f>_xlfn.XLOOKUP(Table1[[#This Row],[Tractor Model]],Table7[Product Model],Table7[Product Category],"Not Available",0)</f>
        <v>Kubota</v>
      </c>
      <c r="K1694" s="4">
        <v>4</v>
      </c>
      <c r="L1694" s="72">
        <v>866190</v>
      </c>
      <c r="M1694" s="4">
        <f>INDEX('Master Sheet'!$C$4:$C$12,MATCH(Table1[[#This Row],[Quantity]],'Master Sheet'!$B$4:$B$12,0))</f>
        <v>6</v>
      </c>
      <c r="N1694" s="71">
        <f>Table1[[#This Row],[Quantity]]*Table1[[#This Row],[Unit Price]]</f>
        <v>3464760</v>
      </c>
      <c r="O1694" s="73">
        <v>0.34647600000000001</v>
      </c>
      <c r="P1694" s="70">
        <f>Table1[[#This Row],[Gross Amount]]*(1-(Table1[[#This Row],[Discount %]]/100))</f>
        <v>3256874.4</v>
      </c>
      <c r="Q1694" s="74">
        <f>(Table1[[#This Row],[Gross Amount]]*(1-(Table1[[#This Row],[Discount %]]/100)))/10000000</f>
        <v>0.32568743999999999</v>
      </c>
      <c r="R1694" t="s">
        <v>25</v>
      </c>
      <c r="S1694" t="str" cm="1">
        <f t="array" ref="S1694">IFERROR(_xlfn.IFS(Table1[[#This Row],[Payment Status]]="Partial","In Transit",Table1[[#This Row],[Payment Status]]="Paid","Delivered",Table1[[#This Row],[Payment Status]]="Pending","Pending"),"Invalid Input")</f>
        <v>In Transit</v>
      </c>
      <c r="T1694" t="s">
        <v>27</v>
      </c>
      <c r="U1694" t="str" cm="1">
        <f t="array" ref="U1694">IFERROR(_xlfn.IFS(Table1[[#This Row],[Payment Status]]="Partial","In Transit",Table1[[#This Row],[Payment Status]]="Paid","Completed",Table1[[#This Row],[Payment Status]]="Pending","Pending"),"Invalid Input")</f>
        <v>In Transit</v>
      </c>
    </row>
    <row r="1695" spans="1:21" x14ac:dyDescent="0.25">
      <c r="A1695" s="4" t="s">
        <v>2825</v>
      </c>
      <c r="B1695" s="5">
        <v>45492</v>
      </c>
      <c r="C1695" t="s">
        <v>73</v>
      </c>
      <c r="D1695" t="s">
        <v>37</v>
      </c>
      <c r="E1695" t="s">
        <v>38</v>
      </c>
      <c r="F1695" t="s">
        <v>3214</v>
      </c>
      <c r="G1695" t="s">
        <v>39</v>
      </c>
      <c r="H1695" t="str">
        <f>VLOOKUP(Table1[[#This Row],[City]],Table6[#All],2,FALSE)</f>
        <v>West</v>
      </c>
      <c r="I1695" t="s">
        <v>53</v>
      </c>
      <c r="J1695" t="str">
        <f>_xlfn.XLOOKUP(Table1[[#This Row],[Tractor Model]],Table7[Product Model],Table7[Product Category],"Not Available",0)</f>
        <v>Farmtrac</v>
      </c>
      <c r="K1695" s="4">
        <v>5</v>
      </c>
      <c r="L1695" s="72">
        <v>285213</v>
      </c>
      <c r="M1695" s="4">
        <f>INDEX('Master Sheet'!$C$4:$C$12,MATCH(Table1[[#This Row],[Quantity]],'Master Sheet'!$B$4:$B$12,0))</f>
        <v>7</v>
      </c>
      <c r="N1695" s="71">
        <f>Table1[[#This Row],[Quantity]]*Table1[[#This Row],[Unit Price]]</f>
        <v>1426065</v>
      </c>
      <c r="O1695" s="73">
        <v>0.1426065</v>
      </c>
      <c r="P1695" s="70">
        <f>Table1[[#This Row],[Gross Amount]]*(1-(Table1[[#This Row],[Discount %]]/100))</f>
        <v>1326240.45</v>
      </c>
      <c r="Q1695" s="74">
        <f>(Table1[[#This Row],[Gross Amount]]*(1-(Table1[[#This Row],[Discount %]]/100)))/10000000</f>
        <v>0.132624045</v>
      </c>
      <c r="R1695" t="s">
        <v>54</v>
      </c>
      <c r="S1695" t="str" cm="1">
        <f t="array" ref="S1695">IFERROR(_xlfn.IFS(Table1[[#This Row],[Payment Status]]="Partial","In Transit",Table1[[#This Row],[Payment Status]]="Paid","Delivered",Table1[[#This Row],[Payment Status]]="Pending","Pending"),"Invalid Input")</f>
        <v>Delivered</v>
      </c>
      <c r="T1695" t="s">
        <v>27</v>
      </c>
      <c r="U1695" t="str" cm="1">
        <f t="array" ref="U1695">IFERROR(_xlfn.IFS(Table1[[#This Row],[Payment Status]]="Partial","In Transit",Table1[[#This Row],[Payment Status]]="Paid","Completed",Table1[[#This Row],[Payment Status]]="Pending","Pending"),"Invalid Input")</f>
        <v>Completed</v>
      </c>
    </row>
    <row r="1696" spans="1:21" x14ac:dyDescent="0.25">
      <c r="A1696" s="4" t="s">
        <v>2826</v>
      </c>
      <c r="B1696" s="5">
        <v>45743</v>
      </c>
      <c r="C1696" t="s">
        <v>41</v>
      </c>
      <c r="D1696" t="s">
        <v>3270</v>
      </c>
      <c r="E1696" t="s">
        <v>30</v>
      </c>
      <c r="F1696" t="s">
        <v>3223</v>
      </c>
      <c r="G1696" t="s">
        <v>31</v>
      </c>
      <c r="H1696" t="str">
        <f>VLOOKUP(Table1[[#This Row],[City]],Table6[#All],2,FALSE)</f>
        <v>South</v>
      </c>
      <c r="I1696" t="s">
        <v>3203</v>
      </c>
      <c r="J1696" t="str">
        <f>_xlfn.XLOOKUP(Table1[[#This Row],[Tractor Model]],Table7[Product Model],Table7[Product Category],"Not Available",0)</f>
        <v>Kubota</v>
      </c>
      <c r="K1696" s="4">
        <v>2</v>
      </c>
      <c r="L1696" s="72">
        <v>472480</v>
      </c>
      <c r="M1696" s="4">
        <f>INDEX('Master Sheet'!$C$4:$C$12,MATCH(Table1[[#This Row],[Quantity]],'Master Sheet'!$B$4:$B$12,0))</f>
        <v>5</v>
      </c>
      <c r="N1696" s="71">
        <f>Table1[[#This Row],[Quantity]]*Table1[[#This Row],[Unit Price]]</f>
        <v>944960</v>
      </c>
      <c r="O1696" s="73">
        <v>9.4495999999999997E-2</v>
      </c>
      <c r="P1696" s="70">
        <f>Table1[[#This Row],[Gross Amount]]*(1-(Table1[[#This Row],[Discount %]]/100))</f>
        <v>897712</v>
      </c>
      <c r="Q1696" s="74">
        <f>(Table1[[#This Row],[Gross Amount]]*(1-(Table1[[#This Row],[Discount %]]/100)))/10000000</f>
        <v>8.9771199999999995E-2</v>
      </c>
      <c r="R1696" t="s">
        <v>25</v>
      </c>
      <c r="S1696" t="str" cm="1">
        <f t="array" ref="S1696">IFERROR(_xlfn.IFS(Table1[[#This Row],[Payment Status]]="Partial","In Transit",Table1[[#This Row],[Payment Status]]="Paid","Delivered",Table1[[#This Row],[Payment Status]]="Pending","Pending"),"Invalid Input")</f>
        <v>In Transit</v>
      </c>
      <c r="T1696" t="s">
        <v>44</v>
      </c>
      <c r="U1696" t="str" cm="1">
        <f t="array" ref="U1696">IFERROR(_xlfn.IFS(Table1[[#This Row],[Payment Status]]="Partial","In Transit",Table1[[#This Row],[Payment Status]]="Paid","Completed",Table1[[#This Row],[Payment Status]]="Pending","Pending"),"Invalid Input")</f>
        <v>In Transit</v>
      </c>
    </row>
    <row r="1697" spans="1:21" x14ac:dyDescent="0.25">
      <c r="A1697" s="4" t="s">
        <v>2827</v>
      </c>
      <c r="B1697" s="5">
        <v>45718</v>
      </c>
      <c r="C1697" t="s">
        <v>62</v>
      </c>
      <c r="D1697" t="s">
        <v>37</v>
      </c>
      <c r="E1697" t="s">
        <v>38</v>
      </c>
      <c r="F1697" t="s">
        <v>3214</v>
      </c>
      <c r="G1697" t="s">
        <v>39</v>
      </c>
      <c r="H1697" t="str">
        <f>VLOOKUP(Table1[[#This Row],[City]],Table6[#All],2,FALSE)</f>
        <v>West</v>
      </c>
      <c r="I1697" t="s">
        <v>58</v>
      </c>
      <c r="J1697" t="str">
        <f>_xlfn.XLOOKUP(Table1[[#This Row],[Tractor Model]],Table7[Product Model],Table7[Product Category],"Not Available",0)</f>
        <v>Powertrac</v>
      </c>
      <c r="K1697" s="4">
        <v>1</v>
      </c>
      <c r="L1697" s="72">
        <v>838577</v>
      </c>
      <c r="M1697" s="4">
        <f>INDEX('Master Sheet'!$C$4:$C$12,MATCH(Table1[[#This Row],[Quantity]],'Master Sheet'!$B$4:$B$12,0))</f>
        <v>3</v>
      </c>
      <c r="N1697" s="71">
        <f>Table1[[#This Row],[Quantity]]*Table1[[#This Row],[Unit Price]]</f>
        <v>838577</v>
      </c>
      <c r="O1697" s="73">
        <v>8.3857699999999993E-2</v>
      </c>
      <c r="P1697" s="70">
        <f>Table1[[#This Row],[Gross Amount]]*(1-(Table1[[#This Row],[Discount %]]/100))</f>
        <v>813419.69</v>
      </c>
      <c r="Q1697" s="74">
        <f>(Table1[[#This Row],[Gross Amount]]*(1-(Table1[[#This Row],[Discount %]]/100)))/10000000</f>
        <v>8.1341969E-2</v>
      </c>
      <c r="R1697" t="s">
        <v>54</v>
      </c>
      <c r="S1697" t="str" cm="1">
        <f t="array" ref="S1697">IFERROR(_xlfn.IFS(Table1[[#This Row],[Payment Status]]="Partial","In Transit",Table1[[#This Row],[Payment Status]]="Paid","Delivered",Table1[[#This Row],[Payment Status]]="Pending","Pending"),"Invalid Input")</f>
        <v>Delivered</v>
      </c>
      <c r="T1697" t="s">
        <v>27</v>
      </c>
      <c r="U1697" t="str" cm="1">
        <f t="array" ref="U1697">IFERROR(_xlfn.IFS(Table1[[#This Row],[Payment Status]]="Partial","In Transit",Table1[[#This Row],[Payment Status]]="Paid","Completed",Table1[[#This Row],[Payment Status]]="Pending","Pending"),"Invalid Input")</f>
        <v>Completed</v>
      </c>
    </row>
    <row r="1698" spans="1:21" x14ac:dyDescent="0.25">
      <c r="A1698" s="4" t="s">
        <v>2828</v>
      </c>
      <c r="B1698" s="5">
        <v>45652</v>
      </c>
      <c r="C1698" t="s">
        <v>33</v>
      </c>
      <c r="D1698" t="s">
        <v>3269</v>
      </c>
      <c r="E1698" t="s">
        <v>47</v>
      </c>
      <c r="F1698" t="s">
        <v>3209</v>
      </c>
      <c r="G1698" t="s">
        <v>48</v>
      </c>
      <c r="H1698" t="str">
        <f>VLOOKUP(Table1[[#This Row],[City]],Table6[#All],2,FALSE)</f>
        <v>North</v>
      </c>
      <c r="I1698" t="s">
        <v>3203</v>
      </c>
      <c r="J1698" t="str">
        <f>_xlfn.XLOOKUP(Table1[[#This Row],[Tractor Model]],Table7[Product Model],Table7[Product Category],"Not Available",0)</f>
        <v>Kubota</v>
      </c>
      <c r="K1698" s="4">
        <v>2</v>
      </c>
      <c r="L1698" s="72">
        <v>534279</v>
      </c>
      <c r="M1698" s="4">
        <f>INDEX('Master Sheet'!$C$4:$C$12,MATCH(Table1[[#This Row],[Quantity]],'Master Sheet'!$B$4:$B$12,0))</f>
        <v>5</v>
      </c>
      <c r="N1698" s="71">
        <f>Table1[[#This Row],[Quantity]]*Table1[[#This Row],[Unit Price]]</f>
        <v>1068558</v>
      </c>
      <c r="O1698" s="73">
        <v>0.1068558</v>
      </c>
      <c r="P1698" s="70">
        <f>Table1[[#This Row],[Gross Amount]]*(1-(Table1[[#This Row],[Discount %]]/100))</f>
        <v>1015130.1</v>
      </c>
      <c r="Q1698" s="74">
        <f>(Table1[[#This Row],[Gross Amount]]*(1-(Table1[[#This Row],[Discount %]]/100)))/10000000</f>
        <v>0.10151301</v>
      </c>
      <c r="R1698" t="s">
        <v>54</v>
      </c>
      <c r="S1698" t="str" cm="1">
        <f t="array" ref="S1698">IFERROR(_xlfn.IFS(Table1[[#This Row],[Payment Status]]="Partial","In Transit",Table1[[#This Row],[Payment Status]]="Paid","Delivered",Table1[[#This Row],[Payment Status]]="Pending","Pending"),"Invalid Input")</f>
        <v>Delivered</v>
      </c>
      <c r="T1698" t="s">
        <v>27</v>
      </c>
      <c r="U1698" t="str" cm="1">
        <f t="array" ref="U1698">IFERROR(_xlfn.IFS(Table1[[#This Row],[Payment Status]]="Partial","In Transit",Table1[[#This Row],[Payment Status]]="Paid","Completed",Table1[[#This Row],[Payment Status]]="Pending","Pending"),"Invalid Input")</f>
        <v>Completed</v>
      </c>
    </row>
    <row r="1699" spans="1:21" x14ac:dyDescent="0.25">
      <c r="A1699" s="4" t="s">
        <v>2829</v>
      </c>
      <c r="B1699" s="5">
        <v>45533</v>
      </c>
      <c r="C1699" t="s">
        <v>41</v>
      </c>
      <c r="D1699" t="s">
        <v>37</v>
      </c>
      <c r="E1699" t="s">
        <v>66</v>
      </c>
      <c r="F1699" t="s">
        <v>3226</v>
      </c>
      <c r="G1699" t="s">
        <v>67</v>
      </c>
      <c r="H1699" t="str">
        <f>VLOOKUP(Table1[[#This Row],[City]],Table6[#All],2,FALSE)</f>
        <v>East</v>
      </c>
      <c r="I1699" t="s">
        <v>3203</v>
      </c>
      <c r="J1699" t="str">
        <f>_xlfn.XLOOKUP(Table1[[#This Row],[Tractor Model]],Table7[Product Model],Table7[Product Category],"Not Available",0)</f>
        <v>Kubota</v>
      </c>
      <c r="K1699" s="4">
        <v>1</v>
      </c>
      <c r="L1699" s="72">
        <v>630916</v>
      </c>
      <c r="M1699" s="4">
        <f>INDEX('Master Sheet'!$C$4:$C$12,MATCH(Table1[[#This Row],[Quantity]],'Master Sheet'!$B$4:$B$12,0))</f>
        <v>3</v>
      </c>
      <c r="N1699" s="71">
        <f>Table1[[#This Row],[Quantity]]*Table1[[#This Row],[Unit Price]]</f>
        <v>630916</v>
      </c>
      <c r="O1699" s="73">
        <v>6.3091599999999998E-2</v>
      </c>
      <c r="P1699" s="70">
        <f>Table1[[#This Row],[Gross Amount]]*(1-(Table1[[#This Row],[Discount %]]/100))</f>
        <v>611988.52</v>
      </c>
      <c r="Q1699" s="74">
        <f>(Table1[[#This Row],[Gross Amount]]*(1-(Table1[[#This Row],[Discount %]]/100)))/10000000</f>
        <v>6.1198852000000005E-2</v>
      </c>
      <c r="R1699" t="s">
        <v>25</v>
      </c>
      <c r="S1699" t="str" cm="1">
        <f t="array" ref="S1699">IFERROR(_xlfn.IFS(Table1[[#This Row],[Payment Status]]="Partial","In Transit",Table1[[#This Row],[Payment Status]]="Paid","Delivered",Table1[[#This Row],[Payment Status]]="Pending","Pending"),"Invalid Input")</f>
        <v>In Transit</v>
      </c>
      <c r="T1699" t="s">
        <v>27</v>
      </c>
      <c r="U1699" t="str" cm="1">
        <f t="array" ref="U1699">IFERROR(_xlfn.IFS(Table1[[#This Row],[Payment Status]]="Partial","In Transit",Table1[[#This Row],[Payment Status]]="Paid","Completed",Table1[[#This Row],[Payment Status]]="Pending","Pending"),"Invalid Input")</f>
        <v>In Transit</v>
      </c>
    </row>
    <row r="1700" spans="1:21" x14ac:dyDescent="0.25">
      <c r="A1700" s="4" t="s">
        <v>2830</v>
      </c>
      <c r="B1700" s="5">
        <v>45536</v>
      </c>
      <c r="C1700" t="s">
        <v>52</v>
      </c>
      <c r="D1700" t="s">
        <v>3269</v>
      </c>
      <c r="E1700" t="s">
        <v>119</v>
      </c>
      <c r="F1700" t="s">
        <v>3229</v>
      </c>
      <c r="G1700" t="s">
        <v>21</v>
      </c>
      <c r="H1700" t="str">
        <f>VLOOKUP(Table1[[#This Row],[City]],Table6[#All],2,FALSE)</f>
        <v>North</v>
      </c>
      <c r="I1700" t="s">
        <v>3204</v>
      </c>
      <c r="J1700" t="str">
        <f>_xlfn.XLOOKUP(Table1[[#This Row],[Tractor Model]],Table7[Product Model],Table7[Product Category],"Not Available",0)</f>
        <v>Kubota</v>
      </c>
      <c r="K1700" s="4">
        <v>8</v>
      </c>
      <c r="L1700" s="72">
        <v>857343</v>
      </c>
      <c r="M1700" s="4">
        <f>INDEX('Master Sheet'!$C$4:$C$12,MATCH(Table1[[#This Row],[Quantity]],'Master Sheet'!$B$4:$B$12,0))</f>
        <v>9</v>
      </c>
      <c r="N1700" s="71">
        <f>Table1[[#This Row],[Quantity]]*Table1[[#This Row],[Unit Price]]</f>
        <v>6858744</v>
      </c>
      <c r="O1700" s="73">
        <v>0.6858744</v>
      </c>
      <c r="P1700" s="70">
        <f>Table1[[#This Row],[Gross Amount]]*(1-(Table1[[#This Row],[Discount %]]/100))</f>
        <v>6241457.04</v>
      </c>
      <c r="Q1700" s="74">
        <f>(Table1[[#This Row],[Gross Amount]]*(1-(Table1[[#This Row],[Discount %]]/100)))/10000000</f>
        <v>0.62414570400000002</v>
      </c>
      <c r="R1700" t="s">
        <v>54</v>
      </c>
      <c r="S1700" t="str" cm="1">
        <f t="array" ref="S1700">IFERROR(_xlfn.IFS(Table1[[#This Row],[Payment Status]]="Partial","In Transit",Table1[[#This Row],[Payment Status]]="Paid","Delivered",Table1[[#This Row],[Payment Status]]="Pending","Pending"),"Invalid Input")</f>
        <v>Delivered</v>
      </c>
      <c r="T1700" t="s">
        <v>44</v>
      </c>
      <c r="U1700" t="str" cm="1">
        <f t="array" ref="U1700">IFERROR(_xlfn.IFS(Table1[[#This Row],[Payment Status]]="Partial","In Transit",Table1[[#This Row],[Payment Status]]="Paid","Completed",Table1[[#This Row],[Payment Status]]="Pending","Pending"),"Invalid Input")</f>
        <v>Completed</v>
      </c>
    </row>
    <row r="1701" spans="1:21" x14ac:dyDescent="0.25">
      <c r="A1701" s="4" t="s">
        <v>2832</v>
      </c>
      <c r="B1701" s="5">
        <v>45709</v>
      </c>
      <c r="C1701" t="s">
        <v>62</v>
      </c>
      <c r="D1701" t="s">
        <v>37</v>
      </c>
      <c r="E1701" t="s">
        <v>119</v>
      </c>
      <c r="F1701" t="s">
        <v>3224</v>
      </c>
      <c r="G1701" t="s">
        <v>21</v>
      </c>
      <c r="H1701" t="str">
        <f>VLOOKUP(Table1[[#This Row],[City]],Table6[#All],2,FALSE)</f>
        <v>North</v>
      </c>
      <c r="I1701" t="s">
        <v>3203</v>
      </c>
      <c r="J1701" t="str">
        <f>_xlfn.XLOOKUP(Table1[[#This Row],[Tractor Model]],Table7[Product Model],Table7[Product Category],"Not Available",0)</f>
        <v>Kubota</v>
      </c>
      <c r="K1701" s="4">
        <v>5</v>
      </c>
      <c r="L1701" s="72">
        <v>419260</v>
      </c>
      <c r="M1701" s="4">
        <f>INDEX('Master Sheet'!$C$4:$C$12,MATCH(Table1[[#This Row],[Quantity]],'Master Sheet'!$B$4:$B$12,0))</f>
        <v>7</v>
      </c>
      <c r="N1701" s="71">
        <f>Table1[[#This Row],[Quantity]]*Table1[[#This Row],[Unit Price]]</f>
        <v>2096300</v>
      </c>
      <c r="O1701" s="73">
        <v>0.20963000000000001</v>
      </c>
      <c r="P1701" s="70">
        <f>Table1[[#This Row],[Gross Amount]]*(1-(Table1[[#This Row],[Discount %]]/100))</f>
        <v>1949558.9999999998</v>
      </c>
      <c r="Q1701" s="74">
        <f>(Table1[[#This Row],[Gross Amount]]*(1-(Table1[[#This Row],[Discount %]]/100)))/10000000</f>
        <v>0.19495589999999999</v>
      </c>
      <c r="R1701" t="s">
        <v>42</v>
      </c>
      <c r="S1701" t="str" cm="1">
        <f t="array" ref="S1701">IFERROR(_xlfn.IFS(Table1[[#This Row],[Payment Status]]="Partial","In Transit",Table1[[#This Row],[Payment Status]]="Paid","Delivered",Table1[[#This Row],[Payment Status]]="Pending","Pending"),"Invalid Input")</f>
        <v>Pending</v>
      </c>
      <c r="T1701" t="s">
        <v>27</v>
      </c>
      <c r="U1701" t="str" cm="1">
        <f t="array" ref="U1701">IFERROR(_xlfn.IFS(Table1[[#This Row],[Payment Status]]="Partial","In Transit",Table1[[#This Row],[Payment Status]]="Paid","Completed",Table1[[#This Row],[Payment Status]]="Pending","Pending"),"Invalid Input")</f>
        <v>Pending</v>
      </c>
    </row>
    <row r="1702" spans="1:21" x14ac:dyDescent="0.25">
      <c r="A1702" s="4" t="s">
        <v>2833</v>
      </c>
      <c r="B1702" s="5">
        <v>45298</v>
      </c>
      <c r="C1702" t="s">
        <v>41</v>
      </c>
      <c r="D1702" t="s">
        <v>3271</v>
      </c>
      <c r="E1702" t="s">
        <v>119</v>
      </c>
      <c r="F1702" t="s">
        <v>3228</v>
      </c>
      <c r="G1702" t="s">
        <v>21</v>
      </c>
      <c r="H1702" t="str">
        <f>VLOOKUP(Table1[[#This Row],[City]],Table6[#All],2,FALSE)</f>
        <v>North</v>
      </c>
      <c r="I1702" t="s">
        <v>3204</v>
      </c>
      <c r="J1702" t="str">
        <f>_xlfn.XLOOKUP(Table1[[#This Row],[Tractor Model]],Table7[Product Model],Table7[Product Category],"Not Available",0)</f>
        <v>Kubota</v>
      </c>
      <c r="K1702" s="4">
        <v>2</v>
      </c>
      <c r="L1702" s="72">
        <v>725607</v>
      </c>
      <c r="M1702" s="4">
        <f>INDEX('Master Sheet'!$C$4:$C$12,MATCH(Table1[[#This Row],[Quantity]],'Master Sheet'!$B$4:$B$12,0))</f>
        <v>5</v>
      </c>
      <c r="N1702" s="71">
        <f>Table1[[#This Row],[Quantity]]*Table1[[#This Row],[Unit Price]]</f>
        <v>1451214</v>
      </c>
      <c r="O1702" s="73">
        <v>0.14512140000000001</v>
      </c>
      <c r="P1702" s="70">
        <f>Table1[[#This Row],[Gross Amount]]*(1-(Table1[[#This Row],[Discount %]]/100))</f>
        <v>1378653.3</v>
      </c>
      <c r="Q1702" s="74">
        <f>(Table1[[#This Row],[Gross Amount]]*(1-(Table1[[#This Row],[Discount %]]/100)))/10000000</f>
        <v>0.13786533000000001</v>
      </c>
      <c r="R1702" t="s">
        <v>54</v>
      </c>
      <c r="S1702" t="str" cm="1">
        <f t="array" ref="S1702">IFERROR(_xlfn.IFS(Table1[[#This Row],[Payment Status]]="Partial","In Transit",Table1[[#This Row],[Payment Status]]="Paid","Delivered",Table1[[#This Row],[Payment Status]]="Pending","Pending"),"Invalid Input")</f>
        <v>Delivered</v>
      </c>
      <c r="T1702" t="s">
        <v>27</v>
      </c>
      <c r="U1702" t="str" cm="1">
        <f t="array" ref="U1702">IFERROR(_xlfn.IFS(Table1[[#This Row],[Payment Status]]="Partial","In Transit",Table1[[#This Row],[Payment Status]]="Paid","Completed",Table1[[#This Row],[Payment Status]]="Pending","Pending"),"Invalid Input")</f>
        <v>Completed</v>
      </c>
    </row>
    <row r="1703" spans="1:21" x14ac:dyDescent="0.25">
      <c r="A1703" s="4" t="s">
        <v>2835</v>
      </c>
      <c r="B1703" s="5">
        <v>45354</v>
      </c>
      <c r="C1703" t="s">
        <v>52</v>
      </c>
      <c r="D1703" t="s">
        <v>3269</v>
      </c>
      <c r="E1703" t="s">
        <v>38</v>
      </c>
      <c r="F1703" t="s">
        <v>3206</v>
      </c>
      <c r="G1703" t="s">
        <v>39</v>
      </c>
      <c r="H1703" t="str">
        <f>VLOOKUP(Table1[[#This Row],[City]],Table6[#All],2,FALSE)</f>
        <v>West</v>
      </c>
      <c r="I1703" t="s">
        <v>24</v>
      </c>
      <c r="J1703" t="str">
        <f>_xlfn.XLOOKUP(Table1[[#This Row],[Tractor Model]],Table7[Product Model],Table7[Product Category],"Not Available",0)</f>
        <v>Farmtrac</v>
      </c>
      <c r="K1703" s="4">
        <v>6</v>
      </c>
      <c r="L1703" s="72">
        <v>340158</v>
      </c>
      <c r="M1703" s="4">
        <f>INDEX('Master Sheet'!$C$4:$C$12,MATCH(Table1[[#This Row],[Quantity]],'Master Sheet'!$B$4:$B$12,0))</f>
        <v>8</v>
      </c>
      <c r="N1703" s="71">
        <f>Table1[[#This Row],[Quantity]]*Table1[[#This Row],[Unit Price]]</f>
        <v>2040948</v>
      </c>
      <c r="O1703" s="73">
        <v>0.20409479999999999</v>
      </c>
      <c r="P1703" s="70">
        <f>Table1[[#This Row],[Gross Amount]]*(1-(Table1[[#This Row],[Discount %]]/100))</f>
        <v>1877672.1600000001</v>
      </c>
      <c r="Q1703" s="74">
        <f>(Table1[[#This Row],[Gross Amount]]*(1-(Table1[[#This Row],[Discount %]]/100)))/10000000</f>
        <v>0.18776721600000001</v>
      </c>
      <c r="R1703" t="s">
        <v>25</v>
      </c>
      <c r="S1703" t="str" cm="1">
        <f t="array" ref="S1703">IFERROR(_xlfn.IFS(Table1[[#This Row],[Payment Status]]="Partial","In Transit",Table1[[#This Row],[Payment Status]]="Paid","Delivered",Table1[[#This Row],[Payment Status]]="Pending","Pending"),"Invalid Input")</f>
        <v>In Transit</v>
      </c>
      <c r="T1703" t="s">
        <v>27</v>
      </c>
      <c r="U1703" t="str" cm="1">
        <f t="array" ref="U1703">IFERROR(_xlfn.IFS(Table1[[#This Row],[Payment Status]]="Partial","In Transit",Table1[[#This Row],[Payment Status]]="Paid","Completed",Table1[[#This Row],[Payment Status]]="Pending","Pending"),"Invalid Input")</f>
        <v>In Transit</v>
      </c>
    </row>
    <row r="1704" spans="1:21" x14ac:dyDescent="0.25">
      <c r="A1704" s="4" t="s">
        <v>2837</v>
      </c>
      <c r="B1704" s="5">
        <v>45828</v>
      </c>
      <c r="C1704" t="s">
        <v>33</v>
      </c>
      <c r="D1704" t="s">
        <v>3269</v>
      </c>
      <c r="E1704" t="s">
        <v>47</v>
      </c>
      <c r="F1704" t="s">
        <v>3209</v>
      </c>
      <c r="G1704" t="s">
        <v>48</v>
      </c>
      <c r="H1704" t="str">
        <f>VLOOKUP(Table1[[#This Row],[City]],Table6[#All],2,FALSE)</f>
        <v>North</v>
      </c>
      <c r="I1704" t="s">
        <v>24</v>
      </c>
      <c r="J1704" t="str">
        <f>_xlfn.XLOOKUP(Table1[[#This Row],[Tractor Model]],Table7[Product Model],Table7[Product Category],"Not Available",0)</f>
        <v>Farmtrac</v>
      </c>
      <c r="K1704" s="4">
        <v>8</v>
      </c>
      <c r="L1704" s="72">
        <v>199827</v>
      </c>
      <c r="M1704" s="4">
        <f>INDEX('Master Sheet'!$C$4:$C$12,MATCH(Table1[[#This Row],[Quantity]],'Master Sheet'!$B$4:$B$12,0))</f>
        <v>9</v>
      </c>
      <c r="N1704" s="71">
        <f>Table1[[#This Row],[Quantity]]*Table1[[#This Row],[Unit Price]]</f>
        <v>1598616</v>
      </c>
      <c r="O1704" s="73">
        <v>0.15986159999999999</v>
      </c>
      <c r="P1704" s="70">
        <f>Table1[[#This Row],[Gross Amount]]*(1-(Table1[[#This Row],[Discount %]]/100))</f>
        <v>1454740.56</v>
      </c>
      <c r="Q1704" s="74">
        <f>(Table1[[#This Row],[Gross Amount]]*(1-(Table1[[#This Row],[Discount %]]/100)))/10000000</f>
        <v>0.14547405600000002</v>
      </c>
      <c r="R1704" t="s">
        <v>25</v>
      </c>
      <c r="S1704" t="str" cm="1">
        <f t="array" ref="S1704">IFERROR(_xlfn.IFS(Table1[[#This Row],[Payment Status]]="Partial","In Transit",Table1[[#This Row],[Payment Status]]="Paid","Delivered",Table1[[#This Row],[Payment Status]]="Pending","Pending"),"Invalid Input")</f>
        <v>In Transit</v>
      </c>
      <c r="T1704" t="s">
        <v>27</v>
      </c>
      <c r="U1704" t="str" cm="1">
        <f t="array" ref="U1704">IFERROR(_xlfn.IFS(Table1[[#This Row],[Payment Status]]="Partial","In Transit",Table1[[#This Row],[Payment Status]]="Paid","Completed",Table1[[#This Row],[Payment Status]]="Pending","Pending"),"Invalid Input")</f>
        <v>In Transit</v>
      </c>
    </row>
    <row r="1705" spans="1:21" x14ac:dyDescent="0.25">
      <c r="A1705" s="4" t="s">
        <v>2839</v>
      </c>
      <c r="B1705" s="5">
        <v>45323</v>
      </c>
      <c r="C1705" t="s">
        <v>33</v>
      </c>
      <c r="D1705" t="s">
        <v>3270</v>
      </c>
      <c r="E1705" t="s">
        <v>47</v>
      </c>
      <c r="F1705" t="s">
        <v>3205</v>
      </c>
      <c r="G1705" t="s">
        <v>48</v>
      </c>
      <c r="H1705" t="str">
        <f>VLOOKUP(Table1[[#This Row],[City]],Table6[#All],2,FALSE)</f>
        <v>North</v>
      </c>
      <c r="I1705" t="s">
        <v>58</v>
      </c>
      <c r="J1705" t="str">
        <f>_xlfn.XLOOKUP(Table1[[#This Row],[Tractor Model]],Table7[Product Model],Table7[Product Category],"Not Available",0)</f>
        <v>Powertrac</v>
      </c>
      <c r="K1705" s="4">
        <v>2</v>
      </c>
      <c r="L1705" s="72">
        <v>784151</v>
      </c>
      <c r="M1705" s="4">
        <f>INDEX('Master Sheet'!$C$4:$C$12,MATCH(Table1[[#This Row],[Quantity]],'Master Sheet'!$B$4:$B$12,0))</f>
        <v>5</v>
      </c>
      <c r="N1705" s="71">
        <f>Table1[[#This Row],[Quantity]]*Table1[[#This Row],[Unit Price]]</f>
        <v>1568302</v>
      </c>
      <c r="O1705" s="73">
        <v>0.1568302</v>
      </c>
      <c r="P1705" s="70">
        <f>Table1[[#This Row],[Gross Amount]]*(1-(Table1[[#This Row],[Discount %]]/100))</f>
        <v>1489886.9</v>
      </c>
      <c r="Q1705" s="74">
        <f>(Table1[[#This Row],[Gross Amount]]*(1-(Table1[[#This Row],[Discount %]]/100)))/10000000</f>
        <v>0.14898868999999998</v>
      </c>
      <c r="R1705" t="s">
        <v>25</v>
      </c>
      <c r="S1705" t="str" cm="1">
        <f t="array" ref="S1705">IFERROR(_xlfn.IFS(Table1[[#This Row],[Payment Status]]="Partial","In Transit",Table1[[#This Row],[Payment Status]]="Paid","Delivered",Table1[[#This Row],[Payment Status]]="Pending","Pending"),"Invalid Input")</f>
        <v>In Transit</v>
      </c>
      <c r="T1705" t="s">
        <v>27</v>
      </c>
      <c r="U1705" t="str" cm="1">
        <f t="array" ref="U1705">IFERROR(_xlfn.IFS(Table1[[#This Row],[Payment Status]]="Partial","In Transit",Table1[[#This Row],[Payment Status]]="Paid","Completed",Table1[[#This Row],[Payment Status]]="Pending","Pending"),"Invalid Input")</f>
        <v>In Transit</v>
      </c>
    </row>
    <row r="1706" spans="1:21" x14ac:dyDescent="0.25">
      <c r="A1706" s="4" t="s">
        <v>2840</v>
      </c>
      <c r="B1706" s="5">
        <v>45610</v>
      </c>
      <c r="C1706" t="s">
        <v>52</v>
      </c>
      <c r="D1706" t="s">
        <v>37</v>
      </c>
      <c r="E1706" t="s">
        <v>30</v>
      </c>
      <c r="F1706" t="s">
        <v>3222</v>
      </c>
      <c r="G1706" t="s">
        <v>31</v>
      </c>
      <c r="H1706" t="str">
        <f>VLOOKUP(Table1[[#This Row],[City]],Table6[#All],2,FALSE)</f>
        <v>South</v>
      </c>
      <c r="I1706" t="s">
        <v>3203</v>
      </c>
      <c r="J1706" t="str">
        <f>_xlfn.XLOOKUP(Table1[[#This Row],[Tractor Model]],Table7[Product Model],Table7[Product Category],"Not Available",0)</f>
        <v>Kubota</v>
      </c>
      <c r="K1706" s="4">
        <v>6</v>
      </c>
      <c r="L1706" s="72">
        <v>506373</v>
      </c>
      <c r="M1706" s="4">
        <f>INDEX('Master Sheet'!$C$4:$C$12,MATCH(Table1[[#This Row],[Quantity]],'Master Sheet'!$B$4:$B$12,0))</f>
        <v>8</v>
      </c>
      <c r="N1706" s="71">
        <f>Table1[[#This Row],[Quantity]]*Table1[[#This Row],[Unit Price]]</f>
        <v>3038238</v>
      </c>
      <c r="O1706" s="73">
        <v>0.30382379999999998</v>
      </c>
      <c r="P1706" s="70">
        <f>Table1[[#This Row],[Gross Amount]]*(1-(Table1[[#This Row],[Discount %]]/100))</f>
        <v>2795178.96</v>
      </c>
      <c r="Q1706" s="74">
        <f>(Table1[[#This Row],[Gross Amount]]*(1-(Table1[[#This Row],[Discount %]]/100)))/10000000</f>
        <v>0.27951789599999999</v>
      </c>
      <c r="R1706" t="s">
        <v>25</v>
      </c>
      <c r="S1706" t="str" cm="1">
        <f t="array" ref="S1706">IFERROR(_xlfn.IFS(Table1[[#This Row],[Payment Status]]="Partial","In Transit",Table1[[#This Row],[Payment Status]]="Paid","Delivered",Table1[[#This Row],[Payment Status]]="Pending","Pending"),"Invalid Input")</f>
        <v>In Transit</v>
      </c>
      <c r="T1706" t="s">
        <v>27</v>
      </c>
      <c r="U1706" t="str" cm="1">
        <f t="array" ref="U1706">IFERROR(_xlfn.IFS(Table1[[#This Row],[Payment Status]]="Partial","In Transit",Table1[[#This Row],[Payment Status]]="Paid","Completed",Table1[[#This Row],[Payment Status]]="Pending","Pending"),"Invalid Input")</f>
        <v>In Transit</v>
      </c>
    </row>
    <row r="1707" spans="1:21" x14ac:dyDescent="0.25">
      <c r="A1707" s="4" t="s">
        <v>2841</v>
      </c>
      <c r="B1707" s="5">
        <v>45628</v>
      </c>
      <c r="C1707" t="s">
        <v>52</v>
      </c>
      <c r="D1707" t="s">
        <v>3268</v>
      </c>
      <c r="E1707" t="s">
        <v>119</v>
      </c>
      <c r="F1707" t="s">
        <v>3227</v>
      </c>
      <c r="G1707" t="s">
        <v>21</v>
      </c>
      <c r="H1707" t="str">
        <f>VLOOKUP(Table1[[#This Row],[City]],Table6[#All],2,FALSE)</f>
        <v>North</v>
      </c>
      <c r="I1707" t="s">
        <v>24</v>
      </c>
      <c r="J1707" t="str">
        <f>_xlfn.XLOOKUP(Table1[[#This Row],[Tractor Model]],Table7[Product Model],Table7[Product Category],"Not Available",0)</f>
        <v>Farmtrac</v>
      </c>
      <c r="K1707" s="4">
        <v>5</v>
      </c>
      <c r="L1707" s="72">
        <v>615522</v>
      </c>
      <c r="M1707" s="4">
        <f>INDEX('Master Sheet'!$C$4:$C$12,MATCH(Table1[[#This Row],[Quantity]],'Master Sheet'!$B$4:$B$12,0))</f>
        <v>7</v>
      </c>
      <c r="N1707" s="71">
        <f>Table1[[#This Row],[Quantity]]*Table1[[#This Row],[Unit Price]]</f>
        <v>3077610</v>
      </c>
      <c r="O1707" s="73">
        <v>0.30776100000000001</v>
      </c>
      <c r="P1707" s="70">
        <f>Table1[[#This Row],[Gross Amount]]*(1-(Table1[[#This Row],[Discount %]]/100))</f>
        <v>2862177.3</v>
      </c>
      <c r="Q1707" s="74">
        <f>(Table1[[#This Row],[Gross Amount]]*(1-(Table1[[#This Row],[Discount %]]/100)))/10000000</f>
        <v>0.28621773</v>
      </c>
      <c r="R1707" t="s">
        <v>25</v>
      </c>
      <c r="S1707" t="str" cm="1">
        <f t="array" ref="S1707">IFERROR(_xlfn.IFS(Table1[[#This Row],[Payment Status]]="Partial","In Transit",Table1[[#This Row],[Payment Status]]="Paid","Delivered",Table1[[#This Row],[Payment Status]]="Pending","Pending"),"Invalid Input")</f>
        <v>In Transit</v>
      </c>
      <c r="T1707" t="s">
        <v>27</v>
      </c>
      <c r="U1707" t="str" cm="1">
        <f t="array" ref="U1707">IFERROR(_xlfn.IFS(Table1[[#This Row],[Payment Status]]="Partial","In Transit",Table1[[#This Row],[Payment Status]]="Paid","Completed",Table1[[#This Row],[Payment Status]]="Pending","Pending"),"Invalid Input")</f>
        <v>In Transit</v>
      </c>
    </row>
    <row r="1708" spans="1:21" x14ac:dyDescent="0.25">
      <c r="A1708" s="4" t="s">
        <v>2843</v>
      </c>
      <c r="B1708" s="5">
        <v>45302</v>
      </c>
      <c r="C1708" t="s">
        <v>52</v>
      </c>
      <c r="D1708" t="s">
        <v>3268</v>
      </c>
      <c r="E1708" t="s">
        <v>47</v>
      </c>
      <c r="F1708" t="s">
        <v>3216</v>
      </c>
      <c r="G1708" t="s">
        <v>48</v>
      </c>
      <c r="H1708" t="str">
        <f>VLOOKUP(Table1[[#This Row],[City]],Table6[#All],2,FALSE)</f>
        <v>North</v>
      </c>
      <c r="I1708" t="s">
        <v>53</v>
      </c>
      <c r="J1708" t="str">
        <f>_xlfn.XLOOKUP(Table1[[#This Row],[Tractor Model]],Table7[Product Model],Table7[Product Category],"Not Available",0)</f>
        <v>Farmtrac</v>
      </c>
      <c r="K1708" s="4">
        <v>2</v>
      </c>
      <c r="L1708" s="72">
        <v>570411</v>
      </c>
      <c r="M1708" s="4">
        <f>INDEX('Master Sheet'!$C$4:$C$12,MATCH(Table1[[#This Row],[Quantity]],'Master Sheet'!$B$4:$B$12,0))</f>
        <v>5</v>
      </c>
      <c r="N1708" s="71">
        <f>Table1[[#This Row],[Quantity]]*Table1[[#This Row],[Unit Price]]</f>
        <v>1140822</v>
      </c>
      <c r="O1708" s="73">
        <v>0.11408219999999999</v>
      </c>
      <c r="P1708" s="70">
        <f>Table1[[#This Row],[Gross Amount]]*(1-(Table1[[#This Row],[Discount %]]/100))</f>
        <v>1083780.8999999999</v>
      </c>
      <c r="Q1708" s="74">
        <f>(Table1[[#This Row],[Gross Amount]]*(1-(Table1[[#This Row],[Discount %]]/100)))/10000000</f>
        <v>0.10837809</v>
      </c>
      <c r="R1708" t="s">
        <v>54</v>
      </c>
      <c r="S1708" t="str" cm="1">
        <f t="array" ref="S1708">IFERROR(_xlfn.IFS(Table1[[#This Row],[Payment Status]]="Partial","In Transit",Table1[[#This Row],[Payment Status]]="Paid","Delivered",Table1[[#This Row],[Payment Status]]="Pending","Pending"),"Invalid Input")</f>
        <v>Delivered</v>
      </c>
      <c r="T1708" t="s">
        <v>44</v>
      </c>
      <c r="U1708" t="str" cm="1">
        <f t="array" ref="U1708">IFERROR(_xlfn.IFS(Table1[[#This Row],[Payment Status]]="Partial","In Transit",Table1[[#This Row],[Payment Status]]="Paid","Completed",Table1[[#This Row],[Payment Status]]="Pending","Pending"),"Invalid Input")</f>
        <v>Completed</v>
      </c>
    </row>
    <row r="1709" spans="1:21" x14ac:dyDescent="0.25">
      <c r="A1709" s="4" t="s">
        <v>2844</v>
      </c>
      <c r="B1709" s="5">
        <v>45307</v>
      </c>
      <c r="C1709" t="s">
        <v>41</v>
      </c>
      <c r="D1709" t="s">
        <v>3271</v>
      </c>
      <c r="E1709" t="s">
        <v>119</v>
      </c>
      <c r="F1709" t="s">
        <v>3228</v>
      </c>
      <c r="G1709" t="s">
        <v>21</v>
      </c>
      <c r="H1709" t="str">
        <f>VLOOKUP(Table1[[#This Row],[City]],Table6[#All],2,FALSE)</f>
        <v>North</v>
      </c>
      <c r="I1709" t="s">
        <v>24</v>
      </c>
      <c r="J1709" t="str">
        <f>_xlfn.XLOOKUP(Table1[[#This Row],[Tractor Model]],Table7[Product Model],Table7[Product Category],"Not Available",0)</f>
        <v>Farmtrac</v>
      </c>
      <c r="K1709" s="4">
        <v>5</v>
      </c>
      <c r="L1709" s="72">
        <v>126001</v>
      </c>
      <c r="M1709" s="4">
        <f>INDEX('Master Sheet'!$C$4:$C$12,MATCH(Table1[[#This Row],[Quantity]],'Master Sheet'!$B$4:$B$12,0))</f>
        <v>7</v>
      </c>
      <c r="N1709" s="71">
        <f>Table1[[#This Row],[Quantity]]*Table1[[#This Row],[Unit Price]]</f>
        <v>630005</v>
      </c>
      <c r="O1709" s="73">
        <v>6.3000500000000001E-2</v>
      </c>
      <c r="P1709" s="70">
        <f>Table1[[#This Row],[Gross Amount]]*(1-(Table1[[#This Row],[Discount %]]/100))</f>
        <v>585904.64999999991</v>
      </c>
      <c r="Q1709" s="74">
        <f>(Table1[[#This Row],[Gross Amount]]*(1-(Table1[[#This Row],[Discount %]]/100)))/10000000</f>
        <v>5.8590464999999987E-2</v>
      </c>
      <c r="R1709" t="s">
        <v>42</v>
      </c>
      <c r="S1709" t="str" cm="1">
        <f t="array" ref="S1709">IFERROR(_xlfn.IFS(Table1[[#This Row],[Payment Status]]="Partial","In Transit",Table1[[#This Row],[Payment Status]]="Paid","Delivered",Table1[[#This Row],[Payment Status]]="Pending","Pending"),"Invalid Input")</f>
        <v>Pending</v>
      </c>
      <c r="T1709" t="s">
        <v>44</v>
      </c>
      <c r="U1709" t="str" cm="1">
        <f t="array" ref="U1709">IFERROR(_xlfn.IFS(Table1[[#This Row],[Payment Status]]="Partial","In Transit",Table1[[#This Row],[Payment Status]]="Paid","Completed",Table1[[#This Row],[Payment Status]]="Pending","Pending"),"Invalid Input")</f>
        <v>Pending</v>
      </c>
    </row>
    <row r="1710" spans="1:21" x14ac:dyDescent="0.25">
      <c r="A1710" s="4" t="s">
        <v>2846</v>
      </c>
      <c r="B1710" s="5">
        <v>45622</v>
      </c>
      <c r="C1710" t="s">
        <v>73</v>
      </c>
      <c r="D1710" t="s">
        <v>3268</v>
      </c>
      <c r="E1710" t="s">
        <v>38</v>
      </c>
      <c r="F1710" t="s">
        <v>3219</v>
      </c>
      <c r="G1710" t="s">
        <v>39</v>
      </c>
      <c r="H1710" t="str">
        <f>VLOOKUP(Table1[[#This Row],[City]],Table6[#All],2,FALSE)</f>
        <v>West</v>
      </c>
      <c r="I1710" t="s">
        <v>53</v>
      </c>
      <c r="J1710" t="str">
        <f>_xlfn.XLOOKUP(Table1[[#This Row],[Tractor Model]],Table7[Product Model],Table7[Product Category],"Not Available",0)</f>
        <v>Farmtrac</v>
      </c>
      <c r="K1710" s="4">
        <v>8</v>
      </c>
      <c r="L1710" s="72">
        <v>272360</v>
      </c>
      <c r="M1710" s="4">
        <f>INDEX('Master Sheet'!$C$4:$C$12,MATCH(Table1[[#This Row],[Quantity]],'Master Sheet'!$B$4:$B$12,0))</f>
        <v>9</v>
      </c>
      <c r="N1710" s="71">
        <f>Table1[[#This Row],[Quantity]]*Table1[[#This Row],[Unit Price]]</f>
        <v>2178880</v>
      </c>
      <c r="O1710" s="73">
        <v>0.217888</v>
      </c>
      <c r="P1710" s="70">
        <f>Table1[[#This Row],[Gross Amount]]*(1-(Table1[[#This Row],[Discount %]]/100))</f>
        <v>1982780.8</v>
      </c>
      <c r="Q1710" s="74">
        <f>(Table1[[#This Row],[Gross Amount]]*(1-(Table1[[#This Row],[Discount %]]/100)))/10000000</f>
        <v>0.19827808</v>
      </c>
      <c r="R1710" t="s">
        <v>54</v>
      </c>
      <c r="S1710" t="str" cm="1">
        <f t="array" ref="S1710">IFERROR(_xlfn.IFS(Table1[[#This Row],[Payment Status]]="Partial","In Transit",Table1[[#This Row],[Payment Status]]="Paid","Delivered",Table1[[#This Row],[Payment Status]]="Pending","Pending"),"Invalid Input")</f>
        <v>Delivered</v>
      </c>
      <c r="T1710" t="s">
        <v>27</v>
      </c>
      <c r="U1710" t="str" cm="1">
        <f t="array" ref="U1710">IFERROR(_xlfn.IFS(Table1[[#This Row],[Payment Status]]="Partial","In Transit",Table1[[#This Row],[Payment Status]]="Paid","Completed",Table1[[#This Row],[Payment Status]]="Pending","Pending"),"Invalid Input")</f>
        <v>Completed</v>
      </c>
    </row>
    <row r="1711" spans="1:21" x14ac:dyDescent="0.25">
      <c r="A1711" s="4" t="s">
        <v>2847</v>
      </c>
      <c r="B1711" s="5">
        <v>45710</v>
      </c>
      <c r="C1711" t="s">
        <v>62</v>
      </c>
      <c r="D1711" t="s">
        <v>3269</v>
      </c>
      <c r="E1711" t="s">
        <v>30</v>
      </c>
      <c r="F1711" t="s">
        <v>3225</v>
      </c>
      <c r="G1711" t="s">
        <v>31</v>
      </c>
      <c r="H1711" t="str">
        <f>VLOOKUP(Table1[[#This Row],[City]],Table6[#All],2,FALSE)</f>
        <v>South</v>
      </c>
      <c r="I1711" t="s">
        <v>3203</v>
      </c>
      <c r="J1711" t="str">
        <f>_xlfn.XLOOKUP(Table1[[#This Row],[Tractor Model]],Table7[Product Model],Table7[Product Category],"Not Available",0)</f>
        <v>Kubota</v>
      </c>
      <c r="K1711" s="4">
        <v>3</v>
      </c>
      <c r="L1711" s="72">
        <v>599057</v>
      </c>
      <c r="M1711" s="4">
        <f>INDEX('Master Sheet'!$C$4:$C$12,MATCH(Table1[[#This Row],[Quantity]],'Master Sheet'!$B$4:$B$12,0))</f>
        <v>6</v>
      </c>
      <c r="N1711" s="71">
        <f>Table1[[#This Row],[Quantity]]*Table1[[#This Row],[Unit Price]]</f>
        <v>1797171</v>
      </c>
      <c r="O1711" s="73">
        <v>0.17971709999999999</v>
      </c>
      <c r="P1711" s="70">
        <f>Table1[[#This Row],[Gross Amount]]*(1-(Table1[[#This Row],[Discount %]]/100))</f>
        <v>1689340.74</v>
      </c>
      <c r="Q1711" s="74">
        <f>(Table1[[#This Row],[Gross Amount]]*(1-(Table1[[#This Row],[Discount %]]/100)))/10000000</f>
        <v>0.16893407399999999</v>
      </c>
      <c r="R1711" t="s">
        <v>54</v>
      </c>
      <c r="S1711" t="str" cm="1">
        <f t="array" ref="S1711">IFERROR(_xlfn.IFS(Table1[[#This Row],[Payment Status]]="Partial","In Transit",Table1[[#This Row],[Payment Status]]="Paid","Delivered",Table1[[#This Row],[Payment Status]]="Pending","Pending"),"Invalid Input")</f>
        <v>Delivered</v>
      </c>
      <c r="T1711" t="s">
        <v>44</v>
      </c>
      <c r="U1711" t="str" cm="1">
        <f t="array" ref="U1711">IFERROR(_xlfn.IFS(Table1[[#This Row],[Payment Status]]="Partial","In Transit",Table1[[#This Row],[Payment Status]]="Paid","Completed",Table1[[#This Row],[Payment Status]]="Pending","Pending"),"Invalid Input")</f>
        <v>Completed</v>
      </c>
    </row>
    <row r="1712" spans="1:21" x14ac:dyDescent="0.25">
      <c r="A1712" s="4" t="s">
        <v>2848</v>
      </c>
      <c r="B1712" s="5">
        <v>45629</v>
      </c>
      <c r="C1712" t="s">
        <v>52</v>
      </c>
      <c r="D1712" t="s">
        <v>3271</v>
      </c>
      <c r="E1712" t="s">
        <v>66</v>
      </c>
      <c r="F1712" t="s">
        <v>3207</v>
      </c>
      <c r="G1712" t="s">
        <v>67</v>
      </c>
      <c r="H1712" t="str">
        <f>VLOOKUP(Table1[[#This Row],[City]],Table6[#All],2,FALSE)</f>
        <v>East</v>
      </c>
      <c r="I1712" t="s">
        <v>3203</v>
      </c>
      <c r="J1712" t="str">
        <f>_xlfn.XLOOKUP(Table1[[#This Row],[Tractor Model]],Table7[Product Model],Table7[Product Category],"Not Available",0)</f>
        <v>Kubota</v>
      </c>
      <c r="K1712" s="4">
        <v>2</v>
      </c>
      <c r="L1712" s="72">
        <v>517417</v>
      </c>
      <c r="M1712" s="4">
        <f>INDEX('Master Sheet'!$C$4:$C$12,MATCH(Table1[[#This Row],[Quantity]],'Master Sheet'!$B$4:$B$12,0))</f>
        <v>5</v>
      </c>
      <c r="N1712" s="71">
        <f>Table1[[#This Row],[Quantity]]*Table1[[#This Row],[Unit Price]]</f>
        <v>1034834</v>
      </c>
      <c r="O1712" s="73">
        <v>0.1034834</v>
      </c>
      <c r="P1712" s="70">
        <f>Table1[[#This Row],[Gross Amount]]*(1-(Table1[[#This Row],[Discount %]]/100))</f>
        <v>983092.29999999993</v>
      </c>
      <c r="Q1712" s="74">
        <f>(Table1[[#This Row],[Gross Amount]]*(1-(Table1[[#This Row],[Discount %]]/100)))/10000000</f>
        <v>9.8309229999999997E-2</v>
      </c>
      <c r="R1712" t="s">
        <v>25</v>
      </c>
      <c r="S1712" t="str" cm="1">
        <f t="array" ref="S1712">IFERROR(_xlfn.IFS(Table1[[#This Row],[Payment Status]]="Partial","In Transit",Table1[[#This Row],[Payment Status]]="Paid","Delivered",Table1[[#This Row],[Payment Status]]="Pending","Pending"),"Invalid Input")</f>
        <v>In Transit</v>
      </c>
      <c r="T1712" t="s">
        <v>44</v>
      </c>
      <c r="U1712" t="str" cm="1">
        <f t="array" ref="U1712">IFERROR(_xlfn.IFS(Table1[[#This Row],[Payment Status]]="Partial","In Transit",Table1[[#This Row],[Payment Status]]="Paid","Completed",Table1[[#This Row],[Payment Status]]="Pending","Pending"),"Invalid Input")</f>
        <v>In Transit</v>
      </c>
    </row>
    <row r="1713" spans="1:21" x14ac:dyDescent="0.25">
      <c r="A1713" s="4" t="s">
        <v>2849</v>
      </c>
      <c r="B1713" s="5">
        <v>45502</v>
      </c>
      <c r="C1713" t="s">
        <v>62</v>
      </c>
      <c r="D1713" t="s">
        <v>3268</v>
      </c>
      <c r="E1713" t="s">
        <v>38</v>
      </c>
      <c r="F1713" t="s">
        <v>3219</v>
      </c>
      <c r="G1713" t="s">
        <v>39</v>
      </c>
      <c r="H1713" t="str">
        <f>VLOOKUP(Table1[[#This Row],[City]],Table6[#All],2,FALSE)</f>
        <v>West</v>
      </c>
      <c r="I1713" t="s">
        <v>53</v>
      </c>
      <c r="J1713" t="str">
        <f>_xlfn.XLOOKUP(Table1[[#This Row],[Tractor Model]],Table7[Product Model],Table7[Product Category],"Not Available",0)</f>
        <v>Farmtrac</v>
      </c>
      <c r="K1713" s="4">
        <v>3</v>
      </c>
      <c r="L1713" s="72">
        <v>477334</v>
      </c>
      <c r="M1713" s="4">
        <f>INDEX('Master Sheet'!$C$4:$C$12,MATCH(Table1[[#This Row],[Quantity]],'Master Sheet'!$B$4:$B$12,0))</f>
        <v>6</v>
      </c>
      <c r="N1713" s="71">
        <f>Table1[[#This Row],[Quantity]]*Table1[[#This Row],[Unit Price]]</f>
        <v>1432002</v>
      </c>
      <c r="O1713" s="73">
        <v>0.1432002</v>
      </c>
      <c r="P1713" s="70">
        <f>Table1[[#This Row],[Gross Amount]]*(1-(Table1[[#This Row],[Discount %]]/100))</f>
        <v>1346081.88</v>
      </c>
      <c r="Q1713" s="74">
        <f>(Table1[[#This Row],[Gross Amount]]*(1-(Table1[[#This Row],[Discount %]]/100)))/10000000</f>
        <v>0.13460818799999999</v>
      </c>
      <c r="R1713" t="s">
        <v>42</v>
      </c>
      <c r="S1713" t="str" cm="1">
        <f t="array" ref="S1713">IFERROR(_xlfn.IFS(Table1[[#This Row],[Payment Status]]="Partial","In Transit",Table1[[#This Row],[Payment Status]]="Paid","Delivered",Table1[[#This Row],[Payment Status]]="Pending","Pending"),"Invalid Input")</f>
        <v>Pending</v>
      </c>
      <c r="T1713" t="s">
        <v>44</v>
      </c>
      <c r="U1713" t="str" cm="1">
        <f t="array" ref="U1713">IFERROR(_xlfn.IFS(Table1[[#This Row],[Payment Status]]="Partial","In Transit",Table1[[#This Row],[Payment Status]]="Paid","Completed",Table1[[#This Row],[Payment Status]]="Pending","Pending"),"Invalid Input")</f>
        <v>Pending</v>
      </c>
    </row>
    <row r="1714" spans="1:21" x14ac:dyDescent="0.25">
      <c r="A1714" s="4" t="s">
        <v>2850</v>
      </c>
      <c r="B1714" s="5">
        <v>45534</v>
      </c>
      <c r="C1714" t="s">
        <v>73</v>
      </c>
      <c r="D1714" t="s">
        <v>3268</v>
      </c>
      <c r="E1714" t="s">
        <v>30</v>
      </c>
      <c r="F1714" t="s">
        <v>3208</v>
      </c>
      <c r="G1714" t="s">
        <v>31</v>
      </c>
      <c r="H1714" t="str">
        <f>VLOOKUP(Table1[[#This Row],[City]],Table6[#All],2,FALSE)</f>
        <v>South</v>
      </c>
      <c r="I1714" t="s">
        <v>3204</v>
      </c>
      <c r="J1714" t="str">
        <f>_xlfn.XLOOKUP(Table1[[#This Row],[Tractor Model]],Table7[Product Model],Table7[Product Category],"Not Available",0)</f>
        <v>Kubota</v>
      </c>
      <c r="K1714" s="4">
        <v>2</v>
      </c>
      <c r="L1714" s="72">
        <v>555662</v>
      </c>
      <c r="M1714" s="4">
        <f>INDEX('Master Sheet'!$C$4:$C$12,MATCH(Table1[[#This Row],[Quantity]],'Master Sheet'!$B$4:$B$12,0))</f>
        <v>5</v>
      </c>
      <c r="N1714" s="71">
        <f>Table1[[#This Row],[Quantity]]*Table1[[#This Row],[Unit Price]]</f>
        <v>1111324</v>
      </c>
      <c r="O1714" s="73">
        <v>0.11113240000000001</v>
      </c>
      <c r="P1714" s="70">
        <f>Table1[[#This Row],[Gross Amount]]*(1-(Table1[[#This Row],[Discount %]]/100))</f>
        <v>1055757.8</v>
      </c>
      <c r="Q1714" s="74">
        <f>(Table1[[#This Row],[Gross Amount]]*(1-(Table1[[#This Row],[Discount %]]/100)))/10000000</f>
        <v>0.10557578000000001</v>
      </c>
      <c r="R1714" t="s">
        <v>54</v>
      </c>
      <c r="S1714" t="str" cm="1">
        <f t="array" ref="S1714">IFERROR(_xlfn.IFS(Table1[[#This Row],[Payment Status]]="Partial","In Transit",Table1[[#This Row],[Payment Status]]="Paid","Delivered",Table1[[#This Row],[Payment Status]]="Pending","Pending"),"Invalid Input")</f>
        <v>Delivered</v>
      </c>
      <c r="T1714" t="s">
        <v>44</v>
      </c>
      <c r="U1714" t="str" cm="1">
        <f t="array" ref="U1714">IFERROR(_xlfn.IFS(Table1[[#This Row],[Payment Status]]="Partial","In Transit",Table1[[#This Row],[Payment Status]]="Paid","Completed",Table1[[#This Row],[Payment Status]]="Pending","Pending"),"Invalid Input")</f>
        <v>Completed</v>
      </c>
    </row>
    <row r="1715" spans="1:21" x14ac:dyDescent="0.25">
      <c r="A1715" s="4" t="s">
        <v>2851</v>
      </c>
      <c r="B1715" s="5">
        <v>45321</v>
      </c>
      <c r="C1715" t="s">
        <v>73</v>
      </c>
      <c r="D1715" t="s">
        <v>3268</v>
      </c>
      <c r="E1715" t="s">
        <v>30</v>
      </c>
      <c r="F1715" t="s">
        <v>3208</v>
      </c>
      <c r="G1715" t="s">
        <v>31</v>
      </c>
      <c r="H1715" t="str">
        <f>VLOOKUP(Table1[[#This Row],[City]],Table6[#All],2,FALSE)</f>
        <v>South</v>
      </c>
      <c r="I1715" t="s">
        <v>53</v>
      </c>
      <c r="J1715" t="str">
        <f>_xlfn.XLOOKUP(Table1[[#This Row],[Tractor Model]],Table7[Product Model],Table7[Product Category],"Not Available",0)</f>
        <v>Farmtrac</v>
      </c>
      <c r="K1715" s="4">
        <v>1</v>
      </c>
      <c r="L1715" s="72">
        <v>210999</v>
      </c>
      <c r="M1715" s="4">
        <f>INDEX('Master Sheet'!$C$4:$C$12,MATCH(Table1[[#This Row],[Quantity]],'Master Sheet'!$B$4:$B$12,0))</f>
        <v>3</v>
      </c>
      <c r="N1715" s="71">
        <f>Table1[[#This Row],[Quantity]]*Table1[[#This Row],[Unit Price]]</f>
        <v>210999</v>
      </c>
      <c r="O1715" s="73">
        <v>2.1099900000000001E-2</v>
      </c>
      <c r="P1715" s="70">
        <f>Table1[[#This Row],[Gross Amount]]*(1-(Table1[[#This Row],[Discount %]]/100))</f>
        <v>204669.03</v>
      </c>
      <c r="Q1715" s="74">
        <f>(Table1[[#This Row],[Gross Amount]]*(1-(Table1[[#This Row],[Discount %]]/100)))/10000000</f>
        <v>2.0466903000000002E-2</v>
      </c>
      <c r="R1715" t="s">
        <v>54</v>
      </c>
      <c r="S1715" t="str" cm="1">
        <f t="array" ref="S1715">IFERROR(_xlfn.IFS(Table1[[#This Row],[Payment Status]]="Partial","In Transit",Table1[[#This Row],[Payment Status]]="Paid","Delivered",Table1[[#This Row],[Payment Status]]="Pending","Pending"),"Invalid Input")</f>
        <v>Delivered</v>
      </c>
      <c r="T1715" t="s">
        <v>27</v>
      </c>
      <c r="U1715" t="str" cm="1">
        <f t="array" ref="U1715">IFERROR(_xlfn.IFS(Table1[[#This Row],[Payment Status]]="Partial","In Transit",Table1[[#This Row],[Payment Status]]="Paid","Completed",Table1[[#This Row],[Payment Status]]="Pending","Pending"),"Invalid Input")</f>
        <v>Completed</v>
      </c>
    </row>
    <row r="1716" spans="1:21" x14ac:dyDescent="0.25">
      <c r="A1716" s="4" t="s">
        <v>2853</v>
      </c>
      <c r="B1716" s="5">
        <v>45365</v>
      </c>
      <c r="C1716" t="s">
        <v>52</v>
      </c>
      <c r="D1716" t="s">
        <v>37</v>
      </c>
      <c r="E1716" t="s">
        <v>30</v>
      </c>
      <c r="F1716" t="s">
        <v>3222</v>
      </c>
      <c r="G1716" t="s">
        <v>31</v>
      </c>
      <c r="H1716" t="str">
        <f>VLOOKUP(Table1[[#This Row],[City]],Table6[#All],2,FALSE)</f>
        <v>South</v>
      </c>
      <c r="I1716" t="s">
        <v>3203</v>
      </c>
      <c r="J1716" t="str">
        <f>_xlfn.XLOOKUP(Table1[[#This Row],[Tractor Model]],Table7[Product Model],Table7[Product Category],"Not Available",0)</f>
        <v>Kubota</v>
      </c>
      <c r="K1716" s="4">
        <v>7</v>
      </c>
      <c r="L1716" s="72">
        <v>745331</v>
      </c>
      <c r="M1716" s="4">
        <f>INDEX('Master Sheet'!$C$4:$C$12,MATCH(Table1[[#This Row],[Quantity]],'Master Sheet'!$B$4:$B$12,0))</f>
        <v>9</v>
      </c>
      <c r="N1716" s="71">
        <f>Table1[[#This Row],[Quantity]]*Table1[[#This Row],[Unit Price]]</f>
        <v>5217317</v>
      </c>
      <c r="O1716" s="73">
        <v>0.52173170000000002</v>
      </c>
      <c r="P1716" s="70">
        <f>Table1[[#This Row],[Gross Amount]]*(1-(Table1[[#This Row],[Discount %]]/100))</f>
        <v>4747758.47</v>
      </c>
      <c r="Q1716" s="74">
        <f>(Table1[[#This Row],[Gross Amount]]*(1-(Table1[[#This Row],[Discount %]]/100)))/10000000</f>
        <v>0.47477584699999997</v>
      </c>
      <c r="R1716" t="s">
        <v>42</v>
      </c>
      <c r="S1716" t="str" cm="1">
        <f t="array" ref="S1716">IFERROR(_xlfn.IFS(Table1[[#This Row],[Payment Status]]="Partial","In Transit",Table1[[#This Row],[Payment Status]]="Paid","Delivered",Table1[[#This Row],[Payment Status]]="Pending","Pending"),"Invalid Input")</f>
        <v>Pending</v>
      </c>
      <c r="T1716" t="s">
        <v>27</v>
      </c>
      <c r="U1716" t="str" cm="1">
        <f t="array" ref="U1716">IFERROR(_xlfn.IFS(Table1[[#This Row],[Payment Status]]="Partial","In Transit",Table1[[#This Row],[Payment Status]]="Paid","Completed",Table1[[#This Row],[Payment Status]]="Pending","Pending"),"Invalid Input")</f>
        <v>Pending</v>
      </c>
    </row>
    <row r="1717" spans="1:21" x14ac:dyDescent="0.25">
      <c r="A1717" s="4" t="s">
        <v>2854</v>
      </c>
      <c r="B1717" s="5">
        <v>45336</v>
      </c>
      <c r="C1717" t="s">
        <v>52</v>
      </c>
      <c r="D1717" t="s">
        <v>37</v>
      </c>
      <c r="E1717" t="s">
        <v>47</v>
      </c>
      <c r="F1717" t="s">
        <v>3215</v>
      </c>
      <c r="G1717" t="s">
        <v>48</v>
      </c>
      <c r="H1717" t="str">
        <f>VLOOKUP(Table1[[#This Row],[City]],Table6[#All],2,FALSE)</f>
        <v>North</v>
      </c>
      <c r="I1717" t="s">
        <v>53</v>
      </c>
      <c r="J1717" t="str">
        <f>_xlfn.XLOOKUP(Table1[[#This Row],[Tractor Model]],Table7[Product Model],Table7[Product Category],"Not Available",0)</f>
        <v>Farmtrac</v>
      </c>
      <c r="K1717" s="4">
        <v>8</v>
      </c>
      <c r="L1717" s="72">
        <v>577882</v>
      </c>
      <c r="M1717" s="4">
        <f>INDEX('Master Sheet'!$C$4:$C$12,MATCH(Table1[[#This Row],[Quantity]],'Master Sheet'!$B$4:$B$12,0))</f>
        <v>9</v>
      </c>
      <c r="N1717" s="71">
        <f>Table1[[#This Row],[Quantity]]*Table1[[#This Row],[Unit Price]]</f>
        <v>4623056</v>
      </c>
      <c r="O1717" s="73">
        <v>0.46230559999999998</v>
      </c>
      <c r="P1717" s="70">
        <f>Table1[[#This Row],[Gross Amount]]*(1-(Table1[[#This Row],[Discount %]]/100))</f>
        <v>4206980.96</v>
      </c>
      <c r="Q1717" s="74">
        <f>(Table1[[#This Row],[Gross Amount]]*(1-(Table1[[#This Row],[Discount %]]/100)))/10000000</f>
        <v>0.42069809600000002</v>
      </c>
      <c r="R1717" t="s">
        <v>42</v>
      </c>
      <c r="S1717" t="str" cm="1">
        <f t="array" ref="S1717">IFERROR(_xlfn.IFS(Table1[[#This Row],[Payment Status]]="Partial","In Transit",Table1[[#This Row],[Payment Status]]="Paid","Delivered",Table1[[#This Row],[Payment Status]]="Pending","Pending"),"Invalid Input")</f>
        <v>Pending</v>
      </c>
      <c r="T1717" t="s">
        <v>27</v>
      </c>
      <c r="U1717" t="str" cm="1">
        <f t="array" ref="U1717">IFERROR(_xlfn.IFS(Table1[[#This Row],[Payment Status]]="Partial","In Transit",Table1[[#This Row],[Payment Status]]="Paid","Completed",Table1[[#This Row],[Payment Status]]="Pending","Pending"),"Invalid Input")</f>
        <v>Pending</v>
      </c>
    </row>
    <row r="1718" spans="1:21" x14ac:dyDescent="0.25">
      <c r="A1718" s="4" t="s">
        <v>2855</v>
      </c>
      <c r="B1718" s="5">
        <v>45689</v>
      </c>
      <c r="C1718" t="s">
        <v>52</v>
      </c>
      <c r="D1718" t="s">
        <v>3271</v>
      </c>
      <c r="E1718" t="s">
        <v>30</v>
      </c>
      <c r="F1718" t="s">
        <v>3217</v>
      </c>
      <c r="G1718" t="s">
        <v>31</v>
      </c>
      <c r="H1718" t="str">
        <f>VLOOKUP(Table1[[#This Row],[City]],Table6[#All],2,FALSE)</f>
        <v>South</v>
      </c>
      <c r="I1718" t="s">
        <v>53</v>
      </c>
      <c r="J1718" t="str">
        <f>_xlfn.XLOOKUP(Table1[[#This Row],[Tractor Model]],Table7[Product Model],Table7[Product Category],"Not Available",0)</f>
        <v>Farmtrac</v>
      </c>
      <c r="K1718" s="4">
        <v>4</v>
      </c>
      <c r="L1718" s="72">
        <v>294659</v>
      </c>
      <c r="M1718" s="4">
        <f>INDEX('Master Sheet'!$C$4:$C$12,MATCH(Table1[[#This Row],[Quantity]],'Master Sheet'!$B$4:$B$12,0))</f>
        <v>6</v>
      </c>
      <c r="N1718" s="71">
        <f>Table1[[#This Row],[Quantity]]*Table1[[#This Row],[Unit Price]]</f>
        <v>1178636</v>
      </c>
      <c r="O1718" s="73">
        <v>0.1178636</v>
      </c>
      <c r="P1718" s="70">
        <f>Table1[[#This Row],[Gross Amount]]*(1-(Table1[[#This Row],[Discount %]]/100))</f>
        <v>1107917.8399999999</v>
      </c>
      <c r="Q1718" s="74">
        <f>(Table1[[#This Row],[Gross Amount]]*(1-(Table1[[#This Row],[Discount %]]/100)))/10000000</f>
        <v>0.11079178399999999</v>
      </c>
      <c r="R1718" t="s">
        <v>42</v>
      </c>
      <c r="S1718" t="str" cm="1">
        <f t="array" ref="S1718">IFERROR(_xlfn.IFS(Table1[[#This Row],[Payment Status]]="Partial","In Transit",Table1[[#This Row],[Payment Status]]="Paid","Delivered",Table1[[#This Row],[Payment Status]]="Pending","Pending"),"Invalid Input")</f>
        <v>Pending</v>
      </c>
      <c r="T1718" t="s">
        <v>27</v>
      </c>
      <c r="U1718" t="str" cm="1">
        <f t="array" ref="U1718">IFERROR(_xlfn.IFS(Table1[[#This Row],[Payment Status]]="Partial","In Transit",Table1[[#This Row],[Payment Status]]="Paid","Completed",Table1[[#This Row],[Payment Status]]="Pending","Pending"),"Invalid Input")</f>
        <v>Pending</v>
      </c>
    </row>
    <row r="1719" spans="1:21" x14ac:dyDescent="0.25">
      <c r="A1719" s="4" t="s">
        <v>2856</v>
      </c>
      <c r="B1719" s="5">
        <v>45413</v>
      </c>
      <c r="C1719" t="s">
        <v>41</v>
      </c>
      <c r="D1719" t="s">
        <v>3269</v>
      </c>
      <c r="E1719" t="s">
        <v>38</v>
      </c>
      <c r="F1719" t="s">
        <v>3206</v>
      </c>
      <c r="G1719" t="s">
        <v>39</v>
      </c>
      <c r="H1719" t="str">
        <f>VLOOKUP(Table1[[#This Row],[City]],Table6[#All],2,FALSE)</f>
        <v>West</v>
      </c>
      <c r="I1719" t="s">
        <v>3204</v>
      </c>
      <c r="J1719" t="str">
        <f>_xlfn.XLOOKUP(Table1[[#This Row],[Tractor Model]],Table7[Product Model],Table7[Product Category],"Not Available",0)</f>
        <v>Kubota</v>
      </c>
      <c r="K1719" s="4">
        <v>4</v>
      </c>
      <c r="L1719" s="72">
        <v>677789</v>
      </c>
      <c r="M1719" s="4">
        <f>INDEX('Master Sheet'!$C$4:$C$12,MATCH(Table1[[#This Row],[Quantity]],'Master Sheet'!$B$4:$B$12,0))</f>
        <v>6</v>
      </c>
      <c r="N1719" s="71">
        <f>Table1[[#This Row],[Quantity]]*Table1[[#This Row],[Unit Price]]</f>
        <v>2711156</v>
      </c>
      <c r="O1719" s="73">
        <v>0.27111560000000001</v>
      </c>
      <c r="P1719" s="70">
        <f>Table1[[#This Row],[Gross Amount]]*(1-(Table1[[#This Row],[Discount %]]/100))</f>
        <v>2548486.6399999997</v>
      </c>
      <c r="Q1719" s="74">
        <f>(Table1[[#This Row],[Gross Amount]]*(1-(Table1[[#This Row],[Discount %]]/100)))/10000000</f>
        <v>0.25484866399999995</v>
      </c>
      <c r="R1719" t="s">
        <v>25</v>
      </c>
      <c r="S1719" t="str" cm="1">
        <f t="array" ref="S1719">IFERROR(_xlfn.IFS(Table1[[#This Row],[Payment Status]]="Partial","In Transit",Table1[[#This Row],[Payment Status]]="Paid","Delivered",Table1[[#This Row],[Payment Status]]="Pending","Pending"),"Invalid Input")</f>
        <v>In Transit</v>
      </c>
      <c r="T1719" t="s">
        <v>27</v>
      </c>
      <c r="U1719" t="str" cm="1">
        <f t="array" ref="U1719">IFERROR(_xlfn.IFS(Table1[[#This Row],[Payment Status]]="Partial","In Transit",Table1[[#This Row],[Payment Status]]="Paid","Completed",Table1[[#This Row],[Payment Status]]="Pending","Pending"),"Invalid Input")</f>
        <v>In Transit</v>
      </c>
    </row>
    <row r="1720" spans="1:21" x14ac:dyDescent="0.25">
      <c r="A1720" s="4" t="s">
        <v>2857</v>
      </c>
      <c r="B1720" s="5">
        <v>45355</v>
      </c>
      <c r="C1720" t="s">
        <v>41</v>
      </c>
      <c r="D1720" t="s">
        <v>3270</v>
      </c>
      <c r="E1720" t="s">
        <v>119</v>
      </c>
      <c r="F1720" t="s">
        <v>3212</v>
      </c>
      <c r="G1720" t="s">
        <v>21</v>
      </c>
      <c r="H1720" t="str">
        <f>VLOOKUP(Table1[[#This Row],[City]],Table6[#All],2,FALSE)</f>
        <v>North</v>
      </c>
      <c r="I1720" t="s">
        <v>3203</v>
      </c>
      <c r="J1720" t="str">
        <f>_xlfn.XLOOKUP(Table1[[#This Row],[Tractor Model]],Table7[Product Model],Table7[Product Category],"Not Available",0)</f>
        <v>Kubota</v>
      </c>
      <c r="K1720" s="4">
        <v>2</v>
      </c>
      <c r="L1720" s="72">
        <v>374868</v>
      </c>
      <c r="M1720" s="4">
        <f>INDEX('Master Sheet'!$C$4:$C$12,MATCH(Table1[[#This Row],[Quantity]],'Master Sheet'!$B$4:$B$12,0))</f>
        <v>5</v>
      </c>
      <c r="N1720" s="71">
        <f>Table1[[#This Row],[Quantity]]*Table1[[#This Row],[Unit Price]]</f>
        <v>749736</v>
      </c>
      <c r="O1720" s="73">
        <v>7.4973600000000001E-2</v>
      </c>
      <c r="P1720" s="70">
        <f>Table1[[#This Row],[Gross Amount]]*(1-(Table1[[#This Row],[Discount %]]/100))</f>
        <v>712249.2</v>
      </c>
      <c r="Q1720" s="74">
        <f>(Table1[[#This Row],[Gross Amount]]*(1-(Table1[[#This Row],[Discount %]]/100)))/10000000</f>
        <v>7.1224919999999997E-2</v>
      </c>
      <c r="R1720" t="s">
        <v>42</v>
      </c>
      <c r="S1720" t="str" cm="1">
        <f t="array" ref="S1720">IFERROR(_xlfn.IFS(Table1[[#This Row],[Payment Status]]="Partial","In Transit",Table1[[#This Row],[Payment Status]]="Paid","Delivered",Table1[[#This Row],[Payment Status]]="Pending","Pending"),"Invalid Input")</f>
        <v>Pending</v>
      </c>
      <c r="T1720" t="s">
        <v>27</v>
      </c>
      <c r="U1720" t="str" cm="1">
        <f t="array" ref="U1720">IFERROR(_xlfn.IFS(Table1[[#This Row],[Payment Status]]="Partial","In Transit",Table1[[#This Row],[Payment Status]]="Paid","Completed",Table1[[#This Row],[Payment Status]]="Pending","Pending"),"Invalid Input")</f>
        <v>Pending</v>
      </c>
    </row>
    <row r="1721" spans="1:21" x14ac:dyDescent="0.25">
      <c r="A1721" s="4" t="s">
        <v>2858</v>
      </c>
      <c r="B1721" s="5">
        <v>45965</v>
      </c>
      <c r="C1721" t="s">
        <v>41</v>
      </c>
      <c r="D1721" t="s">
        <v>3268</v>
      </c>
      <c r="E1721" t="s">
        <v>119</v>
      </c>
      <c r="F1721" t="s">
        <v>3227</v>
      </c>
      <c r="G1721" t="s">
        <v>21</v>
      </c>
      <c r="H1721" t="str">
        <f>VLOOKUP(Table1[[#This Row],[City]],Table6[#All],2,FALSE)</f>
        <v>North</v>
      </c>
      <c r="I1721" t="s">
        <v>3204</v>
      </c>
      <c r="J1721" t="str">
        <f>_xlfn.XLOOKUP(Table1[[#This Row],[Tractor Model]],Table7[Product Model],Table7[Product Category],"Not Available",0)</f>
        <v>Kubota</v>
      </c>
      <c r="K1721" s="4">
        <v>1</v>
      </c>
      <c r="L1721" s="72">
        <v>711651</v>
      </c>
      <c r="M1721" s="4">
        <f>INDEX('Master Sheet'!$C$4:$C$12,MATCH(Table1[[#This Row],[Quantity]],'Master Sheet'!$B$4:$B$12,0))</f>
        <v>3</v>
      </c>
      <c r="N1721" s="71">
        <f>Table1[[#This Row],[Quantity]]*Table1[[#This Row],[Unit Price]]</f>
        <v>711651</v>
      </c>
      <c r="O1721" s="73">
        <v>7.1165099999999995E-2</v>
      </c>
      <c r="P1721" s="70">
        <f>Table1[[#This Row],[Gross Amount]]*(1-(Table1[[#This Row],[Discount %]]/100))</f>
        <v>690301.47</v>
      </c>
      <c r="Q1721" s="74">
        <f>(Table1[[#This Row],[Gross Amount]]*(1-(Table1[[#This Row],[Discount %]]/100)))/10000000</f>
        <v>6.9030147E-2</v>
      </c>
      <c r="R1721" t="s">
        <v>42</v>
      </c>
      <c r="S1721" t="str" cm="1">
        <f t="array" ref="S1721">IFERROR(_xlfn.IFS(Table1[[#This Row],[Payment Status]]="Partial","In Transit",Table1[[#This Row],[Payment Status]]="Paid","Delivered",Table1[[#This Row],[Payment Status]]="Pending","Pending"),"Invalid Input")</f>
        <v>Pending</v>
      </c>
      <c r="T1721" t="s">
        <v>27</v>
      </c>
      <c r="U1721" t="str" cm="1">
        <f t="array" ref="U1721">IFERROR(_xlfn.IFS(Table1[[#This Row],[Payment Status]]="Partial","In Transit",Table1[[#This Row],[Payment Status]]="Paid","Completed",Table1[[#This Row],[Payment Status]]="Pending","Pending"),"Invalid Input")</f>
        <v>Pending</v>
      </c>
    </row>
    <row r="1722" spans="1:21" x14ac:dyDescent="0.25">
      <c r="A1722" s="4" t="s">
        <v>2859</v>
      </c>
      <c r="B1722" s="5">
        <v>45501</v>
      </c>
      <c r="C1722" t="s">
        <v>41</v>
      </c>
      <c r="D1722" t="s">
        <v>3271</v>
      </c>
      <c r="E1722" t="s">
        <v>38</v>
      </c>
      <c r="F1722" t="s">
        <v>3210</v>
      </c>
      <c r="G1722" t="s">
        <v>39</v>
      </c>
      <c r="H1722" t="str">
        <f>VLOOKUP(Table1[[#This Row],[City]],Table6[#All],2,FALSE)</f>
        <v>West</v>
      </c>
      <c r="I1722" t="s">
        <v>3204</v>
      </c>
      <c r="J1722" t="str">
        <f>_xlfn.XLOOKUP(Table1[[#This Row],[Tractor Model]],Table7[Product Model],Table7[Product Category],"Not Available",0)</f>
        <v>Kubota</v>
      </c>
      <c r="K1722" s="4">
        <v>3</v>
      </c>
      <c r="L1722" s="72">
        <v>625302</v>
      </c>
      <c r="M1722" s="4">
        <f>INDEX('Master Sheet'!$C$4:$C$12,MATCH(Table1[[#This Row],[Quantity]],'Master Sheet'!$B$4:$B$12,0))</f>
        <v>6</v>
      </c>
      <c r="N1722" s="71">
        <f>Table1[[#This Row],[Quantity]]*Table1[[#This Row],[Unit Price]]</f>
        <v>1875906</v>
      </c>
      <c r="O1722" s="73">
        <v>0.1875906</v>
      </c>
      <c r="P1722" s="70">
        <f>Table1[[#This Row],[Gross Amount]]*(1-(Table1[[#This Row],[Discount %]]/100))</f>
        <v>1763351.64</v>
      </c>
      <c r="Q1722" s="74">
        <f>(Table1[[#This Row],[Gross Amount]]*(1-(Table1[[#This Row],[Discount %]]/100)))/10000000</f>
        <v>0.17633516399999999</v>
      </c>
      <c r="R1722" t="s">
        <v>54</v>
      </c>
      <c r="S1722" t="str" cm="1">
        <f t="array" ref="S1722">IFERROR(_xlfn.IFS(Table1[[#This Row],[Payment Status]]="Partial","In Transit",Table1[[#This Row],[Payment Status]]="Paid","Delivered",Table1[[#This Row],[Payment Status]]="Pending","Pending"),"Invalid Input")</f>
        <v>Delivered</v>
      </c>
      <c r="T1722" t="s">
        <v>27</v>
      </c>
      <c r="U1722" t="str" cm="1">
        <f t="array" ref="U1722">IFERROR(_xlfn.IFS(Table1[[#This Row],[Payment Status]]="Partial","In Transit",Table1[[#This Row],[Payment Status]]="Paid","Completed",Table1[[#This Row],[Payment Status]]="Pending","Pending"),"Invalid Input")</f>
        <v>Completed</v>
      </c>
    </row>
    <row r="1723" spans="1:21" x14ac:dyDescent="0.25">
      <c r="A1723" s="4" t="s">
        <v>2861</v>
      </c>
      <c r="B1723" s="5">
        <v>45830</v>
      </c>
      <c r="C1723" t="s">
        <v>52</v>
      </c>
      <c r="D1723" t="s">
        <v>3270</v>
      </c>
      <c r="E1723" t="s">
        <v>119</v>
      </c>
      <c r="F1723" t="s">
        <v>3212</v>
      </c>
      <c r="G1723" t="s">
        <v>21</v>
      </c>
      <c r="H1723" t="str">
        <f>VLOOKUP(Table1[[#This Row],[City]],Table6[#All],2,FALSE)</f>
        <v>North</v>
      </c>
      <c r="I1723" t="s">
        <v>3203</v>
      </c>
      <c r="J1723" t="str">
        <f>_xlfn.XLOOKUP(Table1[[#This Row],[Tractor Model]],Table7[Product Model],Table7[Product Category],"Not Available",0)</f>
        <v>Kubota</v>
      </c>
      <c r="K1723" s="4">
        <v>6</v>
      </c>
      <c r="L1723" s="72">
        <v>670590</v>
      </c>
      <c r="M1723" s="4">
        <f>INDEX('Master Sheet'!$C$4:$C$12,MATCH(Table1[[#This Row],[Quantity]],'Master Sheet'!$B$4:$B$12,0))</f>
        <v>8</v>
      </c>
      <c r="N1723" s="71">
        <f>Table1[[#This Row],[Quantity]]*Table1[[#This Row],[Unit Price]]</f>
        <v>4023540</v>
      </c>
      <c r="O1723" s="73">
        <v>0.40235399999999999</v>
      </c>
      <c r="P1723" s="70">
        <f>Table1[[#This Row],[Gross Amount]]*(1-(Table1[[#This Row],[Discount %]]/100))</f>
        <v>3701656.8000000003</v>
      </c>
      <c r="Q1723" s="74">
        <f>(Table1[[#This Row],[Gross Amount]]*(1-(Table1[[#This Row],[Discount %]]/100)))/10000000</f>
        <v>0.37016568000000005</v>
      </c>
      <c r="R1723" t="s">
        <v>42</v>
      </c>
      <c r="S1723" t="str" cm="1">
        <f t="array" ref="S1723">IFERROR(_xlfn.IFS(Table1[[#This Row],[Payment Status]]="Partial","In Transit",Table1[[#This Row],[Payment Status]]="Paid","Delivered",Table1[[#This Row],[Payment Status]]="Pending","Pending"),"Invalid Input")</f>
        <v>Pending</v>
      </c>
      <c r="T1723" t="s">
        <v>44</v>
      </c>
      <c r="U1723" t="str" cm="1">
        <f t="array" ref="U1723">IFERROR(_xlfn.IFS(Table1[[#This Row],[Payment Status]]="Partial","In Transit",Table1[[#This Row],[Payment Status]]="Paid","Completed",Table1[[#This Row],[Payment Status]]="Pending","Pending"),"Invalid Input")</f>
        <v>Pending</v>
      </c>
    </row>
    <row r="1724" spans="1:21" x14ac:dyDescent="0.25">
      <c r="A1724" s="4" t="s">
        <v>2862</v>
      </c>
      <c r="B1724" s="5">
        <v>45420</v>
      </c>
      <c r="C1724" t="s">
        <v>33</v>
      </c>
      <c r="D1724" t="s">
        <v>3271</v>
      </c>
      <c r="E1724" t="s">
        <v>119</v>
      </c>
      <c r="F1724" t="s">
        <v>3228</v>
      </c>
      <c r="G1724" t="s">
        <v>21</v>
      </c>
      <c r="H1724" t="str">
        <f>VLOOKUP(Table1[[#This Row],[City]],Table6[#All],2,FALSE)</f>
        <v>North</v>
      </c>
      <c r="I1724" t="s">
        <v>24</v>
      </c>
      <c r="J1724" t="str">
        <f>_xlfn.XLOOKUP(Table1[[#This Row],[Tractor Model]],Table7[Product Model],Table7[Product Category],"Not Available",0)</f>
        <v>Farmtrac</v>
      </c>
      <c r="K1724" s="4">
        <v>1</v>
      </c>
      <c r="L1724" s="72">
        <v>464652</v>
      </c>
      <c r="M1724" s="4">
        <f>INDEX('Master Sheet'!$C$4:$C$12,MATCH(Table1[[#This Row],[Quantity]],'Master Sheet'!$B$4:$B$12,0))</f>
        <v>3</v>
      </c>
      <c r="N1724" s="71">
        <f>Table1[[#This Row],[Quantity]]*Table1[[#This Row],[Unit Price]]</f>
        <v>464652</v>
      </c>
      <c r="O1724" s="73">
        <v>4.6465199999999998E-2</v>
      </c>
      <c r="P1724" s="70">
        <f>Table1[[#This Row],[Gross Amount]]*(1-(Table1[[#This Row],[Discount %]]/100))</f>
        <v>450712.44</v>
      </c>
      <c r="Q1724" s="74">
        <f>(Table1[[#This Row],[Gross Amount]]*(1-(Table1[[#This Row],[Discount %]]/100)))/10000000</f>
        <v>4.5071244000000003E-2</v>
      </c>
      <c r="R1724" t="s">
        <v>42</v>
      </c>
      <c r="S1724" t="str" cm="1">
        <f t="array" ref="S1724">IFERROR(_xlfn.IFS(Table1[[#This Row],[Payment Status]]="Partial","In Transit",Table1[[#This Row],[Payment Status]]="Paid","Delivered",Table1[[#This Row],[Payment Status]]="Pending","Pending"),"Invalid Input")</f>
        <v>Pending</v>
      </c>
      <c r="T1724" t="s">
        <v>44</v>
      </c>
      <c r="U1724" t="str" cm="1">
        <f t="array" ref="U1724">IFERROR(_xlfn.IFS(Table1[[#This Row],[Payment Status]]="Partial","In Transit",Table1[[#This Row],[Payment Status]]="Paid","Completed",Table1[[#This Row],[Payment Status]]="Pending","Pending"),"Invalid Input")</f>
        <v>Pending</v>
      </c>
    </row>
    <row r="1725" spans="1:21" x14ac:dyDescent="0.25">
      <c r="A1725" s="4" t="s">
        <v>2864</v>
      </c>
      <c r="B1725" s="5">
        <v>45327</v>
      </c>
      <c r="C1725" t="s">
        <v>52</v>
      </c>
      <c r="D1725" t="s">
        <v>3268</v>
      </c>
      <c r="E1725" t="s">
        <v>119</v>
      </c>
      <c r="F1725" t="s">
        <v>3227</v>
      </c>
      <c r="G1725" t="s">
        <v>21</v>
      </c>
      <c r="H1725" t="str">
        <f>VLOOKUP(Table1[[#This Row],[City]],Table6[#All],2,FALSE)</f>
        <v>North</v>
      </c>
      <c r="I1725" t="s">
        <v>24</v>
      </c>
      <c r="J1725" t="str">
        <f>_xlfn.XLOOKUP(Table1[[#This Row],[Tractor Model]],Table7[Product Model],Table7[Product Category],"Not Available",0)</f>
        <v>Farmtrac</v>
      </c>
      <c r="K1725" s="4">
        <v>1</v>
      </c>
      <c r="L1725" s="72">
        <v>457198</v>
      </c>
      <c r="M1725" s="4">
        <f>INDEX('Master Sheet'!$C$4:$C$12,MATCH(Table1[[#This Row],[Quantity]],'Master Sheet'!$B$4:$B$12,0))</f>
        <v>3</v>
      </c>
      <c r="N1725" s="71">
        <f>Table1[[#This Row],[Quantity]]*Table1[[#This Row],[Unit Price]]</f>
        <v>457198</v>
      </c>
      <c r="O1725" s="73">
        <v>4.5719799999999998E-2</v>
      </c>
      <c r="P1725" s="70">
        <f>Table1[[#This Row],[Gross Amount]]*(1-(Table1[[#This Row],[Discount %]]/100))</f>
        <v>443482.06</v>
      </c>
      <c r="Q1725" s="74">
        <f>(Table1[[#This Row],[Gross Amount]]*(1-(Table1[[#This Row],[Discount %]]/100)))/10000000</f>
        <v>4.4348206000000001E-2</v>
      </c>
      <c r="R1725" t="s">
        <v>25</v>
      </c>
      <c r="S1725" t="str" cm="1">
        <f t="array" ref="S1725">IFERROR(_xlfn.IFS(Table1[[#This Row],[Payment Status]]="Partial","In Transit",Table1[[#This Row],[Payment Status]]="Paid","Delivered",Table1[[#This Row],[Payment Status]]="Pending","Pending"),"Invalid Input")</f>
        <v>In Transit</v>
      </c>
      <c r="T1725" t="s">
        <v>44</v>
      </c>
      <c r="U1725" t="str" cm="1">
        <f t="array" ref="U1725">IFERROR(_xlfn.IFS(Table1[[#This Row],[Payment Status]]="Partial","In Transit",Table1[[#This Row],[Payment Status]]="Paid","Completed",Table1[[#This Row],[Payment Status]]="Pending","Pending"),"Invalid Input")</f>
        <v>In Transit</v>
      </c>
    </row>
    <row r="1726" spans="1:21" x14ac:dyDescent="0.25">
      <c r="A1726" s="4" t="s">
        <v>2866</v>
      </c>
      <c r="B1726" s="5">
        <v>45395</v>
      </c>
      <c r="C1726" t="s">
        <v>41</v>
      </c>
      <c r="D1726" t="s">
        <v>3268</v>
      </c>
      <c r="E1726" t="s">
        <v>38</v>
      </c>
      <c r="F1726" t="s">
        <v>3219</v>
      </c>
      <c r="G1726" t="s">
        <v>39</v>
      </c>
      <c r="H1726" t="str">
        <f>VLOOKUP(Table1[[#This Row],[City]],Table6[#All],2,FALSE)</f>
        <v>West</v>
      </c>
      <c r="I1726" t="s">
        <v>24</v>
      </c>
      <c r="J1726" t="str">
        <f>_xlfn.XLOOKUP(Table1[[#This Row],[Tractor Model]],Table7[Product Model],Table7[Product Category],"Not Available",0)</f>
        <v>Farmtrac</v>
      </c>
      <c r="K1726" s="4">
        <v>4</v>
      </c>
      <c r="L1726" s="72">
        <v>894718</v>
      </c>
      <c r="M1726" s="4">
        <f>INDEX('Master Sheet'!$C$4:$C$12,MATCH(Table1[[#This Row],[Quantity]],'Master Sheet'!$B$4:$B$12,0))</f>
        <v>6</v>
      </c>
      <c r="N1726" s="71">
        <f>Table1[[#This Row],[Quantity]]*Table1[[#This Row],[Unit Price]]</f>
        <v>3578872</v>
      </c>
      <c r="O1726" s="73">
        <v>0.35788720000000002</v>
      </c>
      <c r="P1726" s="70">
        <f>Table1[[#This Row],[Gross Amount]]*(1-(Table1[[#This Row],[Discount %]]/100))</f>
        <v>3364139.6799999997</v>
      </c>
      <c r="Q1726" s="74">
        <f>(Table1[[#This Row],[Gross Amount]]*(1-(Table1[[#This Row],[Discount %]]/100)))/10000000</f>
        <v>0.33641396799999995</v>
      </c>
      <c r="R1726" t="s">
        <v>25</v>
      </c>
      <c r="S1726" t="str" cm="1">
        <f t="array" ref="S1726">IFERROR(_xlfn.IFS(Table1[[#This Row],[Payment Status]]="Partial","In Transit",Table1[[#This Row],[Payment Status]]="Paid","Delivered",Table1[[#This Row],[Payment Status]]="Pending","Pending"),"Invalid Input")</f>
        <v>In Transit</v>
      </c>
      <c r="T1726" t="s">
        <v>27</v>
      </c>
      <c r="U1726" t="str" cm="1">
        <f t="array" ref="U1726">IFERROR(_xlfn.IFS(Table1[[#This Row],[Payment Status]]="Partial","In Transit",Table1[[#This Row],[Payment Status]]="Paid","Completed",Table1[[#This Row],[Payment Status]]="Pending","Pending"),"Invalid Input")</f>
        <v>In Transit</v>
      </c>
    </row>
    <row r="1727" spans="1:21" x14ac:dyDescent="0.25">
      <c r="A1727" s="4" t="s">
        <v>2867</v>
      </c>
      <c r="B1727" s="5">
        <v>45440</v>
      </c>
      <c r="C1727" t="s">
        <v>52</v>
      </c>
      <c r="D1727" t="s">
        <v>3271</v>
      </c>
      <c r="E1727" t="s">
        <v>66</v>
      </c>
      <c r="F1727" t="s">
        <v>3207</v>
      </c>
      <c r="G1727" t="s">
        <v>67</v>
      </c>
      <c r="H1727" t="str">
        <f>VLOOKUP(Table1[[#This Row],[City]],Table6[#All],2,FALSE)</f>
        <v>East</v>
      </c>
      <c r="I1727" t="s">
        <v>3204</v>
      </c>
      <c r="J1727" t="str">
        <f>_xlfn.XLOOKUP(Table1[[#This Row],[Tractor Model]],Table7[Product Model],Table7[Product Category],"Not Available",0)</f>
        <v>Kubota</v>
      </c>
      <c r="K1727" s="4">
        <v>4</v>
      </c>
      <c r="L1727" s="72">
        <v>496423</v>
      </c>
      <c r="M1727" s="4">
        <f>INDEX('Master Sheet'!$C$4:$C$12,MATCH(Table1[[#This Row],[Quantity]],'Master Sheet'!$B$4:$B$12,0))</f>
        <v>6</v>
      </c>
      <c r="N1727" s="71">
        <f>Table1[[#This Row],[Quantity]]*Table1[[#This Row],[Unit Price]]</f>
        <v>1985692</v>
      </c>
      <c r="O1727" s="73">
        <v>0.1985692</v>
      </c>
      <c r="P1727" s="70">
        <f>Table1[[#This Row],[Gross Amount]]*(1-(Table1[[#This Row],[Discount %]]/100))</f>
        <v>1866550.48</v>
      </c>
      <c r="Q1727" s="74">
        <f>(Table1[[#This Row],[Gross Amount]]*(1-(Table1[[#This Row],[Discount %]]/100)))/10000000</f>
        <v>0.18665504799999999</v>
      </c>
      <c r="R1727" t="s">
        <v>54</v>
      </c>
      <c r="S1727" t="str" cm="1">
        <f t="array" ref="S1727">IFERROR(_xlfn.IFS(Table1[[#This Row],[Payment Status]]="Partial","In Transit",Table1[[#This Row],[Payment Status]]="Paid","Delivered",Table1[[#This Row],[Payment Status]]="Pending","Pending"),"Invalid Input")</f>
        <v>Delivered</v>
      </c>
      <c r="T1727" t="s">
        <v>44</v>
      </c>
      <c r="U1727" t="str" cm="1">
        <f t="array" ref="U1727">IFERROR(_xlfn.IFS(Table1[[#This Row],[Payment Status]]="Partial","In Transit",Table1[[#This Row],[Payment Status]]="Paid","Completed",Table1[[#This Row],[Payment Status]]="Pending","Pending"),"Invalid Input")</f>
        <v>Completed</v>
      </c>
    </row>
    <row r="1728" spans="1:21" x14ac:dyDescent="0.25">
      <c r="A1728" s="4" t="s">
        <v>2868</v>
      </c>
      <c r="B1728" s="5">
        <v>45776</v>
      </c>
      <c r="C1728" t="s">
        <v>52</v>
      </c>
      <c r="D1728" t="s">
        <v>3270</v>
      </c>
      <c r="E1728" t="s">
        <v>38</v>
      </c>
      <c r="F1728" t="s">
        <v>3218</v>
      </c>
      <c r="G1728" t="s">
        <v>39</v>
      </c>
      <c r="H1728" t="str">
        <f>VLOOKUP(Table1[[#This Row],[City]],Table6[#All],2,FALSE)</f>
        <v>West</v>
      </c>
      <c r="I1728" t="s">
        <v>58</v>
      </c>
      <c r="J1728" t="str">
        <f>_xlfn.XLOOKUP(Table1[[#This Row],[Tractor Model]],Table7[Product Model],Table7[Product Category],"Not Available",0)</f>
        <v>Powertrac</v>
      </c>
      <c r="K1728" s="4">
        <v>0</v>
      </c>
      <c r="L1728" s="72">
        <v>850788</v>
      </c>
      <c r="M1728" s="4">
        <f>INDEX('Master Sheet'!$C$4:$C$12,MATCH(Table1[[#This Row],[Quantity]],'Master Sheet'!$B$4:$B$12,0))</f>
        <v>0</v>
      </c>
      <c r="N1728" s="71">
        <f>Table1[[#This Row],[Quantity]]*Table1[[#This Row],[Unit Price]]</f>
        <v>0</v>
      </c>
      <c r="O1728" s="73">
        <v>0</v>
      </c>
      <c r="P1728" s="70">
        <f>Table1[[#This Row],[Gross Amount]]*(1-(Table1[[#This Row],[Discount %]]/100))</f>
        <v>0</v>
      </c>
      <c r="Q1728" s="74">
        <f>(Table1[[#This Row],[Gross Amount]]*(1-(Table1[[#This Row],[Discount %]]/100)))/10000000</f>
        <v>0</v>
      </c>
      <c r="R1728" t="s">
        <v>54</v>
      </c>
      <c r="S1728" t="str" cm="1">
        <f t="array" ref="S1728">IFERROR(_xlfn.IFS(Table1[[#This Row],[Payment Status]]="Partial","In Transit",Table1[[#This Row],[Payment Status]]="Paid","Delivered",Table1[[#This Row],[Payment Status]]="Pending","Pending"),"Invalid Input")</f>
        <v>Delivered</v>
      </c>
      <c r="T1728" t="s">
        <v>44</v>
      </c>
      <c r="U1728" t="str" cm="1">
        <f t="array" ref="U1728">IFERROR(_xlfn.IFS(Table1[[#This Row],[Payment Status]]="Partial","In Transit",Table1[[#This Row],[Payment Status]]="Paid","Completed",Table1[[#This Row],[Payment Status]]="Pending","Pending"),"Invalid Input")</f>
        <v>Completed</v>
      </c>
    </row>
    <row r="1729" spans="1:21" x14ac:dyDescent="0.25">
      <c r="A1729" s="4" t="s">
        <v>2870</v>
      </c>
      <c r="B1729" s="5">
        <v>45820</v>
      </c>
      <c r="C1729" t="s">
        <v>41</v>
      </c>
      <c r="D1729" t="s">
        <v>3269</v>
      </c>
      <c r="E1729" t="s">
        <v>47</v>
      </c>
      <c r="F1729" t="s">
        <v>3209</v>
      </c>
      <c r="G1729" t="s">
        <v>48</v>
      </c>
      <c r="H1729" t="str">
        <f>VLOOKUP(Table1[[#This Row],[City]],Table6[#All],2,FALSE)</f>
        <v>North</v>
      </c>
      <c r="I1729" t="s">
        <v>3204</v>
      </c>
      <c r="J1729" t="str">
        <f>_xlfn.XLOOKUP(Table1[[#This Row],[Tractor Model]],Table7[Product Model],Table7[Product Category],"Not Available",0)</f>
        <v>Kubota</v>
      </c>
      <c r="K1729" s="4">
        <v>1</v>
      </c>
      <c r="L1729" s="72">
        <v>557216</v>
      </c>
      <c r="M1729" s="4">
        <f>INDEX('Master Sheet'!$C$4:$C$12,MATCH(Table1[[#This Row],[Quantity]],'Master Sheet'!$B$4:$B$12,0))</f>
        <v>3</v>
      </c>
      <c r="N1729" s="71">
        <f>Table1[[#This Row],[Quantity]]*Table1[[#This Row],[Unit Price]]</f>
        <v>557216</v>
      </c>
      <c r="O1729" s="73">
        <v>5.5721600000000003E-2</v>
      </c>
      <c r="P1729" s="70">
        <f>Table1[[#This Row],[Gross Amount]]*(1-(Table1[[#This Row],[Discount %]]/100))</f>
        <v>540499.52</v>
      </c>
      <c r="Q1729" s="74">
        <f>(Table1[[#This Row],[Gross Amount]]*(1-(Table1[[#This Row],[Discount %]]/100)))/10000000</f>
        <v>5.4049952000000005E-2</v>
      </c>
      <c r="R1729" t="s">
        <v>42</v>
      </c>
      <c r="S1729" t="str" cm="1">
        <f t="array" ref="S1729">IFERROR(_xlfn.IFS(Table1[[#This Row],[Payment Status]]="Partial","In Transit",Table1[[#This Row],[Payment Status]]="Paid","Delivered",Table1[[#This Row],[Payment Status]]="Pending","Pending"),"Invalid Input")</f>
        <v>Pending</v>
      </c>
      <c r="T1729" t="s">
        <v>44</v>
      </c>
      <c r="U1729" t="str" cm="1">
        <f t="array" ref="U1729">IFERROR(_xlfn.IFS(Table1[[#This Row],[Payment Status]]="Partial","In Transit",Table1[[#This Row],[Payment Status]]="Paid","Completed",Table1[[#This Row],[Payment Status]]="Pending","Pending"),"Invalid Input")</f>
        <v>Pending</v>
      </c>
    </row>
    <row r="1730" spans="1:21" x14ac:dyDescent="0.25">
      <c r="A1730" s="4" t="s">
        <v>2871</v>
      </c>
      <c r="B1730" s="5">
        <v>45962</v>
      </c>
      <c r="C1730" t="s">
        <v>62</v>
      </c>
      <c r="D1730" t="s">
        <v>37</v>
      </c>
      <c r="E1730" t="s">
        <v>119</v>
      </c>
      <c r="F1730" t="s">
        <v>3224</v>
      </c>
      <c r="G1730" t="s">
        <v>21</v>
      </c>
      <c r="H1730" t="str">
        <f>VLOOKUP(Table1[[#This Row],[City]],Table6[#All],2,FALSE)</f>
        <v>North</v>
      </c>
      <c r="I1730" t="s">
        <v>24</v>
      </c>
      <c r="J1730" t="str">
        <f>_xlfn.XLOOKUP(Table1[[#This Row],[Tractor Model]],Table7[Product Model],Table7[Product Category],"Not Available",0)</f>
        <v>Farmtrac</v>
      </c>
      <c r="K1730" s="4">
        <v>1</v>
      </c>
      <c r="L1730" s="72">
        <v>429541</v>
      </c>
      <c r="M1730" s="4">
        <f>INDEX('Master Sheet'!$C$4:$C$12,MATCH(Table1[[#This Row],[Quantity]],'Master Sheet'!$B$4:$B$12,0))</f>
        <v>3</v>
      </c>
      <c r="N1730" s="71">
        <f>Table1[[#This Row],[Quantity]]*Table1[[#This Row],[Unit Price]]</f>
        <v>429541</v>
      </c>
      <c r="O1730" s="73">
        <v>4.2954100000000002E-2</v>
      </c>
      <c r="P1730" s="70">
        <f>Table1[[#This Row],[Gross Amount]]*(1-(Table1[[#This Row],[Discount %]]/100))</f>
        <v>416654.76999999996</v>
      </c>
      <c r="Q1730" s="74">
        <f>(Table1[[#This Row],[Gross Amount]]*(1-(Table1[[#This Row],[Discount %]]/100)))/10000000</f>
        <v>4.1665476999999999E-2</v>
      </c>
      <c r="R1730" t="s">
        <v>25</v>
      </c>
      <c r="S1730" t="str" cm="1">
        <f t="array" ref="S1730">IFERROR(_xlfn.IFS(Table1[[#This Row],[Payment Status]]="Partial","In Transit",Table1[[#This Row],[Payment Status]]="Paid","Delivered",Table1[[#This Row],[Payment Status]]="Pending","Pending"),"Invalid Input")</f>
        <v>In Transit</v>
      </c>
      <c r="T1730" t="s">
        <v>44</v>
      </c>
      <c r="U1730" t="str" cm="1">
        <f t="array" ref="U1730">IFERROR(_xlfn.IFS(Table1[[#This Row],[Payment Status]]="Partial","In Transit",Table1[[#This Row],[Payment Status]]="Paid","Completed",Table1[[#This Row],[Payment Status]]="Pending","Pending"),"Invalid Input")</f>
        <v>In Transit</v>
      </c>
    </row>
    <row r="1731" spans="1:21" x14ac:dyDescent="0.25">
      <c r="A1731" s="4" t="s">
        <v>2872</v>
      </c>
      <c r="B1731" s="5">
        <v>45719</v>
      </c>
      <c r="C1731" t="s">
        <v>41</v>
      </c>
      <c r="D1731" t="s">
        <v>3268</v>
      </c>
      <c r="E1731" t="s">
        <v>119</v>
      </c>
      <c r="F1731" t="s">
        <v>3227</v>
      </c>
      <c r="G1731" t="s">
        <v>21</v>
      </c>
      <c r="H1731" t="str">
        <f>VLOOKUP(Table1[[#This Row],[City]],Table6[#All],2,FALSE)</f>
        <v>North</v>
      </c>
      <c r="I1731" t="s">
        <v>3204</v>
      </c>
      <c r="J1731" t="str">
        <f>_xlfn.XLOOKUP(Table1[[#This Row],[Tractor Model]],Table7[Product Model],Table7[Product Category],"Not Available",0)</f>
        <v>Kubota</v>
      </c>
      <c r="K1731" s="4">
        <v>6</v>
      </c>
      <c r="L1731" s="72">
        <v>321615</v>
      </c>
      <c r="M1731" s="4">
        <f>INDEX('Master Sheet'!$C$4:$C$12,MATCH(Table1[[#This Row],[Quantity]],'Master Sheet'!$B$4:$B$12,0))</f>
        <v>8</v>
      </c>
      <c r="N1731" s="71">
        <f>Table1[[#This Row],[Quantity]]*Table1[[#This Row],[Unit Price]]</f>
        <v>1929690</v>
      </c>
      <c r="O1731" s="73">
        <v>0.192969</v>
      </c>
      <c r="P1731" s="70">
        <f>Table1[[#This Row],[Gross Amount]]*(1-(Table1[[#This Row],[Discount %]]/100))</f>
        <v>1775314.8</v>
      </c>
      <c r="Q1731" s="74">
        <f>(Table1[[#This Row],[Gross Amount]]*(1-(Table1[[#This Row],[Discount %]]/100)))/10000000</f>
        <v>0.17753147999999999</v>
      </c>
      <c r="R1731" t="s">
        <v>42</v>
      </c>
      <c r="S1731" t="str" cm="1">
        <f t="array" ref="S1731">IFERROR(_xlfn.IFS(Table1[[#This Row],[Payment Status]]="Partial","In Transit",Table1[[#This Row],[Payment Status]]="Paid","Delivered",Table1[[#This Row],[Payment Status]]="Pending","Pending"),"Invalid Input")</f>
        <v>Pending</v>
      </c>
      <c r="T1731" t="s">
        <v>44</v>
      </c>
      <c r="U1731" t="str" cm="1">
        <f t="array" ref="U1731">IFERROR(_xlfn.IFS(Table1[[#This Row],[Payment Status]]="Partial","In Transit",Table1[[#This Row],[Payment Status]]="Paid","Completed",Table1[[#This Row],[Payment Status]]="Pending","Pending"),"Invalid Input")</f>
        <v>Pending</v>
      </c>
    </row>
    <row r="1732" spans="1:21" x14ac:dyDescent="0.25">
      <c r="A1732" s="4" t="s">
        <v>2873</v>
      </c>
      <c r="B1732" s="5">
        <v>45650</v>
      </c>
      <c r="C1732" t="s">
        <v>33</v>
      </c>
      <c r="D1732" t="s">
        <v>3271</v>
      </c>
      <c r="E1732" t="s">
        <v>66</v>
      </c>
      <c r="F1732" t="s">
        <v>3207</v>
      </c>
      <c r="G1732" t="s">
        <v>67</v>
      </c>
      <c r="H1732" t="str">
        <f>VLOOKUP(Table1[[#This Row],[City]],Table6[#All],2,FALSE)</f>
        <v>East</v>
      </c>
      <c r="I1732" t="s">
        <v>3204</v>
      </c>
      <c r="J1732" t="str">
        <f>_xlfn.XLOOKUP(Table1[[#This Row],[Tractor Model]],Table7[Product Model],Table7[Product Category],"Not Available",0)</f>
        <v>Kubota</v>
      </c>
      <c r="K1732" s="4">
        <v>8</v>
      </c>
      <c r="L1732" s="72">
        <v>63768</v>
      </c>
      <c r="M1732" s="4">
        <f>INDEX('Master Sheet'!$C$4:$C$12,MATCH(Table1[[#This Row],[Quantity]],'Master Sheet'!$B$4:$B$12,0))</f>
        <v>9</v>
      </c>
      <c r="N1732" s="71">
        <f>Table1[[#This Row],[Quantity]]*Table1[[#This Row],[Unit Price]]</f>
        <v>510144</v>
      </c>
      <c r="O1732" s="73">
        <v>5.1014400000000001E-2</v>
      </c>
      <c r="P1732" s="70">
        <f>Table1[[#This Row],[Gross Amount]]*(1-(Table1[[#This Row],[Discount %]]/100))</f>
        <v>464231.04000000004</v>
      </c>
      <c r="Q1732" s="74">
        <f>(Table1[[#This Row],[Gross Amount]]*(1-(Table1[[#This Row],[Discount %]]/100)))/10000000</f>
        <v>4.6423104000000007E-2</v>
      </c>
      <c r="R1732" t="s">
        <v>25</v>
      </c>
      <c r="S1732" t="str" cm="1">
        <f t="array" ref="S1732">IFERROR(_xlfn.IFS(Table1[[#This Row],[Payment Status]]="Partial","In Transit",Table1[[#This Row],[Payment Status]]="Paid","Delivered",Table1[[#This Row],[Payment Status]]="Pending","Pending"),"Invalid Input")</f>
        <v>In Transit</v>
      </c>
      <c r="T1732" t="s">
        <v>27</v>
      </c>
      <c r="U1732" t="str" cm="1">
        <f t="array" ref="U1732">IFERROR(_xlfn.IFS(Table1[[#This Row],[Payment Status]]="Partial","In Transit",Table1[[#This Row],[Payment Status]]="Paid","Completed",Table1[[#This Row],[Payment Status]]="Pending","Pending"),"Invalid Input")</f>
        <v>In Transit</v>
      </c>
    </row>
    <row r="1733" spans="1:21" x14ac:dyDescent="0.25">
      <c r="A1733" s="4" t="s">
        <v>2874</v>
      </c>
      <c r="B1733" s="5">
        <v>45414</v>
      </c>
      <c r="C1733" t="s">
        <v>73</v>
      </c>
      <c r="D1733" t="s">
        <v>3268</v>
      </c>
      <c r="E1733" t="s">
        <v>38</v>
      </c>
      <c r="F1733" t="s">
        <v>3219</v>
      </c>
      <c r="G1733" t="s">
        <v>39</v>
      </c>
      <c r="H1733" t="str">
        <f>VLOOKUP(Table1[[#This Row],[City]],Table6[#All],2,FALSE)</f>
        <v>West</v>
      </c>
      <c r="I1733" t="s">
        <v>3204</v>
      </c>
      <c r="J1733" t="str">
        <f>_xlfn.XLOOKUP(Table1[[#This Row],[Tractor Model]],Table7[Product Model],Table7[Product Category],"Not Available",0)</f>
        <v>Kubota</v>
      </c>
      <c r="K1733" s="4">
        <v>8</v>
      </c>
      <c r="L1733" s="72">
        <v>164368</v>
      </c>
      <c r="M1733" s="4">
        <f>INDEX('Master Sheet'!$C$4:$C$12,MATCH(Table1[[#This Row],[Quantity]],'Master Sheet'!$B$4:$B$12,0))</f>
        <v>9</v>
      </c>
      <c r="N1733" s="71">
        <f>Table1[[#This Row],[Quantity]]*Table1[[#This Row],[Unit Price]]</f>
        <v>1314944</v>
      </c>
      <c r="O1733" s="73">
        <v>0.13149440000000001</v>
      </c>
      <c r="P1733" s="70">
        <f>Table1[[#This Row],[Gross Amount]]*(1-(Table1[[#This Row],[Discount %]]/100))</f>
        <v>1196599.04</v>
      </c>
      <c r="Q1733" s="74">
        <f>(Table1[[#This Row],[Gross Amount]]*(1-(Table1[[#This Row],[Discount %]]/100)))/10000000</f>
        <v>0.119659904</v>
      </c>
      <c r="R1733" t="s">
        <v>42</v>
      </c>
      <c r="S1733" t="str" cm="1">
        <f t="array" ref="S1733">IFERROR(_xlfn.IFS(Table1[[#This Row],[Payment Status]]="Partial","In Transit",Table1[[#This Row],[Payment Status]]="Paid","Delivered",Table1[[#This Row],[Payment Status]]="Pending","Pending"),"Invalid Input")</f>
        <v>Pending</v>
      </c>
      <c r="T1733" t="s">
        <v>27</v>
      </c>
      <c r="U1733" t="str" cm="1">
        <f t="array" ref="U1733">IFERROR(_xlfn.IFS(Table1[[#This Row],[Payment Status]]="Partial","In Transit",Table1[[#This Row],[Payment Status]]="Paid","Completed",Table1[[#This Row],[Payment Status]]="Pending","Pending"),"Invalid Input")</f>
        <v>Pending</v>
      </c>
    </row>
    <row r="1734" spans="1:21" x14ac:dyDescent="0.25">
      <c r="A1734" s="4" t="s">
        <v>2876</v>
      </c>
      <c r="B1734" s="5">
        <v>45555</v>
      </c>
      <c r="C1734" t="s">
        <v>62</v>
      </c>
      <c r="D1734" t="s">
        <v>3270</v>
      </c>
      <c r="E1734" t="s">
        <v>38</v>
      </c>
      <c r="F1734" t="s">
        <v>3218</v>
      </c>
      <c r="G1734" t="s">
        <v>39</v>
      </c>
      <c r="H1734" t="str">
        <f>VLOOKUP(Table1[[#This Row],[City]],Table6[#All],2,FALSE)</f>
        <v>West</v>
      </c>
      <c r="I1734" t="s">
        <v>3204</v>
      </c>
      <c r="J1734" t="str">
        <f>_xlfn.XLOOKUP(Table1[[#This Row],[Tractor Model]],Table7[Product Model],Table7[Product Category],"Not Available",0)</f>
        <v>Kubota</v>
      </c>
      <c r="K1734" s="4">
        <v>0</v>
      </c>
      <c r="L1734" s="72">
        <v>156424</v>
      </c>
      <c r="M1734" s="4">
        <f>INDEX('Master Sheet'!$C$4:$C$12,MATCH(Table1[[#This Row],[Quantity]],'Master Sheet'!$B$4:$B$12,0))</f>
        <v>0</v>
      </c>
      <c r="N1734" s="71">
        <f>Table1[[#This Row],[Quantity]]*Table1[[#This Row],[Unit Price]]</f>
        <v>0</v>
      </c>
      <c r="O1734" s="73">
        <v>0</v>
      </c>
      <c r="P1734" s="70">
        <f>Table1[[#This Row],[Gross Amount]]*(1-(Table1[[#This Row],[Discount %]]/100))</f>
        <v>0</v>
      </c>
      <c r="Q1734" s="74">
        <f>(Table1[[#This Row],[Gross Amount]]*(1-(Table1[[#This Row],[Discount %]]/100)))/10000000</f>
        <v>0</v>
      </c>
      <c r="R1734" t="s">
        <v>42</v>
      </c>
      <c r="S1734" t="str" cm="1">
        <f t="array" ref="S1734">IFERROR(_xlfn.IFS(Table1[[#This Row],[Payment Status]]="Partial","In Transit",Table1[[#This Row],[Payment Status]]="Paid","Delivered",Table1[[#This Row],[Payment Status]]="Pending","Pending"),"Invalid Input")</f>
        <v>Pending</v>
      </c>
      <c r="T1734" t="s">
        <v>44</v>
      </c>
      <c r="U1734" t="str" cm="1">
        <f t="array" ref="U1734">IFERROR(_xlfn.IFS(Table1[[#This Row],[Payment Status]]="Partial","In Transit",Table1[[#This Row],[Payment Status]]="Paid","Completed",Table1[[#This Row],[Payment Status]]="Pending","Pending"),"Invalid Input")</f>
        <v>Pending</v>
      </c>
    </row>
    <row r="1735" spans="1:21" x14ac:dyDescent="0.25">
      <c r="A1735" s="4" t="s">
        <v>2877</v>
      </c>
      <c r="B1735" s="5">
        <v>45755</v>
      </c>
      <c r="C1735" t="s">
        <v>73</v>
      </c>
      <c r="D1735" t="s">
        <v>3270</v>
      </c>
      <c r="E1735" t="s">
        <v>119</v>
      </c>
      <c r="F1735" t="s">
        <v>3212</v>
      </c>
      <c r="G1735" t="s">
        <v>21</v>
      </c>
      <c r="H1735" t="str">
        <f>VLOOKUP(Table1[[#This Row],[City]],Table6[#All],2,FALSE)</f>
        <v>North</v>
      </c>
      <c r="I1735" t="s">
        <v>3204</v>
      </c>
      <c r="J1735" t="str">
        <f>_xlfn.XLOOKUP(Table1[[#This Row],[Tractor Model]],Table7[Product Model],Table7[Product Category],"Not Available",0)</f>
        <v>Kubota</v>
      </c>
      <c r="K1735" s="4">
        <v>2</v>
      </c>
      <c r="L1735" s="72">
        <v>592202</v>
      </c>
      <c r="M1735" s="4">
        <f>INDEX('Master Sheet'!$C$4:$C$12,MATCH(Table1[[#This Row],[Quantity]],'Master Sheet'!$B$4:$B$12,0))</f>
        <v>5</v>
      </c>
      <c r="N1735" s="71">
        <f>Table1[[#This Row],[Quantity]]*Table1[[#This Row],[Unit Price]]</f>
        <v>1184404</v>
      </c>
      <c r="O1735" s="73">
        <v>0.1184404</v>
      </c>
      <c r="P1735" s="70">
        <f>Table1[[#This Row],[Gross Amount]]*(1-(Table1[[#This Row],[Discount %]]/100))</f>
        <v>1125183.8</v>
      </c>
      <c r="Q1735" s="74">
        <f>(Table1[[#This Row],[Gross Amount]]*(1-(Table1[[#This Row],[Discount %]]/100)))/10000000</f>
        <v>0.11251838</v>
      </c>
      <c r="R1735" t="s">
        <v>42</v>
      </c>
      <c r="S1735" t="str" cm="1">
        <f t="array" ref="S1735">IFERROR(_xlfn.IFS(Table1[[#This Row],[Payment Status]]="Partial","In Transit",Table1[[#This Row],[Payment Status]]="Paid","Delivered",Table1[[#This Row],[Payment Status]]="Pending","Pending"),"Invalid Input")</f>
        <v>Pending</v>
      </c>
      <c r="T1735" t="s">
        <v>27</v>
      </c>
      <c r="U1735" t="str" cm="1">
        <f t="array" ref="U1735">IFERROR(_xlfn.IFS(Table1[[#This Row],[Payment Status]]="Partial","In Transit",Table1[[#This Row],[Payment Status]]="Paid","Completed",Table1[[#This Row],[Payment Status]]="Pending","Pending"),"Invalid Input")</f>
        <v>Pending</v>
      </c>
    </row>
    <row r="1736" spans="1:21" x14ac:dyDescent="0.25">
      <c r="A1736" s="4" t="s">
        <v>2879</v>
      </c>
      <c r="B1736" s="5">
        <v>45618</v>
      </c>
      <c r="C1736" t="s">
        <v>62</v>
      </c>
      <c r="D1736" t="s">
        <v>3269</v>
      </c>
      <c r="E1736" t="s">
        <v>66</v>
      </c>
      <c r="F1736" t="s">
        <v>3213</v>
      </c>
      <c r="G1736" t="s">
        <v>67</v>
      </c>
      <c r="H1736" t="str">
        <f>VLOOKUP(Table1[[#This Row],[City]],Table6[#All],2,FALSE)</f>
        <v>East</v>
      </c>
      <c r="I1736" t="s">
        <v>58</v>
      </c>
      <c r="J1736" t="str">
        <f>_xlfn.XLOOKUP(Table1[[#This Row],[Tractor Model]],Table7[Product Model],Table7[Product Category],"Not Available",0)</f>
        <v>Powertrac</v>
      </c>
      <c r="K1736" s="4">
        <v>1</v>
      </c>
      <c r="L1736" s="72">
        <v>774146</v>
      </c>
      <c r="M1736" s="4">
        <f>INDEX('Master Sheet'!$C$4:$C$12,MATCH(Table1[[#This Row],[Quantity]],'Master Sheet'!$B$4:$B$12,0))</f>
        <v>3</v>
      </c>
      <c r="N1736" s="71">
        <f>Table1[[#This Row],[Quantity]]*Table1[[#This Row],[Unit Price]]</f>
        <v>774146</v>
      </c>
      <c r="O1736" s="73">
        <v>7.74146E-2</v>
      </c>
      <c r="P1736" s="70">
        <f>Table1[[#This Row],[Gross Amount]]*(1-(Table1[[#This Row],[Discount %]]/100))</f>
        <v>750921.62</v>
      </c>
      <c r="Q1736" s="74">
        <f>(Table1[[#This Row],[Gross Amount]]*(1-(Table1[[#This Row],[Discount %]]/100)))/10000000</f>
        <v>7.5092162000000004E-2</v>
      </c>
      <c r="R1736" t="s">
        <v>42</v>
      </c>
      <c r="S1736" t="str" cm="1">
        <f t="array" ref="S1736">IFERROR(_xlfn.IFS(Table1[[#This Row],[Payment Status]]="Partial","In Transit",Table1[[#This Row],[Payment Status]]="Paid","Delivered",Table1[[#This Row],[Payment Status]]="Pending","Pending"),"Invalid Input")</f>
        <v>Pending</v>
      </c>
      <c r="T1736" t="s">
        <v>27</v>
      </c>
      <c r="U1736" t="str" cm="1">
        <f t="array" ref="U1736">IFERROR(_xlfn.IFS(Table1[[#This Row],[Payment Status]]="Partial","In Transit",Table1[[#This Row],[Payment Status]]="Paid","Completed",Table1[[#This Row],[Payment Status]]="Pending","Pending"),"Invalid Input")</f>
        <v>Pending</v>
      </c>
    </row>
    <row r="1737" spans="1:21" x14ac:dyDescent="0.25">
      <c r="A1737" s="4" t="s">
        <v>2880</v>
      </c>
      <c r="B1737" s="5">
        <v>45317</v>
      </c>
      <c r="C1737" t="s">
        <v>73</v>
      </c>
      <c r="D1737" t="s">
        <v>3268</v>
      </c>
      <c r="E1737" t="s">
        <v>38</v>
      </c>
      <c r="F1737" t="s">
        <v>3219</v>
      </c>
      <c r="G1737" t="s">
        <v>39</v>
      </c>
      <c r="H1737" t="str">
        <f>VLOOKUP(Table1[[#This Row],[City]],Table6[#All],2,FALSE)</f>
        <v>West</v>
      </c>
      <c r="I1737" t="s">
        <v>3204</v>
      </c>
      <c r="J1737" t="str">
        <f>_xlfn.XLOOKUP(Table1[[#This Row],[Tractor Model]],Table7[Product Model],Table7[Product Category],"Not Available",0)</f>
        <v>Kubota</v>
      </c>
      <c r="K1737" s="4">
        <v>2</v>
      </c>
      <c r="L1737" s="72">
        <v>782305</v>
      </c>
      <c r="M1737" s="4">
        <f>INDEX('Master Sheet'!$C$4:$C$12,MATCH(Table1[[#This Row],[Quantity]],'Master Sheet'!$B$4:$B$12,0))</f>
        <v>5</v>
      </c>
      <c r="N1737" s="71">
        <f>Table1[[#This Row],[Quantity]]*Table1[[#This Row],[Unit Price]]</f>
        <v>1564610</v>
      </c>
      <c r="O1737" s="73">
        <v>0.15646099999999999</v>
      </c>
      <c r="P1737" s="70">
        <f>Table1[[#This Row],[Gross Amount]]*(1-(Table1[[#This Row],[Discount %]]/100))</f>
        <v>1486379.5</v>
      </c>
      <c r="Q1737" s="74">
        <f>(Table1[[#This Row],[Gross Amount]]*(1-(Table1[[#This Row],[Discount %]]/100)))/10000000</f>
        <v>0.14863794999999999</v>
      </c>
      <c r="R1737" t="s">
        <v>42</v>
      </c>
      <c r="S1737" t="str" cm="1">
        <f t="array" ref="S1737">IFERROR(_xlfn.IFS(Table1[[#This Row],[Payment Status]]="Partial","In Transit",Table1[[#This Row],[Payment Status]]="Paid","Delivered",Table1[[#This Row],[Payment Status]]="Pending","Pending"),"Invalid Input")</f>
        <v>Pending</v>
      </c>
      <c r="T1737" t="s">
        <v>27</v>
      </c>
      <c r="U1737" t="str" cm="1">
        <f t="array" ref="U1737">IFERROR(_xlfn.IFS(Table1[[#This Row],[Payment Status]]="Partial","In Transit",Table1[[#This Row],[Payment Status]]="Paid","Completed",Table1[[#This Row],[Payment Status]]="Pending","Pending"),"Invalid Input")</f>
        <v>Pending</v>
      </c>
    </row>
    <row r="1738" spans="1:21" x14ac:dyDescent="0.25">
      <c r="A1738" s="4" t="s">
        <v>2881</v>
      </c>
      <c r="B1738" s="5">
        <v>45631</v>
      </c>
      <c r="C1738" t="s">
        <v>33</v>
      </c>
      <c r="D1738" t="s">
        <v>3269</v>
      </c>
      <c r="E1738" t="s">
        <v>38</v>
      </c>
      <c r="F1738" t="s">
        <v>3206</v>
      </c>
      <c r="G1738" t="s">
        <v>39</v>
      </c>
      <c r="H1738" t="str">
        <f>VLOOKUP(Table1[[#This Row],[City]],Table6[#All],2,FALSE)</f>
        <v>West</v>
      </c>
      <c r="I1738" t="s">
        <v>3203</v>
      </c>
      <c r="J1738" t="str">
        <f>_xlfn.XLOOKUP(Table1[[#This Row],[Tractor Model]],Table7[Product Model],Table7[Product Category],"Not Available",0)</f>
        <v>Kubota</v>
      </c>
      <c r="K1738" s="4">
        <v>8</v>
      </c>
      <c r="L1738" s="72">
        <v>59082</v>
      </c>
      <c r="M1738" s="4">
        <f>INDEX('Master Sheet'!$C$4:$C$12,MATCH(Table1[[#This Row],[Quantity]],'Master Sheet'!$B$4:$B$12,0))</f>
        <v>9</v>
      </c>
      <c r="N1738" s="71">
        <f>Table1[[#This Row],[Quantity]]*Table1[[#This Row],[Unit Price]]</f>
        <v>472656</v>
      </c>
      <c r="O1738" s="73">
        <v>4.7265599999999998E-2</v>
      </c>
      <c r="P1738" s="70">
        <f>Table1[[#This Row],[Gross Amount]]*(1-(Table1[[#This Row],[Discount %]]/100))</f>
        <v>430116.96</v>
      </c>
      <c r="Q1738" s="74">
        <f>(Table1[[#This Row],[Gross Amount]]*(1-(Table1[[#This Row],[Discount %]]/100)))/10000000</f>
        <v>4.3011696000000002E-2</v>
      </c>
      <c r="R1738" t="s">
        <v>25</v>
      </c>
      <c r="S1738" t="str" cm="1">
        <f t="array" ref="S1738">IFERROR(_xlfn.IFS(Table1[[#This Row],[Payment Status]]="Partial","In Transit",Table1[[#This Row],[Payment Status]]="Paid","Delivered",Table1[[#This Row],[Payment Status]]="Pending","Pending"),"Invalid Input")</f>
        <v>In Transit</v>
      </c>
      <c r="T1738" t="s">
        <v>44</v>
      </c>
      <c r="U1738" t="str" cm="1">
        <f t="array" ref="U1738">IFERROR(_xlfn.IFS(Table1[[#This Row],[Payment Status]]="Partial","In Transit",Table1[[#This Row],[Payment Status]]="Paid","Completed",Table1[[#This Row],[Payment Status]]="Pending","Pending"),"Invalid Input")</f>
        <v>In Transit</v>
      </c>
    </row>
    <row r="1739" spans="1:21" x14ac:dyDescent="0.25">
      <c r="A1739" s="4" t="s">
        <v>2882</v>
      </c>
      <c r="B1739" s="5">
        <v>45410</v>
      </c>
      <c r="C1739" t="s">
        <v>33</v>
      </c>
      <c r="D1739" t="s">
        <v>3269</v>
      </c>
      <c r="E1739" t="s">
        <v>119</v>
      </c>
      <c r="F1739" t="s">
        <v>3229</v>
      </c>
      <c r="G1739" t="s">
        <v>21</v>
      </c>
      <c r="H1739" t="str">
        <f>VLOOKUP(Table1[[#This Row],[City]],Table6[#All],2,FALSE)</f>
        <v>North</v>
      </c>
      <c r="I1739" t="s">
        <v>24</v>
      </c>
      <c r="J1739" t="str">
        <f>_xlfn.XLOOKUP(Table1[[#This Row],[Tractor Model]],Table7[Product Model],Table7[Product Category],"Not Available",0)</f>
        <v>Farmtrac</v>
      </c>
      <c r="K1739" s="4">
        <v>8</v>
      </c>
      <c r="L1739" s="72">
        <v>518902</v>
      </c>
      <c r="M1739" s="4">
        <f>INDEX('Master Sheet'!$C$4:$C$12,MATCH(Table1[[#This Row],[Quantity]],'Master Sheet'!$B$4:$B$12,0))</f>
        <v>9</v>
      </c>
      <c r="N1739" s="71">
        <f>Table1[[#This Row],[Quantity]]*Table1[[#This Row],[Unit Price]]</f>
        <v>4151216</v>
      </c>
      <c r="O1739" s="73">
        <v>0.41512159999999998</v>
      </c>
      <c r="P1739" s="70">
        <f>Table1[[#This Row],[Gross Amount]]*(1-(Table1[[#This Row],[Discount %]]/100))</f>
        <v>3777606.56</v>
      </c>
      <c r="Q1739" s="74">
        <f>(Table1[[#This Row],[Gross Amount]]*(1-(Table1[[#This Row],[Discount %]]/100)))/10000000</f>
        <v>0.37776065600000003</v>
      </c>
      <c r="R1739" t="s">
        <v>42</v>
      </c>
      <c r="S1739" t="str" cm="1">
        <f t="array" ref="S1739">IFERROR(_xlfn.IFS(Table1[[#This Row],[Payment Status]]="Partial","In Transit",Table1[[#This Row],[Payment Status]]="Paid","Delivered",Table1[[#This Row],[Payment Status]]="Pending","Pending"),"Invalid Input")</f>
        <v>Pending</v>
      </c>
      <c r="T1739" t="s">
        <v>44</v>
      </c>
      <c r="U1739" t="str" cm="1">
        <f t="array" ref="U1739">IFERROR(_xlfn.IFS(Table1[[#This Row],[Payment Status]]="Partial","In Transit",Table1[[#This Row],[Payment Status]]="Paid","Completed",Table1[[#This Row],[Payment Status]]="Pending","Pending"),"Invalid Input")</f>
        <v>Pending</v>
      </c>
    </row>
    <row r="1740" spans="1:21" x14ac:dyDescent="0.25">
      <c r="A1740" s="4" t="s">
        <v>2883</v>
      </c>
      <c r="B1740" s="5">
        <v>45476</v>
      </c>
      <c r="C1740" t="s">
        <v>41</v>
      </c>
      <c r="D1740" t="s">
        <v>3269</v>
      </c>
      <c r="E1740" t="s">
        <v>119</v>
      </c>
      <c r="F1740" t="s">
        <v>3229</v>
      </c>
      <c r="G1740" t="s">
        <v>21</v>
      </c>
      <c r="H1740" t="str">
        <f>VLOOKUP(Table1[[#This Row],[City]],Table6[#All],2,FALSE)</f>
        <v>North</v>
      </c>
      <c r="I1740" t="s">
        <v>24</v>
      </c>
      <c r="J1740" t="str">
        <f>_xlfn.XLOOKUP(Table1[[#This Row],[Tractor Model]],Table7[Product Model],Table7[Product Category],"Not Available",0)</f>
        <v>Farmtrac</v>
      </c>
      <c r="K1740" s="4">
        <v>1</v>
      </c>
      <c r="L1740" s="72">
        <v>132072</v>
      </c>
      <c r="M1740" s="4">
        <f>INDEX('Master Sheet'!$C$4:$C$12,MATCH(Table1[[#This Row],[Quantity]],'Master Sheet'!$B$4:$B$12,0))</f>
        <v>3</v>
      </c>
      <c r="N1740" s="71">
        <f>Table1[[#This Row],[Quantity]]*Table1[[#This Row],[Unit Price]]</f>
        <v>132072</v>
      </c>
      <c r="O1740" s="73">
        <v>1.3207200000000001E-2</v>
      </c>
      <c r="P1740" s="70">
        <f>Table1[[#This Row],[Gross Amount]]*(1-(Table1[[#This Row],[Discount %]]/100))</f>
        <v>128109.84</v>
      </c>
      <c r="Q1740" s="74">
        <f>(Table1[[#This Row],[Gross Amount]]*(1-(Table1[[#This Row],[Discount %]]/100)))/10000000</f>
        <v>1.2810983999999999E-2</v>
      </c>
      <c r="R1740" t="s">
        <v>54</v>
      </c>
      <c r="S1740" t="str" cm="1">
        <f t="array" ref="S1740">IFERROR(_xlfn.IFS(Table1[[#This Row],[Payment Status]]="Partial","In Transit",Table1[[#This Row],[Payment Status]]="Paid","Delivered",Table1[[#This Row],[Payment Status]]="Pending","Pending"),"Invalid Input")</f>
        <v>Delivered</v>
      </c>
      <c r="T1740" t="s">
        <v>27</v>
      </c>
      <c r="U1740" t="str" cm="1">
        <f t="array" ref="U1740">IFERROR(_xlfn.IFS(Table1[[#This Row],[Payment Status]]="Partial","In Transit",Table1[[#This Row],[Payment Status]]="Paid","Completed",Table1[[#This Row],[Payment Status]]="Pending","Pending"),"Invalid Input")</f>
        <v>Completed</v>
      </c>
    </row>
    <row r="1741" spans="1:21" x14ac:dyDescent="0.25">
      <c r="A1741" s="4" t="s">
        <v>2884</v>
      </c>
      <c r="B1741" s="5">
        <v>45624</v>
      </c>
      <c r="C1741" t="s">
        <v>52</v>
      </c>
      <c r="D1741" t="s">
        <v>3270</v>
      </c>
      <c r="E1741" t="s">
        <v>119</v>
      </c>
      <c r="F1741" t="s">
        <v>3212</v>
      </c>
      <c r="G1741" t="s">
        <v>21</v>
      </c>
      <c r="H1741" t="str">
        <f>VLOOKUP(Table1[[#This Row],[City]],Table6[#All],2,FALSE)</f>
        <v>North</v>
      </c>
      <c r="I1741" t="s">
        <v>58</v>
      </c>
      <c r="J1741" t="str">
        <f>_xlfn.XLOOKUP(Table1[[#This Row],[Tractor Model]],Table7[Product Model],Table7[Product Category],"Not Available",0)</f>
        <v>Powertrac</v>
      </c>
      <c r="K1741" s="4">
        <v>2</v>
      </c>
      <c r="L1741" s="72">
        <v>382279</v>
      </c>
      <c r="M1741" s="4">
        <f>INDEX('Master Sheet'!$C$4:$C$12,MATCH(Table1[[#This Row],[Quantity]],'Master Sheet'!$B$4:$B$12,0))</f>
        <v>5</v>
      </c>
      <c r="N1741" s="71">
        <f>Table1[[#This Row],[Quantity]]*Table1[[#This Row],[Unit Price]]</f>
        <v>764558</v>
      </c>
      <c r="O1741" s="73">
        <v>7.6455800000000004E-2</v>
      </c>
      <c r="P1741" s="70">
        <f>Table1[[#This Row],[Gross Amount]]*(1-(Table1[[#This Row],[Discount %]]/100))</f>
        <v>726330.1</v>
      </c>
      <c r="Q1741" s="74">
        <f>(Table1[[#This Row],[Gross Amount]]*(1-(Table1[[#This Row],[Discount %]]/100)))/10000000</f>
        <v>7.2633009999999998E-2</v>
      </c>
      <c r="R1741" t="s">
        <v>25</v>
      </c>
      <c r="S1741" t="str" cm="1">
        <f t="array" ref="S1741">IFERROR(_xlfn.IFS(Table1[[#This Row],[Payment Status]]="Partial","In Transit",Table1[[#This Row],[Payment Status]]="Paid","Delivered",Table1[[#This Row],[Payment Status]]="Pending","Pending"),"Invalid Input")</f>
        <v>In Transit</v>
      </c>
      <c r="T1741" t="s">
        <v>27</v>
      </c>
      <c r="U1741" t="str" cm="1">
        <f t="array" ref="U1741">IFERROR(_xlfn.IFS(Table1[[#This Row],[Payment Status]]="Partial","In Transit",Table1[[#This Row],[Payment Status]]="Paid","Completed",Table1[[#This Row],[Payment Status]]="Pending","Pending"),"Invalid Input")</f>
        <v>In Transit</v>
      </c>
    </row>
    <row r="1742" spans="1:21" x14ac:dyDescent="0.25">
      <c r="A1742" s="4" t="s">
        <v>2885</v>
      </c>
      <c r="B1742" s="5">
        <v>45588</v>
      </c>
      <c r="C1742" t="s">
        <v>41</v>
      </c>
      <c r="D1742" t="s">
        <v>3271</v>
      </c>
      <c r="E1742" t="s">
        <v>38</v>
      </c>
      <c r="F1742" t="s">
        <v>3210</v>
      </c>
      <c r="G1742" t="s">
        <v>39</v>
      </c>
      <c r="H1742" t="str">
        <f>VLOOKUP(Table1[[#This Row],[City]],Table6[#All],2,FALSE)</f>
        <v>West</v>
      </c>
      <c r="I1742" t="s">
        <v>53</v>
      </c>
      <c r="J1742" t="str">
        <f>_xlfn.XLOOKUP(Table1[[#This Row],[Tractor Model]],Table7[Product Model],Table7[Product Category],"Not Available",0)</f>
        <v>Farmtrac</v>
      </c>
      <c r="K1742" s="4">
        <v>1</v>
      </c>
      <c r="L1742" s="72">
        <v>400001</v>
      </c>
      <c r="M1742" s="4">
        <f>INDEX('Master Sheet'!$C$4:$C$12,MATCH(Table1[[#This Row],[Quantity]],'Master Sheet'!$B$4:$B$12,0))</f>
        <v>3</v>
      </c>
      <c r="N1742" s="71">
        <f>Table1[[#This Row],[Quantity]]*Table1[[#This Row],[Unit Price]]</f>
        <v>400001</v>
      </c>
      <c r="O1742" s="73">
        <v>4.0000099999999997E-2</v>
      </c>
      <c r="P1742" s="70">
        <f>Table1[[#This Row],[Gross Amount]]*(1-(Table1[[#This Row],[Discount %]]/100))</f>
        <v>388000.97</v>
      </c>
      <c r="Q1742" s="74">
        <f>(Table1[[#This Row],[Gross Amount]]*(1-(Table1[[#This Row],[Discount %]]/100)))/10000000</f>
        <v>3.8800096999999999E-2</v>
      </c>
      <c r="R1742" t="s">
        <v>54</v>
      </c>
      <c r="S1742" t="str" cm="1">
        <f t="array" ref="S1742">IFERROR(_xlfn.IFS(Table1[[#This Row],[Payment Status]]="Partial","In Transit",Table1[[#This Row],[Payment Status]]="Paid","Delivered",Table1[[#This Row],[Payment Status]]="Pending","Pending"),"Invalid Input")</f>
        <v>Delivered</v>
      </c>
      <c r="T1742" t="s">
        <v>27</v>
      </c>
      <c r="U1742" t="str" cm="1">
        <f t="array" ref="U1742">IFERROR(_xlfn.IFS(Table1[[#This Row],[Payment Status]]="Partial","In Transit",Table1[[#This Row],[Payment Status]]="Paid","Completed",Table1[[#This Row],[Payment Status]]="Pending","Pending"),"Invalid Input")</f>
        <v>Completed</v>
      </c>
    </row>
    <row r="1743" spans="1:21" x14ac:dyDescent="0.25">
      <c r="A1743" s="4" t="s">
        <v>2886</v>
      </c>
      <c r="B1743" s="5">
        <v>45642</v>
      </c>
      <c r="C1743" t="s">
        <v>41</v>
      </c>
      <c r="D1743" t="s">
        <v>3271</v>
      </c>
      <c r="E1743" t="s">
        <v>119</v>
      </c>
      <c r="F1743" t="s">
        <v>3228</v>
      </c>
      <c r="G1743" t="s">
        <v>21</v>
      </c>
      <c r="H1743" t="str">
        <f>VLOOKUP(Table1[[#This Row],[City]],Table6[#All],2,FALSE)</f>
        <v>North</v>
      </c>
      <c r="I1743" t="s">
        <v>58</v>
      </c>
      <c r="J1743" t="str">
        <f>_xlfn.XLOOKUP(Table1[[#This Row],[Tractor Model]],Table7[Product Model],Table7[Product Category],"Not Available",0)</f>
        <v>Powertrac</v>
      </c>
      <c r="K1743" s="4">
        <v>1</v>
      </c>
      <c r="L1743" s="72">
        <v>461151</v>
      </c>
      <c r="M1743" s="4">
        <f>INDEX('Master Sheet'!$C$4:$C$12,MATCH(Table1[[#This Row],[Quantity]],'Master Sheet'!$B$4:$B$12,0))</f>
        <v>3</v>
      </c>
      <c r="N1743" s="71">
        <f>Table1[[#This Row],[Quantity]]*Table1[[#This Row],[Unit Price]]</f>
        <v>461151</v>
      </c>
      <c r="O1743" s="73">
        <v>4.6115099999999999E-2</v>
      </c>
      <c r="P1743" s="70">
        <f>Table1[[#This Row],[Gross Amount]]*(1-(Table1[[#This Row],[Discount %]]/100))</f>
        <v>447316.47</v>
      </c>
      <c r="Q1743" s="74">
        <f>(Table1[[#This Row],[Gross Amount]]*(1-(Table1[[#This Row],[Discount %]]/100)))/10000000</f>
        <v>4.4731646999999999E-2</v>
      </c>
      <c r="R1743" t="s">
        <v>42</v>
      </c>
      <c r="S1743" t="str" cm="1">
        <f t="array" ref="S1743">IFERROR(_xlfn.IFS(Table1[[#This Row],[Payment Status]]="Partial","In Transit",Table1[[#This Row],[Payment Status]]="Paid","Delivered",Table1[[#This Row],[Payment Status]]="Pending","Pending"),"Invalid Input")</f>
        <v>Pending</v>
      </c>
      <c r="T1743" t="s">
        <v>27</v>
      </c>
      <c r="U1743" t="str" cm="1">
        <f t="array" ref="U1743">IFERROR(_xlfn.IFS(Table1[[#This Row],[Payment Status]]="Partial","In Transit",Table1[[#This Row],[Payment Status]]="Paid","Completed",Table1[[#This Row],[Payment Status]]="Pending","Pending"),"Invalid Input")</f>
        <v>Pending</v>
      </c>
    </row>
    <row r="1744" spans="1:21" x14ac:dyDescent="0.25">
      <c r="A1744" s="4" t="s">
        <v>2887</v>
      </c>
      <c r="B1744" s="5">
        <v>45347</v>
      </c>
      <c r="C1744" t="s">
        <v>73</v>
      </c>
      <c r="D1744" t="s">
        <v>37</v>
      </c>
      <c r="E1744" t="s">
        <v>119</v>
      </c>
      <c r="F1744" t="s">
        <v>3224</v>
      </c>
      <c r="G1744" t="s">
        <v>21</v>
      </c>
      <c r="H1744" t="str">
        <f>VLOOKUP(Table1[[#This Row],[City]],Table6[#All],2,FALSE)</f>
        <v>North</v>
      </c>
      <c r="I1744" t="s">
        <v>53</v>
      </c>
      <c r="J1744" t="str">
        <f>_xlfn.XLOOKUP(Table1[[#This Row],[Tractor Model]],Table7[Product Model],Table7[Product Category],"Not Available",0)</f>
        <v>Farmtrac</v>
      </c>
      <c r="K1744" s="4">
        <v>7</v>
      </c>
      <c r="L1744" s="72">
        <v>611355</v>
      </c>
      <c r="M1744" s="4">
        <f>INDEX('Master Sheet'!$C$4:$C$12,MATCH(Table1[[#This Row],[Quantity]],'Master Sheet'!$B$4:$B$12,0))</f>
        <v>9</v>
      </c>
      <c r="N1744" s="71">
        <f>Table1[[#This Row],[Quantity]]*Table1[[#This Row],[Unit Price]]</f>
        <v>4279485</v>
      </c>
      <c r="O1744" s="73">
        <v>0.42794850000000001</v>
      </c>
      <c r="P1744" s="70">
        <f>Table1[[#This Row],[Gross Amount]]*(1-(Table1[[#This Row],[Discount %]]/100))</f>
        <v>3894331.35</v>
      </c>
      <c r="Q1744" s="74">
        <f>(Table1[[#This Row],[Gross Amount]]*(1-(Table1[[#This Row],[Discount %]]/100)))/10000000</f>
        <v>0.38943313499999999</v>
      </c>
      <c r="R1744" t="s">
        <v>42</v>
      </c>
      <c r="S1744" t="str" cm="1">
        <f t="array" ref="S1744">IFERROR(_xlfn.IFS(Table1[[#This Row],[Payment Status]]="Partial","In Transit",Table1[[#This Row],[Payment Status]]="Paid","Delivered",Table1[[#This Row],[Payment Status]]="Pending","Pending"),"Invalid Input")</f>
        <v>Pending</v>
      </c>
      <c r="T1744" t="s">
        <v>27</v>
      </c>
      <c r="U1744" t="str" cm="1">
        <f t="array" ref="U1744">IFERROR(_xlfn.IFS(Table1[[#This Row],[Payment Status]]="Partial","In Transit",Table1[[#This Row],[Payment Status]]="Paid","Completed",Table1[[#This Row],[Payment Status]]="Pending","Pending"),"Invalid Input")</f>
        <v>Pending</v>
      </c>
    </row>
    <row r="1745" spans="1:21" x14ac:dyDescent="0.25">
      <c r="A1745" s="4" t="s">
        <v>2889</v>
      </c>
      <c r="B1745" s="5">
        <v>45408</v>
      </c>
      <c r="C1745" t="s">
        <v>73</v>
      </c>
      <c r="D1745" t="s">
        <v>3271</v>
      </c>
      <c r="E1745" t="s">
        <v>47</v>
      </c>
      <c r="F1745" t="s">
        <v>3221</v>
      </c>
      <c r="G1745" t="s">
        <v>48</v>
      </c>
      <c r="H1745" t="str">
        <f>VLOOKUP(Table1[[#This Row],[City]],Table6[#All],2,FALSE)</f>
        <v>North</v>
      </c>
      <c r="I1745" t="s">
        <v>53</v>
      </c>
      <c r="J1745" t="str">
        <f>_xlfn.XLOOKUP(Table1[[#This Row],[Tractor Model]],Table7[Product Model],Table7[Product Category],"Not Available",0)</f>
        <v>Farmtrac</v>
      </c>
      <c r="K1745" s="4">
        <v>4</v>
      </c>
      <c r="L1745" s="72">
        <v>539896</v>
      </c>
      <c r="M1745" s="4">
        <f>INDEX('Master Sheet'!$C$4:$C$12,MATCH(Table1[[#This Row],[Quantity]],'Master Sheet'!$B$4:$B$12,0))</f>
        <v>6</v>
      </c>
      <c r="N1745" s="71">
        <f>Table1[[#This Row],[Quantity]]*Table1[[#This Row],[Unit Price]]</f>
        <v>2159584</v>
      </c>
      <c r="O1745" s="73">
        <v>0.21595839999999999</v>
      </c>
      <c r="P1745" s="70">
        <f>Table1[[#This Row],[Gross Amount]]*(1-(Table1[[#This Row],[Discount %]]/100))</f>
        <v>2030008.96</v>
      </c>
      <c r="Q1745" s="74">
        <f>(Table1[[#This Row],[Gross Amount]]*(1-(Table1[[#This Row],[Discount %]]/100)))/10000000</f>
        <v>0.20300089599999999</v>
      </c>
      <c r="R1745" t="s">
        <v>42</v>
      </c>
      <c r="S1745" t="str" cm="1">
        <f t="array" ref="S1745">IFERROR(_xlfn.IFS(Table1[[#This Row],[Payment Status]]="Partial","In Transit",Table1[[#This Row],[Payment Status]]="Paid","Delivered",Table1[[#This Row],[Payment Status]]="Pending","Pending"),"Invalid Input")</f>
        <v>Pending</v>
      </c>
      <c r="T1745" t="s">
        <v>27</v>
      </c>
      <c r="U1745" t="str" cm="1">
        <f t="array" ref="U1745">IFERROR(_xlfn.IFS(Table1[[#This Row],[Payment Status]]="Partial","In Transit",Table1[[#This Row],[Payment Status]]="Paid","Completed",Table1[[#This Row],[Payment Status]]="Pending","Pending"),"Invalid Input")</f>
        <v>Pending</v>
      </c>
    </row>
    <row r="1746" spans="1:21" x14ac:dyDescent="0.25">
      <c r="A1746" s="4" t="s">
        <v>2890</v>
      </c>
      <c r="B1746" s="5">
        <v>45934</v>
      </c>
      <c r="C1746" t="s">
        <v>41</v>
      </c>
      <c r="D1746" t="s">
        <v>3269</v>
      </c>
      <c r="E1746" t="s">
        <v>30</v>
      </c>
      <c r="F1746" t="s">
        <v>3225</v>
      </c>
      <c r="G1746" t="s">
        <v>31</v>
      </c>
      <c r="H1746" t="str">
        <f>VLOOKUP(Table1[[#This Row],[City]],Table6[#All],2,FALSE)</f>
        <v>South</v>
      </c>
      <c r="I1746" t="s">
        <v>3203</v>
      </c>
      <c r="J1746" t="str">
        <f>_xlfn.XLOOKUP(Table1[[#This Row],[Tractor Model]],Table7[Product Model],Table7[Product Category],"Not Available",0)</f>
        <v>Kubota</v>
      </c>
      <c r="K1746" s="4">
        <v>1</v>
      </c>
      <c r="L1746" s="72">
        <v>412633</v>
      </c>
      <c r="M1746" s="4">
        <f>INDEX('Master Sheet'!$C$4:$C$12,MATCH(Table1[[#This Row],[Quantity]],'Master Sheet'!$B$4:$B$12,0))</f>
        <v>3</v>
      </c>
      <c r="N1746" s="71">
        <f>Table1[[#This Row],[Quantity]]*Table1[[#This Row],[Unit Price]]</f>
        <v>412633</v>
      </c>
      <c r="O1746" s="73">
        <v>4.1263300000000003E-2</v>
      </c>
      <c r="P1746" s="70">
        <f>Table1[[#This Row],[Gross Amount]]*(1-(Table1[[#This Row],[Discount %]]/100))</f>
        <v>400254.01</v>
      </c>
      <c r="Q1746" s="74">
        <f>(Table1[[#This Row],[Gross Amount]]*(1-(Table1[[#This Row],[Discount %]]/100)))/10000000</f>
        <v>4.0025401000000002E-2</v>
      </c>
      <c r="R1746" t="s">
        <v>42</v>
      </c>
      <c r="S1746" t="str" cm="1">
        <f t="array" ref="S1746">IFERROR(_xlfn.IFS(Table1[[#This Row],[Payment Status]]="Partial","In Transit",Table1[[#This Row],[Payment Status]]="Paid","Delivered",Table1[[#This Row],[Payment Status]]="Pending","Pending"),"Invalid Input")</f>
        <v>Pending</v>
      </c>
      <c r="T1746" t="s">
        <v>44</v>
      </c>
      <c r="U1746" t="str" cm="1">
        <f t="array" ref="U1746">IFERROR(_xlfn.IFS(Table1[[#This Row],[Payment Status]]="Partial","In Transit",Table1[[#This Row],[Payment Status]]="Paid","Completed",Table1[[#This Row],[Payment Status]]="Pending","Pending"),"Invalid Input")</f>
        <v>Pending</v>
      </c>
    </row>
    <row r="1747" spans="1:21" x14ac:dyDescent="0.25">
      <c r="A1747" s="4" t="s">
        <v>2891</v>
      </c>
      <c r="B1747" s="5">
        <v>45448</v>
      </c>
      <c r="C1747" t="s">
        <v>62</v>
      </c>
      <c r="D1747" t="s">
        <v>3269</v>
      </c>
      <c r="E1747" t="s">
        <v>47</v>
      </c>
      <c r="F1747" t="s">
        <v>3209</v>
      </c>
      <c r="G1747" t="s">
        <v>48</v>
      </c>
      <c r="H1747" t="str">
        <f>VLOOKUP(Table1[[#This Row],[City]],Table6[#All],2,FALSE)</f>
        <v>North</v>
      </c>
      <c r="I1747" t="s">
        <v>58</v>
      </c>
      <c r="J1747" t="str">
        <f>_xlfn.XLOOKUP(Table1[[#This Row],[Tractor Model]],Table7[Product Model],Table7[Product Category],"Not Available",0)</f>
        <v>Powertrac</v>
      </c>
      <c r="K1747" s="4">
        <v>7</v>
      </c>
      <c r="L1747" s="72">
        <v>238906</v>
      </c>
      <c r="M1747" s="4">
        <f>INDEX('Master Sheet'!$C$4:$C$12,MATCH(Table1[[#This Row],[Quantity]],'Master Sheet'!$B$4:$B$12,0))</f>
        <v>9</v>
      </c>
      <c r="N1747" s="71">
        <f>Table1[[#This Row],[Quantity]]*Table1[[#This Row],[Unit Price]]</f>
        <v>1672342</v>
      </c>
      <c r="O1747" s="73">
        <v>0.1672342</v>
      </c>
      <c r="P1747" s="70">
        <f>Table1[[#This Row],[Gross Amount]]*(1-(Table1[[#This Row],[Discount %]]/100))</f>
        <v>1521831.22</v>
      </c>
      <c r="Q1747" s="74">
        <f>(Table1[[#This Row],[Gross Amount]]*(1-(Table1[[#This Row],[Discount %]]/100)))/10000000</f>
        <v>0.152183122</v>
      </c>
      <c r="R1747" t="s">
        <v>25</v>
      </c>
      <c r="S1747" t="str" cm="1">
        <f t="array" ref="S1747">IFERROR(_xlfn.IFS(Table1[[#This Row],[Payment Status]]="Partial","In Transit",Table1[[#This Row],[Payment Status]]="Paid","Delivered",Table1[[#This Row],[Payment Status]]="Pending","Pending"),"Invalid Input")</f>
        <v>In Transit</v>
      </c>
      <c r="T1747" t="s">
        <v>27</v>
      </c>
      <c r="U1747" t="str" cm="1">
        <f t="array" ref="U1747">IFERROR(_xlfn.IFS(Table1[[#This Row],[Payment Status]]="Partial","In Transit",Table1[[#This Row],[Payment Status]]="Paid","Completed",Table1[[#This Row],[Payment Status]]="Pending","Pending"),"Invalid Input")</f>
        <v>In Transit</v>
      </c>
    </row>
    <row r="1748" spans="1:21" x14ac:dyDescent="0.25">
      <c r="A1748" s="4" t="s">
        <v>2892</v>
      </c>
      <c r="B1748" s="5">
        <v>45352</v>
      </c>
      <c r="C1748" t="s">
        <v>73</v>
      </c>
      <c r="D1748" t="s">
        <v>3268</v>
      </c>
      <c r="E1748" t="s">
        <v>47</v>
      </c>
      <c r="F1748" t="s">
        <v>3216</v>
      </c>
      <c r="G1748" t="s">
        <v>48</v>
      </c>
      <c r="H1748" t="str">
        <f>VLOOKUP(Table1[[#This Row],[City]],Table6[#All],2,FALSE)</f>
        <v>North</v>
      </c>
      <c r="I1748" t="s">
        <v>24</v>
      </c>
      <c r="J1748" t="str">
        <f>_xlfn.XLOOKUP(Table1[[#This Row],[Tractor Model]],Table7[Product Model],Table7[Product Category],"Not Available",0)</f>
        <v>Farmtrac</v>
      </c>
      <c r="K1748" s="4">
        <v>8</v>
      </c>
      <c r="L1748" s="72">
        <v>579117</v>
      </c>
      <c r="M1748" s="4">
        <f>INDEX('Master Sheet'!$C$4:$C$12,MATCH(Table1[[#This Row],[Quantity]],'Master Sheet'!$B$4:$B$12,0))</f>
        <v>9</v>
      </c>
      <c r="N1748" s="71">
        <f>Table1[[#This Row],[Quantity]]*Table1[[#This Row],[Unit Price]]</f>
        <v>4632936</v>
      </c>
      <c r="O1748" s="73">
        <v>0.46329360000000003</v>
      </c>
      <c r="P1748" s="70">
        <f>Table1[[#This Row],[Gross Amount]]*(1-(Table1[[#This Row],[Discount %]]/100))</f>
        <v>4215971.76</v>
      </c>
      <c r="Q1748" s="74">
        <f>(Table1[[#This Row],[Gross Amount]]*(1-(Table1[[#This Row],[Discount %]]/100)))/10000000</f>
        <v>0.42159717599999996</v>
      </c>
      <c r="R1748" t="s">
        <v>42</v>
      </c>
      <c r="S1748" t="str" cm="1">
        <f t="array" ref="S1748">IFERROR(_xlfn.IFS(Table1[[#This Row],[Payment Status]]="Partial","In Transit",Table1[[#This Row],[Payment Status]]="Paid","Delivered",Table1[[#This Row],[Payment Status]]="Pending","Pending"),"Invalid Input")</f>
        <v>Pending</v>
      </c>
      <c r="T1748" t="s">
        <v>27</v>
      </c>
      <c r="U1748" t="str" cm="1">
        <f t="array" ref="U1748">IFERROR(_xlfn.IFS(Table1[[#This Row],[Payment Status]]="Partial","In Transit",Table1[[#This Row],[Payment Status]]="Paid","Completed",Table1[[#This Row],[Payment Status]]="Pending","Pending"),"Invalid Input")</f>
        <v>Pending</v>
      </c>
    </row>
    <row r="1749" spans="1:21" x14ac:dyDescent="0.25">
      <c r="A1749" s="4" t="s">
        <v>2893</v>
      </c>
      <c r="B1749" s="5">
        <v>45568</v>
      </c>
      <c r="C1749" t="s">
        <v>33</v>
      </c>
      <c r="D1749" t="s">
        <v>37</v>
      </c>
      <c r="E1749" t="s">
        <v>30</v>
      </c>
      <c r="F1749" t="s">
        <v>3222</v>
      </c>
      <c r="G1749" t="s">
        <v>31</v>
      </c>
      <c r="H1749" t="str">
        <f>VLOOKUP(Table1[[#This Row],[City]],Table6[#All],2,FALSE)</f>
        <v>South</v>
      </c>
      <c r="I1749" t="s">
        <v>24</v>
      </c>
      <c r="J1749" t="str">
        <f>_xlfn.XLOOKUP(Table1[[#This Row],[Tractor Model]],Table7[Product Model],Table7[Product Category],"Not Available",0)</f>
        <v>Farmtrac</v>
      </c>
      <c r="K1749" s="4">
        <v>6</v>
      </c>
      <c r="L1749" s="72">
        <v>547868</v>
      </c>
      <c r="M1749" s="4">
        <f>INDEX('Master Sheet'!$C$4:$C$12,MATCH(Table1[[#This Row],[Quantity]],'Master Sheet'!$B$4:$B$12,0))</f>
        <v>8</v>
      </c>
      <c r="N1749" s="71">
        <f>Table1[[#This Row],[Quantity]]*Table1[[#This Row],[Unit Price]]</f>
        <v>3287208</v>
      </c>
      <c r="O1749" s="73">
        <v>0.32872079999999998</v>
      </c>
      <c r="P1749" s="70">
        <f>Table1[[#This Row],[Gross Amount]]*(1-(Table1[[#This Row],[Discount %]]/100))</f>
        <v>3024231.3600000003</v>
      </c>
      <c r="Q1749" s="74">
        <f>(Table1[[#This Row],[Gross Amount]]*(1-(Table1[[#This Row],[Discount %]]/100)))/10000000</f>
        <v>0.30242313600000004</v>
      </c>
      <c r="R1749" t="s">
        <v>54</v>
      </c>
      <c r="S1749" t="str" cm="1">
        <f t="array" ref="S1749">IFERROR(_xlfn.IFS(Table1[[#This Row],[Payment Status]]="Partial","In Transit",Table1[[#This Row],[Payment Status]]="Paid","Delivered",Table1[[#This Row],[Payment Status]]="Pending","Pending"),"Invalid Input")</f>
        <v>Delivered</v>
      </c>
      <c r="T1749" t="s">
        <v>44</v>
      </c>
      <c r="U1749" t="str" cm="1">
        <f t="array" ref="U1749">IFERROR(_xlfn.IFS(Table1[[#This Row],[Payment Status]]="Partial","In Transit",Table1[[#This Row],[Payment Status]]="Paid","Completed",Table1[[#This Row],[Payment Status]]="Pending","Pending"),"Invalid Input")</f>
        <v>Completed</v>
      </c>
    </row>
    <row r="1750" spans="1:21" x14ac:dyDescent="0.25">
      <c r="A1750" s="4" t="s">
        <v>2895</v>
      </c>
      <c r="B1750" s="5">
        <v>45422</v>
      </c>
      <c r="C1750" t="s">
        <v>41</v>
      </c>
      <c r="D1750" t="s">
        <v>37</v>
      </c>
      <c r="E1750" t="s">
        <v>119</v>
      </c>
      <c r="F1750" t="s">
        <v>3224</v>
      </c>
      <c r="G1750" t="s">
        <v>21</v>
      </c>
      <c r="H1750" t="str">
        <f>VLOOKUP(Table1[[#This Row],[City]],Table6[#All],2,FALSE)</f>
        <v>North</v>
      </c>
      <c r="I1750" t="s">
        <v>3204</v>
      </c>
      <c r="J1750" t="str">
        <f>_xlfn.XLOOKUP(Table1[[#This Row],[Tractor Model]],Table7[Product Model],Table7[Product Category],"Not Available",0)</f>
        <v>Kubota</v>
      </c>
      <c r="K1750" s="4">
        <v>7</v>
      </c>
      <c r="L1750" s="72">
        <v>120903</v>
      </c>
      <c r="M1750" s="4">
        <f>INDEX('Master Sheet'!$C$4:$C$12,MATCH(Table1[[#This Row],[Quantity]],'Master Sheet'!$B$4:$B$12,0))</f>
        <v>9</v>
      </c>
      <c r="N1750" s="71">
        <f>Table1[[#This Row],[Quantity]]*Table1[[#This Row],[Unit Price]]</f>
        <v>846321</v>
      </c>
      <c r="O1750" s="73">
        <v>8.4632100000000002E-2</v>
      </c>
      <c r="P1750" s="70">
        <f>Table1[[#This Row],[Gross Amount]]*(1-(Table1[[#This Row],[Discount %]]/100))</f>
        <v>770152.11</v>
      </c>
      <c r="Q1750" s="74">
        <f>(Table1[[#This Row],[Gross Amount]]*(1-(Table1[[#This Row],[Discount %]]/100)))/10000000</f>
        <v>7.7015211E-2</v>
      </c>
      <c r="R1750" t="s">
        <v>25</v>
      </c>
      <c r="S1750" t="str" cm="1">
        <f t="array" ref="S1750">IFERROR(_xlfn.IFS(Table1[[#This Row],[Payment Status]]="Partial","In Transit",Table1[[#This Row],[Payment Status]]="Paid","Delivered",Table1[[#This Row],[Payment Status]]="Pending","Pending"),"Invalid Input")</f>
        <v>In Transit</v>
      </c>
      <c r="T1750" t="s">
        <v>27</v>
      </c>
      <c r="U1750" t="str" cm="1">
        <f t="array" ref="U1750">IFERROR(_xlfn.IFS(Table1[[#This Row],[Payment Status]]="Partial","In Transit",Table1[[#This Row],[Payment Status]]="Paid","Completed",Table1[[#This Row],[Payment Status]]="Pending","Pending"),"Invalid Input")</f>
        <v>In Transit</v>
      </c>
    </row>
    <row r="1751" spans="1:21" x14ac:dyDescent="0.25">
      <c r="A1751" s="4" t="s">
        <v>2896</v>
      </c>
      <c r="B1751" s="5">
        <v>45670</v>
      </c>
      <c r="C1751" t="s">
        <v>73</v>
      </c>
      <c r="D1751" t="s">
        <v>37</v>
      </c>
      <c r="E1751" t="s">
        <v>38</v>
      </c>
      <c r="F1751" t="s">
        <v>3214</v>
      </c>
      <c r="G1751" t="s">
        <v>39</v>
      </c>
      <c r="H1751" t="str">
        <f>VLOOKUP(Table1[[#This Row],[City]],Table6[#All],2,FALSE)</f>
        <v>West</v>
      </c>
      <c r="I1751" t="s">
        <v>24</v>
      </c>
      <c r="J1751" t="str">
        <f>_xlfn.XLOOKUP(Table1[[#This Row],[Tractor Model]],Table7[Product Model],Table7[Product Category],"Not Available",0)</f>
        <v>Farmtrac</v>
      </c>
      <c r="K1751" s="4">
        <v>4</v>
      </c>
      <c r="L1751" s="72">
        <v>629097</v>
      </c>
      <c r="M1751" s="4">
        <f>INDEX('Master Sheet'!$C$4:$C$12,MATCH(Table1[[#This Row],[Quantity]],'Master Sheet'!$B$4:$B$12,0))</f>
        <v>6</v>
      </c>
      <c r="N1751" s="71">
        <f>Table1[[#This Row],[Quantity]]*Table1[[#This Row],[Unit Price]]</f>
        <v>2516388</v>
      </c>
      <c r="O1751" s="73">
        <v>0.2516388</v>
      </c>
      <c r="P1751" s="70">
        <f>Table1[[#This Row],[Gross Amount]]*(1-(Table1[[#This Row],[Discount %]]/100))</f>
        <v>2365404.7199999997</v>
      </c>
      <c r="Q1751" s="74">
        <f>(Table1[[#This Row],[Gross Amount]]*(1-(Table1[[#This Row],[Discount %]]/100)))/10000000</f>
        <v>0.23654047199999997</v>
      </c>
      <c r="R1751" t="s">
        <v>42</v>
      </c>
      <c r="S1751" t="str" cm="1">
        <f t="array" ref="S1751">IFERROR(_xlfn.IFS(Table1[[#This Row],[Payment Status]]="Partial","In Transit",Table1[[#This Row],[Payment Status]]="Paid","Delivered",Table1[[#This Row],[Payment Status]]="Pending","Pending"),"Invalid Input")</f>
        <v>Pending</v>
      </c>
      <c r="T1751" t="s">
        <v>27</v>
      </c>
      <c r="U1751" t="str" cm="1">
        <f t="array" ref="U1751">IFERROR(_xlfn.IFS(Table1[[#This Row],[Payment Status]]="Partial","In Transit",Table1[[#This Row],[Payment Status]]="Paid","Completed",Table1[[#This Row],[Payment Status]]="Pending","Pending"),"Invalid Input")</f>
        <v>Pending</v>
      </c>
    </row>
    <row r="1752" spans="1:21" x14ac:dyDescent="0.25">
      <c r="A1752" s="4" t="s">
        <v>2898</v>
      </c>
      <c r="B1752" s="5">
        <v>45301</v>
      </c>
      <c r="C1752" t="s">
        <v>52</v>
      </c>
      <c r="D1752" t="s">
        <v>3268</v>
      </c>
      <c r="E1752" t="s">
        <v>47</v>
      </c>
      <c r="F1752" t="s">
        <v>3216</v>
      </c>
      <c r="G1752" t="s">
        <v>48</v>
      </c>
      <c r="H1752" t="str">
        <f>VLOOKUP(Table1[[#This Row],[City]],Table6[#All],2,FALSE)</f>
        <v>North</v>
      </c>
      <c r="I1752" t="s">
        <v>58</v>
      </c>
      <c r="J1752" t="str">
        <f>_xlfn.XLOOKUP(Table1[[#This Row],[Tractor Model]],Table7[Product Model],Table7[Product Category],"Not Available",0)</f>
        <v>Powertrac</v>
      </c>
      <c r="K1752" s="4">
        <v>5</v>
      </c>
      <c r="L1752" s="72">
        <v>639667</v>
      </c>
      <c r="M1752" s="4">
        <f>INDEX('Master Sheet'!$C$4:$C$12,MATCH(Table1[[#This Row],[Quantity]],'Master Sheet'!$B$4:$B$12,0))</f>
        <v>7</v>
      </c>
      <c r="N1752" s="71">
        <f>Table1[[#This Row],[Quantity]]*Table1[[#This Row],[Unit Price]]</f>
        <v>3198335</v>
      </c>
      <c r="O1752" s="73">
        <v>0.31983349999999999</v>
      </c>
      <c r="P1752" s="70">
        <f>Table1[[#This Row],[Gross Amount]]*(1-(Table1[[#This Row],[Discount %]]/100))</f>
        <v>2974451.55</v>
      </c>
      <c r="Q1752" s="74">
        <f>(Table1[[#This Row],[Gross Amount]]*(1-(Table1[[#This Row],[Discount %]]/100)))/10000000</f>
        <v>0.29744515499999996</v>
      </c>
      <c r="R1752" t="s">
        <v>54</v>
      </c>
      <c r="S1752" t="str" cm="1">
        <f t="array" ref="S1752">IFERROR(_xlfn.IFS(Table1[[#This Row],[Payment Status]]="Partial","In Transit",Table1[[#This Row],[Payment Status]]="Paid","Delivered",Table1[[#This Row],[Payment Status]]="Pending","Pending"),"Invalid Input")</f>
        <v>Delivered</v>
      </c>
      <c r="T1752" t="s">
        <v>44</v>
      </c>
      <c r="U1752" t="str" cm="1">
        <f t="array" ref="U1752">IFERROR(_xlfn.IFS(Table1[[#This Row],[Payment Status]]="Partial","In Transit",Table1[[#This Row],[Payment Status]]="Paid","Completed",Table1[[#This Row],[Payment Status]]="Pending","Pending"),"Invalid Input")</f>
        <v>Completed</v>
      </c>
    </row>
    <row r="1753" spans="1:21" x14ac:dyDescent="0.25">
      <c r="A1753" s="4" t="s">
        <v>2900</v>
      </c>
      <c r="B1753" s="5">
        <v>45685</v>
      </c>
      <c r="C1753" t="s">
        <v>52</v>
      </c>
      <c r="D1753" t="s">
        <v>3271</v>
      </c>
      <c r="E1753" t="s">
        <v>38</v>
      </c>
      <c r="F1753" t="s">
        <v>3210</v>
      </c>
      <c r="G1753" t="s">
        <v>39</v>
      </c>
      <c r="H1753" t="str">
        <f>VLOOKUP(Table1[[#This Row],[City]],Table6[#All],2,FALSE)</f>
        <v>West</v>
      </c>
      <c r="I1753" t="s">
        <v>53</v>
      </c>
      <c r="J1753" t="str">
        <f>_xlfn.XLOOKUP(Table1[[#This Row],[Tractor Model]],Table7[Product Model],Table7[Product Category],"Not Available",0)</f>
        <v>Farmtrac</v>
      </c>
      <c r="K1753" s="4">
        <v>1</v>
      </c>
      <c r="L1753" s="72">
        <v>437939</v>
      </c>
      <c r="M1753" s="4">
        <f>INDEX('Master Sheet'!$C$4:$C$12,MATCH(Table1[[#This Row],[Quantity]],'Master Sheet'!$B$4:$B$12,0))</f>
        <v>3</v>
      </c>
      <c r="N1753" s="71">
        <f>Table1[[#This Row],[Quantity]]*Table1[[#This Row],[Unit Price]]</f>
        <v>437939</v>
      </c>
      <c r="O1753" s="73">
        <v>4.3793899999999997E-2</v>
      </c>
      <c r="P1753" s="70">
        <f>Table1[[#This Row],[Gross Amount]]*(1-(Table1[[#This Row],[Discount %]]/100))</f>
        <v>424800.83</v>
      </c>
      <c r="Q1753" s="74">
        <f>(Table1[[#This Row],[Gross Amount]]*(1-(Table1[[#This Row],[Discount %]]/100)))/10000000</f>
        <v>4.2480083000000002E-2</v>
      </c>
      <c r="R1753" t="s">
        <v>42</v>
      </c>
      <c r="S1753" t="str" cm="1">
        <f t="array" ref="S1753">IFERROR(_xlfn.IFS(Table1[[#This Row],[Payment Status]]="Partial","In Transit",Table1[[#This Row],[Payment Status]]="Paid","Delivered",Table1[[#This Row],[Payment Status]]="Pending","Pending"),"Invalid Input")</f>
        <v>Pending</v>
      </c>
      <c r="T1753" t="s">
        <v>27</v>
      </c>
      <c r="U1753" t="str" cm="1">
        <f t="array" ref="U1753">IFERROR(_xlfn.IFS(Table1[[#This Row],[Payment Status]]="Partial","In Transit",Table1[[#This Row],[Payment Status]]="Paid","Completed",Table1[[#This Row],[Payment Status]]="Pending","Pending"),"Invalid Input")</f>
        <v>Pending</v>
      </c>
    </row>
    <row r="1754" spans="1:21" x14ac:dyDescent="0.25">
      <c r="A1754" s="4" t="s">
        <v>2901</v>
      </c>
      <c r="B1754" s="5">
        <v>45347</v>
      </c>
      <c r="C1754" t="s">
        <v>33</v>
      </c>
      <c r="D1754" t="s">
        <v>3270</v>
      </c>
      <c r="E1754" t="s">
        <v>66</v>
      </c>
      <c r="F1754" t="s">
        <v>3220</v>
      </c>
      <c r="G1754" t="s">
        <v>67</v>
      </c>
      <c r="H1754" t="str">
        <f>VLOOKUP(Table1[[#This Row],[City]],Table6[#All],2,FALSE)</f>
        <v>East</v>
      </c>
      <c r="I1754" t="s">
        <v>58</v>
      </c>
      <c r="J1754" t="str">
        <f>_xlfn.XLOOKUP(Table1[[#This Row],[Tractor Model]],Table7[Product Model],Table7[Product Category],"Not Available",0)</f>
        <v>Powertrac</v>
      </c>
      <c r="K1754" s="4">
        <v>0</v>
      </c>
      <c r="L1754" s="72">
        <v>888637</v>
      </c>
      <c r="M1754" s="4">
        <f>INDEX('Master Sheet'!$C$4:$C$12,MATCH(Table1[[#This Row],[Quantity]],'Master Sheet'!$B$4:$B$12,0))</f>
        <v>0</v>
      </c>
      <c r="N1754" s="71">
        <f>Table1[[#This Row],[Quantity]]*Table1[[#This Row],[Unit Price]]</f>
        <v>0</v>
      </c>
      <c r="O1754" s="73">
        <v>0</v>
      </c>
      <c r="P1754" s="70">
        <f>Table1[[#This Row],[Gross Amount]]*(1-(Table1[[#This Row],[Discount %]]/100))</f>
        <v>0</v>
      </c>
      <c r="Q1754" s="74">
        <f>(Table1[[#This Row],[Gross Amount]]*(1-(Table1[[#This Row],[Discount %]]/100)))/10000000</f>
        <v>0</v>
      </c>
      <c r="R1754" t="s">
        <v>25</v>
      </c>
      <c r="S1754" t="str" cm="1">
        <f t="array" ref="S1754">IFERROR(_xlfn.IFS(Table1[[#This Row],[Payment Status]]="Partial","In Transit",Table1[[#This Row],[Payment Status]]="Paid","Delivered",Table1[[#This Row],[Payment Status]]="Pending","Pending"),"Invalid Input")</f>
        <v>In Transit</v>
      </c>
      <c r="T1754" t="s">
        <v>27</v>
      </c>
      <c r="U1754" t="str" cm="1">
        <f t="array" ref="U1754">IFERROR(_xlfn.IFS(Table1[[#This Row],[Payment Status]]="Partial","In Transit",Table1[[#This Row],[Payment Status]]="Paid","Completed",Table1[[#This Row],[Payment Status]]="Pending","Pending"),"Invalid Input")</f>
        <v>In Transit</v>
      </c>
    </row>
    <row r="1755" spans="1:21" x14ac:dyDescent="0.25">
      <c r="A1755" s="4" t="s">
        <v>2902</v>
      </c>
      <c r="B1755" s="5">
        <v>45325</v>
      </c>
      <c r="C1755" t="s">
        <v>41</v>
      </c>
      <c r="D1755" t="s">
        <v>37</v>
      </c>
      <c r="E1755" t="s">
        <v>66</v>
      </c>
      <c r="F1755" t="s">
        <v>3226</v>
      </c>
      <c r="G1755" t="s">
        <v>67</v>
      </c>
      <c r="H1755" t="str">
        <f>VLOOKUP(Table1[[#This Row],[City]],Table6[#All],2,FALSE)</f>
        <v>East</v>
      </c>
      <c r="I1755" t="s">
        <v>3204</v>
      </c>
      <c r="J1755" t="str">
        <f>_xlfn.XLOOKUP(Table1[[#This Row],[Tractor Model]],Table7[Product Model],Table7[Product Category],"Not Available",0)</f>
        <v>Kubota</v>
      </c>
      <c r="K1755" s="4">
        <v>6</v>
      </c>
      <c r="L1755" s="72">
        <v>277727</v>
      </c>
      <c r="M1755" s="4">
        <f>INDEX('Master Sheet'!$C$4:$C$12,MATCH(Table1[[#This Row],[Quantity]],'Master Sheet'!$B$4:$B$12,0))</f>
        <v>8</v>
      </c>
      <c r="N1755" s="71">
        <f>Table1[[#This Row],[Quantity]]*Table1[[#This Row],[Unit Price]]</f>
        <v>1666362</v>
      </c>
      <c r="O1755" s="73">
        <v>0.16663620000000001</v>
      </c>
      <c r="P1755" s="70">
        <f>Table1[[#This Row],[Gross Amount]]*(1-(Table1[[#This Row],[Discount %]]/100))</f>
        <v>1533053.04</v>
      </c>
      <c r="Q1755" s="74">
        <f>(Table1[[#This Row],[Gross Amount]]*(1-(Table1[[#This Row],[Discount %]]/100)))/10000000</f>
        <v>0.153305304</v>
      </c>
      <c r="R1755" t="s">
        <v>42</v>
      </c>
      <c r="S1755" t="str" cm="1">
        <f t="array" ref="S1755">IFERROR(_xlfn.IFS(Table1[[#This Row],[Payment Status]]="Partial","In Transit",Table1[[#This Row],[Payment Status]]="Paid","Delivered",Table1[[#This Row],[Payment Status]]="Pending","Pending"),"Invalid Input")</f>
        <v>Pending</v>
      </c>
      <c r="T1755" t="s">
        <v>44</v>
      </c>
      <c r="U1755" t="str" cm="1">
        <f t="array" ref="U1755">IFERROR(_xlfn.IFS(Table1[[#This Row],[Payment Status]]="Partial","In Transit",Table1[[#This Row],[Payment Status]]="Paid","Completed",Table1[[#This Row],[Payment Status]]="Pending","Pending"),"Invalid Input")</f>
        <v>Pending</v>
      </c>
    </row>
    <row r="1756" spans="1:21" x14ac:dyDescent="0.25">
      <c r="A1756" s="4" t="s">
        <v>2904</v>
      </c>
      <c r="B1756" s="5">
        <v>45296</v>
      </c>
      <c r="C1756" t="s">
        <v>52</v>
      </c>
      <c r="D1756" t="s">
        <v>3270</v>
      </c>
      <c r="E1756" t="s">
        <v>119</v>
      </c>
      <c r="F1756" t="s">
        <v>3212</v>
      </c>
      <c r="G1756" t="s">
        <v>21</v>
      </c>
      <c r="H1756" t="str">
        <f>VLOOKUP(Table1[[#This Row],[City]],Table6[#All],2,FALSE)</f>
        <v>North</v>
      </c>
      <c r="I1756" t="s">
        <v>53</v>
      </c>
      <c r="J1756" t="str">
        <f>_xlfn.XLOOKUP(Table1[[#This Row],[Tractor Model]],Table7[Product Model],Table7[Product Category],"Not Available",0)</f>
        <v>Farmtrac</v>
      </c>
      <c r="K1756" s="4">
        <v>8</v>
      </c>
      <c r="L1756" s="72">
        <v>447793</v>
      </c>
      <c r="M1756" s="4">
        <f>INDEX('Master Sheet'!$C$4:$C$12,MATCH(Table1[[#This Row],[Quantity]],'Master Sheet'!$B$4:$B$12,0))</f>
        <v>9</v>
      </c>
      <c r="N1756" s="71">
        <f>Table1[[#This Row],[Quantity]]*Table1[[#This Row],[Unit Price]]</f>
        <v>3582344</v>
      </c>
      <c r="O1756" s="73">
        <v>0.35823440000000001</v>
      </c>
      <c r="P1756" s="70">
        <f>Table1[[#This Row],[Gross Amount]]*(1-(Table1[[#This Row],[Discount %]]/100))</f>
        <v>3259933.04</v>
      </c>
      <c r="Q1756" s="74">
        <f>(Table1[[#This Row],[Gross Amount]]*(1-(Table1[[#This Row],[Discount %]]/100)))/10000000</f>
        <v>0.32599330399999998</v>
      </c>
      <c r="R1756" t="s">
        <v>42</v>
      </c>
      <c r="S1756" t="str" cm="1">
        <f t="array" ref="S1756">IFERROR(_xlfn.IFS(Table1[[#This Row],[Payment Status]]="Partial","In Transit",Table1[[#This Row],[Payment Status]]="Paid","Delivered",Table1[[#This Row],[Payment Status]]="Pending","Pending"),"Invalid Input")</f>
        <v>Pending</v>
      </c>
      <c r="T1756" t="s">
        <v>27</v>
      </c>
      <c r="U1756" t="str" cm="1">
        <f t="array" ref="U1756">IFERROR(_xlfn.IFS(Table1[[#This Row],[Payment Status]]="Partial","In Transit",Table1[[#This Row],[Payment Status]]="Paid","Completed",Table1[[#This Row],[Payment Status]]="Pending","Pending"),"Invalid Input")</f>
        <v>Pending</v>
      </c>
    </row>
    <row r="1757" spans="1:21" x14ac:dyDescent="0.25">
      <c r="A1757" s="4" t="s">
        <v>2905</v>
      </c>
      <c r="B1757" s="5">
        <v>45516</v>
      </c>
      <c r="C1757" t="s">
        <v>52</v>
      </c>
      <c r="D1757" t="s">
        <v>3269</v>
      </c>
      <c r="E1757" t="s">
        <v>38</v>
      </c>
      <c r="F1757" t="s">
        <v>3206</v>
      </c>
      <c r="G1757" t="s">
        <v>39</v>
      </c>
      <c r="H1757" t="str">
        <f>VLOOKUP(Table1[[#This Row],[City]],Table6[#All],2,FALSE)</f>
        <v>West</v>
      </c>
      <c r="I1757" t="s">
        <v>3204</v>
      </c>
      <c r="J1757" t="str">
        <f>_xlfn.XLOOKUP(Table1[[#This Row],[Tractor Model]],Table7[Product Model],Table7[Product Category],"Not Available",0)</f>
        <v>Kubota</v>
      </c>
      <c r="K1757" s="4">
        <v>6</v>
      </c>
      <c r="L1757" s="72">
        <v>233029</v>
      </c>
      <c r="M1757" s="4">
        <f>INDEX('Master Sheet'!$C$4:$C$12,MATCH(Table1[[#This Row],[Quantity]],'Master Sheet'!$B$4:$B$12,0))</f>
        <v>8</v>
      </c>
      <c r="N1757" s="71">
        <f>Table1[[#This Row],[Quantity]]*Table1[[#This Row],[Unit Price]]</f>
        <v>1398174</v>
      </c>
      <c r="O1757" s="73">
        <v>0.13981740000000001</v>
      </c>
      <c r="P1757" s="70">
        <f>Table1[[#This Row],[Gross Amount]]*(1-(Table1[[#This Row],[Discount %]]/100))</f>
        <v>1286320.08</v>
      </c>
      <c r="Q1757" s="74">
        <f>(Table1[[#This Row],[Gross Amount]]*(1-(Table1[[#This Row],[Discount %]]/100)))/10000000</f>
        <v>0.12863200800000002</v>
      </c>
      <c r="R1757" t="s">
        <v>25</v>
      </c>
      <c r="S1757" t="str" cm="1">
        <f t="array" ref="S1757">IFERROR(_xlfn.IFS(Table1[[#This Row],[Payment Status]]="Partial","In Transit",Table1[[#This Row],[Payment Status]]="Paid","Delivered",Table1[[#This Row],[Payment Status]]="Pending","Pending"),"Invalid Input")</f>
        <v>In Transit</v>
      </c>
      <c r="T1757" t="s">
        <v>44</v>
      </c>
      <c r="U1757" t="str" cm="1">
        <f t="array" ref="U1757">IFERROR(_xlfn.IFS(Table1[[#This Row],[Payment Status]]="Partial","In Transit",Table1[[#This Row],[Payment Status]]="Paid","Completed",Table1[[#This Row],[Payment Status]]="Pending","Pending"),"Invalid Input")</f>
        <v>In Transit</v>
      </c>
    </row>
    <row r="1758" spans="1:21" x14ac:dyDescent="0.25">
      <c r="A1758" s="4" t="s">
        <v>2906</v>
      </c>
      <c r="B1758" s="5">
        <v>45574</v>
      </c>
      <c r="C1758" t="s">
        <v>73</v>
      </c>
      <c r="D1758" t="s">
        <v>3270</v>
      </c>
      <c r="E1758" t="s">
        <v>66</v>
      </c>
      <c r="F1758" t="s">
        <v>3220</v>
      </c>
      <c r="G1758" t="s">
        <v>67</v>
      </c>
      <c r="H1758" t="str">
        <f>VLOOKUP(Table1[[#This Row],[City]],Table6[#All],2,FALSE)</f>
        <v>East</v>
      </c>
      <c r="I1758" t="s">
        <v>24</v>
      </c>
      <c r="J1758" t="str">
        <f>_xlfn.XLOOKUP(Table1[[#This Row],[Tractor Model]],Table7[Product Model],Table7[Product Category],"Not Available",0)</f>
        <v>Farmtrac</v>
      </c>
      <c r="K1758" s="4">
        <v>5</v>
      </c>
      <c r="L1758" s="72">
        <v>446164</v>
      </c>
      <c r="M1758" s="4">
        <f>INDEX('Master Sheet'!$C$4:$C$12,MATCH(Table1[[#This Row],[Quantity]],'Master Sheet'!$B$4:$B$12,0))</f>
        <v>7</v>
      </c>
      <c r="N1758" s="71">
        <f>Table1[[#This Row],[Quantity]]*Table1[[#This Row],[Unit Price]]</f>
        <v>2230820</v>
      </c>
      <c r="O1758" s="73">
        <v>0.223082</v>
      </c>
      <c r="P1758" s="70">
        <f>Table1[[#This Row],[Gross Amount]]*(1-(Table1[[#This Row],[Discount %]]/100))</f>
        <v>2074662.5999999999</v>
      </c>
      <c r="Q1758" s="74">
        <f>(Table1[[#This Row],[Gross Amount]]*(1-(Table1[[#This Row],[Discount %]]/100)))/10000000</f>
        <v>0.20746625999999999</v>
      </c>
      <c r="R1758" t="s">
        <v>25</v>
      </c>
      <c r="S1758" t="str" cm="1">
        <f t="array" ref="S1758">IFERROR(_xlfn.IFS(Table1[[#This Row],[Payment Status]]="Partial","In Transit",Table1[[#This Row],[Payment Status]]="Paid","Delivered",Table1[[#This Row],[Payment Status]]="Pending","Pending"),"Invalid Input")</f>
        <v>In Transit</v>
      </c>
      <c r="T1758" t="s">
        <v>27</v>
      </c>
      <c r="U1758" t="str" cm="1">
        <f t="array" ref="U1758">IFERROR(_xlfn.IFS(Table1[[#This Row],[Payment Status]]="Partial","In Transit",Table1[[#This Row],[Payment Status]]="Paid","Completed",Table1[[#This Row],[Payment Status]]="Pending","Pending"),"Invalid Input")</f>
        <v>In Transit</v>
      </c>
    </row>
    <row r="1759" spans="1:21" x14ac:dyDescent="0.25">
      <c r="A1759" s="4" t="s">
        <v>2907</v>
      </c>
      <c r="B1759" s="5">
        <v>45653</v>
      </c>
      <c r="C1759" t="s">
        <v>33</v>
      </c>
      <c r="D1759" t="s">
        <v>3269</v>
      </c>
      <c r="E1759" t="s">
        <v>66</v>
      </c>
      <c r="F1759" t="s">
        <v>3213</v>
      </c>
      <c r="G1759" t="s">
        <v>67</v>
      </c>
      <c r="H1759" t="str">
        <f>VLOOKUP(Table1[[#This Row],[City]],Table6[#All],2,FALSE)</f>
        <v>East</v>
      </c>
      <c r="I1759" t="s">
        <v>24</v>
      </c>
      <c r="J1759" t="str">
        <f>_xlfn.XLOOKUP(Table1[[#This Row],[Tractor Model]],Table7[Product Model],Table7[Product Category],"Not Available",0)</f>
        <v>Farmtrac</v>
      </c>
      <c r="K1759" s="4">
        <v>5</v>
      </c>
      <c r="L1759" s="72">
        <v>471732</v>
      </c>
      <c r="M1759" s="4">
        <f>INDEX('Master Sheet'!$C$4:$C$12,MATCH(Table1[[#This Row],[Quantity]],'Master Sheet'!$B$4:$B$12,0))</f>
        <v>7</v>
      </c>
      <c r="N1759" s="71">
        <f>Table1[[#This Row],[Quantity]]*Table1[[#This Row],[Unit Price]]</f>
        <v>2358660</v>
      </c>
      <c r="O1759" s="73">
        <v>0.23586599999999999</v>
      </c>
      <c r="P1759" s="70">
        <f>Table1[[#This Row],[Gross Amount]]*(1-(Table1[[#This Row],[Discount %]]/100))</f>
        <v>2193553.7999999998</v>
      </c>
      <c r="Q1759" s="74">
        <f>(Table1[[#This Row],[Gross Amount]]*(1-(Table1[[#This Row],[Discount %]]/100)))/10000000</f>
        <v>0.21935537999999999</v>
      </c>
      <c r="R1759" t="s">
        <v>25</v>
      </c>
      <c r="S1759" t="str" cm="1">
        <f t="array" ref="S1759">IFERROR(_xlfn.IFS(Table1[[#This Row],[Payment Status]]="Partial","In Transit",Table1[[#This Row],[Payment Status]]="Paid","Delivered",Table1[[#This Row],[Payment Status]]="Pending","Pending"),"Invalid Input")</f>
        <v>In Transit</v>
      </c>
      <c r="T1759" t="s">
        <v>44</v>
      </c>
      <c r="U1759" t="str" cm="1">
        <f t="array" ref="U1759">IFERROR(_xlfn.IFS(Table1[[#This Row],[Payment Status]]="Partial","In Transit",Table1[[#This Row],[Payment Status]]="Paid","Completed",Table1[[#This Row],[Payment Status]]="Pending","Pending"),"Invalid Input")</f>
        <v>In Transit</v>
      </c>
    </row>
    <row r="1760" spans="1:21" x14ac:dyDescent="0.25">
      <c r="A1760" s="4" t="s">
        <v>2908</v>
      </c>
      <c r="B1760" s="5">
        <v>45406</v>
      </c>
      <c r="C1760" t="s">
        <v>52</v>
      </c>
      <c r="D1760" t="s">
        <v>37</v>
      </c>
      <c r="E1760" t="s">
        <v>119</v>
      </c>
      <c r="F1760" t="s">
        <v>3224</v>
      </c>
      <c r="G1760" t="s">
        <v>21</v>
      </c>
      <c r="H1760" t="str">
        <f>VLOOKUP(Table1[[#This Row],[City]],Table6[#All],2,FALSE)</f>
        <v>North</v>
      </c>
      <c r="I1760" t="s">
        <v>58</v>
      </c>
      <c r="J1760" t="str">
        <f>_xlfn.XLOOKUP(Table1[[#This Row],[Tractor Model]],Table7[Product Model],Table7[Product Category],"Not Available",0)</f>
        <v>Powertrac</v>
      </c>
      <c r="K1760" s="4">
        <v>4</v>
      </c>
      <c r="L1760" s="72">
        <v>866660</v>
      </c>
      <c r="M1760" s="4">
        <f>INDEX('Master Sheet'!$C$4:$C$12,MATCH(Table1[[#This Row],[Quantity]],'Master Sheet'!$B$4:$B$12,0))</f>
        <v>6</v>
      </c>
      <c r="N1760" s="71">
        <f>Table1[[#This Row],[Quantity]]*Table1[[#This Row],[Unit Price]]</f>
        <v>3466640</v>
      </c>
      <c r="O1760" s="73">
        <v>0.34666400000000003</v>
      </c>
      <c r="P1760" s="70">
        <f>Table1[[#This Row],[Gross Amount]]*(1-(Table1[[#This Row],[Discount %]]/100))</f>
        <v>3258641.5999999996</v>
      </c>
      <c r="Q1760" s="74">
        <f>(Table1[[#This Row],[Gross Amount]]*(1-(Table1[[#This Row],[Discount %]]/100)))/10000000</f>
        <v>0.32586415999999996</v>
      </c>
      <c r="R1760" t="s">
        <v>42</v>
      </c>
      <c r="S1760" t="str" cm="1">
        <f t="array" ref="S1760">IFERROR(_xlfn.IFS(Table1[[#This Row],[Payment Status]]="Partial","In Transit",Table1[[#This Row],[Payment Status]]="Paid","Delivered",Table1[[#This Row],[Payment Status]]="Pending","Pending"),"Invalid Input")</f>
        <v>Pending</v>
      </c>
      <c r="T1760" t="s">
        <v>27</v>
      </c>
      <c r="U1760" t="str" cm="1">
        <f t="array" ref="U1760">IFERROR(_xlfn.IFS(Table1[[#This Row],[Payment Status]]="Partial","In Transit",Table1[[#This Row],[Payment Status]]="Paid","Completed",Table1[[#This Row],[Payment Status]]="Pending","Pending"),"Invalid Input")</f>
        <v>Pending</v>
      </c>
    </row>
    <row r="1761" spans="1:21" x14ac:dyDescent="0.25">
      <c r="A1761" s="4" t="s">
        <v>2909</v>
      </c>
      <c r="B1761" s="5">
        <v>45455</v>
      </c>
      <c r="C1761" t="s">
        <v>33</v>
      </c>
      <c r="D1761" t="s">
        <v>3269</v>
      </c>
      <c r="E1761" t="s">
        <v>30</v>
      </c>
      <c r="F1761" t="s">
        <v>3225</v>
      </c>
      <c r="G1761" t="s">
        <v>31</v>
      </c>
      <c r="H1761" t="str">
        <f>VLOOKUP(Table1[[#This Row],[City]],Table6[#All],2,FALSE)</f>
        <v>South</v>
      </c>
      <c r="I1761" t="s">
        <v>3204</v>
      </c>
      <c r="J1761" t="str">
        <f>_xlfn.XLOOKUP(Table1[[#This Row],[Tractor Model]],Table7[Product Model],Table7[Product Category],"Not Available",0)</f>
        <v>Kubota</v>
      </c>
      <c r="K1761" s="4">
        <v>7</v>
      </c>
      <c r="L1761" s="72">
        <v>865208</v>
      </c>
      <c r="M1761" s="4">
        <f>INDEX('Master Sheet'!$C$4:$C$12,MATCH(Table1[[#This Row],[Quantity]],'Master Sheet'!$B$4:$B$12,0))</f>
        <v>9</v>
      </c>
      <c r="N1761" s="71">
        <f>Table1[[#This Row],[Quantity]]*Table1[[#This Row],[Unit Price]]</f>
        <v>6056456</v>
      </c>
      <c r="O1761" s="73">
        <v>0.60564560000000001</v>
      </c>
      <c r="P1761" s="70">
        <f>Table1[[#This Row],[Gross Amount]]*(1-(Table1[[#This Row],[Discount %]]/100))</f>
        <v>5511374.96</v>
      </c>
      <c r="Q1761" s="74">
        <f>(Table1[[#This Row],[Gross Amount]]*(1-(Table1[[#This Row],[Discount %]]/100)))/10000000</f>
        <v>0.55113749599999995</v>
      </c>
      <c r="R1761" t="s">
        <v>25</v>
      </c>
      <c r="S1761" t="str" cm="1">
        <f t="array" ref="S1761">IFERROR(_xlfn.IFS(Table1[[#This Row],[Payment Status]]="Partial","In Transit",Table1[[#This Row],[Payment Status]]="Paid","Delivered",Table1[[#This Row],[Payment Status]]="Pending","Pending"),"Invalid Input")</f>
        <v>In Transit</v>
      </c>
      <c r="T1761" t="s">
        <v>27</v>
      </c>
      <c r="U1761" t="str" cm="1">
        <f t="array" ref="U1761">IFERROR(_xlfn.IFS(Table1[[#This Row],[Payment Status]]="Partial","In Transit",Table1[[#This Row],[Payment Status]]="Paid","Completed",Table1[[#This Row],[Payment Status]]="Pending","Pending"),"Invalid Input")</f>
        <v>In Transit</v>
      </c>
    </row>
    <row r="1762" spans="1:21" x14ac:dyDescent="0.25">
      <c r="A1762" s="4" t="s">
        <v>2910</v>
      </c>
      <c r="B1762" s="5">
        <v>45420</v>
      </c>
      <c r="C1762" t="s">
        <v>73</v>
      </c>
      <c r="D1762" t="s">
        <v>3268</v>
      </c>
      <c r="E1762" t="s">
        <v>47</v>
      </c>
      <c r="F1762" t="s">
        <v>3216</v>
      </c>
      <c r="G1762" t="s">
        <v>48</v>
      </c>
      <c r="H1762" t="str">
        <f>VLOOKUP(Table1[[#This Row],[City]],Table6[#All],2,FALSE)</f>
        <v>North</v>
      </c>
      <c r="I1762" t="s">
        <v>3203</v>
      </c>
      <c r="J1762" t="str">
        <f>_xlfn.XLOOKUP(Table1[[#This Row],[Tractor Model]],Table7[Product Model],Table7[Product Category],"Not Available",0)</f>
        <v>Kubota</v>
      </c>
      <c r="K1762" s="4">
        <v>5</v>
      </c>
      <c r="L1762" s="72">
        <v>669327</v>
      </c>
      <c r="M1762" s="4">
        <f>INDEX('Master Sheet'!$C$4:$C$12,MATCH(Table1[[#This Row],[Quantity]],'Master Sheet'!$B$4:$B$12,0))</f>
        <v>7</v>
      </c>
      <c r="N1762" s="71">
        <f>Table1[[#This Row],[Quantity]]*Table1[[#This Row],[Unit Price]]</f>
        <v>3346635</v>
      </c>
      <c r="O1762" s="73">
        <v>0.3346635</v>
      </c>
      <c r="P1762" s="70">
        <f>Table1[[#This Row],[Gross Amount]]*(1-(Table1[[#This Row],[Discount %]]/100))</f>
        <v>3112370.55</v>
      </c>
      <c r="Q1762" s="74">
        <f>(Table1[[#This Row],[Gross Amount]]*(1-(Table1[[#This Row],[Discount %]]/100)))/10000000</f>
        <v>0.31123705499999998</v>
      </c>
      <c r="R1762" t="s">
        <v>42</v>
      </c>
      <c r="S1762" t="str" cm="1">
        <f t="array" ref="S1762">IFERROR(_xlfn.IFS(Table1[[#This Row],[Payment Status]]="Partial","In Transit",Table1[[#This Row],[Payment Status]]="Paid","Delivered",Table1[[#This Row],[Payment Status]]="Pending","Pending"),"Invalid Input")</f>
        <v>Pending</v>
      </c>
      <c r="T1762" t="s">
        <v>27</v>
      </c>
      <c r="U1762" t="str" cm="1">
        <f t="array" ref="U1762">IFERROR(_xlfn.IFS(Table1[[#This Row],[Payment Status]]="Partial","In Transit",Table1[[#This Row],[Payment Status]]="Paid","Completed",Table1[[#This Row],[Payment Status]]="Pending","Pending"),"Invalid Input")</f>
        <v>Pending</v>
      </c>
    </row>
    <row r="1763" spans="1:21" x14ac:dyDescent="0.25">
      <c r="A1763" s="4" t="s">
        <v>2911</v>
      </c>
      <c r="B1763" s="5">
        <v>45787</v>
      </c>
      <c r="C1763" t="s">
        <v>41</v>
      </c>
      <c r="D1763" t="s">
        <v>3268</v>
      </c>
      <c r="E1763" t="s">
        <v>47</v>
      </c>
      <c r="F1763" t="s">
        <v>3216</v>
      </c>
      <c r="G1763" t="s">
        <v>48</v>
      </c>
      <c r="H1763" t="str">
        <f>VLOOKUP(Table1[[#This Row],[City]],Table6[#All],2,FALSE)</f>
        <v>North</v>
      </c>
      <c r="I1763" t="s">
        <v>53</v>
      </c>
      <c r="J1763" t="str">
        <f>_xlfn.XLOOKUP(Table1[[#This Row],[Tractor Model]],Table7[Product Model],Table7[Product Category],"Not Available",0)</f>
        <v>Farmtrac</v>
      </c>
      <c r="K1763" s="4">
        <v>0</v>
      </c>
      <c r="L1763" s="72">
        <v>578445</v>
      </c>
      <c r="M1763" s="4">
        <f>INDEX('Master Sheet'!$C$4:$C$12,MATCH(Table1[[#This Row],[Quantity]],'Master Sheet'!$B$4:$B$12,0))</f>
        <v>0</v>
      </c>
      <c r="N1763" s="71">
        <f>Table1[[#This Row],[Quantity]]*Table1[[#This Row],[Unit Price]]</f>
        <v>0</v>
      </c>
      <c r="O1763" s="73">
        <v>0</v>
      </c>
      <c r="P1763" s="70">
        <f>Table1[[#This Row],[Gross Amount]]*(1-(Table1[[#This Row],[Discount %]]/100))</f>
        <v>0</v>
      </c>
      <c r="Q1763" s="74">
        <f>(Table1[[#This Row],[Gross Amount]]*(1-(Table1[[#This Row],[Discount %]]/100)))/10000000</f>
        <v>0</v>
      </c>
      <c r="R1763" t="s">
        <v>42</v>
      </c>
      <c r="S1763" t="str" cm="1">
        <f t="array" ref="S1763">IFERROR(_xlfn.IFS(Table1[[#This Row],[Payment Status]]="Partial","In Transit",Table1[[#This Row],[Payment Status]]="Paid","Delivered",Table1[[#This Row],[Payment Status]]="Pending","Pending"),"Invalid Input")</f>
        <v>Pending</v>
      </c>
      <c r="T1763" t="s">
        <v>27</v>
      </c>
      <c r="U1763" t="str" cm="1">
        <f t="array" ref="U1763">IFERROR(_xlfn.IFS(Table1[[#This Row],[Payment Status]]="Partial","In Transit",Table1[[#This Row],[Payment Status]]="Paid","Completed",Table1[[#This Row],[Payment Status]]="Pending","Pending"),"Invalid Input")</f>
        <v>Pending</v>
      </c>
    </row>
    <row r="1764" spans="1:21" x14ac:dyDescent="0.25">
      <c r="A1764" s="4" t="s">
        <v>2912</v>
      </c>
      <c r="B1764" s="5">
        <v>45417</v>
      </c>
      <c r="C1764" t="s">
        <v>41</v>
      </c>
      <c r="D1764" t="s">
        <v>37</v>
      </c>
      <c r="E1764" t="s">
        <v>66</v>
      </c>
      <c r="F1764" t="s">
        <v>3226</v>
      </c>
      <c r="G1764" t="s">
        <v>67</v>
      </c>
      <c r="H1764" t="str">
        <f>VLOOKUP(Table1[[#This Row],[City]],Table6[#All],2,FALSE)</f>
        <v>East</v>
      </c>
      <c r="I1764" t="s">
        <v>3203</v>
      </c>
      <c r="J1764" t="str">
        <f>_xlfn.XLOOKUP(Table1[[#This Row],[Tractor Model]],Table7[Product Model],Table7[Product Category],"Not Available",0)</f>
        <v>Kubota</v>
      </c>
      <c r="K1764" s="4">
        <v>8</v>
      </c>
      <c r="L1764" s="72">
        <v>175852</v>
      </c>
      <c r="M1764" s="4">
        <f>INDEX('Master Sheet'!$C$4:$C$12,MATCH(Table1[[#This Row],[Quantity]],'Master Sheet'!$B$4:$B$12,0))</f>
        <v>9</v>
      </c>
      <c r="N1764" s="71">
        <f>Table1[[#This Row],[Quantity]]*Table1[[#This Row],[Unit Price]]</f>
        <v>1406816</v>
      </c>
      <c r="O1764" s="73">
        <v>0.14068159999999999</v>
      </c>
      <c r="P1764" s="70">
        <f>Table1[[#This Row],[Gross Amount]]*(1-(Table1[[#This Row],[Discount %]]/100))</f>
        <v>1280202.56</v>
      </c>
      <c r="Q1764" s="74">
        <f>(Table1[[#This Row],[Gross Amount]]*(1-(Table1[[#This Row],[Discount %]]/100)))/10000000</f>
        <v>0.128020256</v>
      </c>
      <c r="R1764" t="s">
        <v>25</v>
      </c>
      <c r="S1764" t="str" cm="1">
        <f t="array" ref="S1764">IFERROR(_xlfn.IFS(Table1[[#This Row],[Payment Status]]="Partial","In Transit",Table1[[#This Row],[Payment Status]]="Paid","Delivered",Table1[[#This Row],[Payment Status]]="Pending","Pending"),"Invalid Input")</f>
        <v>In Transit</v>
      </c>
      <c r="T1764" t="s">
        <v>27</v>
      </c>
      <c r="U1764" t="str" cm="1">
        <f t="array" ref="U1764">IFERROR(_xlfn.IFS(Table1[[#This Row],[Payment Status]]="Partial","In Transit",Table1[[#This Row],[Payment Status]]="Paid","Completed",Table1[[#This Row],[Payment Status]]="Pending","Pending"),"Invalid Input")</f>
        <v>In Transit</v>
      </c>
    </row>
    <row r="1765" spans="1:21" x14ac:dyDescent="0.25">
      <c r="A1765" s="4" t="s">
        <v>2914</v>
      </c>
      <c r="B1765" s="5">
        <v>45328</v>
      </c>
      <c r="C1765" t="s">
        <v>52</v>
      </c>
      <c r="D1765" t="s">
        <v>3268</v>
      </c>
      <c r="E1765" t="s">
        <v>30</v>
      </c>
      <c r="F1765" t="s">
        <v>3208</v>
      </c>
      <c r="G1765" t="s">
        <v>31</v>
      </c>
      <c r="H1765" t="str">
        <f>VLOOKUP(Table1[[#This Row],[City]],Table6[#All],2,FALSE)</f>
        <v>South</v>
      </c>
      <c r="I1765" t="s">
        <v>24</v>
      </c>
      <c r="J1765" t="str">
        <f>_xlfn.XLOOKUP(Table1[[#This Row],[Tractor Model]],Table7[Product Model],Table7[Product Category],"Not Available",0)</f>
        <v>Farmtrac</v>
      </c>
      <c r="K1765" s="4">
        <v>4</v>
      </c>
      <c r="L1765" s="72">
        <v>325081</v>
      </c>
      <c r="M1765" s="4">
        <f>INDEX('Master Sheet'!$C$4:$C$12,MATCH(Table1[[#This Row],[Quantity]],'Master Sheet'!$B$4:$B$12,0))</f>
        <v>6</v>
      </c>
      <c r="N1765" s="71">
        <f>Table1[[#This Row],[Quantity]]*Table1[[#This Row],[Unit Price]]</f>
        <v>1300324</v>
      </c>
      <c r="O1765" s="73">
        <v>0.13003239999999999</v>
      </c>
      <c r="P1765" s="70">
        <f>Table1[[#This Row],[Gross Amount]]*(1-(Table1[[#This Row],[Discount %]]/100))</f>
        <v>1222304.5599999998</v>
      </c>
      <c r="Q1765" s="74">
        <f>(Table1[[#This Row],[Gross Amount]]*(1-(Table1[[#This Row],[Discount %]]/100)))/10000000</f>
        <v>0.12223045599999999</v>
      </c>
      <c r="R1765" t="s">
        <v>25</v>
      </c>
      <c r="S1765" t="str" cm="1">
        <f t="array" ref="S1765">IFERROR(_xlfn.IFS(Table1[[#This Row],[Payment Status]]="Partial","In Transit",Table1[[#This Row],[Payment Status]]="Paid","Delivered",Table1[[#This Row],[Payment Status]]="Pending","Pending"),"Invalid Input")</f>
        <v>In Transit</v>
      </c>
      <c r="T1765" t="s">
        <v>27</v>
      </c>
      <c r="U1765" t="str" cm="1">
        <f t="array" ref="U1765">IFERROR(_xlfn.IFS(Table1[[#This Row],[Payment Status]]="Partial","In Transit",Table1[[#This Row],[Payment Status]]="Paid","Completed",Table1[[#This Row],[Payment Status]]="Pending","Pending"),"Invalid Input")</f>
        <v>In Transit</v>
      </c>
    </row>
    <row r="1766" spans="1:21" x14ac:dyDescent="0.25">
      <c r="A1766" s="4" t="s">
        <v>2916</v>
      </c>
      <c r="B1766" s="5">
        <v>45932</v>
      </c>
      <c r="C1766" t="s">
        <v>33</v>
      </c>
      <c r="D1766" t="s">
        <v>3271</v>
      </c>
      <c r="E1766" t="s">
        <v>66</v>
      </c>
      <c r="F1766" t="s">
        <v>3207</v>
      </c>
      <c r="G1766" t="s">
        <v>67</v>
      </c>
      <c r="H1766" t="str">
        <f>VLOOKUP(Table1[[#This Row],[City]],Table6[#All],2,FALSE)</f>
        <v>East</v>
      </c>
      <c r="I1766" t="s">
        <v>24</v>
      </c>
      <c r="J1766" t="str">
        <f>_xlfn.XLOOKUP(Table1[[#This Row],[Tractor Model]],Table7[Product Model],Table7[Product Category],"Not Available",0)</f>
        <v>Farmtrac</v>
      </c>
      <c r="K1766" s="4">
        <v>5</v>
      </c>
      <c r="L1766" s="72">
        <v>324327</v>
      </c>
      <c r="M1766" s="4">
        <f>INDEX('Master Sheet'!$C$4:$C$12,MATCH(Table1[[#This Row],[Quantity]],'Master Sheet'!$B$4:$B$12,0))</f>
        <v>7</v>
      </c>
      <c r="N1766" s="71">
        <f>Table1[[#This Row],[Quantity]]*Table1[[#This Row],[Unit Price]]</f>
        <v>1621635</v>
      </c>
      <c r="O1766" s="73">
        <v>0.16216349999999999</v>
      </c>
      <c r="P1766" s="70">
        <f>Table1[[#This Row],[Gross Amount]]*(1-(Table1[[#This Row],[Discount %]]/100))</f>
        <v>1508120.5499999998</v>
      </c>
      <c r="Q1766" s="74">
        <f>(Table1[[#This Row],[Gross Amount]]*(1-(Table1[[#This Row],[Discount %]]/100)))/10000000</f>
        <v>0.15081205499999997</v>
      </c>
      <c r="R1766" t="s">
        <v>54</v>
      </c>
      <c r="S1766" t="str" cm="1">
        <f t="array" ref="S1766">IFERROR(_xlfn.IFS(Table1[[#This Row],[Payment Status]]="Partial","In Transit",Table1[[#This Row],[Payment Status]]="Paid","Delivered",Table1[[#This Row],[Payment Status]]="Pending","Pending"),"Invalid Input")</f>
        <v>Delivered</v>
      </c>
      <c r="T1766" t="s">
        <v>27</v>
      </c>
      <c r="U1766" t="str" cm="1">
        <f t="array" ref="U1766">IFERROR(_xlfn.IFS(Table1[[#This Row],[Payment Status]]="Partial","In Transit",Table1[[#This Row],[Payment Status]]="Paid","Completed",Table1[[#This Row],[Payment Status]]="Pending","Pending"),"Invalid Input")</f>
        <v>Completed</v>
      </c>
    </row>
    <row r="1767" spans="1:21" x14ac:dyDescent="0.25">
      <c r="A1767" s="4" t="s">
        <v>2917</v>
      </c>
      <c r="B1767" s="5">
        <v>45704</v>
      </c>
      <c r="C1767" t="s">
        <v>62</v>
      </c>
      <c r="D1767" t="s">
        <v>3269</v>
      </c>
      <c r="E1767" t="s">
        <v>47</v>
      </c>
      <c r="F1767" t="s">
        <v>3209</v>
      </c>
      <c r="G1767" t="s">
        <v>48</v>
      </c>
      <c r="H1767" t="str">
        <f>VLOOKUP(Table1[[#This Row],[City]],Table6[#All],2,FALSE)</f>
        <v>North</v>
      </c>
      <c r="I1767" t="s">
        <v>58</v>
      </c>
      <c r="J1767" t="str">
        <f>_xlfn.XLOOKUP(Table1[[#This Row],[Tractor Model]],Table7[Product Model],Table7[Product Category],"Not Available",0)</f>
        <v>Powertrac</v>
      </c>
      <c r="K1767" s="4">
        <v>7</v>
      </c>
      <c r="L1767" s="72">
        <v>241304</v>
      </c>
      <c r="M1767" s="4">
        <f>INDEX('Master Sheet'!$C$4:$C$12,MATCH(Table1[[#This Row],[Quantity]],'Master Sheet'!$B$4:$B$12,0))</f>
        <v>9</v>
      </c>
      <c r="N1767" s="71">
        <f>Table1[[#This Row],[Quantity]]*Table1[[#This Row],[Unit Price]]</f>
        <v>1689128</v>
      </c>
      <c r="O1767" s="73">
        <v>0.1689128</v>
      </c>
      <c r="P1767" s="70">
        <f>Table1[[#This Row],[Gross Amount]]*(1-(Table1[[#This Row],[Discount %]]/100))</f>
        <v>1537106.48</v>
      </c>
      <c r="Q1767" s="74">
        <f>(Table1[[#This Row],[Gross Amount]]*(1-(Table1[[#This Row],[Discount %]]/100)))/10000000</f>
        <v>0.15371064800000001</v>
      </c>
      <c r="R1767" t="s">
        <v>42</v>
      </c>
      <c r="S1767" t="str" cm="1">
        <f t="array" ref="S1767">IFERROR(_xlfn.IFS(Table1[[#This Row],[Payment Status]]="Partial","In Transit",Table1[[#This Row],[Payment Status]]="Paid","Delivered",Table1[[#This Row],[Payment Status]]="Pending","Pending"),"Invalid Input")</f>
        <v>Pending</v>
      </c>
      <c r="T1767" t="s">
        <v>44</v>
      </c>
      <c r="U1767" t="str" cm="1">
        <f t="array" ref="U1767">IFERROR(_xlfn.IFS(Table1[[#This Row],[Payment Status]]="Partial","In Transit",Table1[[#This Row],[Payment Status]]="Paid","Completed",Table1[[#This Row],[Payment Status]]="Pending","Pending"),"Invalid Input")</f>
        <v>Pending</v>
      </c>
    </row>
    <row r="1768" spans="1:21" x14ac:dyDescent="0.25">
      <c r="A1768" s="4" t="s">
        <v>2918</v>
      </c>
      <c r="B1768" s="5">
        <v>45764</v>
      </c>
      <c r="C1768" t="s">
        <v>41</v>
      </c>
      <c r="D1768" t="s">
        <v>37</v>
      </c>
      <c r="E1768" t="s">
        <v>38</v>
      </c>
      <c r="F1768" t="s">
        <v>3214</v>
      </c>
      <c r="G1768" t="s">
        <v>39</v>
      </c>
      <c r="H1768" t="str">
        <f>VLOOKUP(Table1[[#This Row],[City]],Table6[#All],2,FALSE)</f>
        <v>West</v>
      </c>
      <c r="I1768" t="s">
        <v>3204</v>
      </c>
      <c r="J1768" t="str">
        <f>_xlfn.XLOOKUP(Table1[[#This Row],[Tractor Model]],Table7[Product Model],Table7[Product Category],"Not Available",0)</f>
        <v>Kubota</v>
      </c>
      <c r="K1768" s="4">
        <v>8</v>
      </c>
      <c r="L1768" s="72">
        <v>120017</v>
      </c>
      <c r="M1768" s="4">
        <f>INDEX('Master Sheet'!$C$4:$C$12,MATCH(Table1[[#This Row],[Quantity]],'Master Sheet'!$B$4:$B$12,0))</f>
        <v>9</v>
      </c>
      <c r="N1768" s="71">
        <f>Table1[[#This Row],[Quantity]]*Table1[[#This Row],[Unit Price]]</f>
        <v>960136</v>
      </c>
      <c r="O1768" s="73">
        <v>9.6013600000000004E-2</v>
      </c>
      <c r="P1768" s="70">
        <f>Table1[[#This Row],[Gross Amount]]*(1-(Table1[[#This Row],[Discount %]]/100))</f>
        <v>873723.76</v>
      </c>
      <c r="Q1768" s="74">
        <f>(Table1[[#This Row],[Gross Amount]]*(1-(Table1[[#This Row],[Discount %]]/100)))/10000000</f>
        <v>8.7372376000000002E-2</v>
      </c>
      <c r="R1768" t="s">
        <v>54</v>
      </c>
      <c r="S1768" t="str" cm="1">
        <f t="array" ref="S1768">IFERROR(_xlfn.IFS(Table1[[#This Row],[Payment Status]]="Partial","In Transit",Table1[[#This Row],[Payment Status]]="Paid","Delivered",Table1[[#This Row],[Payment Status]]="Pending","Pending"),"Invalid Input")</f>
        <v>Delivered</v>
      </c>
      <c r="T1768" t="s">
        <v>27</v>
      </c>
      <c r="U1768" t="str" cm="1">
        <f t="array" ref="U1768">IFERROR(_xlfn.IFS(Table1[[#This Row],[Payment Status]]="Partial","In Transit",Table1[[#This Row],[Payment Status]]="Paid","Completed",Table1[[#This Row],[Payment Status]]="Pending","Pending"),"Invalid Input")</f>
        <v>Completed</v>
      </c>
    </row>
    <row r="1769" spans="1:21" x14ac:dyDescent="0.25">
      <c r="A1769" s="4" t="s">
        <v>2919</v>
      </c>
      <c r="B1769" s="5">
        <v>45401</v>
      </c>
      <c r="C1769" t="s">
        <v>73</v>
      </c>
      <c r="D1769" t="s">
        <v>3269</v>
      </c>
      <c r="E1769" t="s">
        <v>38</v>
      </c>
      <c r="F1769" t="s">
        <v>3206</v>
      </c>
      <c r="G1769" t="s">
        <v>39</v>
      </c>
      <c r="H1769" t="str">
        <f>VLOOKUP(Table1[[#This Row],[City]],Table6[#All],2,FALSE)</f>
        <v>West</v>
      </c>
      <c r="I1769" t="s">
        <v>58</v>
      </c>
      <c r="J1769" t="str">
        <f>_xlfn.XLOOKUP(Table1[[#This Row],[Tractor Model]],Table7[Product Model],Table7[Product Category],"Not Available",0)</f>
        <v>Powertrac</v>
      </c>
      <c r="K1769" s="4">
        <v>3</v>
      </c>
      <c r="L1769" s="72">
        <v>765052</v>
      </c>
      <c r="M1769" s="4">
        <f>INDEX('Master Sheet'!$C$4:$C$12,MATCH(Table1[[#This Row],[Quantity]],'Master Sheet'!$B$4:$B$12,0))</f>
        <v>6</v>
      </c>
      <c r="N1769" s="71">
        <f>Table1[[#This Row],[Quantity]]*Table1[[#This Row],[Unit Price]]</f>
        <v>2295156</v>
      </c>
      <c r="O1769" s="73">
        <v>0.22951559999999999</v>
      </c>
      <c r="P1769" s="70">
        <f>Table1[[#This Row],[Gross Amount]]*(1-(Table1[[#This Row],[Discount %]]/100))</f>
        <v>2157446.6399999997</v>
      </c>
      <c r="Q1769" s="74">
        <f>(Table1[[#This Row],[Gross Amount]]*(1-(Table1[[#This Row],[Discount %]]/100)))/10000000</f>
        <v>0.21574466399999997</v>
      </c>
      <c r="R1769" t="s">
        <v>25</v>
      </c>
      <c r="S1769" t="str" cm="1">
        <f t="array" ref="S1769">IFERROR(_xlfn.IFS(Table1[[#This Row],[Payment Status]]="Partial","In Transit",Table1[[#This Row],[Payment Status]]="Paid","Delivered",Table1[[#This Row],[Payment Status]]="Pending","Pending"),"Invalid Input")</f>
        <v>In Transit</v>
      </c>
      <c r="T1769" t="s">
        <v>27</v>
      </c>
      <c r="U1769" t="str" cm="1">
        <f t="array" ref="U1769">IFERROR(_xlfn.IFS(Table1[[#This Row],[Payment Status]]="Partial","In Transit",Table1[[#This Row],[Payment Status]]="Paid","Completed",Table1[[#This Row],[Payment Status]]="Pending","Pending"),"Invalid Input")</f>
        <v>In Transit</v>
      </c>
    </row>
    <row r="1770" spans="1:21" x14ac:dyDescent="0.25">
      <c r="A1770" s="4" t="s">
        <v>2920</v>
      </c>
      <c r="B1770" s="5">
        <v>45361</v>
      </c>
      <c r="C1770" t="s">
        <v>52</v>
      </c>
      <c r="D1770" t="s">
        <v>3271</v>
      </c>
      <c r="E1770" t="s">
        <v>119</v>
      </c>
      <c r="F1770" t="s">
        <v>3228</v>
      </c>
      <c r="G1770" t="s">
        <v>21</v>
      </c>
      <c r="H1770" t="str">
        <f>VLOOKUP(Table1[[#This Row],[City]],Table6[#All],2,FALSE)</f>
        <v>North</v>
      </c>
      <c r="I1770" t="s">
        <v>24</v>
      </c>
      <c r="J1770" t="str">
        <f>_xlfn.XLOOKUP(Table1[[#This Row],[Tractor Model]],Table7[Product Model],Table7[Product Category],"Not Available",0)</f>
        <v>Farmtrac</v>
      </c>
      <c r="K1770" s="4">
        <v>6</v>
      </c>
      <c r="L1770" s="72">
        <v>239969</v>
      </c>
      <c r="M1770" s="4">
        <f>INDEX('Master Sheet'!$C$4:$C$12,MATCH(Table1[[#This Row],[Quantity]],'Master Sheet'!$B$4:$B$12,0))</f>
        <v>8</v>
      </c>
      <c r="N1770" s="71">
        <f>Table1[[#This Row],[Quantity]]*Table1[[#This Row],[Unit Price]]</f>
        <v>1439814</v>
      </c>
      <c r="O1770" s="73">
        <v>0.14398140000000001</v>
      </c>
      <c r="P1770" s="70">
        <f>Table1[[#This Row],[Gross Amount]]*(1-(Table1[[#This Row],[Discount %]]/100))</f>
        <v>1324628.8800000001</v>
      </c>
      <c r="Q1770" s="74">
        <f>(Table1[[#This Row],[Gross Amount]]*(1-(Table1[[#This Row],[Discount %]]/100)))/10000000</f>
        <v>0.132462888</v>
      </c>
      <c r="R1770" t="s">
        <v>54</v>
      </c>
      <c r="S1770" t="str" cm="1">
        <f t="array" ref="S1770">IFERROR(_xlfn.IFS(Table1[[#This Row],[Payment Status]]="Partial","In Transit",Table1[[#This Row],[Payment Status]]="Paid","Delivered",Table1[[#This Row],[Payment Status]]="Pending","Pending"),"Invalid Input")</f>
        <v>Delivered</v>
      </c>
      <c r="T1770" t="s">
        <v>27</v>
      </c>
      <c r="U1770" t="str" cm="1">
        <f t="array" ref="U1770">IFERROR(_xlfn.IFS(Table1[[#This Row],[Payment Status]]="Partial","In Transit",Table1[[#This Row],[Payment Status]]="Paid","Completed",Table1[[#This Row],[Payment Status]]="Pending","Pending"),"Invalid Input")</f>
        <v>Completed</v>
      </c>
    </row>
    <row r="1771" spans="1:21" x14ac:dyDescent="0.25">
      <c r="A1771" s="4" t="s">
        <v>2921</v>
      </c>
      <c r="B1771" s="5">
        <v>45567</v>
      </c>
      <c r="C1771" t="s">
        <v>62</v>
      </c>
      <c r="D1771" t="s">
        <v>37</v>
      </c>
      <c r="E1771" t="s">
        <v>38</v>
      </c>
      <c r="F1771" t="s">
        <v>3214</v>
      </c>
      <c r="G1771" t="s">
        <v>39</v>
      </c>
      <c r="H1771" t="str">
        <f>VLOOKUP(Table1[[#This Row],[City]],Table6[#All],2,FALSE)</f>
        <v>West</v>
      </c>
      <c r="I1771" t="s">
        <v>3203</v>
      </c>
      <c r="J1771" t="str">
        <f>_xlfn.XLOOKUP(Table1[[#This Row],[Tractor Model]],Table7[Product Model],Table7[Product Category],"Not Available",0)</f>
        <v>Kubota</v>
      </c>
      <c r="K1771" s="4">
        <v>8</v>
      </c>
      <c r="L1771" s="72">
        <v>114391</v>
      </c>
      <c r="M1771" s="4">
        <f>INDEX('Master Sheet'!$C$4:$C$12,MATCH(Table1[[#This Row],[Quantity]],'Master Sheet'!$B$4:$B$12,0))</f>
        <v>9</v>
      </c>
      <c r="N1771" s="71">
        <f>Table1[[#This Row],[Quantity]]*Table1[[#This Row],[Unit Price]]</f>
        <v>915128</v>
      </c>
      <c r="O1771" s="73">
        <v>9.1512800000000005E-2</v>
      </c>
      <c r="P1771" s="70">
        <f>Table1[[#This Row],[Gross Amount]]*(1-(Table1[[#This Row],[Discount %]]/100))</f>
        <v>832766.48</v>
      </c>
      <c r="Q1771" s="74">
        <f>(Table1[[#This Row],[Gross Amount]]*(1-(Table1[[#This Row],[Discount %]]/100)))/10000000</f>
        <v>8.3276647999999995E-2</v>
      </c>
      <c r="R1771" t="s">
        <v>42</v>
      </c>
      <c r="S1771" t="str" cm="1">
        <f t="array" ref="S1771">IFERROR(_xlfn.IFS(Table1[[#This Row],[Payment Status]]="Partial","In Transit",Table1[[#This Row],[Payment Status]]="Paid","Delivered",Table1[[#This Row],[Payment Status]]="Pending","Pending"),"Invalid Input")</f>
        <v>Pending</v>
      </c>
      <c r="T1771" t="s">
        <v>27</v>
      </c>
      <c r="U1771" t="str" cm="1">
        <f t="array" ref="U1771">IFERROR(_xlfn.IFS(Table1[[#This Row],[Payment Status]]="Partial","In Transit",Table1[[#This Row],[Payment Status]]="Paid","Completed",Table1[[#This Row],[Payment Status]]="Pending","Pending"),"Invalid Input")</f>
        <v>Pending</v>
      </c>
    </row>
    <row r="1772" spans="1:21" x14ac:dyDescent="0.25">
      <c r="A1772" s="4" t="s">
        <v>2922</v>
      </c>
      <c r="B1772" s="5">
        <v>45497</v>
      </c>
      <c r="C1772" t="s">
        <v>33</v>
      </c>
      <c r="D1772" t="s">
        <v>3269</v>
      </c>
      <c r="E1772" t="s">
        <v>47</v>
      </c>
      <c r="F1772" t="s">
        <v>3209</v>
      </c>
      <c r="G1772" t="s">
        <v>48</v>
      </c>
      <c r="H1772" t="str">
        <f>VLOOKUP(Table1[[#This Row],[City]],Table6[#All],2,FALSE)</f>
        <v>North</v>
      </c>
      <c r="I1772" t="s">
        <v>58</v>
      </c>
      <c r="J1772" t="str">
        <f>_xlfn.XLOOKUP(Table1[[#This Row],[Tractor Model]],Table7[Product Model],Table7[Product Category],"Not Available",0)</f>
        <v>Powertrac</v>
      </c>
      <c r="K1772" s="4">
        <v>5</v>
      </c>
      <c r="L1772" s="72">
        <v>492688</v>
      </c>
      <c r="M1772" s="4">
        <f>INDEX('Master Sheet'!$C$4:$C$12,MATCH(Table1[[#This Row],[Quantity]],'Master Sheet'!$B$4:$B$12,0))</f>
        <v>7</v>
      </c>
      <c r="N1772" s="71">
        <f>Table1[[#This Row],[Quantity]]*Table1[[#This Row],[Unit Price]]</f>
        <v>2463440</v>
      </c>
      <c r="O1772" s="73">
        <v>0.24634400000000001</v>
      </c>
      <c r="P1772" s="70">
        <f>Table1[[#This Row],[Gross Amount]]*(1-(Table1[[#This Row],[Discount %]]/100))</f>
        <v>2290999.1999999997</v>
      </c>
      <c r="Q1772" s="74">
        <f>(Table1[[#This Row],[Gross Amount]]*(1-(Table1[[#This Row],[Discount %]]/100)))/10000000</f>
        <v>0.22909991999999998</v>
      </c>
      <c r="R1772" t="s">
        <v>42</v>
      </c>
      <c r="S1772" t="str" cm="1">
        <f t="array" ref="S1772">IFERROR(_xlfn.IFS(Table1[[#This Row],[Payment Status]]="Partial","In Transit",Table1[[#This Row],[Payment Status]]="Paid","Delivered",Table1[[#This Row],[Payment Status]]="Pending","Pending"),"Invalid Input")</f>
        <v>Pending</v>
      </c>
      <c r="T1772" t="s">
        <v>27</v>
      </c>
      <c r="U1772" t="str" cm="1">
        <f t="array" ref="U1772">IFERROR(_xlfn.IFS(Table1[[#This Row],[Payment Status]]="Partial","In Transit",Table1[[#This Row],[Payment Status]]="Paid","Completed",Table1[[#This Row],[Payment Status]]="Pending","Pending"),"Invalid Input")</f>
        <v>Pending</v>
      </c>
    </row>
    <row r="1773" spans="1:21" x14ac:dyDescent="0.25">
      <c r="A1773" s="4" t="s">
        <v>2924</v>
      </c>
      <c r="B1773" s="5">
        <v>45485</v>
      </c>
      <c r="C1773" t="s">
        <v>41</v>
      </c>
      <c r="D1773" t="s">
        <v>37</v>
      </c>
      <c r="E1773" t="s">
        <v>30</v>
      </c>
      <c r="F1773" t="s">
        <v>3222</v>
      </c>
      <c r="G1773" t="s">
        <v>31</v>
      </c>
      <c r="H1773" t="str">
        <f>VLOOKUP(Table1[[#This Row],[City]],Table6[#All],2,FALSE)</f>
        <v>South</v>
      </c>
      <c r="I1773" t="s">
        <v>3204</v>
      </c>
      <c r="J1773" t="str">
        <f>_xlfn.XLOOKUP(Table1[[#This Row],[Tractor Model]],Table7[Product Model],Table7[Product Category],"Not Available",0)</f>
        <v>Kubota</v>
      </c>
      <c r="K1773" s="4">
        <v>4</v>
      </c>
      <c r="L1773" s="72">
        <v>826458</v>
      </c>
      <c r="M1773" s="4">
        <f>INDEX('Master Sheet'!$C$4:$C$12,MATCH(Table1[[#This Row],[Quantity]],'Master Sheet'!$B$4:$B$12,0))</f>
        <v>6</v>
      </c>
      <c r="N1773" s="71">
        <f>Table1[[#This Row],[Quantity]]*Table1[[#This Row],[Unit Price]]</f>
        <v>3305832</v>
      </c>
      <c r="O1773" s="73">
        <v>0.33058320000000002</v>
      </c>
      <c r="P1773" s="70">
        <f>Table1[[#This Row],[Gross Amount]]*(1-(Table1[[#This Row],[Discount %]]/100))</f>
        <v>3107482.0799999996</v>
      </c>
      <c r="Q1773" s="74">
        <f>(Table1[[#This Row],[Gross Amount]]*(1-(Table1[[#This Row],[Discount %]]/100)))/10000000</f>
        <v>0.31074820799999997</v>
      </c>
      <c r="R1773" t="s">
        <v>54</v>
      </c>
      <c r="S1773" t="str" cm="1">
        <f t="array" ref="S1773">IFERROR(_xlfn.IFS(Table1[[#This Row],[Payment Status]]="Partial","In Transit",Table1[[#This Row],[Payment Status]]="Paid","Delivered",Table1[[#This Row],[Payment Status]]="Pending","Pending"),"Invalid Input")</f>
        <v>Delivered</v>
      </c>
      <c r="T1773" t="s">
        <v>27</v>
      </c>
      <c r="U1773" t="str" cm="1">
        <f t="array" ref="U1773">IFERROR(_xlfn.IFS(Table1[[#This Row],[Payment Status]]="Partial","In Transit",Table1[[#This Row],[Payment Status]]="Paid","Completed",Table1[[#This Row],[Payment Status]]="Pending","Pending"),"Invalid Input")</f>
        <v>Completed</v>
      </c>
    </row>
    <row r="1774" spans="1:21" x14ac:dyDescent="0.25">
      <c r="A1774" s="4" t="s">
        <v>2926</v>
      </c>
      <c r="B1774" s="5">
        <v>45738</v>
      </c>
      <c r="C1774" t="s">
        <v>62</v>
      </c>
      <c r="D1774" t="s">
        <v>3268</v>
      </c>
      <c r="E1774" t="s">
        <v>119</v>
      </c>
      <c r="F1774" t="s">
        <v>3227</v>
      </c>
      <c r="G1774" t="s">
        <v>21</v>
      </c>
      <c r="H1774" t="str">
        <f>VLOOKUP(Table1[[#This Row],[City]],Table6[#All],2,FALSE)</f>
        <v>North</v>
      </c>
      <c r="I1774" t="s">
        <v>53</v>
      </c>
      <c r="J1774" t="str">
        <f>_xlfn.XLOOKUP(Table1[[#This Row],[Tractor Model]],Table7[Product Model],Table7[Product Category],"Not Available",0)</f>
        <v>Farmtrac</v>
      </c>
      <c r="K1774" s="4">
        <v>3</v>
      </c>
      <c r="L1774" s="72">
        <v>115484</v>
      </c>
      <c r="M1774" s="4">
        <f>INDEX('Master Sheet'!$C$4:$C$12,MATCH(Table1[[#This Row],[Quantity]],'Master Sheet'!$B$4:$B$12,0))</f>
        <v>6</v>
      </c>
      <c r="N1774" s="71">
        <f>Table1[[#This Row],[Quantity]]*Table1[[#This Row],[Unit Price]]</f>
        <v>346452</v>
      </c>
      <c r="O1774" s="73">
        <v>3.4645200000000001E-2</v>
      </c>
      <c r="P1774" s="70">
        <f>Table1[[#This Row],[Gross Amount]]*(1-(Table1[[#This Row],[Discount %]]/100))</f>
        <v>325664.88</v>
      </c>
      <c r="Q1774" s="74">
        <f>(Table1[[#This Row],[Gross Amount]]*(1-(Table1[[#This Row],[Discount %]]/100)))/10000000</f>
        <v>3.2566487999999998E-2</v>
      </c>
      <c r="R1774" t="s">
        <v>42</v>
      </c>
      <c r="S1774" t="str" cm="1">
        <f t="array" ref="S1774">IFERROR(_xlfn.IFS(Table1[[#This Row],[Payment Status]]="Partial","In Transit",Table1[[#This Row],[Payment Status]]="Paid","Delivered",Table1[[#This Row],[Payment Status]]="Pending","Pending"),"Invalid Input")</f>
        <v>Pending</v>
      </c>
      <c r="T1774" t="s">
        <v>27</v>
      </c>
      <c r="U1774" t="str" cm="1">
        <f t="array" ref="U1774">IFERROR(_xlfn.IFS(Table1[[#This Row],[Payment Status]]="Partial","In Transit",Table1[[#This Row],[Payment Status]]="Paid","Completed",Table1[[#This Row],[Payment Status]]="Pending","Pending"),"Invalid Input")</f>
        <v>Pending</v>
      </c>
    </row>
    <row r="1775" spans="1:21" x14ac:dyDescent="0.25">
      <c r="A1775" s="4" t="s">
        <v>2928</v>
      </c>
      <c r="B1775" s="5">
        <v>45751</v>
      </c>
      <c r="C1775" t="s">
        <v>33</v>
      </c>
      <c r="D1775" t="s">
        <v>3268</v>
      </c>
      <c r="E1775" t="s">
        <v>119</v>
      </c>
      <c r="F1775" t="s">
        <v>3227</v>
      </c>
      <c r="G1775" t="s">
        <v>21</v>
      </c>
      <c r="H1775" t="str">
        <f>VLOOKUP(Table1[[#This Row],[City]],Table6[#All],2,FALSE)</f>
        <v>North</v>
      </c>
      <c r="I1775" t="s">
        <v>53</v>
      </c>
      <c r="J1775" t="str">
        <f>_xlfn.XLOOKUP(Table1[[#This Row],[Tractor Model]],Table7[Product Model],Table7[Product Category],"Not Available",0)</f>
        <v>Farmtrac</v>
      </c>
      <c r="K1775" s="4">
        <v>6</v>
      </c>
      <c r="L1775" s="72">
        <v>296742</v>
      </c>
      <c r="M1775" s="4">
        <f>INDEX('Master Sheet'!$C$4:$C$12,MATCH(Table1[[#This Row],[Quantity]],'Master Sheet'!$B$4:$B$12,0))</f>
        <v>8</v>
      </c>
      <c r="N1775" s="71">
        <f>Table1[[#This Row],[Quantity]]*Table1[[#This Row],[Unit Price]]</f>
        <v>1780452</v>
      </c>
      <c r="O1775" s="73">
        <v>0.17804519999999999</v>
      </c>
      <c r="P1775" s="70">
        <f>Table1[[#This Row],[Gross Amount]]*(1-(Table1[[#This Row],[Discount %]]/100))</f>
        <v>1638015.84</v>
      </c>
      <c r="Q1775" s="74">
        <f>(Table1[[#This Row],[Gross Amount]]*(1-(Table1[[#This Row],[Discount %]]/100)))/10000000</f>
        <v>0.163801584</v>
      </c>
      <c r="R1775" t="s">
        <v>25</v>
      </c>
      <c r="S1775" t="str" cm="1">
        <f t="array" ref="S1775">IFERROR(_xlfn.IFS(Table1[[#This Row],[Payment Status]]="Partial","In Transit",Table1[[#This Row],[Payment Status]]="Paid","Delivered",Table1[[#This Row],[Payment Status]]="Pending","Pending"),"Invalid Input")</f>
        <v>In Transit</v>
      </c>
      <c r="T1775" t="s">
        <v>44</v>
      </c>
      <c r="U1775" t="str" cm="1">
        <f t="array" ref="U1775">IFERROR(_xlfn.IFS(Table1[[#This Row],[Payment Status]]="Partial","In Transit",Table1[[#This Row],[Payment Status]]="Paid","Completed",Table1[[#This Row],[Payment Status]]="Pending","Pending"),"Invalid Input")</f>
        <v>In Transit</v>
      </c>
    </row>
    <row r="1776" spans="1:21" x14ac:dyDescent="0.25">
      <c r="A1776" s="4" t="s">
        <v>2930</v>
      </c>
      <c r="B1776" s="5">
        <v>45362</v>
      </c>
      <c r="C1776" t="s">
        <v>33</v>
      </c>
      <c r="D1776" t="s">
        <v>3269</v>
      </c>
      <c r="E1776" t="s">
        <v>47</v>
      </c>
      <c r="F1776" t="s">
        <v>3209</v>
      </c>
      <c r="G1776" t="s">
        <v>48</v>
      </c>
      <c r="H1776" t="str">
        <f>VLOOKUP(Table1[[#This Row],[City]],Table6[#All],2,FALSE)</f>
        <v>North</v>
      </c>
      <c r="I1776" t="s">
        <v>58</v>
      </c>
      <c r="J1776" t="str">
        <f>_xlfn.XLOOKUP(Table1[[#This Row],[Tractor Model]],Table7[Product Model],Table7[Product Category],"Not Available",0)</f>
        <v>Powertrac</v>
      </c>
      <c r="K1776" s="4">
        <v>8</v>
      </c>
      <c r="L1776" s="72">
        <v>530808</v>
      </c>
      <c r="M1776" s="4">
        <f>INDEX('Master Sheet'!$C$4:$C$12,MATCH(Table1[[#This Row],[Quantity]],'Master Sheet'!$B$4:$B$12,0))</f>
        <v>9</v>
      </c>
      <c r="N1776" s="71">
        <f>Table1[[#This Row],[Quantity]]*Table1[[#This Row],[Unit Price]]</f>
        <v>4246464</v>
      </c>
      <c r="O1776" s="73">
        <v>0.42464639999999998</v>
      </c>
      <c r="P1776" s="70">
        <f>Table1[[#This Row],[Gross Amount]]*(1-(Table1[[#This Row],[Discount %]]/100))</f>
        <v>3864282.24</v>
      </c>
      <c r="Q1776" s="74">
        <f>(Table1[[#This Row],[Gross Amount]]*(1-(Table1[[#This Row],[Discount %]]/100)))/10000000</f>
        <v>0.38642822400000004</v>
      </c>
      <c r="R1776" t="s">
        <v>42</v>
      </c>
      <c r="S1776" t="str" cm="1">
        <f t="array" ref="S1776">IFERROR(_xlfn.IFS(Table1[[#This Row],[Payment Status]]="Partial","In Transit",Table1[[#This Row],[Payment Status]]="Paid","Delivered",Table1[[#This Row],[Payment Status]]="Pending","Pending"),"Invalid Input")</f>
        <v>Pending</v>
      </c>
      <c r="T1776" t="s">
        <v>27</v>
      </c>
      <c r="U1776" t="str" cm="1">
        <f t="array" ref="U1776">IFERROR(_xlfn.IFS(Table1[[#This Row],[Payment Status]]="Partial","In Transit",Table1[[#This Row],[Payment Status]]="Paid","Completed",Table1[[#This Row],[Payment Status]]="Pending","Pending"),"Invalid Input")</f>
        <v>Pending</v>
      </c>
    </row>
    <row r="1777" spans="1:21" x14ac:dyDescent="0.25">
      <c r="A1777" s="4" t="s">
        <v>2931</v>
      </c>
      <c r="B1777" s="5">
        <v>45558</v>
      </c>
      <c r="C1777" t="s">
        <v>52</v>
      </c>
      <c r="D1777" t="s">
        <v>3270</v>
      </c>
      <c r="E1777" t="s">
        <v>66</v>
      </c>
      <c r="F1777" t="s">
        <v>3220</v>
      </c>
      <c r="G1777" t="s">
        <v>67</v>
      </c>
      <c r="H1777" t="str">
        <f>VLOOKUP(Table1[[#This Row],[City]],Table6[#All],2,FALSE)</f>
        <v>East</v>
      </c>
      <c r="I1777" t="s">
        <v>53</v>
      </c>
      <c r="J1777" t="str">
        <f>_xlfn.XLOOKUP(Table1[[#This Row],[Tractor Model]],Table7[Product Model],Table7[Product Category],"Not Available",0)</f>
        <v>Farmtrac</v>
      </c>
      <c r="K1777" s="4">
        <v>3</v>
      </c>
      <c r="L1777" s="72">
        <v>770028</v>
      </c>
      <c r="M1777" s="4">
        <f>INDEX('Master Sheet'!$C$4:$C$12,MATCH(Table1[[#This Row],[Quantity]],'Master Sheet'!$B$4:$B$12,0))</f>
        <v>6</v>
      </c>
      <c r="N1777" s="71">
        <f>Table1[[#This Row],[Quantity]]*Table1[[#This Row],[Unit Price]]</f>
        <v>2310084</v>
      </c>
      <c r="O1777" s="73">
        <v>0.2310084</v>
      </c>
      <c r="P1777" s="70">
        <f>Table1[[#This Row],[Gross Amount]]*(1-(Table1[[#This Row],[Discount %]]/100))</f>
        <v>2171478.96</v>
      </c>
      <c r="Q1777" s="74">
        <f>(Table1[[#This Row],[Gross Amount]]*(1-(Table1[[#This Row],[Discount %]]/100)))/10000000</f>
        <v>0.21714789600000001</v>
      </c>
      <c r="R1777" t="s">
        <v>42</v>
      </c>
      <c r="S1777" t="str" cm="1">
        <f t="array" ref="S1777">IFERROR(_xlfn.IFS(Table1[[#This Row],[Payment Status]]="Partial","In Transit",Table1[[#This Row],[Payment Status]]="Paid","Delivered",Table1[[#This Row],[Payment Status]]="Pending","Pending"),"Invalid Input")</f>
        <v>Pending</v>
      </c>
      <c r="T1777" t="s">
        <v>44</v>
      </c>
      <c r="U1777" t="str" cm="1">
        <f t="array" ref="U1777">IFERROR(_xlfn.IFS(Table1[[#This Row],[Payment Status]]="Partial","In Transit",Table1[[#This Row],[Payment Status]]="Paid","Completed",Table1[[#This Row],[Payment Status]]="Pending","Pending"),"Invalid Input")</f>
        <v>Pending</v>
      </c>
    </row>
    <row r="1778" spans="1:21" x14ac:dyDescent="0.25">
      <c r="A1778" s="4" t="s">
        <v>2933</v>
      </c>
      <c r="B1778" s="5">
        <v>45563</v>
      </c>
      <c r="C1778" t="s">
        <v>52</v>
      </c>
      <c r="D1778" t="s">
        <v>3270</v>
      </c>
      <c r="E1778" t="s">
        <v>38</v>
      </c>
      <c r="F1778" t="s">
        <v>3218</v>
      </c>
      <c r="G1778" t="s">
        <v>39</v>
      </c>
      <c r="H1778" t="str">
        <f>VLOOKUP(Table1[[#This Row],[City]],Table6[#All],2,FALSE)</f>
        <v>West</v>
      </c>
      <c r="I1778" t="s">
        <v>3203</v>
      </c>
      <c r="J1778" t="str">
        <f>_xlfn.XLOOKUP(Table1[[#This Row],[Tractor Model]],Table7[Product Model],Table7[Product Category],"Not Available",0)</f>
        <v>Kubota</v>
      </c>
      <c r="K1778" s="4">
        <v>3</v>
      </c>
      <c r="L1778" s="72">
        <v>206113</v>
      </c>
      <c r="M1778" s="4">
        <f>INDEX('Master Sheet'!$C$4:$C$12,MATCH(Table1[[#This Row],[Quantity]],'Master Sheet'!$B$4:$B$12,0))</f>
        <v>6</v>
      </c>
      <c r="N1778" s="71">
        <f>Table1[[#This Row],[Quantity]]*Table1[[#This Row],[Unit Price]]</f>
        <v>618339</v>
      </c>
      <c r="O1778" s="73">
        <v>6.1833899999999997E-2</v>
      </c>
      <c r="P1778" s="70">
        <f>Table1[[#This Row],[Gross Amount]]*(1-(Table1[[#This Row],[Discount %]]/100))</f>
        <v>581238.65999999992</v>
      </c>
      <c r="Q1778" s="74">
        <f>(Table1[[#This Row],[Gross Amount]]*(1-(Table1[[#This Row],[Discount %]]/100)))/10000000</f>
        <v>5.8123865999999989E-2</v>
      </c>
      <c r="R1778" t="s">
        <v>25</v>
      </c>
      <c r="S1778" t="str" cm="1">
        <f t="array" ref="S1778">IFERROR(_xlfn.IFS(Table1[[#This Row],[Payment Status]]="Partial","In Transit",Table1[[#This Row],[Payment Status]]="Paid","Delivered",Table1[[#This Row],[Payment Status]]="Pending","Pending"),"Invalid Input")</f>
        <v>In Transit</v>
      </c>
      <c r="T1778" t="s">
        <v>44</v>
      </c>
      <c r="U1778" t="str" cm="1">
        <f t="array" ref="U1778">IFERROR(_xlfn.IFS(Table1[[#This Row],[Payment Status]]="Partial","In Transit",Table1[[#This Row],[Payment Status]]="Paid","Completed",Table1[[#This Row],[Payment Status]]="Pending","Pending"),"Invalid Input")</f>
        <v>In Transit</v>
      </c>
    </row>
    <row r="1779" spans="1:21" x14ac:dyDescent="0.25">
      <c r="A1779" s="4" t="s">
        <v>2935</v>
      </c>
      <c r="B1779" s="5">
        <v>45474</v>
      </c>
      <c r="C1779" t="s">
        <v>41</v>
      </c>
      <c r="D1779" t="s">
        <v>3270</v>
      </c>
      <c r="E1779" t="s">
        <v>66</v>
      </c>
      <c r="F1779" t="s">
        <v>3220</v>
      </c>
      <c r="G1779" t="s">
        <v>67</v>
      </c>
      <c r="H1779" t="str">
        <f>VLOOKUP(Table1[[#This Row],[City]],Table6[#All],2,FALSE)</f>
        <v>East</v>
      </c>
      <c r="I1779" t="s">
        <v>24</v>
      </c>
      <c r="J1779" t="str">
        <f>_xlfn.XLOOKUP(Table1[[#This Row],[Tractor Model]],Table7[Product Model],Table7[Product Category],"Not Available",0)</f>
        <v>Farmtrac</v>
      </c>
      <c r="K1779" s="4">
        <v>7</v>
      </c>
      <c r="L1779" s="72">
        <v>389311</v>
      </c>
      <c r="M1779" s="4">
        <f>INDEX('Master Sheet'!$C$4:$C$12,MATCH(Table1[[#This Row],[Quantity]],'Master Sheet'!$B$4:$B$12,0))</f>
        <v>9</v>
      </c>
      <c r="N1779" s="71">
        <f>Table1[[#This Row],[Quantity]]*Table1[[#This Row],[Unit Price]]</f>
        <v>2725177</v>
      </c>
      <c r="O1779" s="73">
        <v>0.27251769999999997</v>
      </c>
      <c r="P1779" s="70">
        <f>Table1[[#This Row],[Gross Amount]]*(1-(Table1[[#This Row],[Discount %]]/100))</f>
        <v>2479911.0700000003</v>
      </c>
      <c r="Q1779" s="74">
        <f>(Table1[[#This Row],[Gross Amount]]*(1-(Table1[[#This Row],[Discount %]]/100)))/10000000</f>
        <v>0.24799110700000002</v>
      </c>
      <c r="R1779" t="s">
        <v>54</v>
      </c>
      <c r="S1779" t="str" cm="1">
        <f t="array" ref="S1779">IFERROR(_xlfn.IFS(Table1[[#This Row],[Payment Status]]="Partial","In Transit",Table1[[#This Row],[Payment Status]]="Paid","Delivered",Table1[[#This Row],[Payment Status]]="Pending","Pending"),"Invalid Input")</f>
        <v>Delivered</v>
      </c>
      <c r="T1779" t="s">
        <v>27</v>
      </c>
      <c r="U1779" t="str" cm="1">
        <f t="array" ref="U1779">IFERROR(_xlfn.IFS(Table1[[#This Row],[Payment Status]]="Partial","In Transit",Table1[[#This Row],[Payment Status]]="Paid","Completed",Table1[[#This Row],[Payment Status]]="Pending","Pending"),"Invalid Input")</f>
        <v>Completed</v>
      </c>
    </row>
    <row r="1780" spans="1:21" x14ac:dyDescent="0.25">
      <c r="A1780" s="4" t="s">
        <v>2937</v>
      </c>
      <c r="B1780" s="5">
        <v>45755</v>
      </c>
      <c r="C1780" t="s">
        <v>41</v>
      </c>
      <c r="D1780" t="s">
        <v>37</v>
      </c>
      <c r="E1780" t="s">
        <v>30</v>
      </c>
      <c r="F1780" t="s">
        <v>3222</v>
      </c>
      <c r="G1780" t="s">
        <v>31</v>
      </c>
      <c r="H1780" t="str">
        <f>VLOOKUP(Table1[[#This Row],[City]],Table6[#All],2,FALSE)</f>
        <v>South</v>
      </c>
      <c r="I1780" t="s">
        <v>58</v>
      </c>
      <c r="J1780" t="str">
        <f>_xlfn.XLOOKUP(Table1[[#This Row],[Tractor Model]],Table7[Product Model],Table7[Product Category],"Not Available",0)</f>
        <v>Powertrac</v>
      </c>
      <c r="K1780" s="4">
        <v>2</v>
      </c>
      <c r="L1780" s="72">
        <v>564800</v>
      </c>
      <c r="M1780" s="4">
        <f>INDEX('Master Sheet'!$C$4:$C$12,MATCH(Table1[[#This Row],[Quantity]],'Master Sheet'!$B$4:$B$12,0))</f>
        <v>5</v>
      </c>
      <c r="N1780" s="71">
        <f>Table1[[#This Row],[Quantity]]*Table1[[#This Row],[Unit Price]]</f>
        <v>1129600</v>
      </c>
      <c r="O1780" s="73">
        <v>0.11296</v>
      </c>
      <c r="P1780" s="70">
        <f>Table1[[#This Row],[Gross Amount]]*(1-(Table1[[#This Row],[Discount %]]/100))</f>
        <v>1073120</v>
      </c>
      <c r="Q1780" s="74">
        <f>(Table1[[#This Row],[Gross Amount]]*(1-(Table1[[#This Row],[Discount %]]/100)))/10000000</f>
        <v>0.107312</v>
      </c>
      <c r="R1780" t="s">
        <v>25</v>
      </c>
      <c r="S1780" t="str" cm="1">
        <f t="array" ref="S1780">IFERROR(_xlfn.IFS(Table1[[#This Row],[Payment Status]]="Partial","In Transit",Table1[[#This Row],[Payment Status]]="Paid","Delivered",Table1[[#This Row],[Payment Status]]="Pending","Pending"),"Invalid Input")</f>
        <v>In Transit</v>
      </c>
      <c r="T1780" t="s">
        <v>27</v>
      </c>
      <c r="U1780" t="str" cm="1">
        <f t="array" ref="U1780">IFERROR(_xlfn.IFS(Table1[[#This Row],[Payment Status]]="Partial","In Transit",Table1[[#This Row],[Payment Status]]="Paid","Completed",Table1[[#This Row],[Payment Status]]="Pending","Pending"),"Invalid Input")</f>
        <v>In Transit</v>
      </c>
    </row>
    <row r="1781" spans="1:21" x14ac:dyDescent="0.25">
      <c r="A1781" s="4" t="s">
        <v>2938</v>
      </c>
      <c r="B1781" s="5">
        <v>45511</v>
      </c>
      <c r="C1781" t="s">
        <v>73</v>
      </c>
      <c r="D1781" t="s">
        <v>3271</v>
      </c>
      <c r="E1781" t="s">
        <v>66</v>
      </c>
      <c r="F1781" t="s">
        <v>3207</v>
      </c>
      <c r="G1781" t="s">
        <v>67</v>
      </c>
      <c r="H1781" t="str">
        <f>VLOOKUP(Table1[[#This Row],[City]],Table6[#All],2,FALSE)</f>
        <v>East</v>
      </c>
      <c r="I1781" t="s">
        <v>3204</v>
      </c>
      <c r="J1781" t="str">
        <f>_xlfn.XLOOKUP(Table1[[#This Row],[Tractor Model]],Table7[Product Model],Table7[Product Category],"Not Available",0)</f>
        <v>Kubota</v>
      </c>
      <c r="K1781" s="4">
        <v>6</v>
      </c>
      <c r="L1781" s="72">
        <v>607859</v>
      </c>
      <c r="M1781" s="4">
        <f>INDEX('Master Sheet'!$C$4:$C$12,MATCH(Table1[[#This Row],[Quantity]],'Master Sheet'!$B$4:$B$12,0))</f>
        <v>8</v>
      </c>
      <c r="N1781" s="71">
        <f>Table1[[#This Row],[Quantity]]*Table1[[#This Row],[Unit Price]]</f>
        <v>3647154</v>
      </c>
      <c r="O1781" s="73">
        <v>0.36471540000000002</v>
      </c>
      <c r="P1781" s="70">
        <f>Table1[[#This Row],[Gross Amount]]*(1-(Table1[[#This Row],[Discount %]]/100))</f>
        <v>3355381.68</v>
      </c>
      <c r="Q1781" s="74">
        <f>(Table1[[#This Row],[Gross Amount]]*(1-(Table1[[#This Row],[Discount %]]/100)))/10000000</f>
        <v>0.33553816800000003</v>
      </c>
      <c r="R1781" t="s">
        <v>25</v>
      </c>
      <c r="S1781" t="str" cm="1">
        <f t="array" ref="S1781">IFERROR(_xlfn.IFS(Table1[[#This Row],[Payment Status]]="Partial","In Transit",Table1[[#This Row],[Payment Status]]="Paid","Delivered",Table1[[#This Row],[Payment Status]]="Pending","Pending"),"Invalid Input")</f>
        <v>In Transit</v>
      </c>
      <c r="T1781" t="s">
        <v>44</v>
      </c>
      <c r="U1781" t="str" cm="1">
        <f t="array" ref="U1781">IFERROR(_xlfn.IFS(Table1[[#This Row],[Payment Status]]="Partial","In Transit",Table1[[#This Row],[Payment Status]]="Paid","Completed",Table1[[#This Row],[Payment Status]]="Pending","Pending"),"Invalid Input")</f>
        <v>In Transit</v>
      </c>
    </row>
    <row r="1782" spans="1:21" x14ac:dyDescent="0.25">
      <c r="A1782" s="4" t="s">
        <v>2939</v>
      </c>
      <c r="B1782" s="5">
        <v>45831</v>
      </c>
      <c r="C1782" t="s">
        <v>62</v>
      </c>
      <c r="D1782" t="s">
        <v>3271</v>
      </c>
      <c r="E1782" t="s">
        <v>47</v>
      </c>
      <c r="F1782" t="s">
        <v>3221</v>
      </c>
      <c r="G1782" t="s">
        <v>48</v>
      </c>
      <c r="H1782" t="str">
        <f>VLOOKUP(Table1[[#This Row],[City]],Table6[#All],2,FALSE)</f>
        <v>North</v>
      </c>
      <c r="I1782" t="s">
        <v>3204</v>
      </c>
      <c r="J1782" t="str">
        <f>_xlfn.XLOOKUP(Table1[[#This Row],[Tractor Model]],Table7[Product Model],Table7[Product Category],"Not Available",0)</f>
        <v>Kubota</v>
      </c>
      <c r="K1782" s="4">
        <v>3</v>
      </c>
      <c r="L1782" s="72">
        <v>514048</v>
      </c>
      <c r="M1782" s="4">
        <f>INDEX('Master Sheet'!$C$4:$C$12,MATCH(Table1[[#This Row],[Quantity]],'Master Sheet'!$B$4:$B$12,0))</f>
        <v>6</v>
      </c>
      <c r="N1782" s="71">
        <f>Table1[[#This Row],[Quantity]]*Table1[[#This Row],[Unit Price]]</f>
        <v>1542144</v>
      </c>
      <c r="O1782" s="73">
        <v>0.1542144</v>
      </c>
      <c r="P1782" s="70">
        <f>Table1[[#This Row],[Gross Amount]]*(1-(Table1[[#This Row],[Discount %]]/100))</f>
        <v>1449615.3599999999</v>
      </c>
      <c r="Q1782" s="74">
        <f>(Table1[[#This Row],[Gross Amount]]*(1-(Table1[[#This Row],[Discount %]]/100)))/10000000</f>
        <v>0.14496153599999997</v>
      </c>
      <c r="R1782" t="s">
        <v>54</v>
      </c>
      <c r="S1782" t="str" cm="1">
        <f t="array" ref="S1782">IFERROR(_xlfn.IFS(Table1[[#This Row],[Payment Status]]="Partial","In Transit",Table1[[#This Row],[Payment Status]]="Paid","Delivered",Table1[[#This Row],[Payment Status]]="Pending","Pending"),"Invalid Input")</f>
        <v>Delivered</v>
      </c>
      <c r="T1782" t="s">
        <v>44</v>
      </c>
      <c r="U1782" t="str" cm="1">
        <f t="array" ref="U1782">IFERROR(_xlfn.IFS(Table1[[#This Row],[Payment Status]]="Partial","In Transit",Table1[[#This Row],[Payment Status]]="Paid","Completed",Table1[[#This Row],[Payment Status]]="Pending","Pending"),"Invalid Input")</f>
        <v>Completed</v>
      </c>
    </row>
    <row r="1783" spans="1:21" x14ac:dyDescent="0.25">
      <c r="A1783" s="4" t="s">
        <v>2940</v>
      </c>
      <c r="B1783" s="5">
        <v>45583</v>
      </c>
      <c r="C1783" t="s">
        <v>41</v>
      </c>
      <c r="D1783" t="s">
        <v>3269</v>
      </c>
      <c r="E1783" t="s">
        <v>38</v>
      </c>
      <c r="F1783" t="s">
        <v>3206</v>
      </c>
      <c r="G1783" t="s">
        <v>39</v>
      </c>
      <c r="H1783" t="str">
        <f>VLOOKUP(Table1[[#This Row],[City]],Table6[#All],2,FALSE)</f>
        <v>West</v>
      </c>
      <c r="I1783" t="s">
        <v>58</v>
      </c>
      <c r="J1783" t="str">
        <f>_xlfn.XLOOKUP(Table1[[#This Row],[Tractor Model]],Table7[Product Model],Table7[Product Category],"Not Available",0)</f>
        <v>Powertrac</v>
      </c>
      <c r="K1783" s="4">
        <v>5</v>
      </c>
      <c r="L1783" s="72">
        <v>494299</v>
      </c>
      <c r="M1783" s="4">
        <f>INDEX('Master Sheet'!$C$4:$C$12,MATCH(Table1[[#This Row],[Quantity]],'Master Sheet'!$B$4:$B$12,0))</f>
        <v>7</v>
      </c>
      <c r="N1783" s="71">
        <f>Table1[[#This Row],[Quantity]]*Table1[[#This Row],[Unit Price]]</f>
        <v>2471495</v>
      </c>
      <c r="O1783" s="73">
        <v>0.24714949999999999</v>
      </c>
      <c r="P1783" s="70">
        <f>Table1[[#This Row],[Gross Amount]]*(1-(Table1[[#This Row],[Discount %]]/100))</f>
        <v>2298490.3499999996</v>
      </c>
      <c r="Q1783" s="74">
        <f>(Table1[[#This Row],[Gross Amount]]*(1-(Table1[[#This Row],[Discount %]]/100)))/10000000</f>
        <v>0.22984903499999995</v>
      </c>
      <c r="R1783" t="s">
        <v>25</v>
      </c>
      <c r="S1783" t="str" cm="1">
        <f t="array" ref="S1783">IFERROR(_xlfn.IFS(Table1[[#This Row],[Payment Status]]="Partial","In Transit",Table1[[#This Row],[Payment Status]]="Paid","Delivered",Table1[[#This Row],[Payment Status]]="Pending","Pending"),"Invalid Input")</f>
        <v>In Transit</v>
      </c>
      <c r="T1783" t="s">
        <v>44</v>
      </c>
      <c r="U1783" t="str" cm="1">
        <f t="array" ref="U1783">IFERROR(_xlfn.IFS(Table1[[#This Row],[Payment Status]]="Partial","In Transit",Table1[[#This Row],[Payment Status]]="Paid","Completed",Table1[[#This Row],[Payment Status]]="Pending","Pending"),"Invalid Input")</f>
        <v>In Transit</v>
      </c>
    </row>
    <row r="1784" spans="1:21" x14ac:dyDescent="0.25">
      <c r="A1784" s="4" t="s">
        <v>2941</v>
      </c>
      <c r="B1784" s="5">
        <v>45719</v>
      </c>
      <c r="C1784" t="s">
        <v>73</v>
      </c>
      <c r="D1784" t="s">
        <v>3270</v>
      </c>
      <c r="E1784" t="s">
        <v>30</v>
      </c>
      <c r="F1784" t="s">
        <v>3223</v>
      </c>
      <c r="G1784" t="s">
        <v>31</v>
      </c>
      <c r="H1784" t="str">
        <f>VLOOKUP(Table1[[#This Row],[City]],Table6[#All],2,FALSE)</f>
        <v>South</v>
      </c>
      <c r="I1784" t="s">
        <v>3204</v>
      </c>
      <c r="J1784" t="str">
        <f>_xlfn.XLOOKUP(Table1[[#This Row],[Tractor Model]],Table7[Product Model],Table7[Product Category],"Not Available",0)</f>
        <v>Kubota</v>
      </c>
      <c r="K1784" s="4">
        <v>2</v>
      </c>
      <c r="L1784" s="72">
        <v>505434</v>
      </c>
      <c r="M1784" s="4">
        <f>INDEX('Master Sheet'!$C$4:$C$12,MATCH(Table1[[#This Row],[Quantity]],'Master Sheet'!$B$4:$B$12,0))</f>
        <v>5</v>
      </c>
      <c r="N1784" s="71">
        <f>Table1[[#This Row],[Quantity]]*Table1[[#This Row],[Unit Price]]</f>
        <v>1010868</v>
      </c>
      <c r="O1784" s="73">
        <v>0.1010868</v>
      </c>
      <c r="P1784" s="70">
        <f>Table1[[#This Row],[Gross Amount]]*(1-(Table1[[#This Row],[Discount %]]/100))</f>
        <v>960324.6</v>
      </c>
      <c r="Q1784" s="74">
        <f>(Table1[[#This Row],[Gross Amount]]*(1-(Table1[[#This Row],[Discount %]]/100)))/10000000</f>
        <v>9.603246E-2</v>
      </c>
      <c r="R1784" t="s">
        <v>42</v>
      </c>
      <c r="S1784" t="str" cm="1">
        <f t="array" ref="S1784">IFERROR(_xlfn.IFS(Table1[[#This Row],[Payment Status]]="Partial","In Transit",Table1[[#This Row],[Payment Status]]="Paid","Delivered",Table1[[#This Row],[Payment Status]]="Pending","Pending"),"Invalid Input")</f>
        <v>Pending</v>
      </c>
      <c r="T1784" t="s">
        <v>27</v>
      </c>
      <c r="U1784" t="str" cm="1">
        <f t="array" ref="U1784">IFERROR(_xlfn.IFS(Table1[[#This Row],[Payment Status]]="Partial","In Transit",Table1[[#This Row],[Payment Status]]="Paid","Completed",Table1[[#This Row],[Payment Status]]="Pending","Pending"),"Invalid Input")</f>
        <v>Pending</v>
      </c>
    </row>
    <row r="1785" spans="1:21" x14ac:dyDescent="0.25">
      <c r="A1785" s="4" t="s">
        <v>2942</v>
      </c>
      <c r="B1785" s="5">
        <v>45446</v>
      </c>
      <c r="C1785" t="s">
        <v>52</v>
      </c>
      <c r="D1785" t="s">
        <v>3269</v>
      </c>
      <c r="E1785" t="s">
        <v>38</v>
      </c>
      <c r="F1785" t="s">
        <v>3206</v>
      </c>
      <c r="G1785" t="s">
        <v>39</v>
      </c>
      <c r="H1785" t="str">
        <f>VLOOKUP(Table1[[#This Row],[City]],Table6[#All],2,FALSE)</f>
        <v>West</v>
      </c>
      <c r="I1785" t="s">
        <v>3203</v>
      </c>
      <c r="J1785" t="str">
        <f>_xlfn.XLOOKUP(Table1[[#This Row],[Tractor Model]],Table7[Product Model],Table7[Product Category],"Not Available",0)</f>
        <v>Kubota</v>
      </c>
      <c r="K1785" s="4">
        <v>3</v>
      </c>
      <c r="L1785" s="72">
        <v>589338</v>
      </c>
      <c r="M1785" s="4">
        <f>INDEX('Master Sheet'!$C$4:$C$12,MATCH(Table1[[#This Row],[Quantity]],'Master Sheet'!$B$4:$B$12,0))</f>
        <v>6</v>
      </c>
      <c r="N1785" s="71">
        <f>Table1[[#This Row],[Quantity]]*Table1[[#This Row],[Unit Price]]</f>
        <v>1768014</v>
      </c>
      <c r="O1785" s="73">
        <v>0.1768014</v>
      </c>
      <c r="P1785" s="70">
        <f>Table1[[#This Row],[Gross Amount]]*(1-(Table1[[#This Row],[Discount %]]/100))</f>
        <v>1661933.16</v>
      </c>
      <c r="Q1785" s="74">
        <f>(Table1[[#This Row],[Gross Amount]]*(1-(Table1[[#This Row],[Discount %]]/100)))/10000000</f>
        <v>0.16619331599999998</v>
      </c>
      <c r="R1785" t="s">
        <v>25</v>
      </c>
      <c r="S1785" t="str" cm="1">
        <f t="array" ref="S1785">IFERROR(_xlfn.IFS(Table1[[#This Row],[Payment Status]]="Partial","In Transit",Table1[[#This Row],[Payment Status]]="Paid","Delivered",Table1[[#This Row],[Payment Status]]="Pending","Pending"),"Invalid Input")</f>
        <v>In Transit</v>
      </c>
      <c r="T1785" t="s">
        <v>27</v>
      </c>
      <c r="U1785" t="str" cm="1">
        <f t="array" ref="U1785">IFERROR(_xlfn.IFS(Table1[[#This Row],[Payment Status]]="Partial","In Transit",Table1[[#This Row],[Payment Status]]="Paid","Completed",Table1[[#This Row],[Payment Status]]="Pending","Pending"),"Invalid Input")</f>
        <v>In Transit</v>
      </c>
    </row>
    <row r="1786" spans="1:21" x14ac:dyDescent="0.25">
      <c r="A1786" s="4" t="s">
        <v>2943</v>
      </c>
      <c r="B1786" s="5">
        <v>45672</v>
      </c>
      <c r="C1786" t="s">
        <v>73</v>
      </c>
      <c r="D1786" t="s">
        <v>3268</v>
      </c>
      <c r="E1786" t="s">
        <v>66</v>
      </c>
      <c r="F1786" t="s">
        <v>3211</v>
      </c>
      <c r="G1786" t="s">
        <v>67</v>
      </c>
      <c r="H1786" t="str">
        <f>VLOOKUP(Table1[[#This Row],[City]],Table6[#All],2,FALSE)</f>
        <v>East</v>
      </c>
      <c r="I1786" t="s">
        <v>58</v>
      </c>
      <c r="J1786" t="str">
        <f>_xlfn.XLOOKUP(Table1[[#This Row],[Tractor Model]],Table7[Product Model],Table7[Product Category],"Not Available",0)</f>
        <v>Powertrac</v>
      </c>
      <c r="K1786" s="4">
        <v>8</v>
      </c>
      <c r="L1786" s="72">
        <v>304595</v>
      </c>
      <c r="M1786" s="4">
        <f>INDEX('Master Sheet'!$C$4:$C$12,MATCH(Table1[[#This Row],[Quantity]],'Master Sheet'!$B$4:$B$12,0))</f>
        <v>9</v>
      </c>
      <c r="N1786" s="71">
        <f>Table1[[#This Row],[Quantity]]*Table1[[#This Row],[Unit Price]]</f>
        <v>2436760</v>
      </c>
      <c r="O1786" s="73">
        <v>0.243676</v>
      </c>
      <c r="P1786" s="70">
        <f>Table1[[#This Row],[Gross Amount]]*(1-(Table1[[#This Row],[Discount %]]/100))</f>
        <v>2217451.6</v>
      </c>
      <c r="Q1786" s="74">
        <f>(Table1[[#This Row],[Gross Amount]]*(1-(Table1[[#This Row],[Discount %]]/100)))/10000000</f>
        <v>0.22174516</v>
      </c>
      <c r="R1786" t="s">
        <v>54</v>
      </c>
      <c r="S1786" t="str" cm="1">
        <f t="array" ref="S1786">IFERROR(_xlfn.IFS(Table1[[#This Row],[Payment Status]]="Partial","In Transit",Table1[[#This Row],[Payment Status]]="Paid","Delivered",Table1[[#This Row],[Payment Status]]="Pending","Pending"),"Invalid Input")</f>
        <v>Delivered</v>
      </c>
      <c r="T1786" t="s">
        <v>27</v>
      </c>
      <c r="U1786" t="str" cm="1">
        <f t="array" ref="U1786">IFERROR(_xlfn.IFS(Table1[[#This Row],[Payment Status]]="Partial","In Transit",Table1[[#This Row],[Payment Status]]="Paid","Completed",Table1[[#This Row],[Payment Status]]="Pending","Pending"),"Invalid Input")</f>
        <v>Completed</v>
      </c>
    </row>
    <row r="1787" spans="1:21" x14ac:dyDescent="0.25">
      <c r="A1787" s="4" t="s">
        <v>2944</v>
      </c>
      <c r="B1787" s="5">
        <v>45469</v>
      </c>
      <c r="C1787" t="s">
        <v>62</v>
      </c>
      <c r="D1787" t="s">
        <v>3269</v>
      </c>
      <c r="E1787" t="s">
        <v>47</v>
      </c>
      <c r="F1787" t="s">
        <v>3209</v>
      </c>
      <c r="G1787" t="s">
        <v>48</v>
      </c>
      <c r="H1787" t="str">
        <f>VLOOKUP(Table1[[#This Row],[City]],Table6[#All],2,FALSE)</f>
        <v>North</v>
      </c>
      <c r="I1787" t="s">
        <v>53</v>
      </c>
      <c r="J1787" t="str">
        <f>_xlfn.XLOOKUP(Table1[[#This Row],[Tractor Model]],Table7[Product Model],Table7[Product Category],"Not Available",0)</f>
        <v>Farmtrac</v>
      </c>
      <c r="K1787" s="4">
        <v>4</v>
      </c>
      <c r="L1787" s="72">
        <v>667925</v>
      </c>
      <c r="M1787" s="4">
        <f>INDEX('Master Sheet'!$C$4:$C$12,MATCH(Table1[[#This Row],[Quantity]],'Master Sheet'!$B$4:$B$12,0))</f>
        <v>6</v>
      </c>
      <c r="N1787" s="71">
        <f>Table1[[#This Row],[Quantity]]*Table1[[#This Row],[Unit Price]]</f>
        <v>2671700</v>
      </c>
      <c r="O1787" s="73">
        <v>0.26717000000000002</v>
      </c>
      <c r="P1787" s="70">
        <f>Table1[[#This Row],[Gross Amount]]*(1-(Table1[[#This Row],[Discount %]]/100))</f>
        <v>2511398</v>
      </c>
      <c r="Q1787" s="74">
        <f>(Table1[[#This Row],[Gross Amount]]*(1-(Table1[[#This Row],[Discount %]]/100)))/10000000</f>
        <v>0.25113980000000002</v>
      </c>
      <c r="R1787" t="s">
        <v>54</v>
      </c>
      <c r="S1787" t="str" cm="1">
        <f t="array" ref="S1787">IFERROR(_xlfn.IFS(Table1[[#This Row],[Payment Status]]="Partial","In Transit",Table1[[#This Row],[Payment Status]]="Paid","Delivered",Table1[[#This Row],[Payment Status]]="Pending","Pending"),"Invalid Input")</f>
        <v>Delivered</v>
      </c>
      <c r="T1787" t="s">
        <v>27</v>
      </c>
      <c r="U1787" t="str" cm="1">
        <f t="array" ref="U1787">IFERROR(_xlfn.IFS(Table1[[#This Row],[Payment Status]]="Partial","In Transit",Table1[[#This Row],[Payment Status]]="Paid","Completed",Table1[[#This Row],[Payment Status]]="Pending","Pending"),"Invalid Input")</f>
        <v>Completed</v>
      </c>
    </row>
    <row r="1788" spans="1:21" x14ac:dyDescent="0.25">
      <c r="A1788" s="4" t="s">
        <v>2945</v>
      </c>
      <c r="B1788" s="5">
        <v>45932</v>
      </c>
      <c r="C1788" t="s">
        <v>73</v>
      </c>
      <c r="D1788" t="s">
        <v>3269</v>
      </c>
      <c r="E1788" t="s">
        <v>119</v>
      </c>
      <c r="F1788" t="s">
        <v>3229</v>
      </c>
      <c r="G1788" t="s">
        <v>21</v>
      </c>
      <c r="H1788" t="str">
        <f>VLOOKUP(Table1[[#This Row],[City]],Table6[#All],2,FALSE)</f>
        <v>North</v>
      </c>
      <c r="I1788" t="s">
        <v>58</v>
      </c>
      <c r="J1788" t="str">
        <f>_xlfn.XLOOKUP(Table1[[#This Row],[Tractor Model]],Table7[Product Model],Table7[Product Category],"Not Available",0)</f>
        <v>Powertrac</v>
      </c>
      <c r="K1788" s="4">
        <v>2</v>
      </c>
      <c r="L1788" s="72">
        <v>121267</v>
      </c>
      <c r="M1788" s="4">
        <f>INDEX('Master Sheet'!$C$4:$C$12,MATCH(Table1[[#This Row],[Quantity]],'Master Sheet'!$B$4:$B$12,0))</f>
        <v>5</v>
      </c>
      <c r="N1788" s="71">
        <f>Table1[[#This Row],[Quantity]]*Table1[[#This Row],[Unit Price]]</f>
        <v>242534</v>
      </c>
      <c r="O1788" s="73">
        <v>2.4253400000000001E-2</v>
      </c>
      <c r="P1788" s="70">
        <f>Table1[[#This Row],[Gross Amount]]*(1-(Table1[[#This Row],[Discount %]]/100))</f>
        <v>230407.3</v>
      </c>
      <c r="Q1788" s="74">
        <f>(Table1[[#This Row],[Gross Amount]]*(1-(Table1[[#This Row],[Discount %]]/100)))/10000000</f>
        <v>2.3040729999999999E-2</v>
      </c>
      <c r="R1788" t="s">
        <v>54</v>
      </c>
      <c r="S1788" t="str" cm="1">
        <f t="array" ref="S1788">IFERROR(_xlfn.IFS(Table1[[#This Row],[Payment Status]]="Partial","In Transit",Table1[[#This Row],[Payment Status]]="Paid","Delivered",Table1[[#This Row],[Payment Status]]="Pending","Pending"),"Invalid Input")</f>
        <v>Delivered</v>
      </c>
      <c r="T1788" t="s">
        <v>27</v>
      </c>
      <c r="U1788" t="str" cm="1">
        <f t="array" ref="U1788">IFERROR(_xlfn.IFS(Table1[[#This Row],[Payment Status]]="Partial","In Transit",Table1[[#This Row],[Payment Status]]="Paid","Completed",Table1[[#This Row],[Payment Status]]="Pending","Pending"),"Invalid Input")</f>
        <v>Completed</v>
      </c>
    </row>
    <row r="1789" spans="1:21" x14ac:dyDescent="0.25">
      <c r="A1789" s="4" t="s">
        <v>2946</v>
      </c>
      <c r="B1789" s="5">
        <v>45510</v>
      </c>
      <c r="C1789" t="s">
        <v>33</v>
      </c>
      <c r="D1789" t="s">
        <v>3269</v>
      </c>
      <c r="E1789" t="s">
        <v>119</v>
      </c>
      <c r="F1789" t="s">
        <v>3229</v>
      </c>
      <c r="G1789" t="s">
        <v>21</v>
      </c>
      <c r="H1789" t="str">
        <f>VLOOKUP(Table1[[#This Row],[City]],Table6[#All],2,FALSE)</f>
        <v>North</v>
      </c>
      <c r="I1789" t="s">
        <v>58</v>
      </c>
      <c r="J1789" t="str">
        <f>_xlfn.XLOOKUP(Table1[[#This Row],[Tractor Model]],Table7[Product Model],Table7[Product Category],"Not Available",0)</f>
        <v>Powertrac</v>
      </c>
      <c r="K1789" s="4">
        <v>6</v>
      </c>
      <c r="L1789" s="72">
        <v>830606</v>
      </c>
      <c r="M1789" s="4">
        <f>INDEX('Master Sheet'!$C$4:$C$12,MATCH(Table1[[#This Row],[Quantity]],'Master Sheet'!$B$4:$B$12,0))</f>
        <v>8</v>
      </c>
      <c r="N1789" s="71">
        <f>Table1[[#This Row],[Quantity]]*Table1[[#This Row],[Unit Price]]</f>
        <v>4983636</v>
      </c>
      <c r="O1789" s="73">
        <v>0.49836360000000002</v>
      </c>
      <c r="P1789" s="70">
        <f>Table1[[#This Row],[Gross Amount]]*(1-(Table1[[#This Row],[Discount %]]/100))</f>
        <v>4584945.12</v>
      </c>
      <c r="Q1789" s="74">
        <f>(Table1[[#This Row],[Gross Amount]]*(1-(Table1[[#This Row],[Discount %]]/100)))/10000000</f>
        <v>0.45849451200000002</v>
      </c>
      <c r="R1789" t="s">
        <v>25</v>
      </c>
      <c r="S1789" t="str" cm="1">
        <f t="array" ref="S1789">IFERROR(_xlfn.IFS(Table1[[#This Row],[Payment Status]]="Partial","In Transit",Table1[[#This Row],[Payment Status]]="Paid","Delivered",Table1[[#This Row],[Payment Status]]="Pending","Pending"),"Invalid Input")</f>
        <v>In Transit</v>
      </c>
      <c r="T1789" t="s">
        <v>27</v>
      </c>
      <c r="U1789" t="str" cm="1">
        <f t="array" ref="U1789">IFERROR(_xlfn.IFS(Table1[[#This Row],[Payment Status]]="Partial","In Transit",Table1[[#This Row],[Payment Status]]="Paid","Completed",Table1[[#This Row],[Payment Status]]="Pending","Pending"),"Invalid Input")</f>
        <v>In Transit</v>
      </c>
    </row>
    <row r="1790" spans="1:21" x14ac:dyDescent="0.25">
      <c r="A1790" s="4" t="s">
        <v>2947</v>
      </c>
      <c r="B1790" s="5">
        <v>45532</v>
      </c>
      <c r="C1790" t="s">
        <v>62</v>
      </c>
      <c r="D1790" t="s">
        <v>3270</v>
      </c>
      <c r="E1790" t="s">
        <v>38</v>
      </c>
      <c r="F1790" t="s">
        <v>3218</v>
      </c>
      <c r="G1790" t="s">
        <v>39</v>
      </c>
      <c r="H1790" t="str">
        <f>VLOOKUP(Table1[[#This Row],[City]],Table6[#All],2,FALSE)</f>
        <v>West</v>
      </c>
      <c r="I1790" t="s">
        <v>3204</v>
      </c>
      <c r="J1790" t="str">
        <f>_xlfn.XLOOKUP(Table1[[#This Row],[Tractor Model]],Table7[Product Model],Table7[Product Category],"Not Available",0)</f>
        <v>Kubota</v>
      </c>
      <c r="K1790" s="4">
        <v>0</v>
      </c>
      <c r="L1790" s="72">
        <v>479533</v>
      </c>
      <c r="M1790" s="4">
        <f>INDEX('Master Sheet'!$C$4:$C$12,MATCH(Table1[[#This Row],[Quantity]],'Master Sheet'!$B$4:$B$12,0))</f>
        <v>0</v>
      </c>
      <c r="N1790" s="71">
        <f>Table1[[#This Row],[Quantity]]*Table1[[#This Row],[Unit Price]]</f>
        <v>0</v>
      </c>
      <c r="O1790" s="73">
        <v>0</v>
      </c>
      <c r="P1790" s="70">
        <f>Table1[[#This Row],[Gross Amount]]*(1-(Table1[[#This Row],[Discount %]]/100))</f>
        <v>0</v>
      </c>
      <c r="Q1790" s="74">
        <f>(Table1[[#This Row],[Gross Amount]]*(1-(Table1[[#This Row],[Discount %]]/100)))/10000000</f>
        <v>0</v>
      </c>
      <c r="R1790" t="s">
        <v>42</v>
      </c>
      <c r="S1790" t="str" cm="1">
        <f t="array" ref="S1790">IFERROR(_xlfn.IFS(Table1[[#This Row],[Payment Status]]="Partial","In Transit",Table1[[#This Row],[Payment Status]]="Paid","Delivered",Table1[[#This Row],[Payment Status]]="Pending","Pending"),"Invalid Input")</f>
        <v>Pending</v>
      </c>
      <c r="T1790" t="s">
        <v>27</v>
      </c>
      <c r="U1790" t="str" cm="1">
        <f t="array" ref="U1790">IFERROR(_xlfn.IFS(Table1[[#This Row],[Payment Status]]="Partial","In Transit",Table1[[#This Row],[Payment Status]]="Paid","Completed",Table1[[#This Row],[Payment Status]]="Pending","Pending"),"Invalid Input")</f>
        <v>Pending</v>
      </c>
    </row>
    <row r="1791" spans="1:21" x14ac:dyDescent="0.25">
      <c r="A1791" s="4" t="s">
        <v>2948</v>
      </c>
      <c r="B1791" s="5">
        <v>45355</v>
      </c>
      <c r="C1791" t="s">
        <v>41</v>
      </c>
      <c r="D1791" t="s">
        <v>37</v>
      </c>
      <c r="E1791" t="s">
        <v>66</v>
      </c>
      <c r="F1791" t="s">
        <v>3226</v>
      </c>
      <c r="G1791" t="s">
        <v>67</v>
      </c>
      <c r="H1791" t="str">
        <f>VLOOKUP(Table1[[#This Row],[City]],Table6[#All],2,FALSE)</f>
        <v>East</v>
      </c>
      <c r="I1791" t="s">
        <v>24</v>
      </c>
      <c r="J1791" t="str">
        <f>_xlfn.XLOOKUP(Table1[[#This Row],[Tractor Model]],Table7[Product Model],Table7[Product Category],"Not Available",0)</f>
        <v>Farmtrac</v>
      </c>
      <c r="K1791" s="4">
        <v>2</v>
      </c>
      <c r="L1791" s="72">
        <v>60891</v>
      </c>
      <c r="M1791" s="4">
        <f>INDEX('Master Sheet'!$C$4:$C$12,MATCH(Table1[[#This Row],[Quantity]],'Master Sheet'!$B$4:$B$12,0))</f>
        <v>5</v>
      </c>
      <c r="N1791" s="71">
        <f>Table1[[#This Row],[Quantity]]*Table1[[#This Row],[Unit Price]]</f>
        <v>121782</v>
      </c>
      <c r="O1791" s="73">
        <v>1.21782E-2</v>
      </c>
      <c r="P1791" s="70">
        <f>Table1[[#This Row],[Gross Amount]]*(1-(Table1[[#This Row],[Discount %]]/100))</f>
        <v>115692.9</v>
      </c>
      <c r="Q1791" s="74">
        <f>(Table1[[#This Row],[Gross Amount]]*(1-(Table1[[#This Row],[Discount %]]/100)))/10000000</f>
        <v>1.1569289999999999E-2</v>
      </c>
      <c r="R1791" t="s">
        <v>25</v>
      </c>
      <c r="S1791" t="str" cm="1">
        <f t="array" ref="S1791">IFERROR(_xlfn.IFS(Table1[[#This Row],[Payment Status]]="Partial","In Transit",Table1[[#This Row],[Payment Status]]="Paid","Delivered",Table1[[#This Row],[Payment Status]]="Pending","Pending"),"Invalid Input")</f>
        <v>In Transit</v>
      </c>
      <c r="T1791" t="s">
        <v>44</v>
      </c>
      <c r="U1791" t="str" cm="1">
        <f t="array" ref="U1791">IFERROR(_xlfn.IFS(Table1[[#This Row],[Payment Status]]="Partial","In Transit",Table1[[#This Row],[Payment Status]]="Paid","Completed",Table1[[#This Row],[Payment Status]]="Pending","Pending"),"Invalid Input")</f>
        <v>In Transit</v>
      </c>
    </row>
    <row r="1792" spans="1:21" x14ac:dyDescent="0.25">
      <c r="A1792" s="4" t="s">
        <v>2950</v>
      </c>
      <c r="B1792" s="5">
        <v>45381</v>
      </c>
      <c r="C1792" t="s">
        <v>73</v>
      </c>
      <c r="D1792" t="s">
        <v>3271</v>
      </c>
      <c r="E1792" t="s">
        <v>119</v>
      </c>
      <c r="F1792" t="s">
        <v>3228</v>
      </c>
      <c r="G1792" t="s">
        <v>21</v>
      </c>
      <c r="H1792" t="str">
        <f>VLOOKUP(Table1[[#This Row],[City]],Table6[#All],2,FALSE)</f>
        <v>North</v>
      </c>
      <c r="I1792" t="s">
        <v>3203</v>
      </c>
      <c r="J1792" t="str">
        <f>_xlfn.XLOOKUP(Table1[[#This Row],[Tractor Model]],Table7[Product Model],Table7[Product Category],"Not Available",0)</f>
        <v>Kubota</v>
      </c>
      <c r="K1792" s="4">
        <v>1</v>
      </c>
      <c r="L1792" s="72">
        <v>64910</v>
      </c>
      <c r="M1792" s="4">
        <f>INDEX('Master Sheet'!$C$4:$C$12,MATCH(Table1[[#This Row],[Quantity]],'Master Sheet'!$B$4:$B$12,0))</f>
        <v>3</v>
      </c>
      <c r="N1792" s="71">
        <f>Table1[[#This Row],[Quantity]]*Table1[[#This Row],[Unit Price]]</f>
        <v>64910</v>
      </c>
      <c r="O1792" s="73">
        <v>6.4910000000000002E-3</v>
      </c>
      <c r="P1792" s="70">
        <f>Table1[[#This Row],[Gross Amount]]*(1-(Table1[[#This Row],[Discount %]]/100))</f>
        <v>62962.7</v>
      </c>
      <c r="Q1792" s="74">
        <f>(Table1[[#This Row],[Gross Amount]]*(1-(Table1[[#This Row],[Discount %]]/100)))/10000000</f>
        <v>6.2962699999999996E-3</v>
      </c>
      <c r="R1792" t="s">
        <v>42</v>
      </c>
      <c r="S1792" t="str" cm="1">
        <f t="array" ref="S1792">IFERROR(_xlfn.IFS(Table1[[#This Row],[Payment Status]]="Partial","In Transit",Table1[[#This Row],[Payment Status]]="Paid","Delivered",Table1[[#This Row],[Payment Status]]="Pending","Pending"),"Invalid Input")</f>
        <v>Pending</v>
      </c>
      <c r="T1792" t="s">
        <v>27</v>
      </c>
      <c r="U1792" t="str" cm="1">
        <f t="array" ref="U1792">IFERROR(_xlfn.IFS(Table1[[#This Row],[Payment Status]]="Partial","In Transit",Table1[[#This Row],[Payment Status]]="Paid","Completed",Table1[[#This Row],[Payment Status]]="Pending","Pending"),"Invalid Input")</f>
        <v>Pending</v>
      </c>
    </row>
    <row r="1793" spans="1:21" x14ac:dyDescent="0.25">
      <c r="A1793" s="4" t="s">
        <v>2952</v>
      </c>
      <c r="B1793" s="5">
        <v>45430</v>
      </c>
      <c r="C1793" t="s">
        <v>52</v>
      </c>
      <c r="D1793" t="s">
        <v>37</v>
      </c>
      <c r="E1793" t="s">
        <v>47</v>
      </c>
      <c r="F1793" t="s">
        <v>3215</v>
      </c>
      <c r="G1793" t="s">
        <v>48</v>
      </c>
      <c r="H1793" t="str">
        <f>VLOOKUP(Table1[[#This Row],[City]],Table6[#All],2,FALSE)</f>
        <v>North</v>
      </c>
      <c r="I1793" t="s">
        <v>58</v>
      </c>
      <c r="J1793" t="str">
        <f>_xlfn.XLOOKUP(Table1[[#This Row],[Tractor Model]],Table7[Product Model],Table7[Product Category],"Not Available",0)</f>
        <v>Powertrac</v>
      </c>
      <c r="K1793" s="4">
        <v>1</v>
      </c>
      <c r="L1793" s="72">
        <v>644962</v>
      </c>
      <c r="M1793" s="4">
        <f>INDEX('Master Sheet'!$C$4:$C$12,MATCH(Table1[[#This Row],[Quantity]],'Master Sheet'!$B$4:$B$12,0))</f>
        <v>3</v>
      </c>
      <c r="N1793" s="71">
        <f>Table1[[#This Row],[Quantity]]*Table1[[#This Row],[Unit Price]]</f>
        <v>644962</v>
      </c>
      <c r="O1793" s="73">
        <v>6.4496200000000004E-2</v>
      </c>
      <c r="P1793" s="70">
        <f>Table1[[#This Row],[Gross Amount]]*(1-(Table1[[#This Row],[Discount %]]/100))</f>
        <v>625613.14</v>
      </c>
      <c r="Q1793" s="74">
        <f>(Table1[[#This Row],[Gross Amount]]*(1-(Table1[[#This Row],[Discount %]]/100)))/10000000</f>
        <v>6.2561314000000007E-2</v>
      </c>
      <c r="R1793" t="s">
        <v>25</v>
      </c>
      <c r="S1793" t="str" cm="1">
        <f t="array" ref="S1793">IFERROR(_xlfn.IFS(Table1[[#This Row],[Payment Status]]="Partial","In Transit",Table1[[#This Row],[Payment Status]]="Paid","Delivered",Table1[[#This Row],[Payment Status]]="Pending","Pending"),"Invalid Input")</f>
        <v>In Transit</v>
      </c>
      <c r="T1793" t="s">
        <v>27</v>
      </c>
      <c r="U1793" t="str" cm="1">
        <f t="array" ref="U1793">IFERROR(_xlfn.IFS(Table1[[#This Row],[Payment Status]]="Partial","In Transit",Table1[[#This Row],[Payment Status]]="Paid","Completed",Table1[[#This Row],[Payment Status]]="Pending","Pending"),"Invalid Input")</f>
        <v>In Transit</v>
      </c>
    </row>
    <row r="1794" spans="1:21" x14ac:dyDescent="0.25">
      <c r="A1794" s="4" t="s">
        <v>2953</v>
      </c>
      <c r="B1794" s="5">
        <v>45497</v>
      </c>
      <c r="C1794" t="s">
        <v>62</v>
      </c>
      <c r="D1794" t="s">
        <v>3271</v>
      </c>
      <c r="E1794" t="s">
        <v>66</v>
      </c>
      <c r="F1794" t="s">
        <v>3207</v>
      </c>
      <c r="G1794" t="s">
        <v>67</v>
      </c>
      <c r="H1794" t="str">
        <f>VLOOKUP(Table1[[#This Row],[City]],Table6[#All],2,FALSE)</f>
        <v>East</v>
      </c>
      <c r="I1794" t="s">
        <v>3204</v>
      </c>
      <c r="J1794" t="str">
        <f>_xlfn.XLOOKUP(Table1[[#This Row],[Tractor Model]],Table7[Product Model],Table7[Product Category],"Not Available",0)</f>
        <v>Kubota</v>
      </c>
      <c r="K1794" s="4">
        <v>4</v>
      </c>
      <c r="L1794" s="72">
        <v>806788</v>
      </c>
      <c r="M1794" s="4">
        <f>INDEX('Master Sheet'!$C$4:$C$12,MATCH(Table1[[#This Row],[Quantity]],'Master Sheet'!$B$4:$B$12,0))</f>
        <v>6</v>
      </c>
      <c r="N1794" s="71">
        <f>Table1[[#This Row],[Quantity]]*Table1[[#This Row],[Unit Price]]</f>
        <v>3227152</v>
      </c>
      <c r="O1794" s="73">
        <v>0.32271519999999998</v>
      </c>
      <c r="P1794" s="70">
        <f>Table1[[#This Row],[Gross Amount]]*(1-(Table1[[#This Row],[Discount %]]/100))</f>
        <v>3033522.88</v>
      </c>
      <c r="Q1794" s="74">
        <f>(Table1[[#This Row],[Gross Amount]]*(1-(Table1[[#This Row],[Discount %]]/100)))/10000000</f>
        <v>0.30335228799999997</v>
      </c>
      <c r="R1794" t="s">
        <v>54</v>
      </c>
      <c r="S1794" t="str" cm="1">
        <f t="array" ref="S1794">IFERROR(_xlfn.IFS(Table1[[#This Row],[Payment Status]]="Partial","In Transit",Table1[[#This Row],[Payment Status]]="Paid","Delivered",Table1[[#This Row],[Payment Status]]="Pending","Pending"),"Invalid Input")</f>
        <v>Delivered</v>
      </c>
      <c r="T1794" t="s">
        <v>27</v>
      </c>
      <c r="U1794" t="str" cm="1">
        <f t="array" ref="U1794">IFERROR(_xlfn.IFS(Table1[[#This Row],[Payment Status]]="Partial","In Transit",Table1[[#This Row],[Payment Status]]="Paid","Completed",Table1[[#This Row],[Payment Status]]="Pending","Pending"),"Invalid Input")</f>
        <v>Completed</v>
      </c>
    </row>
    <row r="1795" spans="1:21" x14ac:dyDescent="0.25">
      <c r="A1795" s="4" t="s">
        <v>2954</v>
      </c>
      <c r="B1795" s="5">
        <v>45362</v>
      </c>
      <c r="C1795" t="s">
        <v>52</v>
      </c>
      <c r="D1795" t="s">
        <v>3269</v>
      </c>
      <c r="E1795" t="s">
        <v>38</v>
      </c>
      <c r="F1795" t="s">
        <v>3206</v>
      </c>
      <c r="G1795" t="s">
        <v>39</v>
      </c>
      <c r="H1795" t="str">
        <f>VLOOKUP(Table1[[#This Row],[City]],Table6[#All],2,FALSE)</f>
        <v>West</v>
      </c>
      <c r="I1795" t="s">
        <v>3203</v>
      </c>
      <c r="J1795" t="str">
        <f>_xlfn.XLOOKUP(Table1[[#This Row],[Tractor Model]],Table7[Product Model],Table7[Product Category],"Not Available",0)</f>
        <v>Kubota</v>
      </c>
      <c r="K1795" s="4">
        <v>2</v>
      </c>
      <c r="L1795" s="72">
        <v>719898</v>
      </c>
      <c r="M1795" s="4">
        <f>INDEX('Master Sheet'!$C$4:$C$12,MATCH(Table1[[#This Row],[Quantity]],'Master Sheet'!$B$4:$B$12,0))</f>
        <v>5</v>
      </c>
      <c r="N1795" s="71">
        <f>Table1[[#This Row],[Quantity]]*Table1[[#This Row],[Unit Price]]</f>
        <v>1439796</v>
      </c>
      <c r="O1795" s="73">
        <v>0.14397960000000001</v>
      </c>
      <c r="P1795" s="70">
        <f>Table1[[#This Row],[Gross Amount]]*(1-(Table1[[#This Row],[Discount %]]/100))</f>
        <v>1367806.2</v>
      </c>
      <c r="Q1795" s="74">
        <f>(Table1[[#This Row],[Gross Amount]]*(1-(Table1[[#This Row],[Discount %]]/100)))/10000000</f>
        <v>0.13678061999999999</v>
      </c>
      <c r="R1795" t="s">
        <v>42</v>
      </c>
      <c r="S1795" t="str" cm="1">
        <f t="array" ref="S1795">IFERROR(_xlfn.IFS(Table1[[#This Row],[Payment Status]]="Partial","In Transit",Table1[[#This Row],[Payment Status]]="Paid","Delivered",Table1[[#This Row],[Payment Status]]="Pending","Pending"),"Invalid Input")</f>
        <v>Pending</v>
      </c>
      <c r="T1795" t="s">
        <v>27</v>
      </c>
      <c r="U1795" t="str" cm="1">
        <f t="array" ref="U1795">IFERROR(_xlfn.IFS(Table1[[#This Row],[Payment Status]]="Partial","In Transit",Table1[[#This Row],[Payment Status]]="Paid","Completed",Table1[[#This Row],[Payment Status]]="Pending","Pending"),"Invalid Input")</f>
        <v>Pending</v>
      </c>
    </row>
    <row r="1796" spans="1:21" x14ac:dyDescent="0.25">
      <c r="A1796" s="4" t="s">
        <v>2955</v>
      </c>
      <c r="B1796" s="5">
        <v>45432</v>
      </c>
      <c r="C1796" t="s">
        <v>33</v>
      </c>
      <c r="D1796" t="s">
        <v>3270</v>
      </c>
      <c r="E1796" t="s">
        <v>119</v>
      </c>
      <c r="F1796" t="s">
        <v>3212</v>
      </c>
      <c r="G1796" t="s">
        <v>21</v>
      </c>
      <c r="H1796" t="str">
        <f>VLOOKUP(Table1[[#This Row],[City]],Table6[#All],2,FALSE)</f>
        <v>North</v>
      </c>
      <c r="I1796" t="s">
        <v>24</v>
      </c>
      <c r="J1796" t="str">
        <f>_xlfn.XLOOKUP(Table1[[#This Row],[Tractor Model]],Table7[Product Model],Table7[Product Category],"Not Available",0)</f>
        <v>Farmtrac</v>
      </c>
      <c r="K1796" s="4">
        <v>6</v>
      </c>
      <c r="L1796" s="72">
        <v>290209</v>
      </c>
      <c r="M1796" s="4">
        <f>INDEX('Master Sheet'!$C$4:$C$12,MATCH(Table1[[#This Row],[Quantity]],'Master Sheet'!$B$4:$B$12,0))</f>
        <v>8</v>
      </c>
      <c r="N1796" s="71">
        <f>Table1[[#This Row],[Quantity]]*Table1[[#This Row],[Unit Price]]</f>
        <v>1741254</v>
      </c>
      <c r="O1796" s="73">
        <v>0.17412540000000001</v>
      </c>
      <c r="P1796" s="70">
        <f>Table1[[#This Row],[Gross Amount]]*(1-(Table1[[#This Row],[Discount %]]/100))</f>
        <v>1601953.6800000002</v>
      </c>
      <c r="Q1796" s="74">
        <f>(Table1[[#This Row],[Gross Amount]]*(1-(Table1[[#This Row],[Discount %]]/100)))/10000000</f>
        <v>0.160195368</v>
      </c>
      <c r="R1796" t="s">
        <v>42</v>
      </c>
      <c r="S1796" t="str" cm="1">
        <f t="array" ref="S1796">IFERROR(_xlfn.IFS(Table1[[#This Row],[Payment Status]]="Partial","In Transit",Table1[[#This Row],[Payment Status]]="Paid","Delivered",Table1[[#This Row],[Payment Status]]="Pending","Pending"),"Invalid Input")</f>
        <v>Pending</v>
      </c>
      <c r="T1796" t="s">
        <v>44</v>
      </c>
      <c r="U1796" t="str" cm="1">
        <f t="array" ref="U1796">IFERROR(_xlfn.IFS(Table1[[#This Row],[Payment Status]]="Partial","In Transit",Table1[[#This Row],[Payment Status]]="Paid","Completed",Table1[[#This Row],[Payment Status]]="Pending","Pending"),"Invalid Input")</f>
        <v>Pending</v>
      </c>
    </row>
    <row r="1797" spans="1:21" x14ac:dyDescent="0.25">
      <c r="A1797" s="4" t="s">
        <v>2957</v>
      </c>
      <c r="B1797" s="5">
        <v>45599</v>
      </c>
      <c r="C1797" t="s">
        <v>62</v>
      </c>
      <c r="D1797" t="s">
        <v>3269</v>
      </c>
      <c r="E1797" t="s">
        <v>66</v>
      </c>
      <c r="F1797" t="s">
        <v>3213</v>
      </c>
      <c r="G1797" t="s">
        <v>67</v>
      </c>
      <c r="H1797" t="str">
        <f>VLOOKUP(Table1[[#This Row],[City]],Table6[#All],2,FALSE)</f>
        <v>East</v>
      </c>
      <c r="I1797" t="s">
        <v>3203</v>
      </c>
      <c r="J1797" t="str">
        <f>_xlfn.XLOOKUP(Table1[[#This Row],[Tractor Model]],Table7[Product Model],Table7[Product Category],"Not Available",0)</f>
        <v>Kubota</v>
      </c>
      <c r="K1797" s="4">
        <v>8</v>
      </c>
      <c r="L1797" s="72">
        <v>308900</v>
      </c>
      <c r="M1797" s="4">
        <f>INDEX('Master Sheet'!$C$4:$C$12,MATCH(Table1[[#This Row],[Quantity]],'Master Sheet'!$B$4:$B$12,0))</f>
        <v>9</v>
      </c>
      <c r="N1797" s="71">
        <f>Table1[[#This Row],[Quantity]]*Table1[[#This Row],[Unit Price]]</f>
        <v>2471200</v>
      </c>
      <c r="O1797" s="73">
        <v>0.24712000000000001</v>
      </c>
      <c r="P1797" s="70">
        <f>Table1[[#This Row],[Gross Amount]]*(1-(Table1[[#This Row],[Discount %]]/100))</f>
        <v>2248792</v>
      </c>
      <c r="Q1797" s="74">
        <f>(Table1[[#This Row],[Gross Amount]]*(1-(Table1[[#This Row],[Discount %]]/100)))/10000000</f>
        <v>0.2248792</v>
      </c>
      <c r="R1797" t="s">
        <v>25</v>
      </c>
      <c r="S1797" t="str" cm="1">
        <f t="array" ref="S1797">IFERROR(_xlfn.IFS(Table1[[#This Row],[Payment Status]]="Partial","In Transit",Table1[[#This Row],[Payment Status]]="Paid","Delivered",Table1[[#This Row],[Payment Status]]="Pending","Pending"),"Invalid Input")</f>
        <v>In Transit</v>
      </c>
      <c r="T1797" t="s">
        <v>44</v>
      </c>
      <c r="U1797" t="str" cm="1">
        <f t="array" ref="U1797">IFERROR(_xlfn.IFS(Table1[[#This Row],[Payment Status]]="Partial","In Transit",Table1[[#This Row],[Payment Status]]="Paid","Completed",Table1[[#This Row],[Payment Status]]="Pending","Pending"),"Invalid Input")</f>
        <v>In Transit</v>
      </c>
    </row>
    <row r="1798" spans="1:21" x14ac:dyDescent="0.25">
      <c r="A1798" s="4" t="s">
        <v>2959</v>
      </c>
      <c r="B1798" s="5">
        <v>45568</v>
      </c>
      <c r="C1798" t="s">
        <v>33</v>
      </c>
      <c r="D1798" t="s">
        <v>3268</v>
      </c>
      <c r="E1798" t="s">
        <v>30</v>
      </c>
      <c r="F1798" t="s">
        <v>3208</v>
      </c>
      <c r="G1798" t="s">
        <v>31</v>
      </c>
      <c r="H1798" t="str">
        <f>VLOOKUP(Table1[[#This Row],[City]],Table6[#All],2,FALSE)</f>
        <v>South</v>
      </c>
      <c r="I1798" t="s">
        <v>58</v>
      </c>
      <c r="J1798" t="str">
        <f>_xlfn.XLOOKUP(Table1[[#This Row],[Tractor Model]],Table7[Product Model],Table7[Product Category],"Not Available",0)</f>
        <v>Powertrac</v>
      </c>
      <c r="K1798" s="4">
        <v>6</v>
      </c>
      <c r="L1798" s="72">
        <v>317403</v>
      </c>
      <c r="M1798" s="4">
        <f>INDEX('Master Sheet'!$C$4:$C$12,MATCH(Table1[[#This Row],[Quantity]],'Master Sheet'!$B$4:$B$12,0))</f>
        <v>8</v>
      </c>
      <c r="N1798" s="71">
        <f>Table1[[#This Row],[Quantity]]*Table1[[#This Row],[Unit Price]]</f>
        <v>1904418</v>
      </c>
      <c r="O1798" s="73">
        <v>0.19044179999999999</v>
      </c>
      <c r="P1798" s="70">
        <f>Table1[[#This Row],[Gross Amount]]*(1-(Table1[[#This Row],[Discount %]]/100))</f>
        <v>1752064.56</v>
      </c>
      <c r="Q1798" s="74">
        <f>(Table1[[#This Row],[Gross Amount]]*(1-(Table1[[#This Row],[Discount %]]/100)))/10000000</f>
        <v>0.17520645600000001</v>
      </c>
      <c r="R1798" t="s">
        <v>42</v>
      </c>
      <c r="S1798" t="str" cm="1">
        <f t="array" ref="S1798">IFERROR(_xlfn.IFS(Table1[[#This Row],[Payment Status]]="Partial","In Transit",Table1[[#This Row],[Payment Status]]="Paid","Delivered",Table1[[#This Row],[Payment Status]]="Pending","Pending"),"Invalid Input")</f>
        <v>Pending</v>
      </c>
      <c r="T1798" t="s">
        <v>44</v>
      </c>
      <c r="U1798" t="str" cm="1">
        <f t="array" ref="U1798">IFERROR(_xlfn.IFS(Table1[[#This Row],[Payment Status]]="Partial","In Transit",Table1[[#This Row],[Payment Status]]="Paid","Completed",Table1[[#This Row],[Payment Status]]="Pending","Pending"),"Invalid Input")</f>
        <v>Pending</v>
      </c>
    </row>
    <row r="1799" spans="1:21" x14ac:dyDescent="0.25">
      <c r="A1799" s="4" t="s">
        <v>2960</v>
      </c>
      <c r="B1799" s="5">
        <v>45398</v>
      </c>
      <c r="C1799" t="s">
        <v>62</v>
      </c>
      <c r="D1799" t="s">
        <v>3270</v>
      </c>
      <c r="E1799" t="s">
        <v>38</v>
      </c>
      <c r="F1799" t="s">
        <v>3218</v>
      </c>
      <c r="G1799" t="s">
        <v>39</v>
      </c>
      <c r="H1799" t="str">
        <f>VLOOKUP(Table1[[#This Row],[City]],Table6[#All],2,FALSE)</f>
        <v>West</v>
      </c>
      <c r="I1799" t="s">
        <v>53</v>
      </c>
      <c r="J1799" t="str">
        <f>_xlfn.XLOOKUP(Table1[[#This Row],[Tractor Model]],Table7[Product Model],Table7[Product Category],"Not Available",0)</f>
        <v>Farmtrac</v>
      </c>
      <c r="K1799" s="4">
        <v>1</v>
      </c>
      <c r="L1799" s="72">
        <v>574504</v>
      </c>
      <c r="M1799" s="4">
        <f>INDEX('Master Sheet'!$C$4:$C$12,MATCH(Table1[[#This Row],[Quantity]],'Master Sheet'!$B$4:$B$12,0))</f>
        <v>3</v>
      </c>
      <c r="N1799" s="71">
        <f>Table1[[#This Row],[Quantity]]*Table1[[#This Row],[Unit Price]]</f>
        <v>574504</v>
      </c>
      <c r="O1799" s="73">
        <v>5.7450399999999999E-2</v>
      </c>
      <c r="P1799" s="70">
        <f>Table1[[#This Row],[Gross Amount]]*(1-(Table1[[#This Row],[Discount %]]/100))</f>
        <v>557268.88</v>
      </c>
      <c r="Q1799" s="74">
        <f>(Table1[[#This Row],[Gross Amount]]*(1-(Table1[[#This Row],[Discount %]]/100)))/10000000</f>
        <v>5.5726888000000002E-2</v>
      </c>
      <c r="R1799" t="s">
        <v>42</v>
      </c>
      <c r="S1799" t="str" cm="1">
        <f t="array" ref="S1799">IFERROR(_xlfn.IFS(Table1[[#This Row],[Payment Status]]="Partial","In Transit",Table1[[#This Row],[Payment Status]]="Paid","Delivered",Table1[[#This Row],[Payment Status]]="Pending","Pending"),"Invalid Input")</f>
        <v>Pending</v>
      </c>
      <c r="T1799" t="s">
        <v>44</v>
      </c>
      <c r="U1799" t="str" cm="1">
        <f t="array" ref="U1799">IFERROR(_xlfn.IFS(Table1[[#This Row],[Payment Status]]="Partial","In Transit",Table1[[#This Row],[Payment Status]]="Paid","Completed",Table1[[#This Row],[Payment Status]]="Pending","Pending"),"Invalid Input")</f>
        <v>Pending</v>
      </c>
    </row>
    <row r="1800" spans="1:21" x14ac:dyDescent="0.25">
      <c r="A1800" s="4" t="s">
        <v>2962</v>
      </c>
      <c r="B1800" s="5">
        <v>45380</v>
      </c>
      <c r="C1800" t="s">
        <v>33</v>
      </c>
      <c r="D1800" t="s">
        <v>3270</v>
      </c>
      <c r="E1800" t="s">
        <v>119</v>
      </c>
      <c r="F1800" t="s">
        <v>3212</v>
      </c>
      <c r="G1800" t="s">
        <v>21</v>
      </c>
      <c r="H1800" t="str">
        <f>VLOOKUP(Table1[[#This Row],[City]],Table6[#All],2,FALSE)</f>
        <v>North</v>
      </c>
      <c r="I1800" t="s">
        <v>24</v>
      </c>
      <c r="J1800" t="str">
        <f>_xlfn.XLOOKUP(Table1[[#This Row],[Tractor Model]],Table7[Product Model],Table7[Product Category],"Not Available",0)</f>
        <v>Farmtrac</v>
      </c>
      <c r="K1800" s="4">
        <v>8</v>
      </c>
      <c r="L1800" s="72">
        <v>744481</v>
      </c>
      <c r="M1800" s="4">
        <f>INDEX('Master Sheet'!$C$4:$C$12,MATCH(Table1[[#This Row],[Quantity]],'Master Sheet'!$B$4:$B$12,0))</f>
        <v>9</v>
      </c>
      <c r="N1800" s="71">
        <f>Table1[[#This Row],[Quantity]]*Table1[[#This Row],[Unit Price]]</f>
        <v>5955848</v>
      </c>
      <c r="O1800" s="73">
        <v>0.59558480000000003</v>
      </c>
      <c r="P1800" s="70">
        <f>Table1[[#This Row],[Gross Amount]]*(1-(Table1[[#This Row],[Discount %]]/100))</f>
        <v>5419821.6800000006</v>
      </c>
      <c r="Q1800" s="74">
        <f>(Table1[[#This Row],[Gross Amount]]*(1-(Table1[[#This Row],[Discount %]]/100)))/10000000</f>
        <v>0.5419821680000001</v>
      </c>
      <c r="R1800" t="s">
        <v>42</v>
      </c>
      <c r="S1800" t="str" cm="1">
        <f t="array" ref="S1800">IFERROR(_xlfn.IFS(Table1[[#This Row],[Payment Status]]="Partial","In Transit",Table1[[#This Row],[Payment Status]]="Paid","Delivered",Table1[[#This Row],[Payment Status]]="Pending","Pending"),"Invalid Input")</f>
        <v>Pending</v>
      </c>
      <c r="T1800" t="s">
        <v>27</v>
      </c>
      <c r="U1800" t="str" cm="1">
        <f t="array" ref="U1800">IFERROR(_xlfn.IFS(Table1[[#This Row],[Payment Status]]="Partial","In Transit",Table1[[#This Row],[Payment Status]]="Paid","Completed",Table1[[#This Row],[Payment Status]]="Pending","Pending"),"Invalid Input")</f>
        <v>Pending</v>
      </c>
    </row>
    <row r="1801" spans="1:21" x14ac:dyDescent="0.25">
      <c r="A1801" s="4" t="s">
        <v>2963</v>
      </c>
      <c r="B1801" s="5">
        <v>45439</v>
      </c>
      <c r="C1801" t="s">
        <v>62</v>
      </c>
      <c r="D1801" t="s">
        <v>3269</v>
      </c>
      <c r="E1801" t="s">
        <v>47</v>
      </c>
      <c r="F1801" t="s">
        <v>3209</v>
      </c>
      <c r="G1801" t="s">
        <v>48</v>
      </c>
      <c r="H1801" t="str">
        <f>VLOOKUP(Table1[[#This Row],[City]],Table6[#All],2,FALSE)</f>
        <v>North</v>
      </c>
      <c r="I1801" t="s">
        <v>58</v>
      </c>
      <c r="J1801" t="str">
        <f>_xlfn.XLOOKUP(Table1[[#This Row],[Tractor Model]],Table7[Product Model],Table7[Product Category],"Not Available",0)</f>
        <v>Powertrac</v>
      </c>
      <c r="K1801" s="4">
        <v>3</v>
      </c>
      <c r="L1801" s="72">
        <v>364650</v>
      </c>
      <c r="M1801" s="4">
        <f>INDEX('Master Sheet'!$C$4:$C$12,MATCH(Table1[[#This Row],[Quantity]],'Master Sheet'!$B$4:$B$12,0))</f>
        <v>6</v>
      </c>
      <c r="N1801" s="71">
        <f>Table1[[#This Row],[Quantity]]*Table1[[#This Row],[Unit Price]]</f>
        <v>1093950</v>
      </c>
      <c r="O1801" s="73">
        <v>0.10939500000000001</v>
      </c>
      <c r="P1801" s="70">
        <f>Table1[[#This Row],[Gross Amount]]*(1-(Table1[[#This Row],[Discount %]]/100))</f>
        <v>1028312.9999999999</v>
      </c>
      <c r="Q1801" s="74">
        <f>(Table1[[#This Row],[Gross Amount]]*(1-(Table1[[#This Row],[Discount %]]/100)))/10000000</f>
        <v>0.10283129999999999</v>
      </c>
      <c r="R1801" t="s">
        <v>54</v>
      </c>
      <c r="S1801" t="str" cm="1">
        <f t="array" ref="S1801">IFERROR(_xlfn.IFS(Table1[[#This Row],[Payment Status]]="Partial","In Transit",Table1[[#This Row],[Payment Status]]="Paid","Delivered",Table1[[#This Row],[Payment Status]]="Pending","Pending"),"Invalid Input")</f>
        <v>Delivered</v>
      </c>
      <c r="T1801" t="s">
        <v>27</v>
      </c>
      <c r="U1801" t="str" cm="1">
        <f t="array" ref="U1801">IFERROR(_xlfn.IFS(Table1[[#This Row],[Payment Status]]="Partial","In Transit",Table1[[#This Row],[Payment Status]]="Paid","Completed",Table1[[#This Row],[Payment Status]]="Pending","Pending"),"Invalid Input")</f>
        <v>Completed</v>
      </c>
    </row>
    <row r="1802" spans="1:21" x14ac:dyDescent="0.25">
      <c r="A1802" s="4" t="s">
        <v>2964</v>
      </c>
      <c r="B1802" s="5">
        <v>45664</v>
      </c>
      <c r="C1802" t="s">
        <v>73</v>
      </c>
      <c r="D1802" t="s">
        <v>3271</v>
      </c>
      <c r="E1802" t="s">
        <v>38</v>
      </c>
      <c r="F1802" t="s">
        <v>3210</v>
      </c>
      <c r="G1802" t="s">
        <v>39</v>
      </c>
      <c r="H1802" t="str">
        <f>VLOOKUP(Table1[[#This Row],[City]],Table6[#All],2,FALSE)</f>
        <v>West</v>
      </c>
      <c r="I1802" t="s">
        <v>3203</v>
      </c>
      <c r="J1802" t="str">
        <f>_xlfn.XLOOKUP(Table1[[#This Row],[Tractor Model]],Table7[Product Model],Table7[Product Category],"Not Available",0)</f>
        <v>Kubota</v>
      </c>
      <c r="K1802" s="4">
        <v>6</v>
      </c>
      <c r="L1802" s="72">
        <v>315709</v>
      </c>
      <c r="M1802" s="4">
        <f>INDEX('Master Sheet'!$C$4:$C$12,MATCH(Table1[[#This Row],[Quantity]],'Master Sheet'!$B$4:$B$12,0))</f>
        <v>8</v>
      </c>
      <c r="N1802" s="71">
        <f>Table1[[#This Row],[Quantity]]*Table1[[#This Row],[Unit Price]]</f>
        <v>1894254</v>
      </c>
      <c r="O1802" s="73">
        <v>0.18942539999999999</v>
      </c>
      <c r="P1802" s="70">
        <f>Table1[[#This Row],[Gross Amount]]*(1-(Table1[[#This Row],[Discount %]]/100))</f>
        <v>1742713.6800000002</v>
      </c>
      <c r="Q1802" s="74">
        <f>(Table1[[#This Row],[Gross Amount]]*(1-(Table1[[#This Row],[Discount %]]/100)))/10000000</f>
        <v>0.17427136800000001</v>
      </c>
      <c r="R1802" t="s">
        <v>25</v>
      </c>
      <c r="S1802" t="str" cm="1">
        <f t="array" ref="S1802">IFERROR(_xlfn.IFS(Table1[[#This Row],[Payment Status]]="Partial","In Transit",Table1[[#This Row],[Payment Status]]="Paid","Delivered",Table1[[#This Row],[Payment Status]]="Pending","Pending"),"Invalid Input")</f>
        <v>In Transit</v>
      </c>
      <c r="T1802" t="s">
        <v>27</v>
      </c>
      <c r="U1802" t="str" cm="1">
        <f t="array" ref="U1802">IFERROR(_xlfn.IFS(Table1[[#This Row],[Payment Status]]="Partial","In Transit",Table1[[#This Row],[Payment Status]]="Paid","Completed",Table1[[#This Row],[Payment Status]]="Pending","Pending"),"Invalid Input")</f>
        <v>In Transit</v>
      </c>
    </row>
    <row r="1803" spans="1:21" x14ac:dyDescent="0.25">
      <c r="A1803" s="4" t="s">
        <v>2965</v>
      </c>
      <c r="B1803" s="5">
        <v>45736</v>
      </c>
      <c r="C1803" t="s">
        <v>73</v>
      </c>
      <c r="D1803" t="s">
        <v>37</v>
      </c>
      <c r="E1803" t="s">
        <v>38</v>
      </c>
      <c r="F1803" t="s">
        <v>3214</v>
      </c>
      <c r="G1803" t="s">
        <v>39</v>
      </c>
      <c r="H1803" t="str">
        <f>VLOOKUP(Table1[[#This Row],[City]],Table6[#All],2,FALSE)</f>
        <v>West</v>
      </c>
      <c r="I1803" t="s">
        <v>58</v>
      </c>
      <c r="J1803" t="str">
        <f>_xlfn.XLOOKUP(Table1[[#This Row],[Tractor Model]],Table7[Product Model],Table7[Product Category],"Not Available",0)</f>
        <v>Powertrac</v>
      </c>
      <c r="K1803" s="4">
        <v>7</v>
      </c>
      <c r="L1803" s="72">
        <v>651047</v>
      </c>
      <c r="M1803" s="4">
        <f>INDEX('Master Sheet'!$C$4:$C$12,MATCH(Table1[[#This Row],[Quantity]],'Master Sheet'!$B$4:$B$12,0))</f>
        <v>9</v>
      </c>
      <c r="N1803" s="71">
        <f>Table1[[#This Row],[Quantity]]*Table1[[#This Row],[Unit Price]]</f>
        <v>4557329</v>
      </c>
      <c r="O1803" s="73">
        <v>0.4557329</v>
      </c>
      <c r="P1803" s="70">
        <f>Table1[[#This Row],[Gross Amount]]*(1-(Table1[[#This Row],[Discount %]]/100))</f>
        <v>4147169.39</v>
      </c>
      <c r="Q1803" s="74">
        <f>(Table1[[#This Row],[Gross Amount]]*(1-(Table1[[#This Row],[Discount %]]/100)))/10000000</f>
        <v>0.41471693900000001</v>
      </c>
      <c r="R1803" t="s">
        <v>25</v>
      </c>
      <c r="S1803" t="str" cm="1">
        <f t="array" ref="S1803">IFERROR(_xlfn.IFS(Table1[[#This Row],[Payment Status]]="Partial","In Transit",Table1[[#This Row],[Payment Status]]="Paid","Delivered",Table1[[#This Row],[Payment Status]]="Pending","Pending"),"Invalid Input")</f>
        <v>In Transit</v>
      </c>
      <c r="T1803" t="s">
        <v>27</v>
      </c>
      <c r="U1803" t="str" cm="1">
        <f t="array" ref="U1803">IFERROR(_xlfn.IFS(Table1[[#This Row],[Payment Status]]="Partial","In Transit",Table1[[#This Row],[Payment Status]]="Paid","Completed",Table1[[#This Row],[Payment Status]]="Pending","Pending"),"Invalid Input")</f>
        <v>In Transit</v>
      </c>
    </row>
    <row r="1804" spans="1:21" x14ac:dyDescent="0.25">
      <c r="A1804" s="4" t="s">
        <v>2967</v>
      </c>
      <c r="B1804" s="5">
        <v>45808</v>
      </c>
      <c r="C1804" t="s">
        <v>73</v>
      </c>
      <c r="D1804" t="s">
        <v>3268</v>
      </c>
      <c r="E1804" t="s">
        <v>66</v>
      </c>
      <c r="F1804" t="s">
        <v>3211</v>
      </c>
      <c r="G1804" t="s">
        <v>67</v>
      </c>
      <c r="H1804" t="str">
        <f>VLOOKUP(Table1[[#This Row],[City]],Table6[#All],2,FALSE)</f>
        <v>East</v>
      </c>
      <c r="I1804" t="s">
        <v>53</v>
      </c>
      <c r="J1804" t="str">
        <f>_xlfn.XLOOKUP(Table1[[#This Row],[Tractor Model]],Table7[Product Model],Table7[Product Category],"Not Available",0)</f>
        <v>Farmtrac</v>
      </c>
      <c r="K1804" s="4">
        <v>5</v>
      </c>
      <c r="L1804" s="72">
        <v>218091</v>
      </c>
      <c r="M1804" s="4">
        <f>INDEX('Master Sheet'!$C$4:$C$12,MATCH(Table1[[#This Row],[Quantity]],'Master Sheet'!$B$4:$B$12,0))</f>
        <v>7</v>
      </c>
      <c r="N1804" s="71">
        <f>Table1[[#This Row],[Quantity]]*Table1[[#This Row],[Unit Price]]</f>
        <v>1090455</v>
      </c>
      <c r="O1804" s="73">
        <v>0.1090455</v>
      </c>
      <c r="P1804" s="70">
        <f>Table1[[#This Row],[Gross Amount]]*(1-(Table1[[#This Row],[Discount %]]/100))</f>
        <v>1014123.1499999999</v>
      </c>
      <c r="Q1804" s="74">
        <f>(Table1[[#This Row],[Gross Amount]]*(1-(Table1[[#This Row],[Discount %]]/100)))/10000000</f>
        <v>0.10141231499999999</v>
      </c>
      <c r="R1804" t="s">
        <v>25</v>
      </c>
      <c r="S1804" t="str" cm="1">
        <f t="array" ref="S1804">IFERROR(_xlfn.IFS(Table1[[#This Row],[Payment Status]]="Partial","In Transit",Table1[[#This Row],[Payment Status]]="Paid","Delivered",Table1[[#This Row],[Payment Status]]="Pending","Pending"),"Invalid Input")</f>
        <v>In Transit</v>
      </c>
      <c r="T1804" t="s">
        <v>44</v>
      </c>
      <c r="U1804" t="str" cm="1">
        <f t="array" ref="U1804">IFERROR(_xlfn.IFS(Table1[[#This Row],[Payment Status]]="Partial","In Transit",Table1[[#This Row],[Payment Status]]="Paid","Completed",Table1[[#This Row],[Payment Status]]="Pending","Pending"),"Invalid Input")</f>
        <v>In Transit</v>
      </c>
    </row>
    <row r="1805" spans="1:21" x14ac:dyDescent="0.25">
      <c r="A1805" s="4" t="s">
        <v>2968</v>
      </c>
      <c r="B1805" s="5">
        <v>45330</v>
      </c>
      <c r="C1805" t="s">
        <v>52</v>
      </c>
      <c r="D1805" t="s">
        <v>3270</v>
      </c>
      <c r="E1805" t="s">
        <v>38</v>
      </c>
      <c r="F1805" t="s">
        <v>3218</v>
      </c>
      <c r="G1805" t="s">
        <v>39</v>
      </c>
      <c r="H1805" t="str">
        <f>VLOOKUP(Table1[[#This Row],[City]],Table6[#All],2,FALSE)</f>
        <v>West</v>
      </c>
      <c r="I1805" t="s">
        <v>3203</v>
      </c>
      <c r="J1805" t="str">
        <f>_xlfn.XLOOKUP(Table1[[#This Row],[Tractor Model]],Table7[Product Model],Table7[Product Category],"Not Available",0)</f>
        <v>Kubota</v>
      </c>
      <c r="K1805" s="4">
        <v>4</v>
      </c>
      <c r="L1805" s="72">
        <v>854956</v>
      </c>
      <c r="M1805" s="4">
        <f>INDEX('Master Sheet'!$C$4:$C$12,MATCH(Table1[[#This Row],[Quantity]],'Master Sheet'!$B$4:$B$12,0))</f>
        <v>6</v>
      </c>
      <c r="N1805" s="71">
        <f>Table1[[#This Row],[Quantity]]*Table1[[#This Row],[Unit Price]]</f>
        <v>3419824</v>
      </c>
      <c r="O1805" s="73">
        <v>0.34198240000000002</v>
      </c>
      <c r="P1805" s="70">
        <f>Table1[[#This Row],[Gross Amount]]*(1-(Table1[[#This Row],[Discount %]]/100))</f>
        <v>3214634.5599999996</v>
      </c>
      <c r="Q1805" s="74">
        <f>(Table1[[#This Row],[Gross Amount]]*(1-(Table1[[#This Row],[Discount %]]/100)))/10000000</f>
        <v>0.32146345599999998</v>
      </c>
      <c r="R1805" t="s">
        <v>54</v>
      </c>
      <c r="S1805" t="str" cm="1">
        <f t="array" ref="S1805">IFERROR(_xlfn.IFS(Table1[[#This Row],[Payment Status]]="Partial","In Transit",Table1[[#This Row],[Payment Status]]="Paid","Delivered",Table1[[#This Row],[Payment Status]]="Pending","Pending"),"Invalid Input")</f>
        <v>Delivered</v>
      </c>
      <c r="T1805" t="s">
        <v>27</v>
      </c>
      <c r="U1805" t="str" cm="1">
        <f t="array" ref="U1805">IFERROR(_xlfn.IFS(Table1[[#This Row],[Payment Status]]="Partial","In Transit",Table1[[#This Row],[Payment Status]]="Paid","Completed",Table1[[#This Row],[Payment Status]]="Pending","Pending"),"Invalid Input")</f>
        <v>Completed</v>
      </c>
    </row>
    <row r="1806" spans="1:21" x14ac:dyDescent="0.25">
      <c r="A1806" s="4" t="s">
        <v>2970</v>
      </c>
      <c r="B1806" s="5">
        <v>45820</v>
      </c>
      <c r="C1806" t="s">
        <v>41</v>
      </c>
      <c r="D1806" t="s">
        <v>3271</v>
      </c>
      <c r="E1806" t="s">
        <v>119</v>
      </c>
      <c r="F1806" t="s">
        <v>3228</v>
      </c>
      <c r="G1806" t="s">
        <v>21</v>
      </c>
      <c r="H1806" t="str">
        <f>VLOOKUP(Table1[[#This Row],[City]],Table6[#All],2,FALSE)</f>
        <v>North</v>
      </c>
      <c r="I1806" t="s">
        <v>58</v>
      </c>
      <c r="J1806" t="str">
        <f>_xlfn.XLOOKUP(Table1[[#This Row],[Tractor Model]],Table7[Product Model],Table7[Product Category],"Not Available",0)</f>
        <v>Powertrac</v>
      </c>
      <c r="K1806" s="4">
        <v>4</v>
      </c>
      <c r="L1806" s="72">
        <v>496708</v>
      </c>
      <c r="M1806" s="4">
        <f>INDEX('Master Sheet'!$C$4:$C$12,MATCH(Table1[[#This Row],[Quantity]],'Master Sheet'!$B$4:$B$12,0))</f>
        <v>6</v>
      </c>
      <c r="N1806" s="71">
        <f>Table1[[#This Row],[Quantity]]*Table1[[#This Row],[Unit Price]]</f>
        <v>1986832</v>
      </c>
      <c r="O1806" s="73">
        <v>0.1986832</v>
      </c>
      <c r="P1806" s="70">
        <f>Table1[[#This Row],[Gross Amount]]*(1-(Table1[[#This Row],[Discount %]]/100))</f>
        <v>1867622.0799999998</v>
      </c>
      <c r="Q1806" s="74">
        <f>(Table1[[#This Row],[Gross Amount]]*(1-(Table1[[#This Row],[Discount %]]/100)))/10000000</f>
        <v>0.18676220799999999</v>
      </c>
      <c r="R1806" t="s">
        <v>54</v>
      </c>
      <c r="S1806" t="str" cm="1">
        <f t="array" ref="S1806">IFERROR(_xlfn.IFS(Table1[[#This Row],[Payment Status]]="Partial","In Transit",Table1[[#This Row],[Payment Status]]="Paid","Delivered",Table1[[#This Row],[Payment Status]]="Pending","Pending"),"Invalid Input")</f>
        <v>Delivered</v>
      </c>
      <c r="T1806" t="s">
        <v>44</v>
      </c>
      <c r="U1806" t="str" cm="1">
        <f t="array" ref="U1806">IFERROR(_xlfn.IFS(Table1[[#This Row],[Payment Status]]="Partial","In Transit",Table1[[#This Row],[Payment Status]]="Paid","Completed",Table1[[#This Row],[Payment Status]]="Pending","Pending"),"Invalid Input")</f>
        <v>Completed</v>
      </c>
    </row>
    <row r="1807" spans="1:21" x14ac:dyDescent="0.25">
      <c r="A1807" s="4" t="s">
        <v>2971</v>
      </c>
      <c r="B1807" s="5">
        <v>45639</v>
      </c>
      <c r="C1807" t="s">
        <v>62</v>
      </c>
      <c r="D1807" t="s">
        <v>3270</v>
      </c>
      <c r="E1807" t="s">
        <v>30</v>
      </c>
      <c r="F1807" t="s">
        <v>3223</v>
      </c>
      <c r="G1807" t="s">
        <v>31</v>
      </c>
      <c r="H1807" t="str">
        <f>VLOOKUP(Table1[[#This Row],[City]],Table6[#All],2,FALSE)</f>
        <v>South</v>
      </c>
      <c r="I1807" t="s">
        <v>3203</v>
      </c>
      <c r="J1807" t="str">
        <f>_xlfn.XLOOKUP(Table1[[#This Row],[Tractor Model]],Table7[Product Model],Table7[Product Category],"Not Available",0)</f>
        <v>Kubota</v>
      </c>
      <c r="K1807" s="4">
        <v>2</v>
      </c>
      <c r="L1807" s="72">
        <v>443796</v>
      </c>
      <c r="M1807" s="4">
        <f>INDEX('Master Sheet'!$C$4:$C$12,MATCH(Table1[[#This Row],[Quantity]],'Master Sheet'!$B$4:$B$12,0))</f>
        <v>5</v>
      </c>
      <c r="N1807" s="71">
        <f>Table1[[#This Row],[Quantity]]*Table1[[#This Row],[Unit Price]]</f>
        <v>887592</v>
      </c>
      <c r="O1807" s="73">
        <v>8.8759199999999996E-2</v>
      </c>
      <c r="P1807" s="70">
        <f>Table1[[#This Row],[Gross Amount]]*(1-(Table1[[#This Row],[Discount %]]/100))</f>
        <v>843212.39999999991</v>
      </c>
      <c r="Q1807" s="74">
        <f>(Table1[[#This Row],[Gross Amount]]*(1-(Table1[[#This Row],[Discount %]]/100)))/10000000</f>
        <v>8.4321239999999992E-2</v>
      </c>
      <c r="R1807" t="s">
        <v>25</v>
      </c>
      <c r="S1807" t="str" cm="1">
        <f t="array" ref="S1807">IFERROR(_xlfn.IFS(Table1[[#This Row],[Payment Status]]="Partial","In Transit",Table1[[#This Row],[Payment Status]]="Paid","Delivered",Table1[[#This Row],[Payment Status]]="Pending","Pending"),"Invalid Input")</f>
        <v>In Transit</v>
      </c>
      <c r="T1807" t="s">
        <v>44</v>
      </c>
      <c r="U1807" t="str" cm="1">
        <f t="array" ref="U1807">IFERROR(_xlfn.IFS(Table1[[#This Row],[Payment Status]]="Partial","In Transit",Table1[[#This Row],[Payment Status]]="Paid","Completed",Table1[[#This Row],[Payment Status]]="Pending","Pending"),"Invalid Input")</f>
        <v>In Transit</v>
      </c>
    </row>
    <row r="1808" spans="1:21" x14ac:dyDescent="0.25">
      <c r="A1808" s="4" t="s">
        <v>2972</v>
      </c>
      <c r="B1808" s="5">
        <v>45682</v>
      </c>
      <c r="C1808" t="s">
        <v>41</v>
      </c>
      <c r="D1808" t="s">
        <v>3270</v>
      </c>
      <c r="E1808" t="s">
        <v>47</v>
      </c>
      <c r="F1808" t="s">
        <v>3205</v>
      </c>
      <c r="G1808" t="s">
        <v>48</v>
      </c>
      <c r="H1808" t="str">
        <f>VLOOKUP(Table1[[#This Row],[City]],Table6[#All],2,FALSE)</f>
        <v>North</v>
      </c>
      <c r="I1808" t="s">
        <v>53</v>
      </c>
      <c r="J1808" t="str">
        <f>_xlfn.XLOOKUP(Table1[[#This Row],[Tractor Model]],Table7[Product Model],Table7[Product Category],"Not Available",0)</f>
        <v>Farmtrac</v>
      </c>
      <c r="K1808" s="4">
        <v>7</v>
      </c>
      <c r="L1808" s="72">
        <v>896602</v>
      </c>
      <c r="M1808" s="4">
        <f>INDEX('Master Sheet'!$C$4:$C$12,MATCH(Table1[[#This Row],[Quantity]],'Master Sheet'!$B$4:$B$12,0))</f>
        <v>9</v>
      </c>
      <c r="N1808" s="71">
        <f>Table1[[#This Row],[Quantity]]*Table1[[#This Row],[Unit Price]]</f>
        <v>6276214</v>
      </c>
      <c r="O1808" s="73">
        <v>0.6276214</v>
      </c>
      <c r="P1808" s="70">
        <f>Table1[[#This Row],[Gross Amount]]*(1-(Table1[[#This Row],[Discount %]]/100))</f>
        <v>5711354.7400000002</v>
      </c>
      <c r="Q1808" s="74">
        <f>(Table1[[#This Row],[Gross Amount]]*(1-(Table1[[#This Row],[Discount %]]/100)))/10000000</f>
        <v>0.57113547399999998</v>
      </c>
      <c r="R1808" t="s">
        <v>25</v>
      </c>
      <c r="S1808" t="str" cm="1">
        <f t="array" ref="S1808">IFERROR(_xlfn.IFS(Table1[[#This Row],[Payment Status]]="Partial","In Transit",Table1[[#This Row],[Payment Status]]="Paid","Delivered",Table1[[#This Row],[Payment Status]]="Pending","Pending"),"Invalid Input")</f>
        <v>In Transit</v>
      </c>
      <c r="T1808" t="s">
        <v>27</v>
      </c>
      <c r="U1808" t="str" cm="1">
        <f t="array" ref="U1808">IFERROR(_xlfn.IFS(Table1[[#This Row],[Payment Status]]="Partial","In Transit",Table1[[#This Row],[Payment Status]]="Paid","Completed",Table1[[#This Row],[Payment Status]]="Pending","Pending"),"Invalid Input")</f>
        <v>In Transit</v>
      </c>
    </row>
    <row r="1809" spans="1:21" x14ac:dyDescent="0.25">
      <c r="A1809" s="4" t="s">
        <v>2973</v>
      </c>
      <c r="B1809" s="5">
        <v>45782</v>
      </c>
      <c r="C1809" t="s">
        <v>73</v>
      </c>
      <c r="D1809" t="s">
        <v>37</v>
      </c>
      <c r="E1809" t="s">
        <v>66</v>
      </c>
      <c r="F1809" t="s">
        <v>3226</v>
      </c>
      <c r="G1809" t="s">
        <v>67</v>
      </c>
      <c r="H1809" t="str">
        <f>VLOOKUP(Table1[[#This Row],[City]],Table6[#All],2,FALSE)</f>
        <v>East</v>
      </c>
      <c r="I1809" t="s">
        <v>24</v>
      </c>
      <c r="J1809" t="str">
        <f>_xlfn.XLOOKUP(Table1[[#This Row],[Tractor Model]],Table7[Product Model],Table7[Product Category],"Not Available",0)</f>
        <v>Farmtrac</v>
      </c>
      <c r="K1809" s="4">
        <v>1</v>
      </c>
      <c r="L1809" s="72">
        <v>270412</v>
      </c>
      <c r="M1809" s="4">
        <f>INDEX('Master Sheet'!$C$4:$C$12,MATCH(Table1[[#This Row],[Quantity]],'Master Sheet'!$B$4:$B$12,0))</f>
        <v>3</v>
      </c>
      <c r="N1809" s="71">
        <f>Table1[[#This Row],[Quantity]]*Table1[[#This Row],[Unit Price]]</f>
        <v>270412</v>
      </c>
      <c r="O1809" s="73">
        <v>2.7041200000000001E-2</v>
      </c>
      <c r="P1809" s="70">
        <f>Table1[[#This Row],[Gross Amount]]*(1-(Table1[[#This Row],[Discount %]]/100))</f>
        <v>262299.64</v>
      </c>
      <c r="Q1809" s="74">
        <f>(Table1[[#This Row],[Gross Amount]]*(1-(Table1[[#This Row],[Discount %]]/100)))/10000000</f>
        <v>2.6229964000000001E-2</v>
      </c>
      <c r="R1809" t="s">
        <v>54</v>
      </c>
      <c r="S1809" t="str" cm="1">
        <f t="array" ref="S1809">IFERROR(_xlfn.IFS(Table1[[#This Row],[Payment Status]]="Partial","In Transit",Table1[[#This Row],[Payment Status]]="Paid","Delivered",Table1[[#This Row],[Payment Status]]="Pending","Pending"),"Invalid Input")</f>
        <v>Delivered</v>
      </c>
      <c r="T1809" t="s">
        <v>44</v>
      </c>
      <c r="U1809" t="str" cm="1">
        <f t="array" ref="U1809">IFERROR(_xlfn.IFS(Table1[[#This Row],[Payment Status]]="Partial","In Transit",Table1[[#This Row],[Payment Status]]="Paid","Completed",Table1[[#This Row],[Payment Status]]="Pending","Pending"),"Invalid Input")</f>
        <v>Completed</v>
      </c>
    </row>
    <row r="1810" spans="1:21" x14ac:dyDescent="0.25">
      <c r="A1810" s="4" t="s">
        <v>2975</v>
      </c>
      <c r="B1810" s="5">
        <v>45627</v>
      </c>
      <c r="C1810" t="s">
        <v>73</v>
      </c>
      <c r="D1810" t="s">
        <v>3271</v>
      </c>
      <c r="E1810" t="s">
        <v>66</v>
      </c>
      <c r="F1810" t="s">
        <v>3207</v>
      </c>
      <c r="G1810" t="s">
        <v>67</v>
      </c>
      <c r="H1810" t="str">
        <f>VLOOKUP(Table1[[#This Row],[City]],Table6[#All],2,FALSE)</f>
        <v>East</v>
      </c>
      <c r="I1810" t="s">
        <v>58</v>
      </c>
      <c r="J1810" t="str">
        <f>_xlfn.XLOOKUP(Table1[[#This Row],[Tractor Model]],Table7[Product Model],Table7[Product Category],"Not Available",0)</f>
        <v>Powertrac</v>
      </c>
      <c r="K1810" s="4">
        <v>8</v>
      </c>
      <c r="L1810" s="72">
        <v>446827</v>
      </c>
      <c r="M1810" s="4">
        <f>INDEX('Master Sheet'!$C$4:$C$12,MATCH(Table1[[#This Row],[Quantity]],'Master Sheet'!$B$4:$B$12,0))</f>
        <v>9</v>
      </c>
      <c r="N1810" s="71">
        <f>Table1[[#This Row],[Quantity]]*Table1[[#This Row],[Unit Price]]</f>
        <v>3574616</v>
      </c>
      <c r="O1810" s="73">
        <v>0.35746159999999999</v>
      </c>
      <c r="P1810" s="70">
        <f>Table1[[#This Row],[Gross Amount]]*(1-(Table1[[#This Row],[Discount %]]/100))</f>
        <v>3252900.56</v>
      </c>
      <c r="Q1810" s="74">
        <f>(Table1[[#This Row],[Gross Amount]]*(1-(Table1[[#This Row],[Discount %]]/100)))/10000000</f>
        <v>0.32529005599999999</v>
      </c>
      <c r="R1810" t="s">
        <v>42</v>
      </c>
      <c r="S1810" t="str" cm="1">
        <f t="array" ref="S1810">IFERROR(_xlfn.IFS(Table1[[#This Row],[Payment Status]]="Partial","In Transit",Table1[[#This Row],[Payment Status]]="Paid","Delivered",Table1[[#This Row],[Payment Status]]="Pending","Pending"),"Invalid Input")</f>
        <v>Pending</v>
      </c>
      <c r="T1810" t="s">
        <v>27</v>
      </c>
      <c r="U1810" t="str" cm="1">
        <f t="array" ref="U1810">IFERROR(_xlfn.IFS(Table1[[#This Row],[Payment Status]]="Partial","In Transit",Table1[[#This Row],[Payment Status]]="Paid","Completed",Table1[[#This Row],[Payment Status]]="Pending","Pending"),"Invalid Input")</f>
        <v>Pending</v>
      </c>
    </row>
    <row r="1811" spans="1:21" x14ac:dyDescent="0.25">
      <c r="A1811" s="4" t="s">
        <v>2976</v>
      </c>
      <c r="B1811" s="5">
        <v>45335</v>
      </c>
      <c r="C1811" t="s">
        <v>73</v>
      </c>
      <c r="D1811" t="s">
        <v>3268</v>
      </c>
      <c r="E1811" t="s">
        <v>119</v>
      </c>
      <c r="F1811" t="s">
        <v>3227</v>
      </c>
      <c r="G1811" t="s">
        <v>21</v>
      </c>
      <c r="H1811" t="str">
        <f>VLOOKUP(Table1[[#This Row],[City]],Table6[#All],2,FALSE)</f>
        <v>North</v>
      </c>
      <c r="I1811" t="s">
        <v>58</v>
      </c>
      <c r="J1811" t="str">
        <f>_xlfn.XLOOKUP(Table1[[#This Row],[Tractor Model]],Table7[Product Model],Table7[Product Category],"Not Available",0)</f>
        <v>Powertrac</v>
      </c>
      <c r="K1811" s="4">
        <v>8</v>
      </c>
      <c r="L1811" s="72">
        <v>196038</v>
      </c>
      <c r="M1811" s="4">
        <f>INDEX('Master Sheet'!$C$4:$C$12,MATCH(Table1[[#This Row],[Quantity]],'Master Sheet'!$B$4:$B$12,0))</f>
        <v>9</v>
      </c>
      <c r="N1811" s="71">
        <f>Table1[[#This Row],[Quantity]]*Table1[[#This Row],[Unit Price]]</f>
        <v>1568304</v>
      </c>
      <c r="O1811" s="73">
        <v>0.15683040000000001</v>
      </c>
      <c r="P1811" s="70">
        <f>Table1[[#This Row],[Gross Amount]]*(1-(Table1[[#This Row],[Discount %]]/100))</f>
        <v>1427156.6400000001</v>
      </c>
      <c r="Q1811" s="74">
        <f>(Table1[[#This Row],[Gross Amount]]*(1-(Table1[[#This Row],[Discount %]]/100)))/10000000</f>
        <v>0.14271566400000002</v>
      </c>
      <c r="R1811" t="s">
        <v>42</v>
      </c>
      <c r="S1811" t="str" cm="1">
        <f t="array" ref="S1811">IFERROR(_xlfn.IFS(Table1[[#This Row],[Payment Status]]="Partial","In Transit",Table1[[#This Row],[Payment Status]]="Paid","Delivered",Table1[[#This Row],[Payment Status]]="Pending","Pending"),"Invalid Input")</f>
        <v>Pending</v>
      </c>
      <c r="T1811" t="s">
        <v>27</v>
      </c>
      <c r="U1811" t="str" cm="1">
        <f t="array" ref="U1811">IFERROR(_xlfn.IFS(Table1[[#This Row],[Payment Status]]="Partial","In Transit",Table1[[#This Row],[Payment Status]]="Paid","Completed",Table1[[#This Row],[Payment Status]]="Pending","Pending"),"Invalid Input")</f>
        <v>Pending</v>
      </c>
    </row>
    <row r="1812" spans="1:21" x14ac:dyDescent="0.25">
      <c r="A1812" s="4" t="s">
        <v>2978</v>
      </c>
      <c r="B1812" s="5">
        <v>45678</v>
      </c>
      <c r="C1812" t="s">
        <v>41</v>
      </c>
      <c r="D1812" t="s">
        <v>3270</v>
      </c>
      <c r="E1812" t="s">
        <v>66</v>
      </c>
      <c r="F1812" t="s">
        <v>3220</v>
      </c>
      <c r="G1812" t="s">
        <v>67</v>
      </c>
      <c r="H1812" t="str">
        <f>VLOOKUP(Table1[[#This Row],[City]],Table6[#All],2,FALSE)</f>
        <v>East</v>
      </c>
      <c r="I1812" t="s">
        <v>3204</v>
      </c>
      <c r="J1812" t="str">
        <f>_xlfn.XLOOKUP(Table1[[#This Row],[Tractor Model]],Table7[Product Model],Table7[Product Category],"Not Available",0)</f>
        <v>Kubota</v>
      </c>
      <c r="K1812" s="4">
        <v>8</v>
      </c>
      <c r="L1812" s="72">
        <v>525803</v>
      </c>
      <c r="M1812" s="4">
        <f>INDEX('Master Sheet'!$C$4:$C$12,MATCH(Table1[[#This Row],[Quantity]],'Master Sheet'!$B$4:$B$12,0))</f>
        <v>9</v>
      </c>
      <c r="N1812" s="71">
        <f>Table1[[#This Row],[Quantity]]*Table1[[#This Row],[Unit Price]]</f>
        <v>4206424</v>
      </c>
      <c r="O1812" s="73">
        <v>0.42064240000000003</v>
      </c>
      <c r="P1812" s="70">
        <f>Table1[[#This Row],[Gross Amount]]*(1-(Table1[[#This Row],[Discount %]]/100))</f>
        <v>3827845.8400000003</v>
      </c>
      <c r="Q1812" s="74">
        <f>(Table1[[#This Row],[Gross Amount]]*(1-(Table1[[#This Row],[Discount %]]/100)))/10000000</f>
        <v>0.38278458400000004</v>
      </c>
      <c r="R1812" t="s">
        <v>25</v>
      </c>
      <c r="S1812" t="str" cm="1">
        <f t="array" ref="S1812">IFERROR(_xlfn.IFS(Table1[[#This Row],[Payment Status]]="Partial","In Transit",Table1[[#This Row],[Payment Status]]="Paid","Delivered",Table1[[#This Row],[Payment Status]]="Pending","Pending"),"Invalid Input")</f>
        <v>In Transit</v>
      </c>
      <c r="T1812" t="s">
        <v>27</v>
      </c>
      <c r="U1812" t="str" cm="1">
        <f t="array" ref="U1812">IFERROR(_xlfn.IFS(Table1[[#This Row],[Payment Status]]="Partial","In Transit",Table1[[#This Row],[Payment Status]]="Paid","Completed",Table1[[#This Row],[Payment Status]]="Pending","Pending"),"Invalid Input")</f>
        <v>In Transit</v>
      </c>
    </row>
    <row r="1813" spans="1:21" x14ac:dyDescent="0.25">
      <c r="A1813" s="4" t="s">
        <v>2979</v>
      </c>
      <c r="B1813" s="5">
        <v>45613</v>
      </c>
      <c r="C1813" t="s">
        <v>73</v>
      </c>
      <c r="D1813" t="s">
        <v>3269</v>
      </c>
      <c r="E1813" t="s">
        <v>38</v>
      </c>
      <c r="F1813" t="s">
        <v>3206</v>
      </c>
      <c r="G1813" t="s">
        <v>39</v>
      </c>
      <c r="H1813" t="str">
        <f>VLOOKUP(Table1[[#This Row],[City]],Table6[#All],2,FALSE)</f>
        <v>West</v>
      </c>
      <c r="I1813" t="s">
        <v>53</v>
      </c>
      <c r="J1813" t="str">
        <f>_xlfn.XLOOKUP(Table1[[#This Row],[Tractor Model]],Table7[Product Model],Table7[Product Category],"Not Available",0)</f>
        <v>Farmtrac</v>
      </c>
      <c r="K1813" s="4">
        <v>6</v>
      </c>
      <c r="L1813" s="72">
        <v>528163</v>
      </c>
      <c r="M1813" s="4">
        <f>INDEX('Master Sheet'!$C$4:$C$12,MATCH(Table1[[#This Row],[Quantity]],'Master Sheet'!$B$4:$B$12,0))</f>
        <v>8</v>
      </c>
      <c r="N1813" s="71">
        <f>Table1[[#This Row],[Quantity]]*Table1[[#This Row],[Unit Price]]</f>
        <v>3168978</v>
      </c>
      <c r="O1813" s="73">
        <v>0.31689780000000001</v>
      </c>
      <c r="P1813" s="70">
        <f>Table1[[#This Row],[Gross Amount]]*(1-(Table1[[#This Row],[Discount %]]/100))</f>
        <v>2915459.7600000002</v>
      </c>
      <c r="Q1813" s="74">
        <f>(Table1[[#This Row],[Gross Amount]]*(1-(Table1[[#This Row],[Discount %]]/100)))/10000000</f>
        <v>0.29154597600000004</v>
      </c>
      <c r="R1813" t="s">
        <v>25</v>
      </c>
      <c r="S1813" t="str" cm="1">
        <f t="array" ref="S1813">IFERROR(_xlfn.IFS(Table1[[#This Row],[Payment Status]]="Partial","In Transit",Table1[[#This Row],[Payment Status]]="Paid","Delivered",Table1[[#This Row],[Payment Status]]="Pending","Pending"),"Invalid Input")</f>
        <v>In Transit</v>
      </c>
      <c r="T1813" t="s">
        <v>27</v>
      </c>
      <c r="U1813" t="str" cm="1">
        <f t="array" ref="U1813">IFERROR(_xlfn.IFS(Table1[[#This Row],[Payment Status]]="Partial","In Transit",Table1[[#This Row],[Payment Status]]="Paid","Completed",Table1[[#This Row],[Payment Status]]="Pending","Pending"),"Invalid Input")</f>
        <v>In Transit</v>
      </c>
    </row>
    <row r="1814" spans="1:21" x14ac:dyDescent="0.25">
      <c r="A1814" s="4" t="s">
        <v>2980</v>
      </c>
      <c r="B1814" s="5">
        <v>45486</v>
      </c>
      <c r="C1814" t="s">
        <v>41</v>
      </c>
      <c r="D1814" t="s">
        <v>3270</v>
      </c>
      <c r="E1814" t="s">
        <v>38</v>
      </c>
      <c r="F1814" t="s">
        <v>3218</v>
      </c>
      <c r="G1814" t="s">
        <v>39</v>
      </c>
      <c r="H1814" t="str">
        <f>VLOOKUP(Table1[[#This Row],[City]],Table6[#All],2,FALSE)</f>
        <v>West</v>
      </c>
      <c r="I1814" t="s">
        <v>24</v>
      </c>
      <c r="J1814" t="str">
        <f>_xlfn.XLOOKUP(Table1[[#This Row],[Tractor Model]],Table7[Product Model],Table7[Product Category],"Not Available",0)</f>
        <v>Farmtrac</v>
      </c>
      <c r="K1814" s="4">
        <v>4</v>
      </c>
      <c r="L1814" s="72">
        <v>382932</v>
      </c>
      <c r="M1814" s="4">
        <f>INDEX('Master Sheet'!$C$4:$C$12,MATCH(Table1[[#This Row],[Quantity]],'Master Sheet'!$B$4:$B$12,0))</f>
        <v>6</v>
      </c>
      <c r="N1814" s="71">
        <f>Table1[[#This Row],[Quantity]]*Table1[[#This Row],[Unit Price]]</f>
        <v>1531728</v>
      </c>
      <c r="O1814" s="73">
        <v>0.1531728</v>
      </c>
      <c r="P1814" s="70">
        <f>Table1[[#This Row],[Gross Amount]]*(1-(Table1[[#This Row],[Discount %]]/100))</f>
        <v>1439824.3199999998</v>
      </c>
      <c r="Q1814" s="74">
        <f>(Table1[[#This Row],[Gross Amount]]*(1-(Table1[[#This Row],[Discount %]]/100)))/10000000</f>
        <v>0.14398243199999999</v>
      </c>
      <c r="R1814" t="s">
        <v>25</v>
      </c>
      <c r="S1814" t="str" cm="1">
        <f t="array" ref="S1814">IFERROR(_xlfn.IFS(Table1[[#This Row],[Payment Status]]="Partial","In Transit",Table1[[#This Row],[Payment Status]]="Paid","Delivered",Table1[[#This Row],[Payment Status]]="Pending","Pending"),"Invalid Input")</f>
        <v>In Transit</v>
      </c>
      <c r="T1814" t="s">
        <v>27</v>
      </c>
      <c r="U1814" t="str" cm="1">
        <f t="array" ref="U1814">IFERROR(_xlfn.IFS(Table1[[#This Row],[Payment Status]]="Partial","In Transit",Table1[[#This Row],[Payment Status]]="Paid","Completed",Table1[[#This Row],[Payment Status]]="Pending","Pending"),"Invalid Input")</f>
        <v>In Transit</v>
      </c>
    </row>
    <row r="1815" spans="1:21" x14ac:dyDescent="0.25">
      <c r="A1815" s="4" t="s">
        <v>2982</v>
      </c>
      <c r="B1815" s="5">
        <v>45778</v>
      </c>
      <c r="C1815" t="s">
        <v>41</v>
      </c>
      <c r="D1815" t="s">
        <v>37</v>
      </c>
      <c r="E1815" t="s">
        <v>47</v>
      </c>
      <c r="F1815" t="s">
        <v>3215</v>
      </c>
      <c r="G1815" t="s">
        <v>48</v>
      </c>
      <c r="H1815" t="str">
        <f>VLOOKUP(Table1[[#This Row],[City]],Table6[#All],2,FALSE)</f>
        <v>North</v>
      </c>
      <c r="I1815" t="s">
        <v>53</v>
      </c>
      <c r="J1815" t="str">
        <f>_xlfn.XLOOKUP(Table1[[#This Row],[Tractor Model]],Table7[Product Model],Table7[Product Category],"Not Available",0)</f>
        <v>Farmtrac</v>
      </c>
      <c r="K1815" s="4">
        <v>3</v>
      </c>
      <c r="L1815" s="72">
        <v>354850</v>
      </c>
      <c r="M1815" s="4">
        <f>INDEX('Master Sheet'!$C$4:$C$12,MATCH(Table1[[#This Row],[Quantity]],'Master Sheet'!$B$4:$B$12,0))</f>
        <v>6</v>
      </c>
      <c r="N1815" s="71">
        <f>Table1[[#This Row],[Quantity]]*Table1[[#This Row],[Unit Price]]</f>
        <v>1064550</v>
      </c>
      <c r="O1815" s="73">
        <v>0.10645499999999999</v>
      </c>
      <c r="P1815" s="70">
        <f>Table1[[#This Row],[Gross Amount]]*(1-(Table1[[#This Row],[Discount %]]/100))</f>
        <v>1000677</v>
      </c>
      <c r="Q1815" s="74">
        <f>(Table1[[#This Row],[Gross Amount]]*(1-(Table1[[#This Row],[Discount %]]/100)))/10000000</f>
        <v>0.1000677</v>
      </c>
      <c r="R1815" t="s">
        <v>54</v>
      </c>
      <c r="S1815" t="str" cm="1">
        <f t="array" ref="S1815">IFERROR(_xlfn.IFS(Table1[[#This Row],[Payment Status]]="Partial","In Transit",Table1[[#This Row],[Payment Status]]="Paid","Delivered",Table1[[#This Row],[Payment Status]]="Pending","Pending"),"Invalid Input")</f>
        <v>Delivered</v>
      </c>
      <c r="T1815" t="s">
        <v>27</v>
      </c>
      <c r="U1815" t="str" cm="1">
        <f t="array" ref="U1815">IFERROR(_xlfn.IFS(Table1[[#This Row],[Payment Status]]="Partial","In Transit",Table1[[#This Row],[Payment Status]]="Paid","Completed",Table1[[#This Row],[Payment Status]]="Pending","Pending"),"Invalid Input")</f>
        <v>Completed</v>
      </c>
    </row>
    <row r="1816" spans="1:21" x14ac:dyDescent="0.25">
      <c r="A1816" s="4" t="s">
        <v>2984</v>
      </c>
      <c r="B1816" s="5">
        <v>45745</v>
      </c>
      <c r="C1816" t="s">
        <v>52</v>
      </c>
      <c r="D1816" t="s">
        <v>3268</v>
      </c>
      <c r="E1816" t="s">
        <v>66</v>
      </c>
      <c r="F1816" t="s">
        <v>3211</v>
      </c>
      <c r="G1816" t="s">
        <v>67</v>
      </c>
      <c r="H1816" t="str">
        <f>VLOOKUP(Table1[[#This Row],[City]],Table6[#All],2,FALSE)</f>
        <v>East</v>
      </c>
      <c r="I1816" t="s">
        <v>58</v>
      </c>
      <c r="J1816" t="str">
        <f>_xlfn.XLOOKUP(Table1[[#This Row],[Tractor Model]],Table7[Product Model],Table7[Product Category],"Not Available",0)</f>
        <v>Powertrac</v>
      </c>
      <c r="K1816" s="4">
        <v>8</v>
      </c>
      <c r="L1816" s="72">
        <v>236526</v>
      </c>
      <c r="M1816" s="4">
        <f>INDEX('Master Sheet'!$C$4:$C$12,MATCH(Table1[[#This Row],[Quantity]],'Master Sheet'!$B$4:$B$12,0))</f>
        <v>9</v>
      </c>
      <c r="N1816" s="71">
        <f>Table1[[#This Row],[Quantity]]*Table1[[#This Row],[Unit Price]]</f>
        <v>1892208</v>
      </c>
      <c r="O1816" s="73">
        <v>0.18922079999999999</v>
      </c>
      <c r="P1816" s="70">
        <f>Table1[[#This Row],[Gross Amount]]*(1-(Table1[[#This Row],[Discount %]]/100))</f>
        <v>1721909.28</v>
      </c>
      <c r="Q1816" s="74">
        <f>(Table1[[#This Row],[Gross Amount]]*(1-(Table1[[#This Row],[Discount %]]/100)))/10000000</f>
        <v>0.17219092799999999</v>
      </c>
      <c r="R1816" t="s">
        <v>54</v>
      </c>
      <c r="S1816" t="str" cm="1">
        <f t="array" ref="S1816">IFERROR(_xlfn.IFS(Table1[[#This Row],[Payment Status]]="Partial","In Transit",Table1[[#This Row],[Payment Status]]="Paid","Delivered",Table1[[#This Row],[Payment Status]]="Pending","Pending"),"Invalid Input")</f>
        <v>Delivered</v>
      </c>
      <c r="T1816" t="s">
        <v>27</v>
      </c>
      <c r="U1816" t="str" cm="1">
        <f t="array" ref="U1816">IFERROR(_xlfn.IFS(Table1[[#This Row],[Payment Status]]="Partial","In Transit",Table1[[#This Row],[Payment Status]]="Paid","Completed",Table1[[#This Row],[Payment Status]]="Pending","Pending"),"Invalid Input")</f>
        <v>Completed</v>
      </c>
    </row>
    <row r="1817" spans="1:21" x14ac:dyDescent="0.25">
      <c r="A1817" s="4" t="s">
        <v>2985</v>
      </c>
      <c r="B1817" s="5">
        <v>45423</v>
      </c>
      <c r="C1817" t="s">
        <v>52</v>
      </c>
      <c r="D1817" t="s">
        <v>3270</v>
      </c>
      <c r="E1817" t="s">
        <v>38</v>
      </c>
      <c r="F1817" t="s">
        <v>3218</v>
      </c>
      <c r="G1817" t="s">
        <v>39</v>
      </c>
      <c r="H1817" t="str">
        <f>VLOOKUP(Table1[[#This Row],[City]],Table6[#All],2,FALSE)</f>
        <v>West</v>
      </c>
      <c r="I1817" t="s">
        <v>3203</v>
      </c>
      <c r="J1817" t="str">
        <f>_xlfn.XLOOKUP(Table1[[#This Row],[Tractor Model]],Table7[Product Model],Table7[Product Category],"Not Available",0)</f>
        <v>Kubota</v>
      </c>
      <c r="K1817" s="4">
        <v>2</v>
      </c>
      <c r="L1817" s="72">
        <v>297224</v>
      </c>
      <c r="M1817" s="4">
        <f>INDEX('Master Sheet'!$C$4:$C$12,MATCH(Table1[[#This Row],[Quantity]],'Master Sheet'!$B$4:$B$12,0))</f>
        <v>5</v>
      </c>
      <c r="N1817" s="71">
        <f>Table1[[#This Row],[Quantity]]*Table1[[#This Row],[Unit Price]]</f>
        <v>594448</v>
      </c>
      <c r="O1817" s="73">
        <v>5.9444799999999999E-2</v>
      </c>
      <c r="P1817" s="70">
        <f>Table1[[#This Row],[Gross Amount]]*(1-(Table1[[#This Row],[Discount %]]/100))</f>
        <v>564725.6</v>
      </c>
      <c r="Q1817" s="74">
        <f>(Table1[[#This Row],[Gross Amount]]*(1-(Table1[[#This Row],[Discount %]]/100)))/10000000</f>
        <v>5.6472559999999998E-2</v>
      </c>
      <c r="R1817" t="s">
        <v>54</v>
      </c>
      <c r="S1817" t="str" cm="1">
        <f t="array" ref="S1817">IFERROR(_xlfn.IFS(Table1[[#This Row],[Payment Status]]="Partial","In Transit",Table1[[#This Row],[Payment Status]]="Paid","Delivered",Table1[[#This Row],[Payment Status]]="Pending","Pending"),"Invalid Input")</f>
        <v>Delivered</v>
      </c>
      <c r="T1817" t="s">
        <v>27</v>
      </c>
      <c r="U1817" t="str" cm="1">
        <f t="array" ref="U1817">IFERROR(_xlfn.IFS(Table1[[#This Row],[Payment Status]]="Partial","In Transit",Table1[[#This Row],[Payment Status]]="Paid","Completed",Table1[[#This Row],[Payment Status]]="Pending","Pending"),"Invalid Input")</f>
        <v>Completed</v>
      </c>
    </row>
    <row r="1818" spans="1:21" x14ac:dyDescent="0.25">
      <c r="A1818" s="4" t="s">
        <v>2986</v>
      </c>
      <c r="B1818" s="5">
        <v>45378</v>
      </c>
      <c r="C1818" t="s">
        <v>73</v>
      </c>
      <c r="D1818" t="s">
        <v>3270</v>
      </c>
      <c r="E1818" t="s">
        <v>38</v>
      </c>
      <c r="F1818" t="s">
        <v>3218</v>
      </c>
      <c r="G1818" t="s">
        <v>39</v>
      </c>
      <c r="H1818" t="str">
        <f>VLOOKUP(Table1[[#This Row],[City]],Table6[#All],2,FALSE)</f>
        <v>West</v>
      </c>
      <c r="I1818" t="s">
        <v>3203</v>
      </c>
      <c r="J1818" t="str">
        <f>_xlfn.XLOOKUP(Table1[[#This Row],[Tractor Model]],Table7[Product Model],Table7[Product Category],"Not Available",0)</f>
        <v>Kubota</v>
      </c>
      <c r="K1818" s="4">
        <v>3</v>
      </c>
      <c r="L1818" s="72">
        <v>740982</v>
      </c>
      <c r="M1818" s="4">
        <f>INDEX('Master Sheet'!$C$4:$C$12,MATCH(Table1[[#This Row],[Quantity]],'Master Sheet'!$B$4:$B$12,0))</f>
        <v>6</v>
      </c>
      <c r="N1818" s="71">
        <f>Table1[[#This Row],[Quantity]]*Table1[[#This Row],[Unit Price]]</f>
        <v>2222946</v>
      </c>
      <c r="O1818" s="73">
        <v>0.22229460000000001</v>
      </c>
      <c r="P1818" s="70">
        <f>Table1[[#This Row],[Gross Amount]]*(1-(Table1[[#This Row],[Discount %]]/100))</f>
        <v>2089569.24</v>
      </c>
      <c r="Q1818" s="74">
        <f>(Table1[[#This Row],[Gross Amount]]*(1-(Table1[[#This Row],[Discount %]]/100)))/10000000</f>
        <v>0.20895692399999999</v>
      </c>
      <c r="R1818" t="s">
        <v>42</v>
      </c>
      <c r="S1818" t="str" cm="1">
        <f t="array" ref="S1818">IFERROR(_xlfn.IFS(Table1[[#This Row],[Payment Status]]="Partial","In Transit",Table1[[#This Row],[Payment Status]]="Paid","Delivered",Table1[[#This Row],[Payment Status]]="Pending","Pending"),"Invalid Input")</f>
        <v>Pending</v>
      </c>
      <c r="T1818" t="s">
        <v>44</v>
      </c>
      <c r="U1818" t="str" cm="1">
        <f t="array" ref="U1818">IFERROR(_xlfn.IFS(Table1[[#This Row],[Payment Status]]="Partial","In Transit",Table1[[#This Row],[Payment Status]]="Paid","Completed",Table1[[#This Row],[Payment Status]]="Pending","Pending"),"Invalid Input")</f>
        <v>Pending</v>
      </c>
    </row>
    <row r="1819" spans="1:21" x14ac:dyDescent="0.25">
      <c r="A1819" s="4" t="s">
        <v>2988</v>
      </c>
      <c r="B1819" s="5">
        <v>45812</v>
      </c>
      <c r="C1819" t="s">
        <v>73</v>
      </c>
      <c r="D1819" t="s">
        <v>3270</v>
      </c>
      <c r="E1819" t="s">
        <v>30</v>
      </c>
      <c r="F1819" t="s">
        <v>3223</v>
      </c>
      <c r="G1819" t="s">
        <v>31</v>
      </c>
      <c r="H1819" t="str">
        <f>VLOOKUP(Table1[[#This Row],[City]],Table6[#All],2,FALSE)</f>
        <v>South</v>
      </c>
      <c r="I1819" t="s">
        <v>3204</v>
      </c>
      <c r="J1819" t="str">
        <f>_xlfn.XLOOKUP(Table1[[#This Row],[Tractor Model]],Table7[Product Model],Table7[Product Category],"Not Available",0)</f>
        <v>Kubota</v>
      </c>
      <c r="K1819" s="4">
        <v>6</v>
      </c>
      <c r="L1819" s="72">
        <v>124947</v>
      </c>
      <c r="M1819" s="4">
        <f>INDEX('Master Sheet'!$C$4:$C$12,MATCH(Table1[[#This Row],[Quantity]],'Master Sheet'!$B$4:$B$12,0))</f>
        <v>8</v>
      </c>
      <c r="N1819" s="71">
        <f>Table1[[#This Row],[Quantity]]*Table1[[#This Row],[Unit Price]]</f>
        <v>749682</v>
      </c>
      <c r="O1819" s="73">
        <v>7.4968199999999999E-2</v>
      </c>
      <c r="P1819" s="70">
        <f>Table1[[#This Row],[Gross Amount]]*(1-(Table1[[#This Row],[Discount %]]/100))</f>
        <v>689707.44000000006</v>
      </c>
      <c r="Q1819" s="74">
        <f>(Table1[[#This Row],[Gross Amount]]*(1-(Table1[[#This Row],[Discount %]]/100)))/10000000</f>
        <v>6.8970744E-2</v>
      </c>
      <c r="R1819" t="s">
        <v>42</v>
      </c>
      <c r="S1819" t="str" cm="1">
        <f t="array" ref="S1819">IFERROR(_xlfn.IFS(Table1[[#This Row],[Payment Status]]="Partial","In Transit",Table1[[#This Row],[Payment Status]]="Paid","Delivered",Table1[[#This Row],[Payment Status]]="Pending","Pending"),"Invalid Input")</f>
        <v>Pending</v>
      </c>
      <c r="T1819" t="s">
        <v>27</v>
      </c>
      <c r="U1819" t="str" cm="1">
        <f t="array" ref="U1819">IFERROR(_xlfn.IFS(Table1[[#This Row],[Payment Status]]="Partial","In Transit",Table1[[#This Row],[Payment Status]]="Paid","Completed",Table1[[#This Row],[Payment Status]]="Pending","Pending"),"Invalid Input")</f>
        <v>Pending</v>
      </c>
    </row>
    <row r="1820" spans="1:21" x14ac:dyDescent="0.25">
      <c r="A1820" s="4" t="s">
        <v>2990</v>
      </c>
      <c r="B1820" s="5">
        <v>45542</v>
      </c>
      <c r="C1820" t="s">
        <v>33</v>
      </c>
      <c r="D1820" t="s">
        <v>3270</v>
      </c>
      <c r="E1820" t="s">
        <v>66</v>
      </c>
      <c r="F1820" t="s">
        <v>3220</v>
      </c>
      <c r="G1820" t="s">
        <v>67</v>
      </c>
      <c r="H1820" t="str">
        <f>VLOOKUP(Table1[[#This Row],[City]],Table6[#All],2,FALSE)</f>
        <v>East</v>
      </c>
      <c r="I1820" t="s">
        <v>53</v>
      </c>
      <c r="J1820" t="str">
        <f>_xlfn.XLOOKUP(Table1[[#This Row],[Tractor Model]],Table7[Product Model],Table7[Product Category],"Not Available",0)</f>
        <v>Farmtrac</v>
      </c>
      <c r="K1820" s="4">
        <v>6</v>
      </c>
      <c r="L1820" s="72">
        <v>392547</v>
      </c>
      <c r="M1820" s="4">
        <f>INDEX('Master Sheet'!$C$4:$C$12,MATCH(Table1[[#This Row],[Quantity]],'Master Sheet'!$B$4:$B$12,0))</f>
        <v>8</v>
      </c>
      <c r="N1820" s="71">
        <f>Table1[[#This Row],[Quantity]]*Table1[[#This Row],[Unit Price]]</f>
        <v>2355282</v>
      </c>
      <c r="O1820" s="73">
        <v>0.23552819999999999</v>
      </c>
      <c r="P1820" s="70">
        <f>Table1[[#This Row],[Gross Amount]]*(1-(Table1[[#This Row],[Discount %]]/100))</f>
        <v>2166859.44</v>
      </c>
      <c r="Q1820" s="74">
        <f>(Table1[[#This Row],[Gross Amount]]*(1-(Table1[[#This Row],[Discount %]]/100)))/10000000</f>
        <v>0.21668594399999999</v>
      </c>
      <c r="R1820" t="s">
        <v>42</v>
      </c>
      <c r="S1820" t="str" cm="1">
        <f t="array" ref="S1820">IFERROR(_xlfn.IFS(Table1[[#This Row],[Payment Status]]="Partial","In Transit",Table1[[#This Row],[Payment Status]]="Paid","Delivered",Table1[[#This Row],[Payment Status]]="Pending","Pending"),"Invalid Input")</f>
        <v>Pending</v>
      </c>
      <c r="T1820" t="s">
        <v>27</v>
      </c>
      <c r="U1820" t="str" cm="1">
        <f t="array" ref="U1820">IFERROR(_xlfn.IFS(Table1[[#This Row],[Payment Status]]="Partial","In Transit",Table1[[#This Row],[Payment Status]]="Paid","Completed",Table1[[#This Row],[Payment Status]]="Pending","Pending"),"Invalid Input")</f>
        <v>Pending</v>
      </c>
    </row>
    <row r="1821" spans="1:21" x14ac:dyDescent="0.25">
      <c r="A1821" s="4" t="s">
        <v>2991</v>
      </c>
      <c r="B1821" s="5">
        <v>45489</v>
      </c>
      <c r="C1821" t="s">
        <v>73</v>
      </c>
      <c r="D1821" t="s">
        <v>3269</v>
      </c>
      <c r="E1821" t="s">
        <v>47</v>
      </c>
      <c r="F1821" t="s">
        <v>3209</v>
      </c>
      <c r="G1821" t="s">
        <v>48</v>
      </c>
      <c r="H1821" t="str">
        <f>VLOOKUP(Table1[[#This Row],[City]],Table6[#All],2,FALSE)</f>
        <v>North</v>
      </c>
      <c r="I1821" t="s">
        <v>24</v>
      </c>
      <c r="J1821" t="str">
        <f>_xlfn.XLOOKUP(Table1[[#This Row],[Tractor Model]],Table7[Product Model],Table7[Product Category],"Not Available",0)</f>
        <v>Farmtrac</v>
      </c>
      <c r="K1821" s="4">
        <v>1</v>
      </c>
      <c r="L1821" s="72">
        <v>493151</v>
      </c>
      <c r="M1821" s="4">
        <f>INDEX('Master Sheet'!$C$4:$C$12,MATCH(Table1[[#This Row],[Quantity]],'Master Sheet'!$B$4:$B$12,0))</f>
        <v>3</v>
      </c>
      <c r="N1821" s="71">
        <f>Table1[[#This Row],[Quantity]]*Table1[[#This Row],[Unit Price]]</f>
        <v>493151</v>
      </c>
      <c r="O1821" s="73">
        <v>4.9315100000000001E-2</v>
      </c>
      <c r="P1821" s="70">
        <f>Table1[[#This Row],[Gross Amount]]*(1-(Table1[[#This Row],[Discount %]]/100))</f>
        <v>478356.47</v>
      </c>
      <c r="Q1821" s="74">
        <f>(Table1[[#This Row],[Gross Amount]]*(1-(Table1[[#This Row],[Discount %]]/100)))/10000000</f>
        <v>4.7835646999999995E-2</v>
      </c>
      <c r="R1821" t="s">
        <v>54</v>
      </c>
      <c r="S1821" t="str" cm="1">
        <f t="array" ref="S1821">IFERROR(_xlfn.IFS(Table1[[#This Row],[Payment Status]]="Partial","In Transit",Table1[[#This Row],[Payment Status]]="Paid","Delivered",Table1[[#This Row],[Payment Status]]="Pending","Pending"),"Invalid Input")</f>
        <v>Delivered</v>
      </c>
      <c r="T1821" t="s">
        <v>44</v>
      </c>
      <c r="U1821" t="str" cm="1">
        <f t="array" ref="U1821">IFERROR(_xlfn.IFS(Table1[[#This Row],[Payment Status]]="Partial","In Transit",Table1[[#This Row],[Payment Status]]="Paid","Completed",Table1[[#This Row],[Payment Status]]="Pending","Pending"),"Invalid Input")</f>
        <v>Completed</v>
      </c>
    </row>
    <row r="1822" spans="1:21" x14ac:dyDescent="0.25">
      <c r="A1822" s="4" t="s">
        <v>2992</v>
      </c>
      <c r="B1822" s="5">
        <v>45699</v>
      </c>
      <c r="C1822" t="s">
        <v>52</v>
      </c>
      <c r="D1822" t="s">
        <v>3269</v>
      </c>
      <c r="E1822" t="s">
        <v>38</v>
      </c>
      <c r="F1822" t="s">
        <v>3206</v>
      </c>
      <c r="G1822" t="s">
        <v>39</v>
      </c>
      <c r="H1822" t="str">
        <f>VLOOKUP(Table1[[#This Row],[City]],Table6[#All],2,FALSE)</f>
        <v>West</v>
      </c>
      <c r="I1822" t="s">
        <v>3203</v>
      </c>
      <c r="J1822" t="str">
        <f>_xlfn.XLOOKUP(Table1[[#This Row],[Tractor Model]],Table7[Product Model],Table7[Product Category],"Not Available",0)</f>
        <v>Kubota</v>
      </c>
      <c r="K1822" s="4">
        <v>4</v>
      </c>
      <c r="L1822" s="72">
        <v>647181</v>
      </c>
      <c r="M1822" s="4">
        <f>INDEX('Master Sheet'!$C$4:$C$12,MATCH(Table1[[#This Row],[Quantity]],'Master Sheet'!$B$4:$B$12,0))</f>
        <v>6</v>
      </c>
      <c r="N1822" s="71">
        <f>Table1[[#This Row],[Quantity]]*Table1[[#This Row],[Unit Price]]</f>
        <v>2588724</v>
      </c>
      <c r="O1822" s="73">
        <v>0.2588724</v>
      </c>
      <c r="P1822" s="70">
        <f>Table1[[#This Row],[Gross Amount]]*(1-(Table1[[#This Row],[Discount %]]/100))</f>
        <v>2433400.56</v>
      </c>
      <c r="Q1822" s="74">
        <f>(Table1[[#This Row],[Gross Amount]]*(1-(Table1[[#This Row],[Discount %]]/100)))/10000000</f>
        <v>0.243340056</v>
      </c>
      <c r="R1822" t="s">
        <v>25</v>
      </c>
      <c r="S1822" t="str" cm="1">
        <f t="array" ref="S1822">IFERROR(_xlfn.IFS(Table1[[#This Row],[Payment Status]]="Partial","In Transit",Table1[[#This Row],[Payment Status]]="Paid","Delivered",Table1[[#This Row],[Payment Status]]="Pending","Pending"),"Invalid Input")</f>
        <v>In Transit</v>
      </c>
      <c r="T1822" t="s">
        <v>44</v>
      </c>
      <c r="U1822" t="str" cm="1">
        <f t="array" ref="U1822">IFERROR(_xlfn.IFS(Table1[[#This Row],[Payment Status]]="Partial","In Transit",Table1[[#This Row],[Payment Status]]="Paid","Completed",Table1[[#This Row],[Payment Status]]="Pending","Pending"),"Invalid Input")</f>
        <v>In Transit</v>
      </c>
    </row>
    <row r="1823" spans="1:21" x14ac:dyDescent="0.25">
      <c r="A1823" s="4" t="s">
        <v>2994</v>
      </c>
      <c r="B1823" s="5">
        <v>45523</v>
      </c>
      <c r="C1823" t="s">
        <v>52</v>
      </c>
      <c r="D1823" t="s">
        <v>3269</v>
      </c>
      <c r="E1823" t="s">
        <v>30</v>
      </c>
      <c r="F1823" t="s">
        <v>3225</v>
      </c>
      <c r="G1823" t="s">
        <v>31</v>
      </c>
      <c r="H1823" t="str">
        <f>VLOOKUP(Table1[[#This Row],[City]],Table6[#All],2,FALSE)</f>
        <v>South</v>
      </c>
      <c r="I1823" t="s">
        <v>3204</v>
      </c>
      <c r="J1823" t="str">
        <f>_xlfn.XLOOKUP(Table1[[#This Row],[Tractor Model]],Table7[Product Model],Table7[Product Category],"Not Available",0)</f>
        <v>Kubota</v>
      </c>
      <c r="K1823" s="4">
        <v>6</v>
      </c>
      <c r="L1823" s="72">
        <v>394048</v>
      </c>
      <c r="M1823" s="4">
        <f>INDEX('Master Sheet'!$C$4:$C$12,MATCH(Table1[[#This Row],[Quantity]],'Master Sheet'!$B$4:$B$12,0))</f>
        <v>8</v>
      </c>
      <c r="N1823" s="71">
        <f>Table1[[#This Row],[Quantity]]*Table1[[#This Row],[Unit Price]]</f>
        <v>2364288</v>
      </c>
      <c r="O1823" s="73">
        <v>0.23642879999999999</v>
      </c>
      <c r="P1823" s="70">
        <f>Table1[[#This Row],[Gross Amount]]*(1-(Table1[[#This Row],[Discount %]]/100))</f>
        <v>2175144.96</v>
      </c>
      <c r="Q1823" s="74">
        <f>(Table1[[#This Row],[Gross Amount]]*(1-(Table1[[#This Row],[Discount %]]/100)))/10000000</f>
        <v>0.217514496</v>
      </c>
      <c r="R1823" t="s">
        <v>42</v>
      </c>
      <c r="S1823" t="str" cm="1">
        <f t="array" ref="S1823">IFERROR(_xlfn.IFS(Table1[[#This Row],[Payment Status]]="Partial","In Transit",Table1[[#This Row],[Payment Status]]="Paid","Delivered",Table1[[#This Row],[Payment Status]]="Pending","Pending"),"Invalid Input")</f>
        <v>Pending</v>
      </c>
      <c r="T1823" t="s">
        <v>27</v>
      </c>
      <c r="U1823" t="str" cm="1">
        <f t="array" ref="U1823">IFERROR(_xlfn.IFS(Table1[[#This Row],[Payment Status]]="Partial","In Transit",Table1[[#This Row],[Payment Status]]="Paid","Completed",Table1[[#This Row],[Payment Status]]="Pending","Pending"),"Invalid Input")</f>
        <v>Pending</v>
      </c>
    </row>
    <row r="1824" spans="1:21" x14ac:dyDescent="0.25">
      <c r="A1824" s="4" t="s">
        <v>2995</v>
      </c>
      <c r="B1824" s="5">
        <v>45375</v>
      </c>
      <c r="C1824" t="s">
        <v>52</v>
      </c>
      <c r="D1824" t="s">
        <v>3271</v>
      </c>
      <c r="E1824" t="s">
        <v>47</v>
      </c>
      <c r="F1824" t="s">
        <v>3221</v>
      </c>
      <c r="G1824" t="s">
        <v>48</v>
      </c>
      <c r="H1824" t="str">
        <f>VLOOKUP(Table1[[#This Row],[City]],Table6[#All],2,FALSE)</f>
        <v>North</v>
      </c>
      <c r="I1824" t="s">
        <v>53</v>
      </c>
      <c r="J1824" t="str">
        <f>_xlfn.XLOOKUP(Table1[[#This Row],[Tractor Model]],Table7[Product Model],Table7[Product Category],"Not Available",0)</f>
        <v>Farmtrac</v>
      </c>
      <c r="K1824" s="4">
        <v>7</v>
      </c>
      <c r="L1824" s="72">
        <v>861458</v>
      </c>
      <c r="M1824" s="4">
        <f>INDEX('Master Sheet'!$C$4:$C$12,MATCH(Table1[[#This Row],[Quantity]],'Master Sheet'!$B$4:$B$12,0))</f>
        <v>9</v>
      </c>
      <c r="N1824" s="71">
        <f>Table1[[#This Row],[Quantity]]*Table1[[#This Row],[Unit Price]]</f>
        <v>6030206</v>
      </c>
      <c r="O1824" s="73">
        <v>0.60302060000000002</v>
      </c>
      <c r="P1824" s="70">
        <f>Table1[[#This Row],[Gross Amount]]*(1-(Table1[[#This Row],[Discount %]]/100))</f>
        <v>5487487.46</v>
      </c>
      <c r="Q1824" s="74">
        <f>(Table1[[#This Row],[Gross Amount]]*(1-(Table1[[#This Row],[Discount %]]/100)))/10000000</f>
        <v>0.54874874600000001</v>
      </c>
      <c r="R1824" t="s">
        <v>54</v>
      </c>
      <c r="S1824" t="str" cm="1">
        <f t="array" ref="S1824">IFERROR(_xlfn.IFS(Table1[[#This Row],[Payment Status]]="Partial","In Transit",Table1[[#This Row],[Payment Status]]="Paid","Delivered",Table1[[#This Row],[Payment Status]]="Pending","Pending"),"Invalid Input")</f>
        <v>Delivered</v>
      </c>
      <c r="T1824" t="s">
        <v>44</v>
      </c>
      <c r="U1824" t="str" cm="1">
        <f t="array" ref="U1824">IFERROR(_xlfn.IFS(Table1[[#This Row],[Payment Status]]="Partial","In Transit",Table1[[#This Row],[Payment Status]]="Paid","Completed",Table1[[#This Row],[Payment Status]]="Pending","Pending"),"Invalid Input")</f>
        <v>Completed</v>
      </c>
    </row>
    <row r="1825" spans="1:21" x14ac:dyDescent="0.25">
      <c r="A1825" s="4" t="s">
        <v>2996</v>
      </c>
      <c r="B1825" s="5">
        <v>45803</v>
      </c>
      <c r="C1825" t="s">
        <v>33</v>
      </c>
      <c r="D1825" t="s">
        <v>3271</v>
      </c>
      <c r="E1825" t="s">
        <v>66</v>
      </c>
      <c r="F1825" t="s">
        <v>3207</v>
      </c>
      <c r="G1825" t="s">
        <v>67</v>
      </c>
      <c r="H1825" t="str">
        <f>VLOOKUP(Table1[[#This Row],[City]],Table6[#All],2,FALSE)</f>
        <v>East</v>
      </c>
      <c r="I1825" t="s">
        <v>3203</v>
      </c>
      <c r="J1825" t="str">
        <f>_xlfn.XLOOKUP(Table1[[#This Row],[Tractor Model]],Table7[Product Model],Table7[Product Category],"Not Available",0)</f>
        <v>Kubota</v>
      </c>
      <c r="K1825" s="4">
        <v>5</v>
      </c>
      <c r="L1825" s="72">
        <v>898881</v>
      </c>
      <c r="M1825" s="4">
        <f>INDEX('Master Sheet'!$C$4:$C$12,MATCH(Table1[[#This Row],[Quantity]],'Master Sheet'!$B$4:$B$12,0))</f>
        <v>7</v>
      </c>
      <c r="N1825" s="71">
        <f>Table1[[#This Row],[Quantity]]*Table1[[#This Row],[Unit Price]]</f>
        <v>4494405</v>
      </c>
      <c r="O1825" s="73">
        <v>0.44944050000000002</v>
      </c>
      <c r="P1825" s="70">
        <f>Table1[[#This Row],[Gross Amount]]*(1-(Table1[[#This Row],[Discount %]]/100))</f>
        <v>4179796.65</v>
      </c>
      <c r="Q1825" s="74">
        <f>(Table1[[#This Row],[Gross Amount]]*(1-(Table1[[#This Row],[Discount %]]/100)))/10000000</f>
        <v>0.417979665</v>
      </c>
      <c r="R1825" t="s">
        <v>54</v>
      </c>
      <c r="S1825" t="str" cm="1">
        <f t="array" ref="S1825">IFERROR(_xlfn.IFS(Table1[[#This Row],[Payment Status]]="Partial","In Transit",Table1[[#This Row],[Payment Status]]="Paid","Delivered",Table1[[#This Row],[Payment Status]]="Pending","Pending"),"Invalid Input")</f>
        <v>Delivered</v>
      </c>
      <c r="T1825" t="s">
        <v>27</v>
      </c>
      <c r="U1825" t="str" cm="1">
        <f t="array" ref="U1825">IFERROR(_xlfn.IFS(Table1[[#This Row],[Payment Status]]="Partial","In Transit",Table1[[#This Row],[Payment Status]]="Paid","Completed",Table1[[#This Row],[Payment Status]]="Pending","Pending"),"Invalid Input")</f>
        <v>Completed</v>
      </c>
    </row>
    <row r="1826" spans="1:21" x14ac:dyDescent="0.25">
      <c r="A1826" s="4" t="s">
        <v>2997</v>
      </c>
      <c r="B1826" s="5">
        <v>45293</v>
      </c>
      <c r="C1826" t="s">
        <v>52</v>
      </c>
      <c r="D1826" t="s">
        <v>3269</v>
      </c>
      <c r="E1826" t="s">
        <v>119</v>
      </c>
      <c r="F1826" t="s">
        <v>3229</v>
      </c>
      <c r="G1826" t="s">
        <v>21</v>
      </c>
      <c r="H1826" t="str">
        <f>VLOOKUP(Table1[[#This Row],[City]],Table6[#All],2,FALSE)</f>
        <v>North</v>
      </c>
      <c r="I1826" t="s">
        <v>24</v>
      </c>
      <c r="J1826" t="str">
        <f>_xlfn.XLOOKUP(Table1[[#This Row],[Tractor Model]],Table7[Product Model],Table7[Product Category],"Not Available",0)</f>
        <v>Farmtrac</v>
      </c>
      <c r="K1826" s="4">
        <v>3</v>
      </c>
      <c r="L1826" s="72">
        <v>857564</v>
      </c>
      <c r="M1826" s="4">
        <f>INDEX('Master Sheet'!$C$4:$C$12,MATCH(Table1[[#This Row],[Quantity]],'Master Sheet'!$B$4:$B$12,0))</f>
        <v>6</v>
      </c>
      <c r="N1826" s="71">
        <f>Table1[[#This Row],[Quantity]]*Table1[[#This Row],[Unit Price]]</f>
        <v>2572692</v>
      </c>
      <c r="O1826" s="73">
        <v>0.25726919999999998</v>
      </c>
      <c r="P1826" s="70">
        <f>Table1[[#This Row],[Gross Amount]]*(1-(Table1[[#This Row],[Discount %]]/100))</f>
        <v>2418330.48</v>
      </c>
      <c r="Q1826" s="74">
        <f>(Table1[[#This Row],[Gross Amount]]*(1-(Table1[[#This Row],[Discount %]]/100)))/10000000</f>
        <v>0.24183304799999999</v>
      </c>
      <c r="R1826" t="s">
        <v>25</v>
      </c>
      <c r="S1826" t="str" cm="1">
        <f t="array" ref="S1826">IFERROR(_xlfn.IFS(Table1[[#This Row],[Payment Status]]="Partial","In Transit",Table1[[#This Row],[Payment Status]]="Paid","Delivered",Table1[[#This Row],[Payment Status]]="Pending","Pending"),"Invalid Input")</f>
        <v>In Transit</v>
      </c>
      <c r="T1826" t="s">
        <v>44</v>
      </c>
      <c r="U1826" t="str" cm="1">
        <f t="array" ref="U1826">IFERROR(_xlfn.IFS(Table1[[#This Row],[Payment Status]]="Partial","In Transit",Table1[[#This Row],[Payment Status]]="Paid","Completed",Table1[[#This Row],[Payment Status]]="Pending","Pending"),"Invalid Input")</f>
        <v>In Transit</v>
      </c>
    </row>
    <row r="1827" spans="1:21" x14ac:dyDescent="0.25">
      <c r="A1827" s="4" t="s">
        <v>2998</v>
      </c>
      <c r="B1827" s="5">
        <v>45567</v>
      </c>
      <c r="C1827" t="s">
        <v>52</v>
      </c>
      <c r="D1827" t="s">
        <v>3269</v>
      </c>
      <c r="E1827" t="s">
        <v>30</v>
      </c>
      <c r="F1827" t="s">
        <v>3225</v>
      </c>
      <c r="G1827" t="s">
        <v>31</v>
      </c>
      <c r="H1827" t="str">
        <f>VLOOKUP(Table1[[#This Row],[City]],Table6[#All],2,FALSE)</f>
        <v>South</v>
      </c>
      <c r="I1827" t="s">
        <v>53</v>
      </c>
      <c r="J1827" t="str">
        <f>_xlfn.XLOOKUP(Table1[[#This Row],[Tractor Model]],Table7[Product Model],Table7[Product Category],"Not Available",0)</f>
        <v>Farmtrac</v>
      </c>
      <c r="K1827" s="4">
        <v>1</v>
      </c>
      <c r="L1827" s="72">
        <v>161389</v>
      </c>
      <c r="M1827" s="4">
        <f>INDEX('Master Sheet'!$C$4:$C$12,MATCH(Table1[[#This Row],[Quantity]],'Master Sheet'!$B$4:$B$12,0))</f>
        <v>3</v>
      </c>
      <c r="N1827" s="71">
        <f>Table1[[#This Row],[Quantity]]*Table1[[#This Row],[Unit Price]]</f>
        <v>161389</v>
      </c>
      <c r="O1827" s="73">
        <v>1.6138900000000001E-2</v>
      </c>
      <c r="P1827" s="70">
        <f>Table1[[#This Row],[Gross Amount]]*(1-(Table1[[#This Row],[Discount %]]/100))</f>
        <v>156547.32999999999</v>
      </c>
      <c r="Q1827" s="74">
        <f>(Table1[[#This Row],[Gross Amount]]*(1-(Table1[[#This Row],[Discount %]]/100)))/10000000</f>
        <v>1.5654732999999997E-2</v>
      </c>
      <c r="R1827" t="s">
        <v>54</v>
      </c>
      <c r="S1827" t="str" cm="1">
        <f t="array" ref="S1827">IFERROR(_xlfn.IFS(Table1[[#This Row],[Payment Status]]="Partial","In Transit",Table1[[#This Row],[Payment Status]]="Paid","Delivered",Table1[[#This Row],[Payment Status]]="Pending","Pending"),"Invalid Input")</f>
        <v>Delivered</v>
      </c>
      <c r="T1827" t="s">
        <v>44</v>
      </c>
      <c r="U1827" t="str" cm="1">
        <f t="array" ref="U1827">IFERROR(_xlfn.IFS(Table1[[#This Row],[Payment Status]]="Partial","In Transit",Table1[[#This Row],[Payment Status]]="Paid","Completed",Table1[[#This Row],[Payment Status]]="Pending","Pending"),"Invalid Input")</f>
        <v>Completed</v>
      </c>
    </row>
    <row r="1828" spans="1:21" x14ac:dyDescent="0.25">
      <c r="A1828" s="4" t="s">
        <v>2999</v>
      </c>
      <c r="B1828" s="5">
        <v>45677</v>
      </c>
      <c r="C1828" t="s">
        <v>33</v>
      </c>
      <c r="D1828" t="s">
        <v>3271</v>
      </c>
      <c r="E1828" t="s">
        <v>119</v>
      </c>
      <c r="F1828" t="s">
        <v>3228</v>
      </c>
      <c r="G1828" t="s">
        <v>21</v>
      </c>
      <c r="H1828" t="str">
        <f>VLOOKUP(Table1[[#This Row],[City]],Table6[#All],2,FALSE)</f>
        <v>North</v>
      </c>
      <c r="I1828" t="s">
        <v>3204</v>
      </c>
      <c r="J1828" t="str">
        <f>_xlfn.XLOOKUP(Table1[[#This Row],[Tractor Model]],Table7[Product Model],Table7[Product Category],"Not Available",0)</f>
        <v>Kubota</v>
      </c>
      <c r="K1828" s="4">
        <v>6</v>
      </c>
      <c r="L1828" s="72">
        <v>648785</v>
      </c>
      <c r="M1828" s="4">
        <f>INDEX('Master Sheet'!$C$4:$C$12,MATCH(Table1[[#This Row],[Quantity]],'Master Sheet'!$B$4:$B$12,0))</f>
        <v>8</v>
      </c>
      <c r="N1828" s="71">
        <f>Table1[[#This Row],[Quantity]]*Table1[[#This Row],[Unit Price]]</f>
        <v>3892710</v>
      </c>
      <c r="O1828" s="73">
        <v>0.38927099999999998</v>
      </c>
      <c r="P1828" s="70">
        <f>Table1[[#This Row],[Gross Amount]]*(1-(Table1[[#This Row],[Discount %]]/100))</f>
        <v>3581293.2</v>
      </c>
      <c r="Q1828" s="74">
        <f>(Table1[[#This Row],[Gross Amount]]*(1-(Table1[[#This Row],[Discount %]]/100)))/10000000</f>
        <v>0.35812932000000003</v>
      </c>
      <c r="R1828" t="s">
        <v>42</v>
      </c>
      <c r="S1828" t="str" cm="1">
        <f t="array" ref="S1828">IFERROR(_xlfn.IFS(Table1[[#This Row],[Payment Status]]="Partial","In Transit",Table1[[#This Row],[Payment Status]]="Paid","Delivered",Table1[[#This Row],[Payment Status]]="Pending","Pending"),"Invalid Input")</f>
        <v>Pending</v>
      </c>
      <c r="T1828" t="s">
        <v>44</v>
      </c>
      <c r="U1828" t="str" cm="1">
        <f t="array" ref="U1828">IFERROR(_xlfn.IFS(Table1[[#This Row],[Payment Status]]="Partial","In Transit",Table1[[#This Row],[Payment Status]]="Paid","Completed",Table1[[#This Row],[Payment Status]]="Pending","Pending"),"Invalid Input")</f>
        <v>Pending</v>
      </c>
    </row>
    <row r="1829" spans="1:21" x14ac:dyDescent="0.25">
      <c r="A1829" s="4" t="s">
        <v>3001</v>
      </c>
      <c r="B1829" s="5">
        <v>45421</v>
      </c>
      <c r="C1829" t="s">
        <v>52</v>
      </c>
      <c r="D1829" t="s">
        <v>3270</v>
      </c>
      <c r="E1829" t="s">
        <v>47</v>
      </c>
      <c r="F1829" t="s">
        <v>3205</v>
      </c>
      <c r="G1829" t="s">
        <v>48</v>
      </c>
      <c r="H1829" t="str">
        <f>VLOOKUP(Table1[[#This Row],[City]],Table6[#All],2,FALSE)</f>
        <v>North</v>
      </c>
      <c r="I1829" t="s">
        <v>58</v>
      </c>
      <c r="J1829" t="str">
        <f>_xlfn.XLOOKUP(Table1[[#This Row],[Tractor Model]],Table7[Product Model],Table7[Product Category],"Not Available",0)</f>
        <v>Powertrac</v>
      </c>
      <c r="K1829" s="4">
        <v>7</v>
      </c>
      <c r="L1829" s="72">
        <v>562733</v>
      </c>
      <c r="M1829" s="4">
        <f>INDEX('Master Sheet'!$C$4:$C$12,MATCH(Table1[[#This Row],[Quantity]],'Master Sheet'!$B$4:$B$12,0))</f>
        <v>9</v>
      </c>
      <c r="N1829" s="71">
        <f>Table1[[#This Row],[Quantity]]*Table1[[#This Row],[Unit Price]]</f>
        <v>3939131</v>
      </c>
      <c r="O1829" s="73">
        <v>0.39391310000000002</v>
      </c>
      <c r="P1829" s="70">
        <f>Table1[[#This Row],[Gross Amount]]*(1-(Table1[[#This Row],[Discount %]]/100))</f>
        <v>3584609.21</v>
      </c>
      <c r="Q1829" s="74">
        <f>(Table1[[#This Row],[Gross Amount]]*(1-(Table1[[#This Row],[Discount %]]/100)))/10000000</f>
        <v>0.35846092099999999</v>
      </c>
      <c r="R1829" t="s">
        <v>25</v>
      </c>
      <c r="S1829" t="str" cm="1">
        <f t="array" ref="S1829">IFERROR(_xlfn.IFS(Table1[[#This Row],[Payment Status]]="Partial","In Transit",Table1[[#This Row],[Payment Status]]="Paid","Delivered",Table1[[#This Row],[Payment Status]]="Pending","Pending"),"Invalid Input")</f>
        <v>In Transit</v>
      </c>
      <c r="T1829" t="s">
        <v>27</v>
      </c>
      <c r="U1829" t="str" cm="1">
        <f t="array" ref="U1829">IFERROR(_xlfn.IFS(Table1[[#This Row],[Payment Status]]="Partial","In Transit",Table1[[#This Row],[Payment Status]]="Paid","Completed",Table1[[#This Row],[Payment Status]]="Pending","Pending"),"Invalid Input")</f>
        <v>In Transit</v>
      </c>
    </row>
    <row r="1830" spans="1:21" x14ac:dyDescent="0.25">
      <c r="A1830" s="4" t="s">
        <v>3002</v>
      </c>
      <c r="B1830" s="5">
        <v>45733</v>
      </c>
      <c r="C1830" t="s">
        <v>73</v>
      </c>
      <c r="D1830" t="s">
        <v>3268</v>
      </c>
      <c r="E1830" t="s">
        <v>38</v>
      </c>
      <c r="F1830" t="s">
        <v>3219</v>
      </c>
      <c r="G1830" t="s">
        <v>39</v>
      </c>
      <c r="H1830" t="str">
        <f>VLOOKUP(Table1[[#This Row],[City]],Table6[#All],2,FALSE)</f>
        <v>West</v>
      </c>
      <c r="I1830" t="s">
        <v>24</v>
      </c>
      <c r="J1830" t="str">
        <f>_xlfn.XLOOKUP(Table1[[#This Row],[Tractor Model]],Table7[Product Model],Table7[Product Category],"Not Available",0)</f>
        <v>Farmtrac</v>
      </c>
      <c r="K1830" s="4">
        <v>8</v>
      </c>
      <c r="L1830" s="72">
        <v>205555</v>
      </c>
      <c r="M1830" s="4">
        <f>INDEX('Master Sheet'!$C$4:$C$12,MATCH(Table1[[#This Row],[Quantity]],'Master Sheet'!$B$4:$B$12,0))</f>
        <v>9</v>
      </c>
      <c r="N1830" s="71">
        <f>Table1[[#This Row],[Quantity]]*Table1[[#This Row],[Unit Price]]</f>
        <v>1644440</v>
      </c>
      <c r="O1830" s="73">
        <v>0.16444400000000001</v>
      </c>
      <c r="P1830" s="70">
        <f>Table1[[#This Row],[Gross Amount]]*(1-(Table1[[#This Row],[Discount %]]/100))</f>
        <v>1496440.4000000001</v>
      </c>
      <c r="Q1830" s="74">
        <f>(Table1[[#This Row],[Gross Amount]]*(1-(Table1[[#This Row],[Discount %]]/100)))/10000000</f>
        <v>0.14964404000000001</v>
      </c>
      <c r="R1830" t="s">
        <v>54</v>
      </c>
      <c r="S1830" t="str" cm="1">
        <f t="array" ref="S1830">IFERROR(_xlfn.IFS(Table1[[#This Row],[Payment Status]]="Partial","In Transit",Table1[[#This Row],[Payment Status]]="Paid","Delivered",Table1[[#This Row],[Payment Status]]="Pending","Pending"),"Invalid Input")</f>
        <v>Delivered</v>
      </c>
      <c r="T1830" t="s">
        <v>44</v>
      </c>
      <c r="U1830" t="str" cm="1">
        <f t="array" ref="U1830">IFERROR(_xlfn.IFS(Table1[[#This Row],[Payment Status]]="Partial","In Transit",Table1[[#This Row],[Payment Status]]="Paid","Completed",Table1[[#This Row],[Payment Status]]="Pending","Pending"),"Invalid Input")</f>
        <v>Completed</v>
      </c>
    </row>
    <row r="1831" spans="1:21" x14ac:dyDescent="0.25">
      <c r="A1831" s="4" t="s">
        <v>3003</v>
      </c>
      <c r="B1831" s="5">
        <v>45791</v>
      </c>
      <c r="C1831" t="s">
        <v>62</v>
      </c>
      <c r="D1831" t="s">
        <v>37</v>
      </c>
      <c r="E1831" t="s">
        <v>119</v>
      </c>
      <c r="F1831" t="s">
        <v>3224</v>
      </c>
      <c r="G1831" t="s">
        <v>21</v>
      </c>
      <c r="H1831" t="str">
        <f>VLOOKUP(Table1[[#This Row],[City]],Table6[#All],2,FALSE)</f>
        <v>North</v>
      </c>
      <c r="I1831" t="s">
        <v>3203</v>
      </c>
      <c r="J1831" t="str">
        <f>_xlfn.XLOOKUP(Table1[[#This Row],[Tractor Model]],Table7[Product Model],Table7[Product Category],"Not Available",0)</f>
        <v>Kubota</v>
      </c>
      <c r="K1831" s="4">
        <v>4</v>
      </c>
      <c r="L1831" s="72">
        <v>805023</v>
      </c>
      <c r="M1831" s="4">
        <f>INDEX('Master Sheet'!$C$4:$C$12,MATCH(Table1[[#This Row],[Quantity]],'Master Sheet'!$B$4:$B$12,0))</f>
        <v>6</v>
      </c>
      <c r="N1831" s="71">
        <f>Table1[[#This Row],[Quantity]]*Table1[[#This Row],[Unit Price]]</f>
        <v>3220092</v>
      </c>
      <c r="O1831" s="73">
        <v>0.3220092</v>
      </c>
      <c r="P1831" s="70">
        <f>Table1[[#This Row],[Gross Amount]]*(1-(Table1[[#This Row],[Discount %]]/100))</f>
        <v>3026886.48</v>
      </c>
      <c r="Q1831" s="74">
        <f>(Table1[[#This Row],[Gross Amount]]*(1-(Table1[[#This Row],[Discount %]]/100)))/10000000</f>
        <v>0.302688648</v>
      </c>
      <c r="R1831" t="s">
        <v>54</v>
      </c>
      <c r="S1831" t="str" cm="1">
        <f t="array" ref="S1831">IFERROR(_xlfn.IFS(Table1[[#This Row],[Payment Status]]="Partial","In Transit",Table1[[#This Row],[Payment Status]]="Paid","Delivered",Table1[[#This Row],[Payment Status]]="Pending","Pending"),"Invalid Input")</f>
        <v>Delivered</v>
      </c>
      <c r="T1831" t="s">
        <v>27</v>
      </c>
      <c r="U1831" t="str" cm="1">
        <f t="array" ref="U1831">IFERROR(_xlfn.IFS(Table1[[#This Row],[Payment Status]]="Partial","In Transit",Table1[[#This Row],[Payment Status]]="Paid","Completed",Table1[[#This Row],[Payment Status]]="Pending","Pending"),"Invalid Input")</f>
        <v>Completed</v>
      </c>
    </row>
    <row r="1832" spans="1:21" x14ac:dyDescent="0.25">
      <c r="A1832" s="4" t="s">
        <v>3005</v>
      </c>
      <c r="B1832" s="5">
        <v>45829</v>
      </c>
      <c r="C1832" t="s">
        <v>33</v>
      </c>
      <c r="D1832" t="s">
        <v>3268</v>
      </c>
      <c r="E1832" t="s">
        <v>119</v>
      </c>
      <c r="F1832" t="s">
        <v>3227</v>
      </c>
      <c r="G1832" t="s">
        <v>21</v>
      </c>
      <c r="H1832" t="str">
        <f>VLOOKUP(Table1[[#This Row],[City]],Table6[#All],2,FALSE)</f>
        <v>North</v>
      </c>
      <c r="I1832" t="s">
        <v>58</v>
      </c>
      <c r="J1832" t="str">
        <f>_xlfn.XLOOKUP(Table1[[#This Row],[Tractor Model]],Table7[Product Model],Table7[Product Category],"Not Available",0)</f>
        <v>Powertrac</v>
      </c>
      <c r="K1832" s="4">
        <v>3</v>
      </c>
      <c r="L1832" s="72">
        <v>451760</v>
      </c>
      <c r="M1832" s="4">
        <f>INDEX('Master Sheet'!$C$4:$C$12,MATCH(Table1[[#This Row],[Quantity]],'Master Sheet'!$B$4:$B$12,0))</f>
        <v>6</v>
      </c>
      <c r="N1832" s="71">
        <f>Table1[[#This Row],[Quantity]]*Table1[[#This Row],[Unit Price]]</f>
        <v>1355280</v>
      </c>
      <c r="O1832" s="73">
        <v>0.13552800000000001</v>
      </c>
      <c r="P1832" s="70">
        <f>Table1[[#This Row],[Gross Amount]]*(1-(Table1[[#This Row],[Discount %]]/100))</f>
        <v>1273963.2</v>
      </c>
      <c r="Q1832" s="74">
        <f>(Table1[[#This Row],[Gross Amount]]*(1-(Table1[[#This Row],[Discount %]]/100)))/10000000</f>
        <v>0.12739632000000001</v>
      </c>
      <c r="R1832" t="s">
        <v>42</v>
      </c>
      <c r="S1832" t="str" cm="1">
        <f t="array" ref="S1832">IFERROR(_xlfn.IFS(Table1[[#This Row],[Payment Status]]="Partial","In Transit",Table1[[#This Row],[Payment Status]]="Paid","Delivered",Table1[[#This Row],[Payment Status]]="Pending","Pending"),"Invalid Input")</f>
        <v>Pending</v>
      </c>
      <c r="T1832" t="s">
        <v>27</v>
      </c>
      <c r="U1832" t="str" cm="1">
        <f t="array" ref="U1832">IFERROR(_xlfn.IFS(Table1[[#This Row],[Payment Status]]="Partial","In Transit",Table1[[#This Row],[Payment Status]]="Paid","Completed",Table1[[#This Row],[Payment Status]]="Pending","Pending"),"Invalid Input")</f>
        <v>Pending</v>
      </c>
    </row>
    <row r="1833" spans="1:21" x14ac:dyDescent="0.25">
      <c r="A1833" s="4" t="s">
        <v>3007</v>
      </c>
      <c r="B1833" s="5">
        <v>45694</v>
      </c>
      <c r="C1833" t="s">
        <v>52</v>
      </c>
      <c r="D1833" t="s">
        <v>37</v>
      </c>
      <c r="E1833" t="s">
        <v>66</v>
      </c>
      <c r="F1833" t="s">
        <v>3226</v>
      </c>
      <c r="G1833" t="s">
        <v>67</v>
      </c>
      <c r="H1833" t="str">
        <f>VLOOKUP(Table1[[#This Row],[City]],Table6[#All],2,FALSE)</f>
        <v>East</v>
      </c>
      <c r="I1833" t="s">
        <v>53</v>
      </c>
      <c r="J1833" t="str">
        <f>_xlfn.XLOOKUP(Table1[[#This Row],[Tractor Model]],Table7[Product Model],Table7[Product Category],"Not Available",0)</f>
        <v>Farmtrac</v>
      </c>
      <c r="K1833" s="4">
        <v>3</v>
      </c>
      <c r="L1833" s="72">
        <v>520017</v>
      </c>
      <c r="M1833" s="4">
        <f>INDEX('Master Sheet'!$C$4:$C$12,MATCH(Table1[[#This Row],[Quantity]],'Master Sheet'!$B$4:$B$12,0))</f>
        <v>6</v>
      </c>
      <c r="N1833" s="71">
        <f>Table1[[#This Row],[Quantity]]*Table1[[#This Row],[Unit Price]]</f>
        <v>1560051</v>
      </c>
      <c r="O1833" s="73">
        <v>0.15600510000000001</v>
      </c>
      <c r="P1833" s="70">
        <f>Table1[[#This Row],[Gross Amount]]*(1-(Table1[[#This Row],[Discount %]]/100))</f>
        <v>1466447.94</v>
      </c>
      <c r="Q1833" s="74">
        <f>(Table1[[#This Row],[Gross Amount]]*(1-(Table1[[#This Row],[Discount %]]/100)))/10000000</f>
        <v>0.14664479399999999</v>
      </c>
      <c r="R1833" t="s">
        <v>25</v>
      </c>
      <c r="S1833" t="str" cm="1">
        <f t="array" ref="S1833">IFERROR(_xlfn.IFS(Table1[[#This Row],[Payment Status]]="Partial","In Transit",Table1[[#This Row],[Payment Status]]="Paid","Delivered",Table1[[#This Row],[Payment Status]]="Pending","Pending"),"Invalid Input")</f>
        <v>In Transit</v>
      </c>
      <c r="T1833" t="s">
        <v>27</v>
      </c>
      <c r="U1833" t="str" cm="1">
        <f t="array" ref="U1833">IFERROR(_xlfn.IFS(Table1[[#This Row],[Payment Status]]="Partial","In Transit",Table1[[#This Row],[Payment Status]]="Paid","Completed",Table1[[#This Row],[Payment Status]]="Pending","Pending"),"Invalid Input")</f>
        <v>In Transit</v>
      </c>
    </row>
    <row r="1834" spans="1:21" x14ac:dyDescent="0.25">
      <c r="A1834" s="4" t="s">
        <v>3008</v>
      </c>
      <c r="B1834" s="5">
        <v>45537</v>
      </c>
      <c r="C1834" t="s">
        <v>41</v>
      </c>
      <c r="D1834" t="s">
        <v>3269</v>
      </c>
      <c r="E1834" t="s">
        <v>47</v>
      </c>
      <c r="F1834" t="s">
        <v>3209</v>
      </c>
      <c r="G1834" t="s">
        <v>48</v>
      </c>
      <c r="H1834" t="str">
        <f>VLOOKUP(Table1[[#This Row],[City]],Table6[#All],2,FALSE)</f>
        <v>North</v>
      </c>
      <c r="I1834" t="s">
        <v>3204</v>
      </c>
      <c r="J1834" t="str">
        <f>_xlfn.XLOOKUP(Table1[[#This Row],[Tractor Model]],Table7[Product Model],Table7[Product Category],"Not Available",0)</f>
        <v>Kubota</v>
      </c>
      <c r="K1834" s="4">
        <v>3</v>
      </c>
      <c r="L1834" s="72">
        <v>741406</v>
      </c>
      <c r="M1834" s="4">
        <f>INDEX('Master Sheet'!$C$4:$C$12,MATCH(Table1[[#This Row],[Quantity]],'Master Sheet'!$B$4:$B$12,0))</f>
        <v>6</v>
      </c>
      <c r="N1834" s="71">
        <f>Table1[[#This Row],[Quantity]]*Table1[[#This Row],[Unit Price]]</f>
        <v>2224218</v>
      </c>
      <c r="O1834" s="73">
        <v>0.2224218</v>
      </c>
      <c r="P1834" s="70">
        <f>Table1[[#This Row],[Gross Amount]]*(1-(Table1[[#This Row],[Discount %]]/100))</f>
        <v>2090764.92</v>
      </c>
      <c r="Q1834" s="74">
        <f>(Table1[[#This Row],[Gross Amount]]*(1-(Table1[[#This Row],[Discount %]]/100)))/10000000</f>
        <v>0.209076492</v>
      </c>
      <c r="R1834" t="s">
        <v>54</v>
      </c>
      <c r="S1834" t="str" cm="1">
        <f t="array" ref="S1834">IFERROR(_xlfn.IFS(Table1[[#This Row],[Payment Status]]="Partial","In Transit",Table1[[#This Row],[Payment Status]]="Paid","Delivered",Table1[[#This Row],[Payment Status]]="Pending","Pending"),"Invalid Input")</f>
        <v>Delivered</v>
      </c>
      <c r="T1834" t="s">
        <v>44</v>
      </c>
      <c r="U1834" t="str" cm="1">
        <f t="array" ref="U1834">IFERROR(_xlfn.IFS(Table1[[#This Row],[Payment Status]]="Partial","In Transit",Table1[[#This Row],[Payment Status]]="Paid","Completed",Table1[[#This Row],[Payment Status]]="Pending","Pending"),"Invalid Input")</f>
        <v>Completed</v>
      </c>
    </row>
    <row r="1835" spans="1:21" x14ac:dyDescent="0.25">
      <c r="A1835" s="4" t="s">
        <v>3010</v>
      </c>
      <c r="B1835" s="5">
        <v>45689</v>
      </c>
      <c r="C1835" t="s">
        <v>33</v>
      </c>
      <c r="D1835" t="s">
        <v>3269</v>
      </c>
      <c r="E1835" t="s">
        <v>30</v>
      </c>
      <c r="F1835" t="s">
        <v>3225</v>
      </c>
      <c r="G1835" t="s">
        <v>31</v>
      </c>
      <c r="H1835" t="str">
        <f>VLOOKUP(Table1[[#This Row],[City]],Table6[#All],2,FALSE)</f>
        <v>South</v>
      </c>
      <c r="I1835" t="s">
        <v>53</v>
      </c>
      <c r="J1835" t="str">
        <f>_xlfn.XLOOKUP(Table1[[#This Row],[Tractor Model]],Table7[Product Model],Table7[Product Category],"Not Available",0)</f>
        <v>Farmtrac</v>
      </c>
      <c r="K1835" s="4">
        <v>5</v>
      </c>
      <c r="L1835" s="72">
        <v>246542</v>
      </c>
      <c r="M1835" s="4">
        <f>INDEX('Master Sheet'!$C$4:$C$12,MATCH(Table1[[#This Row],[Quantity]],'Master Sheet'!$B$4:$B$12,0))</f>
        <v>7</v>
      </c>
      <c r="N1835" s="71">
        <f>Table1[[#This Row],[Quantity]]*Table1[[#This Row],[Unit Price]]</f>
        <v>1232710</v>
      </c>
      <c r="O1835" s="73">
        <v>0.12327100000000001</v>
      </c>
      <c r="P1835" s="70">
        <f>Table1[[#This Row],[Gross Amount]]*(1-(Table1[[#This Row],[Discount %]]/100))</f>
        <v>1146420.2999999998</v>
      </c>
      <c r="Q1835" s="74">
        <f>(Table1[[#This Row],[Gross Amount]]*(1-(Table1[[#This Row],[Discount %]]/100)))/10000000</f>
        <v>0.11464202999999998</v>
      </c>
      <c r="R1835" t="s">
        <v>42</v>
      </c>
      <c r="S1835" t="str" cm="1">
        <f t="array" ref="S1835">IFERROR(_xlfn.IFS(Table1[[#This Row],[Payment Status]]="Partial","In Transit",Table1[[#This Row],[Payment Status]]="Paid","Delivered",Table1[[#This Row],[Payment Status]]="Pending","Pending"),"Invalid Input")</f>
        <v>Pending</v>
      </c>
      <c r="T1835" t="s">
        <v>27</v>
      </c>
      <c r="U1835" t="str" cm="1">
        <f t="array" ref="U1835">IFERROR(_xlfn.IFS(Table1[[#This Row],[Payment Status]]="Partial","In Transit",Table1[[#This Row],[Payment Status]]="Paid","Completed",Table1[[#This Row],[Payment Status]]="Pending","Pending"),"Invalid Input")</f>
        <v>Pending</v>
      </c>
    </row>
    <row r="1836" spans="1:21" x14ac:dyDescent="0.25">
      <c r="A1836" s="4" t="s">
        <v>3011</v>
      </c>
      <c r="B1836" s="5">
        <v>45314</v>
      </c>
      <c r="C1836" t="s">
        <v>33</v>
      </c>
      <c r="D1836" t="s">
        <v>3269</v>
      </c>
      <c r="E1836" t="s">
        <v>47</v>
      </c>
      <c r="F1836" t="s">
        <v>3209</v>
      </c>
      <c r="G1836" t="s">
        <v>48</v>
      </c>
      <c r="H1836" t="str">
        <f>VLOOKUP(Table1[[#This Row],[City]],Table6[#All],2,FALSE)</f>
        <v>North</v>
      </c>
      <c r="I1836" t="s">
        <v>3203</v>
      </c>
      <c r="J1836" t="str">
        <f>_xlfn.XLOOKUP(Table1[[#This Row],[Tractor Model]],Table7[Product Model],Table7[Product Category],"Not Available",0)</f>
        <v>Kubota</v>
      </c>
      <c r="K1836" s="4">
        <v>4</v>
      </c>
      <c r="L1836" s="72">
        <v>225991</v>
      </c>
      <c r="M1836" s="4">
        <f>INDEX('Master Sheet'!$C$4:$C$12,MATCH(Table1[[#This Row],[Quantity]],'Master Sheet'!$B$4:$B$12,0))</f>
        <v>6</v>
      </c>
      <c r="N1836" s="71">
        <f>Table1[[#This Row],[Quantity]]*Table1[[#This Row],[Unit Price]]</f>
        <v>903964</v>
      </c>
      <c r="O1836" s="73">
        <v>9.0396400000000002E-2</v>
      </c>
      <c r="P1836" s="70">
        <f>Table1[[#This Row],[Gross Amount]]*(1-(Table1[[#This Row],[Discount %]]/100))</f>
        <v>849726.15999999992</v>
      </c>
      <c r="Q1836" s="74">
        <f>(Table1[[#This Row],[Gross Amount]]*(1-(Table1[[#This Row],[Discount %]]/100)))/10000000</f>
        <v>8.4972615999999987E-2</v>
      </c>
      <c r="R1836" t="s">
        <v>54</v>
      </c>
      <c r="S1836" t="str" cm="1">
        <f t="array" ref="S1836">IFERROR(_xlfn.IFS(Table1[[#This Row],[Payment Status]]="Partial","In Transit",Table1[[#This Row],[Payment Status]]="Paid","Delivered",Table1[[#This Row],[Payment Status]]="Pending","Pending"),"Invalid Input")</f>
        <v>Delivered</v>
      </c>
      <c r="T1836" t="s">
        <v>44</v>
      </c>
      <c r="U1836" t="str" cm="1">
        <f t="array" ref="U1836">IFERROR(_xlfn.IFS(Table1[[#This Row],[Payment Status]]="Partial","In Transit",Table1[[#This Row],[Payment Status]]="Paid","Completed",Table1[[#This Row],[Payment Status]]="Pending","Pending"),"Invalid Input")</f>
        <v>Completed</v>
      </c>
    </row>
    <row r="1837" spans="1:21" x14ac:dyDescent="0.25">
      <c r="A1837" s="4" t="s">
        <v>3013</v>
      </c>
      <c r="B1837" s="5">
        <v>45359</v>
      </c>
      <c r="C1837" t="s">
        <v>41</v>
      </c>
      <c r="D1837" t="s">
        <v>3268</v>
      </c>
      <c r="E1837" t="s">
        <v>30</v>
      </c>
      <c r="F1837" t="s">
        <v>3208</v>
      </c>
      <c r="G1837" t="s">
        <v>31</v>
      </c>
      <c r="H1837" t="str">
        <f>VLOOKUP(Table1[[#This Row],[City]],Table6[#All],2,FALSE)</f>
        <v>South</v>
      </c>
      <c r="I1837" t="s">
        <v>3203</v>
      </c>
      <c r="J1837" t="str">
        <f>_xlfn.XLOOKUP(Table1[[#This Row],[Tractor Model]],Table7[Product Model],Table7[Product Category],"Not Available",0)</f>
        <v>Kubota</v>
      </c>
      <c r="K1837" s="4">
        <v>2</v>
      </c>
      <c r="L1837" s="72">
        <v>192897</v>
      </c>
      <c r="M1837" s="4">
        <f>INDEX('Master Sheet'!$C$4:$C$12,MATCH(Table1[[#This Row],[Quantity]],'Master Sheet'!$B$4:$B$12,0))</f>
        <v>5</v>
      </c>
      <c r="N1837" s="71">
        <f>Table1[[#This Row],[Quantity]]*Table1[[#This Row],[Unit Price]]</f>
        <v>385794</v>
      </c>
      <c r="O1837" s="73">
        <v>3.85794E-2</v>
      </c>
      <c r="P1837" s="70">
        <f>Table1[[#This Row],[Gross Amount]]*(1-(Table1[[#This Row],[Discount %]]/100))</f>
        <v>366504.3</v>
      </c>
      <c r="Q1837" s="74">
        <f>(Table1[[#This Row],[Gross Amount]]*(1-(Table1[[#This Row],[Discount %]]/100)))/10000000</f>
        <v>3.6650429999999998E-2</v>
      </c>
      <c r="R1837" t="s">
        <v>25</v>
      </c>
      <c r="S1837" t="str" cm="1">
        <f t="array" ref="S1837">IFERROR(_xlfn.IFS(Table1[[#This Row],[Payment Status]]="Partial","In Transit",Table1[[#This Row],[Payment Status]]="Paid","Delivered",Table1[[#This Row],[Payment Status]]="Pending","Pending"),"Invalid Input")</f>
        <v>In Transit</v>
      </c>
      <c r="T1837" t="s">
        <v>44</v>
      </c>
      <c r="U1837" t="str" cm="1">
        <f t="array" ref="U1837">IFERROR(_xlfn.IFS(Table1[[#This Row],[Payment Status]]="Partial","In Transit",Table1[[#This Row],[Payment Status]]="Paid","Completed",Table1[[#This Row],[Payment Status]]="Pending","Pending"),"Invalid Input")</f>
        <v>In Transit</v>
      </c>
    </row>
    <row r="1838" spans="1:21" x14ac:dyDescent="0.25">
      <c r="A1838" s="4" t="s">
        <v>3014</v>
      </c>
      <c r="B1838" s="5">
        <v>45762</v>
      </c>
      <c r="C1838" t="s">
        <v>33</v>
      </c>
      <c r="D1838" t="s">
        <v>37</v>
      </c>
      <c r="E1838" t="s">
        <v>66</v>
      </c>
      <c r="F1838" t="s">
        <v>3226</v>
      </c>
      <c r="G1838" t="s">
        <v>67</v>
      </c>
      <c r="H1838" t="str">
        <f>VLOOKUP(Table1[[#This Row],[City]],Table6[#All],2,FALSE)</f>
        <v>East</v>
      </c>
      <c r="I1838" t="s">
        <v>58</v>
      </c>
      <c r="J1838" t="str">
        <f>_xlfn.XLOOKUP(Table1[[#This Row],[Tractor Model]],Table7[Product Model],Table7[Product Category],"Not Available",0)</f>
        <v>Powertrac</v>
      </c>
      <c r="K1838" s="4">
        <v>1</v>
      </c>
      <c r="L1838" s="72">
        <v>80155</v>
      </c>
      <c r="M1838" s="4">
        <f>INDEX('Master Sheet'!$C$4:$C$12,MATCH(Table1[[#This Row],[Quantity]],'Master Sheet'!$B$4:$B$12,0))</f>
        <v>3</v>
      </c>
      <c r="N1838" s="71">
        <f>Table1[[#This Row],[Quantity]]*Table1[[#This Row],[Unit Price]]</f>
        <v>80155</v>
      </c>
      <c r="O1838" s="73">
        <v>8.0155000000000001E-3</v>
      </c>
      <c r="P1838" s="70">
        <f>Table1[[#This Row],[Gross Amount]]*(1-(Table1[[#This Row],[Discount %]]/100))</f>
        <v>77750.349999999991</v>
      </c>
      <c r="Q1838" s="74">
        <f>(Table1[[#This Row],[Gross Amount]]*(1-(Table1[[#This Row],[Discount %]]/100)))/10000000</f>
        <v>7.7750349999999987E-3</v>
      </c>
      <c r="R1838" t="s">
        <v>54</v>
      </c>
      <c r="S1838" t="str" cm="1">
        <f t="array" ref="S1838">IFERROR(_xlfn.IFS(Table1[[#This Row],[Payment Status]]="Partial","In Transit",Table1[[#This Row],[Payment Status]]="Paid","Delivered",Table1[[#This Row],[Payment Status]]="Pending","Pending"),"Invalid Input")</f>
        <v>Delivered</v>
      </c>
      <c r="T1838" t="s">
        <v>27</v>
      </c>
      <c r="U1838" t="str" cm="1">
        <f t="array" ref="U1838">IFERROR(_xlfn.IFS(Table1[[#This Row],[Payment Status]]="Partial","In Transit",Table1[[#This Row],[Payment Status]]="Paid","Completed",Table1[[#This Row],[Payment Status]]="Pending","Pending"),"Invalid Input")</f>
        <v>Completed</v>
      </c>
    </row>
    <row r="1839" spans="1:21" x14ac:dyDescent="0.25">
      <c r="A1839" s="4" t="s">
        <v>3016</v>
      </c>
      <c r="B1839" s="5">
        <v>45555</v>
      </c>
      <c r="C1839" t="s">
        <v>33</v>
      </c>
      <c r="D1839" t="s">
        <v>37</v>
      </c>
      <c r="E1839" t="s">
        <v>38</v>
      </c>
      <c r="F1839" t="s">
        <v>3214</v>
      </c>
      <c r="G1839" t="s">
        <v>39</v>
      </c>
      <c r="H1839" t="str">
        <f>VLOOKUP(Table1[[#This Row],[City]],Table6[#All],2,FALSE)</f>
        <v>West</v>
      </c>
      <c r="I1839" t="s">
        <v>53</v>
      </c>
      <c r="J1839" t="str">
        <f>_xlfn.XLOOKUP(Table1[[#This Row],[Tractor Model]],Table7[Product Model],Table7[Product Category],"Not Available",0)</f>
        <v>Farmtrac</v>
      </c>
      <c r="K1839" s="4">
        <v>2</v>
      </c>
      <c r="L1839" s="72">
        <v>527394</v>
      </c>
      <c r="M1839" s="4">
        <f>INDEX('Master Sheet'!$C$4:$C$12,MATCH(Table1[[#This Row],[Quantity]],'Master Sheet'!$B$4:$B$12,0))</f>
        <v>5</v>
      </c>
      <c r="N1839" s="71">
        <f>Table1[[#This Row],[Quantity]]*Table1[[#This Row],[Unit Price]]</f>
        <v>1054788</v>
      </c>
      <c r="O1839" s="73">
        <v>0.1054788</v>
      </c>
      <c r="P1839" s="70">
        <f>Table1[[#This Row],[Gross Amount]]*(1-(Table1[[#This Row],[Discount %]]/100))</f>
        <v>1002048.6</v>
      </c>
      <c r="Q1839" s="74">
        <f>(Table1[[#This Row],[Gross Amount]]*(1-(Table1[[#This Row],[Discount %]]/100)))/10000000</f>
        <v>0.10020485999999999</v>
      </c>
      <c r="R1839" t="s">
        <v>25</v>
      </c>
      <c r="S1839" t="str" cm="1">
        <f t="array" ref="S1839">IFERROR(_xlfn.IFS(Table1[[#This Row],[Payment Status]]="Partial","In Transit",Table1[[#This Row],[Payment Status]]="Paid","Delivered",Table1[[#This Row],[Payment Status]]="Pending","Pending"),"Invalid Input")</f>
        <v>In Transit</v>
      </c>
      <c r="T1839" t="s">
        <v>27</v>
      </c>
      <c r="U1839" t="str" cm="1">
        <f t="array" ref="U1839">IFERROR(_xlfn.IFS(Table1[[#This Row],[Payment Status]]="Partial","In Transit",Table1[[#This Row],[Payment Status]]="Paid","Completed",Table1[[#This Row],[Payment Status]]="Pending","Pending"),"Invalid Input")</f>
        <v>In Transit</v>
      </c>
    </row>
    <row r="1840" spans="1:21" x14ac:dyDescent="0.25">
      <c r="A1840" s="4" t="s">
        <v>3017</v>
      </c>
      <c r="B1840" s="5">
        <v>45362</v>
      </c>
      <c r="C1840" t="s">
        <v>73</v>
      </c>
      <c r="D1840" t="s">
        <v>3268</v>
      </c>
      <c r="E1840" t="s">
        <v>30</v>
      </c>
      <c r="F1840" t="s">
        <v>3208</v>
      </c>
      <c r="G1840" t="s">
        <v>31</v>
      </c>
      <c r="H1840" t="str">
        <f>VLOOKUP(Table1[[#This Row],[City]],Table6[#All],2,FALSE)</f>
        <v>South</v>
      </c>
      <c r="I1840" t="s">
        <v>3203</v>
      </c>
      <c r="J1840" t="str">
        <f>_xlfn.XLOOKUP(Table1[[#This Row],[Tractor Model]],Table7[Product Model],Table7[Product Category],"Not Available",0)</f>
        <v>Kubota</v>
      </c>
      <c r="K1840" s="4">
        <v>7</v>
      </c>
      <c r="L1840" s="72">
        <v>121172</v>
      </c>
      <c r="M1840" s="4">
        <f>INDEX('Master Sheet'!$C$4:$C$12,MATCH(Table1[[#This Row],[Quantity]],'Master Sheet'!$B$4:$B$12,0))</f>
        <v>9</v>
      </c>
      <c r="N1840" s="71">
        <f>Table1[[#This Row],[Quantity]]*Table1[[#This Row],[Unit Price]]</f>
        <v>848204</v>
      </c>
      <c r="O1840" s="73">
        <v>8.4820400000000004E-2</v>
      </c>
      <c r="P1840" s="70">
        <f>Table1[[#This Row],[Gross Amount]]*(1-(Table1[[#This Row],[Discount %]]/100))</f>
        <v>771865.64</v>
      </c>
      <c r="Q1840" s="74">
        <f>(Table1[[#This Row],[Gross Amount]]*(1-(Table1[[#This Row],[Discount %]]/100)))/10000000</f>
        <v>7.7186563999999999E-2</v>
      </c>
      <c r="R1840" t="s">
        <v>54</v>
      </c>
      <c r="S1840" t="str" cm="1">
        <f t="array" ref="S1840">IFERROR(_xlfn.IFS(Table1[[#This Row],[Payment Status]]="Partial","In Transit",Table1[[#This Row],[Payment Status]]="Paid","Delivered",Table1[[#This Row],[Payment Status]]="Pending","Pending"),"Invalid Input")</f>
        <v>Delivered</v>
      </c>
      <c r="T1840" t="s">
        <v>44</v>
      </c>
      <c r="U1840" t="str" cm="1">
        <f t="array" ref="U1840">IFERROR(_xlfn.IFS(Table1[[#This Row],[Payment Status]]="Partial","In Transit",Table1[[#This Row],[Payment Status]]="Paid","Completed",Table1[[#This Row],[Payment Status]]="Pending","Pending"),"Invalid Input")</f>
        <v>Completed</v>
      </c>
    </row>
    <row r="1841" spans="1:21" x14ac:dyDescent="0.25">
      <c r="A1841" s="4" t="s">
        <v>3019</v>
      </c>
      <c r="B1841" s="5">
        <v>45396</v>
      </c>
      <c r="C1841" t="s">
        <v>52</v>
      </c>
      <c r="D1841" t="s">
        <v>3271</v>
      </c>
      <c r="E1841" t="s">
        <v>119</v>
      </c>
      <c r="F1841" t="s">
        <v>3228</v>
      </c>
      <c r="G1841" t="s">
        <v>21</v>
      </c>
      <c r="H1841" t="str">
        <f>VLOOKUP(Table1[[#This Row],[City]],Table6[#All],2,FALSE)</f>
        <v>North</v>
      </c>
      <c r="I1841" t="s">
        <v>58</v>
      </c>
      <c r="J1841" t="str">
        <f>_xlfn.XLOOKUP(Table1[[#This Row],[Tractor Model]],Table7[Product Model],Table7[Product Category],"Not Available",0)</f>
        <v>Powertrac</v>
      </c>
      <c r="K1841" s="4">
        <v>8</v>
      </c>
      <c r="L1841" s="72">
        <v>418338</v>
      </c>
      <c r="M1841" s="4">
        <f>INDEX('Master Sheet'!$C$4:$C$12,MATCH(Table1[[#This Row],[Quantity]],'Master Sheet'!$B$4:$B$12,0))</f>
        <v>9</v>
      </c>
      <c r="N1841" s="71">
        <f>Table1[[#This Row],[Quantity]]*Table1[[#This Row],[Unit Price]]</f>
        <v>3346704</v>
      </c>
      <c r="O1841" s="73">
        <v>0.33467039999999998</v>
      </c>
      <c r="P1841" s="70">
        <f>Table1[[#This Row],[Gross Amount]]*(1-(Table1[[#This Row],[Discount %]]/100))</f>
        <v>3045500.64</v>
      </c>
      <c r="Q1841" s="74">
        <f>(Table1[[#This Row],[Gross Amount]]*(1-(Table1[[#This Row],[Discount %]]/100)))/10000000</f>
        <v>0.30455006400000001</v>
      </c>
      <c r="R1841" t="s">
        <v>42</v>
      </c>
      <c r="S1841" t="str" cm="1">
        <f t="array" ref="S1841">IFERROR(_xlfn.IFS(Table1[[#This Row],[Payment Status]]="Partial","In Transit",Table1[[#This Row],[Payment Status]]="Paid","Delivered",Table1[[#This Row],[Payment Status]]="Pending","Pending"),"Invalid Input")</f>
        <v>Pending</v>
      </c>
      <c r="T1841" t="s">
        <v>27</v>
      </c>
      <c r="U1841" t="str" cm="1">
        <f t="array" ref="U1841">IFERROR(_xlfn.IFS(Table1[[#This Row],[Payment Status]]="Partial","In Transit",Table1[[#This Row],[Payment Status]]="Paid","Completed",Table1[[#This Row],[Payment Status]]="Pending","Pending"),"Invalid Input")</f>
        <v>Pending</v>
      </c>
    </row>
    <row r="1842" spans="1:21" x14ac:dyDescent="0.25">
      <c r="A1842" s="4" t="s">
        <v>3021</v>
      </c>
      <c r="B1842" s="5">
        <v>45801</v>
      </c>
      <c r="C1842" t="s">
        <v>73</v>
      </c>
      <c r="D1842" t="s">
        <v>3271</v>
      </c>
      <c r="E1842" t="s">
        <v>30</v>
      </c>
      <c r="F1842" t="s">
        <v>3217</v>
      </c>
      <c r="G1842" t="s">
        <v>31</v>
      </c>
      <c r="H1842" t="str">
        <f>VLOOKUP(Table1[[#This Row],[City]],Table6[#All],2,FALSE)</f>
        <v>South</v>
      </c>
      <c r="I1842" t="s">
        <v>3204</v>
      </c>
      <c r="J1842" t="str">
        <f>_xlfn.XLOOKUP(Table1[[#This Row],[Tractor Model]],Table7[Product Model],Table7[Product Category],"Not Available",0)</f>
        <v>Kubota</v>
      </c>
      <c r="K1842" s="4">
        <v>8</v>
      </c>
      <c r="L1842" s="72">
        <v>60713</v>
      </c>
      <c r="M1842" s="4">
        <f>INDEX('Master Sheet'!$C$4:$C$12,MATCH(Table1[[#This Row],[Quantity]],'Master Sheet'!$B$4:$B$12,0))</f>
        <v>9</v>
      </c>
      <c r="N1842" s="71">
        <f>Table1[[#This Row],[Quantity]]*Table1[[#This Row],[Unit Price]]</f>
        <v>485704</v>
      </c>
      <c r="O1842" s="73">
        <v>4.85704E-2</v>
      </c>
      <c r="P1842" s="70">
        <f>Table1[[#This Row],[Gross Amount]]*(1-(Table1[[#This Row],[Discount %]]/100))</f>
        <v>441990.64</v>
      </c>
      <c r="Q1842" s="74">
        <f>(Table1[[#This Row],[Gross Amount]]*(1-(Table1[[#This Row],[Discount %]]/100)))/10000000</f>
        <v>4.4199064000000003E-2</v>
      </c>
      <c r="R1842" t="s">
        <v>25</v>
      </c>
      <c r="S1842" t="str" cm="1">
        <f t="array" ref="S1842">IFERROR(_xlfn.IFS(Table1[[#This Row],[Payment Status]]="Partial","In Transit",Table1[[#This Row],[Payment Status]]="Paid","Delivered",Table1[[#This Row],[Payment Status]]="Pending","Pending"),"Invalid Input")</f>
        <v>In Transit</v>
      </c>
      <c r="T1842" t="s">
        <v>27</v>
      </c>
      <c r="U1842" t="str" cm="1">
        <f t="array" ref="U1842">IFERROR(_xlfn.IFS(Table1[[#This Row],[Payment Status]]="Partial","In Transit",Table1[[#This Row],[Payment Status]]="Paid","Completed",Table1[[#This Row],[Payment Status]]="Pending","Pending"),"Invalid Input")</f>
        <v>In Transit</v>
      </c>
    </row>
    <row r="1843" spans="1:21" x14ac:dyDescent="0.25">
      <c r="A1843" s="4" t="s">
        <v>3022</v>
      </c>
      <c r="B1843" s="5">
        <v>45776</v>
      </c>
      <c r="C1843" t="s">
        <v>62</v>
      </c>
      <c r="D1843" t="s">
        <v>3269</v>
      </c>
      <c r="E1843" t="s">
        <v>30</v>
      </c>
      <c r="F1843" t="s">
        <v>3225</v>
      </c>
      <c r="G1843" t="s">
        <v>31</v>
      </c>
      <c r="H1843" t="str">
        <f>VLOOKUP(Table1[[#This Row],[City]],Table6[#All],2,FALSE)</f>
        <v>South</v>
      </c>
      <c r="I1843" t="s">
        <v>24</v>
      </c>
      <c r="J1843" t="str">
        <f>_xlfn.XLOOKUP(Table1[[#This Row],[Tractor Model]],Table7[Product Model],Table7[Product Category],"Not Available",0)</f>
        <v>Farmtrac</v>
      </c>
      <c r="K1843" s="4">
        <v>8</v>
      </c>
      <c r="L1843" s="72">
        <v>240958</v>
      </c>
      <c r="M1843" s="4">
        <f>INDEX('Master Sheet'!$C$4:$C$12,MATCH(Table1[[#This Row],[Quantity]],'Master Sheet'!$B$4:$B$12,0))</f>
        <v>9</v>
      </c>
      <c r="N1843" s="71">
        <f>Table1[[#This Row],[Quantity]]*Table1[[#This Row],[Unit Price]]</f>
        <v>1927664</v>
      </c>
      <c r="O1843" s="73">
        <v>0.1927664</v>
      </c>
      <c r="P1843" s="70">
        <f>Table1[[#This Row],[Gross Amount]]*(1-(Table1[[#This Row],[Discount %]]/100))</f>
        <v>1754174.24</v>
      </c>
      <c r="Q1843" s="74">
        <f>(Table1[[#This Row],[Gross Amount]]*(1-(Table1[[#This Row],[Discount %]]/100)))/10000000</f>
        <v>0.17541742399999999</v>
      </c>
      <c r="R1843" t="s">
        <v>42</v>
      </c>
      <c r="S1843" t="str" cm="1">
        <f t="array" ref="S1843">IFERROR(_xlfn.IFS(Table1[[#This Row],[Payment Status]]="Partial","In Transit",Table1[[#This Row],[Payment Status]]="Paid","Delivered",Table1[[#This Row],[Payment Status]]="Pending","Pending"),"Invalid Input")</f>
        <v>Pending</v>
      </c>
      <c r="T1843" t="s">
        <v>27</v>
      </c>
      <c r="U1843" t="str" cm="1">
        <f t="array" ref="U1843">IFERROR(_xlfn.IFS(Table1[[#This Row],[Payment Status]]="Partial","In Transit",Table1[[#This Row],[Payment Status]]="Paid","Completed",Table1[[#This Row],[Payment Status]]="Pending","Pending"),"Invalid Input")</f>
        <v>Pending</v>
      </c>
    </row>
    <row r="1844" spans="1:21" x14ac:dyDescent="0.25">
      <c r="A1844" s="4" t="s">
        <v>3023</v>
      </c>
      <c r="B1844" s="5">
        <v>45966</v>
      </c>
      <c r="C1844" t="s">
        <v>62</v>
      </c>
      <c r="D1844" t="s">
        <v>3268</v>
      </c>
      <c r="E1844" t="s">
        <v>119</v>
      </c>
      <c r="F1844" t="s">
        <v>3227</v>
      </c>
      <c r="G1844" t="s">
        <v>21</v>
      </c>
      <c r="H1844" t="str">
        <f>VLOOKUP(Table1[[#This Row],[City]],Table6[#All],2,FALSE)</f>
        <v>North</v>
      </c>
      <c r="I1844" t="s">
        <v>3203</v>
      </c>
      <c r="J1844" t="str">
        <f>_xlfn.XLOOKUP(Table1[[#This Row],[Tractor Model]],Table7[Product Model],Table7[Product Category],"Not Available",0)</f>
        <v>Kubota</v>
      </c>
      <c r="K1844" s="4">
        <v>5</v>
      </c>
      <c r="L1844" s="72">
        <v>113005</v>
      </c>
      <c r="M1844" s="4">
        <f>INDEX('Master Sheet'!$C$4:$C$12,MATCH(Table1[[#This Row],[Quantity]],'Master Sheet'!$B$4:$B$12,0))</f>
        <v>7</v>
      </c>
      <c r="N1844" s="71">
        <f>Table1[[#This Row],[Quantity]]*Table1[[#This Row],[Unit Price]]</f>
        <v>565025</v>
      </c>
      <c r="O1844" s="73">
        <v>5.6502499999999997E-2</v>
      </c>
      <c r="P1844" s="70">
        <f>Table1[[#This Row],[Gross Amount]]*(1-(Table1[[#This Row],[Discount %]]/100))</f>
        <v>525473.25</v>
      </c>
      <c r="Q1844" s="74">
        <f>(Table1[[#This Row],[Gross Amount]]*(1-(Table1[[#This Row],[Discount %]]/100)))/10000000</f>
        <v>5.2547324999999999E-2</v>
      </c>
      <c r="R1844" t="s">
        <v>54</v>
      </c>
      <c r="S1844" t="str" cm="1">
        <f t="array" ref="S1844">IFERROR(_xlfn.IFS(Table1[[#This Row],[Payment Status]]="Partial","In Transit",Table1[[#This Row],[Payment Status]]="Paid","Delivered",Table1[[#This Row],[Payment Status]]="Pending","Pending"),"Invalid Input")</f>
        <v>Delivered</v>
      </c>
      <c r="T1844" t="s">
        <v>44</v>
      </c>
      <c r="U1844" t="str" cm="1">
        <f t="array" ref="U1844">IFERROR(_xlfn.IFS(Table1[[#This Row],[Payment Status]]="Partial","In Transit",Table1[[#This Row],[Payment Status]]="Paid","Completed",Table1[[#This Row],[Payment Status]]="Pending","Pending"),"Invalid Input")</f>
        <v>Completed</v>
      </c>
    </row>
    <row r="1845" spans="1:21" x14ac:dyDescent="0.25">
      <c r="A1845" s="4" t="s">
        <v>3025</v>
      </c>
      <c r="B1845" s="5">
        <v>45631</v>
      </c>
      <c r="C1845" t="s">
        <v>73</v>
      </c>
      <c r="D1845" t="s">
        <v>3271</v>
      </c>
      <c r="E1845" t="s">
        <v>30</v>
      </c>
      <c r="F1845" t="s">
        <v>3217</v>
      </c>
      <c r="G1845" t="s">
        <v>31</v>
      </c>
      <c r="H1845" t="str">
        <f>VLOOKUP(Table1[[#This Row],[City]],Table6[#All],2,FALSE)</f>
        <v>South</v>
      </c>
      <c r="I1845" t="s">
        <v>3203</v>
      </c>
      <c r="J1845" t="str">
        <f>_xlfn.XLOOKUP(Table1[[#This Row],[Tractor Model]],Table7[Product Model],Table7[Product Category],"Not Available",0)</f>
        <v>Kubota</v>
      </c>
      <c r="K1845" s="4">
        <v>4</v>
      </c>
      <c r="L1845" s="72">
        <v>364323</v>
      </c>
      <c r="M1845" s="4">
        <f>INDEX('Master Sheet'!$C$4:$C$12,MATCH(Table1[[#This Row],[Quantity]],'Master Sheet'!$B$4:$B$12,0))</f>
        <v>6</v>
      </c>
      <c r="N1845" s="71">
        <f>Table1[[#This Row],[Quantity]]*Table1[[#This Row],[Unit Price]]</f>
        <v>1457292</v>
      </c>
      <c r="O1845" s="73">
        <v>0.1457292</v>
      </c>
      <c r="P1845" s="70">
        <f>Table1[[#This Row],[Gross Amount]]*(1-(Table1[[#This Row],[Discount %]]/100))</f>
        <v>1369854.48</v>
      </c>
      <c r="Q1845" s="74">
        <f>(Table1[[#This Row],[Gross Amount]]*(1-(Table1[[#This Row],[Discount %]]/100)))/10000000</f>
        <v>0.13698544800000001</v>
      </c>
      <c r="R1845" t="s">
        <v>25</v>
      </c>
      <c r="S1845" t="str" cm="1">
        <f t="array" ref="S1845">IFERROR(_xlfn.IFS(Table1[[#This Row],[Payment Status]]="Partial","In Transit",Table1[[#This Row],[Payment Status]]="Paid","Delivered",Table1[[#This Row],[Payment Status]]="Pending","Pending"),"Invalid Input")</f>
        <v>In Transit</v>
      </c>
      <c r="T1845" t="s">
        <v>27</v>
      </c>
      <c r="U1845" t="str" cm="1">
        <f t="array" ref="U1845">IFERROR(_xlfn.IFS(Table1[[#This Row],[Payment Status]]="Partial","In Transit",Table1[[#This Row],[Payment Status]]="Paid","Completed",Table1[[#This Row],[Payment Status]]="Pending","Pending"),"Invalid Input")</f>
        <v>In Transit</v>
      </c>
    </row>
    <row r="1846" spans="1:21" x14ac:dyDescent="0.25">
      <c r="A1846" s="4" t="s">
        <v>3026</v>
      </c>
      <c r="B1846" s="5">
        <v>45789</v>
      </c>
      <c r="C1846" t="s">
        <v>33</v>
      </c>
      <c r="D1846" t="s">
        <v>3271</v>
      </c>
      <c r="E1846" t="s">
        <v>38</v>
      </c>
      <c r="F1846" t="s">
        <v>3210</v>
      </c>
      <c r="G1846" t="s">
        <v>39</v>
      </c>
      <c r="H1846" t="str">
        <f>VLOOKUP(Table1[[#This Row],[City]],Table6[#All],2,FALSE)</f>
        <v>West</v>
      </c>
      <c r="I1846" t="s">
        <v>3204</v>
      </c>
      <c r="J1846" t="str">
        <f>_xlfn.XLOOKUP(Table1[[#This Row],[Tractor Model]],Table7[Product Model],Table7[Product Category],"Not Available",0)</f>
        <v>Kubota</v>
      </c>
      <c r="K1846" s="4">
        <v>6</v>
      </c>
      <c r="L1846" s="72">
        <v>326372</v>
      </c>
      <c r="M1846" s="4">
        <f>INDEX('Master Sheet'!$C$4:$C$12,MATCH(Table1[[#This Row],[Quantity]],'Master Sheet'!$B$4:$B$12,0))</f>
        <v>8</v>
      </c>
      <c r="N1846" s="71">
        <f>Table1[[#This Row],[Quantity]]*Table1[[#This Row],[Unit Price]]</f>
        <v>1958232</v>
      </c>
      <c r="O1846" s="73">
        <v>0.1958232</v>
      </c>
      <c r="P1846" s="70">
        <f>Table1[[#This Row],[Gross Amount]]*(1-(Table1[[#This Row],[Discount %]]/100))</f>
        <v>1801573.4400000002</v>
      </c>
      <c r="Q1846" s="74">
        <f>(Table1[[#This Row],[Gross Amount]]*(1-(Table1[[#This Row],[Discount %]]/100)))/10000000</f>
        <v>0.18015734400000002</v>
      </c>
      <c r="R1846" t="s">
        <v>42</v>
      </c>
      <c r="S1846" t="str" cm="1">
        <f t="array" ref="S1846">IFERROR(_xlfn.IFS(Table1[[#This Row],[Payment Status]]="Partial","In Transit",Table1[[#This Row],[Payment Status]]="Paid","Delivered",Table1[[#This Row],[Payment Status]]="Pending","Pending"),"Invalid Input")</f>
        <v>Pending</v>
      </c>
      <c r="T1846" t="s">
        <v>44</v>
      </c>
      <c r="U1846" t="str" cm="1">
        <f t="array" ref="U1846">IFERROR(_xlfn.IFS(Table1[[#This Row],[Payment Status]]="Partial","In Transit",Table1[[#This Row],[Payment Status]]="Paid","Completed",Table1[[#This Row],[Payment Status]]="Pending","Pending"),"Invalid Input")</f>
        <v>Pending</v>
      </c>
    </row>
    <row r="1847" spans="1:21" x14ac:dyDescent="0.25">
      <c r="A1847" s="4" t="s">
        <v>3027</v>
      </c>
      <c r="B1847" s="5">
        <v>45674</v>
      </c>
      <c r="C1847" t="s">
        <v>52</v>
      </c>
      <c r="D1847" t="s">
        <v>3271</v>
      </c>
      <c r="E1847" t="s">
        <v>30</v>
      </c>
      <c r="F1847" t="s">
        <v>3217</v>
      </c>
      <c r="G1847" t="s">
        <v>31</v>
      </c>
      <c r="H1847" t="str">
        <f>VLOOKUP(Table1[[#This Row],[City]],Table6[#All],2,FALSE)</f>
        <v>South</v>
      </c>
      <c r="I1847" t="s">
        <v>58</v>
      </c>
      <c r="J1847" t="str">
        <f>_xlfn.XLOOKUP(Table1[[#This Row],[Tractor Model]],Table7[Product Model],Table7[Product Category],"Not Available",0)</f>
        <v>Powertrac</v>
      </c>
      <c r="K1847" s="4">
        <v>3</v>
      </c>
      <c r="L1847" s="72">
        <v>98797</v>
      </c>
      <c r="M1847" s="4">
        <f>INDEX('Master Sheet'!$C$4:$C$12,MATCH(Table1[[#This Row],[Quantity]],'Master Sheet'!$B$4:$B$12,0))</f>
        <v>6</v>
      </c>
      <c r="N1847" s="71">
        <f>Table1[[#This Row],[Quantity]]*Table1[[#This Row],[Unit Price]]</f>
        <v>296391</v>
      </c>
      <c r="O1847" s="73">
        <v>2.9639100000000002E-2</v>
      </c>
      <c r="P1847" s="70">
        <f>Table1[[#This Row],[Gross Amount]]*(1-(Table1[[#This Row],[Discount %]]/100))</f>
        <v>278607.53999999998</v>
      </c>
      <c r="Q1847" s="74">
        <f>(Table1[[#This Row],[Gross Amount]]*(1-(Table1[[#This Row],[Discount %]]/100)))/10000000</f>
        <v>2.7860753999999998E-2</v>
      </c>
      <c r="R1847" t="s">
        <v>42</v>
      </c>
      <c r="S1847" t="str" cm="1">
        <f t="array" ref="S1847">IFERROR(_xlfn.IFS(Table1[[#This Row],[Payment Status]]="Partial","In Transit",Table1[[#This Row],[Payment Status]]="Paid","Delivered",Table1[[#This Row],[Payment Status]]="Pending","Pending"),"Invalid Input")</f>
        <v>Pending</v>
      </c>
      <c r="T1847" t="s">
        <v>27</v>
      </c>
      <c r="U1847" t="str" cm="1">
        <f t="array" ref="U1847">IFERROR(_xlfn.IFS(Table1[[#This Row],[Payment Status]]="Partial","In Transit",Table1[[#This Row],[Payment Status]]="Paid","Completed",Table1[[#This Row],[Payment Status]]="Pending","Pending"),"Invalid Input")</f>
        <v>Pending</v>
      </c>
    </row>
    <row r="1848" spans="1:21" x14ac:dyDescent="0.25">
      <c r="A1848" s="4" t="s">
        <v>3028</v>
      </c>
      <c r="B1848" s="5">
        <v>45470</v>
      </c>
      <c r="C1848" t="s">
        <v>41</v>
      </c>
      <c r="D1848" t="s">
        <v>3270</v>
      </c>
      <c r="E1848" t="s">
        <v>47</v>
      </c>
      <c r="F1848" t="s">
        <v>3205</v>
      </c>
      <c r="G1848" t="s">
        <v>48</v>
      </c>
      <c r="H1848" t="str">
        <f>VLOOKUP(Table1[[#This Row],[City]],Table6[#All],2,FALSE)</f>
        <v>North</v>
      </c>
      <c r="I1848" t="s">
        <v>3204</v>
      </c>
      <c r="J1848" t="str">
        <f>_xlfn.XLOOKUP(Table1[[#This Row],[Tractor Model]],Table7[Product Model],Table7[Product Category],"Not Available",0)</f>
        <v>Kubota</v>
      </c>
      <c r="K1848" s="4">
        <v>3</v>
      </c>
      <c r="L1848" s="72">
        <v>59279</v>
      </c>
      <c r="M1848" s="4">
        <f>INDEX('Master Sheet'!$C$4:$C$12,MATCH(Table1[[#This Row],[Quantity]],'Master Sheet'!$B$4:$B$12,0))</f>
        <v>6</v>
      </c>
      <c r="N1848" s="71">
        <f>Table1[[#This Row],[Quantity]]*Table1[[#This Row],[Unit Price]]</f>
        <v>177837</v>
      </c>
      <c r="O1848" s="73">
        <v>1.77837E-2</v>
      </c>
      <c r="P1848" s="70">
        <f>Table1[[#This Row],[Gross Amount]]*(1-(Table1[[#This Row],[Discount %]]/100))</f>
        <v>167166.78</v>
      </c>
      <c r="Q1848" s="74">
        <f>(Table1[[#This Row],[Gross Amount]]*(1-(Table1[[#This Row],[Discount %]]/100)))/10000000</f>
        <v>1.6716677999999999E-2</v>
      </c>
      <c r="R1848" t="s">
        <v>42</v>
      </c>
      <c r="S1848" t="str" cm="1">
        <f t="array" ref="S1848">IFERROR(_xlfn.IFS(Table1[[#This Row],[Payment Status]]="Partial","In Transit",Table1[[#This Row],[Payment Status]]="Paid","Delivered",Table1[[#This Row],[Payment Status]]="Pending","Pending"),"Invalid Input")</f>
        <v>Pending</v>
      </c>
      <c r="T1848" t="s">
        <v>44</v>
      </c>
      <c r="U1848" t="str" cm="1">
        <f t="array" ref="U1848">IFERROR(_xlfn.IFS(Table1[[#This Row],[Payment Status]]="Partial","In Transit",Table1[[#This Row],[Payment Status]]="Paid","Completed",Table1[[#This Row],[Payment Status]]="Pending","Pending"),"Invalid Input")</f>
        <v>Pending</v>
      </c>
    </row>
    <row r="1849" spans="1:21" x14ac:dyDescent="0.25">
      <c r="A1849" s="4" t="s">
        <v>3029</v>
      </c>
      <c r="B1849" s="5">
        <v>45830</v>
      </c>
      <c r="C1849" t="s">
        <v>73</v>
      </c>
      <c r="D1849" t="s">
        <v>37</v>
      </c>
      <c r="E1849" t="s">
        <v>66</v>
      </c>
      <c r="F1849" t="s">
        <v>3226</v>
      </c>
      <c r="G1849" t="s">
        <v>67</v>
      </c>
      <c r="H1849" t="str">
        <f>VLOOKUP(Table1[[#This Row],[City]],Table6[#All],2,FALSE)</f>
        <v>East</v>
      </c>
      <c r="I1849" t="s">
        <v>24</v>
      </c>
      <c r="J1849" t="str">
        <f>_xlfn.XLOOKUP(Table1[[#This Row],[Tractor Model]],Table7[Product Model],Table7[Product Category],"Not Available",0)</f>
        <v>Farmtrac</v>
      </c>
      <c r="K1849" s="4">
        <v>3</v>
      </c>
      <c r="L1849" s="72">
        <v>597544</v>
      </c>
      <c r="M1849" s="4">
        <f>INDEX('Master Sheet'!$C$4:$C$12,MATCH(Table1[[#This Row],[Quantity]],'Master Sheet'!$B$4:$B$12,0))</f>
        <v>6</v>
      </c>
      <c r="N1849" s="71">
        <f>Table1[[#This Row],[Quantity]]*Table1[[#This Row],[Unit Price]]</f>
        <v>1792632</v>
      </c>
      <c r="O1849" s="73">
        <v>0.17926320000000001</v>
      </c>
      <c r="P1849" s="70">
        <f>Table1[[#This Row],[Gross Amount]]*(1-(Table1[[#This Row],[Discount %]]/100))</f>
        <v>1685074.0799999998</v>
      </c>
      <c r="Q1849" s="74">
        <f>(Table1[[#This Row],[Gross Amount]]*(1-(Table1[[#This Row],[Discount %]]/100)))/10000000</f>
        <v>0.168507408</v>
      </c>
      <c r="R1849" t="s">
        <v>42</v>
      </c>
      <c r="S1849" t="str" cm="1">
        <f t="array" ref="S1849">IFERROR(_xlfn.IFS(Table1[[#This Row],[Payment Status]]="Partial","In Transit",Table1[[#This Row],[Payment Status]]="Paid","Delivered",Table1[[#This Row],[Payment Status]]="Pending","Pending"),"Invalid Input")</f>
        <v>Pending</v>
      </c>
      <c r="T1849" t="s">
        <v>27</v>
      </c>
      <c r="U1849" t="str" cm="1">
        <f t="array" ref="U1849">IFERROR(_xlfn.IFS(Table1[[#This Row],[Payment Status]]="Partial","In Transit",Table1[[#This Row],[Payment Status]]="Paid","Completed",Table1[[#This Row],[Payment Status]]="Pending","Pending"),"Invalid Input")</f>
        <v>Pending</v>
      </c>
    </row>
    <row r="1850" spans="1:21" x14ac:dyDescent="0.25">
      <c r="A1850" s="4" t="s">
        <v>3030</v>
      </c>
      <c r="B1850" s="5">
        <v>45333</v>
      </c>
      <c r="C1850" t="s">
        <v>62</v>
      </c>
      <c r="D1850" t="s">
        <v>37</v>
      </c>
      <c r="E1850" t="s">
        <v>119</v>
      </c>
      <c r="F1850" t="s">
        <v>3224</v>
      </c>
      <c r="G1850" t="s">
        <v>21</v>
      </c>
      <c r="H1850" t="str">
        <f>VLOOKUP(Table1[[#This Row],[City]],Table6[#All],2,FALSE)</f>
        <v>North</v>
      </c>
      <c r="I1850" t="s">
        <v>24</v>
      </c>
      <c r="J1850" t="str">
        <f>_xlfn.XLOOKUP(Table1[[#This Row],[Tractor Model]],Table7[Product Model],Table7[Product Category],"Not Available",0)</f>
        <v>Farmtrac</v>
      </c>
      <c r="K1850" s="4">
        <v>2</v>
      </c>
      <c r="L1850" s="72">
        <v>860920</v>
      </c>
      <c r="M1850" s="4">
        <f>INDEX('Master Sheet'!$C$4:$C$12,MATCH(Table1[[#This Row],[Quantity]],'Master Sheet'!$B$4:$B$12,0))</f>
        <v>5</v>
      </c>
      <c r="N1850" s="71">
        <f>Table1[[#This Row],[Quantity]]*Table1[[#This Row],[Unit Price]]</f>
        <v>1721840</v>
      </c>
      <c r="O1850" s="73">
        <v>0.172184</v>
      </c>
      <c r="P1850" s="70">
        <f>Table1[[#This Row],[Gross Amount]]*(1-(Table1[[#This Row],[Discount %]]/100))</f>
        <v>1635748</v>
      </c>
      <c r="Q1850" s="74">
        <f>(Table1[[#This Row],[Gross Amount]]*(1-(Table1[[#This Row],[Discount %]]/100)))/10000000</f>
        <v>0.16357479999999999</v>
      </c>
      <c r="R1850" t="s">
        <v>42</v>
      </c>
      <c r="S1850" t="str" cm="1">
        <f t="array" ref="S1850">IFERROR(_xlfn.IFS(Table1[[#This Row],[Payment Status]]="Partial","In Transit",Table1[[#This Row],[Payment Status]]="Paid","Delivered",Table1[[#This Row],[Payment Status]]="Pending","Pending"),"Invalid Input")</f>
        <v>Pending</v>
      </c>
      <c r="T1850" t="s">
        <v>27</v>
      </c>
      <c r="U1850" t="str" cm="1">
        <f t="array" ref="U1850">IFERROR(_xlfn.IFS(Table1[[#This Row],[Payment Status]]="Partial","In Transit",Table1[[#This Row],[Payment Status]]="Paid","Completed",Table1[[#This Row],[Payment Status]]="Pending","Pending"),"Invalid Input")</f>
        <v>Pending</v>
      </c>
    </row>
    <row r="1851" spans="1:21" x14ac:dyDescent="0.25">
      <c r="A1851" s="4" t="s">
        <v>3031</v>
      </c>
      <c r="B1851" s="5">
        <v>45551</v>
      </c>
      <c r="C1851" t="s">
        <v>33</v>
      </c>
      <c r="D1851" t="s">
        <v>3269</v>
      </c>
      <c r="E1851" t="s">
        <v>30</v>
      </c>
      <c r="F1851" t="s">
        <v>3225</v>
      </c>
      <c r="G1851" t="s">
        <v>31</v>
      </c>
      <c r="H1851" t="str">
        <f>VLOOKUP(Table1[[#This Row],[City]],Table6[#All],2,FALSE)</f>
        <v>South</v>
      </c>
      <c r="I1851" t="s">
        <v>3204</v>
      </c>
      <c r="J1851" t="str">
        <f>_xlfn.XLOOKUP(Table1[[#This Row],[Tractor Model]],Table7[Product Model],Table7[Product Category],"Not Available",0)</f>
        <v>Kubota</v>
      </c>
      <c r="K1851" s="4">
        <v>8</v>
      </c>
      <c r="L1851" s="72">
        <v>507414</v>
      </c>
      <c r="M1851" s="4">
        <f>INDEX('Master Sheet'!$C$4:$C$12,MATCH(Table1[[#This Row],[Quantity]],'Master Sheet'!$B$4:$B$12,0))</f>
        <v>9</v>
      </c>
      <c r="N1851" s="71">
        <f>Table1[[#This Row],[Quantity]]*Table1[[#This Row],[Unit Price]]</f>
        <v>4059312</v>
      </c>
      <c r="O1851" s="73">
        <v>0.40593119999999999</v>
      </c>
      <c r="P1851" s="70">
        <f>Table1[[#This Row],[Gross Amount]]*(1-(Table1[[#This Row],[Discount %]]/100))</f>
        <v>3693973.92</v>
      </c>
      <c r="Q1851" s="74">
        <f>(Table1[[#This Row],[Gross Amount]]*(1-(Table1[[#This Row],[Discount %]]/100)))/10000000</f>
        <v>0.36939739199999999</v>
      </c>
      <c r="R1851" t="s">
        <v>25</v>
      </c>
      <c r="S1851" t="str" cm="1">
        <f t="array" ref="S1851">IFERROR(_xlfn.IFS(Table1[[#This Row],[Payment Status]]="Partial","In Transit",Table1[[#This Row],[Payment Status]]="Paid","Delivered",Table1[[#This Row],[Payment Status]]="Pending","Pending"),"Invalid Input")</f>
        <v>In Transit</v>
      </c>
      <c r="T1851" t="s">
        <v>27</v>
      </c>
      <c r="U1851" t="str" cm="1">
        <f t="array" ref="U1851">IFERROR(_xlfn.IFS(Table1[[#This Row],[Payment Status]]="Partial","In Transit",Table1[[#This Row],[Payment Status]]="Paid","Completed",Table1[[#This Row],[Payment Status]]="Pending","Pending"),"Invalid Input")</f>
        <v>In Transit</v>
      </c>
    </row>
    <row r="1852" spans="1:21" x14ac:dyDescent="0.25">
      <c r="A1852" s="4" t="s">
        <v>3032</v>
      </c>
      <c r="B1852" s="5">
        <v>45596</v>
      </c>
      <c r="C1852" t="s">
        <v>41</v>
      </c>
      <c r="D1852" t="s">
        <v>3268</v>
      </c>
      <c r="E1852" t="s">
        <v>66</v>
      </c>
      <c r="F1852" t="s">
        <v>3211</v>
      </c>
      <c r="G1852" t="s">
        <v>67</v>
      </c>
      <c r="H1852" t="str">
        <f>VLOOKUP(Table1[[#This Row],[City]],Table6[#All],2,FALSE)</f>
        <v>East</v>
      </c>
      <c r="I1852" t="s">
        <v>58</v>
      </c>
      <c r="J1852" t="str">
        <f>_xlfn.XLOOKUP(Table1[[#This Row],[Tractor Model]],Table7[Product Model],Table7[Product Category],"Not Available",0)</f>
        <v>Powertrac</v>
      </c>
      <c r="K1852" s="4">
        <v>7</v>
      </c>
      <c r="L1852" s="72">
        <v>549685</v>
      </c>
      <c r="M1852" s="4">
        <f>INDEX('Master Sheet'!$C$4:$C$12,MATCH(Table1[[#This Row],[Quantity]],'Master Sheet'!$B$4:$B$12,0))</f>
        <v>9</v>
      </c>
      <c r="N1852" s="71">
        <f>Table1[[#This Row],[Quantity]]*Table1[[#This Row],[Unit Price]]</f>
        <v>3847795</v>
      </c>
      <c r="O1852" s="73">
        <v>0.3847795</v>
      </c>
      <c r="P1852" s="70">
        <f>Table1[[#This Row],[Gross Amount]]*(1-(Table1[[#This Row],[Discount %]]/100))</f>
        <v>3501493.45</v>
      </c>
      <c r="Q1852" s="74">
        <f>(Table1[[#This Row],[Gross Amount]]*(1-(Table1[[#This Row],[Discount %]]/100)))/10000000</f>
        <v>0.350149345</v>
      </c>
      <c r="R1852" t="s">
        <v>54</v>
      </c>
      <c r="S1852" t="str" cm="1">
        <f t="array" ref="S1852">IFERROR(_xlfn.IFS(Table1[[#This Row],[Payment Status]]="Partial","In Transit",Table1[[#This Row],[Payment Status]]="Paid","Delivered",Table1[[#This Row],[Payment Status]]="Pending","Pending"),"Invalid Input")</f>
        <v>Delivered</v>
      </c>
      <c r="T1852" t="s">
        <v>44</v>
      </c>
      <c r="U1852" t="str" cm="1">
        <f t="array" ref="U1852">IFERROR(_xlfn.IFS(Table1[[#This Row],[Payment Status]]="Partial","In Transit",Table1[[#This Row],[Payment Status]]="Paid","Completed",Table1[[#This Row],[Payment Status]]="Pending","Pending"),"Invalid Input")</f>
        <v>Completed</v>
      </c>
    </row>
    <row r="1853" spans="1:21" x14ac:dyDescent="0.25">
      <c r="A1853" s="4" t="s">
        <v>3033</v>
      </c>
      <c r="B1853" s="5">
        <v>45675</v>
      </c>
      <c r="C1853" t="s">
        <v>33</v>
      </c>
      <c r="D1853" t="s">
        <v>37</v>
      </c>
      <c r="E1853" t="s">
        <v>47</v>
      </c>
      <c r="F1853" t="s">
        <v>3215</v>
      </c>
      <c r="G1853" t="s">
        <v>48</v>
      </c>
      <c r="H1853" t="str">
        <f>VLOOKUP(Table1[[#This Row],[City]],Table6[#All],2,FALSE)</f>
        <v>North</v>
      </c>
      <c r="I1853" t="s">
        <v>53</v>
      </c>
      <c r="J1853" t="str">
        <f>_xlfn.XLOOKUP(Table1[[#This Row],[Tractor Model]],Table7[Product Model],Table7[Product Category],"Not Available",0)</f>
        <v>Farmtrac</v>
      </c>
      <c r="K1853" s="4">
        <v>4</v>
      </c>
      <c r="L1853" s="72">
        <v>883325</v>
      </c>
      <c r="M1853" s="4">
        <f>INDEX('Master Sheet'!$C$4:$C$12,MATCH(Table1[[#This Row],[Quantity]],'Master Sheet'!$B$4:$B$12,0))</f>
        <v>6</v>
      </c>
      <c r="N1853" s="71">
        <f>Table1[[#This Row],[Quantity]]*Table1[[#This Row],[Unit Price]]</f>
        <v>3533300</v>
      </c>
      <c r="O1853" s="73">
        <v>0.35332999999999998</v>
      </c>
      <c r="P1853" s="70">
        <f>Table1[[#This Row],[Gross Amount]]*(1-(Table1[[#This Row],[Discount %]]/100))</f>
        <v>3321302</v>
      </c>
      <c r="Q1853" s="74">
        <f>(Table1[[#This Row],[Gross Amount]]*(1-(Table1[[#This Row],[Discount %]]/100)))/10000000</f>
        <v>0.33213019999999999</v>
      </c>
      <c r="R1853" t="s">
        <v>54</v>
      </c>
      <c r="S1853" t="str" cm="1">
        <f t="array" ref="S1853">IFERROR(_xlfn.IFS(Table1[[#This Row],[Payment Status]]="Partial","In Transit",Table1[[#This Row],[Payment Status]]="Paid","Delivered",Table1[[#This Row],[Payment Status]]="Pending","Pending"),"Invalid Input")</f>
        <v>Delivered</v>
      </c>
      <c r="T1853" t="s">
        <v>27</v>
      </c>
      <c r="U1853" t="str" cm="1">
        <f t="array" ref="U1853">IFERROR(_xlfn.IFS(Table1[[#This Row],[Payment Status]]="Partial","In Transit",Table1[[#This Row],[Payment Status]]="Paid","Completed",Table1[[#This Row],[Payment Status]]="Pending","Pending"),"Invalid Input")</f>
        <v>Completed</v>
      </c>
    </row>
    <row r="1854" spans="1:21" x14ac:dyDescent="0.25">
      <c r="A1854" s="4" t="s">
        <v>3034</v>
      </c>
      <c r="B1854" s="5">
        <v>45431</v>
      </c>
      <c r="C1854" t="s">
        <v>52</v>
      </c>
      <c r="D1854" t="s">
        <v>3271</v>
      </c>
      <c r="E1854" t="s">
        <v>47</v>
      </c>
      <c r="F1854" t="s">
        <v>3221</v>
      </c>
      <c r="G1854" t="s">
        <v>48</v>
      </c>
      <c r="H1854" t="str">
        <f>VLOOKUP(Table1[[#This Row],[City]],Table6[#All],2,FALSE)</f>
        <v>North</v>
      </c>
      <c r="I1854" t="s">
        <v>3204</v>
      </c>
      <c r="J1854" t="str">
        <f>_xlfn.XLOOKUP(Table1[[#This Row],[Tractor Model]],Table7[Product Model],Table7[Product Category],"Not Available",0)</f>
        <v>Kubota</v>
      </c>
      <c r="K1854" s="4">
        <v>4</v>
      </c>
      <c r="L1854" s="72">
        <v>621968</v>
      </c>
      <c r="M1854" s="4">
        <f>INDEX('Master Sheet'!$C$4:$C$12,MATCH(Table1[[#This Row],[Quantity]],'Master Sheet'!$B$4:$B$12,0))</f>
        <v>6</v>
      </c>
      <c r="N1854" s="71">
        <f>Table1[[#This Row],[Quantity]]*Table1[[#This Row],[Unit Price]]</f>
        <v>2487872</v>
      </c>
      <c r="O1854" s="73">
        <v>0.24878719999999999</v>
      </c>
      <c r="P1854" s="70">
        <f>Table1[[#This Row],[Gross Amount]]*(1-(Table1[[#This Row],[Discount %]]/100))</f>
        <v>2338599.6799999997</v>
      </c>
      <c r="Q1854" s="74">
        <f>(Table1[[#This Row],[Gross Amount]]*(1-(Table1[[#This Row],[Discount %]]/100)))/10000000</f>
        <v>0.23385996799999997</v>
      </c>
      <c r="R1854" t="s">
        <v>42</v>
      </c>
      <c r="S1854" t="str" cm="1">
        <f t="array" ref="S1854">IFERROR(_xlfn.IFS(Table1[[#This Row],[Payment Status]]="Partial","In Transit",Table1[[#This Row],[Payment Status]]="Paid","Delivered",Table1[[#This Row],[Payment Status]]="Pending","Pending"),"Invalid Input")</f>
        <v>Pending</v>
      </c>
      <c r="T1854" t="s">
        <v>27</v>
      </c>
      <c r="U1854" t="str" cm="1">
        <f t="array" ref="U1854">IFERROR(_xlfn.IFS(Table1[[#This Row],[Payment Status]]="Partial","In Transit",Table1[[#This Row],[Payment Status]]="Paid","Completed",Table1[[#This Row],[Payment Status]]="Pending","Pending"),"Invalid Input")</f>
        <v>Pending</v>
      </c>
    </row>
    <row r="1855" spans="1:21" x14ac:dyDescent="0.25">
      <c r="A1855" s="4" t="s">
        <v>3035</v>
      </c>
      <c r="B1855" s="5">
        <v>45449</v>
      </c>
      <c r="C1855" t="s">
        <v>62</v>
      </c>
      <c r="D1855" t="s">
        <v>37</v>
      </c>
      <c r="E1855" t="s">
        <v>30</v>
      </c>
      <c r="F1855" t="s">
        <v>3222</v>
      </c>
      <c r="G1855" t="s">
        <v>31</v>
      </c>
      <c r="H1855" t="str">
        <f>VLOOKUP(Table1[[#This Row],[City]],Table6[#All],2,FALSE)</f>
        <v>South</v>
      </c>
      <c r="I1855" t="s">
        <v>58</v>
      </c>
      <c r="J1855" t="str">
        <f>_xlfn.XLOOKUP(Table1[[#This Row],[Tractor Model]],Table7[Product Model],Table7[Product Category],"Not Available",0)</f>
        <v>Powertrac</v>
      </c>
      <c r="K1855" s="4">
        <v>1</v>
      </c>
      <c r="L1855" s="72">
        <v>860860</v>
      </c>
      <c r="M1855" s="4">
        <f>INDEX('Master Sheet'!$C$4:$C$12,MATCH(Table1[[#This Row],[Quantity]],'Master Sheet'!$B$4:$B$12,0))</f>
        <v>3</v>
      </c>
      <c r="N1855" s="71">
        <f>Table1[[#This Row],[Quantity]]*Table1[[#This Row],[Unit Price]]</f>
        <v>860860</v>
      </c>
      <c r="O1855" s="73">
        <v>8.6085999999999996E-2</v>
      </c>
      <c r="P1855" s="70">
        <f>Table1[[#This Row],[Gross Amount]]*(1-(Table1[[#This Row],[Discount %]]/100))</f>
        <v>835034.2</v>
      </c>
      <c r="Q1855" s="74">
        <f>(Table1[[#This Row],[Gross Amount]]*(1-(Table1[[#This Row],[Discount %]]/100)))/10000000</f>
        <v>8.3503419999999995E-2</v>
      </c>
      <c r="R1855" t="s">
        <v>54</v>
      </c>
      <c r="S1855" t="str" cm="1">
        <f t="array" ref="S1855">IFERROR(_xlfn.IFS(Table1[[#This Row],[Payment Status]]="Partial","In Transit",Table1[[#This Row],[Payment Status]]="Paid","Delivered",Table1[[#This Row],[Payment Status]]="Pending","Pending"),"Invalid Input")</f>
        <v>Delivered</v>
      </c>
      <c r="T1855" t="s">
        <v>27</v>
      </c>
      <c r="U1855" t="str" cm="1">
        <f t="array" ref="U1855">IFERROR(_xlfn.IFS(Table1[[#This Row],[Payment Status]]="Partial","In Transit",Table1[[#This Row],[Payment Status]]="Paid","Completed",Table1[[#This Row],[Payment Status]]="Pending","Pending"),"Invalid Input")</f>
        <v>Completed</v>
      </c>
    </row>
    <row r="1856" spans="1:21" x14ac:dyDescent="0.25">
      <c r="A1856" s="4" t="s">
        <v>3036</v>
      </c>
      <c r="B1856" s="5">
        <v>45556</v>
      </c>
      <c r="C1856" t="s">
        <v>52</v>
      </c>
      <c r="D1856" t="s">
        <v>3269</v>
      </c>
      <c r="E1856" t="s">
        <v>38</v>
      </c>
      <c r="F1856" t="s">
        <v>3206</v>
      </c>
      <c r="G1856" t="s">
        <v>39</v>
      </c>
      <c r="H1856" t="str">
        <f>VLOOKUP(Table1[[#This Row],[City]],Table6[#All],2,FALSE)</f>
        <v>West</v>
      </c>
      <c r="I1856" t="s">
        <v>58</v>
      </c>
      <c r="J1856" t="str">
        <f>_xlfn.XLOOKUP(Table1[[#This Row],[Tractor Model]],Table7[Product Model],Table7[Product Category],"Not Available",0)</f>
        <v>Powertrac</v>
      </c>
      <c r="K1856" s="4">
        <v>2</v>
      </c>
      <c r="L1856" s="72">
        <v>892070</v>
      </c>
      <c r="M1856" s="4">
        <f>INDEX('Master Sheet'!$C$4:$C$12,MATCH(Table1[[#This Row],[Quantity]],'Master Sheet'!$B$4:$B$12,0))</f>
        <v>5</v>
      </c>
      <c r="N1856" s="71">
        <f>Table1[[#This Row],[Quantity]]*Table1[[#This Row],[Unit Price]]</f>
        <v>1784140</v>
      </c>
      <c r="O1856" s="73">
        <v>0.17841399999999999</v>
      </c>
      <c r="P1856" s="70">
        <f>Table1[[#This Row],[Gross Amount]]*(1-(Table1[[#This Row],[Discount %]]/100))</f>
        <v>1694933</v>
      </c>
      <c r="Q1856" s="74">
        <f>(Table1[[#This Row],[Gross Amount]]*(1-(Table1[[#This Row],[Discount %]]/100)))/10000000</f>
        <v>0.16949330000000001</v>
      </c>
      <c r="R1856" t="s">
        <v>42</v>
      </c>
      <c r="S1856" t="str" cm="1">
        <f t="array" ref="S1856">IFERROR(_xlfn.IFS(Table1[[#This Row],[Payment Status]]="Partial","In Transit",Table1[[#This Row],[Payment Status]]="Paid","Delivered",Table1[[#This Row],[Payment Status]]="Pending","Pending"),"Invalid Input")</f>
        <v>Pending</v>
      </c>
      <c r="T1856" t="s">
        <v>44</v>
      </c>
      <c r="U1856" t="str" cm="1">
        <f t="array" ref="U1856">IFERROR(_xlfn.IFS(Table1[[#This Row],[Payment Status]]="Partial","In Transit",Table1[[#This Row],[Payment Status]]="Paid","Completed",Table1[[#This Row],[Payment Status]]="Pending","Pending"),"Invalid Input")</f>
        <v>Pending</v>
      </c>
    </row>
    <row r="1857" spans="1:21" x14ac:dyDescent="0.25">
      <c r="A1857" s="4" t="s">
        <v>3037</v>
      </c>
      <c r="B1857" s="5">
        <v>45829</v>
      </c>
      <c r="C1857" t="s">
        <v>52</v>
      </c>
      <c r="D1857" t="s">
        <v>37</v>
      </c>
      <c r="E1857" t="s">
        <v>119</v>
      </c>
      <c r="F1857" t="s">
        <v>3224</v>
      </c>
      <c r="G1857" t="s">
        <v>21</v>
      </c>
      <c r="H1857" t="str">
        <f>VLOOKUP(Table1[[#This Row],[City]],Table6[#All],2,FALSE)</f>
        <v>North</v>
      </c>
      <c r="I1857" t="s">
        <v>3203</v>
      </c>
      <c r="J1857" t="str">
        <f>_xlfn.XLOOKUP(Table1[[#This Row],[Tractor Model]],Table7[Product Model],Table7[Product Category],"Not Available",0)</f>
        <v>Kubota</v>
      </c>
      <c r="K1857" s="4">
        <v>5</v>
      </c>
      <c r="L1857" s="72">
        <v>872452</v>
      </c>
      <c r="M1857" s="4">
        <f>INDEX('Master Sheet'!$C$4:$C$12,MATCH(Table1[[#This Row],[Quantity]],'Master Sheet'!$B$4:$B$12,0))</f>
        <v>7</v>
      </c>
      <c r="N1857" s="71">
        <f>Table1[[#This Row],[Quantity]]*Table1[[#This Row],[Unit Price]]</f>
        <v>4362260</v>
      </c>
      <c r="O1857" s="73">
        <v>0.436226</v>
      </c>
      <c r="P1857" s="70">
        <f>Table1[[#This Row],[Gross Amount]]*(1-(Table1[[#This Row],[Discount %]]/100))</f>
        <v>4056901.8</v>
      </c>
      <c r="Q1857" s="74">
        <f>(Table1[[#This Row],[Gross Amount]]*(1-(Table1[[#This Row],[Discount %]]/100)))/10000000</f>
        <v>0.40569017999999996</v>
      </c>
      <c r="R1857" t="s">
        <v>25</v>
      </c>
      <c r="S1857" t="str" cm="1">
        <f t="array" ref="S1857">IFERROR(_xlfn.IFS(Table1[[#This Row],[Payment Status]]="Partial","In Transit",Table1[[#This Row],[Payment Status]]="Paid","Delivered",Table1[[#This Row],[Payment Status]]="Pending","Pending"),"Invalid Input")</f>
        <v>In Transit</v>
      </c>
      <c r="T1857" t="s">
        <v>27</v>
      </c>
      <c r="U1857" t="str" cm="1">
        <f t="array" ref="U1857">IFERROR(_xlfn.IFS(Table1[[#This Row],[Payment Status]]="Partial","In Transit",Table1[[#This Row],[Payment Status]]="Paid","Completed",Table1[[#This Row],[Payment Status]]="Pending","Pending"),"Invalid Input")</f>
        <v>In Transit</v>
      </c>
    </row>
    <row r="1858" spans="1:21" x14ac:dyDescent="0.25">
      <c r="A1858" s="4" t="s">
        <v>3038</v>
      </c>
      <c r="B1858" s="5">
        <v>45821</v>
      </c>
      <c r="C1858" t="s">
        <v>62</v>
      </c>
      <c r="D1858" t="s">
        <v>3271</v>
      </c>
      <c r="E1858" t="s">
        <v>47</v>
      </c>
      <c r="F1858" t="s">
        <v>3221</v>
      </c>
      <c r="G1858" t="s">
        <v>48</v>
      </c>
      <c r="H1858" t="str">
        <f>VLOOKUP(Table1[[#This Row],[City]],Table6[#All],2,FALSE)</f>
        <v>North</v>
      </c>
      <c r="I1858" t="s">
        <v>58</v>
      </c>
      <c r="J1858" t="str">
        <f>_xlfn.XLOOKUP(Table1[[#This Row],[Tractor Model]],Table7[Product Model],Table7[Product Category],"Not Available",0)</f>
        <v>Powertrac</v>
      </c>
      <c r="K1858" s="4">
        <v>2</v>
      </c>
      <c r="L1858" s="72">
        <v>489239</v>
      </c>
      <c r="M1858" s="4">
        <f>INDEX('Master Sheet'!$C$4:$C$12,MATCH(Table1[[#This Row],[Quantity]],'Master Sheet'!$B$4:$B$12,0))</f>
        <v>5</v>
      </c>
      <c r="N1858" s="71">
        <f>Table1[[#This Row],[Quantity]]*Table1[[#This Row],[Unit Price]]</f>
        <v>978478</v>
      </c>
      <c r="O1858" s="73">
        <v>9.7847799999999999E-2</v>
      </c>
      <c r="P1858" s="70">
        <f>Table1[[#This Row],[Gross Amount]]*(1-(Table1[[#This Row],[Discount %]]/100))</f>
        <v>929554.1</v>
      </c>
      <c r="Q1858" s="74">
        <f>(Table1[[#This Row],[Gross Amount]]*(1-(Table1[[#This Row],[Discount %]]/100)))/10000000</f>
        <v>9.2955410000000002E-2</v>
      </c>
      <c r="R1858" t="s">
        <v>25</v>
      </c>
      <c r="S1858" t="str" cm="1">
        <f t="array" ref="S1858">IFERROR(_xlfn.IFS(Table1[[#This Row],[Payment Status]]="Partial","In Transit",Table1[[#This Row],[Payment Status]]="Paid","Delivered",Table1[[#This Row],[Payment Status]]="Pending","Pending"),"Invalid Input")</f>
        <v>In Transit</v>
      </c>
      <c r="T1858" t="s">
        <v>44</v>
      </c>
      <c r="U1858" t="str" cm="1">
        <f t="array" ref="U1858">IFERROR(_xlfn.IFS(Table1[[#This Row],[Payment Status]]="Partial","In Transit",Table1[[#This Row],[Payment Status]]="Paid","Completed",Table1[[#This Row],[Payment Status]]="Pending","Pending"),"Invalid Input")</f>
        <v>In Transit</v>
      </c>
    </row>
    <row r="1859" spans="1:21" x14ac:dyDescent="0.25">
      <c r="A1859" s="4" t="s">
        <v>3040</v>
      </c>
      <c r="B1859" s="5">
        <v>45805</v>
      </c>
      <c r="C1859" t="s">
        <v>33</v>
      </c>
      <c r="D1859" t="s">
        <v>3270</v>
      </c>
      <c r="E1859" t="s">
        <v>38</v>
      </c>
      <c r="F1859" t="s">
        <v>3218</v>
      </c>
      <c r="G1859" t="s">
        <v>39</v>
      </c>
      <c r="H1859" t="str">
        <f>VLOOKUP(Table1[[#This Row],[City]],Table6[#All],2,FALSE)</f>
        <v>West</v>
      </c>
      <c r="I1859" t="s">
        <v>24</v>
      </c>
      <c r="J1859" t="str">
        <f>_xlfn.XLOOKUP(Table1[[#This Row],[Tractor Model]],Table7[Product Model],Table7[Product Category],"Not Available",0)</f>
        <v>Farmtrac</v>
      </c>
      <c r="K1859" s="4">
        <v>7</v>
      </c>
      <c r="L1859" s="72">
        <v>229019</v>
      </c>
      <c r="M1859" s="4">
        <f>INDEX('Master Sheet'!$C$4:$C$12,MATCH(Table1[[#This Row],[Quantity]],'Master Sheet'!$B$4:$B$12,0))</f>
        <v>9</v>
      </c>
      <c r="N1859" s="71">
        <f>Table1[[#This Row],[Quantity]]*Table1[[#This Row],[Unit Price]]</f>
        <v>1603133</v>
      </c>
      <c r="O1859" s="73">
        <v>0.16031329999999999</v>
      </c>
      <c r="P1859" s="70">
        <f>Table1[[#This Row],[Gross Amount]]*(1-(Table1[[#This Row],[Discount %]]/100))</f>
        <v>1458851.03</v>
      </c>
      <c r="Q1859" s="74">
        <f>(Table1[[#This Row],[Gross Amount]]*(1-(Table1[[#This Row],[Discount %]]/100)))/10000000</f>
        <v>0.14588510300000002</v>
      </c>
      <c r="R1859" t="s">
        <v>25</v>
      </c>
      <c r="S1859" t="str" cm="1">
        <f t="array" ref="S1859">IFERROR(_xlfn.IFS(Table1[[#This Row],[Payment Status]]="Partial","In Transit",Table1[[#This Row],[Payment Status]]="Paid","Delivered",Table1[[#This Row],[Payment Status]]="Pending","Pending"),"Invalid Input")</f>
        <v>In Transit</v>
      </c>
      <c r="T1859" t="s">
        <v>27</v>
      </c>
      <c r="U1859" t="str" cm="1">
        <f t="array" ref="U1859">IFERROR(_xlfn.IFS(Table1[[#This Row],[Payment Status]]="Partial","In Transit",Table1[[#This Row],[Payment Status]]="Paid","Completed",Table1[[#This Row],[Payment Status]]="Pending","Pending"),"Invalid Input")</f>
        <v>In Transit</v>
      </c>
    </row>
    <row r="1860" spans="1:21" x14ac:dyDescent="0.25">
      <c r="A1860" s="4" t="s">
        <v>3041</v>
      </c>
      <c r="B1860" s="5">
        <v>45524</v>
      </c>
      <c r="C1860" t="s">
        <v>62</v>
      </c>
      <c r="D1860" t="s">
        <v>3269</v>
      </c>
      <c r="E1860" t="s">
        <v>47</v>
      </c>
      <c r="F1860" t="s">
        <v>3209</v>
      </c>
      <c r="G1860" t="s">
        <v>48</v>
      </c>
      <c r="H1860" t="str">
        <f>VLOOKUP(Table1[[#This Row],[City]],Table6[#All],2,FALSE)</f>
        <v>North</v>
      </c>
      <c r="I1860" t="s">
        <v>3204</v>
      </c>
      <c r="J1860" t="str">
        <f>_xlfn.XLOOKUP(Table1[[#This Row],[Tractor Model]],Table7[Product Model],Table7[Product Category],"Not Available",0)</f>
        <v>Kubota</v>
      </c>
      <c r="K1860" s="4">
        <v>2</v>
      </c>
      <c r="L1860" s="72">
        <v>853919</v>
      </c>
      <c r="M1860" s="4">
        <f>INDEX('Master Sheet'!$C$4:$C$12,MATCH(Table1[[#This Row],[Quantity]],'Master Sheet'!$B$4:$B$12,0))</f>
        <v>5</v>
      </c>
      <c r="N1860" s="71">
        <f>Table1[[#This Row],[Quantity]]*Table1[[#This Row],[Unit Price]]</f>
        <v>1707838</v>
      </c>
      <c r="O1860" s="73">
        <v>0.17078380000000001</v>
      </c>
      <c r="P1860" s="70">
        <f>Table1[[#This Row],[Gross Amount]]*(1-(Table1[[#This Row],[Discount %]]/100))</f>
        <v>1622446.0999999999</v>
      </c>
      <c r="Q1860" s="74">
        <f>(Table1[[#This Row],[Gross Amount]]*(1-(Table1[[#This Row],[Discount %]]/100)))/10000000</f>
        <v>0.16224460999999998</v>
      </c>
      <c r="R1860" t="s">
        <v>42</v>
      </c>
      <c r="S1860" t="str" cm="1">
        <f t="array" ref="S1860">IFERROR(_xlfn.IFS(Table1[[#This Row],[Payment Status]]="Partial","In Transit",Table1[[#This Row],[Payment Status]]="Paid","Delivered",Table1[[#This Row],[Payment Status]]="Pending","Pending"),"Invalid Input")</f>
        <v>Pending</v>
      </c>
      <c r="T1860" t="s">
        <v>44</v>
      </c>
      <c r="U1860" t="str" cm="1">
        <f t="array" ref="U1860">IFERROR(_xlfn.IFS(Table1[[#This Row],[Payment Status]]="Partial","In Transit",Table1[[#This Row],[Payment Status]]="Paid","Completed",Table1[[#This Row],[Payment Status]]="Pending","Pending"),"Invalid Input")</f>
        <v>Pending</v>
      </c>
    </row>
    <row r="1861" spans="1:21" x14ac:dyDescent="0.25">
      <c r="A1861" s="4" t="s">
        <v>3043</v>
      </c>
      <c r="B1861" s="5">
        <v>45362</v>
      </c>
      <c r="C1861" t="s">
        <v>41</v>
      </c>
      <c r="D1861" t="s">
        <v>3268</v>
      </c>
      <c r="E1861" t="s">
        <v>119</v>
      </c>
      <c r="F1861" t="s">
        <v>3227</v>
      </c>
      <c r="G1861" t="s">
        <v>21</v>
      </c>
      <c r="H1861" t="str">
        <f>VLOOKUP(Table1[[#This Row],[City]],Table6[#All],2,FALSE)</f>
        <v>North</v>
      </c>
      <c r="I1861" t="s">
        <v>58</v>
      </c>
      <c r="J1861" t="str">
        <f>_xlfn.XLOOKUP(Table1[[#This Row],[Tractor Model]],Table7[Product Model],Table7[Product Category],"Not Available",0)</f>
        <v>Powertrac</v>
      </c>
      <c r="K1861" s="4">
        <v>5</v>
      </c>
      <c r="L1861" s="72">
        <v>805950</v>
      </c>
      <c r="M1861" s="4">
        <f>INDEX('Master Sheet'!$C$4:$C$12,MATCH(Table1[[#This Row],[Quantity]],'Master Sheet'!$B$4:$B$12,0))</f>
        <v>7</v>
      </c>
      <c r="N1861" s="71">
        <f>Table1[[#This Row],[Quantity]]*Table1[[#This Row],[Unit Price]]</f>
        <v>4029750</v>
      </c>
      <c r="O1861" s="73">
        <v>0.40297500000000003</v>
      </c>
      <c r="P1861" s="70">
        <f>Table1[[#This Row],[Gross Amount]]*(1-(Table1[[#This Row],[Discount %]]/100))</f>
        <v>3747667.4999999995</v>
      </c>
      <c r="Q1861" s="74">
        <f>(Table1[[#This Row],[Gross Amount]]*(1-(Table1[[#This Row],[Discount %]]/100)))/10000000</f>
        <v>0.37476674999999993</v>
      </c>
      <c r="R1861" t="s">
        <v>25</v>
      </c>
      <c r="S1861" t="str" cm="1">
        <f t="array" ref="S1861">IFERROR(_xlfn.IFS(Table1[[#This Row],[Payment Status]]="Partial","In Transit",Table1[[#This Row],[Payment Status]]="Paid","Delivered",Table1[[#This Row],[Payment Status]]="Pending","Pending"),"Invalid Input")</f>
        <v>In Transit</v>
      </c>
      <c r="T1861" t="s">
        <v>44</v>
      </c>
      <c r="U1861" t="str" cm="1">
        <f t="array" ref="U1861">IFERROR(_xlfn.IFS(Table1[[#This Row],[Payment Status]]="Partial","In Transit",Table1[[#This Row],[Payment Status]]="Paid","Completed",Table1[[#This Row],[Payment Status]]="Pending","Pending"),"Invalid Input")</f>
        <v>In Transit</v>
      </c>
    </row>
    <row r="1862" spans="1:21" x14ac:dyDescent="0.25">
      <c r="A1862" s="4" t="s">
        <v>3044</v>
      </c>
      <c r="B1862" s="5">
        <v>45454</v>
      </c>
      <c r="C1862" t="s">
        <v>52</v>
      </c>
      <c r="D1862" t="s">
        <v>3270</v>
      </c>
      <c r="E1862" t="s">
        <v>66</v>
      </c>
      <c r="F1862" t="s">
        <v>3220</v>
      </c>
      <c r="G1862" t="s">
        <v>67</v>
      </c>
      <c r="H1862" t="str">
        <f>VLOOKUP(Table1[[#This Row],[City]],Table6[#All],2,FALSE)</f>
        <v>East</v>
      </c>
      <c r="I1862" t="s">
        <v>3204</v>
      </c>
      <c r="J1862" t="str">
        <f>_xlfn.XLOOKUP(Table1[[#This Row],[Tractor Model]],Table7[Product Model],Table7[Product Category],"Not Available",0)</f>
        <v>Kubota</v>
      </c>
      <c r="K1862" s="4">
        <v>5</v>
      </c>
      <c r="L1862" s="72">
        <v>225654</v>
      </c>
      <c r="M1862" s="4">
        <f>INDEX('Master Sheet'!$C$4:$C$12,MATCH(Table1[[#This Row],[Quantity]],'Master Sheet'!$B$4:$B$12,0))</f>
        <v>7</v>
      </c>
      <c r="N1862" s="71">
        <f>Table1[[#This Row],[Quantity]]*Table1[[#This Row],[Unit Price]]</f>
        <v>1128270</v>
      </c>
      <c r="O1862" s="73">
        <v>0.112827</v>
      </c>
      <c r="P1862" s="70">
        <f>Table1[[#This Row],[Gross Amount]]*(1-(Table1[[#This Row],[Discount %]]/100))</f>
        <v>1049291.0999999999</v>
      </c>
      <c r="Q1862" s="74">
        <f>(Table1[[#This Row],[Gross Amount]]*(1-(Table1[[#This Row],[Discount %]]/100)))/10000000</f>
        <v>0.10492910999999999</v>
      </c>
      <c r="R1862" t="s">
        <v>54</v>
      </c>
      <c r="S1862" t="str" cm="1">
        <f t="array" ref="S1862">IFERROR(_xlfn.IFS(Table1[[#This Row],[Payment Status]]="Partial","In Transit",Table1[[#This Row],[Payment Status]]="Paid","Delivered",Table1[[#This Row],[Payment Status]]="Pending","Pending"),"Invalid Input")</f>
        <v>Delivered</v>
      </c>
      <c r="T1862" t="s">
        <v>44</v>
      </c>
      <c r="U1862" t="str" cm="1">
        <f t="array" ref="U1862">IFERROR(_xlfn.IFS(Table1[[#This Row],[Payment Status]]="Partial","In Transit",Table1[[#This Row],[Payment Status]]="Paid","Completed",Table1[[#This Row],[Payment Status]]="Pending","Pending"),"Invalid Input")</f>
        <v>Completed</v>
      </c>
    </row>
    <row r="1863" spans="1:21" x14ac:dyDescent="0.25">
      <c r="A1863" s="4" t="s">
        <v>3045</v>
      </c>
      <c r="B1863" s="5">
        <v>45759</v>
      </c>
      <c r="C1863" t="s">
        <v>73</v>
      </c>
      <c r="D1863" t="s">
        <v>3269</v>
      </c>
      <c r="E1863" t="s">
        <v>38</v>
      </c>
      <c r="F1863" t="s">
        <v>3206</v>
      </c>
      <c r="G1863" t="s">
        <v>39</v>
      </c>
      <c r="H1863" t="str">
        <f>VLOOKUP(Table1[[#This Row],[City]],Table6[#All],2,FALSE)</f>
        <v>West</v>
      </c>
      <c r="I1863" t="s">
        <v>24</v>
      </c>
      <c r="J1863" t="str">
        <f>_xlfn.XLOOKUP(Table1[[#This Row],[Tractor Model]],Table7[Product Model],Table7[Product Category],"Not Available",0)</f>
        <v>Farmtrac</v>
      </c>
      <c r="K1863" s="4">
        <v>1</v>
      </c>
      <c r="L1863" s="72">
        <v>173142</v>
      </c>
      <c r="M1863" s="4">
        <f>INDEX('Master Sheet'!$C$4:$C$12,MATCH(Table1[[#This Row],[Quantity]],'Master Sheet'!$B$4:$B$12,0))</f>
        <v>3</v>
      </c>
      <c r="N1863" s="71">
        <f>Table1[[#This Row],[Quantity]]*Table1[[#This Row],[Unit Price]]</f>
        <v>173142</v>
      </c>
      <c r="O1863" s="73">
        <v>1.7314199999999998E-2</v>
      </c>
      <c r="P1863" s="70">
        <f>Table1[[#This Row],[Gross Amount]]*(1-(Table1[[#This Row],[Discount %]]/100))</f>
        <v>167947.74</v>
      </c>
      <c r="Q1863" s="74">
        <f>(Table1[[#This Row],[Gross Amount]]*(1-(Table1[[#This Row],[Discount %]]/100)))/10000000</f>
        <v>1.6794773999999998E-2</v>
      </c>
      <c r="R1863" t="s">
        <v>25</v>
      </c>
      <c r="S1863" t="str" cm="1">
        <f t="array" ref="S1863">IFERROR(_xlfn.IFS(Table1[[#This Row],[Payment Status]]="Partial","In Transit",Table1[[#This Row],[Payment Status]]="Paid","Delivered",Table1[[#This Row],[Payment Status]]="Pending","Pending"),"Invalid Input")</f>
        <v>In Transit</v>
      </c>
      <c r="T1863" t="s">
        <v>44</v>
      </c>
      <c r="U1863" t="str" cm="1">
        <f t="array" ref="U1863">IFERROR(_xlfn.IFS(Table1[[#This Row],[Payment Status]]="Partial","In Transit",Table1[[#This Row],[Payment Status]]="Paid","Completed",Table1[[#This Row],[Payment Status]]="Pending","Pending"),"Invalid Input")</f>
        <v>In Transit</v>
      </c>
    </row>
    <row r="1864" spans="1:21" x14ac:dyDescent="0.25">
      <c r="A1864" s="4" t="s">
        <v>3046</v>
      </c>
      <c r="B1864" s="5">
        <v>45304</v>
      </c>
      <c r="C1864" t="s">
        <v>41</v>
      </c>
      <c r="D1864" t="s">
        <v>3271</v>
      </c>
      <c r="E1864" t="s">
        <v>30</v>
      </c>
      <c r="F1864" t="s">
        <v>3217</v>
      </c>
      <c r="G1864" t="s">
        <v>31</v>
      </c>
      <c r="H1864" t="str">
        <f>VLOOKUP(Table1[[#This Row],[City]],Table6[#All],2,FALSE)</f>
        <v>South</v>
      </c>
      <c r="I1864" t="s">
        <v>53</v>
      </c>
      <c r="J1864" t="str">
        <f>_xlfn.XLOOKUP(Table1[[#This Row],[Tractor Model]],Table7[Product Model],Table7[Product Category],"Not Available",0)</f>
        <v>Farmtrac</v>
      </c>
      <c r="K1864" s="4">
        <v>6</v>
      </c>
      <c r="L1864" s="72">
        <v>474879</v>
      </c>
      <c r="M1864" s="4">
        <f>INDEX('Master Sheet'!$C$4:$C$12,MATCH(Table1[[#This Row],[Quantity]],'Master Sheet'!$B$4:$B$12,0))</f>
        <v>8</v>
      </c>
      <c r="N1864" s="71">
        <f>Table1[[#This Row],[Quantity]]*Table1[[#This Row],[Unit Price]]</f>
        <v>2849274</v>
      </c>
      <c r="O1864" s="73">
        <v>0.2849274</v>
      </c>
      <c r="P1864" s="70">
        <f>Table1[[#This Row],[Gross Amount]]*(1-(Table1[[#This Row],[Discount %]]/100))</f>
        <v>2621332.08</v>
      </c>
      <c r="Q1864" s="74">
        <f>(Table1[[#This Row],[Gross Amount]]*(1-(Table1[[#This Row],[Discount %]]/100)))/10000000</f>
        <v>0.26213320800000001</v>
      </c>
      <c r="R1864" t="s">
        <v>25</v>
      </c>
      <c r="S1864" t="str" cm="1">
        <f t="array" ref="S1864">IFERROR(_xlfn.IFS(Table1[[#This Row],[Payment Status]]="Partial","In Transit",Table1[[#This Row],[Payment Status]]="Paid","Delivered",Table1[[#This Row],[Payment Status]]="Pending","Pending"),"Invalid Input")</f>
        <v>In Transit</v>
      </c>
      <c r="T1864" t="s">
        <v>27</v>
      </c>
      <c r="U1864" t="str" cm="1">
        <f t="array" ref="U1864">IFERROR(_xlfn.IFS(Table1[[#This Row],[Payment Status]]="Partial","In Transit",Table1[[#This Row],[Payment Status]]="Paid","Completed",Table1[[#This Row],[Payment Status]]="Pending","Pending"),"Invalid Input")</f>
        <v>In Transit</v>
      </c>
    </row>
    <row r="1865" spans="1:21" x14ac:dyDescent="0.25">
      <c r="A1865" s="4" t="s">
        <v>3047</v>
      </c>
      <c r="B1865" s="5">
        <v>45508</v>
      </c>
      <c r="C1865" t="s">
        <v>73</v>
      </c>
      <c r="D1865" t="s">
        <v>37</v>
      </c>
      <c r="E1865" t="s">
        <v>30</v>
      </c>
      <c r="F1865" t="s">
        <v>3222</v>
      </c>
      <c r="G1865" t="s">
        <v>31</v>
      </c>
      <c r="H1865" t="str">
        <f>VLOOKUP(Table1[[#This Row],[City]],Table6[#All],2,FALSE)</f>
        <v>South</v>
      </c>
      <c r="I1865" t="s">
        <v>24</v>
      </c>
      <c r="J1865" t="str">
        <f>_xlfn.XLOOKUP(Table1[[#This Row],[Tractor Model]],Table7[Product Model],Table7[Product Category],"Not Available",0)</f>
        <v>Farmtrac</v>
      </c>
      <c r="K1865" s="4">
        <v>4</v>
      </c>
      <c r="L1865" s="72">
        <v>75072</v>
      </c>
      <c r="M1865" s="4">
        <f>INDEX('Master Sheet'!$C$4:$C$12,MATCH(Table1[[#This Row],[Quantity]],'Master Sheet'!$B$4:$B$12,0))</f>
        <v>6</v>
      </c>
      <c r="N1865" s="71">
        <f>Table1[[#This Row],[Quantity]]*Table1[[#This Row],[Unit Price]]</f>
        <v>300288</v>
      </c>
      <c r="O1865" s="73">
        <v>3.0028800000000001E-2</v>
      </c>
      <c r="P1865" s="70">
        <f>Table1[[#This Row],[Gross Amount]]*(1-(Table1[[#This Row],[Discount %]]/100))</f>
        <v>282270.71999999997</v>
      </c>
      <c r="Q1865" s="74">
        <f>(Table1[[#This Row],[Gross Amount]]*(1-(Table1[[#This Row],[Discount %]]/100)))/10000000</f>
        <v>2.8227071999999999E-2</v>
      </c>
      <c r="R1865" t="s">
        <v>42</v>
      </c>
      <c r="S1865" t="str" cm="1">
        <f t="array" ref="S1865">IFERROR(_xlfn.IFS(Table1[[#This Row],[Payment Status]]="Partial","In Transit",Table1[[#This Row],[Payment Status]]="Paid","Delivered",Table1[[#This Row],[Payment Status]]="Pending","Pending"),"Invalid Input")</f>
        <v>Pending</v>
      </c>
      <c r="T1865" t="s">
        <v>27</v>
      </c>
      <c r="U1865" t="str" cm="1">
        <f t="array" ref="U1865">IFERROR(_xlfn.IFS(Table1[[#This Row],[Payment Status]]="Partial","In Transit",Table1[[#This Row],[Payment Status]]="Paid","Completed",Table1[[#This Row],[Payment Status]]="Pending","Pending"),"Invalid Input")</f>
        <v>Pending</v>
      </c>
    </row>
    <row r="1866" spans="1:21" x14ac:dyDescent="0.25">
      <c r="A1866" s="4" t="s">
        <v>3048</v>
      </c>
      <c r="B1866" s="5">
        <v>45509</v>
      </c>
      <c r="C1866" t="s">
        <v>41</v>
      </c>
      <c r="D1866" t="s">
        <v>37</v>
      </c>
      <c r="E1866" t="s">
        <v>30</v>
      </c>
      <c r="F1866" t="s">
        <v>3222</v>
      </c>
      <c r="G1866" t="s">
        <v>31</v>
      </c>
      <c r="H1866" t="str">
        <f>VLOOKUP(Table1[[#This Row],[City]],Table6[#All],2,FALSE)</f>
        <v>South</v>
      </c>
      <c r="I1866" t="s">
        <v>3204</v>
      </c>
      <c r="J1866" t="str">
        <f>_xlfn.XLOOKUP(Table1[[#This Row],[Tractor Model]],Table7[Product Model],Table7[Product Category],"Not Available",0)</f>
        <v>Kubota</v>
      </c>
      <c r="K1866" s="4">
        <v>4</v>
      </c>
      <c r="L1866" s="72">
        <v>674673</v>
      </c>
      <c r="M1866" s="4">
        <f>INDEX('Master Sheet'!$C$4:$C$12,MATCH(Table1[[#This Row],[Quantity]],'Master Sheet'!$B$4:$B$12,0))</f>
        <v>6</v>
      </c>
      <c r="N1866" s="71">
        <f>Table1[[#This Row],[Quantity]]*Table1[[#This Row],[Unit Price]]</f>
        <v>2698692</v>
      </c>
      <c r="O1866" s="73">
        <v>0.26986919999999998</v>
      </c>
      <c r="P1866" s="70">
        <f>Table1[[#This Row],[Gross Amount]]*(1-(Table1[[#This Row],[Discount %]]/100))</f>
        <v>2536770.48</v>
      </c>
      <c r="Q1866" s="74">
        <f>(Table1[[#This Row],[Gross Amount]]*(1-(Table1[[#This Row],[Discount %]]/100)))/10000000</f>
        <v>0.25367704800000002</v>
      </c>
      <c r="R1866" t="s">
        <v>42</v>
      </c>
      <c r="S1866" t="str" cm="1">
        <f t="array" ref="S1866">IFERROR(_xlfn.IFS(Table1[[#This Row],[Payment Status]]="Partial","In Transit",Table1[[#This Row],[Payment Status]]="Paid","Delivered",Table1[[#This Row],[Payment Status]]="Pending","Pending"),"Invalid Input")</f>
        <v>Pending</v>
      </c>
      <c r="T1866" t="s">
        <v>27</v>
      </c>
      <c r="U1866" t="str" cm="1">
        <f t="array" ref="U1866">IFERROR(_xlfn.IFS(Table1[[#This Row],[Payment Status]]="Partial","In Transit",Table1[[#This Row],[Payment Status]]="Paid","Completed",Table1[[#This Row],[Payment Status]]="Pending","Pending"),"Invalid Input")</f>
        <v>Pending</v>
      </c>
    </row>
    <row r="1867" spans="1:21" x14ac:dyDescent="0.25">
      <c r="A1867" s="4" t="s">
        <v>3049</v>
      </c>
      <c r="B1867" s="5">
        <v>45406</v>
      </c>
      <c r="C1867" t="s">
        <v>62</v>
      </c>
      <c r="D1867" t="s">
        <v>3269</v>
      </c>
      <c r="E1867" t="s">
        <v>66</v>
      </c>
      <c r="F1867" t="s">
        <v>3213</v>
      </c>
      <c r="G1867" t="s">
        <v>67</v>
      </c>
      <c r="H1867" t="str">
        <f>VLOOKUP(Table1[[#This Row],[City]],Table6[#All],2,FALSE)</f>
        <v>East</v>
      </c>
      <c r="I1867" t="s">
        <v>3203</v>
      </c>
      <c r="J1867" t="str">
        <f>_xlfn.XLOOKUP(Table1[[#This Row],[Tractor Model]],Table7[Product Model],Table7[Product Category],"Not Available",0)</f>
        <v>Kubota</v>
      </c>
      <c r="K1867" s="4">
        <v>6</v>
      </c>
      <c r="L1867" s="72">
        <v>68079</v>
      </c>
      <c r="M1867" s="4">
        <f>INDEX('Master Sheet'!$C$4:$C$12,MATCH(Table1[[#This Row],[Quantity]],'Master Sheet'!$B$4:$B$12,0))</f>
        <v>8</v>
      </c>
      <c r="N1867" s="71">
        <f>Table1[[#This Row],[Quantity]]*Table1[[#This Row],[Unit Price]]</f>
        <v>408474</v>
      </c>
      <c r="O1867" s="73">
        <v>4.0847399999999999E-2</v>
      </c>
      <c r="P1867" s="70">
        <f>Table1[[#This Row],[Gross Amount]]*(1-(Table1[[#This Row],[Discount %]]/100))</f>
        <v>375796.08</v>
      </c>
      <c r="Q1867" s="74">
        <f>(Table1[[#This Row],[Gross Amount]]*(1-(Table1[[#This Row],[Discount %]]/100)))/10000000</f>
        <v>3.7579608E-2</v>
      </c>
      <c r="R1867" t="s">
        <v>54</v>
      </c>
      <c r="S1867" t="str" cm="1">
        <f t="array" ref="S1867">IFERROR(_xlfn.IFS(Table1[[#This Row],[Payment Status]]="Partial","In Transit",Table1[[#This Row],[Payment Status]]="Paid","Delivered",Table1[[#This Row],[Payment Status]]="Pending","Pending"),"Invalid Input")</f>
        <v>Delivered</v>
      </c>
      <c r="T1867" t="s">
        <v>44</v>
      </c>
      <c r="U1867" t="str" cm="1">
        <f t="array" ref="U1867">IFERROR(_xlfn.IFS(Table1[[#This Row],[Payment Status]]="Partial","In Transit",Table1[[#This Row],[Payment Status]]="Paid","Completed",Table1[[#This Row],[Payment Status]]="Pending","Pending"),"Invalid Input")</f>
        <v>Completed</v>
      </c>
    </row>
    <row r="1868" spans="1:21" x14ac:dyDescent="0.25">
      <c r="A1868" s="4" t="s">
        <v>3050</v>
      </c>
      <c r="B1868" s="5">
        <v>45325</v>
      </c>
      <c r="C1868" t="s">
        <v>52</v>
      </c>
      <c r="D1868" t="s">
        <v>3271</v>
      </c>
      <c r="E1868" t="s">
        <v>30</v>
      </c>
      <c r="F1868" t="s">
        <v>3217</v>
      </c>
      <c r="G1868" t="s">
        <v>31</v>
      </c>
      <c r="H1868" t="str">
        <f>VLOOKUP(Table1[[#This Row],[City]],Table6[#All],2,FALSE)</f>
        <v>South</v>
      </c>
      <c r="I1868" t="s">
        <v>3204</v>
      </c>
      <c r="J1868" t="str">
        <f>_xlfn.XLOOKUP(Table1[[#This Row],[Tractor Model]],Table7[Product Model],Table7[Product Category],"Not Available",0)</f>
        <v>Kubota</v>
      </c>
      <c r="K1868" s="4">
        <v>8</v>
      </c>
      <c r="L1868" s="72">
        <v>740254</v>
      </c>
      <c r="M1868" s="4">
        <f>INDEX('Master Sheet'!$C$4:$C$12,MATCH(Table1[[#This Row],[Quantity]],'Master Sheet'!$B$4:$B$12,0))</f>
        <v>9</v>
      </c>
      <c r="N1868" s="71">
        <f>Table1[[#This Row],[Quantity]]*Table1[[#This Row],[Unit Price]]</f>
        <v>5922032</v>
      </c>
      <c r="O1868" s="73">
        <v>0.59220320000000004</v>
      </c>
      <c r="P1868" s="70">
        <f>Table1[[#This Row],[Gross Amount]]*(1-(Table1[[#This Row],[Discount %]]/100))</f>
        <v>5389049.1200000001</v>
      </c>
      <c r="Q1868" s="74">
        <f>(Table1[[#This Row],[Gross Amount]]*(1-(Table1[[#This Row],[Discount %]]/100)))/10000000</f>
        <v>0.53890491200000001</v>
      </c>
      <c r="R1868" t="s">
        <v>25</v>
      </c>
      <c r="S1868" t="str" cm="1">
        <f t="array" ref="S1868">IFERROR(_xlfn.IFS(Table1[[#This Row],[Payment Status]]="Partial","In Transit",Table1[[#This Row],[Payment Status]]="Paid","Delivered",Table1[[#This Row],[Payment Status]]="Pending","Pending"),"Invalid Input")</f>
        <v>In Transit</v>
      </c>
      <c r="T1868" t="s">
        <v>44</v>
      </c>
      <c r="U1868" t="str" cm="1">
        <f t="array" ref="U1868">IFERROR(_xlfn.IFS(Table1[[#This Row],[Payment Status]]="Partial","In Transit",Table1[[#This Row],[Payment Status]]="Paid","Completed",Table1[[#This Row],[Payment Status]]="Pending","Pending"),"Invalid Input")</f>
        <v>In Transit</v>
      </c>
    </row>
    <row r="1869" spans="1:21" x14ac:dyDescent="0.25">
      <c r="A1869" s="4" t="s">
        <v>3051</v>
      </c>
      <c r="B1869" s="5">
        <v>45718</v>
      </c>
      <c r="C1869" t="s">
        <v>73</v>
      </c>
      <c r="D1869" t="s">
        <v>37</v>
      </c>
      <c r="E1869" t="s">
        <v>30</v>
      </c>
      <c r="F1869" t="s">
        <v>3222</v>
      </c>
      <c r="G1869" t="s">
        <v>31</v>
      </c>
      <c r="H1869" t="str">
        <f>VLOOKUP(Table1[[#This Row],[City]],Table6[#All],2,FALSE)</f>
        <v>South</v>
      </c>
      <c r="I1869" t="s">
        <v>3204</v>
      </c>
      <c r="J1869" t="str">
        <f>_xlfn.XLOOKUP(Table1[[#This Row],[Tractor Model]],Table7[Product Model],Table7[Product Category],"Not Available",0)</f>
        <v>Kubota</v>
      </c>
      <c r="K1869" s="4">
        <v>3</v>
      </c>
      <c r="L1869" s="72">
        <v>54844</v>
      </c>
      <c r="M1869" s="4">
        <f>INDEX('Master Sheet'!$C$4:$C$12,MATCH(Table1[[#This Row],[Quantity]],'Master Sheet'!$B$4:$B$12,0))</f>
        <v>6</v>
      </c>
      <c r="N1869" s="71">
        <f>Table1[[#This Row],[Quantity]]*Table1[[#This Row],[Unit Price]]</f>
        <v>164532</v>
      </c>
      <c r="O1869" s="73">
        <v>1.6453200000000001E-2</v>
      </c>
      <c r="P1869" s="70">
        <f>Table1[[#This Row],[Gross Amount]]*(1-(Table1[[#This Row],[Discount %]]/100))</f>
        <v>154660.07999999999</v>
      </c>
      <c r="Q1869" s="74">
        <f>(Table1[[#This Row],[Gross Amount]]*(1-(Table1[[#This Row],[Discount %]]/100)))/10000000</f>
        <v>1.5466007999999998E-2</v>
      </c>
      <c r="R1869" t="s">
        <v>54</v>
      </c>
      <c r="S1869" t="str" cm="1">
        <f t="array" ref="S1869">IFERROR(_xlfn.IFS(Table1[[#This Row],[Payment Status]]="Partial","In Transit",Table1[[#This Row],[Payment Status]]="Paid","Delivered",Table1[[#This Row],[Payment Status]]="Pending","Pending"),"Invalid Input")</f>
        <v>Delivered</v>
      </c>
      <c r="T1869" t="s">
        <v>44</v>
      </c>
      <c r="U1869" t="str" cm="1">
        <f t="array" ref="U1869">IFERROR(_xlfn.IFS(Table1[[#This Row],[Payment Status]]="Partial","In Transit",Table1[[#This Row],[Payment Status]]="Paid","Completed",Table1[[#This Row],[Payment Status]]="Pending","Pending"),"Invalid Input")</f>
        <v>Completed</v>
      </c>
    </row>
    <row r="1870" spans="1:21" x14ac:dyDescent="0.25">
      <c r="A1870" s="4" t="s">
        <v>3052</v>
      </c>
      <c r="B1870" s="5">
        <v>45800</v>
      </c>
      <c r="C1870" t="s">
        <v>73</v>
      </c>
      <c r="D1870" t="s">
        <v>3270</v>
      </c>
      <c r="E1870" t="s">
        <v>66</v>
      </c>
      <c r="F1870" t="s">
        <v>3220</v>
      </c>
      <c r="G1870" t="s">
        <v>67</v>
      </c>
      <c r="H1870" t="str">
        <f>VLOOKUP(Table1[[#This Row],[City]],Table6[#All],2,FALSE)</f>
        <v>East</v>
      </c>
      <c r="I1870" t="s">
        <v>3204</v>
      </c>
      <c r="J1870" t="str">
        <f>_xlfn.XLOOKUP(Table1[[#This Row],[Tractor Model]],Table7[Product Model],Table7[Product Category],"Not Available",0)</f>
        <v>Kubota</v>
      </c>
      <c r="K1870" s="4">
        <v>4</v>
      </c>
      <c r="L1870" s="72">
        <v>643961</v>
      </c>
      <c r="M1870" s="4">
        <f>INDEX('Master Sheet'!$C$4:$C$12,MATCH(Table1[[#This Row],[Quantity]],'Master Sheet'!$B$4:$B$12,0))</f>
        <v>6</v>
      </c>
      <c r="N1870" s="71">
        <f>Table1[[#This Row],[Quantity]]*Table1[[#This Row],[Unit Price]]</f>
        <v>2575844</v>
      </c>
      <c r="O1870" s="73">
        <v>0.25758439999999999</v>
      </c>
      <c r="P1870" s="70">
        <f>Table1[[#This Row],[Gross Amount]]*(1-(Table1[[#This Row],[Discount %]]/100))</f>
        <v>2421293.36</v>
      </c>
      <c r="Q1870" s="74">
        <f>(Table1[[#This Row],[Gross Amount]]*(1-(Table1[[#This Row],[Discount %]]/100)))/10000000</f>
        <v>0.242129336</v>
      </c>
      <c r="R1870" t="s">
        <v>25</v>
      </c>
      <c r="S1870" t="str" cm="1">
        <f t="array" ref="S1870">IFERROR(_xlfn.IFS(Table1[[#This Row],[Payment Status]]="Partial","In Transit",Table1[[#This Row],[Payment Status]]="Paid","Delivered",Table1[[#This Row],[Payment Status]]="Pending","Pending"),"Invalid Input")</f>
        <v>In Transit</v>
      </c>
      <c r="T1870" t="s">
        <v>44</v>
      </c>
      <c r="U1870" t="str" cm="1">
        <f t="array" ref="U1870">IFERROR(_xlfn.IFS(Table1[[#This Row],[Payment Status]]="Partial","In Transit",Table1[[#This Row],[Payment Status]]="Paid","Completed",Table1[[#This Row],[Payment Status]]="Pending","Pending"),"Invalid Input")</f>
        <v>In Transit</v>
      </c>
    </row>
    <row r="1871" spans="1:21" x14ac:dyDescent="0.25">
      <c r="A1871" s="4" t="s">
        <v>3053</v>
      </c>
      <c r="B1871" s="5">
        <v>45708</v>
      </c>
      <c r="C1871" t="s">
        <v>52</v>
      </c>
      <c r="D1871" t="s">
        <v>37</v>
      </c>
      <c r="E1871" t="s">
        <v>30</v>
      </c>
      <c r="F1871" t="s">
        <v>3222</v>
      </c>
      <c r="G1871" t="s">
        <v>31</v>
      </c>
      <c r="H1871" t="str">
        <f>VLOOKUP(Table1[[#This Row],[City]],Table6[#All],2,FALSE)</f>
        <v>South</v>
      </c>
      <c r="I1871" t="s">
        <v>3203</v>
      </c>
      <c r="J1871" t="str">
        <f>_xlfn.XLOOKUP(Table1[[#This Row],[Tractor Model]],Table7[Product Model],Table7[Product Category],"Not Available",0)</f>
        <v>Kubota</v>
      </c>
      <c r="K1871" s="4">
        <v>3</v>
      </c>
      <c r="L1871" s="72">
        <v>338441</v>
      </c>
      <c r="M1871" s="4">
        <f>INDEX('Master Sheet'!$C$4:$C$12,MATCH(Table1[[#This Row],[Quantity]],'Master Sheet'!$B$4:$B$12,0))</f>
        <v>6</v>
      </c>
      <c r="N1871" s="71">
        <f>Table1[[#This Row],[Quantity]]*Table1[[#This Row],[Unit Price]]</f>
        <v>1015323</v>
      </c>
      <c r="O1871" s="73">
        <v>0.10153230000000001</v>
      </c>
      <c r="P1871" s="70">
        <f>Table1[[#This Row],[Gross Amount]]*(1-(Table1[[#This Row],[Discount %]]/100))</f>
        <v>954403.62</v>
      </c>
      <c r="Q1871" s="74">
        <f>(Table1[[#This Row],[Gross Amount]]*(1-(Table1[[#This Row],[Discount %]]/100)))/10000000</f>
        <v>9.5440362000000001E-2</v>
      </c>
      <c r="R1871" t="s">
        <v>54</v>
      </c>
      <c r="S1871" t="str" cm="1">
        <f t="array" ref="S1871">IFERROR(_xlfn.IFS(Table1[[#This Row],[Payment Status]]="Partial","In Transit",Table1[[#This Row],[Payment Status]]="Paid","Delivered",Table1[[#This Row],[Payment Status]]="Pending","Pending"),"Invalid Input")</f>
        <v>Delivered</v>
      </c>
      <c r="T1871" t="s">
        <v>27</v>
      </c>
      <c r="U1871" t="str" cm="1">
        <f t="array" ref="U1871">IFERROR(_xlfn.IFS(Table1[[#This Row],[Payment Status]]="Partial","In Transit",Table1[[#This Row],[Payment Status]]="Paid","Completed",Table1[[#This Row],[Payment Status]]="Pending","Pending"),"Invalid Input")</f>
        <v>Completed</v>
      </c>
    </row>
    <row r="1872" spans="1:21" x14ac:dyDescent="0.25">
      <c r="A1872" s="4" t="s">
        <v>3055</v>
      </c>
      <c r="B1872" s="5">
        <v>45602</v>
      </c>
      <c r="C1872" t="s">
        <v>62</v>
      </c>
      <c r="D1872" t="s">
        <v>3270</v>
      </c>
      <c r="E1872" t="s">
        <v>119</v>
      </c>
      <c r="F1872" t="s">
        <v>3212</v>
      </c>
      <c r="G1872" t="s">
        <v>21</v>
      </c>
      <c r="H1872" t="str">
        <f>VLOOKUP(Table1[[#This Row],[City]],Table6[#All],2,FALSE)</f>
        <v>North</v>
      </c>
      <c r="I1872" t="s">
        <v>53</v>
      </c>
      <c r="J1872" t="str">
        <f>_xlfn.XLOOKUP(Table1[[#This Row],[Tractor Model]],Table7[Product Model],Table7[Product Category],"Not Available",0)</f>
        <v>Farmtrac</v>
      </c>
      <c r="K1872" s="4">
        <v>6</v>
      </c>
      <c r="L1872" s="72">
        <v>622014</v>
      </c>
      <c r="M1872" s="4">
        <f>INDEX('Master Sheet'!$C$4:$C$12,MATCH(Table1[[#This Row],[Quantity]],'Master Sheet'!$B$4:$B$12,0))</f>
        <v>8</v>
      </c>
      <c r="N1872" s="71">
        <f>Table1[[#This Row],[Quantity]]*Table1[[#This Row],[Unit Price]]</f>
        <v>3732084</v>
      </c>
      <c r="O1872" s="73">
        <v>0.3732084</v>
      </c>
      <c r="P1872" s="70">
        <f>Table1[[#This Row],[Gross Amount]]*(1-(Table1[[#This Row],[Discount %]]/100))</f>
        <v>3433517.2800000003</v>
      </c>
      <c r="Q1872" s="74">
        <f>(Table1[[#This Row],[Gross Amount]]*(1-(Table1[[#This Row],[Discount %]]/100)))/10000000</f>
        <v>0.34335172800000002</v>
      </c>
      <c r="R1872" t="s">
        <v>54</v>
      </c>
      <c r="S1872" t="str" cm="1">
        <f t="array" ref="S1872">IFERROR(_xlfn.IFS(Table1[[#This Row],[Payment Status]]="Partial","In Transit",Table1[[#This Row],[Payment Status]]="Paid","Delivered",Table1[[#This Row],[Payment Status]]="Pending","Pending"),"Invalid Input")</f>
        <v>Delivered</v>
      </c>
      <c r="T1872" t="s">
        <v>44</v>
      </c>
      <c r="U1872" t="str" cm="1">
        <f t="array" ref="U1872">IFERROR(_xlfn.IFS(Table1[[#This Row],[Payment Status]]="Partial","In Transit",Table1[[#This Row],[Payment Status]]="Paid","Completed",Table1[[#This Row],[Payment Status]]="Pending","Pending"),"Invalid Input")</f>
        <v>Completed</v>
      </c>
    </row>
    <row r="1873" spans="1:21" x14ac:dyDescent="0.25">
      <c r="A1873" s="4" t="s">
        <v>3056</v>
      </c>
      <c r="B1873" s="5">
        <v>45589</v>
      </c>
      <c r="C1873" t="s">
        <v>33</v>
      </c>
      <c r="D1873" t="s">
        <v>37</v>
      </c>
      <c r="E1873" t="s">
        <v>30</v>
      </c>
      <c r="F1873" t="s">
        <v>3222</v>
      </c>
      <c r="G1873" t="s">
        <v>31</v>
      </c>
      <c r="H1873" t="str">
        <f>VLOOKUP(Table1[[#This Row],[City]],Table6[#All],2,FALSE)</f>
        <v>South</v>
      </c>
      <c r="I1873" t="s">
        <v>3204</v>
      </c>
      <c r="J1873" t="str">
        <f>_xlfn.XLOOKUP(Table1[[#This Row],[Tractor Model]],Table7[Product Model],Table7[Product Category],"Not Available",0)</f>
        <v>Kubota</v>
      </c>
      <c r="K1873" s="4">
        <v>0</v>
      </c>
      <c r="L1873" s="72">
        <v>791319</v>
      </c>
      <c r="M1873" s="4">
        <f>INDEX('Master Sheet'!$C$4:$C$12,MATCH(Table1[[#This Row],[Quantity]],'Master Sheet'!$B$4:$B$12,0))</f>
        <v>0</v>
      </c>
      <c r="N1873" s="71">
        <f>Table1[[#This Row],[Quantity]]*Table1[[#This Row],[Unit Price]]</f>
        <v>0</v>
      </c>
      <c r="O1873" s="73">
        <v>0</v>
      </c>
      <c r="P1873" s="70">
        <f>Table1[[#This Row],[Gross Amount]]*(1-(Table1[[#This Row],[Discount %]]/100))</f>
        <v>0</v>
      </c>
      <c r="Q1873" s="74">
        <f>(Table1[[#This Row],[Gross Amount]]*(1-(Table1[[#This Row],[Discount %]]/100)))/10000000</f>
        <v>0</v>
      </c>
      <c r="R1873" t="s">
        <v>42</v>
      </c>
      <c r="S1873" t="str" cm="1">
        <f t="array" ref="S1873">IFERROR(_xlfn.IFS(Table1[[#This Row],[Payment Status]]="Partial","In Transit",Table1[[#This Row],[Payment Status]]="Paid","Delivered",Table1[[#This Row],[Payment Status]]="Pending","Pending"),"Invalid Input")</f>
        <v>Pending</v>
      </c>
      <c r="T1873" t="s">
        <v>27</v>
      </c>
      <c r="U1873" t="str" cm="1">
        <f t="array" ref="U1873">IFERROR(_xlfn.IFS(Table1[[#This Row],[Payment Status]]="Partial","In Transit",Table1[[#This Row],[Payment Status]]="Paid","Completed",Table1[[#This Row],[Payment Status]]="Pending","Pending"),"Invalid Input")</f>
        <v>Pending</v>
      </c>
    </row>
    <row r="1874" spans="1:21" x14ac:dyDescent="0.25">
      <c r="A1874" s="4" t="s">
        <v>3058</v>
      </c>
      <c r="B1874" s="5">
        <v>45967</v>
      </c>
      <c r="C1874" t="s">
        <v>41</v>
      </c>
      <c r="D1874" t="s">
        <v>3268</v>
      </c>
      <c r="E1874" t="s">
        <v>66</v>
      </c>
      <c r="F1874" t="s">
        <v>3211</v>
      </c>
      <c r="G1874" t="s">
        <v>67</v>
      </c>
      <c r="H1874" t="str">
        <f>VLOOKUP(Table1[[#This Row],[City]],Table6[#All],2,FALSE)</f>
        <v>East</v>
      </c>
      <c r="I1874" t="s">
        <v>53</v>
      </c>
      <c r="J1874" t="str">
        <f>_xlfn.XLOOKUP(Table1[[#This Row],[Tractor Model]],Table7[Product Model],Table7[Product Category],"Not Available",0)</f>
        <v>Farmtrac</v>
      </c>
      <c r="K1874" s="4">
        <v>1</v>
      </c>
      <c r="L1874" s="72">
        <v>166061</v>
      </c>
      <c r="M1874" s="4">
        <f>INDEX('Master Sheet'!$C$4:$C$12,MATCH(Table1[[#This Row],[Quantity]],'Master Sheet'!$B$4:$B$12,0))</f>
        <v>3</v>
      </c>
      <c r="N1874" s="71">
        <f>Table1[[#This Row],[Quantity]]*Table1[[#This Row],[Unit Price]]</f>
        <v>166061</v>
      </c>
      <c r="O1874" s="73">
        <v>1.6606099999999999E-2</v>
      </c>
      <c r="P1874" s="70">
        <f>Table1[[#This Row],[Gross Amount]]*(1-(Table1[[#This Row],[Discount %]]/100))</f>
        <v>161079.16999999998</v>
      </c>
      <c r="Q1874" s="74">
        <f>(Table1[[#This Row],[Gross Amount]]*(1-(Table1[[#This Row],[Discount %]]/100)))/10000000</f>
        <v>1.6107916999999999E-2</v>
      </c>
      <c r="R1874" t="s">
        <v>42</v>
      </c>
      <c r="S1874" t="str" cm="1">
        <f t="array" ref="S1874">IFERROR(_xlfn.IFS(Table1[[#This Row],[Payment Status]]="Partial","In Transit",Table1[[#This Row],[Payment Status]]="Paid","Delivered",Table1[[#This Row],[Payment Status]]="Pending","Pending"),"Invalid Input")</f>
        <v>Pending</v>
      </c>
      <c r="T1874" t="s">
        <v>27</v>
      </c>
      <c r="U1874" t="str" cm="1">
        <f t="array" ref="U1874">IFERROR(_xlfn.IFS(Table1[[#This Row],[Payment Status]]="Partial","In Transit",Table1[[#This Row],[Payment Status]]="Paid","Completed",Table1[[#This Row],[Payment Status]]="Pending","Pending"),"Invalid Input")</f>
        <v>Pending</v>
      </c>
    </row>
    <row r="1875" spans="1:21" x14ac:dyDescent="0.25">
      <c r="A1875" s="4" t="s">
        <v>3059</v>
      </c>
      <c r="B1875" s="5">
        <v>45728</v>
      </c>
      <c r="C1875" t="s">
        <v>33</v>
      </c>
      <c r="D1875" t="s">
        <v>37</v>
      </c>
      <c r="E1875" t="s">
        <v>47</v>
      </c>
      <c r="F1875" t="s">
        <v>3215</v>
      </c>
      <c r="G1875" t="s">
        <v>48</v>
      </c>
      <c r="H1875" t="str">
        <f>VLOOKUP(Table1[[#This Row],[City]],Table6[#All],2,FALSE)</f>
        <v>North</v>
      </c>
      <c r="I1875" t="s">
        <v>3204</v>
      </c>
      <c r="J1875" t="str">
        <f>_xlfn.XLOOKUP(Table1[[#This Row],[Tractor Model]],Table7[Product Model],Table7[Product Category],"Not Available",0)</f>
        <v>Kubota</v>
      </c>
      <c r="K1875" s="4">
        <v>8</v>
      </c>
      <c r="L1875" s="72">
        <v>317407</v>
      </c>
      <c r="M1875" s="4">
        <f>INDEX('Master Sheet'!$C$4:$C$12,MATCH(Table1[[#This Row],[Quantity]],'Master Sheet'!$B$4:$B$12,0))</f>
        <v>9</v>
      </c>
      <c r="N1875" s="71">
        <f>Table1[[#This Row],[Quantity]]*Table1[[#This Row],[Unit Price]]</f>
        <v>2539256</v>
      </c>
      <c r="O1875" s="73">
        <v>0.25392559999999997</v>
      </c>
      <c r="P1875" s="70">
        <f>Table1[[#This Row],[Gross Amount]]*(1-(Table1[[#This Row],[Discount %]]/100))</f>
        <v>2310722.96</v>
      </c>
      <c r="Q1875" s="74">
        <f>(Table1[[#This Row],[Gross Amount]]*(1-(Table1[[#This Row],[Discount %]]/100)))/10000000</f>
        <v>0.23107229599999998</v>
      </c>
      <c r="R1875" t="s">
        <v>54</v>
      </c>
      <c r="S1875" t="str" cm="1">
        <f t="array" ref="S1875">IFERROR(_xlfn.IFS(Table1[[#This Row],[Payment Status]]="Partial","In Transit",Table1[[#This Row],[Payment Status]]="Paid","Delivered",Table1[[#This Row],[Payment Status]]="Pending","Pending"),"Invalid Input")</f>
        <v>Delivered</v>
      </c>
      <c r="T1875" t="s">
        <v>27</v>
      </c>
      <c r="U1875" t="str" cm="1">
        <f t="array" ref="U1875">IFERROR(_xlfn.IFS(Table1[[#This Row],[Payment Status]]="Partial","In Transit",Table1[[#This Row],[Payment Status]]="Paid","Completed",Table1[[#This Row],[Payment Status]]="Pending","Pending"),"Invalid Input")</f>
        <v>Completed</v>
      </c>
    </row>
    <row r="1876" spans="1:21" x14ac:dyDescent="0.25">
      <c r="A1876" s="4" t="s">
        <v>3061</v>
      </c>
      <c r="B1876" s="5">
        <v>45293</v>
      </c>
      <c r="C1876" t="s">
        <v>73</v>
      </c>
      <c r="D1876" t="s">
        <v>3269</v>
      </c>
      <c r="E1876" t="s">
        <v>47</v>
      </c>
      <c r="F1876" t="s">
        <v>3209</v>
      </c>
      <c r="G1876" t="s">
        <v>48</v>
      </c>
      <c r="H1876" t="str">
        <f>VLOOKUP(Table1[[#This Row],[City]],Table6[#All],2,FALSE)</f>
        <v>North</v>
      </c>
      <c r="I1876" t="s">
        <v>3203</v>
      </c>
      <c r="J1876" t="str">
        <f>_xlfn.XLOOKUP(Table1[[#This Row],[Tractor Model]],Table7[Product Model],Table7[Product Category],"Not Available",0)</f>
        <v>Kubota</v>
      </c>
      <c r="K1876" s="4">
        <v>3</v>
      </c>
      <c r="L1876" s="72">
        <v>68584</v>
      </c>
      <c r="M1876" s="4">
        <f>INDEX('Master Sheet'!$C$4:$C$12,MATCH(Table1[[#This Row],[Quantity]],'Master Sheet'!$B$4:$B$12,0))</f>
        <v>6</v>
      </c>
      <c r="N1876" s="71">
        <f>Table1[[#This Row],[Quantity]]*Table1[[#This Row],[Unit Price]]</f>
        <v>205752</v>
      </c>
      <c r="O1876" s="73">
        <v>2.0575199999999998E-2</v>
      </c>
      <c r="P1876" s="70">
        <f>Table1[[#This Row],[Gross Amount]]*(1-(Table1[[#This Row],[Discount %]]/100))</f>
        <v>193406.87999999998</v>
      </c>
      <c r="Q1876" s="74">
        <f>(Table1[[#This Row],[Gross Amount]]*(1-(Table1[[#This Row],[Discount %]]/100)))/10000000</f>
        <v>1.9340687999999998E-2</v>
      </c>
      <c r="R1876" t="s">
        <v>25</v>
      </c>
      <c r="S1876" t="str" cm="1">
        <f t="array" ref="S1876">IFERROR(_xlfn.IFS(Table1[[#This Row],[Payment Status]]="Partial","In Transit",Table1[[#This Row],[Payment Status]]="Paid","Delivered",Table1[[#This Row],[Payment Status]]="Pending","Pending"),"Invalid Input")</f>
        <v>In Transit</v>
      </c>
      <c r="T1876" t="s">
        <v>44</v>
      </c>
      <c r="U1876" t="str" cm="1">
        <f t="array" ref="U1876">IFERROR(_xlfn.IFS(Table1[[#This Row],[Payment Status]]="Partial","In Transit",Table1[[#This Row],[Payment Status]]="Paid","Completed",Table1[[#This Row],[Payment Status]]="Pending","Pending"),"Invalid Input")</f>
        <v>In Transit</v>
      </c>
    </row>
    <row r="1877" spans="1:21" x14ac:dyDescent="0.25">
      <c r="A1877" s="4" t="s">
        <v>3062</v>
      </c>
      <c r="B1877" s="5">
        <v>45420</v>
      </c>
      <c r="C1877" t="s">
        <v>62</v>
      </c>
      <c r="D1877" t="s">
        <v>3270</v>
      </c>
      <c r="E1877" t="s">
        <v>119</v>
      </c>
      <c r="F1877" t="s">
        <v>3212</v>
      </c>
      <c r="G1877" t="s">
        <v>21</v>
      </c>
      <c r="H1877" t="str">
        <f>VLOOKUP(Table1[[#This Row],[City]],Table6[#All],2,FALSE)</f>
        <v>North</v>
      </c>
      <c r="I1877" t="s">
        <v>3204</v>
      </c>
      <c r="J1877" t="str">
        <f>_xlfn.XLOOKUP(Table1[[#This Row],[Tractor Model]],Table7[Product Model],Table7[Product Category],"Not Available",0)</f>
        <v>Kubota</v>
      </c>
      <c r="K1877" s="4">
        <v>7</v>
      </c>
      <c r="L1877" s="72">
        <v>277918</v>
      </c>
      <c r="M1877" s="4">
        <f>INDEX('Master Sheet'!$C$4:$C$12,MATCH(Table1[[#This Row],[Quantity]],'Master Sheet'!$B$4:$B$12,0))</f>
        <v>9</v>
      </c>
      <c r="N1877" s="71">
        <f>Table1[[#This Row],[Quantity]]*Table1[[#This Row],[Unit Price]]</f>
        <v>1945426</v>
      </c>
      <c r="O1877" s="73">
        <v>0.19454260000000001</v>
      </c>
      <c r="P1877" s="70">
        <f>Table1[[#This Row],[Gross Amount]]*(1-(Table1[[#This Row],[Discount %]]/100))</f>
        <v>1770337.6600000001</v>
      </c>
      <c r="Q1877" s="74">
        <f>(Table1[[#This Row],[Gross Amount]]*(1-(Table1[[#This Row],[Discount %]]/100)))/10000000</f>
        <v>0.17703376600000001</v>
      </c>
      <c r="R1877" t="s">
        <v>54</v>
      </c>
      <c r="S1877" t="str" cm="1">
        <f t="array" ref="S1877">IFERROR(_xlfn.IFS(Table1[[#This Row],[Payment Status]]="Partial","In Transit",Table1[[#This Row],[Payment Status]]="Paid","Delivered",Table1[[#This Row],[Payment Status]]="Pending","Pending"),"Invalid Input")</f>
        <v>Delivered</v>
      </c>
      <c r="T1877" t="s">
        <v>44</v>
      </c>
      <c r="U1877" t="str" cm="1">
        <f t="array" ref="U1877">IFERROR(_xlfn.IFS(Table1[[#This Row],[Payment Status]]="Partial","In Transit",Table1[[#This Row],[Payment Status]]="Paid","Completed",Table1[[#This Row],[Payment Status]]="Pending","Pending"),"Invalid Input")</f>
        <v>Completed</v>
      </c>
    </row>
    <row r="1878" spans="1:21" x14ac:dyDescent="0.25">
      <c r="A1878" s="4" t="s">
        <v>3063</v>
      </c>
      <c r="B1878" s="5">
        <v>45617</v>
      </c>
      <c r="C1878" t="s">
        <v>62</v>
      </c>
      <c r="D1878" t="s">
        <v>3271</v>
      </c>
      <c r="E1878" t="s">
        <v>47</v>
      </c>
      <c r="F1878" t="s">
        <v>3221</v>
      </c>
      <c r="G1878" t="s">
        <v>48</v>
      </c>
      <c r="H1878" t="str">
        <f>VLOOKUP(Table1[[#This Row],[City]],Table6[#All],2,FALSE)</f>
        <v>North</v>
      </c>
      <c r="I1878" t="s">
        <v>53</v>
      </c>
      <c r="J1878" t="str">
        <f>_xlfn.XLOOKUP(Table1[[#This Row],[Tractor Model]],Table7[Product Model],Table7[Product Category],"Not Available",0)</f>
        <v>Farmtrac</v>
      </c>
      <c r="K1878" s="4">
        <v>4</v>
      </c>
      <c r="L1878" s="72">
        <v>626157</v>
      </c>
      <c r="M1878" s="4">
        <f>INDEX('Master Sheet'!$C$4:$C$12,MATCH(Table1[[#This Row],[Quantity]],'Master Sheet'!$B$4:$B$12,0))</f>
        <v>6</v>
      </c>
      <c r="N1878" s="71">
        <f>Table1[[#This Row],[Quantity]]*Table1[[#This Row],[Unit Price]]</f>
        <v>2504628</v>
      </c>
      <c r="O1878" s="73">
        <v>0.25046279999999999</v>
      </c>
      <c r="P1878" s="70">
        <f>Table1[[#This Row],[Gross Amount]]*(1-(Table1[[#This Row],[Discount %]]/100))</f>
        <v>2354350.3199999998</v>
      </c>
      <c r="Q1878" s="74">
        <f>(Table1[[#This Row],[Gross Amount]]*(1-(Table1[[#This Row],[Discount %]]/100)))/10000000</f>
        <v>0.23543503199999999</v>
      </c>
      <c r="R1878" t="s">
        <v>25</v>
      </c>
      <c r="S1878" t="str" cm="1">
        <f t="array" ref="S1878">IFERROR(_xlfn.IFS(Table1[[#This Row],[Payment Status]]="Partial","In Transit",Table1[[#This Row],[Payment Status]]="Paid","Delivered",Table1[[#This Row],[Payment Status]]="Pending","Pending"),"Invalid Input")</f>
        <v>In Transit</v>
      </c>
      <c r="T1878" t="s">
        <v>27</v>
      </c>
      <c r="U1878" t="str" cm="1">
        <f t="array" ref="U1878">IFERROR(_xlfn.IFS(Table1[[#This Row],[Payment Status]]="Partial","In Transit",Table1[[#This Row],[Payment Status]]="Paid","Completed",Table1[[#This Row],[Payment Status]]="Pending","Pending"),"Invalid Input")</f>
        <v>In Transit</v>
      </c>
    </row>
    <row r="1879" spans="1:21" x14ac:dyDescent="0.25">
      <c r="A1879" s="4" t="s">
        <v>3064</v>
      </c>
      <c r="B1879" s="5">
        <v>45467</v>
      </c>
      <c r="C1879" t="s">
        <v>62</v>
      </c>
      <c r="D1879" t="s">
        <v>3271</v>
      </c>
      <c r="E1879" t="s">
        <v>47</v>
      </c>
      <c r="F1879" t="s">
        <v>3221</v>
      </c>
      <c r="G1879" t="s">
        <v>48</v>
      </c>
      <c r="H1879" t="str">
        <f>VLOOKUP(Table1[[#This Row],[City]],Table6[#All],2,FALSE)</f>
        <v>North</v>
      </c>
      <c r="I1879" t="s">
        <v>24</v>
      </c>
      <c r="J1879" t="str">
        <f>_xlfn.XLOOKUP(Table1[[#This Row],[Tractor Model]],Table7[Product Model],Table7[Product Category],"Not Available",0)</f>
        <v>Farmtrac</v>
      </c>
      <c r="K1879" s="4">
        <v>1</v>
      </c>
      <c r="L1879" s="72">
        <v>177584</v>
      </c>
      <c r="M1879" s="4">
        <f>INDEX('Master Sheet'!$C$4:$C$12,MATCH(Table1[[#This Row],[Quantity]],'Master Sheet'!$B$4:$B$12,0))</f>
        <v>3</v>
      </c>
      <c r="N1879" s="71">
        <f>Table1[[#This Row],[Quantity]]*Table1[[#This Row],[Unit Price]]</f>
        <v>177584</v>
      </c>
      <c r="O1879" s="73">
        <v>1.7758400000000001E-2</v>
      </c>
      <c r="P1879" s="70">
        <f>Table1[[#This Row],[Gross Amount]]*(1-(Table1[[#This Row],[Discount %]]/100))</f>
        <v>172256.47999999998</v>
      </c>
      <c r="Q1879" s="74">
        <f>(Table1[[#This Row],[Gross Amount]]*(1-(Table1[[#This Row],[Discount %]]/100)))/10000000</f>
        <v>1.7225648E-2</v>
      </c>
      <c r="R1879" t="s">
        <v>54</v>
      </c>
      <c r="S1879" t="str" cm="1">
        <f t="array" ref="S1879">IFERROR(_xlfn.IFS(Table1[[#This Row],[Payment Status]]="Partial","In Transit",Table1[[#This Row],[Payment Status]]="Paid","Delivered",Table1[[#This Row],[Payment Status]]="Pending","Pending"),"Invalid Input")</f>
        <v>Delivered</v>
      </c>
      <c r="T1879" t="s">
        <v>27</v>
      </c>
      <c r="U1879" t="str" cm="1">
        <f t="array" ref="U1879">IFERROR(_xlfn.IFS(Table1[[#This Row],[Payment Status]]="Partial","In Transit",Table1[[#This Row],[Payment Status]]="Paid","Completed",Table1[[#This Row],[Payment Status]]="Pending","Pending"),"Invalid Input")</f>
        <v>Completed</v>
      </c>
    </row>
    <row r="1880" spans="1:21" x14ac:dyDescent="0.25">
      <c r="A1880" s="4" t="s">
        <v>3066</v>
      </c>
      <c r="B1880" s="5">
        <v>45701</v>
      </c>
      <c r="C1880" t="s">
        <v>52</v>
      </c>
      <c r="D1880" t="s">
        <v>3270</v>
      </c>
      <c r="E1880" t="s">
        <v>38</v>
      </c>
      <c r="F1880" t="s">
        <v>3218</v>
      </c>
      <c r="G1880" t="s">
        <v>39</v>
      </c>
      <c r="H1880" t="str">
        <f>VLOOKUP(Table1[[#This Row],[City]],Table6[#All],2,FALSE)</f>
        <v>West</v>
      </c>
      <c r="I1880" t="s">
        <v>53</v>
      </c>
      <c r="J1880" t="str">
        <f>_xlfn.XLOOKUP(Table1[[#This Row],[Tractor Model]],Table7[Product Model],Table7[Product Category],"Not Available",0)</f>
        <v>Farmtrac</v>
      </c>
      <c r="K1880" s="4">
        <v>4</v>
      </c>
      <c r="L1880" s="72">
        <v>646412</v>
      </c>
      <c r="M1880" s="4">
        <f>INDEX('Master Sheet'!$C$4:$C$12,MATCH(Table1[[#This Row],[Quantity]],'Master Sheet'!$B$4:$B$12,0))</f>
        <v>6</v>
      </c>
      <c r="N1880" s="71">
        <f>Table1[[#This Row],[Quantity]]*Table1[[#This Row],[Unit Price]]</f>
        <v>2585648</v>
      </c>
      <c r="O1880" s="73">
        <v>0.25856479999999998</v>
      </c>
      <c r="P1880" s="70">
        <f>Table1[[#This Row],[Gross Amount]]*(1-(Table1[[#This Row],[Discount %]]/100))</f>
        <v>2430509.1199999996</v>
      </c>
      <c r="Q1880" s="74">
        <f>(Table1[[#This Row],[Gross Amount]]*(1-(Table1[[#This Row],[Discount %]]/100)))/10000000</f>
        <v>0.24305091199999995</v>
      </c>
      <c r="R1880" t="s">
        <v>42</v>
      </c>
      <c r="S1880" t="str" cm="1">
        <f t="array" ref="S1880">IFERROR(_xlfn.IFS(Table1[[#This Row],[Payment Status]]="Partial","In Transit",Table1[[#This Row],[Payment Status]]="Paid","Delivered",Table1[[#This Row],[Payment Status]]="Pending","Pending"),"Invalid Input")</f>
        <v>Pending</v>
      </c>
      <c r="T1880" t="s">
        <v>44</v>
      </c>
      <c r="U1880" t="str" cm="1">
        <f t="array" ref="U1880">IFERROR(_xlfn.IFS(Table1[[#This Row],[Payment Status]]="Partial","In Transit",Table1[[#This Row],[Payment Status]]="Paid","Completed",Table1[[#This Row],[Payment Status]]="Pending","Pending"),"Invalid Input")</f>
        <v>Pending</v>
      </c>
    </row>
    <row r="1881" spans="1:21" x14ac:dyDescent="0.25">
      <c r="A1881" s="4" t="s">
        <v>3067</v>
      </c>
      <c r="B1881" s="5">
        <v>45801</v>
      </c>
      <c r="C1881" t="s">
        <v>33</v>
      </c>
      <c r="D1881" t="s">
        <v>3269</v>
      </c>
      <c r="E1881" t="s">
        <v>119</v>
      </c>
      <c r="F1881" t="s">
        <v>3229</v>
      </c>
      <c r="G1881" t="s">
        <v>21</v>
      </c>
      <c r="H1881" t="str">
        <f>VLOOKUP(Table1[[#This Row],[City]],Table6[#All],2,FALSE)</f>
        <v>North</v>
      </c>
      <c r="I1881" t="s">
        <v>3203</v>
      </c>
      <c r="J1881" t="str">
        <f>_xlfn.XLOOKUP(Table1[[#This Row],[Tractor Model]],Table7[Product Model],Table7[Product Category],"Not Available",0)</f>
        <v>Kubota</v>
      </c>
      <c r="K1881" s="4">
        <v>5</v>
      </c>
      <c r="L1881" s="72">
        <v>450010</v>
      </c>
      <c r="M1881" s="4">
        <f>INDEX('Master Sheet'!$C$4:$C$12,MATCH(Table1[[#This Row],[Quantity]],'Master Sheet'!$B$4:$B$12,0))</f>
        <v>7</v>
      </c>
      <c r="N1881" s="71">
        <f>Table1[[#This Row],[Quantity]]*Table1[[#This Row],[Unit Price]]</f>
        <v>2250050</v>
      </c>
      <c r="O1881" s="73">
        <v>0.22500500000000001</v>
      </c>
      <c r="P1881" s="70">
        <f>Table1[[#This Row],[Gross Amount]]*(1-(Table1[[#This Row],[Discount %]]/100))</f>
        <v>2092546.4999999998</v>
      </c>
      <c r="Q1881" s="74">
        <f>(Table1[[#This Row],[Gross Amount]]*(1-(Table1[[#This Row],[Discount %]]/100)))/10000000</f>
        <v>0.20925464999999999</v>
      </c>
      <c r="R1881" t="s">
        <v>42</v>
      </c>
      <c r="S1881" t="str" cm="1">
        <f t="array" ref="S1881">IFERROR(_xlfn.IFS(Table1[[#This Row],[Payment Status]]="Partial","In Transit",Table1[[#This Row],[Payment Status]]="Paid","Delivered",Table1[[#This Row],[Payment Status]]="Pending","Pending"),"Invalid Input")</f>
        <v>Pending</v>
      </c>
      <c r="T1881" t="s">
        <v>44</v>
      </c>
      <c r="U1881" t="str" cm="1">
        <f t="array" ref="U1881">IFERROR(_xlfn.IFS(Table1[[#This Row],[Payment Status]]="Partial","In Transit",Table1[[#This Row],[Payment Status]]="Paid","Completed",Table1[[#This Row],[Payment Status]]="Pending","Pending"),"Invalid Input")</f>
        <v>Pending</v>
      </c>
    </row>
    <row r="1882" spans="1:21" x14ac:dyDescent="0.25">
      <c r="A1882" s="4" t="s">
        <v>3069</v>
      </c>
      <c r="B1882" s="5">
        <v>45762</v>
      </c>
      <c r="C1882" t="s">
        <v>73</v>
      </c>
      <c r="D1882" t="s">
        <v>3269</v>
      </c>
      <c r="E1882" t="s">
        <v>30</v>
      </c>
      <c r="F1882" t="s">
        <v>3225</v>
      </c>
      <c r="G1882" t="s">
        <v>31</v>
      </c>
      <c r="H1882" t="str">
        <f>VLOOKUP(Table1[[#This Row],[City]],Table6[#All],2,FALSE)</f>
        <v>South</v>
      </c>
      <c r="I1882" t="s">
        <v>3204</v>
      </c>
      <c r="J1882" t="str">
        <f>_xlfn.XLOOKUP(Table1[[#This Row],[Tractor Model]],Table7[Product Model],Table7[Product Category],"Not Available",0)</f>
        <v>Kubota</v>
      </c>
      <c r="K1882" s="4">
        <v>7</v>
      </c>
      <c r="L1882" s="72">
        <v>82588</v>
      </c>
      <c r="M1882" s="4">
        <f>INDEX('Master Sheet'!$C$4:$C$12,MATCH(Table1[[#This Row],[Quantity]],'Master Sheet'!$B$4:$B$12,0))</f>
        <v>9</v>
      </c>
      <c r="N1882" s="71">
        <f>Table1[[#This Row],[Quantity]]*Table1[[#This Row],[Unit Price]]</f>
        <v>578116</v>
      </c>
      <c r="O1882" s="73">
        <v>5.7811599999999998E-2</v>
      </c>
      <c r="P1882" s="70">
        <f>Table1[[#This Row],[Gross Amount]]*(1-(Table1[[#This Row],[Discount %]]/100))</f>
        <v>526085.56000000006</v>
      </c>
      <c r="Q1882" s="74">
        <f>(Table1[[#This Row],[Gross Amount]]*(1-(Table1[[#This Row],[Discount %]]/100)))/10000000</f>
        <v>5.2608556000000008E-2</v>
      </c>
      <c r="R1882" t="s">
        <v>54</v>
      </c>
      <c r="S1882" t="str" cm="1">
        <f t="array" ref="S1882">IFERROR(_xlfn.IFS(Table1[[#This Row],[Payment Status]]="Partial","In Transit",Table1[[#This Row],[Payment Status]]="Paid","Delivered",Table1[[#This Row],[Payment Status]]="Pending","Pending"),"Invalid Input")</f>
        <v>Delivered</v>
      </c>
      <c r="T1882" t="s">
        <v>44</v>
      </c>
      <c r="U1882" t="str" cm="1">
        <f t="array" ref="U1882">IFERROR(_xlfn.IFS(Table1[[#This Row],[Payment Status]]="Partial","In Transit",Table1[[#This Row],[Payment Status]]="Paid","Completed",Table1[[#This Row],[Payment Status]]="Pending","Pending"),"Invalid Input")</f>
        <v>Completed</v>
      </c>
    </row>
    <row r="1883" spans="1:21" x14ac:dyDescent="0.25">
      <c r="A1883" s="4" t="s">
        <v>3070</v>
      </c>
      <c r="B1883" s="5">
        <v>45554</v>
      </c>
      <c r="C1883" t="s">
        <v>33</v>
      </c>
      <c r="D1883" t="s">
        <v>3271</v>
      </c>
      <c r="E1883" t="s">
        <v>119</v>
      </c>
      <c r="F1883" t="s">
        <v>3228</v>
      </c>
      <c r="G1883" t="s">
        <v>21</v>
      </c>
      <c r="H1883" t="str">
        <f>VLOOKUP(Table1[[#This Row],[City]],Table6[#All],2,FALSE)</f>
        <v>North</v>
      </c>
      <c r="I1883" t="s">
        <v>3204</v>
      </c>
      <c r="J1883" t="str">
        <f>_xlfn.XLOOKUP(Table1[[#This Row],[Tractor Model]],Table7[Product Model],Table7[Product Category],"Not Available",0)</f>
        <v>Kubota</v>
      </c>
      <c r="K1883" s="4">
        <v>6</v>
      </c>
      <c r="L1883" s="72">
        <v>214173</v>
      </c>
      <c r="M1883" s="4">
        <f>INDEX('Master Sheet'!$C$4:$C$12,MATCH(Table1[[#This Row],[Quantity]],'Master Sheet'!$B$4:$B$12,0))</f>
        <v>8</v>
      </c>
      <c r="N1883" s="71">
        <f>Table1[[#This Row],[Quantity]]*Table1[[#This Row],[Unit Price]]</f>
        <v>1285038</v>
      </c>
      <c r="O1883" s="73">
        <v>0.1285038</v>
      </c>
      <c r="P1883" s="70">
        <f>Table1[[#This Row],[Gross Amount]]*(1-(Table1[[#This Row],[Discount %]]/100))</f>
        <v>1182234.96</v>
      </c>
      <c r="Q1883" s="74">
        <f>(Table1[[#This Row],[Gross Amount]]*(1-(Table1[[#This Row],[Discount %]]/100)))/10000000</f>
        <v>0.118223496</v>
      </c>
      <c r="R1883" t="s">
        <v>25</v>
      </c>
      <c r="S1883" t="str" cm="1">
        <f t="array" ref="S1883">IFERROR(_xlfn.IFS(Table1[[#This Row],[Payment Status]]="Partial","In Transit",Table1[[#This Row],[Payment Status]]="Paid","Delivered",Table1[[#This Row],[Payment Status]]="Pending","Pending"),"Invalid Input")</f>
        <v>In Transit</v>
      </c>
      <c r="T1883" t="s">
        <v>27</v>
      </c>
      <c r="U1883" t="str" cm="1">
        <f t="array" ref="U1883">IFERROR(_xlfn.IFS(Table1[[#This Row],[Payment Status]]="Partial","In Transit",Table1[[#This Row],[Payment Status]]="Paid","Completed",Table1[[#This Row],[Payment Status]]="Pending","Pending"),"Invalid Input")</f>
        <v>In Transit</v>
      </c>
    </row>
    <row r="1884" spans="1:21" x14ac:dyDescent="0.25">
      <c r="A1884" s="4" t="s">
        <v>3071</v>
      </c>
      <c r="B1884" s="5">
        <v>45585</v>
      </c>
      <c r="C1884" t="s">
        <v>62</v>
      </c>
      <c r="D1884" t="s">
        <v>3270</v>
      </c>
      <c r="E1884" t="s">
        <v>38</v>
      </c>
      <c r="F1884" t="s">
        <v>3218</v>
      </c>
      <c r="G1884" t="s">
        <v>39</v>
      </c>
      <c r="H1884" t="str">
        <f>VLOOKUP(Table1[[#This Row],[City]],Table6[#All],2,FALSE)</f>
        <v>West</v>
      </c>
      <c r="I1884" t="s">
        <v>53</v>
      </c>
      <c r="J1884" t="str">
        <f>_xlfn.XLOOKUP(Table1[[#This Row],[Tractor Model]],Table7[Product Model],Table7[Product Category],"Not Available",0)</f>
        <v>Farmtrac</v>
      </c>
      <c r="K1884" s="4">
        <v>5</v>
      </c>
      <c r="L1884" s="72">
        <v>181755</v>
      </c>
      <c r="M1884" s="4">
        <f>INDEX('Master Sheet'!$C$4:$C$12,MATCH(Table1[[#This Row],[Quantity]],'Master Sheet'!$B$4:$B$12,0))</f>
        <v>7</v>
      </c>
      <c r="N1884" s="71">
        <f>Table1[[#This Row],[Quantity]]*Table1[[#This Row],[Unit Price]]</f>
        <v>908775</v>
      </c>
      <c r="O1884" s="73">
        <v>9.08775E-2</v>
      </c>
      <c r="P1884" s="70">
        <f>Table1[[#This Row],[Gross Amount]]*(1-(Table1[[#This Row],[Discount %]]/100))</f>
        <v>845160.75</v>
      </c>
      <c r="Q1884" s="74">
        <f>(Table1[[#This Row],[Gross Amount]]*(1-(Table1[[#This Row],[Discount %]]/100)))/10000000</f>
        <v>8.4516074999999996E-2</v>
      </c>
      <c r="R1884" t="s">
        <v>42</v>
      </c>
      <c r="S1884" t="str" cm="1">
        <f t="array" ref="S1884">IFERROR(_xlfn.IFS(Table1[[#This Row],[Payment Status]]="Partial","In Transit",Table1[[#This Row],[Payment Status]]="Paid","Delivered",Table1[[#This Row],[Payment Status]]="Pending","Pending"),"Invalid Input")</f>
        <v>Pending</v>
      </c>
      <c r="T1884" t="s">
        <v>27</v>
      </c>
      <c r="U1884" t="str" cm="1">
        <f t="array" ref="U1884">IFERROR(_xlfn.IFS(Table1[[#This Row],[Payment Status]]="Partial","In Transit",Table1[[#This Row],[Payment Status]]="Paid","Completed",Table1[[#This Row],[Payment Status]]="Pending","Pending"),"Invalid Input")</f>
        <v>Pending</v>
      </c>
    </row>
    <row r="1885" spans="1:21" x14ac:dyDescent="0.25">
      <c r="A1885" s="4" t="s">
        <v>3073</v>
      </c>
      <c r="B1885" s="5">
        <v>45839</v>
      </c>
      <c r="C1885" t="s">
        <v>73</v>
      </c>
      <c r="D1885" t="s">
        <v>37</v>
      </c>
      <c r="E1885" t="s">
        <v>66</v>
      </c>
      <c r="F1885" t="s">
        <v>3226</v>
      </c>
      <c r="G1885" t="s">
        <v>67</v>
      </c>
      <c r="H1885" t="str">
        <f>VLOOKUP(Table1[[#This Row],[City]],Table6[#All],2,FALSE)</f>
        <v>East</v>
      </c>
      <c r="I1885" t="s">
        <v>53</v>
      </c>
      <c r="J1885" t="str">
        <f>_xlfn.XLOOKUP(Table1[[#This Row],[Tractor Model]],Table7[Product Model],Table7[Product Category],"Not Available",0)</f>
        <v>Farmtrac</v>
      </c>
      <c r="K1885" s="4">
        <v>6</v>
      </c>
      <c r="L1885" s="72">
        <v>734848</v>
      </c>
      <c r="M1885" s="4">
        <f>INDEX('Master Sheet'!$C$4:$C$12,MATCH(Table1[[#This Row],[Quantity]],'Master Sheet'!$B$4:$B$12,0))</f>
        <v>8</v>
      </c>
      <c r="N1885" s="71">
        <f>Table1[[#This Row],[Quantity]]*Table1[[#This Row],[Unit Price]]</f>
        <v>4409088</v>
      </c>
      <c r="O1885" s="73">
        <v>0.44090879999999999</v>
      </c>
      <c r="P1885" s="70">
        <f>Table1[[#This Row],[Gross Amount]]*(1-(Table1[[#This Row],[Discount %]]/100))</f>
        <v>4056360.96</v>
      </c>
      <c r="Q1885" s="74">
        <f>(Table1[[#This Row],[Gross Amount]]*(1-(Table1[[#This Row],[Discount %]]/100)))/10000000</f>
        <v>0.405636096</v>
      </c>
      <c r="R1885" t="s">
        <v>54</v>
      </c>
      <c r="S1885" t="str" cm="1">
        <f t="array" ref="S1885">IFERROR(_xlfn.IFS(Table1[[#This Row],[Payment Status]]="Partial","In Transit",Table1[[#This Row],[Payment Status]]="Paid","Delivered",Table1[[#This Row],[Payment Status]]="Pending","Pending"),"Invalid Input")</f>
        <v>Delivered</v>
      </c>
      <c r="T1885" t="s">
        <v>27</v>
      </c>
      <c r="U1885" t="str" cm="1">
        <f t="array" ref="U1885">IFERROR(_xlfn.IFS(Table1[[#This Row],[Payment Status]]="Partial","In Transit",Table1[[#This Row],[Payment Status]]="Paid","Completed",Table1[[#This Row],[Payment Status]]="Pending","Pending"),"Invalid Input")</f>
        <v>Completed</v>
      </c>
    </row>
    <row r="1886" spans="1:21" x14ac:dyDescent="0.25">
      <c r="A1886" s="4" t="s">
        <v>3075</v>
      </c>
      <c r="B1886" s="5">
        <v>45357</v>
      </c>
      <c r="C1886" t="s">
        <v>52</v>
      </c>
      <c r="D1886" t="s">
        <v>3271</v>
      </c>
      <c r="E1886" t="s">
        <v>47</v>
      </c>
      <c r="F1886" t="s">
        <v>3221</v>
      </c>
      <c r="G1886" t="s">
        <v>48</v>
      </c>
      <c r="H1886" t="str">
        <f>VLOOKUP(Table1[[#This Row],[City]],Table6[#All],2,FALSE)</f>
        <v>North</v>
      </c>
      <c r="I1886" t="s">
        <v>3203</v>
      </c>
      <c r="J1886" t="str">
        <f>_xlfn.XLOOKUP(Table1[[#This Row],[Tractor Model]],Table7[Product Model],Table7[Product Category],"Not Available",0)</f>
        <v>Kubota</v>
      </c>
      <c r="K1886" s="4">
        <v>6</v>
      </c>
      <c r="L1886" s="72">
        <v>818065</v>
      </c>
      <c r="M1886" s="4">
        <f>INDEX('Master Sheet'!$C$4:$C$12,MATCH(Table1[[#This Row],[Quantity]],'Master Sheet'!$B$4:$B$12,0))</f>
        <v>8</v>
      </c>
      <c r="N1886" s="71">
        <f>Table1[[#This Row],[Quantity]]*Table1[[#This Row],[Unit Price]]</f>
        <v>4908390</v>
      </c>
      <c r="O1886" s="73">
        <v>0.49083900000000003</v>
      </c>
      <c r="P1886" s="70">
        <f>Table1[[#This Row],[Gross Amount]]*(1-(Table1[[#This Row],[Discount %]]/100))</f>
        <v>4515718.8</v>
      </c>
      <c r="Q1886" s="74">
        <f>(Table1[[#This Row],[Gross Amount]]*(1-(Table1[[#This Row],[Discount %]]/100)))/10000000</f>
        <v>0.45157187999999998</v>
      </c>
      <c r="R1886" t="s">
        <v>42</v>
      </c>
      <c r="S1886" t="str" cm="1">
        <f t="array" ref="S1886">IFERROR(_xlfn.IFS(Table1[[#This Row],[Payment Status]]="Partial","In Transit",Table1[[#This Row],[Payment Status]]="Paid","Delivered",Table1[[#This Row],[Payment Status]]="Pending","Pending"),"Invalid Input")</f>
        <v>Pending</v>
      </c>
      <c r="T1886" t="s">
        <v>44</v>
      </c>
      <c r="U1886" t="str" cm="1">
        <f t="array" ref="U1886">IFERROR(_xlfn.IFS(Table1[[#This Row],[Payment Status]]="Partial","In Transit",Table1[[#This Row],[Payment Status]]="Paid","Completed",Table1[[#This Row],[Payment Status]]="Pending","Pending"),"Invalid Input")</f>
        <v>Pending</v>
      </c>
    </row>
    <row r="1887" spans="1:21" x14ac:dyDescent="0.25">
      <c r="A1887" s="4" t="s">
        <v>3077</v>
      </c>
      <c r="B1887" s="5">
        <v>45378</v>
      </c>
      <c r="C1887" t="s">
        <v>33</v>
      </c>
      <c r="D1887" t="s">
        <v>3268</v>
      </c>
      <c r="E1887" t="s">
        <v>47</v>
      </c>
      <c r="F1887" t="s">
        <v>3216</v>
      </c>
      <c r="G1887" t="s">
        <v>48</v>
      </c>
      <c r="H1887" t="str">
        <f>VLOOKUP(Table1[[#This Row],[City]],Table6[#All],2,FALSE)</f>
        <v>North</v>
      </c>
      <c r="I1887" t="s">
        <v>3203</v>
      </c>
      <c r="J1887" t="str">
        <f>_xlfn.XLOOKUP(Table1[[#This Row],[Tractor Model]],Table7[Product Model],Table7[Product Category],"Not Available",0)</f>
        <v>Kubota</v>
      </c>
      <c r="K1887" s="4">
        <v>8</v>
      </c>
      <c r="L1887" s="72">
        <v>881880</v>
      </c>
      <c r="M1887" s="4">
        <f>INDEX('Master Sheet'!$C$4:$C$12,MATCH(Table1[[#This Row],[Quantity]],'Master Sheet'!$B$4:$B$12,0))</f>
        <v>9</v>
      </c>
      <c r="N1887" s="71">
        <f>Table1[[#This Row],[Quantity]]*Table1[[#This Row],[Unit Price]]</f>
        <v>7055040</v>
      </c>
      <c r="O1887" s="73">
        <v>0.70550400000000002</v>
      </c>
      <c r="P1887" s="70">
        <f>Table1[[#This Row],[Gross Amount]]*(1-(Table1[[#This Row],[Discount %]]/100))</f>
        <v>6420086.4000000004</v>
      </c>
      <c r="Q1887" s="74">
        <f>(Table1[[#This Row],[Gross Amount]]*(1-(Table1[[#This Row],[Discount %]]/100)))/10000000</f>
        <v>0.64200864000000002</v>
      </c>
      <c r="R1887" t="s">
        <v>42</v>
      </c>
      <c r="S1887" t="str" cm="1">
        <f t="array" ref="S1887">IFERROR(_xlfn.IFS(Table1[[#This Row],[Payment Status]]="Partial","In Transit",Table1[[#This Row],[Payment Status]]="Paid","Delivered",Table1[[#This Row],[Payment Status]]="Pending","Pending"),"Invalid Input")</f>
        <v>Pending</v>
      </c>
      <c r="T1887" t="s">
        <v>27</v>
      </c>
      <c r="U1887" t="str" cm="1">
        <f t="array" ref="U1887">IFERROR(_xlfn.IFS(Table1[[#This Row],[Payment Status]]="Partial","In Transit",Table1[[#This Row],[Payment Status]]="Paid","Completed",Table1[[#This Row],[Payment Status]]="Pending","Pending"),"Invalid Input")</f>
        <v>Pending</v>
      </c>
    </row>
    <row r="1888" spans="1:21" x14ac:dyDescent="0.25">
      <c r="A1888" s="4" t="s">
        <v>3078</v>
      </c>
      <c r="B1888" s="5">
        <v>45664</v>
      </c>
      <c r="C1888" t="s">
        <v>73</v>
      </c>
      <c r="D1888" t="s">
        <v>3269</v>
      </c>
      <c r="E1888" t="s">
        <v>30</v>
      </c>
      <c r="F1888" t="s">
        <v>3225</v>
      </c>
      <c r="G1888" t="s">
        <v>31</v>
      </c>
      <c r="H1888" t="str">
        <f>VLOOKUP(Table1[[#This Row],[City]],Table6[#All],2,FALSE)</f>
        <v>South</v>
      </c>
      <c r="I1888" t="s">
        <v>3203</v>
      </c>
      <c r="J1888" t="str">
        <f>_xlfn.XLOOKUP(Table1[[#This Row],[Tractor Model]],Table7[Product Model],Table7[Product Category],"Not Available",0)</f>
        <v>Kubota</v>
      </c>
      <c r="K1888" s="4">
        <v>4</v>
      </c>
      <c r="L1888" s="72">
        <v>720072</v>
      </c>
      <c r="M1888" s="4">
        <f>INDEX('Master Sheet'!$C$4:$C$12,MATCH(Table1[[#This Row],[Quantity]],'Master Sheet'!$B$4:$B$12,0))</f>
        <v>6</v>
      </c>
      <c r="N1888" s="71">
        <f>Table1[[#This Row],[Quantity]]*Table1[[#This Row],[Unit Price]]</f>
        <v>2880288</v>
      </c>
      <c r="O1888" s="73">
        <v>0.28802879999999997</v>
      </c>
      <c r="P1888" s="70">
        <f>Table1[[#This Row],[Gross Amount]]*(1-(Table1[[#This Row],[Discount %]]/100))</f>
        <v>2707470.7199999997</v>
      </c>
      <c r="Q1888" s="74">
        <f>(Table1[[#This Row],[Gross Amount]]*(1-(Table1[[#This Row],[Discount %]]/100)))/10000000</f>
        <v>0.27074707199999998</v>
      </c>
      <c r="R1888" t="s">
        <v>25</v>
      </c>
      <c r="S1888" t="str" cm="1">
        <f t="array" ref="S1888">IFERROR(_xlfn.IFS(Table1[[#This Row],[Payment Status]]="Partial","In Transit",Table1[[#This Row],[Payment Status]]="Paid","Delivered",Table1[[#This Row],[Payment Status]]="Pending","Pending"),"Invalid Input")</f>
        <v>In Transit</v>
      </c>
      <c r="T1888" t="s">
        <v>27</v>
      </c>
      <c r="U1888" t="str" cm="1">
        <f t="array" ref="U1888">IFERROR(_xlfn.IFS(Table1[[#This Row],[Payment Status]]="Partial","In Transit",Table1[[#This Row],[Payment Status]]="Paid","Completed",Table1[[#This Row],[Payment Status]]="Pending","Pending"),"Invalid Input")</f>
        <v>In Transit</v>
      </c>
    </row>
    <row r="1889" spans="1:21" x14ac:dyDescent="0.25">
      <c r="A1889" s="4" t="s">
        <v>3079</v>
      </c>
      <c r="B1889" s="5">
        <v>45769</v>
      </c>
      <c r="C1889" t="s">
        <v>41</v>
      </c>
      <c r="D1889" t="s">
        <v>3271</v>
      </c>
      <c r="E1889" t="s">
        <v>119</v>
      </c>
      <c r="F1889" t="s">
        <v>3228</v>
      </c>
      <c r="G1889" t="s">
        <v>21</v>
      </c>
      <c r="H1889" t="str">
        <f>VLOOKUP(Table1[[#This Row],[City]],Table6[#All],2,FALSE)</f>
        <v>North</v>
      </c>
      <c r="I1889" t="s">
        <v>3203</v>
      </c>
      <c r="J1889" t="str">
        <f>_xlfn.XLOOKUP(Table1[[#This Row],[Tractor Model]],Table7[Product Model],Table7[Product Category],"Not Available",0)</f>
        <v>Kubota</v>
      </c>
      <c r="K1889" s="4">
        <v>4</v>
      </c>
      <c r="L1889" s="72">
        <v>725999</v>
      </c>
      <c r="M1889" s="4">
        <f>INDEX('Master Sheet'!$C$4:$C$12,MATCH(Table1[[#This Row],[Quantity]],'Master Sheet'!$B$4:$B$12,0))</f>
        <v>6</v>
      </c>
      <c r="N1889" s="71">
        <f>Table1[[#This Row],[Quantity]]*Table1[[#This Row],[Unit Price]]</f>
        <v>2903996</v>
      </c>
      <c r="O1889" s="73">
        <v>0.29039959999999998</v>
      </c>
      <c r="P1889" s="70">
        <f>Table1[[#This Row],[Gross Amount]]*(1-(Table1[[#This Row],[Discount %]]/100))</f>
        <v>2729756.2399999998</v>
      </c>
      <c r="Q1889" s="74">
        <f>(Table1[[#This Row],[Gross Amount]]*(1-(Table1[[#This Row],[Discount %]]/100)))/10000000</f>
        <v>0.27297562399999997</v>
      </c>
      <c r="R1889" t="s">
        <v>25</v>
      </c>
      <c r="S1889" t="str" cm="1">
        <f t="array" ref="S1889">IFERROR(_xlfn.IFS(Table1[[#This Row],[Payment Status]]="Partial","In Transit",Table1[[#This Row],[Payment Status]]="Paid","Delivered",Table1[[#This Row],[Payment Status]]="Pending","Pending"),"Invalid Input")</f>
        <v>In Transit</v>
      </c>
      <c r="T1889" t="s">
        <v>27</v>
      </c>
      <c r="U1889" t="str" cm="1">
        <f t="array" ref="U1889">IFERROR(_xlfn.IFS(Table1[[#This Row],[Payment Status]]="Partial","In Transit",Table1[[#This Row],[Payment Status]]="Paid","Completed",Table1[[#This Row],[Payment Status]]="Pending","Pending"),"Invalid Input")</f>
        <v>In Transit</v>
      </c>
    </row>
    <row r="1890" spans="1:21" x14ac:dyDescent="0.25">
      <c r="A1890" s="4" t="s">
        <v>3080</v>
      </c>
      <c r="B1890" s="5">
        <v>45798</v>
      </c>
      <c r="C1890" t="s">
        <v>62</v>
      </c>
      <c r="D1890" t="s">
        <v>37</v>
      </c>
      <c r="E1890" t="s">
        <v>38</v>
      </c>
      <c r="F1890" t="s">
        <v>3214</v>
      </c>
      <c r="G1890" t="s">
        <v>39</v>
      </c>
      <c r="H1890" t="str">
        <f>VLOOKUP(Table1[[#This Row],[City]],Table6[#All],2,FALSE)</f>
        <v>West</v>
      </c>
      <c r="I1890" t="s">
        <v>53</v>
      </c>
      <c r="J1890" t="str">
        <f>_xlfn.XLOOKUP(Table1[[#This Row],[Tractor Model]],Table7[Product Model],Table7[Product Category],"Not Available",0)</f>
        <v>Farmtrac</v>
      </c>
      <c r="K1890" s="4">
        <v>2</v>
      </c>
      <c r="L1890" s="72">
        <v>178635</v>
      </c>
      <c r="M1890" s="4">
        <f>INDEX('Master Sheet'!$C$4:$C$12,MATCH(Table1[[#This Row],[Quantity]],'Master Sheet'!$B$4:$B$12,0))</f>
        <v>5</v>
      </c>
      <c r="N1890" s="71">
        <f>Table1[[#This Row],[Quantity]]*Table1[[#This Row],[Unit Price]]</f>
        <v>357270</v>
      </c>
      <c r="O1890" s="73">
        <v>3.5727000000000002E-2</v>
      </c>
      <c r="P1890" s="70">
        <f>Table1[[#This Row],[Gross Amount]]*(1-(Table1[[#This Row],[Discount %]]/100))</f>
        <v>339406.5</v>
      </c>
      <c r="Q1890" s="74">
        <f>(Table1[[#This Row],[Gross Amount]]*(1-(Table1[[#This Row],[Discount %]]/100)))/10000000</f>
        <v>3.3940650000000003E-2</v>
      </c>
      <c r="R1890" t="s">
        <v>54</v>
      </c>
      <c r="S1890" t="str" cm="1">
        <f t="array" ref="S1890">IFERROR(_xlfn.IFS(Table1[[#This Row],[Payment Status]]="Partial","In Transit",Table1[[#This Row],[Payment Status]]="Paid","Delivered",Table1[[#This Row],[Payment Status]]="Pending","Pending"),"Invalid Input")</f>
        <v>Delivered</v>
      </c>
      <c r="T1890" t="s">
        <v>27</v>
      </c>
      <c r="U1890" t="str" cm="1">
        <f t="array" ref="U1890">IFERROR(_xlfn.IFS(Table1[[#This Row],[Payment Status]]="Partial","In Transit",Table1[[#This Row],[Payment Status]]="Paid","Completed",Table1[[#This Row],[Payment Status]]="Pending","Pending"),"Invalid Input")</f>
        <v>Completed</v>
      </c>
    </row>
    <row r="1891" spans="1:21" x14ac:dyDescent="0.25">
      <c r="A1891" s="4" t="s">
        <v>3082</v>
      </c>
      <c r="B1891" s="5">
        <v>45569</v>
      </c>
      <c r="C1891" t="s">
        <v>62</v>
      </c>
      <c r="D1891" t="s">
        <v>3268</v>
      </c>
      <c r="E1891" t="s">
        <v>66</v>
      </c>
      <c r="F1891" t="s">
        <v>3211</v>
      </c>
      <c r="G1891" t="s">
        <v>67</v>
      </c>
      <c r="H1891" t="str">
        <f>VLOOKUP(Table1[[#This Row],[City]],Table6[#All],2,FALSE)</f>
        <v>East</v>
      </c>
      <c r="I1891" t="s">
        <v>24</v>
      </c>
      <c r="J1891" t="str">
        <f>_xlfn.XLOOKUP(Table1[[#This Row],[Tractor Model]],Table7[Product Model],Table7[Product Category],"Not Available",0)</f>
        <v>Farmtrac</v>
      </c>
      <c r="K1891" s="4">
        <v>4</v>
      </c>
      <c r="L1891" s="72">
        <v>816818</v>
      </c>
      <c r="M1891" s="4">
        <f>INDEX('Master Sheet'!$C$4:$C$12,MATCH(Table1[[#This Row],[Quantity]],'Master Sheet'!$B$4:$B$12,0))</f>
        <v>6</v>
      </c>
      <c r="N1891" s="71">
        <f>Table1[[#This Row],[Quantity]]*Table1[[#This Row],[Unit Price]]</f>
        <v>3267272</v>
      </c>
      <c r="O1891" s="73">
        <v>0.3267272</v>
      </c>
      <c r="P1891" s="70">
        <f>Table1[[#This Row],[Gross Amount]]*(1-(Table1[[#This Row],[Discount %]]/100))</f>
        <v>3071235.6799999997</v>
      </c>
      <c r="Q1891" s="74">
        <f>(Table1[[#This Row],[Gross Amount]]*(1-(Table1[[#This Row],[Discount %]]/100)))/10000000</f>
        <v>0.30712356799999996</v>
      </c>
      <c r="R1891" t="s">
        <v>42</v>
      </c>
      <c r="S1891" t="str" cm="1">
        <f t="array" ref="S1891">IFERROR(_xlfn.IFS(Table1[[#This Row],[Payment Status]]="Partial","In Transit",Table1[[#This Row],[Payment Status]]="Paid","Delivered",Table1[[#This Row],[Payment Status]]="Pending","Pending"),"Invalid Input")</f>
        <v>Pending</v>
      </c>
      <c r="T1891" t="s">
        <v>27</v>
      </c>
      <c r="U1891" t="str" cm="1">
        <f t="array" ref="U1891">IFERROR(_xlfn.IFS(Table1[[#This Row],[Payment Status]]="Partial","In Transit",Table1[[#This Row],[Payment Status]]="Paid","Completed",Table1[[#This Row],[Payment Status]]="Pending","Pending"),"Invalid Input")</f>
        <v>Pending</v>
      </c>
    </row>
    <row r="1892" spans="1:21" x14ac:dyDescent="0.25">
      <c r="A1892" s="4" t="s">
        <v>3084</v>
      </c>
      <c r="B1892" s="5">
        <v>45722</v>
      </c>
      <c r="C1892" t="s">
        <v>33</v>
      </c>
      <c r="D1892" t="s">
        <v>3271</v>
      </c>
      <c r="E1892" t="s">
        <v>38</v>
      </c>
      <c r="F1892" t="s">
        <v>3210</v>
      </c>
      <c r="G1892" t="s">
        <v>39</v>
      </c>
      <c r="H1892" t="str">
        <f>VLOOKUP(Table1[[#This Row],[City]],Table6[#All],2,FALSE)</f>
        <v>West</v>
      </c>
      <c r="I1892" t="s">
        <v>3203</v>
      </c>
      <c r="J1892" t="str">
        <f>_xlfn.XLOOKUP(Table1[[#This Row],[Tractor Model]],Table7[Product Model],Table7[Product Category],"Not Available",0)</f>
        <v>Kubota</v>
      </c>
      <c r="K1892" s="4">
        <v>5</v>
      </c>
      <c r="L1892" s="72">
        <v>89886</v>
      </c>
      <c r="M1892" s="4">
        <f>INDEX('Master Sheet'!$C$4:$C$12,MATCH(Table1[[#This Row],[Quantity]],'Master Sheet'!$B$4:$B$12,0))</f>
        <v>7</v>
      </c>
      <c r="N1892" s="71">
        <f>Table1[[#This Row],[Quantity]]*Table1[[#This Row],[Unit Price]]</f>
        <v>449430</v>
      </c>
      <c r="O1892" s="73">
        <v>4.4942999999999997E-2</v>
      </c>
      <c r="P1892" s="70">
        <f>Table1[[#This Row],[Gross Amount]]*(1-(Table1[[#This Row],[Discount %]]/100))</f>
        <v>417969.89999999997</v>
      </c>
      <c r="Q1892" s="74">
        <f>(Table1[[#This Row],[Gross Amount]]*(1-(Table1[[#This Row],[Discount %]]/100)))/10000000</f>
        <v>4.1796989999999999E-2</v>
      </c>
      <c r="R1892" t="s">
        <v>25</v>
      </c>
      <c r="S1892" t="str" cm="1">
        <f t="array" ref="S1892">IFERROR(_xlfn.IFS(Table1[[#This Row],[Payment Status]]="Partial","In Transit",Table1[[#This Row],[Payment Status]]="Paid","Delivered",Table1[[#This Row],[Payment Status]]="Pending","Pending"),"Invalid Input")</f>
        <v>In Transit</v>
      </c>
      <c r="T1892" t="s">
        <v>27</v>
      </c>
      <c r="U1892" t="str" cm="1">
        <f t="array" ref="U1892">IFERROR(_xlfn.IFS(Table1[[#This Row],[Payment Status]]="Partial","In Transit",Table1[[#This Row],[Payment Status]]="Paid","Completed",Table1[[#This Row],[Payment Status]]="Pending","Pending"),"Invalid Input")</f>
        <v>In Transit</v>
      </c>
    </row>
    <row r="1893" spans="1:21" x14ac:dyDescent="0.25">
      <c r="A1893" s="4" t="s">
        <v>3085</v>
      </c>
      <c r="B1893" s="5">
        <v>45659</v>
      </c>
      <c r="C1893" t="s">
        <v>73</v>
      </c>
      <c r="D1893" t="s">
        <v>37</v>
      </c>
      <c r="E1893" t="s">
        <v>47</v>
      </c>
      <c r="F1893" t="s">
        <v>3215</v>
      </c>
      <c r="G1893" t="s">
        <v>48</v>
      </c>
      <c r="H1893" t="str">
        <f>VLOOKUP(Table1[[#This Row],[City]],Table6[#All],2,FALSE)</f>
        <v>North</v>
      </c>
      <c r="I1893" t="s">
        <v>58</v>
      </c>
      <c r="J1893" t="str">
        <f>_xlfn.XLOOKUP(Table1[[#This Row],[Tractor Model]],Table7[Product Model],Table7[Product Category],"Not Available",0)</f>
        <v>Powertrac</v>
      </c>
      <c r="K1893" s="4">
        <v>1</v>
      </c>
      <c r="L1893" s="72">
        <v>606791</v>
      </c>
      <c r="M1893" s="4">
        <f>INDEX('Master Sheet'!$C$4:$C$12,MATCH(Table1[[#This Row],[Quantity]],'Master Sheet'!$B$4:$B$12,0))</f>
        <v>3</v>
      </c>
      <c r="N1893" s="71">
        <f>Table1[[#This Row],[Quantity]]*Table1[[#This Row],[Unit Price]]</f>
        <v>606791</v>
      </c>
      <c r="O1893" s="73">
        <v>6.06791E-2</v>
      </c>
      <c r="P1893" s="70">
        <f>Table1[[#This Row],[Gross Amount]]*(1-(Table1[[#This Row],[Discount %]]/100))</f>
        <v>588587.27</v>
      </c>
      <c r="Q1893" s="74">
        <f>(Table1[[#This Row],[Gross Amount]]*(1-(Table1[[#This Row],[Discount %]]/100)))/10000000</f>
        <v>5.8858727E-2</v>
      </c>
      <c r="R1893" t="s">
        <v>25</v>
      </c>
      <c r="S1893" t="str" cm="1">
        <f t="array" ref="S1893">IFERROR(_xlfn.IFS(Table1[[#This Row],[Payment Status]]="Partial","In Transit",Table1[[#This Row],[Payment Status]]="Paid","Delivered",Table1[[#This Row],[Payment Status]]="Pending","Pending"),"Invalid Input")</f>
        <v>In Transit</v>
      </c>
      <c r="T1893" t="s">
        <v>44</v>
      </c>
      <c r="U1893" t="str" cm="1">
        <f t="array" ref="U1893">IFERROR(_xlfn.IFS(Table1[[#This Row],[Payment Status]]="Partial","In Transit",Table1[[#This Row],[Payment Status]]="Paid","Completed",Table1[[#This Row],[Payment Status]]="Pending","Pending"),"Invalid Input")</f>
        <v>In Transit</v>
      </c>
    </row>
    <row r="1894" spans="1:21" x14ac:dyDescent="0.25">
      <c r="A1894" s="4" t="s">
        <v>3087</v>
      </c>
      <c r="B1894" s="5">
        <v>45738</v>
      </c>
      <c r="C1894" t="s">
        <v>62</v>
      </c>
      <c r="D1894" t="s">
        <v>3269</v>
      </c>
      <c r="E1894" t="s">
        <v>47</v>
      </c>
      <c r="F1894" t="s">
        <v>3209</v>
      </c>
      <c r="G1894" t="s">
        <v>48</v>
      </c>
      <c r="H1894" t="str">
        <f>VLOOKUP(Table1[[#This Row],[City]],Table6[#All],2,FALSE)</f>
        <v>North</v>
      </c>
      <c r="I1894" t="s">
        <v>3203</v>
      </c>
      <c r="J1894" t="str">
        <f>_xlfn.XLOOKUP(Table1[[#This Row],[Tractor Model]],Table7[Product Model],Table7[Product Category],"Not Available",0)</f>
        <v>Kubota</v>
      </c>
      <c r="K1894" s="4">
        <v>2</v>
      </c>
      <c r="L1894" s="72">
        <v>146715</v>
      </c>
      <c r="M1894" s="4">
        <f>INDEX('Master Sheet'!$C$4:$C$12,MATCH(Table1[[#This Row],[Quantity]],'Master Sheet'!$B$4:$B$12,0))</f>
        <v>5</v>
      </c>
      <c r="N1894" s="71">
        <f>Table1[[#This Row],[Quantity]]*Table1[[#This Row],[Unit Price]]</f>
        <v>293430</v>
      </c>
      <c r="O1894" s="73">
        <v>2.9343000000000001E-2</v>
      </c>
      <c r="P1894" s="70">
        <f>Table1[[#This Row],[Gross Amount]]*(1-(Table1[[#This Row],[Discount %]]/100))</f>
        <v>278758.5</v>
      </c>
      <c r="Q1894" s="74">
        <f>(Table1[[#This Row],[Gross Amount]]*(1-(Table1[[#This Row],[Discount %]]/100)))/10000000</f>
        <v>2.7875850000000001E-2</v>
      </c>
      <c r="R1894" t="s">
        <v>25</v>
      </c>
      <c r="S1894" t="str" cm="1">
        <f t="array" ref="S1894">IFERROR(_xlfn.IFS(Table1[[#This Row],[Payment Status]]="Partial","In Transit",Table1[[#This Row],[Payment Status]]="Paid","Delivered",Table1[[#This Row],[Payment Status]]="Pending","Pending"),"Invalid Input")</f>
        <v>In Transit</v>
      </c>
      <c r="T1894" t="s">
        <v>44</v>
      </c>
      <c r="U1894" t="str" cm="1">
        <f t="array" ref="U1894">IFERROR(_xlfn.IFS(Table1[[#This Row],[Payment Status]]="Partial","In Transit",Table1[[#This Row],[Payment Status]]="Paid","Completed",Table1[[#This Row],[Payment Status]]="Pending","Pending"),"Invalid Input")</f>
        <v>In Transit</v>
      </c>
    </row>
    <row r="1895" spans="1:21" x14ac:dyDescent="0.25">
      <c r="A1895" s="4" t="s">
        <v>3089</v>
      </c>
      <c r="B1895" s="5">
        <v>45444</v>
      </c>
      <c r="C1895" t="s">
        <v>52</v>
      </c>
      <c r="D1895" t="s">
        <v>37</v>
      </c>
      <c r="E1895" t="s">
        <v>66</v>
      </c>
      <c r="F1895" t="s">
        <v>3226</v>
      </c>
      <c r="G1895" t="s">
        <v>67</v>
      </c>
      <c r="H1895" t="str">
        <f>VLOOKUP(Table1[[#This Row],[City]],Table6[#All],2,FALSE)</f>
        <v>East</v>
      </c>
      <c r="I1895" t="s">
        <v>58</v>
      </c>
      <c r="J1895" t="str">
        <f>_xlfn.XLOOKUP(Table1[[#This Row],[Tractor Model]],Table7[Product Model],Table7[Product Category],"Not Available",0)</f>
        <v>Powertrac</v>
      </c>
      <c r="K1895" s="4">
        <v>8</v>
      </c>
      <c r="L1895" s="72">
        <v>722310</v>
      </c>
      <c r="M1895" s="4">
        <f>INDEX('Master Sheet'!$C$4:$C$12,MATCH(Table1[[#This Row],[Quantity]],'Master Sheet'!$B$4:$B$12,0))</f>
        <v>9</v>
      </c>
      <c r="N1895" s="71">
        <f>Table1[[#This Row],[Quantity]]*Table1[[#This Row],[Unit Price]]</f>
        <v>5778480</v>
      </c>
      <c r="O1895" s="73">
        <v>0.57784800000000003</v>
      </c>
      <c r="P1895" s="70">
        <f>Table1[[#This Row],[Gross Amount]]*(1-(Table1[[#This Row],[Discount %]]/100))</f>
        <v>5258416.8</v>
      </c>
      <c r="Q1895" s="74">
        <f>(Table1[[#This Row],[Gross Amount]]*(1-(Table1[[#This Row],[Discount %]]/100)))/10000000</f>
        <v>0.52584167999999998</v>
      </c>
      <c r="R1895" t="s">
        <v>25</v>
      </c>
      <c r="S1895" t="str" cm="1">
        <f t="array" ref="S1895">IFERROR(_xlfn.IFS(Table1[[#This Row],[Payment Status]]="Partial","In Transit",Table1[[#This Row],[Payment Status]]="Paid","Delivered",Table1[[#This Row],[Payment Status]]="Pending","Pending"),"Invalid Input")</f>
        <v>In Transit</v>
      </c>
      <c r="T1895" t="s">
        <v>27</v>
      </c>
      <c r="U1895" t="str" cm="1">
        <f t="array" ref="U1895">IFERROR(_xlfn.IFS(Table1[[#This Row],[Payment Status]]="Partial","In Transit",Table1[[#This Row],[Payment Status]]="Paid","Completed",Table1[[#This Row],[Payment Status]]="Pending","Pending"),"Invalid Input")</f>
        <v>In Transit</v>
      </c>
    </row>
    <row r="1896" spans="1:21" x14ac:dyDescent="0.25">
      <c r="A1896" s="4" t="s">
        <v>3090</v>
      </c>
      <c r="B1896" s="5">
        <v>45374</v>
      </c>
      <c r="C1896" t="s">
        <v>41</v>
      </c>
      <c r="D1896" t="s">
        <v>3269</v>
      </c>
      <c r="E1896" t="s">
        <v>47</v>
      </c>
      <c r="F1896" t="s">
        <v>3209</v>
      </c>
      <c r="G1896" t="s">
        <v>48</v>
      </c>
      <c r="H1896" t="str">
        <f>VLOOKUP(Table1[[#This Row],[City]],Table6[#All],2,FALSE)</f>
        <v>North</v>
      </c>
      <c r="I1896" t="s">
        <v>24</v>
      </c>
      <c r="J1896" t="str">
        <f>_xlfn.XLOOKUP(Table1[[#This Row],[Tractor Model]],Table7[Product Model],Table7[Product Category],"Not Available",0)</f>
        <v>Farmtrac</v>
      </c>
      <c r="K1896" s="4">
        <v>3</v>
      </c>
      <c r="L1896" s="72">
        <v>679619</v>
      </c>
      <c r="M1896" s="4">
        <f>INDEX('Master Sheet'!$C$4:$C$12,MATCH(Table1[[#This Row],[Quantity]],'Master Sheet'!$B$4:$B$12,0))</f>
        <v>6</v>
      </c>
      <c r="N1896" s="71">
        <f>Table1[[#This Row],[Quantity]]*Table1[[#This Row],[Unit Price]]</f>
        <v>2038857</v>
      </c>
      <c r="O1896" s="73">
        <v>0.2038857</v>
      </c>
      <c r="P1896" s="70">
        <f>Table1[[#This Row],[Gross Amount]]*(1-(Table1[[#This Row],[Discount %]]/100))</f>
        <v>1916525.5799999998</v>
      </c>
      <c r="Q1896" s="74">
        <f>(Table1[[#This Row],[Gross Amount]]*(1-(Table1[[#This Row],[Discount %]]/100)))/10000000</f>
        <v>0.19165255799999997</v>
      </c>
      <c r="R1896" t="s">
        <v>42</v>
      </c>
      <c r="S1896" t="str" cm="1">
        <f t="array" ref="S1896">IFERROR(_xlfn.IFS(Table1[[#This Row],[Payment Status]]="Partial","In Transit",Table1[[#This Row],[Payment Status]]="Paid","Delivered",Table1[[#This Row],[Payment Status]]="Pending","Pending"),"Invalid Input")</f>
        <v>Pending</v>
      </c>
      <c r="T1896" t="s">
        <v>27</v>
      </c>
      <c r="U1896" t="str" cm="1">
        <f t="array" ref="U1896">IFERROR(_xlfn.IFS(Table1[[#This Row],[Payment Status]]="Partial","In Transit",Table1[[#This Row],[Payment Status]]="Paid","Completed",Table1[[#This Row],[Payment Status]]="Pending","Pending"),"Invalid Input")</f>
        <v>Pending</v>
      </c>
    </row>
    <row r="1897" spans="1:21" x14ac:dyDescent="0.25">
      <c r="A1897" s="4" t="s">
        <v>3091</v>
      </c>
      <c r="B1897" s="5">
        <v>45530</v>
      </c>
      <c r="C1897" t="s">
        <v>52</v>
      </c>
      <c r="D1897" t="s">
        <v>3269</v>
      </c>
      <c r="E1897" t="s">
        <v>47</v>
      </c>
      <c r="F1897" t="s">
        <v>3209</v>
      </c>
      <c r="G1897" t="s">
        <v>48</v>
      </c>
      <c r="H1897" t="str">
        <f>VLOOKUP(Table1[[#This Row],[City]],Table6[#All],2,FALSE)</f>
        <v>North</v>
      </c>
      <c r="I1897" t="s">
        <v>3204</v>
      </c>
      <c r="J1897" t="str">
        <f>_xlfn.XLOOKUP(Table1[[#This Row],[Tractor Model]],Table7[Product Model],Table7[Product Category],"Not Available",0)</f>
        <v>Kubota</v>
      </c>
      <c r="K1897" s="4">
        <v>4</v>
      </c>
      <c r="L1897" s="72">
        <v>363342</v>
      </c>
      <c r="M1897" s="4">
        <f>INDEX('Master Sheet'!$C$4:$C$12,MATCH(Table1[[#This Row],[Quantity]],'Master Sheet'!$B$4:$B$12,0))</f>
        <v>6</v>
      </c>
      <c r="N1897" s="71">
        <f>Table1[[#This Row],[Quantity]]*Table1[[#This Row],[Unit Price]]</f>
        <v>1453368</v>
      </c>
      <c r="O1897" s="73">
        <v>0.14533679999999999</v>
      </c>
      <c r="P1897" s="70">
        <f>Table1[[#This Row],[Gross Amount]]*(1-(Table1[[#This Row],[Discount %]]/100))</f>
        <v>1366165.92</v>
      </c>
      <c r="Q1897" s="74">
        <f>(Table1[[#This Row],[Gross Amount]]*(1-(Table1[[#This Row],[Discount %]]/100)))/10000000</f>
        <v>0.13661659199999998</v>
      </c>
      <c r="R1897" t="s">
        <v>54</v>
      </c>
      <c r="S1897" t="str" cm="1">
        <f t="array" ref="S1897">IFERROR(_xlfn.IFS(Table1[[#This Row],[Payment Status]]="Partial","In Transit",Table1[[#This Row],[Payment Status]]="Paid","Delivered",Table1[[#This Row],[Payment Status]]="Pending","Pending"),"Invalid Input")</f>
        <v>Delivered</v>
      </c>
      <c r="T1897" t="s">
        <v>44</v>
      </c>
      <c r="U1897" t="str" cm="1">
        <f t="array" ref="U1897">IFERROR(_xlfn.IFS(Table1[[#This Row],[Payment Status]]="Partial","In Transit",Table1[[#This Row],[Payment Status]]="Paid","Completed",Table1[[#This Row],[Payment Status]]="Pending","Pending"),"Invalid Input")</f>
        <v>Completed</v>
      </c>
    </row>
    <row r="1898" spans="1:21" x14ac:dyDescent="0.25">
      <c r="A1898" s="4" t="s">
        <v>3093</v>
      </c>
      <c r="B1898" s="5">
        <v>45800</v>
      </c>
      <c r="C1898" t="s">
        <v>41</v>
      </c>
      <c r="D1898" t="s">
        <v>3270</v>
      </c>
      <c r="E1898" t="s">
        <v>119</v>
      </c>
      <c r="F1898" t="s">
        <v>3212</v>
      </c>
      <c r="G1898" t="s">
        <v>21</v>
      </c>
      <c r="H1898" t="str">
        <f>VLOOKUP(Table1[[#This Row],[City]],Table6[#All],2,FALSE)</f>
        <v>North</v>
      </c>
      <c r="I1898" t="s">
        <v>53</v>
      </c>
      <c r="J1898" t="str">
        <f>_xlfn.XLOOKUP(Table1[[#This Row],[Tractor Model]],Table7[Product Model],Table7[Product Category],"Not Available",0)</f>
        <v>Farmtrac</v>
      </c>
      <c r="K1898" s="4">
        <v>2</v>
      </c>
      <c r="L1898" s="72">
        <v>327437</v>
      </c>
      <c r="M1898" s="4">
        <f>INDEX('Master Sheet'!$C$4:$C$12,MATCH(Table1[[#This Row],[Quantity]],'Master Sheet'!$B$4:$B$12,0))</f>
        <v>5</v>
      </c>
      <c r="N1898" s="71">
        <f>Table1[[#This Row],[Quantity]]*Table1[[#This Row],[Unit Price]]</f>
        <v>654874</v>
      </c>
      <c r="O1898" s="73">
        <v>6.5487400000000001E-2</v>
      </c>
      <c r="P1898" s="70">
        <f>Table1[[#This Row],[Gross Amount]]*(1-(Table1[[#This Row],[Discount %]]/100))</f>
        <v>622130.29999999993</v>
      </c>
      <c r="Q1898" s="74">
        <f>(Table1[[#This Row],[Gross Amount]]*(1-(Table1[[#This Row],[Discount %]]/100)))/10000000</f>
        <v>6.2213029999999996E-2</v>
      </c>
      <c r="R1898" t="s">
        <v>42</v>
      </c>
      <c r="S1898" t="str" cm="1">
        <f t="array" ref="S1898">IFERROR(_xlfn.IFS(Table1[[#This Row],[Payment Status]]="Partial","In Transit",Table1[[#This Row],[Payment Status]]="Paid","Delivered",Table1[[#This Row],[Payment Status]]="Pending","Pending"),"Invalid Input")</f>
        <v>Pending</v>
      </c>
      <c r="T1898" t="s">
        <v>27</v>
      </c>
      <c r="U1898" t="str" cm="1">
        <f t="array" ref="U1898">IFERROR(_xlfn.IFS(Table1[[#This Row],[Payment Status]]="Partial","In Transit",Table1[[#This Row],[Payment Status]]="Paid","Completed",Table1[[#This Row],[Payment Status]]="Pending","Pending"),"Invalid Input")</f>
        <v>Pending</v>
      </c>
    </row>
    <row r="1899" spans="1:21" x14ac:dyDescent="0.25">
      <c r="A1899" s="4" t="s">
        <v>3095</v>
      </c>
      <c r="B1899" s="5">
        <v>45294</v>
      </c>
      <c r="C1899" t="s">
        <v>41</v>
      </c>
      <c r="D1899" t="s">
        <v>37</v>
      </c>
      <c r="E1899" t="s">
        <v>119</v>
      </c>
      <c r="F1899" t="s">
        <v>3224</v>
      </c>
      <c r="G1899" t="s">
        <v>21</v>
      </c>
      <c r="H1899" t="str">
        <f>VLOOKUP(Table1[[#This Row],[City]],Table6[#All],2,FALSE)</f>
        <v>North</v>
      </c>
      <c r="I1899" t="s">
        <v>53</v>
      </c>
      <c r="J1899" t="str">
        <f>_xlfn.XLOOKUP(Table1[[#This Row],[Tractor Model]],Table7[Product Model],Table7[Product Category],"Not Available",0)</f>
        <v>Farmtrac</v>
      </c>
      <c r="K1899" s="4">
        <v>1</v>
      </c>
      <c r="L1899" s="72">
        <v>480541</v>
      </c>
      <c r="M1899" s="4">
        <f>INDEX('Master Sheet'!$C$4:$C$12,MATCH(Table1[[#This Row],[Quantity]],'Master Sheet'!$B$4:$B$12,0))</f>
        <v>3</v>
      </c>
      <c r="N1899" s="71">
        <f>Table1[[#This Row],[Quantity]]*Table1[[#This Row],[Unit Price]]</f>
        <v>480541</v>
      </c>
      <c r="O1899" s="73">
        <v>4.8054100000000002E-2</v>
      </c>
      <c r="P1899" s="70">
        <f>Table1[[#This Row],[Gross Amount]]*(1-(Table1[[#This Row],[Discount %]]/100))</f>
        <v>466124.76999999996</v>
      </c>
      <c r="Q1899" s="74">
        <f>(Table1[[#This Row],[Gross Amount]]*(1-(Table1[[#This Row],[Discount %]]/100)))/10000000</f>
        <v>4.6612476999999999E-2</v>
      </c>
      <c r="R1899" t="s">
        <v>25</v>
      </c>
      <c r="S1899" t="str" cm="1">
        <f t="array" ref="S1899">IFERROR(_xlfn.IFS(Table1[[#This Row],[Payment Status]]="Partial","In Transit",Table1[[#This Row],[Payment Status]]="Paid","Delivered",Table1[[#This Row],[Payment Status]]="Pending","Pending"),"Invalid Input")</f>
        <v>In Transit</v>
      </c>
      <c r="T1899" t="s">
        <v>27</v>
      </c>
      <c r="U1899" t="str" cm="1">
        <f t="array" ref="U1899">IFERROR(_xlfn.IFS(Table1[[#This Row],[Payment Status]]="Partial","In Transit",Table1[[#This Row],[Payment Status]]="Paid","Completed",Table1[[#This Row],[Payment Status]]="Pending","Pending"),"Invalid Input")</f>
        <v>In Transit</v>
      </c>
    </row>
    <row r="1900" spans="1:21" x14ac:dyDescent="0.25">
      <c r="A1900" s="4" t="s">
        <v>3096</v>
      </c>
      <c r="B1900" s="5">
        <v>45541</v>
      </c>
      <c r="C1900" t="s">
        <v>52</v>
      </c>
      <c r="D1900" t="s">
        <v>3270</v>
      </c>
      <c r="E1900" t="s">
        <v>47</v>
      </c>
      <c r="F1900" t="s">
        <v>3205</v>
      </c>
      <c r="G1900" t="s">
        <v>48</v>
      </c>
      <c r="H1900" t="str">
        <f>VLOOKUP(Table1[[#This Row],[City]],Table6[#All],2,FALSE)</f>
        <v>North</v>
      </c>
      <c r="I1900" t="s">
        <v>53</v>
      </c>
      <c r="J1900" t="str">
        <f>_xlfn.XLOOKUP(Table1[[#This Row],[Tractor Model]],Table7[Product Model],Table7[Product Category],"Not Available",0)</f>
        <v>Farmtrac</v>
      </c>
      <c r="K1900" s="4">
        <v>8</v>
      </c>
      <c r="L1900" s="72">
        <v>401474</v>
      </c>
      <c r="M1900" s="4">
        <f>INDEX('Master Sheet'!$C$4:$C$12,MATCH(Table1[[#This Row],[Quantity]],'Master Sheet'!$B$4:$B$12,0))</f>
        <v>9</v>
      </c>
      <c r="N1900" s="71">
        <f>Table1[[#This Row],[Quantity]]*Table1[[#This Row],[Unit Price]]</f>
        <v>3211792</v>
      </c>
      <c r="O1900" s="73">
        <v>0.3211792</v>
      </c>
      <c r="P1900" s="70">
        <f>Table1[[#This Row],[Gross Amount]]*(1-(Table1[[#This Row],[Discount %]]/100))</f>
        <v>2922730.72</v>
      </c>
      <c r="Q1900" s="74">
        <f>(Table1[[#This Row],[Gross Amount]]*(1-(Table1[[#This Row],[Discount %]]/100)))/10000000</f>
        <v>0.29227307200000002</v>
      </c>
      <c r="R1900" t="s">
        <v>25</v>
      </c>
      <c r="S1900" t="str" cm="1">
        <f t="array" ref="S1900">IFERROR(_xlfn.IFS(Table1[[#This Row],[Payment Status]]="Partial","In Transit",Table1[[#This Row],[Payment Status]]="Paid","Delivered",Table1[[#This Row],[Payment Status]]="Pending","Pending"),"Invalid Input")</f>
        <v>In Transit</v>
      </c>
      <c r="T1900" t="s">
        <v>27</v>
      </c>
      <c r="U1900" t="str" cm="1">
        <f t="array" ref="U1900">IFERROR(_xlfn.IFS(Table1[[#This Row],[Payment Status]]="Partial","In Transit",Table1[[#This Row],[Payment Status]]="Paid","Completed",Table1[[#This Row],[Payment Status]]="Pending","Pending"),"Invalid Input")</f>
        <v>In Transit</v>
      </c>
    </row>
    <row r="1901" spans="1:21" x14ac:dyDescent="0.25">
      <c r="A1901" s="4" t="s">
        <v>3097</v>
      </c>
      <c r="B1901" s="5">
        <v>45651</v>
      </c>
      <c r="C1901" t="s">
        <v>62</v>
      </c>
      <c r="D1901" t="s">
        <v>3268</v>
      </c>
      <c r="E1901" t="s">
        <v>30</v>
      </c>
      <c r="F1901" t="s">
        <v>3208</v>
      </c>
      <c r="G1901" t="s">
        <v>31</v>
      </c>
      <c r="H1901" t="str">
        <f>VLOOKUP(Table1[[#This Row],[City]],Table6[#All],2,FALSE)</f>
        <v>South</v>
      </c>
      <c r="I1901" t="s">
        <v>53</v>
      </c>
      <c r="J1901" t="str">
        <f>_xlfn.XLOOKUP(Table1[[#This Row],[Tractor Model]],Table7[Product Model],Table7[Product Category],"Not Available",0)</f>
        <v>Farmtrac</v>
      </c>
      <c r="K1901" s="4">
        <v>2</v>
      </c>
      <c r="L1901" s="72">
        <v>509504</v>
      </c>
      <c r="M1901" s="4">
        <f>INDEX('Master Sheet'!$C$4:$C$12,MATCH(Table1[[#This Row],[Quantity]],'Master Sheet'!$B$4:$B$12,0))</f>
        <v>5</v>
      </c>
      <c r="N1901" s="71">
        <f>Table1[[#This Row],[Quantity]]*Table1[[#This Row],[Unit Price]]</f>
        <v>1019008</v>
      </c>
      <c r="O1901" s="73">
        <v>0.1019008</v>
      </c>
      <c r="P1901" s="70">
        <f>Table1[[#This Row],[Gross Amount]]*(1-(Table1[[#This Row],[Discount %]]/100))</f>
        <v>968057.6</v>
      </c>
      <c r="Q1901" s="74">
        <f>(Table1[[#This Row],[Gross Amount]]*(1-(Table1[[#This Row],[Discount %]]/100)))/10000000</f>
        <v>9.6805760000000005E-2</v>
      </c>
      <c r="R1901" t="s">
        <v>25</v>
      </c>
      <c r="S1901" t="str" cm="1">
        <f t="array" ref="S1901">IFERROR(_xlfn.IFS(Table1[[#This Row],[Payment Status]]="Partial","In Transit",Table1[[#This Row],[Payment Status]]="Paid","Delivered",Table1[[#This Row],[Payment Status]]="Pending","Pending"),"Invalid Input")</f>
        <v>In Transit</v>
      </c>
      <c r="T1901" t="s">
        <v>27</v>
      </c>
      <c r="U1901" t="str" cm="1">
        <f t="array" ref="U1901">IFERROR(_xlfn.IFS(Table1[[#This Row],[Payment Status]]="Partial","In Transit",Table1[[#This Row],[Payment Status]]="Paid","Completed",Table1[[#This Row],[Payment Status]]="Pending","Pending"),"Invalid Input")</f>
        <v>In Transit</v>
      </c>
    </row>
    <row r="1902" spans="1:21" x14ac:dyDescent="0.25">
      <c r="A1902" s="4" t="s">
        <v>3099</v>
      </c>
      <c r="B1902" s="5">
        <v>45684</v>
      </c>
      <c r="C1902" t="s">
        <v>62</v>
      </c>
      <c r="D1902" t="s">
        <v>3268</v>
      </c>
      <c r="E1902" t="s">
        <v>66</v>
      </c>
      <c r="F1902" t="s">
        <v>3211</v>
      </c>
      <c r="G1902" t="s">
        <v>67</v>
      </c>
      <c r="H1902" t="str">
        <f>VLOOKUP(Table1[[#This Row],[City]],Table6[#All],2,FALSE)</f>
        <v>East</v>
      </c>
      <c r="I1902" t="s">
        <v>24</v>
      </c>
      <c r="J1902" t="str">
        <f>_xlfn.XLOOKUP(Table1[[#This Row],[Tractor Model]],Table7[Product Model],Table7[Product Category],"Not Available",0)</f>
        <v>Farmtrac</v>
      </c>
      <c r="K1902" s="4">
        <v>8</v>
      </c>
      <c r="L1902" s="72">
        <v>442361</v>
      </c>
      <c r="M1902" s="4">
        <f>INDEX('Master Sheet'!$C$4:$C$12,MATCH(Table1[[#This Row],[Quantity]],'Master Sheet'!$B$4:$B$12,0))</f>
        <v>9</v>
      </c>
      <c r="N1902" s="71">
        <f>Table1[[#This Row],[Quantity]]*Table1[[#This Row],[Unit Price]]</f>
        <v>3538888</v>
      </c>
      <c r="O1902" s="73">
        <v>0.3538888</v>
      </c>
      <c r="P1902" s="70">
        <f>Table1[[#This Row],[Gross Amount]]*(1-(Table1[[#This Row],[Discount %]]/100))</f>
        <v>3220388.08</v>
      </c>
      <c r="Q1902" s="74">
        <f>(Table1[[#This Row],[Gross Amount]]*(1-(Table1[[#This Row],[Discount %]]/100)))/10000000</f>
        <v>0.32203880800000001</v>
      </c>
      <c r="R1902" t="s">
        <v>42</v>
      </c>
      <c r="S1902" t="str" cm="1">
        <f t="array" ref="S1902">IFERROR(_xlfn.IFS(Table1[[#This Row],[Payment Status]]="Partial","In Transit",Table1[[#This Row],[Payment Status]]="Paid","Delivered",Table1[[#This Row],[Payment Status]]="Pending","Pending"),"Invalid Input")</f>
        <v>Pending</v>
      </c>
      <c r="T1902" t="s">
        <v>27</v>
      </c>
      <c r="U1902" t="str" cm="1">
        <f t="array" ref="U1902">IFERROR(_xlfn.IFS(Table1[[#This Row],[Payment Status]]="Partial","In Transit",Table1[[#This Row],[Payment Status]]="Paid","Completed",Table1[[#This Row],[Payment Status]]="Pending","Pending"),"Invalid Input")</f>
        <v>Pending</v>
      </c>
    </row>
    <row r="1903" spans="1:21" x14ac:dyDescent="0.25">
      <c r="A1903" s="4" t="s">
        <v>3100</v>
      </c>
      <c r="B1903" s="5">
        <v>45742</v>
      </c>
      <c r="C1903" t="s">
        <v>62</v>
      </c>
      <c r="D1903" t="s">
        <v>3271</v>
      </c>
      <c r="E1903" t="s">
        <v>47</v>
      </c>
      <c r="F1903" t="s">
        <v>3221</v>
      </c>
      <c r="G1903" t="s">
        <v>48</v>
      </c>
      <c r="H1903" t="str">
        <f>VLOOKUP(Table1[[#This Row],[City]],Table6[#All],2,FALSE)</f>
        <v>North</v>
      </c>
      <c r="I1903" t="s">
        <v>3204</v>
      </c>
      <c r="J1903" t="str">
        <f>_xlfn.XLOOKUP(Table1[[#This Row],[Tractor Model]],Table7[Product Model],Table7[Product Category],"Not Available",0)</f>
        <v>Kubota</v>
      </c>
      <c r="K1903" s="4">
        <v>1</v>
      </c>
      <c r="L1903" s="72">
        <v>399237</v>
      </c>
      <c r="M1903" s="4">
        <f>INDEX('Master Sheet'!$C$4:$C$12,MATCH(Table1[[#This Row],[Quantity]],'Master Sheet'!$B$4:$B$12,0))</f>
        <v>3</v>
      </c>
      <c r="N1903" s="71">
        <f>Table1[[#This Row],[Quantity]]*Table1[[#This Row],[Unit Price]]</f>
        <v>399237</v>
      </c>
      <c r="O1903" s="73">
        <v>3.9923699999999999E-2</v>
      </c>
      <c r="P1903" s="70">
        <f>Table1[[#This Row],[Gross Amount]]*(1-(Table1[[#This Row],[Discount %]]/100))</f>
        <v>387259.89</v>
      </c>
      <c r="Q1903" s="74">
        <f>(Table1[[#This Row],[Gross Amount]]*(1-(Table1[[#This Row],[Discount %]]/100)))/10000000</f>
        <v>3.8725989000000002E-2</v>
      </c>
      <c r="R1903" t="s">
        <v>25</v>
      </c>
      <c r="S1903" t="str" cm="1">
        <f t="array" ref="S1903">IFERROR(_xlfn.IFS(Table1[[#This Row],[Payment Status]]="Partial","In Transit",Table1[[#This Row],[Payment Status]]="Paid","Delivered",Table1[[#This Row],[Payment Status]]="Pending","Pending"),"Invalid Input")</f>
        <v>In Transit</v>
      </c>
      <c r="T1903" t="s">
        <v>27</v>
      </c>
      <c r="U1903" t="str" cm="1">
        <f t="array" ref="U1903">IFERROR(_xlfn.IFS(Table1[[#This Row],[Payment Status]]="Partial","In Transit",Table1[[#This Row],[Payment Status]]="Paid","Completed",Table1[[#This Row],[Payment Status]]="Pending","Pending"),"Invalid Input")</f>
        <v>In Transit</v>
      </c>
    </row>
    <row r="1904" spans="1:21" x14ac:dyDescent="0.25">
      <c r="A1904" s="4" t="s">
        <v>3101</v>
      </c>
      <c r="B1904" s="5">
        <v>45304</v>
      </c>
      <c r="C1904" t="s">
        <v>41</v>
      </c>
      <c r="D1904" t="s">
        <v>37</v>
      </c>
      <c r="E1904" t="s">
        <v>47</v>
      </c>
      <c r="F1904" t="s">
        <v>3215</v>
      </c>
      <c r="G1904" t="s">
        <v>48</v>
      </c>
      <c r="H1904" t="str">
        <f>VLOOKUP(Table1[[#This Row],[City]],Table6[#All],2,FALSE)</f>
        <v>North</v>
      </c>
      <c r="I1904" t="s">
        <v>3203</v>
      </c>
      <c r="J1904" t="str">
        <f>_xlfn.XLOOKUP(Table1[[#This Row],[Tractor Model]],Table7[Product Model],Table7[Product Category],"Not Available",0)</f>
        <v>Kubota</v>
      </c>
      <c r="K1904" s="4">
        <v>8</v>
      </c>
      <c r="L1904" s="72">
        <v>655022</v>
      </c>
      <c r="M1904" s="4">
        <f>INDEX('Master Sheet'!$C$4:$C$12,MATCH(Table1[[#This Row],[Quantity]],'Master Sheet'!$B$4:$B$12,0))</f>
        <v>9</v>
      </c>
      <c r="N1904" s="71">
        <f>Table1[[#This Row],[Quantity]]*Table1[[#This Row],[Unit Price]]</f>
        <v>5240176</v>
      </c>
      <c r="O1904" s="73">
        <v>0.52401759999999997</v>
      </c>
      <c r="P1904" s="70">
        <f>Table1[[#This Row],[Gross Amount]]*(1-(Table1[[#This Row],[Discount %]]/100))</f>
        <v>4768560.16</v>
      </c>
      <c r="Q1904" s="74">
        <f>(Table1[[#This Row],[Gross Amount]]*(1-(Table1[[#This Row],[Discount %]]/100)))/10000000</f>
        <v>0.47685601599999999</v>
      </c>
      <c r="R1904" t="s">
        <v>42</v>
      </c>
      <c r="S1904" t="str" cm="1">
        <f t="array" ref="S1904">IFERROR(_xlfn.IFS(Table1[[#This Row],[Payment Status]]="Partial","In Transit",Table1[[#This Row],[Payment Status]]="Paid","Delivered",Table1[[#This Row],[Payment Status]]="Pending","Pending"),"Invalid Input")</f>
        <v>Pending</v>
      </c>
      <c r="T1904" t="s">
        <v>44</v>
      </c>
      <c r="U1904" t="str" cm="1">
        <f t="array" ref="U1904">IFERROR(_xlfn.IFS(Table1[[#This Row],[Payment Status]]="Partial","In Transit",Table1[[#This Row],[Payment Status]]="Paid","Completed",Table1[[#This Row],[Payment Status]]="Pending","Pending"),"Invalid Input")</f>
        <v>Pending</v>
      </c>
    </row>
    <row r="1905" spans="1:21" x14ac:dyDescent="0.25">
      <c r="A1905" s="4" t="s">
        <v>3103</v>
      </c>
      <c r="B1905" s="5">
        <v>45301</v>
      </c>
      <c r="C1905" t="s">
        <v>73</v>
      </c>
      <c r="D1905" t="s">
        <v>3270</v>
      </c>
      <c r="E1905" t="s">
        <v>66</v>
      </c>
      <c r="F1905" t="s">
        <v>3220</v>
      </c>
      <c r="G1905" t="s">
        <v>67</v>
      </c>
      <c r="H1905" t="str">
        <f>VLOOKUP(Table1[[#This Row],[City]],Table6[#All],2,FALSE)</f>
        <v>East</v>
      </c>
      <c r="I1905" t="s">
        <v>3203</v>
      </c>
      <c r="J1905" t="str">
        <f>_xlfn.XLOOKUP(Table1[[#This Row],[Tractor Model]],Table7[Product Model],Table7[Product Category],"Not Available",0)</f>
        <v>Kubota</v>
      </c>
      <c r="K1905" s="4">
        <v>7</v>
      </c>
      <c r="L1905" s="72">
        <v>464263</v>
      </c>
      <c r="M1905" s="4">
        <f>INDEX('Master Sheet'!$C$4:$C$12,MATCH(Table1[[#This Row],[Quantity]],'Master Sheet'!$B$4:$B$12,0))</f>
        <v>9</v>
      </c>
      <c r="N1905" s="71">
        <f>Table1[[#This Row],[Quantity]]*Table1[[#This Row],[Unit Price]]</f>
        <v>3249841</v>
      </c>
      <c r="O1905" s="73">
        <v>0.3249841</v>
      </c>
      <c r="P1905" s="70">
        <f>Table1[[#This Row],[Gross Amount]]*(1-(Table1[[#This Row],[Discount %]]/100))</f>
        <v>2957355.31</v>
      </c>
      <c r="Q1905" s="74">
        <f>(Table1[[#This Row],[Gross Amount]]*(1-(Table1[[#This Row],[Discount %]]/100)))/10000000</f>
        <v>0.295735531</v>
      </c>
      <c r="R1905" t="s">
        <v>25</v>
      </c>
      <c r="S1905" t="str" cm="1">
        <f t="array" ref="S1905">IFERROR(_xlfn.IFS(Table1[[#This Row],[Payment Status]]="Partial","In Transit",Table1[[#This Row],[Payment Status]]="Paid","Delivered",Table1[[#This Row],[Payment Status]]="Pending","Pending"),"Invalid Input")</f>
        <v>In Transit</v>
      </c>
      <c r="T1905" t="s">
        <v>27</v>
      </c>
      <c r="U1905" t="str" cm="1">
        <f t="array" ref="U1905">IFERROR(_xlfn.IFS(Table1[[#This Row],[Payment Status]]="Partial","In Transit",Table1[[#This Row],[Payment Status]]="Paid","Completed",Table1[[#This Row],[Payment Status]]="Pending","Pending"),"Invalid Input")</f>
        <v>In Transit</v>
      </c>
    </row>
    <row r="1906" spans="1:21" x14ac:dyDescent="0.25">
      <c r="A1906" s="4" t="s">
        <v>3104</v>
      </c>
      <c r="B1906" s="5">
        <v>45321</v>
      </c>
      <c r="C1906" t="s">
        <v>73</v>
      </c>
      <c r="D1906" t="s">
        <v>3270</v>
      </c>
      <c r="E1906" t="s">
        <v>47</v>
      </c>
      <c r="F1906" t="s">
        <v>3205</v>
      </c>
      <c r="G1906" t="s">
        <v>48</v>
      </c>
      <c r="H1906" t="str">
        <f>VLOOKUP(Table1[[#This Row],[City]],Table6[#All],2,FALSE)</f>
        <v>North</v>
      </c>
      <c r="I1906" t="s">
        <v>3204</v>
      </c>
      <c r="J1906" t="str">
        <f>_xlfn.XLOOKUP(Table1[[#This Row],[Tractor Model]],Table7[Product Model],Table7[Product Category],"Not Available",0)</f>
        <v>Kubota</v>
      </c>
      <c r="K1906" s="4">
        <v>4</v>
      </c>
      <c r="L1906" s="72">
        <v>169420</v>
      </c>
      <c r="M1906" s="4">
        <f>INDEX('Master Sheet'!$C$4:$C$12,MATCH(Table1[[#This Row],[Quantity]],'Master Sheet'!$B$4:$B$12,0))</f>
        <v>6</v>
      </c>
      <c r="N1906" s="71">
        <f>Table1[[#This Row],[Quantity]]*Table1[[#This Row],[Unit Price]]</f>
        <v>677680</v>
      </c>
      <c r="O1906" s="73">
        <v>6.7767999999999995E-2</v>
      </c>
      <c r="P1906" s="70">
        <f>Table1[[#This Row],[Gross Amount]]*(1-(Table1[[#This Row],[Discount %]]/100))</f>
        <v>637019.19999999995</v>
      </c>
      <c r="Q1906" s="74">
        <f>(Table1[[#This Row],[Gross Amount]]*(1-(Table1[[#This Row],[Discount %]]/100)))/10000000</f>
        <v>6.3701919999999995E-2</v>
      </c>
      <c r="R1906" t="s">
        <v>42</v>
      </c>
      <c r="S1906" t="str" cm="1">
        <f t="array" ref="S1906">IFERROR(_xlfn.IFS(Table1[[#This Row],[Payment Status]]="Partial","In Transit",Table1[[#This Row],[Payment Status]]="Paid","Delivered",Table1[[#This Row],[Payment Status]]="Pending","Pending"),"Invalid Input")</f>
        <v>Pending</v>
      </c>
      <c r="T1906" t="s">
        <v>44</v>
      </c>
      <c r="U1906" t="str" cm="1">
        <f t="array" ref="U1906">IFERROR(_xlfn.IFS(Table1[[#This Row],[Payment Status]]="Partial","In Transit",Table1[[#This Row],[Payment Status]]="Paid","Completed",Table1[[#This Row],[Payment Status]]="Pending","Pending"),"Invalid Input")</f>
        <v>Pending</v>
      </c>
    </row>
    <row r="1907" spans="1:21" x14ac:dyDescent="0.25">
      <c r="A1907" s="4" t="s">
        <v>3105</v>
      </c>
      <c r="B1907" s="5">
        <v>45514</v>
      </c>
      <c r="C1907" t="s">
        <v>52</v>
      </c>
      <c r="D1907" t="s">
        <v>37</v>
      </c>
      <c r="E1907" t="s">
        <v>66</v>
      </c>
      <c r="F1907" t="s">
        <v>3226</v>
      </c>
      <c r="G1907" t="s">
        <v>67</v>
      </c>
      <c r="H1907" t="str">
        <f>VLOOKUP(Table1[[#This Row],[City]],Table6[#All],2,FALSE)</f>
        <v>East</v>
      </c>
      <c r="I1907" t="s">
        <v>3203</v>
      </c>
      <c r="J1907" t="str">
        <f>_xlfn.XLOOKUP(Table1[[#This Row],[Tractor Model]],Table7[Product Model],Table7[Product Category],"Not Available",0)</f>
        <v>Kubota</v>
      </c>
      <c r="K1907" s="4">
        <v>3</v>
      </c>
      <c r="L1907" s="72">
        <v>806055</v>
      </c>
      <c r="M1907" s="4">
        <f>INDEX('Master Sheet'!$C$4:$C$12,MATCH(Table1[[#This Row],[Quantity]],'Master Sheet'!$B$4:$B$12,0))</f>
        <v>6</v>
      </c>
      <c r="N1907" s="71">
        <f>Table1[[#This Row],[Quantity]]*Table1[[#This Row],[Unit Price]]</f>
        <v>2418165</v>
      </c>
      <c r="O1907" s="73">
        <v>0.24181649999999999</v>
      </c>
      <c r="P1907" s="70">
        <f>Table1[[#This Row],[Gross Amount]]*(1-(Table1[[#This Row],[Discount %]]/100))</f>
        <v>2273075.1</v>
      </c>
      <c r="Q1907" s="74">
        <f>(Table1[[#This Row],[Gross Amount]]*(1-(Table1[[#This Row],[Discount %]]/100)))/10000000</f>
        <v>0.22730751000000002</v>
      </c>
      <c r="R1907" t="s">
        <v>42</v>
      </c>
      <c r="S1907" t="str" cm="1">
        <f t="array" ref="S1907">IFERROR(_xlfn.IFS(Table1[[#This Row],[Payment Status]]="Partial","In Transit",Table1[[#This Row],[Payment Status]]="Paid","Delivered",Table1[[#This Row],[Payment Status]]="Pending","Pending"),"Invalid Input")</f>
        <v>Pending</v>
      </c>
      <c r="T1907" t="s">
        <v>27</v>
      </c>
      <c r="U1907" t="str" cm="1">
        <f t="array" ref="U1907">IFERROR(_xlfn.IFS(Table1[[#This Row],[Payment Status]]="Partial","In Transit",Table1[[#This Row],[Payment Status]]="Paid","Completed",Table1[[#This Row],[Payment Status]]="Pending","Pending"),"Invalid Input")</f>
        <v>Pending</v>
      </c>
    </row>
    <row r="1908" spans="1:21" x14ac:dyDescent="0.25">
      <c r="A1908" s="4" t="s">
        <v>3106</v>
      </c>
      <c r="B1908" s="5">
        <v>45367</v>
      </c>
      <c r="C1908" t="s">
        <v>33</v>
      </c>
      <c r="D1908" t="s">
        <v>37</v>
      </c>
      <c r="E1908" t="s">
        <v>66</v>
      </c>
      <c r="F1908" t="s">
        <v>3226</v>
      </c>
      <c r="G1908" t="s">
        <v>67</v>
      </c>
      <c r="H1908" t="str">
        <f>VLOOKUP(Table1[[#This Row],[City]],Table6[#All],2,FALSE)</f>
        <v>East</v>
      </c>
      <c r="I1908" t="s">
        <v>3203</v>
      </c>
      <c r="J1908" t="str">
        <f>_xlfn.XLOOKUP(Table1[[#This Row],[Tractor Model]],Table7[Product Model],Table7[Product Category],"Not Available",0)</f>
        <v>Kubota</v>
      </c>
      <c r="K1908" s="4">
        <v>5</v>
      </c>
      <c r="L1908" s="72">
        <v>668258</v>
      </c>
      <c r="M1908" s="4">
        <f>INDEX('Master Sheet'!$C$4:$C$12,MATCH(Table1[[#This Row],[Quantity]],'Master Sheet'!$B$4:$B$12,0))</f>
        <v>7</v>
      </c>
      <c r="N1908" s="71">
        <f>Table1[[#This Row],[Quantity]]*Table1[[#This Row],[Unit Price]]</f>
        <v>3341290</v>
      </c>
      <c r="O1908" s="73">
        <v>0.33412900000000001</v>
      </c>
      <c r="P1908" s="70">
        <f>Table1[[#This Row],[Gross Amount]]*(1-(Table1[[#This Row],[Discount %]]/100))</f>
        <v>3107399.6999999997</v>
      </c>
      <c r="Q1908" s="74">
        <f>(Table1[[#This Row],[Gross Amount]]*(1-(Table1[[#This Row],[Discount %]]/100)))/10000000</f>
        <v>0.31073996999999998</v>
      </c>
      <c r="R1908" t="s">
        <v>25</v>
      </c>
      <c r="S1908" t="str" cm="1">
        <f t="array" ref="S1908">IFERROR(_xlfn.IFS(Table1[[#This Row],[Payment Status]]="Partial","In Transit",Table1[[#This Row],[Payment Status]]="Paid","Delivered",Table1[[#This Row],[Payment Status]]="Pending","Pending"),"Invalid Input")</f>
        <v>In Transit</v>
      </c>
      <c r="T1908" t="s">
        <v>44</v>
      </c>
      <c r="U1908" t="str" cm="1">
        <f t="array" ref="U1908">IFERROR(_xlfn.IFS(Table1[[#This Row],[Payment Status]]="Partial","In Transit",Table1[[#This Row],[Payment Status]]="Paid","Completed",Table1[[#This Row],[Payment Status]]="Pending","Pending"),"Invalid Input")</f>
        <v>In Transit</v>
      </c>
    </row>
    <row r="1909" spans="1:21" x14ac:dyDescent="0.25">
      <c r="A1909" s="4" t="s">
        <v>3107</v>
      </c>
      <c r="B1909" s="5">
        <v>45552</v>
      </c>
      <c r="C1909" t="s">
        <v>41</v>
      </c>
      <c r="D1909" t="s">
        <v>3268</v>
      </c>
      <c r="E1909" t="s">
        <v>38</v>
      </c>
      <c r="F1909" t="s">
        <v>3219</v>
      </c>
      <c r="G1909" t="s">
        <v>39</v>
      </c>
      <c r="H1909" t="str">
        <f>VLOOKUP(Table1[[#This Row],[City]],Table6[#All],2,FALSE)</f>
        <v>West</v>
      </c>
      <c r="I1909" t="s">
        <v>58</v>
      </c>
      <c r="J1909" t="str">
        <f>_xlfn.XLOOKUP(Table1[[#This Row],[Tractor Model]],Table7[Product Model],Table7[Product Category],"Not Available",0)</f>
        <v>Powertrac</v>
      </c>
      <c r="K1909" s="4">
        <v>1</v>
      </c>
      <c r="L1909" s="72">
        <v>68181</v>
      </c>
      <c r="M1909" s="4">
        <f>INDEX('Master Sheet'!$C$4:$C$12,MATCH(Table1[[#This Row],[Quantity]],'Master Sheet'!$B$4:$B$12,0))</f>
        <v>3</v>
      </c>
      <c r="N1909" s="71">
        <f>Table1[[#This Row],[Quantity]]*Table1[[#This Row],[Unit Price]]</f>
        <v>68181</v>
      </c>
      <c r="O1909" s="73">
        <v>6.8180999999999997E-3</v>
      </c>
      <c r="P1909" s="70">
        <f>Table1[[#This Row],[Gross Amount]]*(1-(Table1[[#This Row],[Discount %]]/100))</f>
        <v>66135.569999999992</v>
      </c>
      <c r="Q1909" s="74">
        <f>(Table1[[#This Row],[Gross Amount]]*(1-(Table1[[#This Row],[Discount %]]/100)))/10000000</f>
        <v>6.6135569999999991E-3</v>
      </c>
      <c r="R1909" t="s">
        <v>25</v>
      </c>
      <c r="S1909" t="str" cm="1">
        <f t="array" ref="S1909">IFERROR(_xlfn.IFS(Table1[[#This Row],[Payment Status]]="Partial","In Transit",Table1[[#This Row],[Payment Status]]="Paid","Delivered",Table1[[#This Row],[Payment Status]]="Pending","Pending"),"Invalid Input")</f>
        <v>In Transit</v>
      </c>
      <c r="T1909" t="s">
        <v>44</v>
      </c>
      <c r="U1909" t="str" cm="1">
        <f t="array" ref="U1909">IFERROR(_xlfn.IFS(Table1[[#This Row],[Payment Status]]="Partial","In Transit",Table1[[#This Row],[Payment Status]]="Paid","Completed",Table1[[#This Row],[Payment Status]]="Pending","Pending"),"Invalid Input")</f>
        <v>In Transit</v>
      </c>
    </row>
    <row r="1910" spans="1:21" x14ac:dyDescent="0.25">
      <c r="A1910" s="4" t="s">
        <v>3109</v>
      </c>
      <c r="B1910" s="5">
        <v>45627</v>
      </c>
      <c r="C1910" t="s">
        <v>33</v>
      </c>
      <c r="D1910" t="s">
        <v>3268</v>
      </c>
      <c r="E1910" t="s">
        <v>119</v>
      </c>
      <c r="F1910" t="s">
        <v>3227</v>
      </c>
      <c r="G1910" t="s">
        <v>21</v>
      </c>
      <c r="H1910" t="str">
        <f>VLOOKUP(Table1[[#This Row],[City]],Table6[#All],2,FALSE)</f>
        <v>North</v>
      </c>
      <c r="I1910" t="s">
        <v>58</v>
      </c>
      <c r="J1910" t="str">
        <f>_xlfn.XLOOKUP(Table1[[#This Row],[Tractor Model]],Table7[Product Model],Table7[Product Category],"Not Available",0)</f>
        <v>Powertrac</v>
      </c>
      <c r="K1910" s="4">
        <v>8</v>
      </c>
      <c r="L1910" s="72">
        <v>446468</v>
      </c>
      <c r="M1910" s="4">
        <f>INDEX('Master Sheet'!$C$4:$C$12,MATCH(Table1[[#This Row],[Quantity]],'Master Sheet'!$B$4:$B$12,0))</f>
        <v>9</v>
      </c>
      <c r="N1910" s="71">
        <f>Table1[[#This Row],[Quantity]]*Table1[[#This Row],[Unit Price]]</f>
        <v>3571744</v>
      </c>
      <c r="O1910" s="73">
        <v>0.3571744</v>
      </c>
      <c r="P1910" s="70">
        <f>Table1[[#This Row],[Gross Amount]]*(1-(Table1[[#This Row],[Discount %]]/100))</f>
        <v>3250287.04</v>
      </c>
      <c r="Q1910" s="74">
        <f>(Table1[[#This Row],[Gross Amount]]*(1-(Table1[[#This Row],[Discount %]]/100)))/10000000</f>
        <v>0.325028704</v>
      </c>
      <c r="R1910" t="s">
        <v>54</v>
      </c>
      <c r="S1910" t="str" cm="1">
        <f t="array" ref="S1910">IFERROR(_xlfn.IFS(Table1[[#This Row],[Payment Status]]="Partial","In Transit",Table1[[#This Row],[Payment Status]]="Paid","Delivered",Table1[[#This Row],[Payment Status]]="Pending","Pending"),"Invalid Input")</f>
        <v>Delivered</v>
      </c>
      <c r="T1910" t="s">
        <v>27</v>
      </c>
      <c r="U1910" t="str" cm="1">
        <f t="array" ref="U1910">IFERROR(_xlfn.IFS(Table1[[#This Row],[Payment Status]]="Partial","In Transit",Table1[[#This Row],[Payment Status]]="Paid","Completed",Table1[[#This Row],[Payment Status]]="Pending","Pending"),"Invalid Input")</f>
        <v>Completed</v>
      </c>
    </row>
    <row r="1911" spans="1:21" x14ac:dyDescent="0.25">
      <c r="A1911" s="4" t="s">
        <v>3110</v>
      </c>
      <c r="B1911" s="5">
        <v>45654</v>
      </c>
      <c r="C1911" t="s">
        <v>62</v>
      </c>
      <c r="D1911" t="s">
        <v>3270</v>
      </c>
      <c r="E1911" t="s">
        <v>66</v>
      </c>
      <c r="F1911" t="s">
        <v>3220</v>
      </c>
      <c r="G1911" t="s">
        <v>67</v>
      </c>
      <c r="H1911" t="str">
        <f>VLOOKUP(Table1[[#This Row],[City]],Table6[#All],2,FALSE)</f>
        <v>East</v>
      </c>
      <c r="I1911" t="s">
        <v>58</v>
      </c>
      <c r="J1911" t="str">
        <f>_xlfn.XLOOKUP(Table1[[#This Row],[Tractor Model]],Table7[Product Model],Table7[Product Category],"Not Available",0)</f>
        <v>Powertrac</v>
      </c>
      <c r="K1911" s="4">
        <v>8</v>
      </c>
      <c r="L1911" s="72">
        <v>870547</v>
      </c>
      <c r="M1911" s="4">
        <f>INDEX('Master Sheet'!$C$4:$C$12,MATCH(Table1[[#This Row],[Quantity]],'Master Sheet'!$B$4:$B$12,0))</f>
        <v>9</v>
      </c>
      <c r="N1911" s="71">
        <f>Table1[[#This Row],[Quantity]]*Table1[[#This Row],[Unit Price]]</f>
        <v>6964376</v>
      </c>
      <c r="O1911" s="73">
        <v>0.69643759999999999</v>
      </c>
      <c r="P1911" s="70">
        <f>Table1[[#This Row],[Gross Amount]]*(1-(Table1[[#This Row],[Discount %]]/100))</f>
        <v>6337582.1600000001</v>
      </c>
      <c r="Q1911" s="74">
        <f>(Table1[[#This Row],[Gross Amount]]*(1-(Table1[[#This Row],[Discount %]]/100)))/10000000</f>
        <v>0.63375821600000004</v>
      </c>
      <c r="R1911" t="s">
        <v>54</v>
      </c>
      <c r="S1911" t="str" cm="1">
        <f t="array" ref="S1911">IFERROR(_xlfn.IFS(Table1[[#This Row],[Payment Status]]="Partial","In Transit",Table1[[#This Row],[Payment Status]]="Paid","Delivered",Table1[[#This Row],[Payment Status]]="Pending","Pending"),"Invalid Input")</f>
        <v>Delivered</v>
      </c>
      <c r="T1911" t="s">
        <v>44</v>
      </c>
      <c r="U1911" t="str" cm="1">
        <f t="array" ref="U1911">IFERROR(_xlfn.IFS(Table1[[#This Row],[Payment Status]]="Partial","In Transit",Table1[[#This Row],[Payment Status]]="Paid","Completed",Table1[[#This Row],[Payment Status]]="Pending","Pending"),"Invalid Input")</f>
        <v>Completed</v>
      </c>
    </row>
    <row r="1912" spans="1:21" x14ac:dyDescent="0.25">
      <c r="A1912" s="4" t="s">
        <v>3112</v>
      </c>
      <c r="B1912" s="5">
        <v>45303</v>
      </c>
      <c r="C1912" t="s">
        <v>33</v>
      </c>
      <c r="D1912" t="s">
        <v>3269</v>
      </c>
      <c r="E1912" t="s">
        <v>119</v>
      </c>
      <c r="F1912" t="s">
        <v>3229</v>
      </c>
      <c r="G1912" t="s">
        <v>21</v>
      </c>
      <c r="H1912" t="str">
        <f>VLOOKUP(Table1[[#This Row],[City]],Table6[#All],2,FALSE)</f>
        <v>North</v>
      </c>
      <c r="I1912" t="s">
        <v>3204</v>
      </c>
      <c r="J1912" t="str">
        <f>_xlfn.XLOOKUP(Table1[[#This Row],[Tractor Model]],Table7[Product Model],Table7[Product Category],"Not Available",0)</f>
        <v>Kubota</v>
      </c>
      <c r="K1912" s="4">
        <v>5</v>
      </c>
      <c r="L1912" s="72">
        <v>290356</v>
      </c>
      <c r="M1912" s="4">
        <f>INDEX('Master Sheet'!$C$4:$C$12,MATCH(Table1[[#This Row],[Quantity]],'Master Sheet'!$B$4:$B$12,0))</f>
        <v>7</v>
      </c>
      <c r="N1912" s="71">
        <f>Table1[[#This Row],[Quantity]]*Table1[[#This Row],[Unit Price]]</f>
        <v>1451780</v>
      </c>
      <c r="O1912" s="73">
        <v>0.145178</v>
      </c>
      <c r="P1912" s="70">
        <f>Table1[[#This Row],[Gross Amount]]*(1-(Table1[[#This Row],[Discount %]]/100))</f>
        <v>1350155.4</v>
      </c>
      <c r="Q1912" s="74">
        <f>(Table1[[#This Row],[Gross Amount]]*(1-(Table1[[#This Row],[Discount %]]/100)))/10000000</f>
        <v>0.13501553999999999</v>
      </c>
      <c r="R1912" t="s">
        <v>25</v>
      </c>
      <c r="S1912" t="str" cm="1">
        <f t="array" ref="S1912">IFERROR(_xlfn.IFS(Table1[[#This Row],[Payment Status]]="Partial","In Transit",Table1[[#This Row],[Payment Status]]="Paid","Delivered",Table1[[#This Row],[Payment Status]]="Pending","Pending"),"Invalid Input")</f>
        <v>In Transit</v>
      </c>
      <c r="T1912" t="s">
        <v>27</v>
      </c>
      <c r="U1912" t="str" cm="1">
        <f t="array" ref="U1912">IFERROR(_xlfn.IFS(Table1[[#This Row],[Payment Status]]="Partial","In Transit",Table1[[#This Row],[Payment Status]]="Paid","Completed",Table1[[#This Row],[Payment Status]]="Pending","Pending"),"Invalid Input")</f>
        <v>In Transit</v>
      </c>
    </row>
    <row r="1913" spans="1:21" x14ac:dyDescent="0.25">
      <c r="A1913" s="4" t="s">
        <v>3113</v>
      </c>
      <c r="B1913" s="5">
        <v>45810</v>
      </c>
      <c r="C1913" t="s">
        <v>62</v>
      </c>
      <c r="D1913" t="s">
        <v>3268</v>
      </c>
      <c r="E1913" t="s">
        <v>66</v>
      </c>
      <c r="F1913" t="s">
        <v>3211</v>
      </c>
      <c r="G1913" t="s">
        <v>67</v>
      </c>
      <c r="H1913" t="str">
        <f>VLOOKUP(Table1[[#This Row],[City]],Table6[#All],2,FALSE)</f>
        <v>East</v>
      </c>
      <c r="I1913" t="s">
        <v>24</v>
      </c>
      <c r="J1913" t="str">
        <f>_xlfn.XLOOKUP(Table1[[#This Row],[Tractor Model]],Table7[Product Model],Table7[Product Category],"Not Available",0)</f>
        <v>Farmtrac</v>
      </c>
      <c r="K1913" s="4">
        <v>7</v>
      </c>
      <c r="L1913" s="72">
        <v>404697</v>
      </c>
      <c r="M1913" s="4">
        <f>INDEX('Master Sheet'!$C$4:$C$12,MATCH(Table1[[#This Row],[Quantity]],'Master Sheet'!$B$4:$B$12,0))</f>
        <v>9</v>
      </c>
      <c r="N1913" s="71">
        <f>Table1[[#This Row],[Quantity]]*Table1[[#This Row],[Unit Price]]</f>
        <v>2832879</v>
      </c>
      <c r="O1913" s="73">
        <v>0.28328789999999998</v>
      </c>
      <c r="P1913" s="70">
        <f>Table1[[#This Row],[Gross Amount]]*(1-(Table1[[#This Row],[Discount %]]/100))</f>
        <v>2577919.89</v>
      </c>
      <c r="Q1913" s="74">
        <f>(Table1[[#This Row],[Gross Amount]]*(1-(Table1[[#This Row],[Discount %]]/100)))/10000000</f>
        <v>0.257791989</v>
      </c>
      <c r="R1913" t="s">
        <v>54</v>
      </c>
      <c r="S1913" t="str" cm="1">
        <f t="array" ref="S1913">IFERROR(_xlfn.IFS(Table1[[#This Row],[Payment Status]]="Partial","In Transit",Table1[[#This Row],[Payment Status]]="Paid","Delivered",Table1[[#This Row],[Payment Status]]="Pending","Pending"),"Invalid Input")</f>
        <v>Delivered</v>
      </c>
      <c r="T1913" t="s">
        <v>27</v>
      </c>
      <c r="U1913" t="str" cm="1">
        <f t="array" ref="U1913">IFERROR(_xlfn.IFS(Table1[[#This Row],[Payment Status]]="Partial","In Transit",Table1[[#This Row],[Payment Status]]="Paid","Completed",Table1[[#This Row],[Payment Status]]="Pending","Pending"),"Invalid Input")</f>
        <v>Completed</v>
      </c>
    </row>
    <row r="1914" spans="1:21" x14ac:dyDescent="0.25">
      <c r="A1914" s="4" t="s">
        <v>3115</v>
      </c>
      <c r="B1914" s="5">
        <v>45515</v>
      </c>
      <c r="C1914" t="s">
        <v>41</v>
      </c>
      <c r="D1914" t="s">
        <v>3268</v>
      </c>
      <c r="E1914" t="s">
        <v>66</v>
      </c>
      <c r="F1914" t="s">
        <v>3211</v>
      </c>
      <c r="G1914" t="s">
        <v>67</v>
      </c>
      <c r="H1914" t="str">
        <f>VLOOKUP(Table1[[#This Row],[City]],Table6[#All],2,FALSE)</f>
        <v>East</v>
      </c>
      <c r="I1914" t="s">
        <v>53</v>
      </c>
      <c r="J1914" t="str">
        <f>_xlfn.XLOOKUP(Table1[[#This Row],[Tractor Model]],Table7[Product Model],Table7[Product Category],"Not Available",0)</f>
        <v>Farmtrac</v>
      </c>
      <c r="K1914" s="4">
        <v>3</v>
      </c>
      <c r="L1914" s="72">
        <v>556074</v>
      </c>
      <c r="M1914" s="4">
        <f>INDEX('Master Sheet'!$C$4:$C$12,MATCH(Table1[[#This Row],[Quantity]],'Master Sheet'!$B$4:$B$12,0))</f>
        <v>6</v>
      </c>
      <c r="N1914" s="71">
        <f>Table1[[#This Row],[Quantity]]*Table1[[#This Row],[Unit Price]]</f>
        <v>1668222</v>
      </c>
      <c r="O1914" s="73">
        <v>0.1668222</v>
      </c>
      <c r="P1914" s="70">
        <f>Table1[[#This Row],[Gross Amount]]*(1-(Table1[[#This Row],[Discount %]]/100))</f>
        <v>1568128.68</v>
      </c>
      <c r="Q1914" s="74">
        <f>(Table1[[#This Row],[Gross Amount]]*(1-(Table1[[#This Row],[Discount %]]/100)))/10000000</f>
        <v>0.15681286799999999</v>
      </c>
      <c r="R1914" t="s">
        <v>54</v>
      </c>
      <c r="S1914" t="str" cm="1">
        <f t="array" ref="S1914">IFERROR(_xlfn.IFS(Table1[[#This Row],[Payment Status]]="Partial","In Transit",Table1[[#This Row],[Payment Status]]="Paid","Delivered",Table1[[#This Row],[Payment Status]]="Pending","Pending"),"Invalid Input")</f>
        <v>Delivered</v>
      </c>
      <c r="T1914" t="s">
        <v>27</v>
      </c>
      <c r="U1914" t="str" cm="1">
        <f t="array" ref="U1914">IFERROR(_xlfn.IFS(Table1[[#This Row],[Payment Status]]="Partial","In Transit",Table1[[#This Row],[Payment Status]]="Paid","Completed",Table1[[#This Row],[Payment Status]]="Pending","Pending"),"Invalid Input")</f>
        <v>Completed</v>
      </c>
    </row>
    <row r="1915" spans="1:21" x14ac:dyDescent="0.25">
      <c r="A1915" s="4" t="s">
        <v>3117</v>
      </c>
      <c r="B1915" s="5">
        <v>45403</v>
      </c>
      <c r="C1915" t="s">
        <v>33</v>
      </c>
      <c r="D1915" t="s">
        <v>3271</v>
      </c>
      <c r="E1915" t="s">
        <v>119</v>
      </c>
      <c r="F1915" t="s">
        <v>3228</v>
      </c>
      <c r="G1915" t="s">
        <v>21</v>
      </c>
      <c r="H1915" t="str">
        <f>VLOOKUP(Table1[[#This Row],[City]],Table6[#All],2,FALSE)</f>
        <v>North</v>
      </c>
      <c r="I1915" t="s">
        <v>3204</v>
      </c>
      <c r="J1915" t="str">
        <f>_xlfn.XLOOKUP(Table1[[#This Row],[Tractor Model]],Table7[Product Model],Table7[Product Category],"Not Available",0)</f>
        <v>Kubota</v>
      </c>
      <c r="K1915" s="4">
        <v>5</v>
      </c>
      <c r="L1915" s="72">
        <v>424993</v>
      </c>
      <c r="M1915" s="4">
        <f>INDEX('Master Sheet'!$C$4:$C$12,MATCH(Table1[[#This Row],[Quantity]],'Master Sheet'!$B$4:$B$12,0))</f>
        <v>7</v>
      </c>
      <c r="N1915" s="71">
        <f>Table1[[#This Row],[Quantity]]*Table1[[#This Row],[Unit Price]]</f>
        <v>2124965</v>
      </c>
      <c r="O1915" s="73">
        <v>0.2124965</v>
      </c>
      <c r="P1915" s="70">
        <f>Table1[[#This Row],[Gross Amount]]*(1-(Table1[[#This Row],[Discount %]]/100))</f>
        <v>1976217.45</v>
      </c>
      <c r="Q1915" s="74">
        <f>(Table1[[#This Row],[Gross Amount]]*(1-(Table1[[#This Row],[Discount %]]/100)))/10000000</f>
        <v>0.19762174499999999</v>
      </c>
      <c r="R1915" t="s">
        <v>25</v>
      </c>
      <c r="S1915" t="str" cm="1">
        <f t="array" ref="S1915">IFERROR(_xlfn.IFS(Table1[[#This Row],[Payment Status]]="Partial","In Transit",Table1[[#This Row],[Payment Status]]="Paid","Delivered",Table1[[#This Row],[Payment Status]]="Pending","Pending"),"Invalid Input")</f>
        <v>In Transit</v>
      </c>
      <c r="T1915" t="s">
        <v>27</v>
      </c>
      <c r="U1915" t="str" cm="1">
        <f t="array" ref="U1915">IFERROR(_xlfn.IFS(Table1[[#This Row],[Payment Status]]="Partial","In Transit",Table1[[#This Row],[Payment Status]]="Paid","Completed",Table1[[#This Row],[Payment Status]]="Pending","Pending"),"Invalid Input")</f>
        <v>In Transit</v>
      </c>
    </row>
    <row r="1916" spans="1:21" x14ac:dyDescent="0.25">
      <c r="A1916" s="4" t="s">
        <v>3118</v>
      </c>
      <c r="B1916" s="5">
        <v>45522</v>
      </c>
      <c r="C1916" t="s">
        <v>73</v>
      </c>
      <c r="D1916" t="s">
        <v>3269</v>
      </c>
      <c r="E1916" t="s">
        <v>47</v>
      </c>
      <c r="F1916" t="s">
        <v>3209</v>
      </c>
      <c r="G1916" t="s">
        <v>48</v>
      </c>
      <c r="H1916" t="str">
        <f>VLOOKUP(Table1[[#This Row],[City]],Table6[#All],2,FALSE)</f>
        <v>North</v>
      </c>
      <c r="I1916" t="s">
        <v>3204</v>
      </c>
      <c r="J1916" t="str">
        <f>_xlfn.XLOOKUP(Table1[[#This Row],[Tractor Model]],Table7[Product Model],Table7[Product Category],"Not Available",0)</f>
        <v>Kubota</v>
      </c>
      <c r="K1916" s="4">
        <v>1</v>
      </c>
      <c r="L1916" s="72">
        <v>224113</v>
      </c>
      <c r="M1916" s="4">
        <f>INDEX('Master Sheet'!$C$4:$C$12,MATCH(Table1[[#This Row],[Quantity]],'Master Sheet'!$B$4:$B$12,0))</f>
        <v>3</v>
      </c>
      <c r="N1916" s="71">
        <f>Table1[[#This Row],[Quantity]]*Table1[[#This Row],[Unit Price]]</f>
        <v>224113</v>
      </c>
      <c r="O1916" s="73">
        <v>2.2411299999999999E-2</v>
      </c>
      <c r="P1916" s="70">
        <f>Table1[[#This Row],[Gross Amount]]*(1-(Table1[[#This Row],[Discount %]]/100))</f>
        <v>217389.61</v>
      </c>
      <c r="Q1916" s="74">
        <f>(Table1[[#This Row],[Gross Amount]]*(1-(Table1[[#This Row],[Discount %]]/100)))/10000000</f>
        <v>2.1738960999999998E-2</v>
      </c>
      <c r="R1916" t="s">
        <v>42</v>
      </c>
      <c r="S1916" t="str" cm="1">
        <f t="array" ref="S1916">IFERROR(_xlfn.IFS(Table1[[#This Row],[Payment Status]]="Partial","In Transit",Table1[[#This Row],[Payment Status]]="Paid","Delivered",Table1[[#This Row],[Payment Status]]="Pending","Pending"),"Invalid Input")</f>
        <v>Pending</v>
      </c>
      <c r="T1916" t="s">
        <v>44</v>
      </c>
      <c r="U1916" t="str" cm="1">
        <f t="array" ref="U1916">IFERROR(_xlfn.IFS(Table1[[#This Row],[Payment Status]]="Partial","In Transit",Table1[[#This Row],[Payment Status]]="Paid","Completed",Table1[[#This Row],[Payment Status]]="Pending","Pending"),"Invalid Input")</f>
        <v>Pending</v>
      </c>
    </row>
    <row r="1917" spans="1:21" x14ac:dyDescent="0.25">
      <c r="A1917" s="4" t="s">
        <v>3119</v>
      </c>
      <c r="B1917" s="5">
        <v>45468</v>
      </c>
      <c r="C1917" t="s">
        <v>33</v>
      </c>
      <c r="D1917" t="s">
        <v>3269</v>
      </c>
      <c r="E1917" t="s">
        <v>119</v>
      </c>
      <c r="F1917" t="s">
        <v>3229</v>
      </c>
      <c r="G1917" t="s">
        <v>21</v>
      </c>
      <c r="H1917" t="str">
        <f>VLOOKUP(Table1[[#This Row],[City]],Table6[#All],2,FALSE)</f>
        <v>North</v>
      </c>
      <c r="I1917" t="s">
        <v>3204</v>
      </c>
      <c r="J1917" t="str">
        <f>_xlfn.XLOOKUP(Table1[[#This Row],[Tractor Model]],Table7[Product Model],Table7[Product Category],"Not Available",0)</f>
        <v>Kubota</v>
      </c>
      <c r="K1917" s="4">
        <v>6</v>
      </c>
      <c r="L1917" s="72">
        <v>695922</v>
      </c>
      <c r="M1917" s="4">
        <f>INDEX('Master Sheet'!$C$4:$C$12,MATCH(Table1[[#This Row],[Quantity]],'Master Sheet'!$B$4:$B$12,0))</f>
        <v>8</v>
      </c>
      <c r="N1917" s="71">
        <f>Table1[[#This Row],[Quantity]]*Table1[[#This Row],[Unit Price]]</f>
        <v>4175532</v>
      </c>
      <c r="O1917" s="73">
        <v>0.41755320000000001</v>
      </c>
      <c r="P1917" s="70">
        <f>Table1[[#This Row],[Gross Amount]]*(1-(Table1[[#This Row],[Discount %]]/100))</f>
        <v>3841489.44</v>
      </c>
      <c r="Q1917" s="74">
        <f>(Table1[[#This Row],[Gross Amount]]*(1-(Table1[[#This Row],[Discount %]]/100)))/10000000</f>
        <v>0.38414894399999999</v>
      </c>
      <c r="R1917" t="s">
        <v>42</v>
      </c>
      <c r="S1917" t="str" cm="1">
        <f t="array" ref="S1917">IFERROR(_xlfn.IFS(Table1[[#This Row],[Payment Status]]="Partial","In Transit",Table1[[#This Row],[Payment Status]]="Paid","Delivered",Table1[[#This Row],[Payment Status]]="Pending","Pending"),"Invalid Input")</f>
        <v>Pending</v>
      </c>
      <c r="T1917" t="s">
        <v>44</v>
      </c>
      <c r="U1917" t="str" cm="1">
        <f t="array" ref="U1917">IFERROR(_xlfn.IFS(Table1[[#This Row],[Payment Status]]="Partial","In Transit",Table1[[#This Row],[Payment Status]]="Paid","Completed",Table1[[#This Row],[Payment Status]]="Pending","Pending"),"Invalid Input")</f>
        <v>Pending</v>
      </c>
    </row>
    <row r="1918" spans="1:21" x14ac:dyDescent="0.25">
      <c r="A1918" s="4" t="s">
        <v>3121</v>
      </c>
      <c r="B1918" s="5">
        <v>45747</v>
      </c>
      <c r="C1918" t="s">
        <v>73</v>
      </c>
      <c r="D1918" t="s">
        <v>3271</v>
      </c>
      <c r="E1918" t="s">
        <v>38</v>
      </c>
      <c r="F1918" t="s">
        <v>3210</v>
      </c>
      <c r="G1918" t="s">
        <v>39</v>
      </c>
      <c r="H1918" t="str">
        <f>VLOOKUP(Table1[[#This Row],[City]],Table6[#All],2,FALSE)</f>
        <v>West</v>
      </c>
      <c r="I1918" t="s">
        <v>53</v>
      </c>
      <c r="J1918" t="str">
        <f>_xlfn.XLOOKUP(Table1[[#This Row],[Tractor Model]],Table7[Product Model],Table7[Product Category],"Not Available",0)</f>
        <v>Farmtrac</v>
      </c>
      <c r="K1918" s="4">
        <v>3</v>
      </c>
      <c r="L1918" s="72">
        <v>794955</v>
      </c>
      <c r="M1918" s="4">
        <f>INDEX('Master Sheet'!$C$4:$C$12,MATCH(Table1[[#This Row],[Quantity]],'Master Sheet'!$B$4:$B$12,0))</f>
        <v>6</v>
      </c>
      <c r="N1918" s="71">
        <f>Table1[[#This Row],[Quantity]]*Table1[[#This Row],[Unit Price]]</f>
        <v>2384865</v>
      </c>
      <c r="O1918" s="73">
        <v>0.23848649999999999</v>
      </c>
      <c r="P1918" s="70">
        <f>Table1[[#This Row],[Gross Amount]]*(1-(Table1[[#This Row],[Discount %]]/100))</f>
        <v>2241773.1</v>
      </c>
      <c r="Q1918" s="74">
        <f>(Table1[[#This Row],[Gross Amount]]*(1-(Table1[[#This Row],[Discount %]]/100)))/10000000</f>
        <v>0.22417731000000002</v>
      </c>
      <c r="R1918" t="s">
        <v>54</v>
      </c>
      <c r="S1918" t="str" cm="1">
        <f t="array" ref="S1918">IFERROR(_xlfn.IFS(Table1[[#This Row],[Payment Status]]="Partial","In Transit",Table1[[#This Row],[Payment Status]]="Paid","Delivered",Table1[[#This Row],[Payment Status]]="Pending","Pending"),"Invalid Input")</f>
        <v>Delivered</v>
      </c>
      <c r="T1918" t="s">
        <v>27</v>
      </c>
      <c r="U1918" t="str" cm="1">
        <f t="array" ref="U1918">IFERROR(_xlfn.IFS(Table1[[#This Row],[Payment Status]]="Partial","In Transit",Table1[[#This Row],[Payment Status]]="Paid","Completed",Table1[[#This Row],[Payment Status]]="Pending","Pending"),"Invalid Input")</f>
        <v>Completed</v>
      </c>
    </row>
    <row r="1919" spans="1:21" x14ac:dyDescent="0.25">
      <c r="A1919" s="4" t="s">
        <v>3122</v>
      </c>
      <c r="B1919" s="5">
        <v>45445</v>
      </c>
      <c r="C1919" t="s">
        <v>33</v>
      </c>
      <c r="D1919" t="s">
        <v>3268</v>
      </c>
      <c r="E1919" t="s">
        <v>30</v>
      </c>
      <c r="F1919" t="s">
        <v>3208</v>
      </c>
      <c r="G1919" t="s">
        <v>31</v>
      </c>
      <c r="H1919" t="str">
        <f>VLOOKUP(Table1[[#This Row],[City]],Table6[#All],2,FALSE)</f>
        <v>South</v>
      </c>
      <c r="I1919" t="s">
        <v>24</v>
      </c>
      <c r="J1919" t="str">
        <f>_xlfn.XLOOKUP(Table1[[#This Row],[Tractor Model]],Table7[Product Model],Table7[Product Category],"Not Available",0)</f>
        <v>Farmtrac</v>
      </c>
      <c r="K1919" s="4">
        <v>2</v>
      </c>
      <c r="L1919" s="72">
        <v>383761</v>
      </c>
      <c r="M1919" s="4">
        <f>INDEX('Master Sheet'!$C$4:$C$12,MATCH(Table1[[#This Row],[Quantity]],'Master Sheet'!$B$4:$B$12,0))</f>
        <v>5</v>
      </c>
      <c r="N1919" s="71">
        <f>Table1[[#This Row],[Quantity]]*Table1[[#This Row],[Unit Price]]</f>
        <v>767522</v>
      </c>
      <c r="O1919" s="73">
        <v>7.6752200000000007E-2</v>
      </c>
      <c r="P1919" s="70">
        <f>Table1[[#This Row],[Gross Amount]]*(1-(Table1[[#This Row],[Discount %]]/100))</f>
        <v>729145.9</v>
      </c>
      <c r="Q1919" s="74">
        <f>(Table1[[#This Row],[Gross Amount]]*(1-(Table1[[#This Row],[Discount %]]/100)))/10000000</f>
        <v>7.2914590000000001E-2</v>
      </c>
      <c r="R1919" t="s">
        <v>42</v>
      </c>
      <c r="S1919" t="str" cm="1">
        <f t="array" ref="S1919">IFERROR(_xlfn.IFS(Table1[[#This Row],[Payment Status]]="Partial","In Transit",Table1[[#This Row],[Payment Status]]="Paid","Delivered",Table1[[#This Row],[Payment Status]]="Pending","Pending"),"Invalid Input")</f>
        <v>Pending</v>
      </c>
      <c r="T1919" t="s">
        <v>27</v>
      </c>
      <c r="U1919" t="str" cm="1">
        <f t="array" ref="U1919">IFERROR(_xlfn.IFS(Table1[[#This Row],[Payment Status]]="Partial","In Transit",Table1[[#This Row],[Payment Status]]="Paid","Completed",Table1[[#This Row],[Payment Status]]="Pending","Pending"),"Invalid Input")</f>
        <v>Pending</v>
      </c>
    </row>
    <row r="1920" spans="1:21" x14ac:dyDescent="0.25">
      <c r="A1920" s="4" t="s">
        <v>3123</v>
      </c>
      <c r="B1920" s="5">
        <v>45589</v>
      </c>
      <c r="C1920" t="s">
        <v>41</v>
      </c>
      <c r="D1920" t="s">
        <v>37</v>
      </c>
      <c r="E1920" t="s">
        <v>47</v>
      </c>
      <c r="F1920" t="s">
        <v>3215</v>
      </c>
      <c r="G1920" t="s">
        <v>48</v>
      </c>
      <c r="H1920" t="str">
        <f>VLOOKUP(Table1[[#This Row],[City]],Table6[#All],2,FALSE)</f>
        <v>North</v>
      </c>
      <c r="I1920" t="s">
        <v>3203</v>
      </c>
      <c r="J1920" t="str">
        <f>_xlfn.XLOOKUP(Table1[[#This Row],[Tractor Model]],Table7[Product Model],Table7[Product Category],"Not Available",0)</f>
        <v>Kubota</v>
      </c>
      <c r="K1920" s="4">
        <v>3</v>
      </c>
      <c r="L1920" s="72">
        <v>602723</v>
      </c>
      <c r="M1920" s="4">
        <f>INDEX('Master Sheet'!$C$4:$C$12,MATCH(Table1[[#This Row],[Quantity]],'Master Sheet'!$B$4:$B$12,0))</f>
        <v>6</v>
      </c>
      <c r="N1920" s="71">
        <f>Table1[[#This Row],[Quantity]]*Table1[[#This Row],[Unit Price]]</f>
        <v>1808169</v>
      </c>
      <c r="O1920" s="73">
        <v>0.1808169</v>
      </c>
      <c r="P1920" s="70">
        <f>Table1[[#This Row],[Gross Amount]]*(1-(Table1[[#This Row],[Discount %]]/100))</f>
        <v>1699678.8599999999</v>
      </c>
      <c r="Q1920" s="74">
        <f>(Table1[[#This Row],[Gross Amount]]*(1-(Table1[[#This Row],[Discount %]]/100)))/10000000</f>
        <v>0.16996788599999998</v>
      </c>
      <c r="R1920" t="s">
        <v>42</v>
      </c>
      <c r="S1920" t="str" cm="1">
        <f t="array" ref="S1920">IFERROR(_xlfn.IFS(Table1[[#This Row],[Payment Status]]="Partial","In Transit",Table1[[#This Row],[Payment Status]]="Paid","Delivered",Table1[[#This Row],[Payment Status]]="Pending","Pending"),"Invalid Input")</f>
        <v>Pending</v>
      </c>
      <c r="T1920" t="s">
        <v>27</v>
      </c>
      <c r="U1920" t="str" cm="1">
        <f t="array" ref="U1920">IFERROR(_xlfn.IFS(Table1[[#This Row],[Payment Status]]="Partial","In Transit",Table1[[#This Row],[Payment Status]]="Paid","Completed",Table1[[#This Row],[Payment Status]]="Pending","Pending"),"Invalid Input")</f>
        <v>Pending</v>
      </c>
    </row>
    <row r="1921" spans="1:21" x14ac:dyDescent="0.25">
      <c r="A1921" s="4" t="s">
        <v>3124</v>
      </c>
      <c r="B1921" s="5">
        <v>45404</v>
      </c>
      <c r="C1921" t="s">
        <v>73</v>
      </c>
      <c r="D1921" t="s">
        <v>3270</v>
      </c>
      <c r="E1921" t="s">
        <v>66</v>
      </c>
      <c r="F1921" t="s">
        <v>3220</v>
      </c>
      <c r="G1921" t="s">
        <v>67</v>
      </c>
      <c r="H1921" t="str">
        <f>VLOOKUP(Table1[[#This Row],[City]],Table6[#All],2,FALSE)</f>
        <v>East</v>
      </c>
      <c r="I1921" t="s">
        <v>53</v>
      </c>
      <c r="J1921" t="str">
        <f>_xlfn.XLOOKUP(Table1[[#This Row],[Tractor Model]],Table7[Product Model],Table7[Product Category],"Not Available",0)</f>
        <v>Farmtrac</v>
      </c>
      <c r="K1921" s="4">
        <v>2</v>
      </c>
      <c r="L1921" s="72">
        <v>620512</v>
      </c>
      <c r="M1921" s="4">
        <f>INDEX('Master Sheet'!$C$4:$C$12,MATCH(Table1[[#This Row],[Quantity]],'Master Sheet'!$B$4:$B$12,0))</f>
        <v>5</v>
      </c>
      <c r="N1921" s="71">
        <f>Table1[[#This Row],[Quantity]]*Table1[[#This Row],[Unit Price]]</f>
        <v>1241024</v>
      </c>
      <c r="O1921" s="73">
        <v>0.1241024</v>
      </c>
      <c r="P1921" s="70">
        <f>Table1[[#This Row],[Gross Amount]]*(1-(Table1[[#This Row],[Discount %]]/100))</f>
        <v>1178972.8</v>
      </c>
      <c r="Q1921" s="74">
        <f>(Table1[[#This Row],[Gross Amount]]*(1-(Table1[[#This Row],[Discount %]]/100)))/10000000</f>
        <v>0.11789728000000001</v>
      </c>
      <c r="R1921" t="s">
        <v>42</v>
      </c>
      <c r="S1921" t="str" cm="1">
        <f t="array" ref="S1921">IFERROR(_xlfn.IFS(Table1[[#This Row],[Payment Status]]="Partial","In Transit",Table1[[#This Row],[Payment Status]]="Paid","Delivered",Table1[[#This Row],[Payment Status]]="Pending","Pending"),"Invalid Input")</f>
        <v>Pending</v>
      </c>
      <c r="T1921" t="s">
        <v>27</v>
      </c>
      <c r="U1921" t="str" cm="1">
        <f t="array" ref="U1921">IFERROR(_xlfn.IFS(Table1[[#This Row],[Payment Status]]="Partial","In Transit",Table1[[#This Row],[Payment Status]]="Paid","Completed",Table1[[#This Row],[Payment Status]]="Pending","Pending"),"Invalid Input")</f>
        <v>Pending</v>
      </c>
    </row>
    <row r="1922" spans="1:21" x14ac:dyDescent="0.25">
      <c r="A1922" s="4" t="s">
        <v>3125</v>
      </c>
      <c r="B1922" s="5">
        <v>45445</v>
      </c>
      <c r="C1922" t="s">
        <v>52</v>
      </c>
      <c r="D1922" t="s">
        <v>37</v>
      </c>
      <c r="E1922" t="s">
        <v>119</v>
      </c>
      <c r="F1922" t="s">
        <v>3224</v>
      </c>
      <c r="G1922" t="s">
        <v>21</v>
      </c>
      <c r="H1922" t="str">
        <f>VLOOKUP(Table1[[#This Row],[City]],Table6[#All],2,FALSE)</f>
        <v>North</v>
      </c>
      <c r="I1922" t="s">
        <v>53</v>
      </c>
      <c r="J1922" t="str">
        <f>_xlfn.XLOOKUP(Table1[[#This Row],[Tractor Model]],Table7[Product Model],Table7[Product Category],"Not Available",0)</f>
        <v>Farmtrac</v>
      </c>
      <c r="K1922" s="4">
        <v>2</v>
      </c>
      <c r="L1922" s="72">
        <v>853978</v>
      </c>
      <c r="M1922" s="4">
        <f>INDEX('Master Sheet'!$C$4:$C$12,MATCH(Table1[[#This Row],[Quantity]],'Master Sheet'!$B$4:$B$12,0))</f>
        <v>5</v>
      </c>
      <c r="N1922" s="71">
        <f>Table1[[#This Row],[Quantity]]*Table1[[#This Row],[Unit Price]]</f>
        <v>1707956</v>
      </c>
      <c r="O1922" s="73">
        <v>0.17079559999999999</v>
      </c>
      <c r="P1922" s="70">
        <f>Table1[[#This Row],[Gross Amount]]*(1-(Table1[[#This Row],[Discount %]]/100))</f>
        <v>1622558.2</v>
      </c>
      <c r="Q1922" s="74">
        <f>(Table1[[#This Row],[Gross Amount]]*(1-(Table1[[#This Row],[Discount %]]/100)))/10000000</f>
        <v>0.16225582</v>
      </c>
      <c r="R1922" t="s">
        <v>54</v>
      </c>
      <c r="S1922" t="str" cm="1">
        <f t="array" ref="S1922">IFERROR(_xlfn.IFS(Table1[[#This Row],[Payment Status]]="Partial","In Transit",Table1[[#This Row],[Payment Status]]="Paid","Delivered",Table1[[#This Row],[Payment Status]]="Pending","Pending"),"Invalid Input")</f>
        <v>Delivered</v>
      </c>
      <c r="T1922" t="s">
        <v>44</v>
      </c>
      <c r="U1922" t="str" cm="1">
        <f t="array" ref="U1922">IFERROR(_xlfn.IFS(Table1[[#This Row],[Payment Status]]="Partial","In Transit",Table1[[#This Row],[Payment Status]]="Paid","Completed",Table1[[#This Row],[Payment Status]]="Pending","Pending"),"Invalid Input")</f>
        <v>Completed</v>
      </c>
    </row>
    <row r="1923" spans="1:21" x14ac:dyDescent="0.25">
      <c r="A1923" s="4" t="s">
        <v>3127</v>
      </c>
      <c r="B1923" s="5">
        <v>45349</v>
      </c>
      <c r="C1923" t="s">
        <v>73</v>
      </c>
      <c r="D1923" t="s">
        <v>37</v>
      </c>
      <c r="E1923" t="s">
        <v>38</v>
      </c>
      <c r="F1923" t="s">
        <v>3214</v>
      </c>
      <c r="G1923" t="s">
        <v>39</v>
      </c>
      <c r="H1923" t="str">
        <f>VLOOKUP(Table1[[#This Row],[City]],Table6[#All],2,FALSE)</f>
        <v>West</v>
      </c>
      <c r="I1923" t="s">
        <v>3204</v>
      </c>
      <c r="J1923" t="str">
        <f>_xlfn.XLOOKUP(Table1[[#This Row],[Tractor Model]],Table7[Product Model],Table7[Product Category],"Not Available",0)</f>
        <v>Kubota</v>
      </c>
      <c r="K1923" s="4">
        <v>3</v>
      </c>
      <c r="L1923" s="72">
        <v>534856</v>
      </c>
      <c r="M1923" s="4">
        <f>INDEX('Master Sheet'!$C$4:$C$12,MATCH(Table1[[#This Row],[Quantity]],'Master Sheet'!$B$4:$B$12,0))</f>
        <v>6</v>
      </c>
      <c r="N1923" s="71">
        <f>Table1[[#This Row],[Quantity]]*Table1[[#This Row],[Unit Price]]</f>
        <v>1604568</v>
      </c>
      <c r="O1923" s="73">
        <v>0.16045680000000001</v>
      </c>
      <c r="P1923" s="70">
        <f>Table1[[#This Row],[Gross Amount]]*(1-(Table1[[#This Row],[Discount %]]/100))</f>
        <v>1508293.92</v>
      </c>
      <c r="Q1923" s="74">
        <f>(Table1[[#This Row],[Gross Amount]]*(1-(Table1[[#This Row],[Discount %]]/100)))/10000000</f>
        <v>0.15082939199999998</v>
      </c>
      <c r="R1923" t="s">
        <v>54</v>
      </c>
      <c r="S1923" t="str" cm="1">
        <f t="array" ref="S1923">IFERROR(_xlfn.IFS(Table1[[#This Row],[Payment Status]]="Partial","In Transit",Table1[[#This Row],[Payment Status]]="Paid","Delivered",Table1[[#This Row],[Payment Status]]="Pending","Pending"),"Invalid Input")</f>
        <v>Delivered</v>
      </c>
      <c r="T1923" t="s">
        <v>44</v>
      </c>
      <c r="U1923" t="str" cm="1">
        <f t="array" ref="U1923">IFERROR(_xlfn.IFS(Table1[[#This Row],[Payment Status]]="Partial","In Transit",Table1[[#This Row],[Payment Status]]="Paid","Completed",Table1[[#This Row],[Payment Status]]="Pending","Pending"),"Invalid Input")</f>
        <v>Completed</v>
      </c>
    </row>
    <row r="1924" spans="1:21" x14ac:dyDescent="0.25">
      <c r="A1924" s="4" t="s">
        <v>3128</v>
      </c>
      <c r="B1924" s="5">
        <v>45901</v>
      </c>
      <c r="C1924" t="s">
        <v>73</v>
      </c>
      <c r="D1924" t="s">
        <v>3270</v>
      </c>
      <c r="E1924" t="s">
        <v>30</v>
      </c>
      <c r="F1924" t="s">
        <v>3223</v>
      </c>
      <c r="G1924" t="s">
        <v>31</v>
      </c>
      <c r="H1924" t="str">
        <f>VLOOKUP(Table1[[#This Row],[City]],Table6[#All],2,FALSE)</f>
        <v>South</v>
      </c>
      <c r="I1924" t="s">
        <v>24</v>
      </c>
      <c r="J1924" t="str">
        <f>_xlfn.XLOOKUP(Table1[[#This Row],[Tractor Model]],Table7[Product Model],Table7[Product Category],"Not Available",0)</f>
        <v>Farmtrac</v>
      </c>
      <c r="K1924" s="4">
        <v>4</v>
      </c>
      <c r="L1924" s="72">
        <v>192030</v>
      </c>
      <c r="M1924" s="4">
        <f>INDEX('Master Sheet'!$C$4:$C$12,MATCH(Table1[[#This Row],[Quantity]],'Master Sheet'!$B$4:$B$12,0))</f>
        <v>6</v>
      </c>
      <c r="N1924" s="71">
        <f>Table1[[#This Row],[Quantity]]*Table1[[#This Row],[Unit Price]]</f>
        <v>768120</v>
      </c>
      <c r="O1924" s="73">
        <v>7.6812000000000005E-2</v>
      </c>
      <c r="P1924" s="70">
        <f>Table1[[#This Row],[Gross Amount]]*(1-(Table1[[#This Row],[Discount %]]/100))</f>
        <v>722032.79999999993</v>
      </c>
      <c r="Q1924" s="74">
        <f>(Table1[[#This Row],[Gross Amount]]*(1-(Table1[[#This Row],[Discount %]]/100)))/10000000</f>
        <v>7.2203279999999995E-2</v>
      </c>
      <c r="R1924" t="s">
        <v>54</v>
      </c>
      <c r="S1924" t="str" cm="1">
        <f t="array" ref="S1924">IFERROR(_xlfn.IFS(Table1[[#This Row],[Payment Status]]="Partial","In Transit",Table1[[#This Row],[Payment Status]]="Paid","Delivered",Table1[[#This Row],[Payment Status]]="Pending","Pending"),"Invalid Input")</f>
        <v>Delivered</v>
      </c>
      <c r="T1924" t="s">
        <v>27</v>
      </c>
      <c r="U1924" t="str" cm="1">
        <f t="array" ref="U1924">IFERROR(_xlfn.IFS(Table1[[#This Row],[Payment Status]]="Partial","In Transit",Table1[[#This Row],[Payment Status]]="Paid","Completed",Table1[[#This Row],[Payment Status]]="Pending","Pending"),"Invalid Input")</f>
        <v>Completed</v>
      </c>
    </row>
    <row r="1925" spans="1:21" x14ac:dyDescent="0.25">
      <c r="A1925" s="4" t="s">
        <v>3129</v>
      </c>
      <c r="B1925" s="5">
        <v>45368</v>
      </c>
      <c r="C1925" t="s">
        <v>73</v>
      </c>
      <c r="D1925" t="s">
        <v>3269</v>
      </c>
      <c r="E1925" t="s">
        <v>66</v>
      </c>
      <c r="F1925" t="s">
        <v>3213</v>
      </c>
      <c r="G1925" t="s">
        <v>67</v>
      </c>
      <c r="H1925" t="str">
        <f>VLOOKUP(Table1[[#This Row],[City]],Table6[#All],2,FALSE)</f>
        <v>East</v>
      </c>
      <c r="I1925" t="s">
        <v>3203</v>
      </c>
      <c r="J1925" t="str">
        <f>_xlfn.XLOOKUP(Table1[[#This Row],[Tractor Model]],Table7[Product Model],Table7[Product Category],"Not Available",0)</f>
        <v>Kubota</v>
      </c>
      <c r="K1925" s="4">
        <v>2</v>
      </c>
      <c r="L1925" s="72">
        <v>241112</v>
      </c>
      <c r="M1925" s="4">
        <f>INDEX('Master Sheet'!$C$4:$C$12,MATCH(Table1[[#This Row],[Quantity]],'Master Sheet'!$B$4:$B$12,0))</f>
        <v>5</v>
      </c>
      <c r="N1925" s="71">
        <f>Table1[[#This Row],[Quantity]]*Table1[[#This Row],[Unit Price]]</f>
        <v>482224</v>
      </c>
      <c r="O1925" s="73">
        <v>4.8222399999999999E-2</v>
      </c>
      <c r="P1925" s="70">
        <f>Table1[[#This Row],[Gross Amount]]*(1-(Table1[[#This Row],[Discount %]]/100))</f>
        <v>458112.8</v>
      </c>
      <c r="Q1925" s="74">
        <f>(Table1[[#This Row],[Gross Amount]]*(1-(Table1[[#This Row],[Discount %]]/100)))/10000000</f>
        <v>4.5811279999999996E-2</v>
      </c>
      <c r="R1925" t="s">
        <v>25</v>
      </c>
      <c r="S1925" t="str" cm="1">
        <f t="array" ref="S1925">IFERROR(_xlfn.IFS(Table1[[#This Row],[Payment Status]]="Partial","In Transit",Table1[[#This Row],[Payment Status]]="Paid","Delivered",Table1[[#This Row],[Payment Status]]="Pending","Pending"),"Invalid Input")</f>
        <v>In Transit</v>
      </c>
      <c r="T1925" t="s">
        <v>44</v>
      </c>
      <c r="U1925" t="str" cm="1">
        <f t="array" ref="U1925">IFERROR(_xlfn.IFS(Table1[[#This Row],[Payment Status]]="Partial","In Transit",Table1[[#This Row],[Payment Status]]="Paid","Completed",Table1[[#This Row],[Payment Status]]="Pending","Pending"),"Invalid Input")</f>
        <v>In Transit</v>
      </c>
    </row>
    <row r="1926" spans="1:21" x14ac:dyDescent="0.25">
      <c r="A1926" s="4" t="s">
        <v>3130</v>
      </c>
      <c r="B1926" s="5">
        <v>45790</v>
      </c>
      <c r="C1926" t="s">
        <v>73</v>
      </c>
      <c r="D1926" t="s">
        <v>37</v>
      </c>
      <c r="E1926" t="s">
        <v>119</v>
      </c>
      <c r="F1926" t="s">
        <v>3224</v>
      </c>
      <c r="G1926" t="s">
        <v>21</v>
      </c>
      <c r="H1926" t="str">
        <f>VLOOKUP(Table1[[#This Row],[City]],Table6[#All],2,FALSE)</f>
        <v>North</v>
      </c>
      <c r="I1926" t="s">
        <v>24</v>
      </c>
      <c r="J1926" t="str">
        <f>_xlfn.XLOOKUP(Table1[[#This Row],[Tractor Model]],Table7[Product Model],Table7[Product Category],"Not Available",0)</f>
        <v>Farmtrac</v>
      </c>
      <c r="K1926" s="4">
        <v>5</v>
      </c>
      <c r="L1926" s="72">
        <v>309258</v>
      </c>
      <c r="M1926" s="4">
        <f>INDEX('Master Sheet'!$C$4:$C$12,MATCH(Table1[[#This Row],[Quantity]],'Master Sheet'!$B$4:$B$12,0))</f>
        <v>7</v>
      </c>
      <c r="N1926" s="71">
        <f>Table1[[#This Row],[Quantity]]*Table1[[#This Row],[Unit Price]]</f>
        <v>1546290</v>
      </c>
      <c r="O1926" s="73">
        <v>0.15462899999999999</v>
      </c>
      <c r="P1926" s="70">
        <f>Table1[[#This Row],[Gross Amount]]*(1-(Table1[[#This Row],[Discount %]]/100))</f>
        <v>1438049.7</v>
      </c>
      <c r="Q1926" s="74">
        <f>(Table1[[#This Row],[Gross Amount]]*(1-(Table1[[#This Row],[Discount %]]/100)))/10000000</f>
        <v>0.14380497</v>
      </c>
      <c r="R1926" t="s">
        <v>54</v>
      </c>
      <c r="S1926" t="str" cm="1">
        <f t="array" ref="S1926">IFERROR(_xlfn.IFS(Table1[[#This Row],[Payment Status]]="Partial","In Transit",Table1[[#This Row],[Payment Status]]="Paid","Delivered",Table1[[#This Row],[Payment Status]]="Pending","Pending"),"Invalid Input")</f>
        <v>Delivered</v>
      </c>
      <c r="T1926" t="s">
        <v>44</v>
      </c>
      <c r="U1926" t="str" cm="1">
        <f t="array" ref="U1926">IFERROR(_xlfn.IFS(Table1[[#This Row],[Payment Status]]="Partial","In Transit",Table1[[#This Row],[Payment Status]]="Paid","Completed",Table1[[#This Row],[Payment Status]]="Pending","Pending"),"Invalid Input")</f>
        <v>Completed</v>
      </c>
    </row>
    <row r="1927" spans="1:21" x14ac:dyDescent="0.25">
      <c r="A1927" s="4" t="s">
        <v>3131</v>
      </c>
      <c r="B1927" s="5">
        <v>45448</v>
      </c>
      <c r="C1927" t="s">
        <v>33</v>
      </c>
      <c r="D1927" t="s">
        <v>3269</v>
      </c>
      <c r="E1927" t="s">
        <v>30</v>
      </c>
      <c r="F1927" t="s">
        <v>3225</v>
      </c>
      <c r="G1927" t="s">
        <v>31</v>
      </c>
      <c r="H1927" t="str">
        <f>VLOOKUP(Table1[[#This Row],[City]],Table6[#All],2,FALSE)</f>
        <v>South</v>
      </c>
      <c r="I1927" t="s">
        <v>58</v>
      </c>
      <c r="J1927" t="str">
        <f>_xlfn.XLOOKUP(Table1[[#This Row],[Tractor Model]],Table7[Product Model],Table7[Product Category],"Not Available",0)</f>
        <v>Powertrac</v>
      </c>
      <c r="K1927" s="4">
        <v>2</v>
      </c>
      <c r="L1927" s="72">
        <v>794285</v>
      </c>
      <c r="M1927" s="4">
        <f>INDEX('Master Sheet'!$C$4:$C$12,MATCH(Table1[[#This Row],[Quantity]],'Master Sheet'!$B$4:$B$12,0))</f>
        <v>5</v>
      </c>
      <c r="N1927" s="71">
        <f>Table1[[#This Row],[Quantity]]*Table1[[#This Row],[Unit Price]]</f>
        <v>1588570</v>
      </c>
      <c r="O1927" s="73">
        <v>0.158857</v>
      </c>
      <c r="P1927" s="70">
        <f>Table1[[#This Row],[Gross Amount]]*(1-(Table1[[#This Row],[Discount %]]/100))</f>
        <v>1509141.5</v>
      </c>
      <c r="Q1927" s="74">
        <f>(Table1[[#This Row],[Gross Amount]]*(1-(Table1[[#This Row],[Discount %]]/100)))/10000000</f>
        <v>0.15091415</v>
      </c>
      <c r="R1927" t="s">
        <v>25</v>
      </c>
      <c r="S1927" t="str" cm="1">
        <f t="array" ref="S1927">IFERROR(_xlfn.IFS(Table1[[#This Row],[Payment Status]]="Partial","In Transit",Table1[[#This Row],[Payment Status]]="Paid","Delivered",Table1[[#This Row],[Payment Status]]="Pending","Pending"),"Invalid Input")</f>
        <v>In Transit</v>
      </c>
      <c r="T1927" t="s">
        <v>27</v>
      </c>
      <c r="U1927" t="str" cm="1">
        <f t="array" ref="U1927">IFERROR(_xlfn.IFS(Table1[[#This Row],[Payment Status]]="Partial","In Transit",Table1[[#This Row],[Payment Status]]="Paid","Completed",Table1[[#This Row],[Payment Status]]="Pending","Pending"),"Invalid Input")</f>
        <v>In Transit</v>
      </c>
    </row>
    <row r="1928" spans="1:21" x14ac:dyDescent="0.25">
      <c r="A1928" s="4" t="s">
        <v>3133</v>
      </c>
      <c r="B1928" s="5">
        <v>45504</v>
      </c>
      <c r="C1928" t="s">
        <v>33</v>
      </c>
      <c r="D1928" t="s">
        <v>3268</v>
      </c>
      <c r="E1928" t="s">
        <v>47</v>
      </c>
      <c r="F1928" t="s">
        <v>3216</v>
      </c>
      <c r="G1928" t="s">
        <v>48</v>
      </c>
      <c r="H1928" t="str">
        <f>VLOOKUP(Table1[[#This Row],[City]],Table6[#All],2,FALSE)</f>
        <v>North</v>
      </c>
      <c r="I1928" t="s">
        <v>58</v>
      </c>
      <c r="J1928" t="str">
        <f>_xlfn.XLOOKUP(Table1[[#This Row],[Tractor Model]],Table7[Product Model],Table7[Product Category],"Not Available",0)</f>
        <v>Powertrac</v>
      </c>
      <c r="K1928" s="4">
        <v>6</v>
      </c>
      <c r="L1928" s="72">
        <v>780359</v>
      </c>
      <c r="M1928" s="4">
        <f>INDEX('Master Sheet'!$C$4:$C$12,MATCH(Table1[[#This Row],[Quantity]],'Master Sheet'!$B$4:$B$12,0))</f>
        <v>8</v>
      </c>
      <c r="N1928" s="71">
        <f>Table1[[#This Row],[Quantity]]*Table1[[#This Row],[Unit Price]]</f>
        <v>4682154</v>
      </c>
      <c r="O1928" s="73">
        <v>0.4682154</v>
      </c>
      <c r="P1928" s="70">
        <f>Table1[[#This Row],[Gross Amount]]*(1-(Table1[[#This Row],[Discount %]]/100))</f>
        <v>4307581.6800000006</v>
      </c>
      <c r="Q1928" s="74">
        <f>(Table1[[#This Row],[Gross Amount]]*(1-(Table1[[#This Row],[Discount %]]/100)))/10000000</f>
        <v>0.43075816800000005</v>
      </c>
      <c r="R1928" t="s">
        <v>25</v>
      </c>
      <c r="S1928" t="str" cm="1">
        <f t="array" ref="S1928">IFERROR(_xlfn.IFS(Table1[[#This Row],[Payment Status]]="Partial","In Transit",Table1[[#This Row],[Payment Status]]="Paid","Delivered",Table1[[#This Row],[Payment Status]]="Pending","Pending"),"Invalid Input")</f>
        <v>In Transit</v>
      </c>
      <c r="T1928" t="s">
        <v>27</v>
      </c>
      <c r="U1928" t="str" cm="1">
        <f t="array" ref="U1928">IFERROR(_xlfn.IFS(Table1[[#This Row],[Payment Status]]="Partial","In Transit",Table1[[#This Row],[Payment Status]]="Paid","Completed",Table1[[#This Row],[Payment Status]]="Pending","Pending"),"Invalid Input")</f>
        <v>In Transit</v>
      </c>
    </row>
    <row r="1929" spans="1:21" x14ac:dyDescent="0.25">
      <c r="A1929" s="4" t="s">
        <v>3135</v>
      </c>
      <c r="B1929" s="5">
        <v>45648</v>
      </c>
      <c r="C1929" t="s">
        <v>73</v>
      </c>
      <c r="D1929" t="s">
        <v>3268</v>
      </c>
      <c r="E1929" t="s">
        <v>66</v>
      </c>
      <c r="F1929" t="s">
        <v>3211</v>
      </c>
      <c r="G1929" t="s">
        <v>67</v>
      </c>
      <c r="H1929" t="str">
        <f>VLOOKUP(Table1[[#This Row],[City]],Table6[#All],2,FALSE)</f>
        <v>East</v>
      </c>
      <c r="I1929" t="s">
        <v>58</v>
      </c>
      <c r="J1929" t="str">
        <f>_xlfn.XLOOKUP(Table1[[#This Row],[Tractor Model]],Table7[Product Model],Table7[Product Category],"Not Available",0)</f>
        <v>Powertrac</v>
      </c>
      <c r="K1929" s="4">
        <v>5</v>
      </c>
      <c r="L1929" s="72">
        <v>335975</v>
      </c>
      <c r="M1929" s="4">
        <f>INDEX('Master Sheet'!$C$4:$C$12,MATCH(Table1[[#This Row],[Quantity]],'Master Sheet'!$B$4:$B$12,0))</f>
        <v>7</v>
      </c>
      <c r="N1929" s="71">
        <f>Table1[[#This Row],[Quantity]]*Table1[[#This Row],[Unit Price]]</f>
        <v>1679875</v>
      </c>
      <c r="O1929" s="73">
        <v>0.16798750000000001</v>
      </c>
      <c r="P1929" s="70">
        <f>Table1[[#This Row],[Gross Amount]]*(1-(Table1[[#This Row],[Discount %]]/100))</f>
        <v>1562283.75</v>
      </c>
      <c r="Q1929" s="74">
        <f>(Table1[[#This Row],[Gross Amount]]*(1-(Table1[[#This Row],[Discount %]]/100)))/10000000</f>
        <v>0.156228375</v>
      </c>
      <c r="R1929" t="s">
        <v>42</v>
      </c>
      <c r="S1929" t="str" cm="1">
        <f t="array" ref="S1929">IFERROR(_xlfn.IFS(Table1[[#This Row],[Payment Status]]="Partial","In Transit",Table1[[#This Row],[Payment Status]]="Paid","Delivered",Table1[[#This Row],[Payment Status]]="Pending","Pending"),"Invalid Input")</f>
        <v>Pending</v>
      </c>
      <c r="T1929" t="s">
        <v>27</v>
      </c>
      <c r="U1929" t="str" cm="1">
        <f t="array" ref="U1929">IFERROR(_xlfn.IFS(Table1[[#This Row],[Payment Status]]="Partial","In Transit",Table1[[#This Row],[Payment Status]]="Paid","Completed",Table1[[#This Row],[Payment Status]]="Pending","Pending"),"Invalid Input")</f>
        <v>Pending</v>
      </c>
    </row>
    <row r="1930" spans="1:21" x14ac:dyDescent="0.25">
      <c r="A1930" s="4" t="s">
        <v>3137</v>
      </c>
      <c r="B1930" s="5">
        <v>45641</v>
      </c>
      <c r="C1930" t="s">
        <v>52</v>
      </c>
      <c r="D1930" t="s">
        <v>3271</v>
      </c>
      <c r="E1930" t="s">
        <v>38</v>
      </c>
      <c r="F1930" t="s">
        <v>3210</v>
      </c>
      <c r="G1930" t="s">
        <v>39</v>
      </c>
      <c r="H1930" t="str">
        <f>VLOOKUP(Table1[[#This Row],[City]],Table6[#All],2,FALSE)</f>
        <v>West</v>
      </c>
      <c r="I1930" t="s">
        <v>58</v>
      </c>
      <c r="J1930" t="str">
        <f>_xlfn.XLOOKUP(Table1[[#This Row],[Tractor Model]],Table7[Product Model],Table7[Product Category],"Not Available",0)</f>
        <v>Powertrac</v>
      </c>
      <c r="K1930" s="4">
        <v>3</v>
      </c>
      <c r="L1930" s="72">
        <v>388287</v>
      </c>
      <c r="M1930" s="4">
        <f>INDEX('Master Sheet'!$C$4:$C$12,MATCH(Table1[[#This Row],[Quantity]],'Master Sheet'!$B$4:$B$12,0))</f>
        <v>6</v>
      </c>
      <c r="N1930" s="71">
        <f>Table1[[#This Row],[Quantity]]*Table1[[#This Row],[Unit Price]]</f>
        <v>1164861</v>
      </c>
      <c r="O1930" s="73">
        <v>0.1164861</v>
      </c>
      <c r="P1930" s="70">
        <f>Table1[[#This Row],[Gross Amount]]*(1-(Table1[[#This Row],[Discount %]]/100))</f>
        <v>1094969.3399999999</v>
      </c>
      <c r="Q1930" s="74">
        <f>(Table1[[#This Row],[Gross Amount]]*(1-(Table1[[#This Row],[Discount %]]/100)))/10000000</f>
        <v>0.10949693399999999</v>
      </c>
      <c r="R1930" t="s">
        <v>42</v>
      </c>
      <c r="S1930" t="str" cm="1">
        <f t="array" ref="S1930">IFERROR(_xlfn.IFS(Table1[[#This Row],[Payment Status]]="Partial","In Transit",Table1[[#This Row],[Payment Status]]="Paid","Delivered",Table1[[#This Row],[Payment Status]]="Pending","Pending"),"Invalid Input")</f>
        <v>Pending</v>
      </c>
      <c r="T1930" t="s">
        <v>44</v>
      </c>
      <c r="U1930" t="str" cm="1">
        <f t="array" ref="U1930">IFERROR(_xlfn.IFS(Table1[[#This Row],[Payment Status]]="Partial","In Transit",Table1[[#This Row],[Payment Status]]="Paid","Completed",Table1[[#This Row],[Payment Status]]="Pending","Pending"),"Invalid Input")</f>
        <v>Pending</v>
      </c>
    </row>
    <row r="1931" spans="1:21" x14ac:dyDescent="0.25">
      <c r="A1931" s="4" t="s">
        <v>3138</v>
      </c>
      <c r="B1931" s="5">
        <v>45601</v>
      </c>
      <c r="C1931" t="s">
        <v>73</v>
      </c>
      <c r="D1931" t="s">
        <v>3268</v>
      </c>
      <c r="E1931" t="s">
        <v>47</v>
      </c>
      <c r="F1931" t="s">
        <v>3216</v>
      </c>
      <c r="G1931" t="s">
        <v>48</v>
      </c>
      <c r="H1931" t="str">
        <f>VLOOKUP(Table1[[#This Row],[City]],Table6[#All],2,FALSE)</f>
        <v>North</v>
      </c>
      <c r="I1931" t="s">
        <v>24</v>
      </c>
      <c r="J1931" t="str">
        <f>_xlfn.XLOOKUP(Table1[[#This Row],[Tractor Model]],Table7[Product Model],Table7[Product Category],"Not Available",0)</f>
        <v>Farmtrac</v>
      </c>
      <c r="K1931" s="4">
        <v>6</v>
      </c>
      <c r="L1931" s="72">
        <v>96901</v>
      </c>
      <c r="M1931" s="4">
        <f>INDEX('Master Sheet'!$C$4:$C$12,MATCH(Table1[[#This Row],[Quantity]],'Master Sheet'!$B$4:$B$12,0))</f>
        <v>8</v>
      </c>
      <c r="N1931" s="71">
        <f>Table1[[#This Row],[Quantity]]*Table1[[#This Row],[Unit Price]]</f>
        <v>581406</v>
      </c>
      <c r="O1931" s="73">
        <v>5.8140600000000001E-2</v>
      </c>
      <c r="P1931" s="70">
        <f>Table1[[#This Row],[Gross Amount]]*(1-(Table1[[#This Row],[Discount %]]/100))</f>
        <v>534893.52</v>
      </c>
      <c r="Q1931" s="74">
        <f>(Table1[[#This Row],[Gross Amount]]*(1-(Table1[[#This Row],[Discount %]]/100)))/10000000</f>
        <v>5.3489352000000004E-2</v>
      </c>
      <c r="R1931" t="s">
        <v>42</v>
      </c>
      <c r="S1931" t="str" cm="1">
        <f t="array" ref="S1931">IFERROR(_xlfn.IFS(Table1[[#This Row],[Payment Status]]="Partial","In Transit",Table1[[#This Row],[Payment Status]]="Paid","Delivered",Table1[[#This Row],[Payment Status]]="Pending","Pending"),"Invalid Input")</f>
        <v>Pending</v>
      </c>
      <c r="T1931" t="s">
        <v>27</v>
      </c>
      <c r="U1931" t="str" cm="1">
        <f t="array" ref="U1931">IFERROR(_xlfn.IFS(Table1[[#This Row],[Payment Status]]="Partial","In Transit",Table1[[#This Row],[Payment Status]]="Paid","Completed",Table1[[#This Row],[Payment Status]]="Pending","Pending"),"Invalid Input")</f>
        <v>Pending</v>
      </c>
    </row>
    <row r="1932" spans="1:21" x14ac:dyDescent="0.25">
      <c r="A1932" s="4" t="s">
        <v>3139</v>
      </c>
      <c r="B1932" s="5">
        <v>45437</v>
      </c>
      <c r="C1932" t="s">
        <v>73</v>
      </c>
      <c r="D1932" t="s">
        <v>3270</v>
      </c>
      <c r="E1932" t="s">
        <v>47</v>
      </c>
      <c r="F1932" t="s">
        <v>3205</v>
      </c>
      <c r="G1932" t="s">
        <v>48</v>
      </c>
      <c r="H1932" t="str">
        <f>VLOOKUP(Table1[[#This Row],[City]],Table6[#All],2,FALSE)</f>
        <v>North</v>
      </c>
      <c r="I1932" t="s">
        <v>24</v>
      </c>
      <c r="J1932" t="str">
        <f>_xlfn.XLOOKUP(Table1[[#This Row],[Tractor Model]],Table7[Product Model],Table7[Product Category],"Not Available",0)</f>
        <v>Farmtrac</v>
      </c>
      <c r="K1932" s="4">
        <v>7</v>
      </c>
      <c r="L1932" s="72">
        <v>71176</v>
      </c>
      <c r="M1932" s="4">
        <f>INDEX('Master Sheet'!$C$4:$C$12,MATCH(Table1[[#This Row],[Quantity]],'Master Sheet'!$B$4:$B$12,0))</f>
        <v>9</v>
      </c>
      <c r="N1932" s="71">
        <f>Table1[[#This Row],[Quantity]]*Table1[[#This Row],[Unit Price]]</f>
        <v>498232</v>
      </c>
      <c r="O1932" s="73">
        <v>4.9823199999999998E-2</v>
      </c>
      <c r="P1932" s="70">
        <f>Table1[[#This Row],[Gross Amount]]*(1-(Table1[[#This Row],[Discount %]]/100))</f>
        <v>453391.12</v>
      </c>
      <c r="Q1932" s="74">
        <f>(Table1[[#This Row],[Gross Amount]]*(1-(Table1[[#This Row],[Discount %]]/100)))/10000000</f>
        <v>4.5339112000000001E-2</v>
      </c>
      <c r="R1932" t="s">
        <v>42</v>
      </c>
      <c r="S1932" t="str" cm="1">
        <f t="array" ref="S1932">IFERROR(_xlfn.IFS(Table1[[#This Row],[Payment Status]]="Partial","In Transit",Table1[[#This Row],[Payment Status]]="Paid","Delivered",Table1[[#This Row],[Payment Status]]="Pending","Pending"),"Invalid Input")</f>
        <v>Pending</v>
      </c>
      <c r="T1932" t="s">
        <v>44</v>
      </c>
      <c r="U1932" t="str" cm="1">
        <f t="array" ref="U1932">IFERROR(_xlfn.IFS(Table1[[#This Row],[Payment Status]]="Partial","In Transit",Table1[[#This Row],[Payment Status]]="Paid","Completed",Table1[[#This Row],[Payment Status]]="Pending","Pending"),"Invalid Input")</f>
        <v>Pending</v>
      </c>
    </row>
    <row r="1933" spans="1:21" x14ac:dyDescent="0.25">
      <c r="A1933" s="4" t="s">
        <v>3140</v>
      </c>
      <c r="B1933" s="5">
        <v>45358</v>
      </c>
      <c r="C1933" t="s">
        <v>33</v>
      </c>
      <c r="D1933" t="s">
        <v>3270</v>
      </c>
      <c r="E1933" t="s">
        <v>119</v>
      </c>
      <c r="F1933" t="s">
        <v>3212</v>
      </c>
      <c r="G1933" t="s">
        <v>21</v>
      </c>
      <c r="H1933" t="str">
        <f>VLOOKUP(Table1[[#This Row],[City]],Table6[#All],2,FALSE)</f>
        <v>North</v>
      </c>
      <c r="I1933" t="s">
        <v>58</v>
      </c>
      <c r="J1933" t="str">
        <f>_xlfn.XLOOKUP(Table1[[#This Row],[Tractor Model]],Table7[Product Model],Table7[Product Category],"Not Available",0)</f>
        <v>Powertrac</v>
      </c>
      <c r="K1933" s="4">
        <v>5</v>
      </c>
      <c r="L1933" s="72">
        <v>233786</v>
      </c>
      <c r="M1933" s="4">
        <f>INDEX('Master Sheet'!$C$4:$C$12,MATCH(Table1[[#This Row],[Quantity]],'Master Sheet'!$B$4:$B$12,0))</f>
        <v>7</v>
      </c>
      <c r="N1933" s="71">
        <f>Table1[[#This Row],[Quantity]]*Table1[[#This Row],[Unit Price]]</f>
        <v>1168930</v>
      </c>
      <c r="O1933" s="73">
        <v>0.116893</v>
      </c>
      <c r="P1933" s="70">
        <f>Table1[[#This Row],[Gross Amount]]*(1-(Table1[[#This Row],[Discount %]]/100))</f>
        <v>1087104.8999999999</v>
      </c>
      <c r="Q1933" s="74">
        <f>(Table1[[#This Row],[Gross Amount]]*(1-(Table1[[#This Row],[Discount %]]/100)))/10000000</f>
        <v>0.10871048999999999</v>
      </c>
      <c r="R1933" t="s">
        <v>25</v>
      </c>
      <c r="S1933" t="str" cm="1">
        <f t="array" ref="S1933">IFERROR(_xlfn.IFS(Table1[[#This Row],[Payment Status]]="Partial","In Transit",Table1[[#This Row],[Payment Status]]="Paid","Delivered",Table1[[#This Row],[Payment Status]]="Pending","Pending"),"Invalid Input")</f>
        <v>In Transit</v>
      </c>
      <c r="T1933" t="s">
        <v>27</v>
      </c>
      <c r="U1933" t="str" cm="1">
        <f t="array" ref="U1933">IFERROR(_xlfn.IFS(Table1[[#This Row],[Payment Status]]="Partial","In Transit",Table1[[#This Row],[Payment Status]]="Paid","Completed",Table1[[#This Row],[Payment Status]]="Pending","Pending"),"Invalid Input")</f>
        <v>In Transit</v>
      </c>
    </row>
    <row r="1934" spans="1:21" x14ac:dyDescent="0.25">
      <c r="A1934" s="4" t="s">
        <v>3142</v>
      </c>
      <c r="B1934" s="5">
        <v>45714</v>
      </c>
      <c r="C1934" t="s">
        <v>73</v>
      </c>
      <c r="D1934" t="s">
        <v>3268</v>
      </c>
      <c r="E1934" t="s">
        <v>38</v>
      </c>
      <c r="F1934" t="s">
        <v>3219</v>
      </c>
      <c r="G1934" t="s">
        <v>39</v>
      </c>
      <c r="H1934" t="str">
        <f>VLOOKUP(Table1[[#This Row],[City]],Table6[#All],2,FALSE)</f>
        <v>West</v>
      </c>
      <c r="I1934" t="s">
        <v>58</v>
      </c>
      <c r="J1934" t="str">
        <f>_xlfn.XLOOKUP(Table1[[#This Row],[Tractor Model]],Table7[Product Model],Table7[Product Category],"Not Available",0)</f>
        <v>Powertrac</v>
      </c>
      <c r="K1934" s="4">
        <v>6</v>
      </c>
      <c r="L1934" s="72">
        <v>287009</v>
      </c>
      <c r="M1934" s="4">
        <f>INDEX('Master Sheet'!$C$4:$C$12,MATCH(Table1[[#This Row],[Quantity]],'Master Sheet'!$B$4:$B$12,0))</f>
        <v>8</v>
      </c>
      <c r="N1934" s="71">
        <f>Table1[[#This Row],[Quantity]]*Table1[[#This Row],[Unit Price]]</f>
        <v>1722054</v>
      </c>
      <c r="O1934" s="73">
        <v>0.17220540000000001</v>
      </c>
      <c r="P1934" s="70">
        <f>Table1[[#This Row],[Gross Amount]]*(1-(Table1[[#This Row],[Discount %]]/100))</f>
        <v>1584289.6800000002</v>
      </c>
      <c r="Q1934" s="74">
        <f>(Table1[[#This Row],[Gross Amount]]*(1-(Table1[[#This Row],[Discount %]]/100)))/10000000</f>
        <v>0.158428968</v>
      </c>
      <c r="R1934" t="s">
        <v>25</v>
      </c>
      <c r="S1934" t="str" cm="1">
        <f t="array" ref="S1934">IFERROR(_xlfn.IFS(Table1[[#This Row],[Payment Status]]="Partial","In Transit",Table1[[#This Row],[Payment Status]]="Paid","Delivered",Table1[[#This Row],[Payment Status]]="Pending","Pending"),"Invalid Input")</f>
        <v>In Transit</v>
      </c>
      <c r="T1934" t="s">
        <v>44</v>
      </c>
      <c r="U1934" t="str" cm="1">
        <f t="array" ref="U1934">IFERROR(_xlfn.IFS(Table1[[#This Row],[Payment Status]]="Partial","In Transit",Table1[[#This Row],[Payment Status]]="Paid","Completed",Table1[[#This Row],[Payment Status]]="Pending","Pending"),"Invalid Input")</f>
        <v>In Transit</v>
      </c>
    </row>
    <row r="1935" spans="1:21" x14ac:dyDescent="0.25">
      <c r="A1935" s="4" t="s">
        <v>3143</v>
      </c>
      <c r="B1935" s="5">
        <v>45647</v>
      </c>
      <c r="C1935" t="s">
        <v>41</v>
      </c>
      <c r="D1935" t="s">
        <v>3271</v>
      </c>
      <c r="E1935" t="s">
        <v>66</v>
      </c>
      <c r="F1935" t="s">
        <v>3207</v>
      </c>
      <c r="G1935" t="s">
        <v>67</v>
      </c>
      <c r="H1935" t="str">
        <f>VLOOKUP(Table1[[#This Row],[City]],Table6[#All],2,FALSE)</f>
        <v>East</v>
      </c>
      <c r="I1935" t="s">
        <v>53</v>
      </c>
      <c r="J1935" t="str">
        <f>_xlfn.XLOOKUP(Table1[[#This Row],[Tractor Model]],Table7[Product Model],Table7[Product Category],"Not Available",0)</f>
        <v>Farmtrac</v>
      </c>
      <c r="K1935" s="4">
        <v>4</v>
      </c>
      <c r="L1935" s="72">
        <v>790274</v>
      </c>
      <c r="M1935" s="4">
        <f>INDEX('Master Sheet'!$C$4:$C$12,MATCH(Table1[[#This Row],[Quantity]],'Master Sheet'!$B$4:$B$12,0))</f>
        <v>6</v>
      </c>
      <c r="N1935" s="71">
        <f>Table1[[#This Row],[Quantity]]*Table1[[#This Row],[Unit Price]]</f>
        <v>3161096</v>
      </c>
      <c r="O1935" s="73">
        <v>0.31610959999999999</v>
      </c>
      <c r="P1935" s="70">
        <f>Table1[[#This Row],[Gross Amount]]*(1-(Table1[[#This Row],[Discount %]]/100))</f>
        <v>2971430.2399999998</v>
      </c>
      <c r="Q1935" s="74">
        <f>(Table1[[#This Row],[Gross Amount]]*(1-(Table1[[#This Row],[Discount %]]/100)))/10000000</f>
        <v>0.29714302399999998</v>
      </c>
      <c r="R1935" t="s">
        <v>25</v>
      </c>
      <c r="S1935" t="str" cm="1">
        <f t="array" ref="S1935">IFERROR(_xlfn.IFS(Table1[[#This Row],[Payment Status]]="Partial","In Transit",Table1[[#This Row],[Payment Status]]="Paid","Delivered",Table1[[#This Row],[Payment Status]]="Pending","Pending"),"Invalid Input")</f>
        <v>In Transit</v>
      </c>
      <c r="T1935" t="s">
        <v>27</v>
      </c>
      <c r="U1935" t="str" cm="1">
        <f t="array" ref="U1935">IFERROR(_xlfn.IFS(Table1[[#This Row],[Payment Status]]="Partial","In Transit",Table1[[#This Row],[Payment Status]]="Paid","Completed",Table1[[#This Row],[Payment Status]]="Pending","Pending"),"Invalid Input")</f>
        <v>In Transit</v>
      </c>
    </row>
    <row r="1936" spans="1:21" x14ac:dyDescent="0.25">
      <c r="A1936" s="4" t="s">
        <v>3144</v>
      </c>
      <c r="B1936" s="5">
        <v>45515</v>
      </c>
      <c r="C1936" t="s">
        <v>73</v>
      </c>
      <c r="D1936" t="s">
        <v>37</v>
      </c>
      <c r="E1936" t="s">
        <v>66</v>
      </c>
      <c r="F1936" t="s">
        <v>3226</v>
      </c>
      <c r="G1936" t="s">
        <v>67</v>
      </c>
      <c r="H1936" t="str">
        <f>VLOOKUP(Table1[[#This Row],[City]],Table6[#All],2,FALSE)</f>
        <v>East</v>
      </c>
      <c r="I1936" t="s">
        <v>3203</v>
      </c>
      <c r="J1936" t="str">
        <f>_xlfn.XLOOKUP(Table1[[#This Row],[Tractor Model]],Table7[Product Model],Table7[Product Category],"Not Available",0)</f>
        <v>Kubota</v>
      </c>
      <c r="K1936" s="4">
        <v>3</v>
      </c>
      <c r="L1936" s="72">
        <v>544398</v>
      </c>
      <c r="M1936" s="4">
        <f>INDEX('Master Sheet'!$C$4:$C$12,MATCH(Table1[[#This Row],[Quantity]],'Master Sheet'!$B$4:$B$12,0))</f>
        <v>6</v>
      </c>
      <c r="N1936" s="71">
        <f>Table1[[#This Row],[Quantity]]*Table1[[#This Row],[Unit Price]]</f>
        <v>1633194</v>
      </c>
      <c r="O1936" s="73">
        <v>0.1633194</v>
      </c>
      <c r="P1936" s="70">
        <f>Table1[[#This Row],[Gross Amount]]*(1-(Table1[[#This Row],[Discount %]]/100))</f>
        <v>1535202.3599999999</v>
      </c>
      <c r="Q1936" s="74">
        <f>(Table1[[#This Row],[Gross Amount]]*(1-(Table1[[#This Row],[Discount %]]/100)))/10000000</f>
        <v>0.15352023599999998</v>
      </c>
      <c r="R1936" t="s">
        <v>42</v>
      </c>
      <c r="S1936" t="str" cm="1">
        <f t="array" ref="S1936">IFERROR(_xlfn.IFS(Table1[[#This Row],[Payment Status]]="Partial","In Transit",Table1[[#This Row],[Payment Status]]="Paid","Delivered",Table1[[#This Row],[Payment Status]]="Pending","Pending"),"Invalid Input")</f>
        <v>Pending</v>
      </c>
      <c r="T1936" t="s">
        <v>27</v>
      </c>
      <c r="U1936" t="str" cm="1">
        <f t="array" ref="U1936">IFERROR(_xlfn.IFS(Table1[[#This Row],[Payment Status]]="Partial","In Transit",Table1[[#This Row],[Payment Status]]="Paid","Completed",Table1[[#This Row],[Payment Status]]="Pending","Pending"),"Invalid Input")</f>
        <v>Pending</v>
      </c>
    </row>
    <row r="1937" spans="1:21" x14ac:dyDescent="0.25">
      <c r="A1937" s="4" t="s">
        <v>3146</v>
      </c>
      <c r="B1937" s="5">
        <v>45349</v>
      </c>
      <c r="C1937" t="s">
        <v>33</v>
      </c>
      <c r="D1937" t="s">
        <v>3269</v>
      </c>
      <c r="E1937" t="s">
        <v>119</v>
      </c>
      <c r="F1937" t="s">
        <v>3229</v>
      </c>
      <c r="G1937" t="s">
        <v>21</v>
      </c>
      <c r="H1937" t="str">
        <f>VLOOKUP(Table1[[#This Row],[City]],Table6[#All],2,FALSE)</f>
        <v>North</v>
      </c>
      <c r="I1937" t="s">
        <v>3204</v>
      </c>
      <c r="J1937" t="str">
        <f>_xlfn.XLOOKUP(Table1[[#This Row],[Tractor Model]],Table7[Product Model],Table7[Product Category],"Not Available",0)</f>
        <v>Kubota</v>
      </c>
      <c r="K1937" s="4">
        <v>5</v>
      </c>
      <c r="L1937" s="72">
        <v>573383</v>
      </c>
      <c r="M1937" s="4">
        <f>INDEX('Master Sheet'!$C$4:$C$12,MATCH(Table1[[#This Row],[Quantity]],'Master Sheet'!$B$4:$B$12,0))</f>
        <v>7</v>
      </c>
      <c r="N1937" s="71">
        <f>Table1[[#This Row],[Quantity]]*Table1[[#This Row],[Unit Price]]</f>
        <v>2866915</v>
      </c>
      <c r="O1937" s="73">
        <v>0.28669149999999999</v>
      </c>
      <c r="P1937" s="70">
        <f>Table1[[#This Row],[Gross Amount]]*(1-(Table1[[#This Row],[Discount %]]/100))</f>
        <v>2666230.9499999997</v>
      </c>
      <c r="Q1937" s="74">
        <f>(Table1[[#This Row],[Gross Amount]]*(1-(Table1[[#This Row],[Discount %]]/100)))/10000000</f>
        <v>0.26662309499999998</v>
      </c>
      <c r="R1937" t="s">
        <v>42</v>
      </c>
      <c r="S1937" t="str" cm="1">
        <f t="array" ref="S1937">IFERROR(_xlfn.IFS(Table1[[#This Row],[Payment Status]]="Partial","In Transit",Table1[[#This Row],[Payment Status]]="Paid","Delivered",Table1[[#This Row],[Payment Status]]="Pending","Pending"),"Invalid Input")</f>
        <v>Pending</v>
      </c>
      <c r="T1937" t="s">
        <v>27</v>
      </c>
      <c r="U1937" t="str" cm="1">
        <f t="array" ref="U1937">IFERROR(_xlfn.IFS(Table1[[#This Row],[Payment Status]]="Partial","In Transit",Table1[[#This Row],[Payment Status]]="Paid","Completed",Table1[[#This Row],[Payment Status]]="Pending","Pending"),"Invalid Input")</f>
        <v>Pending</v>
      </c>
    </row>
    <row r="1938" spans="1:21" x14ac:dyDescent="0.25">
      <c r="A1938" s="4" t="s">
        <v>3147</v>
      </c>
      <c r="B1938" s="5">
        <v>45793</v>
      </c>
      <c r="C1938" t="s">
        <v>33</v>
      </c>
      <c r="D1938" t="s">
        <v>3270</v>
      </c>
      <c r="E1938" t="s">
        <v>119</v>
      </c>
      <c r="F1938" t="s">
        <v>3212</v>
      </c>
      <c r="G1938" t="s">
        <v>21</v>
      </c>
      <c r="H1938" t="str">
        <f>VLOOKUP(Table1[[#This Row],[City]],Table6[#All],2,FALSE)</f>
        <v>North</v>
      </c>
      <c r="I1938" t="s">
        <v>3203</v>
      </c>
      <c r="J1938" t="str">
        <f>_xlfn.XLOOKUP(Table1[[#This Row],[Tractor Model]],Table7[Product Model],Table7[Product Category],"Not Available",0)</f>
        <v>Kubota</v>
      </c>
      <c r="K1938" s="4">
        <v>7</v>
      </c>
      <c r="L1938" s="72">
        <v>417638</v>
      </c>
      <c r="M1938" s="4">
        <f>INDEX('Master Sheet'!$C$4:$C$12,MATCH(Table1[[#This Row],[Quantity]],'Master Sheet'!$B$4:$B$12,0))</f>
        <v>9</v>
      </c>
      <c r="N1938" s="71">
        <f>Table1[[#This Row],[Quantity]]*Table1[[#This Row],[Unit Price]]</f>
        <v>2923466</v>
      </c>
      <c r="O1938" s="73">
        <v>0.29234660000000001</v>
      </c>
      <c r="P1938" s="70">
        <f>Table1[[#This Row],[Gross Amount]]*(1-(Table1[[#This Row],[Discount %]]/100))</f>
        <v>2660354.06</v>
      </c>
      <c r="Q1938" s="74">
        <f>(Table1[[#This Row],[Gross Amount]]*(1-(Table1[[#This Row],[Discount %]]/100)))/10000000</f>
        <v>0.26603540600000003</v>
      </c>
      <c r="R1938" t="s">
        <v>54</v>
      </c>
      <c r="S1938" t="str" cm="1">
        <f t="array" ref="S1938">IFERROR(_xlfn.IFS(Table1[[#This Row],[Payment Status]]="Partial","In Transit",Table1[[#This Row],[Payment Status]]="Paid","Delivered",Table1[[#This Row],[Payment Status]]="Pending","Pending"),"Invalid Input")</f>
        <v>Delivered</v>
      </c>
      <c r="T1938" t="s">
        <v>27</v>
      </c>
      <c r="U1938" t="str" cm="1">
        <f t="array" ref="U1938">IFERROR(_xlfn.IFS(Table1[[#This Row],[Payment Status]]="Partial","In Transit",Table1[[#This Row],[Payment Status]]="Paid","Completed",Table1[[#This Row],[Payment Status]]="Pending","Pending"),"Invalid Input")</f>
        <v>Completed</v>
      </c>
    </row>
    <row r="1939" spans="1:21" x14ac:dyDescent="0.25">
      <c r="A1939" s="4" t="s">
        <v>3148</v>
      </c>
      <c r="B1939" s="5">
        <v>45374</v>
      </c>
      <c r="C1939" t="s">
        <v>41</v>
      </c>
      <c r="D1939" t="s">
        <v>3271</v>
      </c>
      <c r="E1939" t="s">
        <v>30</v>
      </c>
      <c r="F1939" t="s">
        <v>3217</v>
      </c>
      <c r="G1939" t="s">
        <v>31</v>
      </c>
      <c r="H1939" t="str">
        <f>VLOOKUP(Table1[[#This Row],[City]],Table6[#All],2,FALSE)</f>
        <v>South</v>
      </c>
      <c r="I1939" t="s">
        <v>24</v>
      </c>
      <c r="J1939" t="str">
        <f>_xlfn.XLOOKUP(Table1[[#This Row],[Tractor Model]],Table7[Product Model],Table7[Product Category],"Not Available",0)</f>
        <v>Farmtrac</v>
      </c>
      <c r="K1939" s="4">
        <v>3</v>
      </c>
      <c r="L1939" s="72">
        <v>734170</v>
      </c>
      <c r="M1939" s="4">
        <f>INDEX('Master Sheet'!$C$4:$C$12,MATCH(Table1[[#This Row],[Quantity]],'Master Sheet'!$B$4:$B$12,0))</f>
        <v>6</v>
      </c>
      <c r="N1939" s="71">
        <f>Table1[[#This Row],[Quantity]]*Table1[[#This Row],[Unit Price]]</f>
        <v>2202510</v>
      </c>
      <c r="O1939" s="73">
        <v>0.220251</v>
      </c>
      <c r="P1939" s="70">
        <f>Table1[[#This Row],[Gross Amount]]*(1-(Table1[[#This Row],[Discount %]]/100))</f>
        <v>2070359.4</v>
      </c>
      <c r="Q1939" s="74">
        <f>(Table1[[#This Row],[Gross Amount]]*(1-(Table1[[#This Row],[Discount %]]/100)))/10000000</f>
        <v>0.20703594</v>
      </c>
      <c r="R1939" t="s">
        <v>54</v>
      </c>
      <c r="S1939" t="str" cm="1">
        <f t="array" ref="S1939">IFERROR(_xlfn.IFS(Table1[[#This Row],[Payment Status]]="Partial","In Transit",Table1[[#This Row],[Payment Status]]="Paid","Delivered",Table1[[#This Row],[Payment Status]]="Pending","Pending"),"Invalid Input")</f>
        <v>Delivered</v>
      </c>
      <c r="T1939" t="s">
        <v>44</v>
      </c>
      <c r="U1939" t="str" cm="1">
        <f t="array" ref="U1939">IFERROR(_xlfn.IFS(Table1[[#This Row],[Payment Status]]="Partial","In Transit",Table1[[#This Row],[Payment Status]]="Paid","Completed",Table1[[#This Row],[Payment Status]]="Pending","Pending"),"Invalid Input")</f>
        <v>Completed</v>
      </c>
    </row>
    <row r="1940" spans="1:21" x14ac:dyDescent="0.25">
      <c r="A1940" s="4" t="s">
        <v>3150</v>
      </c>
      <c r="B1940" s="5">
        <v>45416</v>
      </c>
      <c r="C1940" t="s">
        <v>52</v>
      </c>
      <c r="D1940" t="s">
        <v>3268</v>
      </c>
      <c r="E1940" t="s">
        <v>66</v>
      </c>
      <c r="F1940" t="s">
        <v>3211</v>
      </c>
      <c r="G1940" t="s">
        <v>67</v>
      </c>
      <c r="H1940" t="str">
        <f>VLOOKUP(Table1[[#This Row],[City]],Table6[#All],2,FALSE)</f>
        <v>East</v>
      </c>
      <c r="I1940" t="s">
        <v>24</v>
      </c>
      <c r="J1940" t="str">
        <f>_xlfn.XLOOKUP(Table1[[#This Row],[Tractor Model]],Table7[Product Model],Table7[Product Category],"Not Available",0)</f>
        <v>Farmtrac</v>
      </c>
      <c r="K1940" s="4">
        <v>2</v>
      </c>
      <c r="L1940" s="72">
        <v>79759</v>
      </c>
      <c r="M1940" s="4">
        <f>INDEX('Master Sheet'!$C$4:$C$12,MATCH(Table1[[#This Row],[Quantity]],'Master Sheet'!$B$4:$B$12,0))</f>
        <v>5</v>
      </c>
      <c r="N1940" s="71">
        <f>Table1[[#This Row],[Quantity]]*Table1[[#This Row],[Unit Price]]</f>
        <v>159518</v>
      </c>
      <c r="O1940" s="73">
        <v>1.5951799999999999E-2</v>
      </c>
      <c r="P1940" s="70">
        <f>Table1[[#This Row],[Gross Amount]]*(1-(Table1[[#This Row],[Discount %]]/100))</f>
        <v>151542.1</v>
      </c>
      <c r="Q1940" s="74">
        <f>(Table1[[#This Row],[Gross Amount]]*(1-(Table1[[#This Row],[Discount %]]/100)))/10000000</f>
        <v>1.5154210000000001E-2</v>
      </c>
      <c r="R1940" t="s">
        <v>42</v>
      </c>
      <c r="S1940" t="str" cm="1">
        <f t="array" ref="S1940">IFERROR(_xlfn.IFS(Table1[[#This Row],[Payment Status]]="Partial","In Transit",Table1[[#This Row],[Payment Status]]="Paid","Delivered",Table1[[#This Row],[Payment Status]]="Pending","Pending"),"Invalid Input")</f>
        <v>Pending</v>
      </c>
      <c r="T1940" t="s">
        <v>44</v>
      </c>
      <c r="U1940" t="str" cm="1">
        <f t="array" ref="U1940">IFERROR(_xlfn.IFS(Table1[[#This Row],[Payment Status]]="Partial","In Transit",Table1[[#This Row],[Payment Status]]="Paid","Completed",Table1[[#This Row],[Payment Status]]="Pending","Pending"),"Invalid Input")</f>
        <v>Pending</v>
      </c>
    </row>
    <row r="1941" spans="1:21" x14ac:dyDescent="0.25">
      <c r="A1941" s="4" t="s">
        <v>3152</v>
      </c>
      <c r="B1941" s="5">
        <v>45736</v>
      </c>
      <c r="C1941" t="s">
        <v>62</v>
      </c>
      <c r="D1941" t="s">
        <v>3268</v>
      </c>
      <c r="E1941" t="s">
        <v>119</v>
      </c>
      <c r="F1941" t="s">
        <v>3227</v>
      </c>
      <c r="G1941" t="s">
        <v>21</v>
      </c>
      <c r="H1941" t="str">
        <f>VLOOKUP(Table1[[#This Row],[City]],Table6[#All],2,FALSE)</f>
        <v>North</v>
      </c>
      <c r="I1941" t="s">
        <v>3203</v>
      </c>
      <c r="J1941" t="str">
        <f>_xlfn.XLOOKUP(Table1[[#This Row],[Tractor Model]],Table7[Product Model],Table7[Product Category],"Not Available",0)</f>
        <v>Kubota</v>
      </c>
      <c r="K1941" s="4">
        <v>8</v>
      </c>
      <c r="L1941" s="72">
        <v>864991</v>
      </c>
      <c r="M1941" s="4">
        <f>INDEX('Master Sheet'!$C$4:$C$12,MATCH(Table1[[#This Row],[Quantity]],'Master Sheet'!$B$4:$B$12,0))</f>
        <v>9</v>
      </c>
      <c r="N1941" s="71">
        <f>Table1[[#This Row],[Quantity]]*Table1[[#This Row],[Unit Price]]</f>
        <v>6919928</v>
      </c>
      <c r="O1941" s="73">
        <v>0.69199279999999996</v>
      </c>
      <c r="P1941" s="70">
        <f>Table1[[#This Row],[Gross Amount]]*(1-(Table1[[#This Row],[Discount %]]/100))</f>
        <v>6297134.4800000004</v>
      </c>
      <c r="Q1941" s="74">
        <f>(Table1[[#This Row],[Gross Amount]]*(1-(Table1[[#This Row],[Discount %]]/100)))/10000000</f>
        <v>0.62971344800000006</v>
      </c>
      <c r="R1941" t="s">
        <v>54</v>
      </c>
      <c r="S1941" t="str" cm="1">
        <f t="array" ref="S1941">IFERROR(_xlfn.IFS(Table1[[#This Row],[Payment Status]]="Partial","In Transit",Table1[[#This Row],[Payment Status]]="Paid","Delivered",Table1[[#This Row],[Payment Status]]="Pending","Pending"),"Invalid Input")</f>
        <v>Delivered</v>
      </c>
      <c r="T1941" t="s">
        <v>27</v>
      </c>
      <c r="U1941" t="str" cm="1">
        <f t="array" ref="U1941">IFERROR(_xlfn.IFS(Table1[[#This Row],[Payment Status]]="Partial","In Transit",Table1[[#This Row],[Payment Status]]="Paid","Completed",Table1[[#This Row],[Payment Status]]="Pending","Pending"),"Invalid Input")</f>
        <v>Completed</v>
      </c>
    </row>
    <row r="1942" spans="1:21" x14ac:dyDescent="0.25">
      <c r="A1942" s="4" t="s">
        <v>3154</v>
      </c>
      <c r="B1942" s="5">
        <v>45649</v>
      </c>
      <c r="C1942" t="s">
        <v>73</v>
      </c>
      <c r="D1942" t="s">
        <v>37</v>
      </c>
      <c r="E1942" t="s">
        <v>47</v>
      </c>
      <c r="F1942" t="s">
        <v>3215</v>
      </c>
      <c r="G1942" t="s">
        <v>48</v>
      </c>
      <c r="H1942" t="str">
        <f>VLOOKUP(Table1[[#This Row],[City]],Table6[#All],2,FALSE)</f>
        <v>North</v>
      </c>
      <c r="I1942" t="s">
        <v>58</v>
      </c>
      <c r="J1942" t="str">
        <f>_xlfn.XLOOKUP(Table1[[#This Row],[Tractor Model]],Table7[Product Model],Table7[Product Category],"Not Available",0)</f>
        <v>Powertrac</v>
      </c>
      <c r="K1942" s="4">
        <v>5</v>
      </c>
      <c r="L1942" s="72">
        <v>817404</v>
      </c>
      <c r="M1942" s="4">
        <f>INDEX('Master Sheet'!$C$4:$C$12,MATCH(Table1[[#This Row],[Quantity]],'Master Sheet'!$B$4:$B$12,0))</f>
        <v>7</v>
      </c>
      <c r="N1942" s="71">
        <f>Table1[[#This Row],[Quantity]]*Table1[[#This Row],[Unit Price]]</f>
        <v>4087020</v>
      </c>
      <c r="O1942" s="73">
        <v>0.40870200000000001</v>
      </c>
      <c r="P1942" s="70">
        <f>Table1[[#This Row],[Gross Amount]]*(1-(Table1[[#This Row],[Discount %]]/100))</f>
        <v>3800928.5999999996</v>
      </c>
      <c r="Q1942" s="74">
        <f>(Table1[[#This Row],[Gross Amount]]*(1-(Table1[[#This Row],[Discount %]]/100)))/10000000</f>
        <v>0.38009285999999998</v>
      </c>
      <c r="R1942" t="s">
        <v>54</v>
      </c>
      <c r="S1942" t="str" cm="1">
        <f t="array" ref="S1942">IFERROR(_xlfn.IFS(Table1[[#This Row],[Payment Status]]="Partial","In Transit",Table1[[#This Row],[Payment Status]]="Paid","Delivered",Table1[[#This Row],[Payment Status]]="Pending","Pending"),"Invalid Input")</f>
        <v>Delivered</v>
      </c>
      <c r="T1942" t="s">
        <v>27</v>
      </c>
      <c r="U1942" t="str" cm="1">
        <f t="array" ref="U1942">IFERROR(_xlfn.IFS(Table1[[#This Row],[Payment Status]]="Partial","In Transit",Table1[[#This Row],[Payment Status]]="Paid","Completed",Table1[[#This Row],[Payment Status]]="Pending","Pending"),"Invalid Input")</f>
        <v>Completed</v>
      </c>
    </row>
    <row r="1943" spans="1:21" x14ac:dyDescent="0.25">
      <c r="A1943" s="4" t="s">
        <v>3156</v>
      </c>
      <c r="B1943" s="5">
        <v>45696</v>
      </c>
      <c r="C1943" t="s">
        <v>33</v>
      </c>
      <c r="D1943" t="s">
        <v>3268</v>
      </c>
      <c r="E1943" t="s">
        <v>66</v>
      </c>
      <c r="F1943" t="s">
        <v>3211</v>
      </c>
      <c r="G1943" t="s">
        <v>67</v>
      </c>
      <c r="H1943" t="str">
        <f>VLOOKUP(Table1[[#This Row],[City]],Table6[#All],2,FALSE)</f>
        <v>East</v>
      </c>
      <c r="I1943" t="s">
        <v>58</v>
      </c>
      <c r="J1943" t="str">
        <f>_xlfn.XLOOKUP(Table1[[#This Row],[Tractor Model]],Table7[Product Model],Table7[Product Category],"Not Available",0)</f>
        <v>Powertrac</v>
      </c>
      <c r="K1943" s="4">
        <v>7</v>
      </c>
      <c r="L1943" s="72">
        <v>528353</v>
      </c>
      <c r="M1943" s="4">
        <f>INDEX('Master Sheet'!$C$4:$C$12,MATCH(Table1[[#This Row],[Quantity]],'Master Sheet'!$B$4:$B$12,0))</f>
        <v>9</v>
      </c>
      <c r="N1943" s="71">
        <f>Table1[[#This Row],[Quantity]]*Table1[[#This Row],[Unit Price]]</f>
        <v>3698471</v>
      </c>
      <c r="O1943" s="73">
        <v>0.36984709999999998</v>
      </c>
      <c r="P1943" s="70">
        <f>Table1[[#This Row],[Gross Amount]]*(1-(Table1[[#This Row],[Discount %]]/100))</f>
        <v>3365608.6100000003</v>
      </c>
      <c r="Q1943" s="74">
        <f>(Table1[[#This Row],[Gross Amount]]*(1-(Table1[[#This Row],[Discount %]]/100)))/10000000</f>
        <v>0.33656086100000004</v>
      </c>
      <c r="R1943" t="s">
        <v>25</v>
      </c>
      <c r="S1943" t="str" cm="1">
        <f t="array" ref="S1943">IFERROR(_xlfn.IFS(Table1[[#This Row],[Payment Status]]="Partial","In Transit",Table1[[#This Row],[Payment Status]]="Paid","Delivered",Table1[[#This Row],[Payment Status]]="Pending","Pending"),"Invalid Input")</f>
        <v>In Transit</v>
      </c>
      <c r="T1943" t="s">
        <v>27</v>
      </c>
      <c r="U1943" t="str" cm="1">
        <f t="array" ref="U1943">IFERROR(_xlfn.IFS(Table1[[#This Row],[Payment Status]]="Partial","In Transit",Table1[[#This Row],[Payment Status]]="Paid","Completed",Table1[[#This Row],[Payment Status]]="Pending","Pending"),"Invalid Input")</f>
        <v>In Transit</v>
      </c>
    </row>
    <row r="1944" spans="1:21" x14ac:dyDescent="0.25">
      <c r="A1944" s="4" t="s">
        <v>3157</v>
      </c>
      <c r="B1944" s="5">
        <v>45819</v>
      </c>
      <c r="C1944" t="s">
        <v>73</v>
      </c>
      <c r="D1944" t="s">
        <v>3270</v>
      </c>
      <c r="E1944" t="s">
        <v>47</v>
      </c>
      <c r="F1944" t="s">
        <v>3205</v>
      </c>
      <c r="G1944" t="s">
        <v>48</v>
      </c>
      <c r="H1944" t="str">
        <f>VLOOKUP(Table1[[#This Row],[City]],Table6[#All],2,FALSE)</f>
        <v>North</v>
      </c>
      <c r="I1944" t="s">
        <v>24</v>
      </c>
      <c r="J1944" t="str">
        <f>_xlfn.XLOOKUP(Table1[[#This Row],[Tractor Model]],Table7[Product Model],Table7[Product Category],"Not Available",0)</f>
        <v>Farmtrac</v>
      </c>
      <c r="K1944" s="4">
        <v>2</v>
      </c>
      <c r="L1944" s="72">
        <v>738737</v>
      </c>
      <c r="M1944" s="4">
        <f>INDEX('Master Sheet'!$C$4:$C$12,MATCH(Table1[[#This Row],[Quantity]],'Master Sheet'!$B$4:$B$12,0))</f>
        <v>5</v>
      </c>
      <c r="N1944" s="71">
        <f>Table1[[#This Row],[Quantity]]*Table1[[#This Row],[Unit Price]]</f>
        <v>1477474</v>
      </c>
      <c r="O1944" s="73">
        <v>0.1477474</v>
      </c>
      <c r="P1944" s="70">
        <f>Table1[[#This Row],[Gross Amount]]*(1-(Table1[[#This Row],[Discount %]]/100))</f>
        <v>1403600.3</v>
      </c>
      <c r="Q1944" s="74">
        <f>(Table1[[#This Row],[Gross Amount]]*(1-(Table1[[#This Row],[Discount %]]/100)))/10000000</f>
        <v>0.14036003</v>
      </c>
      <c r="R1944" t="s">
        <v>25</v>
      </c>
      <c r="S1944" t="str" cm="1">
        <f t="array" ref="S1944">IFERROR(_xlfn.IFS(Table1[[#This Row],[Payment Status]]="Partial","In Transit",Table1[[#This Row],[Payment Status]]="Paid","Delivered",Table1[[#This Row],[Payment Status]]="Pending","Pending"),"Invalid Input")</f>
        <v>In Transit</v>
      </c>
      <c r="T1944" t="s">
        <v>27</v>
      </c>
      <c r="U1944" t="str" cm="1">
        <f t="array" ref="U1944">IFERROR(_xlfn.IFS(Table1[[#This Row],[Payment Status]]="Partial","In Transit",Table1[[#This Row],[Payment Status]]="Paid","Completed",Table1[[#This Row],[Payment Status]]="Pending","Pending"),"Invalid Input")</f>
        <v>In Transit</v>
      </c>
    </row>
    <row r="1945" spans="1:21" x14ac:dyDescent="0.25">
      <c r="A1945" s="4" t="s">
        <v>3158</v>
      </c>
      <c r="B1945" s="5">
        <v>45606</v>
      </c>
      <c r="C1945" t="s">
        <v>41</v>
      </c>
      <c r="D1945" t="s">
        <v>3270</v>
      </c>
      <c r="E1945" t="s">
        <v>119</v>
      </c>
      <c r="F1945" t="s">
        <v>3212</v>
      </c>
      <c r="G1945" t="s">
        <v>21</v>
      </c>
      <c r="H1945" t="str">
        <f>VLOOKUP(Table1[[#This Row],[City]],Table6[#All],2,FALSE)</f>
        <v>North</v>
      </c>
      <c r="I1945" t="s">
        <v>53</v>
      </c>
      <c r="J1945" t="str">
        <f>_xlfn.XLOOKUP(Table1[[#This Row],[Tractor Model]],Table7[Product Model],Table7[Product Category],"Not Available",0)</f>
        <v>Farmtrac</v>
      </c>
      <c r="K1945" s="4">
        <v>7</v>
      </c>
      <c r="L1945" s="72">
        <v>173818</v>
      </c>
      <c r="M1945" s="4">
        <f>INDEX('Master Sheet'!$C$4:$C$12,MATCH(Table1[[#This Row],[Quantity]],'Master Sheet'!$B$4:$B$12,0))</f>
        <v>9</v>
      </c>
      <c r="N1945" s="71">
        <f>Table1[[#This Row],[Quantity]]*Table1[[#This Row],[Unit Price]]</f>
        <v>1216726</v>
      </c>
      <c r="O1945" s="73">
        <v>0.12167260000000001</v>
      </c>
      <c r="P1945" s="70">
        <f>Table1[[#This Row],[Gross Amount]]*(1-(Table1[[#This Row],[Discount %]]/100))</f>
        <v>1107220.6600000001</v>
      </c>
      <c r="Q1945" s="74">
        <f>(Table1[[#This Row],[Gross Amount]]*(1-(Table1[[#This Row],[Discount %]]/100)))/10000000</f>
        <v>0.11072206600000002</v>
      </c>
      <c r="R1945" t="s">
        <v>54</v>
      </c>
      <c r="S1945" t="str" cm="1">
        <f t="array" ref="S1945">IFERROR(_xlfn.IFS(Table1[[#This Row],[Payment Status]]="Partial","In Transit",Table1[[#This Row],[Payment Status]]="Paid","Delivered",Table1[[#This Row],[Payment Status]]="Pending","Pending"),"Invalid Input")</f>
        <v>Delivered</v>
      </c>
      <c r="T1945" t="s">
        <v>27</v>
      </c>
      <c r="U1945" t="str" cm="1">
        <f t="array" ref="U1945">IFERROR(_xlfn.IFS(Table1[[#This Row],[Payment Status]]="Partial","In Transit",Table1[[#This Row],[Payment Status]]="Paid","Completed",Table1[[#This Row],[Payment Status]]="Pending","Pending"),"Invalid Input")</f>
        <v>Completed</v>
      </c>
    </row>
    <row r="1946" spans="1:21" x14ac:dyDescent="0.25">
      <c r="A1946" s="4" t="s">
        <v>3160</v>
      </c>
      <c r="B1946" s="5">
        <v>45320</v>
      </c>
      <c r="C1946" t="s">
        <v>33</v>
      </c>
      <c r="D1946" t="s">
        <v>37</v>
      </c>
      <c r="E1946" t="s">
        <v>119</v>
      </c>
      <c r="F1946" t="s">
        <v>3224</v>
      </c>
      <c r="G1946" t="s">
        <v>21</v>
      </c>
      <c r="H1946" t="str">
        <f>VLOOKUP(Table1[[#This Row],[City]],Table6[#All],2,FALSE)</f>
        <v>North</v>
      </c>
      <c r="I1946" t="s">
        <v>58</v>
      </c>
      <c r="J1946" t="str">
        <f>_xlfn.XLOOKUP(Table1[[#This Row],[Tractor Model]],Table7[Product Model],Table7[Product Category],"Not Available",0)</f>
        <v>Powertrac</v>
      </c>
      <c r="K1946" s="4">
        <v>2</v>
      </c>
      <c r="L1946" s="72">
        <v>805406</v>
      </c>
      <c r="M1946" s="4">
        <f>INDEX('Master Sheet'!$C$4:$C$12,MATCH(Table1[[#This Row],[Quantity]],'Master Sheet'!$B$4:$B$12,0))</f>
        <v>5</v>
      </c>
      <c r="N1946" s="71">
        <f>Table1[[#This Row],[Quantity]]*Table1[[#This Row],[Unit Price]]</f>
        <v>1610812</v>
      </c>
      <c r="O1946" s="73">
        <v>0.16108120000000001</v>
      </c>
      <c r="P1946" s="70">
        <f>Table1[[#This Row],[Gross Amount]]*(1-(Table1[[#This Row],[Discount %]]/100))</f>
        <v>1530271.4</v>
      </c>
      <c r="Q1946" s="74">
        <f>(Table1[[#This Row],[Gross Amount]]*(1-(Table1[[#This Row],[Discount %]]/100)))/10000000</f>
        <v>0.15302713999999998</v>
      </c>
      <c r="R1946" t="s">
        <v>54</v>
      </c>
      <c r="S1946" t="str" cm="1">
        <f t="array" ref="S1946">IFERROR(_xlfn.IFS(Table1[[#This Row],[Payment Status]]="Partial","In Transit",Table1[[#This Row],[Payment Status]]="Paid","Delivered",Table1[[#This Row],[Payment Status]]="Pending","Pending"),"Invalid Input")</f>
        <v>Delivered</v>
      </c>
      <c r="T1946" t="s">
        <v>27</v>
      </c>
      <c r="U1946" t="str" cm="1">
        <f t="array" ref="U1946">IFERROR(_xlfn.IFS(Table1[[#This Row],[Payment Status]]="Partial","In Transit",Table1[[#This Row],[Payment Status]]="Paid","Completed",Table1[[#This Row],[Payment Status]]="Pending","Pending"),"Invalid Input")</f>
        <v>Completed</v>
      </c>
    </row>
    <row r="1947" spans="1:21" x14ac:dyDescent="0.25">
      <c r="A1947" s="4" t="s">
        <v>3161</v>
      </c>
      <c r="B1947" s="5">
        <v>45814</v>
      </c>
      <c r="C1947" t="s">
        <v>41</v>
      </c>
      <c r="D1947" t="s">
        <v>3268</v>
      </c>
      <c r="E1947" t="s">
        <v>30</v>
      </c>
      <c r="F1947" t="s">
        <v>3208</v>
      </c>
      <c r="G1947" t="s">
        <v>31</v>
      </c>
      <c r="H1947" t="str">
        <f>VLOOKUP(Table1[[#This Row],[City]],Table6[#All],2,FALSE)</f>
        <v>South</v>
      </c>
      <c r="I1947" t="s">
        <v>53</v>
      </c>
      <c r="J1947" t="str">
        <f>_xlfn.XLOOKUP(Table1[[#This Row],[Tractor Model]],Table7[Product Model],Table7[Product Category],"Not Available",0)</f>
        <v>Farmtrac</v>
      </c>
      <c r="K1947" s="4">
        <v>1</v>
      </c>
      <c r="L1947" s="72">
        <v>119228</v>
      </c>
      <c r="M1947" s="4">
        <f>INDEX('Master Sheet'!$C$4:$C$12,MATCH(Table1[[#This Row],[Quantity]],'Master Sheet'!$B$4:$B$12,0))</f>
        <v>3</v>
      </c>
      <c r="N1947" s="71">
        <f>Table1[[#This Row],[Quantity]]*Table1[[#This Row],[Unit Price]]</f>
        <v>119228</v>
      </c>
      <c r="O1947" s="73">
        <v>1.1922800000000001E-2</v>
      </c>
      <c r="P1947" s="70">
        <f>Table1[[#This Row],[Gross Amount]]*(1-(Table1[[#This Row],[Discount %]]/100))</f>
        <v>115651.16</v>
      </c>
      <c r="Q1947" s="74">
        <f>(Table1[[#This Row],[Gross Amount]]*(1-(Table1[[#This Row],[Discount %]]/100)))/10000000</f>
        <v>1.1565116E-2</v>
      </c>
      <c r="R1947" t="s">
        <v>25</v>
      </c>
      <c r="S1947" t="str" cm="1">
        <f t="array" ref="S1947">IFERROR(_xlfn.IFS(Table1[[#This Row],[Payment Status]]="Partial","In Transit",Table1[[#This Row],[Payment Status]]="Paid","Delivered",Table1[[#This Row],[Payment Status]]="Pending","Pending"),"Invalid Input")</f>
        <v>In Transit</v>
      </c>
      <c r="T1947" t="s">
        <v>44</v>
      </c>
      <c r="U1947" t="str" cm="1">
        <f t="array" ref="U1947">IFERROR(_xlfn.IFS(Table1[[#This Row],[Payment Status]]="Partial","In Transit",Table1[[#This Row],[Payment Status]]="Paid","Completed",Table1[[#This Row],[Payment Status]]="Pending","Pending"),"Invalid Input")</f>
        <v>In Transit</v>
      </c>
    </row>
    <row r="1948" spans="1:21" x14ac:dyDescent="0.25">
      <c r="A1948" s="4" t="s">
        <v>3163</v>
      </c>
      <c r="B1948" s="5">
        <v>45468</v>
      </c>
      <c r="C1948" t="s">
        <v>33</v>
      </c>
      <c r="D1948" t="s">
        <v>3269</v>
      </c>
      <c r="E1948" t="s">
        <v>30</v>
      </c>
      <c r="F1948" t="s">
        <v>3225</v>
      </c>
      <c r="G1948" t="s">
        <v>31</v>
      </c>
      <c r="H1948" t="str">
        <f>VLOOKUP(Table1[[#This Row],[City]],Table6[#All],2,FALSE)</f>
        <v>South</v>
      </c>
      <c r="I1948" t="s">
        <v>24</v>
      </c>
      <c r="J1948" t="str">
        <f>_xlfn.XLOOKUP(Table1[[#This Row],[Tractor Model]],Table7[Product Model],Table7[Product Category],"Not Available",0)</f>
        <v>Farmtrac</v>
      </c>
      <c r="K1948" s="4">
        <v>3</v>
      </c>
      <c r="L1948" s="72">
        <v>191964</v>
      </c>
      <c r="M1948" s="4">
        <f>INDEX('Master Sheet'!$C$4:$C$12,MATCH(Table1[[#This Row],[Quantity]],'Master Sheet'!$B$4:$B$12,0))</f>
        <v>6</v>
      </c>
      <c r="N1948" s="71">
        <f>Table1[[#This Row],[Quantity]]*Table1[[#This Row],[Unit Price]]</f>
        <v>575892</v>
      </c>
      <c r="O1948" s="73">
        <v>5.75892E-2</v>
      </c>
      <c r="P1948" s="70">
        <f>Table1[[#This Row],[Gross Amount]]*(1-(Table1[[#This Row],[Discount %]]/100))</f>
        <v>541338.48</v>
      </c>
      <c r="Q1948" s="74">
        <f>(Table1[[#This Row],[Gross Amount]]*(1-(Table1[[#This Row],[Discount %]]/100)))/10000000</f>
        <v>5.4133847999999998E-2</v>
      </c>
      <c r="R1948" t="s">
        <v>54</v>
      </c>
      <c r="S1948" t="str" cm="1">
        <f t="array" ref="S1948">IFERROR(_xlfn.IFS(Table1[[#This Row],[Payment Status]]="Partial","In Transit",Table1[[#This Row],[Payment Status]]="Paid","Delivered",Table1[[#This Row],[Payment Status]]="Pending","Pending"),"Invalid Input")</f>
        <v>Delivered</v>
      </c>
      <c r="T1948" t="s">
        <v>44</v>
      </c>
      <c r="U1948" t="str" cm="1">
        <f t="array" ref="U1948">IFERROR(_xlfn.IFS(Table1[[#This Row],[Payment Status]]="Partial","In Transit",Table1[[#This Row],[Payment Status]]="Paid","Completed",Table1[[#This Row],[Payment Status]]="Pending","Pending"),"Invalid Input")</f>
        <v>Completed</v>
      </c>
    </row>
    <row r="1949" spans="1:21" x14ac:dyDescent="0.25">
      <c r="A1949" s="4" t="s">
        <v>3164</v>
      </c>
      <c r="B1949" s="5">
        <v>45494</v>
      </c>
      <c r="C1949" t="s">
        <v>52</v>
      </c>
      <c r="D1949" t="s">
        <v>3270</v>
      </c>
      <c r="E1949" t="s">
        <v>66</v>
      </c>
      <c r="F1949" t="s">
        <v>3220</v>
      </c>
      <c r="G1949" t="s">
        <v>67</v>
      </c>
      <c r="H1949" t="str">
        <f>VLOOKUP(Table1[[#This Row],[City]],Table6[#All],2,FALSE)</f>
        <v>East</v>
      </c>
      <c r="I1949" t="s">
        <v>24</v>
      </c>
      <c r="J1949" t="str">
        <f>_xlfn.XLOOKUP(Table1[[#This Row],[Tractor Model]],Table7[Product Model],Table7[Product Category],"Not Available",0)</f>
        <v>Farmtrac</v>
      </c>
      <c r="K1949" s="4">
        <v>4</v>
      </c>
      <c r="L1949" s="72">
        <v>615203</v>
      </c>
      <c r="M1949" s="4">
        <f>INDEX('Master Sheet'!$C$4:$C$12,MATCH(Table1[[#This Row],[Quantity]],'Master Sheet'!$B$4:$B$12,0))</f>
        <v>6</v>
      </c>
      <c r="N1949" s="71">
        <f>Table1[[#This Row],[Quantity]]*Table1[[#This Row],[Unit Price]]</f>
        <v>2460812</v>
      </c>
      <c r="O1949" s="73">
        <v>0.2460812</v>
      </c>
      <c r="P1949" s="70">
        <f>Table1[[#This Row],[Gross Amount]]*(1-(Table1[[#This Row],[Discount %]]/100))</f>
        <v>2313163.2799999998</v>
      </c>
      <c r="Q1949" s="74">
        <f>(Table1[[#This Row],[Gross Amount]]*(1-(Table1[[#This Row],[Discount %]]/100)))/10000000</f>
        <v>0.23131632799999999</v>
      </c>
      <c r="R1949" t="s">
        <v>42</v>
      </c>
      <c r="S1949" t="str" cm="1">
        <f t="array" ref="S1949">IFERROR(_xlfn.IFS(Table1[[#This Row],[Payment Status]]="Partial","In Transit",Table1[[#This Row],[Payment Status]]="Paid","Delivered",Table1[[#This Row],[Payment Status]]="Pending","Pending"),"Invalid Input")</f>
        <v>Pending</v>
      </c>
      <c r="T1949" t="s">
        <v>44</v>
      </c>
      <c r="U1949" t="str" cm="1">
        <f t="array" ref="U1949">IFERROR(_xlfn.IFS(Table1[[#This Row],[Payment Status]]="Partial","In Transit",Table1[[#This Row],[Payment Status]]="Paid","Completed",Table1[[#This Row],[Payment Status]]="Pending","Pending"),"Invalid Input")</f>
        <v>Pending</v>
      </c>
    </row>
    <row r="1950" spans="1:21" x14ac:dyDescent="0.25">
      <c r="A1950" s="4" t="s">
        <v>3165</v>
      </c>
      <c r="B1950" s="5">
        <v>45338</v>
      </c>
      <c r="C1950" t="s">
        <v>52</v>
      </c>
      <c r="D1950" t="s">
        <v>3268</v>
      </c>
      <c r="E1950" t="s">
        <v>30</v>
      </c>
      <c r="F1950" t="s">
        <v>3208</v>
      </c>
      <c r="G1950" t="s">
        <v>31</v>
      </c>
      <c r="H1950" t="str">
        <f>VLOOKUP(Table1[[#This Row],[City]],Table6[#All],2,FALSE)</f>
        <v>South</v>
      </c>
      <c r="I1950" t="s">
        <v>3203</v>
      </c>
      <c r="J1950" t="str">
        <f>_xlfn.XLOOKUP(Table1[[#This Row],[Tractor Model]],Table7[Product Model],Table7[Product Category],"Not Available",0)</f>
        <v>Kubota</v>
      </c>
      <c r="K1950" s="4">
        <v>4</v>
      </c>
      <c r="L1950" s="72">
        <v>608221</v>
      </c>
      <c r="M1950" s="4">
        <f>INDEX('Master Sheet'!$C$4:$C$12,MATCH(Table1[[#This Row],[Quantity]],'Master Sheet'!$B$4:$B$12,0))</f>
        <v>6</v>
      </c>
      <c r="N1950" s="71">
        <f>Table1[[#This Row],[Quantity]]*Table1[[#This Row],[Unit Price]]</f>
        <v>2432884</v>
      </c>
      <c r="O1950" s="73">
        <v>0.24328839999999999</v>
      </c>
      <c r="P1950" s="70">
        <f>Table1[[#This Row],[Gross Amount]]*(1-(Table1[[#This Row],[Discount %]]/100))</f>
        <v>2286910.96</v>
      </c>
      <c r="Q1950" s="74">
        <f>(Table1[[#This Row],[Gross Amount]]*(1-(Table1[[#This Row],[Discount %]]/100)))/10000000</f>
        <v>0.22869109599999998</v>
      </c>
      <c r="R1950" t="s">
        <v>54</v>
      </c>
      <c r="S1950" t="str" cm="1">
        <f t="array" ref="S1950">IFERROR(_xlfn.IFS(Table1[[#This Row],[Payment Status]]="Partial","In Transit",Table1[[#This Row],[Payment Status]]="Paid","Delivered",Table1[[#This Row],[Payment Status]]="Pending","Pending"),"Invalid Input")</f>
        <v>Delivered</v>
      </c>
      <c r="T1950" t="s">
        <v>27</v>
      </c>
      <c r="U1950" t="str" cm="1">
        <f t="array" ref="U1950">IFERROR(_xlfn.IFS(Table1[[#This Row],[Payment Status]]="Partial","In Transit",Table1[[#This Row],[Payment Status]]="Paid","Completed",Table1[[#This Row],[Payment Status]]="Pending","Pending"),"Invalid Input")</f>
        <v>Completed</v>
      </c>
    </row>
    <row r="1951" spans="1:21" x14ac:dyDescent="0.25">
      <c r="A1951" s="4" t="s">
        <v>3167</v>
      </c>
      <c r="B1951" s="5">
        <v>45729</v>
      </c>
      <c r="C1951" t="s">
        <v>52</v>
      </c>
      <c r="D1951" t="s">
        <v>3270</v>
      </c>
      <c r="E1951" t="s">
        <v>66</v>
      </c>
      <c r="F1951" t="s">
        <v>3220</v>
      </c>
      <c r="G1951" t="s">
        <v>67</v>
      </c>
      <c r="H1951" t="str">
        <f>VLOOKUP(Table1[[#This Row],[City]],Table6[#All],2,FALSE)</f>
        <v>East</v>
      </c>
      <c r="I1951" t="s">
        <v>3204</v>
      </c>
      <c r="J1951" t="str">
        <f>_xlfn.XLOOKUP(Table1[[#This Row],[Tractor Model]],Table7[Product Model],Table7[Product Category],"Not Available",0)</f>
        <v>Kubota</v>
      </c>
      <c r="K1951" s="4">
        <v>1</v>
      </c>
      <c r="L1951" s="72">
        <v>379866</v>
      </c>
      <c r="M1951" s="4">
        <f>INDEX('Master Sheet'!$C$4:$C$12,MATCH(Table1[[#This Row],[Quantity]],'Master Sheet'!$B$4:$B$12,0))</f>
        <v>3</v>
      </c>
      <c r="N1951" s="71">
        <f>Table1[[#This Row],[Quantity]]*Table1[[#This Row],[Unit Price]]</f>
        <v>379866</v>
      </c>
      <c r="O1951" s="73">
        <v>3.7986600000000002E-2</v>
      </c>
      <c r="P1951" s="70">
        <f>Table1[[#This Row],[Gross Amount]]*(1-(Table1[[#This Row],[Discount %]]/100))</f>
        <v>368470.02</v>
      </c>
      <c r="Q1951" s="74">
        <f>(Table1[[#This Row],[Gross Amount]]*(1-(Table1[[#This Row],[Discount %]]/100)))/10000000</f>
        <v>3.6847002000000004E-2</v>
      </c>
      <c r="R1951" t="s">
        <v>25</v>
      </c>
      <c r="S1951" t="str" cm="1">
        <f t="array" ref="S1951">IFERROR(_xlfn.IFS(Table1[[#This Row],[Payment Status]]="Partial","In Transit",Table1[[#This Row],[Payment Status]]="Paid","Delivered",Table1[[#This Row],[Payment Status]]="Pending","Pending"),"Invalid Input")</f>
        <v>In Transit</v>
      </c>
      <c r="T1951" t="s">
        <v>27</v>
      </c>
      <c r="U1951" t="str" cm="1">
        <f t="array" ref="U1951">IFERROR(_xlfn.IFS(Table1[[#This Row],[Payment Status]]="Partial","In Transit",Table1[[#This Row],[Payment Status]]="Paid","Completed",Table1[[#This Row],[Payment Status]]="Pending","Pending"),"Invalid Input")</f>
        <v>In Transit</v>
      </c>
    </row>
    <row r="1952" spans="1:21" x14ac:dyDescent="0.25">
      <c r="A1952" s="4" t="s">
        <v>3168</v>
      </c>
      <c r="B1952" s="5">
        <v>45596</v>
      </c>
      <c r="C1952" t="s">
        <v>73</v>
      </c>
      <c r="D1952" t="s">
        <v>3268</v>
      </c>
      <c r="E1952" t="s">
        <v>119</v>
      </c>
      <c r="F1952" t="s">
        <v>3227</v>
      </c>
      <c r="G1952" t="s">
        <v>21</v>
      </c>
      <c r="H1952" t="str">
        <f>VLOOKUP(Table1[[#This Row],[City]],Table6[#All],2,FALSE)</f>
        <v>North</v>
      </c>
      <c r="I1952" t="s">
        <v>24</v>
      </c>
      <c r="J1952" t="str">
        <f>_xlfn.XLOOKUP(Table1[[#This Row],[Tractor Model]],Table7[Product Model],Table7[Product Category],"Not Available",0)</f>
        <v>Farmtrac</v>
      </c>
      <c r="K1952" s="4">
        <v>8</v>
      </c>
      <c r="L1952" s="72">
        <v>184940</v>
      </c>
      <c r="M1952" s="4">
        <f>INDEX('Master Sheet'!$C$4:$C$12,MATCH(Table1[[#This Row],[Quantity]],'Master Sheet'!$B$4:$B$12,0))</f>
        <v>9</v>
      </c>
      <c r="N1952" s="71">
        <f>Table1[[#This Row],[Quantity]]*Table1[[#This Row],[Unit Price]]</f>
        <v>1479520</v>
      </c>
      <c r="O1952" s="73">
        <v>0.147952</v>
      </c>
      <c r="P1952" s="70">
        <f>Table1[[#This Row],[Gross Amount]]*(1-(Table1[[#This Row],[Discount %]]/100))</f>
        <v>1346363.2</v>
      </c>
      <c r="Q1952" s="74">
        <f>(Table1[[#This Row],[Gross Amount]]*(1-(Table1[[#This Row],[Discount %]]/100)))/10000000</f>
        <v>0.13463632</v>
      </c>
      <c r="R1952" t="s">
        <v>42</v>
      </c>
      <c r="S1952" t="str" cm="1">
        <f t="array" ref="S1952">IFERROR(_xlfn.IFS(Table1[[#This Row],[Payment Status]]="Partial","In Transit",Table1[[#This Row],[Payment Status]]="Paid","Delivered",Table1[[#This Row],[Payment Status]]="Pending","Pending"),"Invalid Input")</f>
        <v>Pending</v>
      </c>
      <c r="T1952" t="s">
        <v>27</v>
      </c>
      <c r="U1952" t="str" cm="1">
        <f t="array" ref="U1952">IFERROR(_xlfn.IFS(Table1[[#This Row],[Payment Status]]="Partial","In Transit",Table1[[#This Row],[Payment Status]]="Paid","Completed",Table1[[#This Row],[Payment Status]]="Pending","Pending"),"Invalid Input")</f>
        <v>Pending</v>
      </c>
    </row>
    <row r="1953" spans="1:21" x14ac:dyDescent="0.25">
      <c r="A1953" s="4" t="s">
        <v>3169</v>
      </c>
      <c r="B1953" s="5">
        <v>45419</v>
      </c>
      <c r="C1953" t="s">
        <v>41</v>
      </c>
      <c r="D1953" t="s">
        <v>3268</v>
      </c>
      <c r="E1953" t="s">
        <v>38</v>
      </c>
      <c r="F1953" t="s">
        <v>3219</v>
      </c>
      <c r="G1953" t="s">
        <v>39</v>
      </c>
      <c r="H1953" t="str">
        <f>VLOOKUP(Table1[[#This Row],[City]],Table6[#All],2,FALSE)</f>
        <v>West</v>
      </c>
      <c r="I1953" t="s">
        <v>3204</v>
      </c>
      <c r="J1953" t="str">
        <f>_xlfn.XLOOKUP(Table1[[#This Row],[Tractor Model]],Table7[Product Model],Table7[Product Category],"Not Available",0)</f>
        <v>Kubota</v>
      </c>
      <c r="K1953" s="4">
        <v>7</v>
      </c>
      <c r="L1953" s="72">
        <v>154309</v>
      </c>
      <c r="M1953" s="4">
        <f>INDEX('Master Sheet'!$C$4:$C$12,MATCH(Table1[[#This Row],[Quantity]],'Master Sheet'!$B$4:$B$12,0))</f>
        <v>9</v>
      </c>
      <c r="N1953" s="71">
        <f>Table1[[#This Row],[Quantity]]*Table1[[#This Row],[Unit Price]]</f>
        <v>1080163</v>
      </c>
      <c r="O1953" s="73">
        <v>0.1080163</v>
      </c>
      <c r="P1953" s="70">
        <f>Table1[[#This Row],[Gross Amount]]*(1-(Table1[[#This Row],[Discount %]]/100))</f>
        <v>982948.33000000007</v>
      </c>
      <c r="Q1953" s="74">
        <f>(Table1[[#This Row],[Gross Amount]]*(1-(Table1[[#This Row],[Discount %]]/100)))/10000000</f>
        <v>9.8294833000000012E-2</v>
      </c>
      <c r="R1953" t="s">
        <v>54</v>
      </c>
      <c r="S1953" t="str" cm="1">
        <f t="array" ref="S1953">IFERROR(_xlfn.IFS(Table1[[#This Row],[Payment Status]]="Partial","In Transit",Table1[[#This Row],[Payment Status]]="Paid","Delivered",Table1[[#This Row],[Payment Status]]="Pending","Pending"),"Invalid Input")</f>
        <v>Delivered</v>
      </c>
      <c r="T1953" t="s">
        <v>27</v>
      </c>
      <c r="U1953" t="str" cm="1">
        <f t="array" ref="U1953">IFERROR(_xlfn.IFS(Table1[[#This Row],[Payment Status]]="Partial","In Transit",Table1[[#This Row],[Payment Status]]="Paid","Completed",Table1[[#This Row],[Payment Status]]="Pending","Pending"),"Invalid Input")</f>
        <v>Completed</v>
      </c>
    </row>
    <row r="1954" spans="1:21" x14ac:dyDescent="0.25">
      <c r="A1954" s="4" t="s">
        <v>3170</v>
      </c>
      <c r="B1954" s="5">
        <v>45509</v>
      </c>
      <c r="C1954" t="s">
        <v>52</v>
      </c>
      <c r="D1954" t="s">
        <v>3268</v>
      </c>
      <c r="E1954" t="s">
        <v>47</v>
      </c>
      <c r="F1954" t="s">
        <v>3216</v>
      </c>
      <c r="G1954" t="s">
        <v>48</v>
      </c>
      <c r="H1954" t="str">
        <f>VLOOKUP(Table1[[#This Row],[City]],Table6[#All],2,FALSE)</f>
        <v>North</v>
      </c>
      <c r="I1954" t="s">
        <v>3203</v>
      </c>
      <c r="J1954" t="str">
        <f>_xlfn.XLOOKUP(Table1[[#This Row],[Tractor Model]],Table7[Product Model],Table7[Product Category],"Not Available",0)</f>
        <v>Kubota</v>
      </c>
      <c r="K1954" s="4">
        <v>6</v>
      </c>
      <c r="L1954" s="72">
        <v>570967</v>
      </c>
      <c r="M1954" s="4">
        <f>INDEX('Master Sheet'!$C$4:$C$12,MATCH(Table1[[#This Row],[Quantity]],'Master Sheet'!$B$4:$B$12,0))</f>
        <v>8</v>
      </c>
      <c r="N1954" s="71">
        <f>Table1[[#This Row],[Quantity]]*Table1[[#This Row],[Unit Price]]</f>
        <v>3425802</v>
      </c>
      <c r="O1954" s="73">
        <v>0.3425802</v>
      </c>
      <c r="P1954" s="70">
        <f>Table1[[#This Row],[Gross Amount]]*(1-(Table1[[#This Row],[Discount %]]/100))</f>
        <v>3151737.8400000003</v>
      </c>
      <c r="Q1954" s="74">
        <f>(Table1[[#This Row],[Gross Amount]]*(1-(Table1[[#This Row],[Discount %]]/100)))/10000000</f>
        <v>0.31517378400000001</v>
      </c>
      <c r="R1954" t="s">
        <v>25</v>
      </c>
      <c r="S1954" t="str" cm="1">
        <f t="array" ref="S1954">IFERROR(_xlfn.IFS(Table1[[#This Row],[Payment Status]]="Partial","In Transit",Table1[[#This Row],[Payment Status]]="Paid","Delivered",Table1[[#This Row],[Payment Status]]="Pending","Pending"),"Invalid Input")</f>
        <v>In Transit</v>
      </c>
      <c r="T1954" t="s">
        <v>27</v>
      </c>
      <c r="U1954" t="str" cm="1">
        <f t="array" ref="U1954">IFERROR(_xlfn.IFS(Table1[[#This Row],[Payment Status]]="Partial","In Transit",Table1[[#This Row],[Payment Status]]="Paid","Completed",Table1[[#This Row],[Payment Status]]="Pending","Pending"),"Invalid Input")</f>
        <v>In Transit</v>
      </c>
    </row>
    <row r="1955" spans="1:21" x14ac:dyDescent="0.25">
      <c r="A1955" s="4" t="s">
        <v>3171</v>
      </c>
      <c r="B1955" s="5">
        <v>45754</v>
      </c>
      <c r="C1955" t="s">
        <v>41</v>
      </c>
      <c r="D1955" t="s">
        <v>3269</v>
      </c>
      <c r="E1955" t="s">
        <v>38</v>
      </c>
      <c r="F1955" t="s">
        <v>3206</v>
      </c>
      <c r="G1955" t="s">
        <v>39</v>
      </c>
      <c r="H1955" t="str">
        <f>VLOOKUP(Table1[[#This Row],[City]],Table6[#All],2,FALSE)</f>
        <v>West</v>
      </c>
      <c r="I1955" t="s">
        <v>24</v>
      </c>
      <c r="J1955" t="str">
        <f>_xlfn.XLOOKUP(Table1[[#This Row],[Tractor Model]],Table7[Product Model],Table7[Product Category],"Not Available",0)</f>
        <v>Farmtrac</v>
      </c>
      <c r="K1955" s="4">
        <v>7</v>
      </c>
      <c r="L1955" s="72">
        <v>783599</v>
      </c>
      <c r="M1955" s="4">
        <f>INDEX('Master Sheet'!$C$4:$C$12,MATCH(Table1[[#This Row],[Quantity]],'Master Sheet'!$B$4:$B$12,0))</f>
        <v>9</v>
      </c>
      <c r="N1955" s="71">
        <f>Table1[[#This Row],[Quantity]]*Table1[[#This Row],[Unit Price]]</f>
        <v>5485193</v>
      </c>
      <c r="O1955" s="73">
        <v>0.54851930000000004</v>
      </c>
      <c r="P1955" s="70">
        <f>Table1[[#This Row],[Gross Amount]]*(1-(Table1[[#This Row],[Discount %]]/100))</f>
        <v>4991525.63</v>
      </c>
      <c r="Q1955" s="74">
        <f>(Table1[[#This Row],[Gross Amount]]*(1-(Table1[[#This Row],[Discount %]]/100)))/10000000</f>
        <v>0.49915256299999999</v>
      </c>
      <c r="R1955" t="s">
        <v>25</v>
      </c>
      <c r="S1955" t="str" cm="1">
        <f t="array" ref="S1955">IFERROR(_xlfn.IFS(Table1[[#This Row],[Payment Status]]="Partial","In Transit",Table1[[#This Row],[Payment Status]]="Paid","Delivered",Table1[[#This Row],[Payment Status]]="Pending","Pending"),"Invalid Input")</f>
        <v>In Transit</v>
      </c>
      <c r="T1955" t="s">
        <v>27</v>
      </c>
      <c r="U1955" t="str" cm="1">
        <f t="array" ref="U1955">IFERROR(_xlfn.IFS(Table1[[#This Row],[Payment Status]]="Partial","In Transit",Table1[[#This Row],[Payment Status]]="Paid","Completed",Table1[[#This Row],[Payment Status]]="Pending","Pending"),"Invalid Input")</f>
        <v>In Transit</v>
      </c>
    </row>
    <row r="1956" spans="1:21" x14ac:dyDescent="0.25">
      <c r="A1956" s="4" t="s">
        <v>3172</v>
      </c>
      <c r="B1956" s="5">
        <v>45707</v>
      </c>
      <c r="C1956" t="s">
        <v>62</v>
      </c>
      <c r="D1956" t="s">
        <v>37</v>
      </c>
      <c r="E1956" t="s">
        <v>66</v>
      </c>
      <c r="F1956" t="s">
        <v>3226</v>
      </c>
      <c r="G1956" t="s">
        <v>67</v>
      </c>
      <c r="H1956" t="str">
        <f>VLOOKUP(Table1[[#This Row],[City]],Table6[#All],2,FALSE)</f>
        <v>East</v>
      </c>
      <c r="I1956" t="s">
        <v>3204</v>
      </c>
      <c r="J1956" t="str">
        <f>_xlfn.XLOOKUP(Table1[[#This Row],[Tractor Model]],Table7[Product Model],Table7[Product Category],"Not Available",0)</f>
        <v>Kubota</v>
      </c>
      <c r="K1956" s="4">
        <v>4</v>
      </c>
      <c r="L1956" s="72">
        <v>704971</v>
      </c>
      <c r="M1956" s="4">
        <f>INDEX('Master Sheet'!$C$4:$C$12,MATCH(Table1[[#This Row],[Quantity]],'Master Sheet'!$B$4:$B$12,0))</f>
        <v>6</v>
      </c>
      <c r="N1956" s="71">
        <f>Table1[[#This Row],[Quantity]]*Table1[[#This Row],[Unit Price]]</f>
        <v>2819884</v>
      </c>
      <c r="O1956" s="73">
        <v>0.28198839999999997</v>
      </c>
      <c r="P1956" s="70">
        <f>Table1[[#This Row],[Gross Amount]]*(1-(Table1[[#This Row],[Discount %]]/100))</f>
        <v>2650690.96</v>
      </c>
      <c r="Q1956" s="74">
        <f>(Table1[[#This Row],[Gross Amount]]*(1-(Table1[[#This Row],[Discount %]]/100)))/10000000</f>
        <v>0.265069096</v>
      </c>
      <c r="R1956" t="s">
        <v>54</v>
      </c>
      <c r="S1956" t="str" cm="1">
        <f t="array" ref="S1956">IFERROR(_xlfn.IFS(Table1[[#This Row],[Payment Status]]="Partial","In Transit",Table1[[#This Row],[Payment Status]]="Paid","Delivered",Table1[[#This Row],[Payment Status]]="Pending","Pending"),"Invalid Input")</f>
        <v>Delivered</v>
      </c>
      <c r="T1956" t="s">
        <v>27</v>
      </c>
      <c r="U1956" t="str" cm="1">
        <f t="array" ref="U1956">IFERROR(_xlfn.IFS(Table1[[#This Row],[Payment Status]]="Partial","In Transit",Table1[[#This Row],[Payment Status]]="Paid","Completed",Table1[[#This Row],[Payment Status]]="Pending","Pending"),"Invalid Input")</f>
        <v>Completed</v>
      </c>
    </row>
    <row r="1957" spans="1:21" x14ac:dyDescent="0.25">
      <c r="A1957" s="4" t="s">
        <v>3173</v>
      </c>
      <c r="B1957" s="5">
        <v>45528</v>
      </c>
      <c r="C1957" t="s">
        <v>41</v>
      </c>
      <c r="D1957" t="s">
        <v>37</v>
      </c>
      <c r="E1957" t="s">
        <v>66</v>
      </c>
      <c r="F1957" t="s">
        <v>3226</v>
      </c>
      <c r="G1957" t="s">
        <v>67</v>
      </c>
      <c r="H1957" t="str">
        <f>VLOOKUP(Table1[[#This Row],[City]],Table6[#All],2,FALSE)</f>
        <v>East</v>
      </c>
      <c r="I1957" t="s">
        <v>24</v>
      </c>
      <c r="J1957" t="str">
        <f>_xlfn.XLOOKUP(Table1[[#This Row],[Tractor Model]],Table7[Product Model],Table7[Product Category],"Not Available",0)</f>
        <v>Farmtrac</v>
      </c>
      <c r="K1957" s="4">
        <v>5</v>
      </c>
      <c r="L1957" s="72">
        <v>570357</v>
      </c>
      <c r="M1957" s="4">
        <f>INDEX('Master Sheet'!$C$4:$C$12,MATCH(Table1[[#This Row],[Quantity]],'Master Sheet'!$B$4:$B$12,0))</f>
        <v>7</v>
      </c>
      <c r="N1957" s="71">
        <f>Table1[[#This Row],[Quantity]]*Table1[[#This Row],[Unit Price]]</f>
        <v>2851785</v>
      </c>
      <c r="O1957" s="73">
        <v>0.2851785</v>
      </c>
      <c r="P1957" s="70">
        <f>Table1[[#This Row],[Gross Amount]]*(1-(Table1[[#This Row],[Discount %]]/100))</f>
        <v>2652160.0499999998</v>
      </c>
      <c r="Q1957" s="74">
        <f>(Table1[[#This Row],[Gross Amount]]*(1-(Table1[[#This Row],[Discount %]]/100)))/10000000</f>
        <v>0.26521600499999998</v>
      </c>
      <c r="R1957" t="s">
        <v>54</v>
      </c>
      <c r="S1957" t="str" cm="1">
        <f t="array" ref="S1957">IFERROR(_xlfn.IFS(Table1[[#This Row],[Payment Status]]="Partial","In Transit",Table1[[#This Row],[Payment Status]]="Paid","Delivered",Table1[[#This Row],[Payment Status]]="Pending","Pending"),"Invalid Input")</f>
        <v>Delivered</v>
      </c>
      <c r="T1957" t="s">
        <v>27</v>
      </c>
      <c r="U1957" t="str" cm="1">
        <f t="array" ref="U1957">IFERROR(_xlfn.IFS(Table1[[#This Row],[Payment Status]]="Partial","In Transit",Table1[[#This Row],[Payment Status]]="Paid","Completed",Table1[[#This Row],[Payment Status]]="Pending","Pending"),"Invalid Input")</f>
        <v>Completed</v>
      </c>
    </row>
    <row r="1958" spans="1:21" x14ac:dyDescent="0.25">
      <c r="A1958" s="4" t="s">
        <v>3174</v>
      </c>
      <c r="B1958" s="5">
        <v>45520</v>
      </c>
      <c r="C1958" t="s">
        <v>41</v>
      </c>
      <c r="D1958" t="s">
        <v>3269</v>
      </c>
      <c r="E1958" t="s">
        <v>66</v>
      </c>
      <c r="F1958" t="s">
        <v>3213</v>
      </c>
      <c r="G1958" t="s">
        <v>67</v>
      </c>
      <c r="H1958" t="str">
        <f>VLOOKUP(Table1[[#This Row],[City]],Table6[#All],2,FALSE)</f>
        <v>East</v>
      </c>
      <c r="I1958" t="s">
        <v>24</v>
      </c>
      <c r="J1958" t="str">
        <f>_xlfn.XLOOKUP(Table1[[#This Row],[Tractor Model]],Table7[Product Model],Table7[Product Category],"Not Available",0)</f>
        <v>Farmtrac</v>
      </c>
      <c r="K1958" s="4">
        <v>6</v>
      </c>
      <c r="L1958" s="72">
        <v>661956</v>
      </c>
      <c r="M1958" s="4">
        <f>INDEX('Master Sheet'!$C$4:$C$12,MATCH(Table1[[#This Row],[Quantity]],'Master Sheet'!$B$4:$B$12,0))</f>
        <v>8</v>
      </c>
      <c r="N1958" s="71">
        <f>Table1[[#This Row],[Quantity]]*Table1[[#This Row],[Unit Price]]</f>
        <v>3971736</v>
      </c>
      <c r="O1958" s="73">
        <v>0.39717360000000002</v>
      </c>
      <c r="P1958" s="70">
        <f>Table1[[#This Row],[Gross Amount]]*(1-(Table1[[#This Row],[Discount %]]/100))</f>
        <v>3653997.12</v>
      </c>
      <c r="Q1958" s="74">
        <f>(Table1[[#This Row],[Gross Amount]]*(1-(Table1[[#This Row],[Discount %]]/100)))/10000000</f>
        <v>0.36539971199999999</v>
      </c>
      <c r="R1958" t="s">
        <v>42</v>
      </c>
      <c r="S1958" t="str" cm="1">
        <f t="array" ref="S1958">IFERROR(_xlfn.IFS(Table1[[#This Row],[Payment Status]]="Partial","In Transit",Table1[[#This Row],[Payment Status]]="Paid","Delivered",Table1[[#This Row],[Payment Status]]="Pending","Pending"),"Invalid Input")</f>
        <v>Pending</v>
      </c>
      <c r="T1958" t="s">
        <v>27</v>
      </c>
      <c r="U1958" t="str" cm="1">
        <f t="array" ref="U1958">IFERROR(_xlfn.IFS(Table1[[#This Row],[Payment Status]]="Partial","In Transit",Table1[[#This Row],[Payment Status]]="Paid","Completed",Table1[[#This Row],[Payment Status]]="Pending","Pending"),"Invalid Input")</f>
        <v>Pending</v>
      </c>
    </row>
    <row r="1959" spans="1:21" x14ac:dyDescent="0.25">
      <c r="A1959" s="4" t="s">
        <v>3176</v>
      </c>
      <c r="B1959" s="5">
        <v>45347</v>
      </c>
      <c r="C1959" t="s">
        <v>52</v>
      </c>
      <c r="D1959" t="s">
        <v>3269</v>
      </c>
      <c r="E1959" t="s">
        <v>119</v>
      </c>
      <c r="F1959" t="s">
        <v>3229</v>
      </c>
      <c r="G1959" t="s">
        <v>21</v>
      </c>
      <c r="H1959" t="str">
        <f>VLOOKUP(Table1[[#This Row],[City]],Table6[#All],2,FALSE)</f>
        <v>North</v>
      </c>
      <c r="I1959" t="s">
        <v>24</v>
      </c>
      <c r="J1959" t="str">
        <f>_xlfn.XLOOKUP(Table1[[#This Row],[Tractor Model]],Table7[Product Model],Table7[Product Category],"Not Available",0)</f>
        <v>Farmtrac</v>
      </c>
      <c r="K1959" s="4">
        <v>4</v>
      </c>
      <c r="L1959" s="72">
        <v>714285</v>
      </c>
      <c r="M1959" s="4">
        <f>INDEX('Master Sheet'!$C$4:$C$12,MATCH(Table1[[#This Row],[Quantity]],'Master Sheet'!$B$4:$B$12,0))</f>
        <v>6</v>
      </c>
      <c r="N1959" s="71">
        <f>Table1[[#This Row],[Quantity]]*Table1[[#This Row],[Unit Price]]</f>
        <v>2857140</v>
      </c>
      <c r="O1959" s="73">
        <v>0.28571400000000002</v>
      </c>
      <c r="P1959" s="70">
        <f>Table1[[#This Row],[Gross Amount]]*(1-(Table1[[#This Row],[Discount %]]/100))</f>
        <v>2685711.5999999996</v>
      </c>
      <c r="Q1959" s="74">
        <f>(Table1[[#This Row],[Gross Amount]]*(1-(Table1[[#This Row],[Discount %]]/100)))/10000000</f>
        <v>0.26857115999999998</v>
      </c>
      <c r="R1959" t="s">
        <v>54</v>
      </c>
      <c r="S1959" t="str" cm="1">
        <f t="array" ref="S1959">IFERROR(_xlfn.IFS(Table1[[#This Row],[Payment Status]]="Partial","In Transit",Table1[[#This Row],[Payment Status]]="Paid","Delivered",Table1[[#This Row],[Payment Status]]="Pending","Pending"),"Invalid Input")</f>
        <v>Delivered</v>
      </c>
      <c r="T1959" t="s">
        <v>27</v>
      </c>
      <c r="U1959" t="str" cm="1">
        <f t="array" ref="U1959">IFERROR(_xlfn.IFS(Table1[[#This Row],[Payment Status]]="Partial","In Transit",Table1[[#This Row],[Payment Status]]="Paid","Completed",Table1[[#This Row],[Payment Status]]="Pending","Pending"),"Invalid Input")</f>
        <v>Completed</v>
      </c>
    </row>
    <row r="1960" spans="1:21" x14ac:dyDescent="0.25">
      <c r="A1960" s="4" t="s">
        <v>3177</v>
      </c>
      <c r="B1960" s="5">
        <v>45490</v>
      </c>
      <c r="C1960" t="s">
        <v>73</v>
      </c>
      <c r="D1960" t="s">
        <v>3269</v>
      </c>
      <c r="E1960" t="s">
        <v>119</v>
      </c>
      <c r="F1960" t="s">
        <v>3229</v>
      </c>
      <c r="G1960" t="s">
        <v>21</v>
      </c>
      <c r="H1960" t="str">
        <f>VLOOKUP(Table1[[#This Row],[City]],Table6[#All],2,FALSE)</f>
        <v>North</v>
      </c>
      <c r="I1960" t="s">
        <v>53</v>
      </c>
      <c r="J1960" t="str">
        <f>_xlfn.XLOOKUP(Table1[[#This Row],[Tractor Model]],Table7[Product Model],Table7[Product Category],"Not Available",0)</f>
        <v>Farmtrac</v>
      </c>
      <c r="K1960" s="4">
        <v>7</v>
      </c>
      <c r="L1960" s="72">
        <v>833526</v>
      </c>
      <c r="M1960" s="4">
        <f>INDEX('Master Sheet'!$C$4:$C$12,MATCH(Table1[[#This Row],[Quantity]],'Master Sheet'!$B$4:$B$12,0))</f>
        <v>9</v>
      </c>
      <c r="N1960" s="71">
        <f>Table1[[#This Row],[Quantity]]*Table1[[#This Row],[Unit Price]]</f>
        <v>5834682</v>
      </c>
      <c r="O1960" s="73">
        <v>0.58346819999999999</v>
      </c>
      <c r="P1960" s="70">
        <f>Table1[[#This Row],[Gross Amount]]*(1-(Table1[[#This Row],[Discount %]]/100))</f>
        <v>5309560.62</v>
      </c>
      <c r="Q1960" s="74">
        <f>(Table1[[#This Row],[Gross Amount]]*(1-(Table1[[#This Row],[Discount %]]/100)))/10000000</f>
        <v>0.53095606200000001</v>
      </c>
      <c r="R1960" t="s">
        <v>42</v>
      </c>
      <c r="S1960" t="str" cm="1">
        <f t="array" ref="S1960">IFERROR(_xlfn.IFS(Table1[[#This Row],[Payment Status]]="Partial","In Transit",Table1[[#This Row],[Payment Status]]="Paid","Delivered",Table1[[#This Row],[Payment Status]]="Pending","Pending"),"Invalid Input")</f>
        <v>Pending</v>
      </c>
      <c r="T1960" t="s">
        <v>44</v>
      </c>
      <c r="U1960" t="str" cm="1">
        <f t="array" ref="U1960">IFERROR(_xlfn.IFS(Table1[[#This Row],[Payment Status]]="Partial","In Transit",Table1[[#This Row],[Payment Status]]="Paid","Completed",Table1[[#This Row],[Payment Status]]="Pending","Pending"),"Invalid Input")</f>
        <v>Pending</v>
      </c>
    </row>
    <row r="1961" spans="1:21" x14ac:dyDescent="0.25">
      <c r="A1961" s="4" t="s">
        <v>3179</v>
      </c>
      <c r="B1961" s="5">
        <v>45313</v>
      </c>
      <c r="C1961" t="s">
        <v>41</v>
      </c>
      <c r="D1961" t="s">
        <v>37</v>
      </c>
      <c r="E1961" t="s">
        <v>47</v>
      </c>
      <c r="F1961" t="s">
        <v>3215</v>
      </c>
      <c r="G1961" t="s">
        <v>48</v>
      </c>
      <c r="H1961" t="str">
        <f>VLOOKUP(Table1[[#This Row],[City]],Table6[#All],2,FALSE)</f>
        <v>North</v>
      </c>
      <c r="I1961" t="s">
        <v>53</v>
      </c>
      <c r="J1961" t="str">
        <f>_xlfn.XLOOKUP(Table1[[#This Row],[Tractor Model]],Table7[Product Model],Table7[Product Category],"Not Available",0)</f>
        <v>Farmtrac</v>
      </c>
      <c r="K1961" s="4">
        <v>4</v>
      </c>
      <c r="L1961" s="72">
        <v>261729</v>
      </c>
      <c r="M1961" s="4">
        <f>INDEX('Master Sheet'!$C$4:$C$12,MATCH(Table1[[#This Row],[Quantity]],'Master Sheet'!$B$4:$B$12,0))</f>
        <v>6</v>
      </c>
      <c r="N1961" s="71">
        <f>Table1[[#This Row],[Quantity]]*Table1[[#This Row],[Unit Price]]</f>
        <v>1046916</v>
      </c>
      <c r="O1961" s="73">
        <v>0.1046916</v>
      </c>
      <c r="P1961" s="70">
        <f>Table1[[#This Row],[Gross Amount]]*(1-(Table1[[#This Row],[Discount %]]/100))</f>
        <v>984101.03999999992</v>
      </c>
      <c r="Q1961" s="74">
        <f>(Table1[[#This Row],[Gross Amount]]*(1-(Table1[[#This Row],[Discount %]]/100)))/10000000</f>
        <v>9.8410103999999998E-2</v>
      </c>
      <c r="R1961" t="s">
        <v>42</v>
      </c>
      <c r="S1961" t="str" cm="1">
        <f t="array" ref="S1961">IFERROR(_xlfn.IFS(Table1[[#This Row],[Payment Status]]="Partial","In Transit",Table1[[#This Row],[Payment Status]]="Paid","Delivered",Table1[[#This Row],[Payment Status]]="Pending","Pending"),"Invalid Input")</f>
        <v>Pending</v>
      </c>
      <c r="T1961" t="s">
        <v>27</v>
      </c>
      <c r="U1961" t="str" cm="1">
        <f t="array" ref="U1961">IFERROR(_xlfn.IFS(Table1[[#This Row],[Payment Status]]="Partial","In Transit",Table1[[#This Row],[Payment Status]]="Paid","Completed",Table1[[#This Row],[Payment Status]]="Pending","Pending"),"Invalid Input")</f>
        <v>Pending</v>
      </c>
    </row>
    <row r="1962" spans="1:21" x14ac:dyDescent="0.25">
      <c r="A1962" s="4" t="s">
        <v>3180</v>
      </c>
      <c r="B1962" s="5">
        <v>45431</v>
      </c>
      <c r="C1962" t="s">
        <v>33</v>
      </c>
      <c r="D1962" t="s">
        <v>3268</v>
      </c>
      <c r="E1962" t="s">
        <v>38</v>
      </c>
      <c r="F1962" t="s">
        <v>3219</v>
      </c>
      <c r="G1962" t="s">
        <v>39</v>
      </c>
      <c r="H1962" t="str">
        <f>VLOOKUP(Table1[[#This Row],[City]],Table6[#All],2,FALSE)</f>
        <v>West</v>
      </c>
      <c r="I1962" t="s">
        <v>24</v>
      </c>
      <c r="J1962" t="str">
        <f>_xlfn.XLOOKUP(Table1[[#This Row],[Tractor Model]],Table7[Product Model],Table7[Product Category],"Not Available",0)</f>
        <v>Farmtrac</v>
      </c>
      <c r="K1962" s="4">
        <v>1</v>
      </c>
      <c r="L1962" s="72">
        <v>223452</v>
      </c>
      <c r="M1962" s="4">
        <f>INDEX('Master Sheet'!$C$4:$C$12,MATCH(Table1[[#This Row],[Quantity]],'Master Sheet'!$B$4:$B$12,0))</f>
        <v>3</v>
      </c>
      <c r="N1962" s="71">
        <f>Table1[[#This Row],[Quantity]]*Table1[[#This Row],[Unit Price]]</f>
        <v>223452</v>
      </c>
      <c r="O1962" s="73">
        <v>2.2345199999999999E-2</v>
      </c>
      <c r="P1962" s="70">
        <f>Table1[[#This Row],[Gross Amount]]*(1-(Table1[[#This Row],[Discount %]]/100))</f>
        <v>216748.44</v>
      </c>
      <c r="Q1962" s="74">
        <f>(Table1[[#This Row],[Gross Amount]]*(1-(Table1[[#This Row],[Discount %]]/100)))/10000000</f>
        <v>2.1674843999999999E-2</v>
      </c>
      <c r="R1962" t="s">
        <v>42</v>
      </c>
      <c r="S1962" t="str" cm="1">
        <f t="array" ref="S1962">IFERROR(_xlfn.IFS(Table1[[#This Row],[Payment Status]]="Partial","In Transit",Table1[[#This Row],[Payment Status]]="Paid","Delivered",Table1[[#This Row],[Payment Status]]="Pending","Pending"),"Invalid Input")</f>
        <v>Pending</v>
      </c>
      <c r="T1962" t="s">
        <v>44</v>
      </c>
      <c r="U1962" t="str" cm="1">
        <f t="array" ref="U1962">IFERROR(_xlfn.IFS(Table1[[#This Row],[Payment Status]]="Partial","In Transit",Table1[[#This Row],[Payment Status]]="Paid","Completed",Table1[[#This Row],[Payment Status]]="Pending","Pending"),"Invalid Input")</f>
        <v>Pending</v>
      </c>
    </row>
    <row r="1963" spans="1:21" x14ac:dyDescent="0.25">
      <c r="A1963" s="4" t="s">
        <v>3181</v>
      </c>
      <c r="B1963" s="5">
        <v>45591</v>
      </c>
      <c r="C1963" t="s">
        <v>41</v>
      </c>
      <c r="D1963" t="s">
        <v>3271</v>
      </c>
      <c r="E1963" t="s">
        <v>30</v>
      </c>
      <c r="F1963" t="s">
        <v>3217</v>
      </c>
      <c r="G1963" t="s">
        <v>31</v>
      </c>
      <c r="H1963" t="str">
        <f>VLOOKUP(Table1[[#This Row],[City]],Table6[#All],2,FALSE)</f>
        <v>South</v>
      </c>
      <c r="I1963" t="s">
        <v>24</v>
      </c>
      <c r="J1963" t="str">
        <f>_xlfn.XLOOKUP(Table1[[#This Row],[Tractor Model]],Table7[Product Model],Table7[Product Category],"Not Available",0)</f>
        <v>Farmtrac</v>
      </c>
      <c r="K1963" s="4">
        <v>2</v>
      </c>
      <c r="L1963" s="72">
        <v>773425</v>
      </c>
      <c r="M1963" s="4">
        <f>INDEX('Master Sheet'!$C$4:$C$12,MATCH(Table1[[#This Row],[Quantity]],'Master Sheet'!$B$4:$B$12,0))</f>
        <v>5</v>
      </c>
      <c r="N1963" s="71">
        <f>Table1[[#This Row],[Quantity]]*Table1[[#This Row],[Unit Price]]</f>
        <v>1546850</v>
      </c>
      <c r="O1963" s="73">
        <v>0.15468499999999999</v>
      </c>
      <c r="P1963" s="70">
        <f>Table1[[#This Row],[Gross Amount]]*(1-(Table1[[#This Row],[Discount %]]/100))</f>
        <v>1469507.5</v>
      </c>
      <c r="Q1963" s="74">
        <f>(Table1[[#This Row],[Gross Amount]]*(1-(Table1[[#This Row],[Discount %]]/100)))/10000000</f>
        <v>0.14695074999999999</v>
      </c>
      <c r="R1963" t="s">
        <v>54</v>
      </c>
      <c r="S1963" t="str" cm="1">
        <f t="array" ref="S1963">IFERROR(_xlfn.IFS(Table1[[#This Row],[Payment Status]]="Partial","In Transit",Table1[[#This Row],[Payment Status]]="Paid","Delivered",Table1[[#This Row],[Payment Status]]="Pending","Pending"),"Invalid Input")</f>
        <v>Delivered</v>
      </c>
      <c r="T1963" t="s">
        <v>27</v>
      </c>
      <c r="U1963" t="str" cm="1">
        <f t="array" ref="U1963">IFERROR(_xlfn.IFS(Table1[[#This Row],[Payment Status]]="Partial","In Transit",Table1[[#This Row],[Payment Status]]="Paid","Completed",Table1[[#This Row],[Payment Status]]="Pending","Pending"),"Invalid Input")</f>
        <v>Completed</v>
      </c>
    </row>
    <row r="1964" spans="1:21" x14ac:dyDescent="0.25">
      <c r="A1964" s="4" t="s">
        <v>3183</v>
      </c>
      <c r="B1964" s="5">
        <v>45456</v>
      </c>
      <c r="C1964" t="s">
        <v>52</v>
      </c>
      <c r="D1964" t="s">
        <v>3268</v>
      </c>
      <c r="E1964" t="s">
        <v>119</v>
      </c>
      <c r="F1964" t="s">
        <v>3227</v>
      </c>
      <c r="G1964" t="s">
        <v>21</v>
      </c>
      <c r="H1964" t="str">
        <f>VLOOKUP(Table1[[#This Row],[City]],Table6[#All],2,FALSE)</f>
        <v>North</v>
      </c>
      <c r="I1964" t="s">
        <v>24</v>
      </c>
      <c r="J1964" t="str">
        <f>_xlfn.XLOOKUP(Table1[[#This Row],[Tractor Model]],Table7[Product Model],Table7[Product Category],"Not Available",0)</f>
        <v>Farmtrac</v>
      </c>
      <c r="K1964" s="4">
        <v>7</v>
      </c>
      <c r="L1964" s="72">
        <v>861338</v>
      </c>
      <c r="M1964" s="4">
        <f>INDEX('Master Sheet'!$C$4:$C$12,MATCH(Table1[[#This Row],[Quantity]],'Master Sheet'!$B$4:$B$12,0))</f>
        <v>9</v>
      </c>
      <c r="N1964" s="71">
        <f>Table1[[#This Row],[Quantity]]*Table1[[#This Row],[Unit Price]]</f>
        <v>6029366</v>
      </c>
      <c r="O1964" s="73">
        <v>0.60293660000000004</v>
      </c>
      <c r="P1964" s="70">
        <f>Table1[[#This Row],[Gross Amount]]*(1-(Table1[[#This Row],[Discount %]]/100))</f>
        <v>5486723.0600000005</v>
      </c>
      <c r="Q1964" s="74">
        <f>(Table1[[#This Row],[Gross Amount]]*(1-(Table1[[#This Row],[Discount %]]/100)))/10000000</f>
        <v>0.54867230600000005</v>
      </c>
      <c r="R1964" t="s">
        <v>54</v>
      </c>
      <c r="S1964" t="str" cm="1">
        <f t="array" ref="S1964">IFERROR(_xlfn.IFS(Table1[[#This Row],[Payment Status]]="Partial","In Transit",Table1[[#This Row],[Payment Status]]="Paid","Delivered",Table1[[#This Row],[Payment Status]]="Pending","Pending"),"Invalid Input")</f>
        <v>Delivered</v>
      </c>
      <c r="T1964" t="s">
        <v>27</v>
      </c>
      <c r="U1964" t="str" cm="1">
        <f t="array" ref="U1964">IFERROR(_xlfn.IFS(Table1[[#This Row],[Payment Status]]="Partial","In Transit",Table1[[#This Row],[Payment Status]]="Paid","Completed",Table1[[#This Row],[Payment Status]]="Pending","Pending"),"Invalid Input")</f>
        <v>Completed</v>
      </c>
    </row>
    <row r="1965" spans="1:21" x14ac:dyDescent="0.25">
      <c r="A1965" s="4" t="s">
        <v>3184</v>
      </c>
      <c r="B1965" s="5">
        <v>45646</v>
      </c>
      <c r="C1965" t="s">
        <v>33</v>
      </c>
      <c r="D1965" t="s">
        <v>3269</v>
      </c>
      <c r="E1965" t="s">
        <v>47</v>
      </c>
      <c r="F1965" t="s">
        <v>3209</v>
      </c>
      <c r="G1965" t="s">
        <v>48</v>
      </c>
      <c r="H1965" t="str">
        <f>VLOOKUP(Table1[[#This Row],[City]],Table6[#All],2,FALSE)</f>
        <v>North</v>
      </c>
      <c r="I1965" t="s">
        <v>24</v>
      </c>
      <c r="J1965" t="str">
        <f>_xlfn.XLOOKUP(Table1[[#This Row],[Tractor Model]],Table7[Product Model],Table7[Product Category],"Not Available",0)</f>
        <v>Farmtrac</v>
      </c>
      <c r="K1965" s="4">
        <v>4</v>
      </c>
      <c r="L1965" s="72">
        <v>315542</v>
      </c>
      <c r="M1965" s="4">
        <f>INDEX('Master Sheet'!$C$4:$C$12,MATCH(Table1[[#This Row],[Quantity]],'Master Sheet'!$B$4:$B$12,0))</f>
        <v>6</v>
      </c>
      <c r="N1965" s="71">
        <f>Table1[[#This Row],[Quantity]]*Table1[[#This Row],[Unit Price]]</f>
        <v>1262168</v>
      </c>
      <c r="O1965" s="73">
        <v>0.12621679999999999</v>
      </c>
      <c r="P1965" s="70">
        <f>Table1[[#This Row],[Gross Amount]]*(1-(Table1[[#This Row],[Discount %]]/100))</f>
        <v>1186437.92</v>
      </c>
      <c r="Q1965" s="74">
        <f>(Table1[[#This Row],[Gross Amount]]*(1-(Table1[[#This Row],[Discount %]]/100)))/10000000</f>
        <v>0.118643792</v>
      </c>
      <c r="R1965" t="s">
        <v>54</v>
      </c>
      <c r="S1965" t="str" cm="1">
        <f t="array" ref="S1965">IFERROR(_xlfn.IFS(Table1[[#This Row],[Payment Status]]="Partial","In Transit",Table1[[#This Row],[Payment Status]]="Paid","Delivered",Table1[[#This Row],[Payment Status]]="Pending","Pending"),"Invalid Input")</f>
        <v>Delivered</v>
      </c>
      <c r="T1965" t="s">
        <v>27</v>
      </c>
      <c r="U1965" t="str" cm="1">
        <f t="array" ref="U1965">IFERROR(_xlfn.IFS(Table1[[#This Row],[Payment Status]]="Partial","In Transit",Table1[[#This Row],[Payment Status]]="Paid","Completed",Table1[[#This Row],[Payment Status]]="Pending","Pending"),"Invalid Input")</f>
        <v>Completed</v>
      </c>
    </row>
    <row r="1966" spans="1:21" x14ac:dyDescent="0.25">
      <c r="A1966" s="4" t="s">
        <v>3186</v>
      </c>
      <c r="B1966" s="5">
        <v>45656</v>
      </c>
      <c r="C1966" t="s">
        <v>73</v>
      </c>
      <c r="D1966" t="s">
        <v>3270</v>
      </c>
      <c r="E1966" t="s">
        <v>66</v>
      </c>
      <c r="F1966" t="s">
        <v>3220</v>
      </c>
      <c r="G1966" t="s">
        <v>67</v>
      </c>
      <c r="H1966" t="str">
        <f>VLOOKUP(Table1[[#This Row],[City]],Table6[#All],2,FALSE)</f>
        <v>East</v>
      </c>
      <c r="I1966" t="s">
        <v>3204</v>
      </c>
      <c r="J1966" t="str">
        <f>_xlfn.XLOOKUP(Table1[[#This Row],[Tractor Model]],Table7[Product Model],Table7[Product Category],"Not Available",0)</f>
        <v>Kubota</v>
      </c>
      <c r="K1966" s="4">
        <v>4</v>
      </c>
      <c r="L1966" s="72">
        <v>232229</v>
      </c>
      <c r="M1966" s="4">
        <f>INDEX('Master Sheet'!$C$4:$C$12,MATCH(Table1[[#This Row],[Quantity]],'Master Sheet'!$B$4:$B$12,0))</f>
        <v>6</v>
      </c>
      <c r="N1966" s="71">
        <f>Table1[[#This Row],[Quantity]]*Table1[[#This Row],[Unit Price]]</f>
        <v>928916</v>
      </c>
      <c r="O1966" s="73">
        <v>9.2891600000000005E-2</v>
      </c>
      <c r="P1966" s="70">
        <f>Table1[[#This Row],[Gross Amount]]*(1-(Table1[[#This Row],[Discount %]]/100))</f>
        <v>873181.03999999992</v>
      </c>
      <c r="Q1966" s="74">
        <f>(Table1[[#This Row],[Gross Amount]]*(1-(Table1[[#This Row],[Discount %]]/100)))/10000000</f>
        <v>8.7318103999999994E-2</v>
      </c>
      <c r="R1966" t="s">
        <v>54</v>
      </c>
      <c r="S1966" t="str" cm="1">
        <f t="array" ref="S1966">IFERROR(_xlfn.IFS(Table1[[#This Row],[Payment Status]]="Partial","In Transit",Table1[[#This Row],[Payment Status]]="Paid","Delivered",Table1[[#This Row],[Payment Status]]="Pending","Pending"),"Invalid Input")</f>
        <v>Delivered</v>
      </c>
      <c r="T1966" t="s">
        <v>44</v>
      </c>
      <c r="U1966" t="str" cm="1">
        <f t="array" ref="U1966">IFERROR(_xlfn.IFS(Table1[[#This Row],[Payment Status]]="Partial","In Transit",Table1[[#This Row],[Payment Status]]="Paid","Completed",Table1[[#This Row],[Payment Status]]="Pending","Pending"),"Invalid Input")</f>
        <v>Completed</v>
      </c>
    </row>
    <row r="1967" spans="1:21" x14ac:dyDescent="0.25">
      <c r="A1967" s="4" t="s">
        <v>3187</v>
      </c>
      <c r="B1967" s="5">
        <v>45642</v>
      </c>
      <c r="C1967" t="s">
        <v>33</v>
      </c>
      <c r="D1967" t="s">
        <v>3268</v>
      </c>
      <c r="E1967" t="s">
        <v>119</v>
      </c>
      <c r="F1967" t="s">
        <v>3227</v>
      </c>
      <c r="G1967" t="s">
        <v>21</v>
      </c>
      <c r="H1967" t="str">
        <f>VLOOKUP(Table1[[#This Row],[City]],Table6[#All],2,FALSE)</f>
        <v>North</v>
      </c>
      <c r="I1967" t="s">
        <v>24</v>
      </c>
      <c r="J1967" t="str">
        <f>_xlfn.XLOOKUP(Table1[[#This Row],[Tractor Model]],Table7[Product Model],Table7[Product Category],"Not Available",0)</f>
        <v>Farmtrac</v>
      </c>
      <c r="K1967" s="4">
        <v>4</v>
      </c>
      <c r="L1967" s="72">
        <v>394448</v>
      </c>
      <c r="M1967" s="4">
        <f>INDEX('Master Sheet'!$C$4:$C$12,MATCH(Table1[[#This Row],[Quantity]],'Master Sheet'!$B$4:$B$12,0))</f>
        <v>6</v>
      </c>
      <c r="N1967" s="71">
        <f>Table1[[#This Row],[Quantity]]*Table1[[#This Row],[Unit Price]]</f>
        <v>1577792</v>
      </c>
      <c r="O1967" s="73">
        <v>0.15777920000000001</v>
      </c>
      <c r="P1967" s="70">
        <f>Table1[[#This Row],[Gross Amount]]*(1-(Table1[[#This Row],[Discount %]]/100))</f>
        <v>1483124.48</v>
      </c>
      <c r="Q1967" s="74">
        <f>(Table1[[#This Row],[Gross Amount]]*(1-(Table1[[#This Row],[Discount %]]/100)))/10000000</f>
        <v>0.14831244799999999</v>
      </c>
      <c r="R1967" t="s">
        <v>42</v>
      </c>
      <c r="S1967" t="str" cm="1">
        <f t="array" ref="S1967">IFERROR(_xlfn.IFS(Table1[[#This Row],[Payment Status]]="Partial","In Transit",Table1[[#This Row],[Payment Status]]="Paid","Delivered",Table1[[#This Row],[Payment Status]]="Pending","Pending"),"Invalid Input")</f>
        <v>Pending</v>
      </c>
      <c r="T1967" t="s">
        <v>44</v>
      </c>
      <c r="U1967" t="str" cm="1">
        <f t="array" ref="U1967">IFERROR(_xlfn.IFS(Table1[[#This Row],[Payment Status]]="Partial","In Transit",Table1[[#This Row],[Payment Status]]="Paid","Completed",Table1[[#This Row],[Payment Status]]="Pending","Pending"),"Invalid Input")</f>
        <v>Pending</v>
      </c>
    </row>
    <row r="1968" spans="1:21" x14ac:dyDescent="0.25">
      <c r="A1968" s="4" t="s">
        <v>3188</v>
      </c>
      <c r="B1968" s="5">
        <v>45634</v>
      </c>
      <c r="C1968" t="s">
        <v>73</v>
      </c>
      <c r="D1968" t="s">
        <v>3270</v>
      </c>
      <c r="E1968" t="s">
        <v>47</v>
      </c>
      <c r="F1968" t="s">
        <v>3205</v>
      </c>
      <c r="G1968" t="s">
        <v>48</v>
      </c>
      <c r="H1968" t="str">
        <f>VLOOKUP(Table1[[#This Row],[City]],Table6[#All],2,FALSE)</f>
        <v>North</v>
      </c>
      <c r="I1968" t="s">
        <v>24</v>
      </c>
      <c r="J1968" t="str">
        <f>_xlfn.XLOOKUP(Table1[[#This Row],[Tractor Model]],Table7[Product Model],Table7[Product Category],"Not Available",0)</f>
        <v>Farmtrac</v>
      </c>
      <c r="K1968" s="4">
        <v>4</v>
      </c>
      <c r="L1968" s="72">
        <v>616271</v>
      </c>
      <c r="M1968" s="4">
        <f>INDEX('Master Sheet'!$C$4:$C$12,MATCH(Table1[[#This Row],[Quantity]],'Master Sheet'!$B$4:$B$12,0))</f>
        <v>6</v>
      </c>
      <c r="N1968" s="71">
        <f>Table1[[#This Row],[Quantity]]*Table1[[#This Row],[Unit Price]]</f>
        <v>2465084</v>
      </c>
      <c r="O1968" s="73">
        <v>0.24650839999999999</v>
      </c>
      <c r="P1968" s="70">
        <f>Table1[[#This Row],[Gross Amount]]*(1-(Table1[[#This Row],[Discount %]]/100))</f>
        <v>2317178.96</v>
      </c>
      <c r="Q1968" s="74">
        <f>(Table1[[#This Row],[Gross Amount]]*(1-(Table1[[#This Row],[Discount %]]/100)))/10000000</f>
        <v>0.23171789600000001</v>
      </c>
      <c r="R1968" t="s">
        <v>42</v>
      </c>
      <c r="S1968" t="str" cm="1">
        <f t="array" ref="S1968">IFERROR(_xlfn.IFS(Table1[[#This Row],[Payment Status]]="Partial","In Transit",Table1[[#This Row],[Payment Status]]="Paid","Delivered",Table1[[#This Row],[Payment Status]]="Pending","Pending"),"Invalid Input")</f>
        <v>Pending</v>
      </c>
      <c r="T1968" t="s">
        <v>44</v>
      </c>
      <c r="U1968" t="str" cm="1">
        <f t="array" ref="U1968">IFERROR(_xlfn.IFS(Table1[[#This Row],[Payment Status]]="Partial","In Transit",Table1[[#This Row],[Payment Status]]="Paid","Completed",Table1[[#This Row],[Payment Status]]="Pending","Pending"),"Invalid Input")</f>
        <v>Pending</v>
      </c>
    </row>
    <row r="1969" spans="1:21" x14ac:dyDescent="0.25">
      <c r="A1969" s="4" t="s">
        <v>3189</v>
      </c>
      <c r="B1969" s="5">
        <v>45681</v>
      </c>
      <c r="C1969" t="s">
        <v>62</v>
      </c>
      <c r="D1969" t="s">
        <v>3269</v>
      </c>
      <c r="E1969" t="s">
        <v>38</v>
      </c>
      <c r="F1969" t="s">
        <v>3206</v>
      </c>
      <c r="G1969" t="s">
        <v>39</v>
      </c>
      <c r="H1969" t="str">
        <f>VLOOKUP(Table1[[#This Row],[City]],Table6[#All],2,FALSE)</f>
        <v>West</v>
      </c>
      <c r="I1969" t="s">
        <v>58</v>
      </c>
      <c r="J1969" t="str">
        <f>_xlfn.XLOOKUP(Table1[[#This Row],[Tractor Model]],Table7[Product Model],Table7[Product Category],"Not Available",0)</f>
        <v>Powertrac</v>
      </c>
      <c r="K1969" s="4">
        <v>4</v>
      </c>
      <c r="L1969" s="72">
        <v>753774</v>
      </c>
      <c r="M1969" s="4">
        <f>INDEX('Master Sheet'!$C$4:$C$12,MATCH(Table1[[#This Row],[Quantity]],'Master Sheet'!$B$4:$B$12,0))</f>
        <v>6</v>
      </c>
      <c r="N1969" s="71">
        <f>Table1[[#This Row],[Quantity]]*Table1[[#This Row],[Unit Price]]</f>
        <v>3015096</v>
      </c>
      <c r="O1969" s="73">
        <v>0.30150959999999999</v>
      </c>
      <c r="P1969" s="70">
        <f>Table1[[#This Row],[Gross Amount]]*(1-(Table1[[#This Row],[Discount %]]/100))</f>
        <v>2834190.2399999998</v>
      </c>
      <c r="Q1969" s="74">
        <f>(Table1[[#This Row],[Gross Amount]]*(1-(Table1[[#This Row],[Discount %]]/100)))/10000000</f>
        <v>0.28341902399999996</v>
      </c>
      <c r="R1969" t="s">
        <v>42</v>
      </c>
      <c r="S1969" t="str" cm="1">
        <f t="array" ref="S1969">IFERROR(_xlfn.IFS(Table1[[#This Row],[Payment Status]]="Partial","In Transit",Table1[[#This Row],[Payment Status]]="Paid","Delivered",Table1[[#This Row],[Payment Status]]="Pending","Pending"),"Invalid Input")</f>
        <v>Pending</v>
      </c>
      <c r="T1969" t="s">
        <v>27</v>
      </c>
      <c r="U1969" t="str" cm="1">
        <f t="array" ref="U1969">IFERROR(_xlfn.IFS(Table1[[#This Row],[Payment Status]]="Partial","In Transit",Table1[[#This Row],[Payment Status]]="Paid","Completed",Table1[[#This Row],[Payment Status]]="Pending","Pending"),"Invalid Input")</f>
        <v>Pending</v>
      </c>
    </row>
    <row r="1970" spans="1:21" x14ac:dyDescent="0.25">
      <c r="A1970" s="4" t="s">
        <v>3190</v>
      </c>
      <c r="B1970" s="5">
        <v>45634</v>
      </c>
      <c r="C1970" t="s">
        <v>41</v>
      </c>
      <c r="D1970" t="s">
        <v>3271</v>
      </c>
      <c r="E1970" t="s">
        <v>66</v>
      </c>
      <c r="F1970" t="s">
        <v>3207</v>
      </c>
      <c r="G1970" t="s">
        <v>67</v>
      </c>
      <c r="H1970" t="str">
        <f>VLOOKUP(Table1[[#This Row],[City]],Table6[#All],2,FALSE)</f>
        <v>East</v>
      </c>
      <c r="I1970" t="s">
        <v>24</v>
      </c>
      <c r="J1970" t="str">
        <f>_xlfn.XLOOKUP(Table1[[#This Row],[Tractor Model]],Table7[Product Model],Table7[Product Category],"Not Available",0)</f>
        <v>Farmtrac</v>
      </c>
      <c r="K1970" s="4">
        <v>4</v>
      </c>
      <c r="L1970" s="72">
        <v>885062</v>
      </c>
      <c r="M1970" s="4">
        <f>INDEX('Master Sheet'!$C$4:$C$12,MATCH(Table1[[#This Row],[Quantity]],'Master Sheet'!$B$4:$B$12,0))</f>
        <v>6</v>
      </c>
      <c r="N1970" s="71">
        <f>Table1[[#This Row],[Quantity]]*Table1[[#This Row],[Unit Price]]</f>
        <v>3540248</v>
      </c>
      <c r="O1970" s="73">
        <v>0.35402479999999997</v>
      </c>
      <c r="P1970" s="70">
        <f>Table1[[#This Row],[Gross Amount]]*(1-(Table1[[#This Row],[Discount %]]/100))</f>
        <v>3327833.1199999996</v>
      </c>
      <c r="Q1970" s="74">
        <f>(Table1[[#This Row],[Gross Amount]]*(1-(Table1[[#This Row],[Discount %]]/100)))/10000000</f>
        <v>0.33278331199999994</v>
      </c>
      <c r="R1970" t="s">
        <v>54</v>
      </c>
      <c r="S1970" t="str" cm="1">
        <f t="array" ref="S1970">IFERROR(_xlfn.IFS(Table1[[#This Row],[Payment Status]]="Partial","In Transit",Table1[[#This Row],[Payment Status]]="Paid","Delivered",Table1[[#This Row],[Payment Status]]="Pending","Pending"),"Invalid Input")</f>
        <v>Delivered</v>
      </c>
      <c r="T1970" t="s">
        <v>44</v>
      </c>
      <c r="U1970" t="str" cm="1">
        <f t="array" ref="U1970">IFERROR(_xlfn.IFS(Table1[[#This Row],[Payment Status]]="Partial","In Transit",Table1[[#This Row],[Payment Status]]="Paid","Completed",Table1[[#This Row],[Payment Status]]="Pending","Pending"),"Invalid Input")</f>
        <v>Completed</v>
      </c>
    </row>
    <row r="1971" spans="1:21" x14ac:dyDescent="0.25">
      <c r="A1971" s="4" t="s">
        <v>3192</v>
      </c>
      <c r="B1971" s="5">
        <v>45541</v>
      </c>
      <c r="C1971" t="s">
        <v>52</v>
      </c>
      <c r="D1971" t="s">
        <v>3268</v>
      </c>
      <c r="E1971" t="s">
        <v>30</v>
      </c>
      <c r="F1971" t="s">
        <v>3208</v>
      </c>
      <c r="G1971" t="s">
        <v>31</v>
      </c>
      <c r="H1971" t="str">
        <f>VLOOKUP(Table1[[#This Row],[City]],Table6[#All],2,FALSE)</f>
        <v>South</v>
      </c>
      <c r="I1971" t="s">
        <v>24</v>
      </c>
      <c r="J1971" t="str">
        <f>_xlfn.XLOOKUP(Table1[[#This Row],[Tractor Model]],Table7[Product Model],Table7[Product Category],"Not Available",0)</f>
        <v>Farmtrac</v>
      </c>
      <c r="K1971" s="4">
        <v>4</v>
      </c>
      <c r="L1971" s="72">
        <v>177113</v>
      </c>
      <c r="M1971" s="4">
        <f>INDEX('Master Sheet'!$C$4:$C$12,MATCH(Table1[[#This Row],[Quantity]],'Master Sheet'!$B$4:$B$12,0))</f>
        <v>6</v>
      </c>
      <c r="N1971" s="71">
        <f>Table1[[#This Row],[Quantity]]*Table1[[#This Row],[Unit Price]]</f>
        <v>708452</v>
      </c>
      <c r="O1971" s="73">
        <v>7.0845199999999997E-2</v>
      </c>
      <c r="P1971" s="70">
        <f>Table1[[#This Row],[Gross Amount]]*(1-(Table1[[#This Row],[Discount %]]/100))</f>
        <v>665944.88</v>
      </c>
      <c r="Q1971" s="74">
        <f>(Table1[[#This Row],[Gross Amount]]*(1-(Table1[[#This Row],[Discount %]]/100)))/10000000</f>
        <v>6.6594488000000007E-2</v>
      </c>
      <c r="R1971" t="s">
        <v>54</v>
      </c>
      <c r="S1971" t="str" cm="1">
        <f t="array" ref="S1971">IFERROR(_xlfn.IFS(Table1[[#This Row],[Payment Status]]="Partial","In Transit",Table1[[#This Row],[Payment Status]]="Paid","Delivered",Table1[[#This Row],[Payment Status]]="Pending","Pending"),"Invalid Input")</f>
        <v>Delivered</v>
      </c>
      <c r="T1971" t="s">
        <v>44</v>
      </c>
      <c r="U1971" t="str" cm="1">
        <f t="array" ref="U1971">IFERROR(_xlfn.IFS(Table1[[#This Row],[Payment Status]]="Partial","In Transit",Table1[[#This Row],[Payment Status]]="Paid","Completed",Table1[[#This Row],[Payment Status]]="Pending","Pending"),"Invalid Input")</f>
        <v>Completed</v>
      </c>
    </row>
    <row r="1972" spans="1:21" x14ac:dyDescent="0.25">
      <c r="A1972" s="4" t="s">
        <v>3193</v>
      </c>
      <c r="B1972" s="5">
        <v>45718</v>
      </c>
      <c r="C1972" t="s">
        <v>41</v>
      </c>
      <c r="D1972" t="s">
        <v>3269</v>
      </c>
      <c r="E1972" t="s">
        <v>47</v>
      </c>
      <c r="F1972" t="s">
        <v>3209</v>
      </c>
      <c r="G1972" t="s">
        <v>48</v>
      </c>
      <c r="H1972" t="str">
        <f>VLOOKUP(Table1[[#This Row],[City]],Table6[#All],2,FALSE)</f>
        <v>North</v>
      </c>
      <c r="I1972" t="s">
        <v>53</v>
      </c>
      <c r="J1972" t="str">
        <f>_xlfn.XLOOKUP(Table1[[#This Row],[Tractor Model]],Table7[Product Model],Table7[Product Category],"Not Available",0)</f>
        <v>Farmtrac</v>
      </c>
      <c r="K1972" s="4">
        <v>4</v>
      </c>
      <c r="L1972" s="72">
        <v>315267</v>
      </c>
      <c r="M1972" s="4">
        <f>INDEX('Master Sheet'!$C$4:$C$12,MATCH(Table1[[#This Row],[Quantity]],'Master Sheet'!$B$4:$B$12,0))</f>
        <v>6</v>
      </c>
      <c r="N1972" s="71">
        <f>Table1[[#This Row],[Quantity]]*Table1[[#This Row],[Unit Price]]</f>
        <v>1261068</v>
      </c>
      <c r="O1972" s="73">
        <v>0.12610679999999999</v>
      </c>
      <c r="P1972" s="70">
        <f>Table1[[#This Row],[Gross Amount]]*(1-(Table1[[#This Row],[Discount %]]/100))</f>
        <v>1185403.92</v>
      </c>
      <c r="Q1972" s="74">
        <f>(Table1[[#This Row],[Gross Amount]]*(1-(Table1[[#This Row],[Discount %]]/100)))/10000000</f>
        <v>0.11854039199999999</v>
      </c>
      <c r="R1972" t="s">
        <v>25</v>
      </c>
      <c r="S1972" t="str" cm="1">
        <f t="array" ref="S1972">IFERROR(_xlfn.IFS(Table1[[#This Row],[Payment Status]]="Partial","In Transit",Table1[[#This Row],[Payment Status]]="Paid","Delivered",Table1[[#This Row],[Payment Status]]="Pending","Pending"),"Invalid Input")</f>
        <v>In Transit</v>
      </c>
      <c r="T1972" t="s">
        <v>27</v>
      </c>
      <c r="U1972" t="str" cm="1">
        <f t="array" ref="U1972">IFERROR(_xlfn.IFS(Table1[[#This Row],[Payment Status]]="Partial","In Transit",Table1[[#This Row],[Payment Status]]="Paid","Completed",Table1[[#This Row],[Payment Status]]="Pending","Pending"),"Invalid Input")</f>
        <v>In Transit</v>
      </c>
    </row>
    <row r="1973" spans="1:21" x14ac:dyDescent="0.25">
      <c r="A1973" s="4" t="s">
        <v>3194</v>
      </c>
      <c r="B1973" s="5">
        <v>45635</v>
      </c>
      <c r="C1973" t="s">
        <v>62</v>
      </c>
      <c r="D1973" t="s">
        <v>3271</v>
      </c>
      <c r="E1973" t="s">
        <v>38</v>
      </c>
      <c r="F1973" t="s">
        <v>3210</v>
      </c>
      <c r="G1973" t="s">
        <v>39</v>
      </c>
      <c r="H1973" t="str">
        <f>VLOOKUP(Table1[[#This Row],[City]],Table6[#All],2,FALSE)</f>
        <v>West</v>
      </c>
      <c r="I1973" t="s">
        <v>24</v>
      </c>
      <c r="J1973" t="str">
        <f>_xlfn.XLOOKUP(Table1[[#This Row],[Tractor Model]],Table7[Product Model],Table7[Product Category],"Not Available",0)</f>
        <v>Farmtrac</v>
      </c>
      <c r="K1973" s="4">
        <v>4</v>
      </c>
      <c r="L1973" s="72">
        <v>493537</v>
      </c>
      <c r="M1973" s="4">
        <f>INDEX('Master Sheet'!$C$4:$C$12,MATCH(Table1[[#This Row],[Quantity]],'Master Sheet'!$B$4:$B$12,0))</f>
        <v>6</v>
      </c>
      <c r="N1973" s="71">
        <f>Table1[[#This Row],[Quantity]]*Table1[[#This Row],[Unit Price]]</f>
        <v>1974148</v>
      </c>
      <c r="O1973" s="73">
        <v>0.1974148</v>
      </c>
      <c r="P1973" s="70">
        <f>Table1[[#This Row],[Gross Amount]]*(1-(Table1[[#This Row],[Discount %]]/100))</f>
        <v>1855699.1199999999</v>
      </c>
      <c r="Q1973" s="74">
        <f>(Table1[[#This Row],[Gross Amount]]*(1-(Table1[[#This Row],[Discount %]]/100)))/10000000</f>
        <v>0.18556991199999998</v>
      </c>
      <c r="R1973" t="s">
        <v>54</v>
      </c>
      <c r="S1973" t="str" cm="1">
        <f t="array" ref="S1973">IFERROR(_xlfn.IFS(Table1[[#This Row],[Payment Status]]="Partial","In Transit",Table1[[#This Row],[Payment Status]]="Paid","Delivered",Table1[[#This Row],[Payment Status]]="Pending","Pending"),"Invalid Input")</f>
        <v>Delivered</v>
      </c>
      <c r="T1973" t="s">
        <v>27</v>
      </c>
      <c r="U1973" t="str" cm="1">
        <f t="array" ref="U1973">IFERROR(_xlfn.IFS(Table1[[#This Row],[Payment Status]]="Partial","In Transit",Table1[[#This Row],[Payment Status]]="Paid","Completed",Table1[[#This Row],[Payment Status]]="Pending","Pending"),"Invalid Input")</f>
        <v>Completed</v>
      </c>
    </row>
    <row r="1974" spans="1:21" x14ac:dyDescent="0.25">
      <c r="A1974" s="4" t="s">
        <v>3196</v>
      </c>
      <c r="B1974" s="5">
        <v>45644</v>
      </c>
      <c r="C1974" t="s">
        <v>41</v>
      </c>
      <c r="D1974" t="s">
        <v>3269</v>
      </c>
      <c r="E1974" t="s">
        <v>119</v>
      </c>
      <c r="F1974" t="s">
        <v>3229</v>
      </c>
      <c r="G1974" t="s">
        <v>21</v>
      </c>
      <c r="H1974" t="str">
        <f>VLOOKUP(Table1[[#This Row],[City]],Table6[#All],2,FALSE)</f>
        <v>North</v>
      </c>
      <c r="I1974" t="s">
        <v>53</v>
      </c>
      <c r="J1974" t="str">
        <f>_xlfn.XLOOKUP(Table1[[#This Row],[Tractor Model]],Table7[Product Model],Table7[Product Category],"Not Available",0)</f>
        <v>Farmtrac</v>
      </c>
      <c r="K1974" s="4">
        <v>4</v>
      </c>
      <c r="L1974" s="72">
        <v>886070</v>
      </c>
      <c r="M1974" s="4">
        <f>INDEX('Master Sheet'!$C$4:$C$12,MATCH(Table1[[#This Row],[Quantity]],'Master Sheet'!$B$4:$B$12,0))</f>
        <v>6</v>
      </c>
      <c r="N1974" s="71">
        <f>Table1[[#This Row],[Quantity]]*Table1[[#This Row],[Unit Price]]</f>
        <v>3544280</v>
      </c>
      <c r="O1974" s="73">
        <v>0.35442800000000002</v>
      </c>
      <c r="P1974" s="70">
        <f>Table1[[#This Row],[Gross Amount]]*(1-(Table1[[#This Row],[Discount %]]/100))</f>
        <v>3331623.1999999997</v>
      </c>
      <c r="Q1974" s="74">
        <f>(Table1[[#This Row],[Gross Amount]]*(1-(Table1[[#This Row],[Discount %]]/100)))/10000000</f>
        <v>0.33316231999999996</v>
      </c>
      <c r="R1974" t="s">
        <v>54</v>
      </c>
      <c r="S1974" t="str" cm="1">
        <f t="array" ref="S1974">IFERROR(_xlfn.IFS(Table1[[#This Row],[Payment Status]]="Partial","In Transit",Table1[[#This Row],[Payment Status]]="Paid","Delivered",Table1[[#This Row],[Payment Status]]="Pending","Pending"),"Invalid Input")</f>
        <v>Delivered</v>
      </c>
      <c r="T1974" t="s">
        <v>27</v>
      </c>
      <c r="U1974" t="str" cm="1">
        <f t="array" ref="U1974">IFERROR(_xlfn.IFS(Table1[[#This Row],[Payment Status]]="Partial","In Transit",Table1[[#This Row],[Payment Status]]="Paid","Completed",Table1[[#This Row],[Payment Status]]="Pending","Pending"),"Invalid Input")</f>
        <v>Completed</v>
      </c>
    </row>
    <row r="1975" spans="1:21" x14ac:dyDescent="0.25">
      <c r="A1975" s="4" t="s">
        <v>3197</v>
      </c>
      <c r="B1975" s="5">
        <v>45531</v>
      </c>
      <c r="C1975" t="s">
        <v>52</v>
      </c>
      <c r="D1975" t="s">
        <v>3270</v>
      </c>
      <c r="E1975" t="s">
        <v>47</v>
      </c>
      <c r="F1975" t="s">
        <v>3205</v>
      </c>
      <c r="G1975" t="s">
        <v>48</v>
      </c>
      <c r="H1975" t="str">
        <f>VLOOKUP(Table1[[#This Row],[City]],Table6[#All],2,FALSE)</f>
        <v>North</v>
      </c>
      <c r="I1975" t="s">
        <v>3203</v>
      </c>
      <c r="J1975" t="str">
        <f>_xlfn.XLOOKUP(Table1[[#This Row],[Tractor Model]],Table7[Product Model],Table7[Product Category],"Not Available",0)</f>
        <v>Kubota</v>
      </c>
      <c r="K1975" s="4">
        <v>4</v>
      </c>
      <c r="L1975" s="72">
        <v>145228</v>
      </c>
      <c r="M1975" s="4">
        <f>INDEX('Master Sheet'!$C$4:$C$12,MATCH(Table1[[#This Row],[Quantity]],'Master Sheet'!$B$4:$B$12,0))</f>
        <v>6</v>
      </c>
      <c r="N1975" s="71">
        <f>Table1[[#This Row],[Quantity]]*Table1[[#This Row],[Unit Price]]</f>
        <v>580912</v>
      </c>
      <c r="O1975" s="73">
        <v>5.8091200000000003E-2</v>
      </c>
      <c r="P1975" s="70">
        <f>Table1[[#This Row],[Gross Amount]]*(1-(Table1[[#This Row],[Discount %]]/100))</f>
        <v>546057.27999999991</v>
      </c>
      <c r="Q1975" s="74">
        <f>(Table1[[#This Row],[Gross Amount]]*(1-(Table1[[#This Row],[Discount %]]/100)))/10000000</f>
        <v>5.4605727999999992E-2</v>
      </c>
      <c r="R1975" t="s">
        <v>42</v>
      </c>
      <c r="S1975" t="str" cm="1">
        <f t="array" ref="S1975">IFERROR(_xlfn.IFS(Table1[[#This Row],[Payment Status]]="Partial","In Transit",Table1[[#This Row],[Payment Status]]="Paid","Delivered",Table1[[#This Row],[Payment Status]]="Pending","Pending"),"Invalid Input")</f>
        <v>Pending</v>
      </c>
      <c r="T1975" t="s">
        <v>27</v>
      </c>
      <c r="U1975" t="str" cm="1">
        <f t="array" ref="U1975">IFERROR(_xlfn.IFS(Table1[[#This Row],[Payment Status]]="Partial","In Transit",Table1[[#This Row],[Payment Status]]="Paid","Completed",Table1[[#This Row],[Payment Status]]="Pending","Pending"),"Invalid Input")</f>
        <v>Pending</v>
      </c>
    </row>
    <row r="1976" spans="1:21" x14ac:dyDescent="0.25">
      <c r="A1976" s="4" t="s">
        <v>3198</v>
      </c>
      <c r="B1976" s="5">
        <v>45692</v>
      </c>
      <c r="C1976" t="s">
        <v>73</v>
      </c>
      <c r="D1976" t="s">
        <v>3268</v>
      </c>
      <c r="E1976" t="s">
        <v>66</v>
      </c>
      <c r="F1976" t="s">
        <v>3211</v>
      </c>
      <c r="G1976" t="s">
        <v>67</v>
      </c>
      <c r="H1976" t="str">
        <f>VLOOKUP(Table1[[#This Row],[City]],Table6[#All],2,FALSE)</f>
        <v>East</v>
      </c>
      <c r="I1976" t="s">
        <v>24</v>
      </c>
      <c r="J1976" t="str">
        <f>_xlfn.XLOOKUP(Table1[[#This Row],[Tractor Model]],Table7[Product Model],Table7[Product Category],"Not Available",0)</f>
        <v>Farmtrac</v>
      </c>
      <c r="K1976" s="4">
        <v>4</v>
      </c>
      <c r="L1976" s="72">
        <v>450437</v>
      </c>
      <c r="M1976" s="4">
        <f>INDEX('Master Sheet'!$C$4:$C$12,MATCH(Table1[[#This Row],[Quantity]],'Master Sheet'!$B$4:$B$12,0))</f>
        <v>6</v>
      </c>
      <c r="N1976" s="71">
        <f>Table1[[#This Row],[Quantity]]*Table1[[#This Row],[Unit Price]]</f>
        <v>1801748</v>
      </c>
      <c r="O1976" s="73">
        <v>0.1801748</v>
      </c>
      <c r="P1976" s="70">
        <f>Table1[[#This Row],[Gross Amount]]*(1-(Table1[[#This Row],[Discount %]]/100))</f>
        <v>1693643.1199999999</v>
      </c>
      <c r="Q1976" s="74">
        <f>(Table1[[#This Row],[Gross Amount]]*(1-(Table1[[#This Row],[Discount %]]/100)))/10000000</f>
        <v>0.16936431199999999</v>
      </c>
      <c r="R1976" t="s">
        <v>42</v>
      </c>
      <c r="S1976" t="str" cm="1">
        <f t="array" ref="S1976">IFERROR(_xlfn.IFS(Table1[[#This Row],[Payment Status]]="Partial","In Transit",Table1[[#This Row],[Payment Status]]="Paid","Delivered",Table1[[#This Row],[Payment Status]]="Pending","Pending"),"Invalid Input")</f>
        <v>Pending</v>
      </c>
      <c r="T1976" t="s">
        <v>27</v>
      </c>
      <c r="U1976" t="str" cm="1">
        <f t="array" ref="U1976">IFERROR(_xlfn.IFS(Table1[[#This Row],[Payment Status]]="Partial","In Transit",Table1[[#This Row],[Payment Status]]="Paid","Completed",Table1[[#This Row],[Payment Status]]="Pending","Pending"),"Invalid Input")</f>
        <v>Pending</v>
      </c>
    </row>
    <row r="1977" spans="1:21" x14ac:dyDescent="0.25">
      <c r="A1977" s="4" t="s">
        <v>3199</v>
      </c>
      <c r="B1977" s="5">
        <v>45464</v>
      </c>
      <c r="C1977" t="s">
        <v>73</v>
      </c>
      <c r="D1977" t="s">
        <v>3268</v>
      </c>
      <c r="E1977" t="s">
        <v>30</v>
      </c>
      <c r="F1977" t="s">
        <v>3208</v>
      </c>
      <c r="G1977" t="s">
        <v>31</v>
      </c>
      <c r="H1977" t="str">
        <f>VLOOKUP(Table1[[#This Row],[City]],Table6[#All],2,FALSE)</f>
        <v>South</v>
      </c>
      <c r="I1977" t="s">
        <v>3203</v>
      </c>
      <c r="J1977" t="str">
        <f>_xlfn.XLOOKUP(Table1[[#This Row],[Tractor Model]],Table7[Product Model],Table7[Product Category],"Not Available",0)</f>
        <v>Kubota</v>
      </c>
      <c r="K1977" s="4">
        <v>4</v>
      </c>
      <c r="L1977" s="72">
        <v>515515</v>
      </c>
      <c r="M1977" s="4">
        <f>INDEX('Master Sheet'!$C$4:$C$12,MATCH(Table1[[#This Row],[Quantity]],'Master Sheet'!$B$4:$B$12,0))</f>
        <v>6</v>
      </c>
      <c r="N1977" s="71">
        <f>Table1[[#This Row],[Quantity]]*Table1[[#This Row],[Unit Price]]</f>
        <v>2062060</v>
      </c>
      <c r="O1977" s="73">
        <v>0.206206</v>
      </c>
      <c r="P1977" s="70">
        <f>Table1[[#This Row],[Gross Amount]]*(1-(Table1[[#This Row],[Discount %]]/100))</f>
        <v>1938336.4</v>
      </c>
      <c r="Q1977" s="74">
        <f>(Table1[[#This Row],[Gross Amount]]*(1-(Table1[[#This Row],[Discount %]]/100)))/10000000</f>
        <v>0.19383364</v>
      </c>
      <c r="R1977" t="s">
        <v>54</v>
      </c>
      <c r="S1977" t="str" cm="1">
        <f t="array" ref="S1977">IFERROR(_xlfn.IFS(Table1[[#This Row],[Payment Status]]="Partial","In Transit",Table1[[#This Row],[Payment Status]]="Paid","Delivered",Table1[[#This Row],[Payment Status]]="Pending","Pending"),"Invalid Input")</f>
        <v>Delivered</v>
      </c>
      <c r="T1977" t="s">
        <v>27</v>
      </c>
      <c r="U1977" t="str" cm="1">
        <f t="array" ref="U1977">IFERROR(_xlfn.IFS(Table1[[#This Row],[Payment Status]]="Partial","In Transit",Table1[[#This Row],[Payment Status]]="Paid","Completed",Table1[[#This Row],[Payment Status]]="Pending","Pending"),"Invalid Input")</f>
        <v>Completed</v>
      </c>
    </row>
    <row r="1978" spans="1:21" x14ac:dyDescent="0.25">
      <c r="A1978" s="4" t="s">
        <v>3200</v>
      </c>
      <c r="B1978" s="5">
        <v>45548</v>
      </c>
      <c r="C1978" t="s">
        <v>73</v>
      </c>
      <c r="D1978" t="s">
        <v>3270</v>
      </c>
      <c r="E1978" t="s">
        <v>119</v>
      </c>
      <c r="F1978" t="s">
        <v>3212</v>
      </c>
      <c r="G1978" t="s">
        <v>21</v>
      </c>
      <c r="H1978" t="str">
        <f>VLOOKUP(Table1[[#This Row],[City]],Table6[#All],2,FALSE)</f>
        <v>North</v>
      </c>
      <c r="I1978" t="s">
        <v>3204</v>
      </c>
      <c r="J1978" t="str">
        <f>_xlfn.XLOOKUP(Table1[[#This Row],[Tractor Model]],Table7[Product Model],Table7[Product Category],"Not Available",0)</f>
        <v>Kubota</v>
      </c>
      <c r="K1978" s="4">
        <v>4</v>
      </c>
      <c r="L1978" s="72">
        <v>521080</v>
      </c>
      <c r="M1978" s="4">
        <f>INDEX('Master Sheet'!$C$4:$C$12,MATCH(Table1[[#This Row],[Quantity]],'Master Sheet'!$B$4:$B$12,0))</f>
        <v>6</v>
      </c>
      <c r="N1978" s="71">
        <f>Table1[[#This Row],[Quantity]]*Table1[[#This Row],[Unit Price]]</f>
        <v>2084320</v>
      </c>
      <c r="O1978" s="73">
        <v>0.20843200000000001</v>
      </c>
      <c r="P1978" s="70">
        <f>Table1[[#This Row],[Gross Amount]]*(1-(Table1[[#This Row],[Discount %]]/100))</f>
        <v>1959260.7999999998</v>
      </c>
      <c r="Q1978" s="74">
        <f>(Table1[[#This Row],[Gross Amount]]*(1-(Table1[[#This Row],[Discount %]]/100)))/10000000</f>
        <v>0.19592607999999997</v>
      </c>
      <c r="R1978" t="s">
        <v>42</v>
      </c>
      <c r="S1978" t="str" cm="1">
        <f t="array" ref="S1978">IFERROR(_xlfn.IFS(Table1[[#This Row],[Payment Status]]="Partial","In Transit",Table1[[#This Row],[Payment Status]]="Paid","Delivered",Table1[[#This Row],[Payment Status]]="Pending","Pending"),"Invalid Input")</f>
        <v>Pending</v>
      </c>
      <c r="T1978" t="s">
        <v>27</v>
      </c>
      <c r="U1978" t="str" cm="1">
        <f t="array" ref="U1978">IFERROR(_xlfn.IFS(Table1[[#This Row],[Payment Status]]="Partial","In Transit",Table1[[#This Row],[Payment Status]]="Paid","Completed",Table1[[#This Row],[Payment Status]]="Pending","Pending"),"Invalid Input")</f>
        <v>Pending</v>
      </c>
    </row>
    <row r="1979" spans="1:21" x14ac:dyDescent="0.25">
      <c r="A1979" s="4" t="s">
        <v>3201</v>
      </c>
      <c r="B1979" s="5">
        <v>45312</v>
      </c>
      <c r="C1979" t="s">
        <v>52</v>
      </c>
      <c r="D1979" t="s">
        <v>3269</v>
      </c>
      <c r="E1979" t="s">
        <v>66</v>
      </c>
      <c r="F1979" t="s">
        <v>3213</v>
      </c>
      <c r="G1979" t="s">
        <v>67</v>
      </c>
      <c r="H1979" t="str">
        <f>VLOOKUP(Table1[[#This Row],[City]],Table6[#All],2,FALSE)</f>
        <v>East</v>
      </c>
      <c r="I1979" t="s">
        <v>3203</v>
      </c>
      <c r="J1979" t="str">
        <f>_xlfn.XLOOKUP(Table1[[#This Row],[Tractor Model]],Table7[Product Model],Table7[Product Category],"Not Available",0)</f>
        <v>Kubota</v>
      </c>
      <c r="K1979" s="4">
        <v>4</v>
      </c>
      <c r="L1979" s="72">
        <v>660327</v>
      </c>
      <c r="M1979" s="4">
        <f>INDEX('Master Sheet'!$C$4:$C$12,MATCH(Table1[[#This Row],[Quantity]],'Master Sheet'!$B$4:$B$12,0))</f>
        <v>6</v>
      </c>
      <c r="N1979" s="71">
        <f>Table1[[#This Row],[Quantity]]*Table1[[#This Row],[Unit Price]]</f>
        <v>2641308</v>
      </c>
      <c r="O1979" s="73">
        <v>0.2641308</v>
      </c>
      <c r="P1979" s="70">
        <f>Table1[[#This Row],[Gross Amount]]*(1-(Table1[[#This Row],[Discount %]]/100))</f>
        <v>2482829.52</v>
      </c>
      <c r="Q1979" s="74">
        <f>(Table1[[#This Row],[Gross Amount]]*(1-(Table1[[#This Row],[Discount %]]/100)))/10000000</f>
        <v>0.248282952</v>
      </c>
      <c r="R1979" t="s">
        <v>54</v>
      </c>
      <c r="S1979" t="str" cm="1">
        <f t="array" ref="S1979">IFERROR(_xlfn.IFS(Table1[[#This Row],[Payment Status]]="Partial","In Transit",Table1[[#This Row],[Payment Status]]="Paid","Delivered",Table1[[#This Row],[Payment Status]]="Pending","Pending"),"Invalid Input")</f>
        <v>Delivered</v>
      </c>
      <c r="T1979" t="s">
        <v>27</v>
      </c>
      <c r="U1979" t="str" cm="1">
        <f t="array" ref="U1979">IFERROR(_xlfn.IFS(Table1[[#This Row],[Payment Status]]="Partial","In Transit",Table1[[#This Row],[Payment Status]]="Paid","Completed",Table1[[#This Row],[Payment Status]]="Pending","Pending"),"Invalid Input")</f>
        <v>Completed</v>
      </c>
    </row>
    <row r="1980" spans="1:21" ht="13.9" customHeight="1" x14ac:dyDescent="0.25">
      <c r="A1980" s="4" t="s">
        <v>3202</v>
      </c>
      <c r="B1980" s="5">
        <v>45506</v>
      </c>
      <c r="C1980" t="s">
        <v>62</v>
      </c>
      <c r="D1980" t="s">
        <v>3269</v>
      </c>
      <c r="E1980" t="s">
        <v>66</v>
      </c>
      <c r="F1980" t="s">
        <v>3213</v>
      </c>
      <c r="G1980" t="s">
        <v>67</v>
      </c>
      <c r="H1980" t="str">
        <f>VLOOKUP(Table1[[#This Row],[City]],Table6[#All],2,FALSE)</f>
        <v>East</v>
      </c>
      <c r="I1980" t="s">
        <v>58</v>
      </c>
      <c r="J1980" t="str">
        <f>_xlfn.XLOOKUP(Table1[[#This Row],[Tractor Model]],Table7[Product Model],Table7[Product Category],"Not Available",0)</f>
        <v>Powertrac</v>
      </c>
      <c r="K1980" s="4">
        <v>4</v>
      </c>
      <c r="L1980" s="72">
        <v>223670</v>
      </c>
      <c r="M1980" s="4">
        <f>INDEX('Master Sheet'!$C$4:$C$12,MATCH(Table1[[#This Row],[Quantity]],'Master Sheet'!$B$4:$B$12,0))</f>
        <v>6</v>
      </c>
      <c r="N1980" s="71">
        <f>Table1[[#This Row],[Quantity]]*Table1[[#This Row],[Unit Price]]</f>
        <v>894680</v>
      </c>
      <c r="O1980" s="73">
        <v>8.9468000000000006E-2</v>
      </c>
      <c r="P1980" s="70">
        <f>Table1[[#This Row],[Gross Amount]]*(1-(Table1[[#This Row],[Discount %]]/100))</f>
        <v>840999.2</v>
      </c>
      <c r="Q1980" s="74">
        <f>(Table1[[#This Row],[Gross Amount]]*(1-(Table1[[#This Row],[Discount %]]/100)))/10000000</f>
        <v>8.4099919999999995E-2</v>
      </c>
      <c r="R1980" t="s">
        <v>54</v>
      </c>
      <c r="S1980" t="str" cm="1">
        <f t="array" ref="S1980">IFERROR(_xlfn.IFS(Table1[[#This Row],[Payment Status]]="Partial","In Transit",Table1[[#This Row],[Payment Status]]="Paid","Delivered",Table1[[#This Row],[Payment Status]]="Pending","Pending"),"Invalid Input")</f>
        <v>Delivered</v>
      </c>
      <c r="T1980" t="s">
        <v>27</v>
      </c>
      <c r="U1980" t="str" cm="1">
        <f t="array" ref="U1980">IFERROR(_xlfn.IFS(Table1[[#This Row],[Payment Status]]="Partial","In Transit",Table1[[#This Row],[Payment Status]]="Paid","Completed",Table1[[#This Row],[Payment Status]]="Pending","Pending"),"Invalid Input")</f>
        <v>Completed</v>
      </c>
    </row>
    <row r="1981" spans="1:21" x14ac:dyDescent="0.25">
      <c r="C1981" s="1"/>
      <c r="K1981" s="4"/>
      <c r="L1981" s="72"/>
      <c r="M1981" s="4"/>
      <c r="N1981" s="75"/>
      <c r="O1981" s="73"/>
      <c r="P1981" s="76"/>
      <c r="Q1981" s="74"/>
    </row>
    <row r="1983" spans="1:21" x14ac:dyDescent="0.25">
      <c r="D1983" s="42"/>
    </row>
    <row r="1985" spans="17:17" x14ac:dyDescent="0.25">
      <c r="Q1985"/>
    </row>
  </sheetData>
  <phoneticPr fontId="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AF25-5ED5-4F6E-AB5F-A083AF4284CD}">
  <dimension ref="B1:BXF60"/>
  <sheetViews>
    <sheetView topLeftCell="D1" zoomScale="80" zoomScaleNormal="80" workbookViewId="0">
      <selection activeCell="K6" sqref="K6"/>
    </sheetView>
  </sheetViews>
  <sheetFormatPr defaultRowHeight="15" x14ac:dyDescent="0.25"/>
  <cols>
    <col min="1" max="1" width="7.5703125" customWidth="1"/>
    <col min="2" max="2" width="37" bestFit="1" customWidth="1"/>
    <col min="3" max="3" width="32.42578125" bestFit="1" customWidth="1"/>
    <col min="4" max="4" width="33.5703125" bestFit="1" customWidth="1"/>
    <col min="5" max="5" width="21" bestFit="1" customWidth="1"/>
    <col min="6" max="6" width="19.5703125" bestFit="1" customWidth="1"/>
    <col min="7" max="7" width="34.42578125" bestFit="1" customWidth="1"/>
    <col min="8" max="8" width="29.85546875" bestFit="1" customWidth="1"/>
    <col min="9" max="9" width="11.85546875" bestFit="1" customWidth="1"/>
    <col min="10" max="10" width="29.85546875" bestFit="1" customWidth="1"/>
    <col min="11" max="11" width="19.85546875" bestFit="1" customWidth="1"/>
    <col min="12" max="12" width="12.140625" bestFit="1" customWidth="1"/>
    <col min="13" max="13" width="11.5703125" bestFit="1" customWidth="1"/>
    <col min="14" max="14" width="11.28515625" bestFit="1" customWidth="1"/>
    <col min="15" max="15" width="16.7109375" bestFit="1" customWidth="1"/>
    <col min="16" max="1986" width="8.7109375" bestFit="1" customWidth="1"/>
    <col min="1987" max="1987" width="11.28515625" bestFit="1" customWidth="1"/>
  </cols>
  <sheetData>
    <row r="1" spans="2:15" x14ac:dyDescent="0.25">
      <c r="B1" s="21"/>
    </row>
    <row r="2" spans="2:15" x14ac:dyDescent="0.25">
      <c r="B2" s="15" t="s">
        <v>3240</v>
      </c>
      <c r="C2" s="6" t="s">
        <v>5</v>
      </c>
      <c r="D2" s="8"/>
      <c r="E2" s="8"/>
      <c r="F2" s="8"/>
      <c r="G2" s="8"/>
      <c r="J2" s="6" t="s">
        <v>3263</v>
      </c>
      <c r="K2" s="6" t="s">
        <v>3257</v>
      </c>
      <c r="L2" s="2"/>
      <c r="M2" s="2"/>
      <c r="N2" s="2"/>
      <c r="O2" s="2"/>
    </row>
    <row r="3" spans="2:15" x14ac:dyDescent="0.25">
      <c r="B3" s="15" t="s">
        <v>4</v>
      </c>
      <c r="C3" s="8" t="s">
        <v>68</v>
      </c>
      <c r="D3" s="8" t="s">
        <v>22</v>
      </c>
      <c r="E3" s="8" t="s">
        <v>32</v>
      </c>
      <c r="F3" s="8" t="s">
        <v>40</v>
      </c>
      <c r="G3" s="8" t="s">
        <v>3239</v>
      </c>
      <c r="J3" s="6" t="s">
        <v>3238</v>
      </c>
      <c r="K3" s="8" t="s">
        <v>68</v>
      </c>
      <c r="L3" s="8" t="s">
        <v>22</v>
      </c>
      <c r="M3" s="8" t="s">
        <v>32</v>
      </c>
      <c r="N3" s="8" t="s">
        <v>40</v>
      </c>
      <c r="O3" s="8" t="s">
        <v>3239</v>
      </c>
    </row>
    <row r="4" spans="2:15" ht="15.75" x14ac:dyDescent="0.25">
      <c r="B4" s="17" t="s">
        <v>31</v>
      </c>
      <c r="C4" s="18"/>
      <c r="D4" s="18"/>
      <c r="E4" s="18">
        <v>670727914.01999998</v>
      </c>
      <c r="F4" s="18"/>
      <c r="G4" s="18">
        <v>670727914.01999998</v>
      </c>
      <c r="J4" s="7" t="s">
        <v>31</v>
      </c>
      <c r="K4" s="22"/>
      <c r="L4" s="22"/>
      <c r="M4" s="23">
        <v>67.072791402000021</v>
      </c>
      <c r="N4" s="23"/>
      <c r="O4" s="23">
        <v>67.072791402000021</v>
      </c>
    </row>
    <row r="5" spans="2:15" ht="15.75" x14ac:dyDescent="0.25">
      <c r="B5" s="17" t="s">
        <v>48</v>
      </c>
      <c r="C5" s="18"/>
      <c r="D5" s="18">
        <v>773457718.59000039</v>
      </c>
      <c r="E5" s="18"/>
      <c r="F5" s="18"/>
      <c r="G5" s="18">
        <v>773457718.59000039</v>
      </c>
      <c r="J5" s="7" t="s">
        <v>48</v>
      </c>
      <c r="K5" s="23"/>
      <c r="L5" s="23">
        <v>77.345771859000024</v>
      </c>
      <c r="M5" s="23"/>
      <c r="N5" s="23"/>
      <c r="O5" s="23">
        <v>77.345771859000024</v>
      </c>
    </row>
    <row r="6" spans="2:15" ht="15.75" x14ac:dyDescent="0.25">
      <c r="B6" s="17" t="s">
        <v>67</v>
      </c>
      <c r="C6" s="18">
        <v>793488412.72999942</v>
      </c>
      <c r="D6" s="18"/>
      <c r="E6" s="18"/>
      <c r="F6" s="18"/>
      <c r="G6" s="18">
        <v>793488412.72999942</v>
      </c>
      <c r="J6" s="7" t="s">
        <v>67</v>
      </c>
      <c r="K6" s="23">
        <v>79.348841273000005</v>
      </c>
      <c r="L6" s="23"/>
      <c r="M6" s="23"/>
      <c r="N6" s="23"/>
      <c r="O6" s="23">
        <v>79.348841273000005</v>
      </c>
    </row>
    <row r="7" spans="2:15" ht="15.75" x14ac:dyDescent="0.25">
      <c r="B7" s="17" t="s">
        <v>21</v>
      </c>
      <c r="C7" s="18"/>
      <c r="D7" s="18">
        <v>785342350.00000036</v>
      </c>
      <c r="E7" s="18"/>
      <c r="F7" s="18"/>
      <c r="G7" s="18">
        <v>785342350.00000036</v>
      </c>
      <c r="J7" s="7" t="s">
        <v>21</v>
      </c>
      <c r="K7" s="23"/>
      <c r="L7" s="23">
        <v>78.534235000000052</v>
      </c>
      <c r="M7" s="23"/>
      <c r="N7" s="23"/>
      <c r="O7" s="23">
        <v>78.534235000000052</v>
      </c>
    </row>
    <row r="8" spans="2:15" ht="15.75" x14ac:dyDescent="0.25">
      <c r="B8" s="17" t="s">
        <v>39</v>
      </c>
      <c r="C8" s="18"/>
      <c r="D8" s="18"/>
      <c r="E8" s="18"/>
      <c r="F8" s="18">
        <v>755010488.86000097</v>
      </c>
      <c r="G8" s="18">
        <v>755010488.86000097</v>
      </c>
      <c r="J8" s="7" t="s">
        <v>39</v>
      </c>
      <c r="K8" s="23"/>
      <c r="L8" s="23"/>
      <c r="M8" s="23"/>
      <c r="N8" s="23">
        <v>75.501048885999964</v>
      </c>
      <c r="O8" s="23">
        <v>75.501048885999964</v>
      </c>
    </row>
    <row r="9" spans="2:15" x14ac:dyDescent="0.25">
      <c r="B9" s="7" t="s">
        <v>3239</v>
      </c>
      <c r="C9" s="10">
        <v>793488412.72999942</v>
      </c>
      <c r="D9" s="10">
        <v>1558800068.5900006</v>
      </c>
      <c r="E9" s="10">
        <v>670727914.01999998</v>
      </c>
      <c r="F9" s="10">
        <v>755010488.86000097</v>
      </c>
      <c r="G9" s="10">
        <v>3778026884.2000012</v>
      </c>
      <c r="J9" s="7" t="s">
        <v>3239</v>
      </c>
      <c r="K9" s="23">
        <v>79.348841273000005</v>
      </c>
      <c r="L9" s="23">
        <v>155.88000685900008</v>
      </c>
      <c r="M9" s="23">
        <v>67.072791402000021</v>
      </c>
      <c r="N9" s="23">
        <v>75.501048885999964</v>
      </c>
      <c r="O9" s="23">
        <v>377.80268842000004</v>
      </c>
    </row>
    <row r="12" spans="2:15" x14ac:dyDescent="0.25">
      <c r="B12" s="15" t="s">
        <v>3241</v>
      </c>
      <c r="C12" s="6" t="s">
        <v>3242</v>
      </c>
      <c r="D12" s="2"/>
      <c r="E12" s="2"/>
      <c r="F12" s="2"/>
      <c r="G12" s="2"/>
      <c r="H12" s="2"/>
    </row>
    <row r="13" spans="2:15" x14ac:dyDescent="0.25">
      <c r="B13" s="15" t="s">
        <v>3250</v>
      </c>
      <c r="C13" s="8" t="s">
        <v>47</v>
      </c>
      <c r="D13" s="8" t="s">
        <v>30</v>
      </c>
      <c r="E13" s="8" t="s">
        <v>38</v>
      </c>
      <c r="F13" s="8" t="s">
        <v>119</v>
      </c>
      <c r="G13" s="8" t="s">
        <v>66</v>
      </c>
      <c r="H13" s="8" t="s">
        <v>3239</v>
      </c>
    </row>
    <row r="14" spans="2:15" x14ac:dyDescent="0.25">
      <c r="B14" s="7" t="s">
        <v>37</v>
      </c>
      <c r="C14" s="112">
        <v>392</v>
      </c>
      <c r="D14" s="112">
        <v>290</v>
      </c>
      <c r="E14" s="112">
        <v>329</v>
      </c>
      <c r="F14" s="112">
        <v>390</v>
      </c>
      <c r="G14" s="112">
        <v>396</v>
      </c>
      <c r="H14" s="112">
        <v>1797</v>
      </c>
    </row>
    <row r="15" spans="2:15" x14ac:dyDescent="0.25">
      <c r="B15" s="7" t="s">
        <v>3268</v>
      </c>
      <c r="C15" s="112">
        <v>287</v>
      </c>
      <c r="D15" s="112">
        <v>329</v>
      </c>
      <c r="E15" s="112">
        <v>382</v>
      </c>
      <c r="F15" s="112">
        <v>353</v>
      </c>
      <c r="G15" s="112">
        <v>382</v>
      </c>
      <c r="H15" s="112">
        <v>1733</v>
      </c>
    </row>
    <row r="16" spans="2:15" x14ac:dyDescent="0.25">
      <c r="B16" s="7" t="s">
        <v>3269</v>
      </c>
      <c r="C16" s="112">
        <v>328</v>
      </c>
      <c r="D16" s="112">
        <v>348</v>
      </c>
      <c r="E16" s="112">
        <v>344</v>
      </c>
      <c r="F16" s="112">
        <v>391</v>
      </c>
      <c r="G16" s="112">
        <v>359</v>
      </c>
      <c r="H16" s="112">
        <v>1770</v>
      </c>
    </row>
    <row r="17" spans="2:8" x14ac:dyDescent="0.25">
      <c r="B17" s="7" t="s">
        <v>3271</v>
      </c>
      <c r="C17" s="112">
        <v>343</v>
      </c>
      <c r="D17" s="112">
        <v>318</v>
      </c>
      <c r="E17" s="112">
        <v>334</v>
      </c>
      <c r="F17" s="112">
        <v>367</v>
      </c>
      <c r="G17" s="112">
        <v>366</v>
      </c>
      <c r="H17" s="112">
        <v>1728</v>
      </c>
    </row>
    <row r="18" spans="2:8" x14ac:dyDescent="0.25">
      <c r="B18" s="7" t="s">
        <v>3270</v>
      </c>
      <c r="C18" s="112">
        <v>403</v>
      </c>
      <c r="D18" s="112">
        <v>302</v>
      </c>
      <c r="E18" s="112">
        <v>334</v>
      </c>
      <c r="F18" s="112">
        <v>308</v>
      </c>
      <c r="G18" s="112">
        <v>344</v>
      </c>
      <c r="H18" s="112">
        <v>1691</v>
      </c>
    </row>
    <row r="19" spans="2:8" x14ac:dyDescent="0.25">
      <c r="B19" s="7" t="s">
        <v>3239</v>
      </c>
      <c r="C19" s="112">
        <v>1753</v>
      </c>
      <c r="D19" s="112">
        <v>1587</v>
      </c>
      <c r="E19" s="112">
        <v>1723</v>
      </c>
      <c r="F19" s="112">
        <v>1809</v>
      </c>
      <c r="G19" s="112">
        <v>1847</v>
      </c>
      <c r="H19" s="112">
        <v>8719</v>
      </c>
    </row>
    <row r="22" spans="2:8" x14ac:dyDescent="0.25">
      <c r="B22" s="15" t="s">
        <v>3247</v>
      </c>
      <c r="C22" s="9" t="s">
        <v>3249</v>
      </c>
      <c r="D22" s="8"/>
      <c r="E22" s="8"/>
    </row>
    <row r="23" spans="2:8" x14ac:dyDescent="0.25">
      <c r="B23" s="15" t="s">
        <v>3248</v>
      </c>
      <c r="C23" s="8" t="s">
        <v>3285</v>
      </c>
      <c r="D23" s="8" t="s">
        <v>3259</v>
      </c>
      <c r="E23" s="8" t="s">
        <v>3239</v>
      </c>
    </row>
    <row r="24" spans="2:8" x14ac:dyDescent="0.25">
      <c r="B24" s="7" t="s">
        <v>3243</v>
      </c>
      <c r="C24" s="10">
        <v>228432040.04000002</v>
      </c>
      <c r="D24" s="10">
        <v>168661529.2299999</v>
      </c>
      <c r="E24" s="10">
        <v>397093569.26999992</v>
      </c>
    </row>
    <row r="25" spans="2:8" x14ac:dyDescent="0.25">
      <c r="B25" s="7" t="s">
        <v>3244</v>
      </c>
      <c r="C25" s="10">
        <v>223879956.17000002</v>
      </c>
      <c r="D25" s="10">
        <v>194795477.89000002</v>
      </c>
      <c r="E25" s="10">
        <v>418675434.06000006</v>
      </c>
    </row>
    <row r="26" spans="2:8" x14ac:dyDescent="0.25">
      <c r="B26" s="7" t="s">
        <v>3245</v>
      </c>
      <c r="C26" s="10">
        <v>244089451.48999995</v>
      </c>
      <c r="D26" s="10">
        <v>176876182.38000003</v>
      </c>
      <c r="E26" s="10">
        <v>420965633.87</v>
      </c>
    </row>
    <row r="27" spans="2:8" x14ac:dyDescent="0.25">
      <c r="B27" s="7" t="s">
        <v>3246</v>
      </c>
      <c r="C27" s="10">
        <v>171135898.24999988</v>
      </c>
      <c r="D27" s="10">
        <v>202618891.91000018</v>
      </c>
      <c r="E27" s="10">
        <v>373754790.16000009</v>
      </c>
    </row>
    <row r="28" spans="2:8" x14ac:dyDescent="0.25">
      <c r="B28" s="7" t="s">
        <v>3277</v>
      </c>
      <c r="C28" s="10">
        <v>197254824.68000007</v>
      </c>
      <c r="D28" s="10">
        <v>203717917.96000007</v>
      </c>
      <c r="E28" s="10">
        <v>400972742.6400001</v>
      </c>
    </row>
    <row r="29" spans="2:8" x14ac:dyDescent="0.25">
      <c r="B29" s="7" t="s">
        <v>3278</v>
      </c>
      <c r="C29" s="10">
        <v>188524104.69</v>
      </c>
      <c r="D29" s="10">
        <v>137603762.84000006</v>
      </c>
      <c r="E29" s="10">
        <v>326127867.53000009</v>
      </c>
    </row>
    <row r="30" spans="2:8" x14ac:dyDescent="0.25">
      <c r="B30" s="7" t="s">
        <v>3239</v>
      </c>
      <c r="C30" s="10">
        <v>1253316275.3199999</v>
      </c>
      <c r="D30" s="10">
        <v>1084273762.2100003</v>
      </c>
      <c r="E30" s="10">
        <v>2337590037.5300002</v>
      </c>
    </row>
    <row r="33" spans="2:8" x14ac:dyDescent="0.25">
      <c r="B33" s="6" t="s">
        <v>5</v>
      </c>
      <c r="C33" s="8" t="s">
        <v>3251</v>
      </c>
      <c r="D33" s="8" t="s">
        <v>3240</v>
      </c>
      <c r="F33" s="26" t="s">
        <v>3238</v>
      </c>
      <c r="G33" s="24" t="s">
        <v>3264</v>
      </c>
      <c r="H33" s="24" t="s">
        <v>3263</v>
      </c>
    </row>
    <row r="34" spans="2:8" x14ac:dyDescent="0.25">
      <c r="B34" s="7" t="s">
        <v>68</v>
      </c>
      <c r="C34" s="10">
        <v>859612610</v>
      </c>
      <c r="D34" s="10">
        <v>793488412.72999942</v>
      </c>
      <c r="F34" s="25" t="s">
        <v>68</v>
      </c>
      <c r="G34" s="23">
        <v>85.961260999999936</v>
      </c>
      <c r="H34" s="23">
        <v>79.348841273000005</v>
      </c>
    </row>
    <row r="35" spans="2:8" x14ac:dyDescent="0.25">
      <c r="B35" s="7" t="s">
        <v>22</v>
      </c>
      <c r="C35" s="10">
        <v>1684832443</v>
      </c>
      <c r="D35" s="10">
        <v>1558800068.5900004</v>
      </c>
      <c r="F35" s="25" t="s">
        <v>22</v>
      </c>
      <c r="G35" s="23">
        <v>168.48324430000002</v>
      </c>
      <c r="H35" s="23">
        <v>155.88000685899985</v>
      </c>
    </row>
    <row r="36" spans="2:8" x14ac:dyDescent="0.25">
      <c r="B36" s="7" t="s">
        <v>32</v>
      </c>
      <c r="C36" s="10">
        <v>725339193</v>
      </c>
      <c r="D36" s="10">
        <v>670727914.01999998</v>
      </c>
      <c r="F36" s="25" t="s">
        <v>32</v>
      </c>
      <c r="G36" s="23">
        <v>72.533919299999994</v>
      </c>
      <c r="H36" s="23">
        <v>67.072791402000021</v>
      </c>
    </row>
    <row r="37" spans="2:8" x14ac:dyDescent="0.25">
      <c r="B37" s="7" t="s">
        <v>40</v>
      </c>
      <c r="C37" s="10">
        <v>816612672</v>
      </c>
      <c r="D37" s="10">
        <v>755010488.86000097</v>
      </c>
      <c r="F37" s="25" t="s">
        <v>40</v>
      </c>
      <c r="G37" s="23">
        <v>81.661267199999998</v>
      </c>
      <c r="H37" s="23">
        <v>75.501048885999964</v>
      </c>
    </row>
    <row r="38" spans="2:8" x14ac:dyDescent="0.25">
      <c r="B38" s="7" t="s">
        <v>3239</v>
      </c>
      <c r="C38" s="10">
        <v>4086396918</v>
      </c>
      <c r="D38" s="10">
        <v>3778026884.2000008</v>
      </c>
      <c r="F38" s="7" t="s">
        <v>3239</v>
      </c>
      <c r="G38" s="23">
        <v>408.63969179999992</v>
      </c>
      <c r="H38" s="23">
        <v>377.80268841999987</v>
      </c>
    </row>
    <row r="40" spans="2:8" x14ac:dyDescent="0.25">
      <c r="B40" s="4"/>
    </row>
    <row r="41" spans="2:8" x14ac:dyDescent="0.25">
      <c r="B41" s="15" t="s">
        <v>3263</v>
      </c>
      <c r="C41" s="6" t="s">
        <v>3248</v>
      </c>
      <c r="D41" s="2"/>
      <c r="E41" s="2"/>
      <c r="F41" s="2"/>
      <c r="G41" s="2"/>
    </row>
    <row r="42" spans="2:8" x14ac:dyDescent="0.25">
      <c r="B42" s="9" t="s">
        <v>5</v>
      </c>
      <c r="C42" s="8" t="s">
        <v>68</v>
      </c>
      <c r="D42" s="8" t="s">
        <v>22</v>
      </c>
      <c r="E42" s="8" t="s">
        <v>32</v>
      </c>
      <c r="F42" s="8" t="s">
        <v>40</v>
      </c>
      <c r="G42" s="8" t="s">
        <v>3239</v>
      </c>
    </row>
    <row r="43" spans="2:8" x14ac:dyDescent="0.25">
      <c r="B43" s="8" t="s">
        <v>3243</v>
      </c>
      <c r="C43" s="10">
        <v>8.9398105240000021</v>
      </c>
      <c r="D43" s="10">
        <v>15.025944014999995</v>
      </c>
      <c r="E43" s="10">
        <v>6.9725884739999993</v>
      </c>
      <c r="F43" s="10">
        <v>8.7710139139999992</v>
      </c>
      <c r="G43" s="10">
        <v>39.709356926999995</v>
      </c>
    </row>
    <row r="44" spans="2:8" x14ac:dyDescent="0.25">
      <c r="B44" s="8" t="s">
        <v>3244</v>
      </c>
      <c r="C44" s="10">
        <v>8.7207542060000023</v>
      </c>
      <c r="D44" s="10">
        <v>15.469876442</v>
      </c>
      <c r="E44" s="10">
        <v>8.1903596299999997</v>
      </c>
      <c r="F44" s="10">
        <v>9.4865531279999988</v>
      </c>
      <c r="G44" s="10">
        <v>41.867543405999996</v>
      </c>
    </row>
    <row r="45" spans="2:8" x14ac:dyDescent="0.25">
      <c r="B45" s="8" t="s">
        <v>3245</v>
      </c>
      <c r="C45" s="10">
        <v>7.2457829969999983</v>
      </c>
      <c r="D45" s="10">
        <v>18.461115960000008</v>
      </c>
      <c r="E45" s="10">
        <v>8.3464439180000021</v>
      </c>
      <c r="F45" s="10">
        <v>8.0432205120000013</v>
      </c>
      <c r="G45" s="10">
        <v>42.096563387000018</v>
      </c>
    </row>
    <row r="46" spans="2:8" x14ac:dyDescent="0.25">
      <c r="B46" s="8" t="s">
        <v>3246</v>
      </c>
      <c r="C46" s="10">
        <v>7.2304470790000028</v>
      </c>
      <c r="D46" s="10">
        <v>16.389420042000001</v>
      </c>
      <c r="E46" s="10">
        <v>5.7633443620000007</v>
      </c>
      <c r="F46" s="10">
        <v>7.9922675329999988</v>
      </c>
      <c r="G46" s="10">
        <v>37.375479016000007</v>
      </c>
    </row>
    <row r="47" spans="2:8" x14ac:dyDescent="0.25">
      <c r="B47" s="8" t="s">
        <v>3277</v>
      </c>
      <c r="C47" s="10">
        <v>7.1374339919999983</v>
      </c>
      <c r="D47" s="10">
        <v>17.436992350000001</v>
      </c>
      <c r="E47" s="10">
        <v>7.9369194329999999</v>
      </c>
      <c r="F47" s="10">
        <v>7.5859284889999987</v>
      </c>
      <c r="G47" s="10">
        <v>40.097274263999992</v>
      </c>
    </row>
    <row r="48" spans="2:8" x14ac:dyDescent="0.25">
      <c r="B48" s="8" t="s">
        <v>3278</v>
      </c>
      <c r="C48" s="10">
        <v>5.5719658300000008</v>
      </c>
      <c r="D48" s="10">
        <v>15.041575100999999</v>
      </c>
      <c r="E48" s="10">
        <v>7.1944190789999993</v>
      </c>
      <c r="F48" s="10">
        <v>4.8048267430000005</v>
      </c>
      <c r="G48" s="10">
        <v>32.612786753000002</v>
      </c>
    </row>
    <row r="49" spans="2:1982" x14ac:dyDescent="0.25">
      <c r="B49" s="8" t="s">
        <v>3279</v>
      </c>
      <c r="C49" s="10">
        <v>5.9330865479999995</v>
      </c>
      <c r="D49" s="10">
        <v>8.6205535540000007</v>
      </c>
      <c r="E49" s="10">
        <v>2.9898678840000006</v>
      </c>
      <c r="F49" s="10">
        <v>4.9791117810000003</v>
      </c>
      <c r="G49" s="10">
        <v>22.522619767000002</v>
      </c>
    </row>
    <row r="50" spans="2:1982" x14ac:dyDescent="0.25">
      <c r="B50" s="8" t="s">
        <v>3280</v>
      </c>
      <c r="C50" s="10">
        <v>5.2835314860000011</v>
      </c>
      <c r="D50" s="10">
        <v>11.120147009000004</v>
      </c>
      <c r="E50" s="10">
        <v>3.0620912190000005</v>
      </c>
      <c r="F50" s="10">
        <v>4.1168296490000005</v>
      </c>
      <c r="G50" s="10">
        <v>23.582599363000003</v>
      </c>
    </row>
    <row r="51" spans="2:1982" x14ac:dyDescent="0.25">
      <c r="B51" s="8" t="s">
        <v>3281</v>
      </c>
      <c r="C51" s="10">
        <v>6.1884797380000007</v>
      </c>
      <c r="D51" s="10">
        <v>10.128024945</v>
      </c>
      <c r="E51" s="10">
        <v>3.5681976319999995</v>
      </c>
      <c r="F51" s="10">
        <v>3.6569686809999999</v>
      </c>
      <c r="G51" s="10">
        <v>23.541670996000001</v>
      </c>
    </row>
    <row r="52" spans="2:1982" x14ac:dyDescent="0.25">
      <c r="B52" s="8" t="s">
        <v>3282</v>
      </c>
      <c r="C52" s="10">
        <v>4.7131999799999997</v>
      </c>
      <c r="D52" s="10">
        <v>8.9135765320000004</v>
      </c>
      <c r="E52" s="10">
        <v>4.9762938759999997</v>
      </c>
      <c r="F52" s="10">
        <v>4.152184042</v>
      </c>
      <c r="G52" s="10">
        <v>22.755254430000001</v>
      </c>
    </row>
    <row r="53" spans="2:1982" x14ac:dyDescent="0.25">
      <c r="B53" s="8" t="s">
        <v>3283</v>
      </c>
      <c r="C53" s="10">
        <v>5.5999890370000012</v>
      </c>
      <c r="D53" s="10">
        <v>8.9631580049999986</v>
      </c>
      <c r="E53" s="10">
        <v>5.4105615119999992</v>
      </c>
      <c r="F53" s="10">
        <v>5.3045918900000002</v>
      </c>
      <c r="G53" s="10">
        <v>25.278300443999999</v>
      </c>
    </row>
    <row r="54" spans="2:1982" x14ac:dyDescent="0.25">
      <c r="B54" s="8" t="s">
        <v>3284</v>
      </c>
      <c r="C54" s="10">
        <v>6.7843598560000009</v>
      </c>
      <c r="D54" s="10">
        <v>10.309622903999998</v>
      </c>
      <c r="E54" s="10">
        <v>2.661704383</v>
      </c>
      <c r="F54" s="10">
        <v>6.607552523999999</v>
      </c>
      <c r="G54" s="10">
        <v>26.363239666999998</v>
      </c>
    </row>
    <row r="55" spans="2:1982" x14ac:dyDescent="0.25">
      <c r="B55" s="8" t="s">
        <v>3239</v>
      </c>
      <c r="C55" s="10">
        <v>79.348841273000005</v>
      </c>
      <c r="D55" s="10">
        <v>155.88000685900002</v>
      </c>
      <c r="E55" s="10">
        <v>67.072791401999993</v>
      </c>
      <c r="F55" s="10">
        <v>75.501048886000007</v>
      </c>
      <c r="G55" s="10">
        <v>377.80268841999998</v>
      </c>
    </row>
    <row r="57" spans="2:1982" x14ac:dyDescent="0.25">
      <c r="B57" s="19"/>
      <c r="C57" s="20"/>
      <c r="D57" s="20"/>
      <c r="E57" s="20"/>
      <c r="F57" s="20"/>
      <c r="G57" s="20"/>
    </row>
    <row r="58" spans="2:1982" x14ac:dyDescent="0.25">
      <c r="B58" s="2"/>
      <c r="C58" s="6" t="s">
        <v>3257</v>
      </c>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c r="AMC58" s="2"/>
      <c r="AMD58" s="2"/>
      <c r="AME58" s="2"/>
      <c r="AMF58" s="2"/>
      <c r="AMG58" s="2"/>
      <c r="AMH58" s="2"/>
      <c r="AMI58" s="2"/>
      <c r="AMJ58" s="2"/>
      <c r="AMK58" s="2"/>
      <c r="AML58" s="2"/>
      <c r="AMM58" s="2"/>
      <c r="AMN58" s="2"/>
      <c r="AMO58" s="2"/>
      <c r="AMP58" s="2"/>
      <c r="AMQ58" s="2"/>
      <c r="AMR58" s="2"/>
      <c r="AMS58" s="2"/>
      <c r="AMT58" s="2"/>
      <c r="AMU58" s="2"/>
      <c r="AMV58" s="2"/>
      <c r="AMW58" s="2"/>
      <c r="AMX58" s="2"/>
      <c r="AMY58" s="2"/>
      <c r="AMZ58" s="2"/>
      <c r="ANA58" s="2"/>
      <c r="ANB58" s="2"/>
      <c r="ANC58" s="2"/>
      <c r="AND58" s="2"/>
      <c r="ANE58" s="2"/>
      <c r="ANF58" s="2"/>
      <c r="ANG58" s="2"/>
      <c r="ANH58" s="2"/>
      <c r="ANI58" s="2"/>
      <c r="ANJ58" s="2"/>
      <c r="ANK58" s="2"/>
      <c r="ANL58" s="2"/>
      <c r="ANM58" s="2"/>
      <c r="ANN58" s="2"/>
      <c r="ANO58" s="2"/>
      <c r="ANP58" s="2"/>
      <c r="ANQ58" s="2"/>
      <c r="ANR58" s="2"/>
      <c r="ANS58" s="2"/>
      <c r="ANT58" s="2"/>
      <c r="ANU58" s="2"/>
      <c r="ANV58" s="2"/>
      <c r="ANW58" s="2"/>
      <c r="ANX58" s="2"/>
      <c r="ANY58" s="2"/>
      <c r="ANZ58" s="2"/>
      <c r="AOA58" s="2"/>
      <c r="AOB58" s="2"/>
      <c r="AOC58" s="2"/>
      <c r="AOD58" s="2"/>
      <c r="AOE58" s="2"/>
      <c r="AOF58" s="2"/>
      <c r="AOG58" s="2"/>
      <c r="AOH58" s="2"/>
      <c r="AOI58" s="2"/>
      <c r="AOJ58" s="2"/>
      <c r="AOK58" s="2"/>
      <c r="AOL58" s="2"/>
      <c r="AOM58" s="2"/>
      <c r="AON58" s="2"/>
      <c r="AOO58" s="2"/>
      <c r="AOP58" s="2"/>
      <c r="AOQ58" s="2"/>
      <c r="AOR58" s="2"/>
      <c r="AOS58" s="2"/>
      <c r="AOT58" s="2"/>
      <c r="AOU58" s="2"/>
      <c r="AOV58" s="2"/>
      <c r="AOW58" s="2"/>
      <c r="AOX58" s="2"/>
      <c r="AOY58" s="2"/>
      <c r="AOZ58" s="2"/>
      <c r="APA58" s="2"/>
      <c r="APB58" s="2"/>
      <c r="APC58" s="2"/>
      <c r="APD58" s="2"/>
      <c r="APE58" s="2"/>
      <c r="APF58" s="2"/>
      <c r="APG58" s="2"/>
      <c r="APH58" s="2"/>
      <c r="API58" s="2"/>
      <c r="APJ58" s="2"/>
      <c r="APK58" s="2"/>
      <c r="APL58" s="2"/>
      <c r="APM58" s="2"/>
      <c r="APN58" s="2"/>
      <c r="APO58" s="2"/>
      <c r="APP58" s="2"/>
      <c r="APQ58" s="2"/>
      <c r="APR58" s="2"/>
      <c r="APS58" s="2"/>
      <c r="APT58" s="2"/>
      <c r="APU58" s="2"/>
      <c r="APV58" s="2"/>
      <c r="APW58" s="2"/>
      <c r="APX58" s="2"/>
      <c r="APY58" s="2"/>
      <c r="APZ58" s="2"/>
      <c r="AQA58" s="2"/>
      <c r="AQB58" s="2"/>
      <c r="AQC58" s="2"/>
      <c r="AQD58" s="2"/>
      <c r="AQE58" s="2"/>
      <c r="AQF58" s="2"/>
      <c r="AQG58" s="2"/>
      <c r="AQH58" s="2"/>
      <c r="AQI58" s="2"/>
      <c r="AQJ58" s="2"/>
      <c r="AQK58" s="2"/>
      <c r="AQL58" s="2"/>
      <c r="AQM58" s="2"/>
      <c r="AQN58" s="2"/>
      <c r="AQO58" s="2"/>
      <c r="AQP58" s="2"/>
      <c r="AQQ58" s="2"/>
      <c r="AQR58" s="2"/>
      <c r="AQS58" s="2"/>
      <c r="AQT58" s="2"/>
      <c r="AQU58" s="2"/>
      <c r="AQV58" s="2"/>
      <c r="AQW58" s="2"/>
      <c r="AQX58" s="2"/>
      <c r="AQY58" s="2"/>
      <c r="AQZ58" s="2"/>
      <c r="ARA58" s="2"/>
      <c r="ARB58" s="2"/>
      <c r="ARC58" s="2"/>
      <c r="ARD58" s="2"/>
      <c r="ARE58" s="2"/>
      <c r="ARF58" s="2"/>
      <c r="ARG58" s="2"/>
      <c r="ARH58" s="2"/>
      <c r="ARI58" s="2"/>
      <c r="ARJ58" s="2"/>
      <c r="ARK58" s="2"/>
      <c r="ARL58" s="2"/>
      <c r="ARM58" s="2"/>
      <c r="ARN58" s="2"/>
      <c r="ARO58" s="2"/>
      <c r="ARP58" s="2"/>
      <c r="ARQ58" s="2"/>
      <c r="ARR58" s="2"/>
      <c r="ARS58" s="2"/>
      <c r="ART58" s="2"/>
      <c r="ARU58" s="2"/>
      <c r="ARV58" s="2"/>
      <c r="ARW58" s="2"/>
      <c r="ARX58" s="2"/>
      <c r="ARY58" s="2"/>
      <c r="ARZ58" s="2"/>
      <c r="ASA58" s="2"/>
      <c r="ASB58" s="2"/>
      <c r="ASC58" s="2"/>
      <c r="ASD58" s="2"/>
      <c r="ASE58" s="2"/>
      <c r="ASF58" s="2"/>
      <c r="ASG58" s="2"/>
      <c r="ASH58" s="2"/>
      <c r="ASI58" s="2"/>
      <c r="ASJ58" s="2"/>
      <c r="ASK58" s="2"/>
      <c r="ASL58" s="2"/>
      <c r="ASM58" s="2"/>
      <c r="ASN58" s="2"/>
      <c r="ASO58" s="2"/>
      <c r="ASP58" s="2"/>
      <c r="ASQ58" s="2"/>
      <c r="ASR58" s="2"/>
      <c r="ASS58" s="2"/>
      <c r="AST58" s="2"/>
      <c r="ASU58" s="2"/>
      <c r="ASV58" s="2"/>
      <c r="ASW58" s="2"/>
      <c r="ASX58" s="2"/>
      <c r="ASY58" s="2"/>
      <c r="ASZ58" s="2"/>
      <c r="ATA58" s="2"/>
      <c r="ATB58" s="2"/>
      <c r="ATC58" s="2"/>
      <c r="ATD58" s="2"/>
      <c r="ATE58" s="2"/>
      <c r="ATF58" s="2"/>
      <c r="ATG58" s="2"/>
      <c r="ATH58" s="2"/>
      <c r="ATI58" s="2"/>
      <c r="ATJ58" s="2"/>
      <c r="ATK58" s="2"/>
      <c r="ATL58" s="2"/>
      <c r="ATM58" s="2"/>
      <c r="ATN58" s="2"/>
      <c r="ATO58" s="2"/>
      <c r="ATP58" s="2"/>
      <c r="ATQ58" s="2"/>
      <c r="ATR58" s="2"/>
      <c r="ATS58" s="2"/>
      <c r="ATT58" s="2"/>
      <c r="ATU58" s="2"/>
      <c r="ATV58" s="2"/>
      <c r="ATW58" s="2"/>
      <c r="ATX58" s="2"/>
      <c r="ATY58" s="2"/>
      <c r="ATZ58" s="2"/>
      <c r="AUA58" s="2"/>
      <c r="AUB58" s="2"/>
      <c r="AUC58" s="2"/>
      <c r="AUD58" s="2"/>
      <c r="AUE58" s="2"/>
      <c r="AUF58" s="2"/>
      <c r="AUG58" s="2"/>
      <c r="AUH58" s="2"/>
      <c r="AUI58" s="2"/>
      <c r="AUJ58" s="2"/>
      <c r="AUK58" s="2"/>
      <c r="AUL58" s="2"/>
      <c r="AUM58" s="2"/>
      <c r="AUN58" s="2"/>
      <c r="AUO58" s="2"/>
      <c r="AUP58" s="2"/>
      <c r="AUQ58" s="2"/>
      <c r="AUR58" s="2"/>
      <c r="AUS58" s="2"/>
      <c r="AUT58" s="2"/>
      <c r="AUU58" s="2"/>
      <c r="AUV58" s="2"/>
      <c r="AUW58" s="2"/>
      <c r="AUX58" s="2"/>
      <c r="AUY58" s="2"/>
      <c r="AUZ58" s="2"/>
      <c r="AVA58" s="2"/>
      <c r="AVB58" s="2"/>
      <c r="AVC58" s="2"/>
      <c r="AVD58" s="2"/>
      <c r="AVE58" s="2"/>
      <c r="AVF58" s="2"/>
      <c r="AVG58" s="2"/>
      <c r="AVH58" s="2"/>
      <c r="AVI58" s="2"/>
      <c r="AVJ58" s="2"/>
      <c r="AVK58" s="2"/>
      <c r="AVL58" s="2"/>
      <c r="AVM58" s="2"/>
      <c r="AVN58" s="2"/>
      <c r="AVO58" s="2"/>
      <c r="AVP58" s="2"/>
      <c r="AVQ58" s="2"/>
      <c r="AVR58" s="2"/>
      <c r="AVS58" s="2"/>
      <c r="AVT58" s="2"/>
      <c r="AVU58" s="2"/>
      <c r="AVV58" s="2"/>
      <c r="AVW58" s="2"/>
      <c r="AVX58" s="2"/>
      <c r="AVY58" s="2"/>
      <c r="AVZ58" s="2"/>
      <c r="AWA58" s="2"/>
      <c r="AWB58" s="2"/>
      <c r="AWC58" s="2"/>
      <c r="AWD58" s="2"/>
      <c r="AWE58" s="2"/>
      <c r="AWF58" s="2"/>
      <c r="AWG58" s="2"/>
      <c r="AWH58" s="2"/>
      <c r="AWI58" s="2"/>
      <c r="AWJ58" s="2"/>
      <c r="AWK58" s="2"/>
      <c r="AWL58" s="2"/>
      <c r="AWM58" s="2"/>
      <c r="AWN58" s="2"/>
      <c r="AWO58" s="2"/>
      <c r="AWP58" s="2"/>
      <c r="AWQ58" s="2"/>
      <c r="AWR58" s="2"/>
      <c r="AWS58" s="2"/>
      <c r="AWT58" s="2"/>
      <c r="AWU58" s="2"/>
      <c r="AWV58" s="2"/>
      <c r="AWW58" s="2"/>
      <c r="AWX58" s="2"/>
      <c r="AWY58" s="2"/>
      <c r="AWZ58" s="2"/>
      <c r="AXA58" s="2"/>
      <c r="AXB58" s="2"/>
      <c r="AXC58" s="2"/>
      <c r="AXD58" s="2"/>
      <c r="AXE58" s="2"/>
      <c r="AXF58" s="2"/>
      <c r="AXG58" s="2"/>
      <c r="AXH58" s="2"/>
      <c r="AXI58" s="2"/>
      <c r="AXJ58" s="2"/>
      <c r="AXK58" s="2"/>
      <c r="AXL58" s="2"/>
      <c r="AXM58" s="2"/>
      <c r="AXN58" s="2"/>
      <c r="AXO58" s="2"/>
      <c r="AXP58" s="2"/>
      <c r="AXQ58" s="2"/>
      <c r="AXR58" s="2"/>
      <c r="AXS58" s="2"/>
      <c r="AXT58" s="2"/>
      <c r="AXU58" s="2"/>
      <c r="AXV58" s="2"/>
      <c r="AXW58" s="2"/>
      <c r="AXX58" s="2"/>
      <c r="AXY58" s="2"/>
      <c r="AXZ58" s="2"/>
      <c r="AYA58" s="2"/>
      <c r="AYB58" s="2"/>
      <c r="AYC58" s="2"/>
      <c r="AYD58" s="2"/>
      <c r="AYE58" s="2"/>
      <c r="AYF58" s="2"/>
      <c r="AYG58" s="2"/>
      <c r="AYH58" s="2"/>
      <c r="AYI58" s="2"/>
      <c r="AYJ58" s="2"/>
      <c r="AYK58" s="2"/>
      <c r="AYL58" s="2"/>
      <c r="AYM58" s="2"/>
      <c r="AYN58" s="2"/>
      <c r="AYO58" s="2"/>
      <c r="AYP58" s="2"/>
      <c r="AYQ58" s="2"/>
      <c r="AYR58" s="2"/>
      <c r="AYS58" s="2"/>
      <c r="AYT58" s="2"/>
      <c r="AYU58" s="2"/>
      <c r="AYV58" s="2"/>
      <c r="AYW58" s="2"/>
      <c r="AYX58" s="2"/>
      <c r="AYY58" s="2"/>
      <c r="AYZ58" s="2"/>
      <c r="AZA58" s="2"/>
      <c r="AZB58" s="2"/>
      <c r="AZC58" s="2"/>
      <c r="AZD58" s="2"/>
      <c r="AZE58" s="2"/>
      <c r="AZF58" s="2"/>
      <c r="AZG58" s="2"/>
      <c r="AZH58" s="2"/>
      <c r="AZI58" s="2"/>
      <c r="AZJ58" s="2"/>
      <c r="AZK58" s="2"/>
      <c r="AZL58" s="2"/>
      <c r="AZM58" s="2"/>
      <c r="AZN58" s="2"/>
      <c r="AZO58" s="2"/>
      <c r="AZP58" s="2"/>
      <c r="AZQ58" s="2"/>
      <c r="AZR58" s="2"/>
      <c r="AZS58" s="2"/>
      <c r="AZT58" s="2"/>
      <c r="AZU58" s="2"/>
      <c r="AZV58" s="2"/>
      <c r="AZW58" s="2"/>
      <c r="AZX58" s="2"/>
      <c r="AZY58" s="2"/>
      <c r="AZZ58" s="2"/>
      <c r="BAA58" s="2"/>
      <c r="BAB58" s="2"/>
      <c r="BAC58" s="2"/>
      <c r="BAD58" s="2"/>
      <c r="BAE58" s="2"/>
      <c r="BAF58" s="2"/>
      <c r="BAG58" s="2"/>
      <c r="BAH58" s="2"/>
      <c r="BAI58" s="2"/>
      <c r="BAJ58" s="2"/>
      <c r="BAK58" s="2"/>
      <c r="BAL58" s="2"/>
      <c r="BAM58" s="2"/>
      <c r="BAN58" s="2"/>
      <c r="BAO58" s="2"/>
      <c r="BAP58" s="2"/>
      <c r="BAQ58" s="2"/>
      <c r="BAR58" s="2"/>
      <c r="BAS58" s="2"/>
      <c r="BAT58" s="2"/>
      <c r="BAU58" s="2"/>
      <c r="BAV58" s="2"/>
      <c r="BAW58" s="2"/>
      <c r="BAX58" s="2"/>
      <c r="BAY58" s="2"/>
      <c r="BAZ58" s="2"/>
      <c r="BBA58" s="2"/>
      <c r="BBB58" s="2"/>
      <c r="BBC58" s="2"/>
      <c r="BBD58" s="2"/>
      <c r="BBE58" s="2"/>
      <c r="BBF58" s="2"/>
      <c r="BBG58" s="2"/>
      <c r="BBH58" s="2"/>
      <c r="BBI58" s="2"/>
      <c r="BBJ58" s="2"/>
      <c r="BBK58" s="2"/>
      <c r="BBL58" s="2"/>
      <c r="BBM58" s="2"/>
      <c r="BBN58" s="2"/>
      <c r="BBO58" s="2"/>
      <c r="BBP58" s="2"/>
      <c r="BBQ58" s="2"/>
      <c r="BBR58" s="2"/>
      <c r="BBS58" s="2"/>
      <c r="BBT58" s="2"/>
      <c r="BBU58" s="2"/>
      <c r="BBV58" s="2"/>
      <c r="BBW58" s="2"/>
      <c r="BBX58" s="2"/>
      <c r="BBY58" s="2"/>
      <c r="BBZ58" s="2"/>
      <c r="BCA58" s="2"/>
      <c r="BCB58" s="2"/>
      <c r="BCC58" s="2"/>
      <c r="BCD58" s="2"/>
      <c r="BCE58" s="2"/>
      <c r="BCF58" s="2"/>
      <c r="BCG58" s="2"/>
      <c r="BCH58" s="2"/>
      <c r="BCI58" s="2"/>
      <c r="BCJ58" s="2"/>
      <c r="BCK58" s="2"/>
      <c r="BCL58" s="2"/>
      <c r="BCM58" s="2"/>
      <c r="BCN58" s="2"/>
      <c r="BCO58" s="2"/>
      <c r="BCP58" s="2"/>
      <c r="BCQ58" s="2"/>
      <c r="BCR58" s="2"/>
      <c r="BCS58" s="2"/>
      <c r="BCT58" s="2"/>
      <c r="BCU58" s="2"/>
      <c r="BCV58" s="2"/>
      <c r="BCW58" s="2"/>
      <c r="BCX58" s="2"/>
      <c r="BCY58" s="2"/>
      <c r="BCZ58" s="2"/>
      <c r="BDA58" s="2"/>
      <c r="BDB58" s="2"/>
      <c r="BDC58" s="2"/>
      <c r="BDD58" s="2"/>
      <c r="BDE58" s="2"/>
      <c r="BDF58" s="2"/>
      <c r="BDG58" s="2"/>
      <c r="BDH58" s="2"/>
      <c r="BDI58" s="2"/>
      <c r="BDJ58" s="2"/>
      <c r="BDK58" s="2"/>
      <c r="BDL58" s="2"/>
      <c r="BDM58" s="2"/>
      <c r="BDN58" s="2"/>
      <c r="BDO58" s="2"/>
      <c r="BDP58" s="2"/>
      <c r="BDQ58" s="2"/>
      <c r="BDR58" s="2"/>
      <c r="BDS58" s="2"/>
      <c r="BDT58" s="2"/>
      <c r="BDU58" s="2"/>
      <c r="BDV58" s="2"/>
      <c r="BDW58" s="2"/>
      <c r="BDX58" s="2"/>
      <c r="BDY58" s="2"/>
      <c r="BDZ58" s="2"/>
      <c r="BEA58" s="2"/>
      <c r="BEB58" s="2"/>
      <c r="BEC58" s="2"/>
      <c r="BED58" s="2"/>
      <c r="BEE58" s="2"/>
      <c r="BEF58" s="2"/>
      <c r="BEG58" s="2"/>
      <c r="BEH58" s="2"/>
      <c r="BEI58" s="2"/>
      <c r="BEJ58" s="2"/>
      <c r="BEK58" s="2"/>
      <c r="BEL58" s="2"/>
      <c r="BEM58" s="2"/>
      <c r="BEN58" s="2"/>
      <c r="BEO58" s="2"/>
      <c r="BEP58" s="2"/>
      <c r="BEQ58" s="2"/>
      <c r="BER58" s="2"/>
      <c r="BES58" s="2"/>
      <c r="BET58" s="2"/>
      <c r="BEU58" s="2"/>
      <c r="BEV58" s="2"/>
      <c r="BEW58" s="2"/>
      <c r="BEX58" s="2"/>
      <c r="BEY58" s="2"/>
      <c r="BEZ58" s="2"/>
      <c r="BFA58" s="2"/>
      <c r="BFB58" s="2"/>
      <c r="BFC58" s="2"/>
      <c r="BFD58" s="2"/>
      <c r="BFE58" s="2"/>
      <c r="BFF58" s="2"/>
      <c r="BFG58" s="2"/>
      <c r="BFH58" s="2"/>
      <c r="BFI58" s="2"/>
      <c r="BFJ58" s="2"/>
      <c r="BFK58" s="2"/>
      <c r="BFL58" s="2"/>
      <c r="BFM58" s="2"/>
      <c r="BFN58" s="2"/>
      <c r="BFO58" s="2"/>
      <c r="BFP58" s="2"/>
      <c r="BFQ58" s="2"/>
      <c r="BFR58" s="2"/>
      <c r="BFS58" s="2"/>
      <c r="BFT58" s="2"/>
      <c r="BFU58" s="2"/>
      <c r="BFV58" s="2"/>
      <c r="BFW58" s="2"/>
      <c r="BFX58" s="2"/>
      <c r="BFY58" s="2"/>
      <c r="BFZ58" s="2"/>
      <c r="BGA58" s="2"/>
      <c r="BGB58" s="2"/>
      <c r="BGC58" s="2"/>
      <c r="BGD58" s="2"/>
      <c r="BGE58" s="2"/>
      <c r="BGF58" s="2"/>
      <c r="BGG58" s="2"/>
      <c r="BGH58" s="2"/>
      <c r="BGI58" s="2"/>
      <c r="BGJ58" s="2"/>
      <c r="BGK58" s="2"/>
      <c r="BGL58" s="2"/>
      <c r="BGM58" s="2"/>
      <c r="BGN58" s="2"/>
      <c r="BGO58" s="2"/>
      <c r="BGP58" s="2"/>
      <c r="BGQ58" s="2"/>
      <c r="BGR58" s="2"/>
      <c r="BGS58" s="2"/>
      <c r="BGT58" s="2"/>
      <c r="BGU58" s="2"/>
      <c r="BGV58" s="2"/>
      <c r="BGW58" s="2"/>
      <c r="BGX58" s="2"/>
      <c r="BGY58" s="2"/>
      <c r="BGZ58" s="2"/>
      <c r="BHA58" s="2"/>
      <c r="BHB58" s="2"/>
      <c r="BHC58" s="2"/>
      <c r="BHD58" s="2"/>
      <c r="BHE58" s="2"/>
      <c r="BHF58" s="2"/>
      <c r="BHG58" s="2"/>
      <c r="BHH58" s="2"/>
      <c r="BHI58" s="2"/>
      <c r="BHJ58" s="2"/>
      <c r="BHK58" s="2"/>
      <c r="BHL58" s="2"/>
      <c r="BHM58" s="2"/>
      <c r="BHN58" s="2"/>
      <c r="BHO58" s="2"/>
      <c r="BHP58" s="2"/>
      <c r="BHQ58" s="2"/>
      <c r="BHR58" s="2"/>
      <c r="BHS58" s="2"/>
      <c r="BHT58" s="2"/>
      <c r="BHU58" s="2"/>
      <c r="BHV58" s="2"/>
      <c r="BHW58" s="2"/>
      <c r="BHX58" s="2"/>
      <c r="BHY58" s="2"/>
      <c r="BHZ58" s="2"/>
      <c r="BIA58" s="2"/>
      <c r="BIB58" s="2"/>
      <c r="BIC58" s="2"/>
      <c r="BID58" s="2"/>
      <c r="BIE58" s="2"/>
      <c r="BIF58" s="2"/>
      <c r="BIG58" s="2"/>
      <c r="BIH58" s="2"/>
      <c r="BII58" s="2"/>
      <c r="BIJ58" s="2"/>
      <c r="BIK58" s="2"/>
      <c r="BIL58" s="2"/>
      <c r="BIM58" s="2"/>
      <c r="BIN58" s="2"/>
      <c r="BIO58" s="2"/>
      <c r="BIP58" s="2"/>
      <c r="BIQ58" s="2"/>
      <c r="BIR58" s="2"/>
      <c r="BIS58" s="2"/>
      <c r="BIT58" s="2"/>
      <c r="BIU58" s="2"/>
      <c r="BIV58" s="2"/>
      <c r="BIW58" s="2"/>
      <c r="BIX58" s="2"/>
      <c r="BIY58" s="2"/>
      <c r="BIZ58" s="2"/>
      <c r="BJA58" s="2"/>
      <c r="BJB58" s="2"/>
      <c r="BJC58" s="2"/>
      <c r="BJD58" s="2"/>
      <c r="BJE58" s="2"/>
      <c r="BJF58" s="2"/>
      <c r="BJG58" s="2"/>
      <c r="BJH58" s="2"/>
      <c r="BJI58" s="2"/>
      <c r="BJJ58" s="2"/>
      <c r="BJK58" s="2"/>
      <c r="BJL58" s="2"/>
      <c r="BJM58" s="2"/>
      <c r="BJN58" s="2"/>
      <c r="BJO58" s="2"/>
      <c r="BJP58" s="2"/>
      <c r="BJQ58" s="2"/>
      <c r="BJR58" s="2"/>
      <c r="BJS58" s="2"/>
      <c r="BJT58" s="2"/>
      <c r="BJU58" s="2"/>
      <c r="BJV58" s="2"/>
      <c r="BJW58" s="2"/>
      <c r="BJX58" s="2"/>
      <c r="BJY58" s="2"/>
      <c r="BJZ58" s="2"/>
      <c r="BKA58" s="2"/>
      <c r="BKB58" s="2"/>
      <c r="BKC58" s="2"/>
      <c r="BKD58" s="2"/>
      <c r="BKE58" s="2"/>
      <c r="BKF58" s="2"/>
      <c r="BKG58" s="2"/>
      <c r="BKH58" s="2"/>
      <c r="BKI58" s="2"/>
      <c r="BKJ58" s="2"/>
      <c r="BKK58" s="2"/>
      <c r="BKL58" s="2"/>
      <c r="BKM58" s="2"/>
      <c r="BKN58" s="2"/>
      <c r="BKO58" s="2"/>
      <c r="BKP58" s="2"/>
      <c r="BKQ58" s="2"/>
      <c r="BKR58" s="2"/>
      <c r="BKS58" s="2"/>
      <c r="BKT58" s="2"/>
      <c r="BKU58" s="2"/>
      <c r="BKV58" s="2"/>
      <c r="BKW58" s="2"/>
      <c r="BKX58" s="2"/>
      <c r="BKY58" s="2"/>
      <c r="BKZ58" s="2"/>
      <c r="BLA58" s="2"/>
      <c r="BLB58" s="2"/>
      <c r="BLC58" s="2"/>
      <c r="BLD58" s="2"/>
      <c r="BLE58" s="2"/>
      <c r="BLF58" s="2"/>
      <c r="BLG58" s="2"/>
      <c r="BLH58" s="2"/>
      <c r="BLI58" s="2"/>
      <c r="BLJ58" s="2"/>
      <c r="BLK58" s="2"/>
      <c r="BLL58" s="2"/>
      <c r="BLM58" s="2"/>
      <c r="BLN58" s="2"/>
      <c r="BLO58" s="2"/>
      <c r="BLP58" s="2"/>
      <c r="BLQ58" s="2"/>
      <c r="BLR58" s="2"/>
      <c r="BLS58" s="2"/>
      <c r="BLT58" s="2"/>
      <c r="BLU58" s="2"/>
      <c r="BLV58" s="2"/>
      <c r="BLW58" s="2"/>
      <c r="BLX58" s="2"/>
      <c r="BLY58" s="2"/>
      <c r="BLZ58" s="2"/>
      <c r="BMA58" s="2"/>
      <c r="BMB58" s="2"/>
      <c r="BMC58" s="2"/>
      <c r="BMD58" s="2"/>
      <c r="BME58" s="2"/>
      <c r="BMF58" s="2"/>
      <c r="BMG58" s="2"/>
      <c r="BMH58" s="2"/>
      <c r="BMI58" s="2"/>
      <c r="BMJ58" s="2"/>
      <c r="BMK58" s="2"/>
      <c r="BML58" s="2"/>
      <c r="BMM58" s="2"/>
      <c r="BMN58" s="2"/>
      <c r="BMO58" s="2"/>
      <c r="BMP58" s="2"/>
      <c r="BMQ58" s="2"/>
      <c r="BMR58" s="2"/>
      <c r="BMS58" s="2"/>
      <c r="BMT58" s="2"/>
      <c r="BMU58" s="2"/>
      <c r="BMV58" s="2"/>
      <c r="BMW58" s="2"/>
      <c r="BMX58" s="2"/>
      <c r="BMY58" s="2"/>
      <c r="BMZ58" s="2"/>
      <c r="BNA58" s="2"/>
      <c r="BNB58" s="2"/>
      <c r="BNC58" s="2"/>
      <c r="BND58" s="2"/>
      <c r="BNE58" s="2"/>
      <c r="BNF58" s="2"/>
      <c r="BNG58" s="2"/>
      <c r="BNH58" s="2"/>
      <c r="BNI58" s="2"/>
      <c r="BNJ58" s="2"/>
      <c r="BNK58" s="2"/>
      <c r="BNL58" s="2"/>
      <c r="BNM58" s="2"/>
      <c r="BNN58" s="2"/>
      <c r="BNO58" s="2"/>
      <c r="BNP58" s="2"/>
      <c r="BNQ58" s="2"/>
      <c r="BNR58" s="2"/>
      <c r="BNS58" s="2"/>
      <c r="BNT58" s="2"/>
      <c r="BNU58" s="2"/>
      <c r="BNV58" s="2"/>
      <c r="BNW58" s="2"/>
      <c r="BNX58" s="2"/>
      <c r="BNY58" s="2"/>
      <c r="BNZ58" s="2"/>
      <c r="BOA58" s="2"/>
      <c r="BOB58" s="2"/>
      <c r="BOC58" s="2"/>
      <c r="BOD58" s="2"/>
      <c r="BOE58" s="2"/>
      <c r="BOF58" s="2"/>
      <c r="BOG58" s="2"/>
      <c r="BOH58" s="2"/>
      <c r="BOI58" s="2"/>
      <c r="BOJ58" s="2"/>
      <c r="BOK58" s="2"/>
      <c r="BOL58" s="2"/>
      <c r="BOM58" s="2"/>
      <c r="BON58" s="2"/>
      <c r="BOO58" s="2"/>
      <c r="BOP58" s="2"/>
      <c r="BOQ58" s="2"/>
      <c r="BOR58" s="2"/>
      <c r="BOS58" s="2"/>
      <c r="BOT58" s="2"/>
      <c r="BOU58" s="2"/>
      <c r="BOV58" s="2"/>
      <c r="BOW58" s="2"/>
      <c r="BOX58" s="2"/>
      <c r="BOY58" s="2"/>
      <c r="BOZ58" s="2"/>
      <c r="BPA58" s="2"/>
      <c r="BPB58" s="2"/>
      <c r="BPC58" s="2"/>
      <c r="BPD58" s="2"/>
      <c r="BPE58" s="2"/>
      <c r="BPF58" s="2"/>
      <c r="BPG58" s="2"/>
      <c r="BPH58" s="2"/>
      <c r="BPI58" s="2"/>
      <c r="BPJ58" s="2"/>
      <c r="BPK58" s="2"/>
      <c r="BPL58" s="2"/>
      <c r="BPM58" s="2"/>
      <c r="BPN58" s="2"/>
      <c r="BPO58" s="2"/>
      <c r="BPP58" s="2"/>
      <c r="BPQ58" s="2"/>
      <c r="BPR58" s="2"/>
      <c r="BPS58" s="2"/>
      <c r="BPT58" s="2"/>
      <c r="BPU58" s="2"/>
      <c r="BPV58" s="2"/>
      <c r="BPW58" s="2"/>
      <c r="BPX58" s="2"/>
      <c r="BPY58" s="2"/>
      <c r="BPZ58" s="2"/>
      <c r="BQA58" s="2"/>
      <c r="BQB58" s="2"/>
      <c r="BQC58" s="2"/>
      <c r="BQD58" s="2"/>
      <c r="BQE58" s="2"/>
      <c r="BQF58" s="2"/>
      <c r="BQG58" s="2"/>
      <c r="BQH58" s="2"/>
      <c r="BQI58" s="2"/>
      <c r="BQJ58" s="2"/>
      <c r="BQK58" s="2"/>
      <c r="BQL58" s="2"/>
      <c r="BQM58" s="2"/>
      <c r="BQN58" s="2"/>
      <c r="BQO58" s="2"/>
      <c r="BQP58" s="2"/>
      <c r="BQQ58" s="2"/>
      <c r="BQR58" s="2"/>
      <c r="BQS58" s="2"/>
      <c r="BQT58" s="2"/>
      <c r="BQU58" s="2"/>
      <c r="BQV58" s="2"/>
      <c r="BQW58" s="2"/>
      <c r="BQX58" s="2"/>
      <c r="BQY58" s="2"/>
      <c r="BQZ58" s="2"/>
      <c r="BRA58" s="2"/>
      <c r="BRB58" s="2"/>
      <c r="BRC58" s="2"/>
      <c r="BRD58" s="2"/>
      <c r="BRE58" s="2"/>
      <c r="BRF58" s="2"/>
      <c r="BRG58" s="2"/>
      <c r="BRH58" s="2"/>
      <c r="BRI58" s="2"/>
      <c r="BRJ58" s="2"/>
      <c r="BRK58" s="2"/>
      <c r="BRL58" s="2"/>
      <c r="BRM58" s="2"/>
      <c r="BRN58" s="2"/>
      <c r="BRO58" s="2"/>
      <c r="BRP58" s="2"/>
      <c r="BRQ58" s="2"/>
      <c r="BRR58" s="2"/>
      <c r="BRS58" s="2"/>
      <c r="BRT58" s="2"/>
      <c r="BRU58" s="2"/>
      <c r="BRV58" s="2"/>
      <c r="BRW58" s="2"/>
      <c r="BRX58" s="2"/>
      <c r="BRY58" s="2"/>
      <c r="BRZ58" s="2"/>
      <c r="BSA58" s="2"/>
      <c r="BSB58" s="2"/>
      <c r="BSC58" s="2"/>
      <c r="BSD58" s="2"/>
      <c r="BSE58" s="2"/>
      <c r="BSF58" s="2"/>
      <c r="BSG58" s="2"/>
      <c r="BSH58" s="2"/>
      <c r="BSI58" s="2"/>
      <c r="BSJ58" s="2"/>
      <c r="BSK58" s="2"/>
      <c r="BSL58" s="2"/>
      <c r="BSM58" s="2"/>
      <c r="BSN58" s="2"/>
      <c r="BSO58" s="2"/>
      <c r="BSP58" s="2"/>
      <c r="BSQ58" s="2"/>
      <c r="BSR58" s="2"/>
      <c r="BSS58" s="2"/>
      <c r="BST58" s="2"/>
      <c r="BSU58" s="2"/>
      <c r="BSV58" s="2"/>
      <c r="BSW58" s="2"/>
      <c r="BSX58" s="2"/>
      <c r="BSY58" s="2"/>
      <c r="BSZ58" s="2"/>
      <c r="BTA58" s="2"/>
      <c r="BTB58" s="2"/>
      <c r="BTC58" s="2"/>
      <c r="BTD58" s="2"/>
      <c r="BTE58" s="2"/>
      <c r="BTF58" s="2"/>
      <c r="BTG58" s="2"/>
      <c r="BTH58" s="2"/>
      <c r="BTI58" s="2"/>
      <c r="BTJ58" s="2"/>
      <c r="BTK58" s="2"/>
      <c r="BTL58" s="2"/>
      <c r="BTM58" s="2"/>
      <c r="BTN58" s="2"/>
      <c r="BTO58" s="2"/>
      <c r="BTP58" s="2"/>
      <c r="BTQ58" s="2"/>
      <c r="BTR58" s="2"/>
      <c r="BTS58" s="2"/>
      <c r="BTT58" s="2"/>
      <c r="BTU58" s="2"/>
      <c r="BTV58" s="2"/>
      <c r="BTW58" s="2"/>
      <c r="BTX58" s="2"/>
      <c r="BTY58" s="2"/>
      <c r="BTZ58" s="2"/>
      <c r="BUA58" s="2"/>
      <c r="BUB58" s="2"/>
      <c r="BUC58" s="2"/>
      <c r="BUD58" s="2"/>
      <c r="BUE58" s="2"/>
      <c r="BUF58" s="2"/>
      <c r="BUG58" s="2"/>
      <c r="BUH58" s="2"/>
      <c r="BUI58" s="2"/>
      <c r="BUJ58" s="2"/>
      <c r="BUK58" s="2"/>
      <c r="BUL58" s="2"/>
      <c r="BUM58" s="2"/>
      <c r="BUN58" s="2"/>
      <c r="BUO58" s="2"/>
      <c r="BUP58" s="2"/>
      <c r="BUQ58" s="2"/>
      <c r="BUR58" s="2"/>
      <c r="BUS58" s="2"/>
      <c r="BUT58" s="2"/>
      <c r="BUU58" s="2"/>
      <c r="BUV58" s="2"/>
      <c r="BUW58" s="2"/>
      <c r="BUX58" s="2"/>
      <c r="BUY58" s="2"/>
      <c r="BUZ58" s="2"/>
      <c r="BVA58" s="2"/>
      <c r="BVB58" s="2"/>
      <c r="BVC58" s="2"/>
      <c r="BVD58" s="2"/>
      <c r="BVE58" s="2"/>
      <c r="BVF58" s="2"/>
      <c r="BVG58" s="2"/>
      <c r="BVH58" s="2"/>
      <c r="BVI58" s="2"/>
      <c r="BVJ58" s="2"/>
      <c r="BVK58" s="2"/>
      <c r="BVL58" s="2"/>
      <c r="BVM58" s="2"/>
      <c r="BVN58" s="2"/>
      <c r="BVO58" s="2"/>
      <c r="BVP58" s="2"/>
      <c r="BVQ58" s="2"/>
      <c r="BVR58" s="2"/>
      <c r="BVS58" s="2"/>
      <c r="BVT58" s="2"/>
      <c r="BVU58" s="2"/>
      <c r="BVV58" s="2"/>
      <c r="BVW58" s="2"/>
      <c r="BVX58" s="2"/>
      <c r="BVY58" s="2"/>
      <c r="BVZ58" s="2"/>
      <c r="BWA58" s="2"/>
      <c r="BWB58" s="2"/>
      <c r="BWC58" s="2"/>
      <c r="BWD58" s="2"/>
      <c r="BWE58" s="2"/>
      <c r="BWF58" s="2"/>
      <c r="BWG58" s="2"/>
      <c r="BWH58" s="2"/>
      <c r="BWI58" s="2"/>
      <c r="BWJ58" s="2"/>
      <c r="BWK58" s="2"/>
      <c r="BWL58" s="2"/>
      <c r="BWM58" s="2"/>
      <c r="BWN58" s="2"/>
      <c r="BWO58" s="2"/>
      <c r="BWP58" s="2"/>
      <c r="BWQ58" s="2"/>
      <c r="BWR58" s="2"/>
      <c r="BWS58" s="2"/>
      <c r="BWT58" s="2"/>
      <c r="BWU58" s="2"/>
      <c r="BWV58" s="2"/>
      <c r="BWW58" s="2"/>
      <c r="BWX58" s="2"/>
      <c r="BWY58" s="2"/>
      <c r="BWZ58" s="2"/>
      <c r="BXA58" s="2"/>
      <c r="BXB58" s="2"/>
      <c r="BXC58" s="2"/>
      <c r="BXD58" s="2"/>
      <c r="BXE58" s="2"/>
      <c r="BXF58" s="2"/>
    </row>
    <row r="59" spans="2:1982" x14ac:dyDescent="0.25">
      <c r="B59" s="2"/>
      <c r="C59" s="8" t="s">
        <v>17</v>
      </c>
      <c r="D59" s="8" t="s">
        <v>28</v>
      </c>
      <c r="E59" s="8" t="s">
        <v>35</v>
      </c>
      <c r="F59" s="8" t="s">
        <v>45</v>
      </c>
      <c r="G59" s="8" t="s">
        <v>49</v>
      </c>
      <c r="H59" s="8" t="s">
        <v>56</v>
      </c>
      <c r="I59" s="8" t="s">
        <v>59</v>
      </c>
      <c r="J59" s="8" t="s">
        <v>63</v>
      </c>
      <c r="K59" s="8" t="s">
        <v>70</v>
      </c>
      <c r="L59" s="8" t="s">
        <v>74</v>
      </c>
      <c r="M59" s="8" t="s">
        <v>77</v>
      </c>
      <c r="N59" s="8" t="s">
        <v>80</v>
      </c>
      <c r="O59" s="8" t="s">
        <v>82</v>
      </c>
      <c r="P59" s="8" t="s">
        <v>83</v>
      </c>
      <c r="Q59" s="8" t="s">
        <v>87</v>
      </c>
      <c r="R59" s="8" t="s">
        <v>90</v>
      </c>
      <c r="S59" s="8" t="s">
        <v>92</v>
      </c>
      <c r="T59" s="8" t="s">
        <v>95</v>
      </c>
      <c r="U59" s="8" t="s">
        <v>97</v>
      </c>
      <c r="V59" s="8" t="s">
        <v>100</v>
      </c>
      <c r="W59" s="8" t="s">
        <v>102</v>
      </c>
      <c r="X59" s="8" t="s">
        <v>104</v>
      </c>
      <c r="Y59" s="8" t="s">
        <v>107</v>
      </c>
      <c r="Z59" s="8" t="s">
        <v>109</v>
      </c>
      <c r="AA59" s="8" t="s">
        <v>111</v>
      </c>
      <c r="AB59" s="8" t="s">
        <v>113</v>
      </c>
      <c r="AC59" s="8" t="s">
        <v>115</v>
      </c>
      <c r="AD59" s="8" t="s">
        <v>117</v>
      </c>
      <c r="AE59" s="8" t="s">
        <v>120</v>
      </c>
      <c r="AF59" s="8" t="s">
        <v>122</v>
      </c>
      <c r="AG59" s="8" t="s">
        <v>125</v>
      </c>
      <c r="AH59" s="8" t="s">
        <v>127</v>
      </c>
      <c r="AI59" s="8" t="s">
        <v>131</v>
      </c>
      <c r="AJ59" s="8" t="s">
        <v>133</v>
      </c>
      <c r="AK59" s="8" t="s">
        <v>136</v>
      </c>
      <c r="AL59" s="8" t="s">
        <v>138</v>
      </c>
      <c r="AM59" s="8" t="s">
        <v>140</v>
      </c>
      <c r="AN59" s="8" t="s">
        <v>143</v>
      </c>
      <c r="AO59" s="8" t="s">
        <v>145</v>
      </c>
      <c r="AP59" s="8" t="s">
        <v>147</v>
      </c>
      <c r="AQ59" s="8" t="s">
        <v>149</v>
      </c>
      <c r="AR59" s="8" t="s">
        <v>152</v>
      </c>
      <c r="AS59" s="8" t="s">
        <v>155</v>
      </c>
      <c r="AT59" s="8" t="s">
        <v>157</v>
      </c>
      <c r="AU59" s="8" t="s">
        <v>159</v>
      </c>
      <c r="AV59" s="8" t="s">
        <v>161</v>
      </c>
      <c r="AW59" s="8" t="s">
        <v>163</v>
      </c>
      <c r="AX59" s="8" t="s">
        <v>165</v>
      </c>
      <c r="AY59" s="8" t="s">
        <v>167</v>
      </c>
      <c r="AZ59" s="8" t="s">
        <v>169</v>
      </c>
      <c r="BA59" s="8" t="s">
        <v>171</v>
      </c>
      <c r="BB59" s="8" t="s">
        <v>173</v>
      </c>
      <c r="BC59" s="8" t="s">
        <v>175</v>
      </c>
      <c r="BD59" s="8" t="s">
        <v>177</v>
      </c>
      <c r="BE59" s="8" t="s">
        <v>179</v>
      </c>
      <c r="BF59" s="8" t="s">
        <v>181</v>
      </c>
      <c r="BG59" s="8" t="s">
        <v>183</v>
      </c>
      <c r="BH59" s="8" t="s">
        <v>185</v>
      </c>
      <c r="BI59" s="8" t="s">
        <v>187</v>
      </c>
      <c r="BJ59" s="8" t="s">
        <v>190</v>
      </c>
      <c r="BK59" s="8" t="s">
        <v>192</v>
      </c>
      <c r="BL59" s="8" t="s">
        <v>194</v>
      </c>
      <c r="BM59" s="8" t="s">
        <v>196</v>
      </c>
      <c r="BN59" s="8" t="s">
        <v>199</v>
      </c>
      <c r="BO59" s="8" t="s">
        <v>202</v>
      </c>
      <c r="BP59" s="8" t="s">
        <v>204</v>
      </c>
      <c r="BQ59" s="8" t="s">
        <v>206</v>
      </c>
      <c r="BR59" s="8" t="s">
        <v>208</v>
      </c>
      <c r="BS59" s="8" t="s">
        <v>210</v>
      </c>
      <c r="BT59" s="8" t="s">
        <v>212</v>
      </c>
      <c r="BU59" s="8" t="s">
        <v>214</v>
      </c>
      <c r="BV59" s="8" t="s">
        <v>216</v>
      </c>
      <c r="BW59" s="8" t="s">
        <v>218</v>
      </c>
      <c r="BX59" s="8" t="s">
        <v>220</v>
      </c>
      <c r="BY59" s="8" t="s">
        <v>222</v>
      </c>
      <c r="BZ59" s="8" t="s">
        <v>224</v>
      </c>
      <c r="CA59" s="8" t="s">
        <v>226</v>
      </c>
      <c r="CB59" s="8" t="s">
        <v>228</v>
      </c>
      <c r="CC59" s="8" t="s">
        <v>230</v>
      </c>
      <c r="CD59" s="8" t="s">
        <v>231</v>
      </c>
      <c r="CE59" s="8" t="s">
        <v>233</v>
      </c>
      <c r="CF59" s="8" t="s">
        <v>235</v>
      </c>
      <c r="CG59" s="8" t="s">
        <v>237</v>
      </c>
      <c r="CH59" s="8" t="s">
        <v>239</v>
      </c>
      <c r="CI59" s="8" t="s">
        <v>241</v>
      </c>
      <c r="CJ59" s="8" t="s">
        <v>243</v>
      </c>
      <c r="CK59" s="8" t="s">
        <v>245</v>
      </c>
      <c r="CL59" s="8" t="s">
        <v>247</v>
      </c>
      <c r="CM59" s="8" t="s">
        <v>249</v>
      </c>
      <c r="CN59" s="8" t="s">
        <v>251</v>
      </c>
      <c r="CO59" s="8" t="s">
        <v>253</v>
      </c>
      <c r="CP59" s="8" t="s">
        <v>255</v>
      </c>
      <c r="CQ59" s="8" t="s">
        <v>257</v>
      </c>
      <c r="CR59" s="8" t="s">
        <v>259</v>
      </c>
      <c r="CS59" s="8" t="s">
        <v>261</v>
      </c>
      <c r="CT59" s="8" t="s">
        <v>263</v>
      </c>
      <c r="CU59" s="8" t="s">
        <v>265</v>
      </c>
      <c r="CV59" s="8" t="s">
        <v>267</v>
      </c>
      <c r="CW59" s="8" t="s">
        <v>269</v>
      </c>
      <c r="CX59" s="8" t="s">
        <v>271</v>
      </c>
      <c r="CY59" s="8" t="s">
        <v>273</v>
      </c>
      <c r="CZ59" s="8" t="s">
        <v>275</v>
      </c>
      <c r="DA59" s="8" t="s">
        <v>277</v>
      </c>
      <c r="DB59" s="8" t="s">
        <v>279</v>
      </c>
      <c r="DC59" s="8" t="s">
        <v>281</v>
      </c>
      <c r="DD59" s="8" t="s">
        <v>283</v>
      </c>
      <c r="DE59" s="8" t="s">
        <v>285</v>
      </c>
      <c r="DF59" s="8" t="s">
        <v>287</v>
      </c>
      <c r="DG59" s="8" t="s">
        <v>289</v>
      </c>
      <c r="DH59" s="8" t="s">
        <v>291</v>
      </c>
      <c r="DI59" s="8" t="s">
        <v>292</v>
      </c>
      <c r="DJ59" s="8" t="s">
        <v>294</v>
      </c>
      <c r="DK59" s="8" t="s">
        <v>296</v>
      </c>
      <c r="DL59" s="8" t="s">
        <v>298</v>
      </c>
      <c r="DM59" s="8" t="s">
        <v>300</v>
      </c>
      <c r="DN59" s="8" t="s">
        <v>302</v>
      </c>
      <c r="DO59" s="8" t="s">
        <v>304</v>
      </c>
      <c r="DP59" s="8" t="s">
        <v>306</v>
      </c>
      <c r="DQ59" s="8" t="s">
        <v>308</v>
      </c>
      <c r="DR59" s="8" t="s">
        <v>310</v>
      </c>
      <c r="DS59" s="8" t="s">
        <v>312</v>
      </c>
      <c r="DT59" s="8" t="s">
        <v>314</v>
      </c>
      <c r="DU59" s="8" t="s">
        <v>316</v>
      </c>
      <c r="DV59" s="8" t="s">
        <v>318</v>
      </c>
      <c r="DW59" s="8" t="s">
        <v>320</v>
      </c>
      <c r="DX59" s="8" t="s">
        <v>322</v>
      </c>
      <c r="DY59" s="8" t="s">
        <v>324</v>
      </c>
      <c r="DZ59" s="8" t="s">
        <v>326</v>
      </c>
      <c r="EA59" s="8" t="s">
        <v>328</v>
      </c>
      <c r="EB59" s="8" t="s">
        <v>330</v>
      </c>
      <c r="EC59" s="8" t="s">
        <v>332</v>
      </c>
      <c r="ED59" s="8" t="s">
        <v>334</v>
      </c>
      <c r="EE59" s="8" t="s">
        <v>336</v>
      </c>
      <c r="EF59" s="8" t="s">
        <v>338</v>
      </c>
      <c r="EG59" s="8" t="s">
        <v>340</v>
      </c>
      <c r="EH59" s="8" t="s">
        <v>342</v>
      </c>
      <c r="EI59" s="8" t="s">
        <v>344</v>
      </c>
      <c r="EJ59" s="8" t="s">
        <v>346</v>
      </c>
      <c r="EK59" s="8" t="s">
        <v>348</v>
      </c>
      <c r="EL59" s="8" t="s">
        <v>350</v>
      </c>
      <c r="EM59" s="8" t="s">
        <v>352</v>
      </c>
      <c r="EN59" s="8" t="s">
        <v>353</v>
      </c>
      <c r="EO59" s="8" t="s">
        <v>355</v>
      </c>
      <c r="EP59" s="8" t="s">
        <v>357</v>
      </c>
      <c r="EQ59" s="8" t="s">
        <v>359</v>
      </c>
      <c r="ER59" s="8" t="s">
        <v>361</v>
      </c>
      <c r="ES59" s="8" t="s">
        <v>363</v>
      </c>
      <c r="ET59" s="8" t="s">
        <v>365</v>
      </c>
      <c r="EU59" s="8" t="s">
        <v>367</v>
      </c>
      <c r="EV59" s="8" t="s">
        <v>369</v>
      </c>
      <c r="EW59" s="8" t="s">
        <v>371</v>
      </c>
      <c r="EX59" s="8" t="s">
        <v>373</v>
      </c>
      <c r="EY59" s="8" t="s">
        <v>375</v>
      </c>
      <c r="EZ59" s="8" t="s">
        <v>377</v>
      </c>
      <c r="FA59" s="8" t="s">
        <v>379</v>
      </c>
      <c r="FB59" s="8" t="s">
        <v>381</v>
      </c>
      <c r="FC59" s="8" t="s">
        <v>383</v>
      </c>
      <c r="FD59" s="8" t="s">
        <v>385</v>
      </c>
      <c r="FE59" s="8" t="s">
        <v>386</v>
      </c>
      <c r="FF59" s="8" t="s">
        <v>388</v>
      </c>
      <c r="FG59" s="8" t="s">
        <v>390</v>
      </c>
      <c r="FH59" s="8" t="s">
        <v>392</v>
      </c>
      <c r="FI59" s="8" t="s">
        <v>394</v>
      </c>
      <c r="FJ59" s="8" t="s">
        <v>396</v>
      </c>
      <c r="FK59" s="8" t="s">
        <v>398</v>
      </c>
      <c r="FL59" s="8" t="s">
        <v>400</v>
      </c>
      <c r="FM59" s="8" t="s">
        <v>402</v>
      </c>
      <c r="FN59" s="8" t="s">
        <v>403</v>
      </c>
      <c r="FO59" s="8" t="s">
        <v>405</v>
      </c>
      <c r="FP59" s="8" t="s">
        <v>407</v>
      </c>
      <c r="FQ59" s="8" t="s">
        <v>408</v>
      </c>
      <c r="FR59" s="8" t="s">
        <v>410</v>
      </c>
      <c r="FS59" s="8" t="s">
        <v>412</v>
      </c>
      <c r="FT59" s="8" t="s">
        <v>414</v>
      </c>
      <c r="FU59" s="8" t="s">
        <v>416</v>
      </c>
      <c r="FV59" s="8" t="s">
        <v>418</v>
      </c>
      <c r="FW59" s="8" t="s">
        <v>420</v>
      </c>
      <c r="FX59" s="8" t="s">
        <v>422</v>
      </c>
      <c r="FY59" s="8" t="s">
        <v>424</v>
      </c>
      <c r="FZ59" s="8" t="s">
        <v>426</v>
      </c>
      <c r="GA59" s="8" t="s">
        <v>428</v>
      </c>
      <c r="GB59" s="8" t="s">
        <v>430</v>
      </c>
      <c r="GC59" s="8" t="s">
        <v>432</v>
      </c>
      <c r="GD59" s="8" t="s">
        <v>434</v>
      </c>
      <c r="GE59" s="8" t="s">
        <v>436</v>
      </c>
      <c r="GF59" s="8" t="s">
        <v>438</v>
      </c>
      <c r="GG59" s="8" t="s">
        <v>440</v>
      </c>
      <c r="GH59" s="8" t="s">
        <v>442</v>
      </c>
      <c r="GI59" s="8" t="s">
        <v>444</v>
      </c>
      <c r="GJ59" s="8" t="s">
        <v>446</v>
      </c>
      <c r="GK59" s="8" t="s">
        <v>448</v>
      </c>
      <c r="GL59" s="8" t="s">
        <v>450</v>
      </c>
      <c r="GM59" s="8" t="s">
        <v>452</v>
      </c>
      <c r="GN59" s="8" t="s">
        <v>454</v>
      </c>
      <c r="GO59" s="8" t="s">
        <v>456</v>
      </c>
      <c r="GP59" s="8" t="s">
        <v>457</v>
      </c>
      <c r="GQ59" s="8" t="s">
        <v>459</v>
      </c>
      <c r="GR59" s="8" t="s">
        <v>461</v>
      </c>
      <c r="GS59" s="8" t="s">
        <v>463</v>
      </c>
      <c r="GT59" s="8" t="s">
        <v>465</v>
      </c>
      <c r="GU59" s="8" t="s">
        <v>467</v>
      </c>
      <c r="GV59" s="8" t="s">
        <v>469</v>
      </c>
      <c r="GW59" s="8" t="s">
        <v>471</v>
      </c>
      <c r="GX59" s="8" t="s">
        <v>473</v>
      </c>
      <c r="GY59" s="8" t="s">
        <v>475</v>
      </c>
      <c r="GZ59" s="8" t="s">
        <v>476</v>
      </c>
      <c r="HA59" s="8" t="s">
        <v>477</v>
      </c>
      <c r="HB59" s="8" t="s">
        <v>479</v>
      </c>
      <c r="HC59" s="8" t="s">
        <v>481</v>
      </c>
      <c r="HD59" s="8" t="s">
        <v>482</v>
      </c>
      <c r="HE59" s="8" t="s">
        <v>484</v>
      </c>
      <c r="HF59" s="8" t="s">
        <v>486</v>
      </c>
      <c r="HG59" s="8" t="s">
        <v>488</v>
      </c>
      <c r="HH59" s="8" t="s">
        <v>490</v>
      </c>
      <c r="HI59" s="8" t="s">
        <v>492</v>
      </c>
      <c r="HJ59" s="8" t="s">
        <v>494</v>
      </c>
      <c r="HK59" s="8" t="s">
        <v>496</v>
      </c>
      <c r="HL59" s="8" t="s">
        <v>498</v>
      </c>
      <c r="HM59" s="8" t="s">
        <v>500</v>
      </c>
      <c r="HN59" s="8" t="s">
        <v>502</v>
      </c>
      <c r="HO59" s="8" t="s">
        <v>503</v>
      </c>
      <c r="HP59" s="8" t="s">
        <v>505</v>
      </c>
      <c r="HQ59" s="8" t="s">
        <v>507</v>
      </c>
      <c r="HR59" s="8" t="s">
        <v>509</v>
      </c>
      <c r="HS59" s="8" t="s">
        <v>511</v>
      </c>
      <c r="HT59" s="8" t="s">
        <v>513</v>
      </c>
      <c r="HU59" s="8" t="s">
        <v>515</v>
      </c>
      <c r="HV59" s="8" t="s">
        <v>517</v>
      </c>
      <c r="HW59" s="8" t="s">
        <v>519</v>
      </c>
      <c r="HX59" s="8" t="s">
        <v>521</v>
      </c>
      <c r="HY59" s="8" t="s">
        <v>523</v>
      </c>
      <c r="HZ59" s="8" t="s">
        <v>525</v>
      </c>
      <c r="IA59" s="8" t="s">
        <v>527</v>
      </c>
      <c r="IB59" s="8" t="s">
        <v>529</v>
      </c>
      <c r="IC59" s="8" t="s">
        <v>531</v>
      </c>
      <c r="ID59" s="8" t="s">
        <v>533</v>
      </c>
      <c r="IE59" s="8" t="s">
        <v>535</v>
      </c>
      <c r="IF59" s="8" t="s">
        <v>536</v>
      </c>
      <c r="IG59" s="8" t="s">
        <v>538</v>
      </c>
      <c r="IH59" s="8" t="s">
        <v>540</v>
      </c>
      <c r="II59" s="8" t="s">
        <v>541</v>
      </c>
      <c r="IJ59" s="8" t="s">
        <v>542</v>
      </c>
      <c r="IK59" s="8" t="s">
        <v>544</v>
      </c>
      <c r="IL59" s="8" t="s">
        <v>546</v>
      </c>
      <c r="IM59" s="8" t="s">
        <v>548</v>
      </c>
      <c r="IN59" s="8" t="s">
        <v>550</v>
      </c>
      <c r="IO59" s="8" t="s">
        <v>551</v>
      </c>
      <c r="IP59" s="8" t="s">
        <v>553</v>
      </c>
      <c r="IQ59" s="8" t="s">
        <v>555</v>
      </c>
      <c r="IR59" s="8" t="s">
        <v>556</v>
      </c>
      <c r="IS59" s="8" t="s">
        <v>558</v>
      </c>
      <c r="IT59" s="8" t="s">
        <v>560</v>
      </c>
      <c r="IU59" s="8" t="s">
        <v>562</v>
      </c>
      <c r="IV59" s="8" t="s">
        <v>564</v>
      </c>
      <c r="IW59" s="8" t="s">
        <v>566</v>
      </c>
      <c r="IX59" s="8" t="s">
        <v>568</v>
      </c>
      <c r="IY59" s="8" t="s">
        <v>570</v>
      </c>
      <c r="IZ59" s="8" t="s">
        <v>572</v>
      </c>
      <c r="JA59" s="8" t="s">
        <v>574</v>
      </c>
      <c r="JB59" s="8" t="s">
        <v>576</v>
      </c>
      <c r="JC59" s="8" t="s">
        <v>578</v>
      </c>
      <c r="JD59" s="8" t="s">
        <v>580</v>
      </c>
      <c r="JE59" s="8" t="s">
        <v>582</v>
      </c>
      <c r="JF59" s="8" t="s">
        <v>583</v>
      </c>
      <c r="JG59" s="8" t="s">
        <v>585</v>
      </c>
      <c r="JH59" s="8" t="s">
        <v>588</v>
      </c>
      <c r="JI59" s="8" t="s">
        <v>590</v>
      </c>
      <c r="JJ59" s="8" t="s">
        <v>592</v>
      </c>
      <c r="JK59" s="8" t="s">
        <v>593</v>
      </c>
      <c r="JL59" s="8" t="s">
        <v>595</v>
      </c>
      <c r="JM59" s="8" t="s">
        <v>597</v>
      </c>
      <c r="JN59" s="8" t="s">
        <v>599</v>
      </c>
      <c r="JO59" s="8" t="s">
        <v>601</v>
      </c>
      <c r="JP59" s="8" t="s">
        <v>602</v>
      </c>
      <c r="JQ59" s="8" t="s">
        <v>604</v>
      </c>
      <c r="JR59" s="8" t="s">
        <v>606</v>
      </c>
      <c r="JS59" s="8" t="s">
        <v>607</v>
      </c>
      <c r="JT59" s="8" t="s">
        <v>609</v>
      </c>
      <c r="JU59" s="8" t="s">
        <v>611</v>
      </c>
      <c r="JV59" s="8" t="s">
        <v>612</v>
      </c>
      <c r="JW59" s="8" t="s">
        <v>614</v>
      </c>
      <c r="JX59" s="8" t="s">
        <v>616</v>
      </c>
      <c r="JY59" s="8" t="s">
        <v>618</v>
      </c>
      <c r="JZ59" s="8" t="s">
        <v>620</v>
      </c>
      <c r="KA59" s="8" t="s">
        <v>622</v>
      </c>
      <c r="KB59" s="8" t="s">
        <v>624</v>
      </c>
      <c r="KC59" s="8" t="s">
        <v>626</v>
      </c>
      <c r="KD59" s="8" t="s">
        <v>628</v>
      </c>
      <c r="KE59" s="8" t="s">
        <v>630</v>
      </c>
      <c r="KF59" s="8" t="s">
        <v>632</v>
      </c>
      <c r="KG59" s="8" t="s">
        <v>634</v>
      </c>
      <c r="KH59" s="8" t="s">
        <v>635</v>
      </c>
      <c r="KI59" s="8" t="s">
        <v>637</v>
      </c>
      <c r="KJ59" s="8" t="s">
        <v>638</v>
      </c>
      <c r="KK59" s="8" t="s">
        <v>640</v>
      </c>
      <c r="KL59" s="8" t="s">
        <v>642</v>
      </c>
      <c r="KM59" s="8" t="s">
        <v>643</v>
      </c>
      <c r="KN59" s="8" t="s">
        <v>645</v>
      </c>
      <c r="KO59" s="8" t="s">
        <v>647</v>
      </c>
      <c r="KP59" s="8" t="s">
        <v>649</v>
      </c>
      <c r="KQ59" s="8" t="s">
        <v>651</v>
      </c>
      <c r="KR59" s="8" t="s">
        <v>653</v>
      </c>
      <c r="KS59" s="8" t="s">
        <v>655</v>
      </c>
      <c r="KT59" s="8" t="s">
        <v>657</v>
      </c>
      <c r="KU59" s="8" t="s">
        <v>659</v>
      </c>
      <c r="KV59" s="8" t="s">
        <v>661</v>
      </c>
      <c r="KW59" s="8" t="s">
        <v>663</v>
      </c>
      <c r="KX59" s="8" t="s">
        <v>665</v>
      </c>
      <c r="KY59" s="8" t="s">
        <v>666</v>
      </c>
      <c r="KZ59" s="8" t="s">
        <v>667</v>
      </c>
      <c r="LA59" s="8" t="s">
        <v>668</v>
      </c>
      <c r="LB59" s="8" t="s">
        <v>670</v>
      </c>
      <c r="LC59" s="8" t="s">
        <v>672</v>
      </c>
      <c r="LD59" s="8" t="s">
        <v>673</v>
      </c>
      <c r="LE59" s="8" t="s">
        <v>675</v>
      </c>
      <c r="LF59" s="8" t="s">
        <v>676</v>
      </c>
      <c r="LG59" s="8" t="s">
        <v>678</v>
      </c>
      <c r="LH59" s="8" t="s">
        <v>680</v>
      </c>
      <c r="LI59" s="8" t="s">
        <v>682</v>
      </c>
      <c r="LJ59" s="8" t="s">
        <v>684</v>
      </c>
      <c r="LK59" s="8" t="s">
        <v>686</v>
      </c>
      <c r="LL59" s="8" t="s">
        <v>688</v>
      </c>
      <c r="LM59" s="8" t="s">
        <v>690</v>
      </c>
      <c r="LN59" s="8" t="s">
        <v>692</v>
      </c>
      <c r="LO59" s="8" t="s">
        <v>694</v>
      </c>
      <c r="LP59" s="8" t="s">
        <v>696</v>
      </c>
      <c r="LQ59" s="8" t="s">
        <v>698</v>
      </c>
      <c r="LR59" s="8" t="s">
        <v>700</v>
      </c>
      <c r="LS59" s="8" t="s">
        <v>701</v>
      </c>
      <c r="LT59" s="8" t="s">
        <v>703</v>
      </c>
      <c r="LU59" s="8" t="s">
        <v>705</v>
      </c>
      <c r="LV59" s="8" t="s">
        <v>707</v>
      </c>
      <c r="LW59" s="8" t="s">
        <v>709</v>
      </c>
      <c r="LX59" s="8" t="s">
        <v>711</v>
      </c>
      <c r="LY59" s="8" t="s">
        <v>713</v>
      </c>
      <c r="LZ59" s="8" t="s">
        <v>715</v>
      </c>
      <c r="MA59" s="8" t="s">
        <v>717</v>
      </c>
      <c r="MB59" s="8" t="s">
        <v>719</v>
      </c>
      <c r="MC59" s="8" t="s">
        <v>720</v>
      </c>
      <c r="MD59" s="8" t="s">
        <v>721</v>
      </c>
      <c r="ME59" s="8" t="s">
        <v>722</v>
      </c>
      <c r="MF59" s="8" t="s">
        <v>724</v>
      </c>
      <c r="MG59" s="8" t="s">
        <v>726</v>
      </c>
      <c r="MH59" s="8" t="s">
        <v>728</v>
      </c>
      <c r="MI59" s="8" t="s">
        <v>730</v>
      </c>
      <c r="MJ59" s="8" t="s">
        <v>732</v>
      </c>
      <c r="MK59" s="8" t="s">
        <v>734</v>
      </c>
      <c r="ML59" s="8" t="s">
        <v>736</v>
      </c>
      <c r="MM59" s="8" t="s">
        <v>738</v>
      </c>
      <c r="MN59" s="8" t="s">
        <v>739</v>
      </c>
      <c r="MO59" s="8" t="s">
        <v>740</v>
      </c>
      <c r="MP59" s="8" t="s">
        <v>741</v>
      </c>
      <c r="MQ59" s="8" t="s">
        <v>744</v>
      </c>
      <c r="MR59" s="8" t="s">
        <v>746</v>
      </c>
      <c r="MS59" s="8" t="s">
        <v>748</v>
      </c>
      <c r="MT59" s="8" t="s">
        <v>750</v>
      </c>
      <c r="MU59" s="8" t="s">
        <v>752</v>
      </c>
      <c r="MV59" s="8" t="s">
        <v>754</v>
      </c>
      <c r="MW59" s="8" t="s">
        <v>757</v>
      </c>
      <c r="MX59" s="8" t="s">
        <v>758</v>
      </c>
      <c r="MY59" s="8" t="s">
        <v>760</v>
      </c>
      <c r="MZ59" s="8" t="s">
        <v>762</v>
      </c>
      <c r="NA59" s="8" t="s">
        <v>764</v>
      </c>
      <c r="NB59" s="8" t="s">
        <v>766</v>
      </c>
      <c r="NC59" s="8" t="s">
        <v>768</v>
      </c>
      <c r="ND59" s="8" t="s">
        <v>770</v>
      </c>
      <c r="NE59" s="8" t="s">
        <v>772</v>
      </c>
      <c r="NF59" s="8" t="s">
        <v>774</v>
      </c>
      <c r="NG59" s="8" t="s">
        <v>776</v>
      </c>
      <c r="NH59" s="8" t="s">
        <v>778</v>
      </c>
      <c r="NI59" s="8" t="s">
        <v>779</v>
      </c>
      <c r="NJ59" s="8" t="s">
        <v>780</v>
      </c>
      <c r="NK59" s="8" t="s">
        <v>782</v>
      </c>
      <c r="NL59" s="8" t="s">
        <v>783</v>
      </c>
      <c r="NM59" s="8" t="s">
        <v>785</v>
      </c>
      <c r="NN59" s="8" t="s">
        <v>786</v>
      </c>
      <c r="NO59" s="8" t="s">
        <v>788</v>
      </c>
      <c r="NP59" s="8" t="s">
        <v>790</v>
      </c>
      <c r="NQ59" s="8" t="s">
        <v>792</v>
      </c>
      <c r="NR59" s="8" t="s">
        <v>794</v>
      </c>
      <c r="NS59" s="8" t="s">
        <v>796</v>
      </c>
      <c r="NT59" s="8" t="s">
        <v>798</v>
      </c>
      <c r="NU59" s="8" t="s">
        <v>799</v>
      </c>
      <c r="NV59" s="8" t="s">
        <v>801</v>
      </c>
      <c r="NW59" s="8" t="s">
        <v>803</v>
      </c>
      <c r="NX59" s="8" t="s">
        <v>805</v>
      </c>
      <c r="NY59" s="8" t="s">
        <v>806</v>
      </c>
      <c r="NZ59" s="8" t="s">
        <v>808</v>
      </c>
      <c r="OA59" s="8" t="s">
        <v>810</v>
      </c>
      <c r="OB59" s="8" t="s">
        <v>812</v>
      </c>
      <c r="OC59" s="8" t="s">
        <v>814</v>
      </c>
      <c r="OD59" s="8" t="s">
        <v>816</v>
      </c>
      <c r="OE59" s="8" t="s">
        <v>817</v>
      </c>
      <c r="OF59" s="8" t="s">
        <v>819</v>
      </c>
      <c r="OG59" s="8" t="s">
        <v>820</v>
      </c>
      <c r="OH59" s="8" t="s">
        <v>822</v>
      </c>
      <c r="OI59" s="8" t="s">
        <v>823</v>
      </c>
      <c r="OJ59" s="8" t="s">
        <v>824</v>
      </c>
      <c r="OK59" s="8" t="s">
        <v>826</v>
      </c>
      <c r="OL59" s="8" t="s">
        <v>828</v>
      </c>
      <c r="OM59" s="8" t="s">
        <v>830</v>
      </c>
      <c r="ON59" s="8" t="s">
        <v>831</v>
      </c>
      <c r="OO59" s="8" t="s">
        <v>832</v>
      </c>
      <c r="OP59" s="8" t="s">
        <v>834</v>
      </c>
      <c r="OQ59" s="8" t="s">
        <v>835</v>
      </c>
      <c r="OR59" s="8" t="s">
        <v>837</v>
      </c>
      <c r="OS59" s="8" t="s">
        <v>839</v>
      </c>
      <c r="OT59" s="8" t="s">
        <v>841</v>
      </c>
      <c r="OU59" s="8" t="s">
        <v>843</v>
      </c>
      <c r="OV59" s="8" t="s">
        <v>845</v>
      </c>
      <c r="OW59" s="8" t="s">
        <v>847</v>
      </c>
      <c r="OX59" s="8" t="s">
        <v>849</v>
      </c>
      <c r="OY59" s="8" t="s">
        <v>851</v>
      </c>
      <c r="OZ59" s="8" t="s">
        <v>853</v>
      </c>
      <c r="PA59" s="8" t="s">
        <v>855</v>
      </c>
      <c r="PB59" s="8" t="s">
        <v>857</v>
      </c>
      <c r="PC59" s="8" t="s">
        <v>859</v>
      </c>
      <c r="PD59" s="8" t="s">
        <v>861</v>
      </c>
      <c r="PE59" s="8" t="s">
        <v>862</v>
      </c>
      <c r="PF59" s="8" t="s">
        <v>864</v>
      </c>
      <c r="PG59" s="8" t="s">
        <v>866</v>
      </c>
      <c r="PH59" s="8" t="s">
        <v>867</v>
      </c>
      <c r="PI59" s="8" t="s">
        <v>869</v>
      </c>
      <c r="PJ59" s="8" t="s">
        <v>870</v>
      </c>
      <c r="PK59" s="8" t="s">
        <v>872</v>
      </c>
      <c r="PL59" s="8" t="s">
        <v>874</v>
      </c>
      <c r="PM59" s="8" t="s">
        <v>876</v>
      </c>
      <c r="PN59" s="8" t="s">
        <v>878</v>
      </c>
      <c r="PO59" s="8" t="s">
        <v>880</v>
      </c>
      <c r="PP59" s="8" t="s">
        <v>882</v>
      </c>
      <c r="PQ59" s="8" t="s">
        <v>883</v>
      </c>
      <c r="PR59" s="8" t="s">
        <v>885</v>
      </c>
      <c r="PS59" s="8" t="s">
        <v>887</v>
      </c>
      <c r="PT59" s="8" t="s">
        <v>889</v>
      </c>
      <c r="PU59" s="8" t="s">
        <v>890</v>
      </c>
      <c r="PV59" s="8" t="s">
        <v>892</v>
      </c>
      <c r="PW59" s="8" t="s">
        <v>893</v>
      </c>
      <c r="PX59" s="8" t="s">
        <v>895</v>
      </c>
      <c r="PY59" s="8" t="s">
        <v>897</v>
      </c>
      <c r="PZ59" s="8" t="s">
        <v>899</v>
      </c>
      <c r="QA59" s="8" t="s">
        <v>901</v>
      </c>
      <c r="QB59" s="8" t="s">
        <v>903</v>
      </c>
      <c r="QC59" s="8" t="s">
        <v>905</v>
      </c>
      <c r="QD59" s="8" t="s">
        <v>907</v>
      </c>
      <c r="QE59" s="8" t="s">
        <v>909</v>
      </c>
      <c r="QF59" s="8" t="s">
        <v>911</v>
      </c>
      <c r="QG59" s="8" t="s">
        <v>912</v>
      </c>
      <c r="QH59" s="8" t="s">
        <v>914</v>
      </c>
      <c r="QI59" s="8" t="s">
        <v>916</v>
      </c>
      <c r="QJ59" s="8" t="s">
        <v>918</v>
      </c>
      <c r="QK59" s="8" t="s">
        <v>920</v>
      </c>
      <c r="QL59" s="8" t="s">
        <v>922</v>
      </c>
      <c r="QM59" s="8" t="s">
        <v>924</v>
      </c>
      <c r="QN59" s="8" t="s">
        <v>926</v>
      </c>
      <c r="QO59" s="8" t="s">
        <v>928</v>
      </c>
      <c r="QP59" s="8" t="s">
        <v>930</v>
      </c>
      <c r="QQ59" s="8" t="s">
        <v>932</v>
      </c>
      <c r="QR59" s="8" t="s">
        <v>934</v>
      </c>
      <c r="QS59" s="8" t="s">
        <v>936</v>
      </c>
      <c r="QT59" s="8" t="s">
        <v>937</v>
      </c>
      <c r="QU59" s="8" t="s">
        <v>938</v>
      </c>
      <c r="QV59" s="8" t="s">
        <v>940</v>
      </c>
      <c r="QW59" s="8" t="s">
        <v>942</v>
      </c>
      <c r="QX59" s="8" t="s">
        <v>944</v>
      </c>
      <c r="QY59" s="8" t="s">
        <v>946</v>
      </c>
      <c r="QZ59" s="8" t="s">
        <v>948</v>
      </c>
      <c r="RA59" s="8" t="s">
        <v>949</v>
      </c>
      <c r="RB59" s="8" t="s">
        <v>951</v>
      </c>
      <c r="RC59" s="8" t="s">
        <v>953</v>
      </c>
      <c r="RD59" s="8" t="s">
        <v>955</v>
      </c>
      <c r="RE59" s="8" t="s">
        <v>956</v>
      </c>
      <c r="RF59" s="8" t="s">
        <v>958</v>
      </c>
      <c r="RG59" s="8" t="s">
        <v>960</v>
      </c>
      <c r="RH59" s="8" t="s">
        <v>962</v>
      </c>
      <c r="RI59" s="8" t="s">
        <v>964</v>
      </c>
      <c r="RJ59" s="8" t="s">
        <v>966</v>
      </c>
      <c r="RK59" s="8" t="s">
        <v>968</v>
      </c>
      <c r="RL59" s="8" t="s">
        <v>969</v>
      </c>
      <c r="RM59" s="8" t="s">
        <v>970</v>
      </c>
      <c r="RN59" s="8" t="s">
        <v>972</v>
      </c>
      <c r="RO59" s="8" t="s">
        <v>973</v>
      </c>
      <c r="RP59" s="8" t="s">
        <v>975</v>
      </c>
      <c r="RQ59" s="8" t="s">
        <v>976</v>
      </c>
      <c r="RR59" s="8" t="s">
        <v>978</v>
      </c>
      <c r="RS59" s="8" t="s">
        <v>980</v>
      </c>
      <c r="RT59" s="8" t="s">
        <v>982</v>
      </c>
      <c r="RU59" s="8" t="s">
        <v>984</v>
      </c>
      <c r="RV59" s="8" t="s">
        <v>986</v>
      </c>
      <c r="RW59" s="8" t="s">
        <v>988</v>
      </c>
      <c r="RX59" s="8" t="s">
        <v>990</v>
      </c>
      <c r="RY59" s="8" t="s">
        <v>992</v>
      </c>
      <c r="RZ59" s="8" t="s">
        <v>994</v>
      </c>
      <c r="SA59" s="8" t="s">
        <v>996</v>
      </c>
      <c r="SB59" s="8" t="s">
        <v>998</v>
      </c>
      <c r="SC59" s="8" t="s">
        <v>999</v>
      </c>
      <c r="SD59" s="8" t="s">
        <v>1001</v>
      </c>
      <c r="SE59" s="8" t="s">
        <v>1003</v>
      </c>
      <c r="SF59" s="8" t="s">
        <v>1005</v>
      </c>
      <c r="SG59" s="8" t="s">
        <v>1006</v>
      </c>
      <c r="SH59" s="8" t="s">
        <v>1008</v>
      </c>
      <c r="SI59" s="8" t="s">
        <v>1010</v>
      </c>
      <c r="SJ59" s="8" t="s">
        <v>1012</v>
      </c>
      <c r="SK59" s="8" t="s">
        <v>1014</v>
      </c>
      <c r="SL59" s="8" t="s">
        <v>1017</v>
      </c>
      <c r="SM59" s="8" t="s">
        <v>1019</v>
      </c>
      <c r="SN59" s="8" t="s">
        <v>1021</v>
      </c>
      <c r="SO59" s="8" t="s">
        <v>1023</v>
      </c>
      <c r="SP59" s="8" t="s">
        <v>1025</v>
      </c>
      <c r="SQ59" s="8" t="s">
        <v>1027</v>
      </c>
      <c r="SR59" s="8" t="s">
        <v>1028</v>
      </c>
      <c r="SS59" s="8" t="s">
        <v>1030</v>
      </c>
      <c r="ST59" s="8" t="s">
        <v>1032</v>
      </c>
      <c r="SU59" s="8" t="s">
        <v>1033</v>
      </c>
      <c r="SV59" s="8" t="s">
        <v>1035</v>
      </c>
      <c r="SW59" s="8" t="s">
        <v>1037</v>
      </c>
      <c r="SX59" s="8" t="s">
        <v>1039</v>
      </c>
      <c r="SY59" s="8" t="s">
        <v>1040</v>
      </c>
      <c r="SZ59" s="8" t="s">
        <v>1042</v>
      </c>
      <c r="TA59" s="8" t="s">
        <v>1043</v>
      </c>
      <c r="TB59" s="8" t="s">
        <v>1045</v>
      </c>
      <c r="TC59" s="8" t="s">
        <v>1046</v>
      </c>
      <c r="TD59" s="8" t="s">
        <v>1047</v>
      </c>
      <c r="TE59" s="8" t="s">
        <v>1049</v>
      </c>
      <c r="TF59" s="8" t="s">
        <v>1051</v>
      </c>
      <c r="TG59" s="8" t="s">
        <v>1053</v>
      </c>
      <c r="TH59" s="8" t="s">
        <v>1054</v>
      </c>
      <c r="TI59" s="8" t="s">
        <v>1056</v>
      </c>
      <c r="TJ59" s="8" t="s">
        <v>1057</v>
      </c>
      <c r="TK59" s="8" t="s">
        <v>1059</v>
      </c>
      <c r="TL59" s="8" t="s">
        <v>1060</v>
      </c>
      <c r="TM59" s="8" t="s">
        <v>1061</v>
      </c>
      <c r="TN59" s="8" t="s">
        <v>1063</v>
      </c>
      <c r="TO59" s="8" t="s">
        <v>1065</v>
      </c>
      <c r="TP59" s="8" t="s">
        <v>1067</v>
      </c>
      <c r="TQ59" s="8" t="s">
        <v>1068</v>
      </c>
      <c r="TR59" s="8" t="s">
        <v>1069</v>
      </c>
      <c r="TS59" s="8" t="s">
        <v>1070</v>
      </c>
      <c r="TT59" s="8" t="s">
        <v>1072</v>
      </c>
      <c r="TU59" s="8" t="s">
        <v>1073</v>
      </c>
      <c r="TV59" s="8" t="s">
        <v>1074</v>
      </c>
      <c r="TW59" s="8" t="s">
        <v>1075</v>
      </c>
      <c r="TX59" s="8" t="s">
        <v>1076</v>
      </c>
      <c r="TY59" s="8" t="s">
        <v>1077</v>
      </c>
      <c r="TZ59" s="8" t="s">
        <v>1078</v>
      </c>
      <c r="UA59" s="8" t="s">
        <v>1080</v>
      </c>
      <c r="UB59" s="8" t="s">
        <v>1082</v>
      </c>
      <c r="UC59" s="8" t="s">
        <v>1084</v>
      </c>
      <c r="UD59" s="8" t="s">
        <v>1086</v>
      </c>
      <c r="UE59" s="8" t="s">
        <v>1088</v>
      </c>
      <c r="UF59" s="8" t="s">
        <v>1090</v>
      </c>
      <c r="UG59" s="8" t="s">
        <v>1092</v>
      </c>
      <c r="UH59" s="8" t="s">
        <v>1094</v>
      </c>
      <c r="UI59" s="8" t="s">
        <v>1096</v>
      </c>
      <c r="UJ59" s="8" t="s">
        <v>1098</v>
      </c>
      <c r="UK59" s="8" t="s">
        <v>1101</v>
      </c>
      <c r="UL59" s="8" t="s">
        <v>1103</v>
      </c>
      <c r="UM59" s="8" t="s">
        <v>1105</v>
      </c>
      <c r="UN59" s="8" t="s">
        <v>1107</v>
      </c>
      <c r="UO59" s="8" t="s">
        <v>1109</v>
      </c>
      <c r="UP59" s="8" t="s">
        <v>1111</v>
      </c>
      <c r="UQ59" s="8" t="s">
        <v>1112</v>
      </c>
      <c r="UR59" s="8" t="s">
        <v>1114</v>
      </c>
      <c r="US59" s="8" t="s">
        <v>1116</v>
      </c>
      <c r="UT59" s="8" t="s">
        <v>1118</v>
      </c>
      <c r="UU59" s="8" t="s">
        <v>1120</v>
      </c>
      <c r="UV59" s="8" t="s">
        <v>1122</v>
      </c>
      <c r="UW59" s="8" t="s">
        <v>1124</v>
      </c>
      <c r="UX59" s="8" t="s">
        <v>1126</v>
      </c>
      <c r="UY59" s="8" t="s">
        <v>1128</v>
      </c>
      <c r="UZ59" s="8" t="s">
        <v>1130</v>
      </c>
      <c r="VA59" s="8" t="s">
        <v>1132</v>
      </c>
      <c r="VB59" s="8" t="s">
        <v>1134</v>
      </c>
      <c r="VC59" s="8" t="s">
        <v>1136</v>
      </c>
      <c r="VD59" s="8" t="s">
        <v>1138</v>
      </c>
      <c r="VE59" s="8" t="s">
        <v>1140</v>
      </c>
      <c r="VF59" s="8" t="s">
        <v>1142</v>
      </c>
      <c r="VG59" s="8" t="s">
        <v>1144</v>
      </c>
      <c r="VH59" s="8" t="s">
        <v>1146</v>
      </c>
      <c r="VI59" s="8" t="s">
        <v>1148</v>
      </c>
      <c r="VJ59" s="8" t="s">
        <v>1150</v>
      </c>
      <c r="VK59" s="8" t="s">
        <v>1151</v>
      </c>
      <c r="VL59" s="8" t="s">
        <v>1153</v>
      </c>
      <c r="VM59" s="8" t="s">
        <v>1155</v>
      </c>
      <c r="VN59" s="8" t="s">
        <v>1157</v>
      </c>
      <c r="VO59" s="8" t="s">
        <v>1158</v>
      </c>
      <c r="VP59" s="8" t="s">
        <v>1160</v>
      </c>
      <c r="VQ59" s="8" t="s">
        <v>1161</v>
      </c>
      <c r="VR59" s="8" t="s">
        <v>1162</v>
      </c>
      <c r="VS59" s="8" t="s">
        <v>1163</v>
      </c>
      <c r="VT59" s="8" t="s">
        <v>1165</v>
      </c>
      <c r="VU59" s="8" t="s">
        <v>1167</v>
      </c>
      <c r="VV59" s="8" t="s">
        <v>1169</v>
      </c>
      <c r="VW59" s="8" t="s">
        <v>1171</v>
      </c>
      <c r="VX59" s="8" t="s">
        <v>1172</v>
      </c>
      <c r="VY59" s="8" t="s">
        <v>1174</v>
      </c>
      <c r="VZ59" s="8" t="s">
        <v>1176</v>
      </c>
      <c r="WA59" s="8" t="s">
        <v>1178</v>
      </c>
      <c r="WB59" s="8" t="s">
        <v>1180</v>
      </c>
      <c r="WC59" s="8" t="s">
        <v>1182</v>
      </c>
      <c r="WD59" s="8" t="s">
        <v>1183</v>
      </c>
      <c r="WE59" s="8" t="s">
        <v>1185</v>
      </c>
      <c r="WF59" s="8" t="s">
        <v>1187</v>
      </c>
      <c r="WG59" s="8" t="s">
        <v>1189</v>
      </c>
      <c r="WH59" s="8" t="s">
        <v>1191</v>
      </c>
      <c r="WI59" s="8" t="s">
        <v>1193</v>
      </c>
      <c r="WJ59" s="8" t="s">
        <v>1195</v>
      </c>
      <c r="WK59" s="8" t="s">
        <v>1196</v>
      </c>
      <c r="WL59" s="8" t="s">
        <v>1198</v>
      </c>
      <c r="WM59" s="8" t="s">
        <v>1199</v>
      </c>
      <c r="WN59" s="8" t="s">
        <v>1201</v>
      </c>
      <c r="WO59" s="8" t="s">
        <v>1203</v>
      </c>
      <c r="WP59" s="8" t="s">
        <v>1204</v>
      </c>
      <c r="WQ59" s="8" t="s">
        <v>1206</v>
      </c>
      <c r="WR59" s="8" t="s">
        <v>1207</v>
      </c>
      <c r="WS59" s="8" t="s">
        <v>1209</v>
      </c>
      <c r="WT59" s="8" t="s">
        <v>1210</v>
      </c>
      <c r="WU59" s="8" t="s">
        <v>1212</v>
      </c>
      <c r="WV59" s="8" t="s">
        <v>1214</v>
      </c>
      <c r="WW59" s="8" t="s">
        <v>1216</v>
      </c>
      <c r="WX59" s="8" t="s">
        <v>1217</v>
      </c>
      <c r="WY59" s="8" t="s">
        <v>1219</v>
      </c>
      <c r="WZ59" s="8" t="s">
        <v>1221</v>
      </c>
      <c r="XA59" s="8" t="s">
        <v>1223</v>
      </c>
      <c r="XB59" s="8" t="s">
        <v>1224</v>
      </c>
      <c r="XC59" s="8" t="s">
        <v>1225</v>
      </c>
      <c r="XD59" s="8" t="s">
        <v>1226</v>
      </c>
      <c r="XE59" s="8" t="s">
        <v>1227</v>
      </c>
      <c r="XF59" s="8" t="s">
        <v>1229</v>
      </c>
      <c r="XG59" s="8" t="s">
        <v>1231</v>
      </c>
      <c r="XH59" s="8" t="s">
        <v>1233</v>
      </c>
      <c r="XI59" s="8" t="s">
        <v>1234</v>
      </c>
      <c r="XJ59" s="8" t="s">
        <v>1235</v>
      </c>
      <c r="XK59" s="8" t="s">
        <v>1237</v>
      </c>
      <c r="XL59" s="8" t="s">
        <v>1239</v>
      </c>
      <c r="XM59" s="8" t="s">
        <v>1241</v>
      </c>
      <c r="XN59" s="8" t="s">
        <v>1243</v>
      </c>
      <c r="XO59" s="8" t="s">
        <v>1245</v>
      </c>
      <c r="XP59" s="8" t="s">
        <v>1247</v>
      </c>
      <c r="XQ59" s="8" t="s">
        <v>1249</v>
      </c>
      <c r="XR59" s="8" t="s">
        <v>1251</v>
      </c>
      <c r="XS59" s="8" t="s">
        <v>1253</v>
      </c>
      <c r="XT59" s="8" t="s">
        <v>1255</v>
      </c>
      <c r="XU59" s="8" t="s">
        <v>1257</v>
      </c>
      <c r="XV59" s="8" t="s">
        <v>1259</v>
      </c>
      <c r="XW59" s="8" t="s">
        <v>1260</v>
      </c>
      <c r="XX59" s="8" t="s">
        <v>1261</v>
      </c>
      <c r="XY59" s="8" t="s">
        <v>1263</v>
      </c>
      <c r="XZ59" s="8" t="s">
        <v>1264</v>
      </c>
      <c r="YA59" s="8" t="s">
        <v>1266</v>
      </c>
      <c r="YB59" s="8" t="s">
        <v>1268</v>
      </c>
      <c r="YC59" s="8" t="s">
        <v>1270</v>
      </c>
      <c r="YD59" s="8" t="s">
        <v>1272</v>
      </c>
      <c r="YE59" s="8" t="s">
        <v>1274</v>
      </c>
      <c r="YF59" s="8" t="s">
        <v>1276</v>
      </c>
      <c r="YG59" s="8" t="s">
        <v>1279</v>
      </c>
      <c r="YH59" s="8" t="s">
        <v>1281</v>
      </c>
      <c r="YI59" s="8" t="s">
        <v>1283</v>
      </c>
      <c r="YJ59" s="8" t="s">
        <v>1285</v>
      </c>
      <c r="YK59" s="8" t="s">
        <v>1287</v>
      </c>
      <c r="YL59" s="8" t="s">
        <v>1288</v>
      </c>
      <c r="YM59" s="8" t="s">
        <v>1289</v>
      </c>
      <c r="YN59" s="8" t="s">
        <v>1290</v>
      </c>
      <c r="YO59" s="8" t="s">
        <v>1291</v>
      </c>
      <c r="YP59" s="8" t="s">
        <v>1293</v>
      </c>
      <c r="YQ59" s="8" t="s">
        <v>1294</v>
      </c>
      <c r="YR59" s="8" t="s">
        <v>1295</v>
      </c>
      <c r="YS59" s="8" t="s">
        <v>1297</v>
      </c>
      <c r="YT59" s="8" t="s">
        <v>1298</v>
      </c>
      <c r="YU59" s="8" t="s">
        <v>1300</v>
      </c>
      <c r="YV59" s="8" t="s">
        <v>1302</v>
      </c>
      <c r="YW59" s="8" t="s">
        <v>1304</v>
      </c>
      <c r="YX59" s="8" t="s">
        <v>1306</v>
      </c>
      <c r="YY59" s="8" t="s">
        <v>1307</v>
      </c>
      <c r="YZ59" s="8" t="s">
        <v>1309</v>
      </c>
      <c r="ZA59" s="8" t="s">
        <v>1311</v>
      </c>
      <c r="ZB59" s="8" t="s">
        <v>1313</v>
      </c>
      <c r="ZC59" s="8" t="s">
        <v>1315</v>
      </c>
      <c r="ZD59" s="8" t="s">
        <v>1316</v>
      </c>
      <c r="ZE59" s="8" t="s">
        <v>1317</v>
      </c>
      <c r="ZF59" s="8" t="s">
        <v>1319</v>
      </c>
      <c r="ZG59" s="8" t="s">
        <v>1321</v>
      </c>
      <c r="ZH59" s="8" t="s">
        <v>1323</v>
      </c>
      <c r="ZI59" s="8" t="s">
        <v>1325</v>
      </c>
      <c r="ZJ59" s="8" t="s">
        <v>1327</v>
      </c>
      <c r="ZK59" s="8" t="s">
        <v>1328</v>
      </c>
      <c r="ZL59" s="8" t="s">
        <v>1330</v>
      </c>
      <c r="ZM59" s="8" t="s">
        <v>1331</v>
      </c>
      <c r="ZN59" s="8" t="s">
        <v>1333</v>
      </c>
      <c r="ZO59" s="8" t="s">
        <v>1335</v>
      </c>
      <c r="ZP59" s="8" t="s">
        <v>1336</v>
      </c>
      <c r="ZQ59" s="8" t="s">
        <v>1337</v>
      </c>
      <c r="ZR59" s="8" t="s">
        <v>1339</v>
      </c>
      <c r="ZS59" s="8" t="s">
        <v>1340</v>
      </c>
      <c r="ZT59" s="8" t="s">
        <v>1341</v>
      </c>
      <c r="ZU59" s="8" t="s">
        <v>1342</v>
      </c>
      <c r="ZV59" s="8" t="s">
        <v>1344</v>
      </c>
      <c r="ZW59" s="8" t="s">
        <v>1345</v>
      </c>
      <c r="ZX59" s="8" t="s">
        <v>1346</v>
      </c>
      <c r="ZY59" s="8" t="s">
        <v>1348</v>
      </c>
      <c r="ZZ59" s="8" t="s">
        <v>1350</v>
      </c>
      <c r="AAA59" s="8" t="s">
        <v>1352</v>
      </c>
      <c r="AAB59" s="8" t="s">
        <v>1354</v>
      </c>
      <c r="AAC59" s="8" t="s">
        <v>1356</v>
      </c>
      <c r="AAD59" s="8" t="s">
        <v>1357</v>
      </c>
      <c r="AAE59" s="8" t="s">
        <v>1359</v>
      </c>
      <c r="AAF59" s="8" t="s">
        <v>1360</v>
      </c>
      <c r="AAG59" s="8" t="s">
        <v>1362</v>
      </c>
      <c r="AAH59" s="8" t="s">
        <v>1364</v>
      </c>
      <c r="AAI59" s="8" t="s">
        <v>1366</v>
      </c>
      <c r="AAJ59" s="8" t="s">
        <v>1368</v>
      </c>
      <c r="AAK59" s="8" t="s">
        <v>1370</v>
      </c>
      <c r="AAL59" s="8" t="s">
        <v>1371</v>
      </c>
      <c r="AAM59" s="8" t="s">
        <v>1373</v>
      </c>
      <c r="AAN59" s="8" t="s">
        <v>1375</v>
      </c>
      <c r="AAO59" s="8" t="s">
        <v>1376</v>
      </c>
      <c r="AAP59" s="8" t="s">
        <v>1378</v>
      </c>
      <c r="AAQ59" s="8" t="s">
        <v>1380</v>
      </c>
      <c r="AAR59" s="8" t="s">
        <v>1382</v>
      </c>
      <c r="AAS59" s="8" t="s">
        <v>1383</v>
      </c>
      <c r="AAT59" s="8" t="s">
        <v>1385</v>
      </c>
      <c r="AAU59" s="8" t="s">
        <v>1387</v>
      </c>
      <c r="AAV59" s="8" t="s">
        <v>1389</v>
      </c>
      <c r="AAW59" s="8" t="s">
        <v>1390</v>
      </c>
      <c r="AAX59" s="8" t="s">
        <v>1392</v>
      </c>
      <c r="AAY59" s="8" t="s">
        <v>1394</v>
      </c>
      <c r="AAZ59" s="8" t="s">
        <v>1396</v>
      </c>
      <c r="ABA59" s="8" t="s">
        <v>1398</v>
      </c>
      <c r="ABB59" s="8" t="s">
        <v>1400</v>
      </c>
      <c r="ABC59" s="8" t="s">
        <v>1401</v>
      </c>
      <c r="ABD59" s="8" t="s">
        <v>1403</v>
      </c>
      <c r="ABE59" s="8" t="s">
        <v>1405</v>
      </c>
      <c r="ABF59" s="8" t="s">
        <v>1406</v>
      </c>
      <c r="ABG59" s="8" t="s">
        <v>1408</v>
      </c>
      <c r="ABH59" s="8" t="s">
        <v>1410</v>
      </c>
      <c r="ABI59" s="8" t="s">
        <v>1412</v>
      </c>
      <c r="ABJ59" s="8" t="s">
        <v>1414</v>
      </c>
      <c r="ABK59" s="8" t="s">
        <v>1416</v>
      </c>
      <c r="ABL59" s="8" t="s">
        <v>1418</v>
      </c>
      <c r="ABM59" s="8" t="s">
        <v>1420</v>
      </c>
      <c r="ABN59" s="8" t="s">
        <v>1421</v>
      </c>
      <c r="ABO59" s="8" t="s">
        <v>1423</v>
      </c>
      <c r="ABP59" s="8" t="s">
        <v>1425</v>
      </c>
      <c r="ABQ59" s="8" t="s">
        <v>1427</v>
      </c>
      <c r="ABR59" s="8" t="s">
        <v>1429</v>
      </c>
      <c r="ABS59" s="8" t="s">
        <v>1431</v>
      </c>
      <c r="ABT59" s="8" t="s">
        <v>1432</v>
      </c>
      <c r="ABU59" s="8" t="s">
        <v>1433</v>
      </c>
      <c r="ABV59" s="8" t="s">
        <v>1434</v>
      </c>
      <c r="ABW59" s="8" t="s">
        <v>1436</v>
      </c>
      <c r="ABX59" s="8" t="s">
        <v>1437</v>
      </c>
      <c r="ABY59" s="8" t="s">
        <v>1439</v>
      </c>
      <c r="ABZ59" s="8" t="s">
        <v>1441</v>
      </c>
      <c r="ACA59" s="8" t="s">
        <v>1443</v>
      </c>
      <c r="ACB59" s="8" t="s">
        <v>1444</v>
      </c>
      <c r="ACC59" s="8" t="s">
        <v>1446</v>
      </c>
      <c r="ACD59" s="8" t="s">
        <v>1448</v>
      </c>
      <c r="ACE59" s="8" t="s">
        <v>1450</v>
      </c>
      <c r="ACF59" s="8" t="s">
        <v>1452</v>
      </c>
      <c r="ACG59" s="8" t="s">
        <v>1454</v>
      </c>
      <c r="ACH59" s="8" t="s">
        <v>1455</v>
      </c>
      <c r="ACI59" s="8" t="s">
        <v>1456</v>
      </c>
      <c r="ACJ59" s="8" t="s">
        <v>1458</v>
      </c>
      <c r="ACK59" s="8" t="s">
        <v>1459</v>
      </c>
      <c r="ACL59" s="8" t="s">
        <v>1460</v>
      </c>
      <c r="ACM59" s="8" t="s">
        <v>1461</v>
      </c>
      <c r="ACN59" s="8" t="s">
        <v>1463</v>
      </c>
      <c r="ACO59" s="8" t="s">
        <v>1465</v>
      </c>
      <c r="ACP59" s="8" t="s">
        <v>1467</v>
      </c>
      <c r="ACQ59" s="8" t="s">
        <v>1468</v>
      </c>
      <c r="ACR59" s="8" t="s">
        <v>1470</v>
      </c>
      <c r="ACS59" s="8" t="s">
        <v>1471</v>
      </c>
      <c r="ACT59" s="8" t="s">
        <v>1473</v>
      </c>
      <c r="ACU59" s="8" t="s">
        <v>1474</v>
      </c>
      <c r="ACV59" s="8" t="s">
        <v>1476</v>
      </c>
      <c r="ACW59" s="8" t="s">
        <v>1478</v>
      </c>
      <c r="ACX59" s="8" t="s">
        <v>1480</v>
      </c>
      <c r="ACY59" s="8" t="s">
        <v>1482</v>
      </c>
      <c r="ACZ59" s="8" t="s">
        <v>1483</v>
      </c>
      <c r="ADA59" s="8" t="s">
        <v>1485</v>
      </c>
      <c r="ADB59" s="8" t="s">
        <v>1487</v>
      </c>
      <c r="ADC59" s="8" t="s">
        <v>1489</v>
      </c>
      <c r="ADD59" s="8" t="s">
        <v>1490</v>
      </c>
      <c r="ADE59" s="8" t="s">
        <v>1492</v>
      </c>
      <c r="ADF59" s="8" t="s">
        <v>1493</v>
      </c>
      <c r="ADG59" s="8" t="s">
        <v>1494</v>
      </c>
      <c r="ADH59" s="8" t="s">
        <v>1496</v>
      </c>
      <c r="ADI59" s="8" t="s">
        <v>1498</v>
      </c>
      <c r="ADJ59" s="8" t="s">
        <v>1500</v>
      </c>
      <c r="ADK59" s="8" t="s">
        <v>1501</v>
      </c>
      <c r="ADL59" s="8" t="s">
        <v>1503</v>
      </c>
      <c r="ADM59" s="8" t="s">
        <v>1505</v>
      </c>
      <c r="ADN59" s="8" t="s">
        <v>1507</v>
      </c>
      <c r="ADO59" s="8" t="s">
        <v>1509</v>
      </c>
      <c r="ADP59" s="8" t="s">
        <v>1511</v>
      </c>
      <c r="ADQ59" s="8" t="s">
        <v>1512</v>
      </c>
      <c r="ADR59" s="8" t="s">
        <v>1514</v>
      </c>
      <c r="ADS59" s="8" t="s">
        <v>1516</v>
      </c>
      <c r="ADT59" s="8" t="s">
        <v>1518</v>
      </c>
      <c r="ADU59" s="8" t="s">
        <v>1519</v>
      </c>
      <c r="ADV59" s="8" t="s">
        <v>1521</v>
      </c>
      <c r="ADW59" s="8" t="s">
        <v>1523</v>
      </c>
      <c r="ADX59" s="8" t="s">
        <v>1525</v>
      </c>
      <c r="ADY59" s="8" t="s">
        <v>1527</v>
      </c>
      <c r="ADZ59" s="8" t="s">
        <v>1529</v>
      </c>
      <c r="AEA59" s="8" t="s">
        <v>1530</v>
      </c>
      <c r="AEB59" s="8" t="s">
        <v>1531</v>
      </c>
      <c r="AEC59" s="8" t="s">
        <v>1533</v>
      </c>
      <c r="AED59" s="8" t="s">
        <v>1534</v>
      </c>
      <c r="AEE59" s="8" t="s">
        <v>1536</v>
      </c>
      <c r="AEF59" s="8" t="s">
        <v>1537</v>
      </c>
      <c r="AEG59" s="8" t="s">
        <v>1539</v>
      </c>
      <c r="AEH59" s="8" t="s">
        <v>1540</v>
      </c>
      <c r="AEI59" s="8" t="s">
        <v>1541</v>
      </c>
      <c r="AEJ59" s="8" t="s">
        <v>1543</v>
      </c>
      <c r="AEK59" s="8" t="s">
        <v>1545</v>
      </c>
      <c r="AEL59" s="8" t="s">
        <v>1546</v>
      </c>
      <c r="AEM59" s="8" t="s">
        <v>1548</v>
      </c>
      <c r="AEN59" s="8" t="s">
        <v>1550</v>
      </c>
      <c r="AEO59" s="8" t="s">
        <v>1552</v>
      </c>
      <c r="AEP59" s="8" t="s">
        <v>1554</v>
      </c>
      <c r="AEQ59" s="8" t="s">
        <v>1555</v>
      </c>
      <c r="AER59" s="8" t="s">
        <v>1556</v>
      </c>
      <c r="AES59" s="8" t="s">
        <v>1557</v>
      </c>
      <c r="AET59" s="8" t="s">
        <v>1559</v>
      </c>
      <c r="AEU59" s="8" t="s">
        <v>1560</v>
      </c>
      <c r="AEV59" s="8" t="s">
        <v>1561</v>
      </c>
      <c r="AEW59" s="8" t="s">
        <v>1562</v>
      </c>
      <c r="AEX59" s="8" t="s">
        <v>1563</v>
      </c>
      <c r="AEY59" s="8" t="s">
        <v>1564</v>
      </c>
      <c r="AEZ59" s="8" t="s">
        <v>1566</v>
      </c>
      <c r="AFA59" s="8" t="s">
        <v>1568</v>
      </c>
      <c r="AFB59" s="8" t="s">
        <v>1570</v>
      </c>
      <c r="AFC59" s="8" t="s">
        <v>1571</v>
      </c>
      <c r="AFD59" s="8" t="s">
        <v>1573</v>
      </c>
      <c r="AFE59" s="8" t="s">
        <v>1574</v>
      </c>
      <c r="AFF59" s="8" t="s">
        <v>1576</v>
      </c>
      <c r="AFG59" s="8" t="s">
        <v>1577</v>
      </c>
      <c r="AFH59" s="8" t="s">
        <v>1578</v>
      </c>
      <c r="AFI59" s="8" t="s">
        <v>1580</v>
      </c>
      <c r="AFJ59" s="8" t="s">
        <v>1582</v>
      </c>
      <c r="AFK59" s="8" t="s">
        <v>1583</v>
      </c>
      <c r="AFL59" s="8" t="s">
        <v>1584</v>
      </c>
      <c r="AFM59" s="8" t="s">
        <v>1586</v>
      </c>
      <c r="AFN59" s="8" t="s">
        <v>1588</v>
      </c>
      <c r="AFO59" s="8" t="s">
        <v>1590</v>
      </c>
      <c r="AFP59" s="8" t="s">
        <v>1592</v>
      </c>
      <c r="AFQ59" s="8" t="s">
        <v>1593</v>
      </c>
      <c r="AFR59" s="8" t="s">
        <v>1595</v>
      </c>
      <c r="AFS59" s="8" t="s">
        <v>1597</v>
      </c>
      <c r="AFT59" s="8" t="s">
        <v>1599</v>
      </c>
      <c r="AFU59" s="8" t="s">
        <v>1601</v>
      </c>
      <c r="AFV59" s="8" t="s">
        <v>1602</v>
      </c>
      <c r="AFW59" s="8" t="s">
        <v>1603</v>
      </c>
      <c r="AFX59" s="8" t="s">
        <v>1605</v>
      </c>
      <c r="AFY59" s="8" t="s">
        <v>1606</v>
      </c>
      <c r="AFZ59" s="8" t="s">
        <v>1608</v>
      </c>
      <c r="AGA59" s="8" t="s">
        <v>1610</v>
      </c>
      <c r="AGB59" s="8" t="s">
        <v>1611</v>
      </c>
      <c r="AGC59" s="8" t="s">
        <v>1612</v>
      </c>
      <c r="AGD59" s="8" t="s">
        <v>1614</v>
      </c>
      <c r="AGE59" s="8" t="s">
        <v>1615</v>
      </c>
      <c r="AGF59" s="8" t="s">
        <v>1617</v>
      </c>
      <c r="AGG59" s="8" t="s">
        <v>1618</v>
      </c>
      <c r="AGH59" s="8" t="s">
        <v>1620</v>
      </c>
      <c r="AGI59" s="8" t="s">
        <v>1621</v>
      </c>
      <c r="AGJ59" s="8" t="s">
        <v>1623</v>
      </c>
      <c r="AGK59" s="8" t="s">
        <v>1624</v>
      </c>
      <c r="AGL59" s="8" t="s">
        <v>1625</v>
      </c>
      <c r="AGM59" s="8" t="s">
        <v>1627</v>
      </c>
      <c r="AGN59" s="8" t="s">
        <v>1629</v>
      </c>
      <c r="AGO59" s="8" t="s">
        <v>1631</v>
      </c>
      <c r="AGP59" s="8" t="s">
        <v>1632</v>
      </c>
      <c r="AGQ59" s="8" t="s">
        <v>1634</v>
      </c>
      <c r="AGR59" s="8" t="s">
        <v>1635</v>
      </c>
      <c r="AGS59" s="8" t="s">
        <v>1637</v>
      </c>
      <c r="AGT59" s="8" t="s">
        <v>1639</v>
      </c>
      <c r="AGU59" s="8" t="s">
        <v>1640</v>
      </c>
      <c r="AGV59" s="8" t="s">
        <v>1642</v>
      </c>
      <c r="AGW59" s="8" t="s">
        <v>1644</v>
      </c>
      <c r="AGX59" s="8" t="s">
        <v>1646</v>
      </c>
      <c r="AGY59" s="8" t="s">
        <v>1648</v>
      </c>
      <c r="AGZ59" s="8" t="s">
        <v>1649</v>
      </c>
      <c r="AHA59" s="8" t="s">
        <v>1650</v>
      </c>
      <c r="AHB59" s="8" t="s">
        <v>1652</v>
      </c>
      <c r="AHC59" s="8" t="s">
        <v>1654</v>
      </c>
      <c r="AHD59" s="8" t="s">
        <v>1656</v>
      </c>
      <c r="AHE59" s="8" t="s">
        <v>1657</v>
      </c>
      <c r="AHF59" s="8" t="s">
        <v>1659</v>
      </c>
      <c r="AHG59" s="8" t="s">
        <v>1661</v>
      </c>
      <c r="AHH59" s="8" t="s">
        <v>1663</v>
      </c>
      <c r="AHI59" s="8" t="s">
        <v>1665</v>
      </c>
      <c r="AHJ59" s="8" t="s">
        <v>1666</v>
      </c>
      <c r="AHK59" s="8" t="s">
        <v>1668</v>
      </c>
      <c r="AHL59" s="8" t="s">
        <v>1670</v>
      </c>
      <c r="AHM59" s="8" t="s">
        <v>1672</v>
      </c>
      <c r="AHN59" s="8" t="s">
        <v>1674</v>
      </c>
      <c r="AHO59" s="8" t="s">
        <v>1676</v>
      </c>
      <c r="AHP59" s="8" t="s">
        <v>1677</v>
      </c>
      <c r="AHQ59" s="8" t="s">
        <v>1679</v>
      </c>
      <c r="AHR59" s="8" t="s">
        <v>1681</v>
      </c>
      <c r="AHS59" s="8" t="s">
        <v>1683</v>
      </c>
      <c r="AHT59" s="8" t="s">
        <v>1684</v>
      </c>
      <c r="AHU59" s="8" t="s">
        <v>1686</v>
      </c>
      <c r="AHV59" s="8" t="s">
        <v>1687</v>
      </c>
      <c r="AHW59" s="8" t="s">
        <v>1688</v>
      </c>
      <c r="AHX59" s="8" t="s">
        <v>1690</v>
      </c>
      <c r="AHY59" s="8" t="s">
        <v>1692</v>
      </c>
      <c r="AHZ59" s="8" t="s">
        <v>1694</v>
      </c>
      <c r="AIA59" s="8" t="s">
        <v>1696</v>
      </c>
      <c r="AIB59" s="8" t="s">
        <v>1698</v>
      </c>
      <c r="AIC59" s="8" t="s">
        <v>1700</v>
      </c>
      <c r="AID59" s="8" t="s">
        <v>1702</v>
      </c>
      <c r="AIE59" s="8" t="s">
        <v>1704</v>
      </c>
      <c r="AIF59" s="8" t="s">
        <v>1706</v>
      </c>
      <c r="AIG59" s="8" t="s">
        <v>1707</v>
      </c>
      <c r="AIH59" s="8" t="s">
        <v>1708</v>
      </c>
      <c r="AII59" s="8" t="s">
        <v>1710</v>
      </c>
      <c r="AIJ59" s="8" t="s">
        <v>1711</v>
      </c>
      <c r="AIK59" s="8" t="s">
        <v>1713</v>
      </c>
      <c r="AIL59" s="8" t="s">
        <v>1715</v>
      </c>
      <c r="AIM59" s="8" t="s">
        <v>1717</v>
      </c>
      <c r="AIN59" s="8" t="s">
        <v>1718</v>
      </c>
      <c r="AIO59" s="8" t="s">
        <v>1719</v>
      </c>
      <c r="AIP59" s="8" t="s">
        <v>1720</v>
      </c>
      <c r="AIQ59" s="8" t="s">
        <v>1721</v>
      </c>
      <c r="AIR59" s="8" t="s">
        <v>1723</v>
      </c>
      <c r="AIS59" s="8" t="s">
        <v>1725</v>
      </c>
      <c r="AIT59" s="8" t="s">
        <v>1726</v>
      </c>
      <c r="AIU59" s="8" t="s">
        <v>1727</v>
      </c>
      <c r="AIV59" s="8" t="s">
        <v>1728</v>
      </c>
      <c r="AIW59" s="8" t="s">
        <v>1730</v>
      </c>
      <c r="AIX59" s="8" t="s">
        <v>1731</v>
      </c>
      <c r="AIY59" s="8" t="s">
        <v>1733</v>
      </c>
      <c r="AIZ59" s="8" t="s">
        <v>1735</v>
      </c>
      <c r="AJA59" s="8" t="s">
        <v>1736</v>
      </c>
      <c r="AJB59" s="8" t="s">
        <v>1738</v>
      </c>
      <c r="AJC59" s="8" t="s">
        <v>1740</v>
      </c>
      <c r="AJD59" s="8" t="s">
        <v>1742</v>
      </c>
      <c r="AJE59" s="8" t="s">
        <v>1744</v>
      </c>
      <c r="AJF59" s="8" t="s">
        <v>1745</v>
      </c>
      <c r="AJG59" s="8" t="s">
        <v>1746</v>
      </c>
      <c r="AJH59" s="8" t="s">
        <v>1748</v>
      </c>
      <c r="AJI59" s="8" t="s">
        <v>1749</v>
      </c>
      <c r="AJJ59" s="8" t="s">
        <v>1750</v>
      </c>
      <c r="AJK59" s="8" t="s">
        <v>1752</v>
      </c>
      <c r="AJL59" s="8" t="s">
        <v>1753</v>
      </c>
      <c r="AJM59" s="8" t="s">
        <v>1755</v>
      </c>
      <c r="AJN59" s="8" t="s">
        <v>1757</v>
      </c>
      <c r="AJO59" s="8" t="s">
        <v>1758</v>
      </c>
      <c r="AJP59" s="8" t="s">
        <v>1759</v>
      </c>
      <c r="AJQ59" s="8" t="s">
        <v>1760</v>
      </c>
      <c r="AJR59" s="8" t="s">
        <v>1762</v>
      </c>
      <c r="AJS59" s="8" t="s">
        <v>1764</v>
      </c>
      <c r="AJT59" s="8" t="s">
        <v>1765</v>
      </c>
      <c r="AJU59" s="8" t="s">
        <v>1766</v>
      </c>
      <c r="AJV59" s="8" t="s">
        <v>1768</v>
      </c>
      <c r="AJW59" s="8" t="s">
        <v>1769</v>
      </c>
      <c r="AJX59" s="8" t="s">
        <v>1771</v>
      </c>
      <c r="AJY59" s="8" t="s">
        <v>1772</v>
      </c>
      <c r="AJZ59" s="8" t="s">
        <v>1773</v>
      </c>
      <c r="AKA59" s="8" t="s">
        <v>1774</v>
      </c>
      <c r="AKB59" s="8" t="s">
        <v>1776</v>
      </c>
      <c r="AKC59" s="8" t="s">
        <v>1777</v>
      </c>
      <c r="AKD59" s="8" t="s">
        <v>1778</v>
      </c>
      <c r="AKE59" s="8" t="s">
        <v>1780</v>
      </c>
      <c r="AKF59" s="8" t="s">
        <v>1781</v>
      </c>
      <c r="AKG59" s="8" t="s">
        <v>1783</v>
      </c>
      <c r="AKH59" s="8" t="s">
        <v>1785</v>
      </c>
      <c r="AKI59" s="8" t="s">
        <v>1786</v>
      </c>
      <c r="AKJ59" s="8" t="s">
        <v>1788</v>
      </c>
      <c r="AKK59" s="8" t="s">
        <v>1789</v>
      </c>
      <c r="AKL59" s="8" t="s">
        <v>1790</v>
      </c>
      <c r="AKM59" s="8" t="s">
        <v>1792</v>
      </c>
      <c r="AKN59" s="8" t="s">
        <v>1793</v>
      </c>
      <c r="AKO59" s="8" t="s">
        <v>1794</v>
      </c>
      <c r="AKP59" s="8" t="s">
        <v>1795</v>
      </c>
      <c r="AKQ59" s="8" t="s">
        <v>1797</v>
      </c>
      <c r="AKR59" s="8" t="s">
        <v>1799</v>
      </c>
      <c r="AKS59" s="8" t="s">
        <v>1801</v>
      </c>
      <c r="AKT59" s="8" t="s">
        <v>1803</v>
      </c>
      <c r="AKU59" s="8" t="s">
        <v>1805</v>
      </c>
      <c r="AKV59" s="8" t="s">
        <v>1806</v>
      </c>
      <c r="AKW59" s="8" t="s">
        <v>1807</v>
      </c>
      <c r="AKX59" s="8" t="s">
        <v>1809</v>
      </c>
      <c r="AKY59" s="8" t="s">
        <v>1811</v>
      </c>
      <c r="AKZ59" s="8" t="s">
        <v>1813</v>
      </c>
      <c r="ALA59" s="8" t="s">
        <v>1814</v>
      </c>
      <c r="ALB59" s="8" t="s">
        <v>1816</v>
      </c>
      <c r="ALC59" s="8" t="s">
        <v>1817</v>
      </c>
      <c r="ALD59" s="8" t="s">
        <v>1818</v>
      </c>
      <c r="ALE59" s="8" t="s">
        <v>1820</v>
      </c>
      <c r="ALF59" s="8" t="s">
        <v>1821</v>
      </c>
      <c r="ALG59" s="8" t="s">
        <v>1822</v>
      </c>
      <c r="ALH59" s="8" t="s">
        <v>1824</v>
      </c>
      <c r="ALI59" s="8" t="s">
        <v>1826</v>
      </c>
      <c r="ALJ59" s="8" t="s">
        <v>1827</v>
      </c>
      <c r="ALK59" s="8" t="s">
        <v>1828</v>
      </c>
      <c r="ALL59" s="8" t="s">
        <v>1829</v>
      </c>
      <c r="ALM59" s="8" t="s">
        <v>1830</v>
      </c>
      <c r="ALN59" s="8" t="s">
        <v>1832</v>
      </c>
      <c r="ALO59" s="8" t="s">
        <v>1834</v>
      </c>
      <c r="ALP59" s="8" t="s">
        <v>1835</v>
      </c>
      <c r="ALQ59" s="8" t="s">
        <v>1836</v>
      </c>
      <c r="ALR59" s="8" t="s">
        <v>1837</v>
      </c>
      <c r="ALS59" s="8" t="s">
        <v>1838</v>
      </c>
      <c r="ALT59" s="8" t="s">
        <v>1839</v>
      </c>
      <c r="ALU59" s="8" t="s">
        <v>1840</v>
      </c>
      <c r="ALV59" s="8" t="s">
        <v>1842</v>
      </c>
      <c r="ALW59" s="8" t="s">
        <v>1843</v>
      </c>
      <c r="ALX59" s="8" t="s">
        <v>1845</v>
      </c>
      <c r="ALY59" s="8" t="s">
        <v>1847</v>
      </c>
      <c r="ALZ59" s="8" t="s">
        <v>1848</v>
      </c>
      <c r="AMA59" s="8" t="s">
        <v>1849</v>
      </c>
      <c r="AMB59" s="8" t="s">
        <v>1851</v>
      </c>
      <c r="AMC59" s="8" t="s">
        <v>1852</v>
      </c>
      <c r="AMD59" s="8" t="s">
        <v>1853</v>
      </c>
      <c r="AME59" s="8" t="s">
        <v>1854</v>
      </c>
      <c r="AMF59" s="8" t="s">
        <v>1856</v>
      </c>
      <c r="AMG59" s="8" t="s">
        <v>1858</v>
      </c>
      <c r="AMH59" s="8" t="s">
        <v>1859</v>
      </c>
      <c r="AMI59" s="8" t="s">
        <v>1860</v>
      </c>
      <c r="AMJ59" s="8" t="s">
        <v>1861</v>
      </c>
      <c r="AMK59" s="8" t="s">
        <v>1863</v>
      </c>
      <c r="AML59" s="8" t="s">
        <v>1864</v>
      </c>
      <c r="AMM59" s="8" t="s">
        <v>1865</v>
      </c>
      <c r="AMN59" s="8" t="s">
        <v>1867</v>
      </c>
      <c r="AMO59" s="8" t="s">
        <v>1869</v>
      </c>
      <c r="AMP59" s="8" t="s">
        <v>1870</v>
      </c>
      <c r="AMQ59" s="8" t="s">
        <v>1871</v>
      </c>
      <c r="AMR59" s="8" t="s">
        <v>1873</v>
      </c>
      <c r="AMS59" s="8" t="s">
        <v>1874</v>
      </c>
      <c r="AMT59" s="8" t="s">
        <v>1876</v>
      </c>
      <c r="AMU59" s="8" t="s">
        <v>1877</v>
      </c>
      <c r="AMV59" s="8" t="s">
        <v>1878</v>
      </c>
      <c r="AMW59" s="8" t="s">
        <v>1880</v>
      </c>
      <c r="AMX59" s="8" t="s">
        <v>1881</v>
      </c>
      <c r="AMY59" s="8" t="s">
        <v>1882</v>
      </c>
      <c r="AMZ59" s="8" t="s">
        <v>1884</v>
      </c>
      <c r="ANA59" s="8" t="s">
        <v>1886</v>
      </c>
      <c r="ANB59" s="8" t="s">
        <v>1887</v>
      </c>
      <c r="ANC59" s="8" t="s">
        <v>1889</v>
      </c>
      <c r="AND59" s="8" t="s">
        <v>1891</v>
      </c>
      <c r="ANE59" s="8" t="s">
        <v>1893</v>
      </c>
      <c r="ANF59" s="8" t="s">
        <v>1894</v>
      </c>
      <c r="ANG59" s="8" t="s">
        <v>1895</v>
      </c>
      <c r="ANH59" s="8" t="s">
        <v>1897</v>
      </c>
      <c r="ANI59" s="8" t="s">
        <v>1898</v>
      </c>
      <c r="ANJ59" s="8" t="s">
        <v>1899</v>
      </c>
      <c r="ANK59" s="8" t="s">
        <v>1901</v>
      </c>
      <c r="ANL59" s="8" t="s">
        <v>1903</v>
      </c>
      <c r="ANM59" s="8" t="s">
        <v>1904</v>
      </c>
      <c r="ANN59" s="8" t="s">
        <v>1905</v>
      </c>
      <c r="ANO59" s="8" t="s">
        <v>1906</v>
      </c>
      <c r="ANP59" s="8" t="s">
        <v>1907</v>
      </c>
      <c r="ANQ59" s="8" t="s">
        <v>1908</v>
      </c>
      <c r="ANR59" s="8" t="s">
        <v>1909</v>
      </c>
      <c r="ANS59" s="8" t="s">
        <v>1911</v>
      </c>
      <c r="ANT59" s="8" t="s">
        <v>1913</v>
      </c>
      <c r="ANU59" s="8" t="s">
        <v>1914</v>
      </c>
      <c r="ANV59" s="8" t="s">
        <v>1916</v>
      </c>
      <c r="ANW59" s="8" t="s">
        <v>1918</v>
      </c>
      <c r="ANX59" s="8" t="s">
        <v>1920</v>
      </c>
      <c r="ANY59" s="8" t="s">
        <v>1922</v>
      </c>
      <c r="ANZ59" s="8" t="s">
        <v>1924</v>
      </c>
      <c r="AOA59" s="8" t="s">
        <v>1925</v>
      </c>
      <c r="AOB59" s="8" t="s">
        <v>1927</v>
      </c>
      <c r="AOC59" s="8" t="s">
        <v>1929</v>
      </c>
      <c r="AOD59" s="8" t="s">
        <v>1930</v>
      </c>
      <c r="AOE59" s="8" t="s">
        <v>1932</v>
      </c>
      <c r="AOF59" s="8" t="s">
        <v>1933</v>
      </c>
      <c r="AOG59" s="8" t="s">
        <v>1935</v>
      </c>
      <c r="AOH59" s="8" t="s">
        <v>1937</v>
      </c>
      <c r="AOI59" s="8" t="s">
        <v>1939</v>
      </c>
      <c r="AOJ59" s="8" t="s">
        <v>1940</v>
      </c>
      <c r="AOK59" s="8" t="s">
        <v>1941</v>
      </c>
      <c r="AOL59" s="8" t="s">
        <v>1943</v>
      </c>
      <c r="AOM59" s="8" t="s">
        <v>1944</v>
      </c>
      <c r="AON59" s="8" t="s">
        <v>1945</v>
      </c>
      <c r="AOO59" s="8" t="s">
        <v>1946</v>
      </c>
      <c r="AOP59" s="8" t="s">
        <v>1948</v>
      </c>
      <c r="AOQ59" s="8" t="s">
        <v>1949</v>
      </c>
      <c r="AOR59" s="8" t="s">
        <v>1950</v>
      </c>
      <c r="AOS59" s="8" t="s">
        <v>1952</v>
      </c>
      <c r="AOT59" s="8" t="s">
        <v>1954</v>
      </c>
      <c r="AOU59" s="8" t="s">
        <v>1956</v>
      </c>
      <c r="AOV59" s="8" t="s">
        <v>1957</v>
      </c>
      <c r="AOW59" s="8" t="s">
        <v>1958</v>
      </c>
      <c r="AOX59" s="8" t="s">
        <v>1960</v>
      </c>
      <c r="AOY59" s="8" t="s">
        <v>1961</v>
      </c>
      <c r="AOZ59" s="8" t="s">
        <v>1962</v>
      </c>
      <c r="APA59" s="8" t="s">
        <v>1963</v>
      </c>
      <c r="APB59" s="8" t="s">
        <v>1964</v>
      </c>
      <c r="APC59" s="8" t="s">
        <v>1965</v>
      </c>
      <c r="APD59" s="8" t="s">
        <v>1967</v>
      </c>
      <c r="APE59" s="8" t="s">
        <v>1968</v>
      </c>
      <c r="APF59" s="8" t="s">
        <v>1970</v>
      </c>
      <c r="APG59" s="8" t="s">
        <v>1971</v>
      </c>
      <c r="APH59" s="8" t="s">
        <v>1972</v>
      </c>
      <c r="API59" s="8" t="s">
        <v>1973</v>
      </c>
      <c r="APJ59" s="8" t="s">
        <v>1975</v>
      </c>
      <c r="APK59" s="8" t="s">
        <v>1977</v>
      </c>
      <c r="APL59" s="8" t="s">
        <v>1978</v>
      </c>
      <c r="APM59" s="8" t="s">
        <v>1980</v>
      </c>
      <c r="APN59" s="8" t="s">
        <v>1981</v>
      </c>
      <c r="APO59" s="8" t="s">
        <v>1983</v>
      </c>
      <c r="APP59" s="8" t="s">
        <v>1984</v>
      </c>
      <c r="APQ59" s="8" t="s">
        <v>1985</v>
      </c>
      <c r="APR59" s="8" t="s">
        <v>1986</v>
      </c>
      <c r="APS59" s="8" t="s">
        <v>1987</v>
      </c>
      <c r="APT59" s="8" t="s">
        <v>1989</v>
      </c>
      <c r="APU59" s="8" t="s">
        <v>1990</v>
      </c>
      <c r="APV59" s="8" t="s">
        <v>1992</v>
      </c>
      <c r="APW59" s="8" t="s">
        <v>1994</v>
      </c>
      <c r="APX59" s="8" t="s">
        <v>1996</v>
      </c>
      <c r="APY59" s="8" t="s">
        <v>1998</v>
      </c>
      <c r="APZ59" s="8" t="s">
        <v>2000</v>
      </c>
      <c r="AQA59" s="8" t="s">
        <v>2001</v>
      </c>
      <c r="AQB59" s="8" t="s">
        <v>2003</v>
      </c>
      <c r="AQC59" s="8" t="s">
        <v>2005</v>
      </c>
      <c r="AQD59" s="8" t="s">
        <v>2006</v>
      </c>
      <c r="AQE59" s="8" t="s">
        <v>2008</v>
      </c>
      <c r="AQF59" s="8" t="s">
        <v>2010</v>
      </c>
      <c r="AQG59" s="8" t="s">
        <v>2012</v>
      </c>
      <c r="AQH59" s="8" t="s">
        <v>2014</v>
      </c>
      <c r="AQI59" s="8" t="s">
        <v>2015</v>
      </c>
      <c r="AQJ59" s="8" t="s">
        <v>2017</v>
      </c>
      <c r="AQK59" s="8" t="s">
        <v>2018</v>
      </c>
      <c r="AQL59" s="8" t="s">
        <v>2019</v>
      </c>
      <c r="AQM59" s="8" t="s">
        <v>2021</v>
      </c>
      <c r="AQN59" s="8" t="s">
        <v>2023</v>
      </c>
      <c r="AQO59" s="8" t="s">
        <v>2025</v>
      </c>
      <c r="AQP59" s="8" t="s">
        <v>2027</v>
      </c>
      <c r="AQQ59" s="8" t="s">
        <v>2029</v>
      </c>
      <c r="AQR59" s="8" t="s">
        <v>2031</v>
      </c>
      <c r="AQS59" s="8" t="s">
        <v>2032</v>
      </c>
      <c r="AQT59" s="8" t="s">
        <v>2035</v>
      </c>
      <c r="AQU59" s="8" t="s">
        <v>2037</v>
      </c>
      <c r="AQV59" s="8" t="s">
        <v>2038</v>
      </c>
      <c r="AQW59" s="8" t="s">
        <v>2039</v>
      </c>
      <c r="AQX59" s="8" t="s">
        <v>2040</v>
      </c>
      <c r="AQY59" s="8" t="s">
        <v>2041</v>
      </c>
      <c r="AQZ59" s="8" t="s">
        <v>2043</v>
      </c>
      <c r="ARA59" s="8" t="s">
        <v>2045</v>
      </c>
      <c r="ARB59" s="8" t="s">
        <v>2046</v>
      </c>
      <c r="ARC59" s="8" t="s">
        <v>2048</v>
      </c>
      <c r="ARD59" s="8" t="s">
        <v>2049</v>
      </c>
      <c r="ARE59" s="8" t="s">
        <v>2050</v>
      </c>
      <c r="ARF59" s="8" t="s">
        <v>2051</v>
      </c>
      <c r="ARG59" s="8" t="s">
        <v>2053</v>
      </c>
      <c r="ARH59" s="8" t="s">
        <v>2054</v>
      </c>
      <c r="ARI59" s="8" t="s">
        <v>2055</v>
      </c>
      <c r="ARJ59" s="8" t="s">
        <v>2057</v>
      </c>
      <c r="ARK59" s="8" t="s">
        <v>2058</v>
      </c>
      <c r="ARL59" s="8" t="s">
        <v>2060</v>
      </c>
      <c r="ARM59" s="8" t="s">
        <v>2061</v>
      </c>
      <c r="ARN59" s="8" t="s">
        <v>2063</v>
      </c>
      <c r="ARO59" s="8" t="s">
        <v>2065</v>
      </c>
      <c r="ARP59" s="8" t="s">
        <v>2066</v>
      </c>
      <c r="ARQ59" s="8" t="s">
        <v>2068</v>
      </c>
      <c r="ARR59" s="8" t="s">
        <v>2069</v>
      </c>
      <c r="ARS59" s="8" t="s">
        <v>2071</v>
      </c>
      <c r="ART59" s="8" t="s">
        <v>2072</v>
      </c>
      <c r="ARU59" s="8" t="s">
        <v>2074</v>
      </c>
      <c r="ARV59" s="8" t="s">
        <v>2076</v>
      </c>
      <c r="ARW59" s="8" t="s">
        <v>2078</v>
      </c>
      <c r="ARX59" s="8" t="s">
        <v>2080</v>
      </c>
      <c r="ARY59" s="8" t="s">
        <v>2082</v>
      </c>
      <c r="ARZ59" s="8" t="s">
        <v>2084</v>
      </c>
      <c r="ASA59" s="8" t="s">
        <v>2085</v>
      </c>
      <c r="ASB59" s="8" t="s">
        <v>2087</v>
      </c>
      <c r="ASC59" s="8" t="s">
        <v>2088</v>
      </c>
      <c r="ASD59" s="8" t="s">
        <v>2090</v>
      </c>
      <c r="ASE59" s="8" t="s">
        <v>2091</v>
      </c>
      <c r="ASF59" s="8" t="s">
        <v>2092</v>
      </c>
      <c r="ASG59" s="8" t="s">
        <v>2094</v>
      </c>
      <c r="ASH59" s="8" t="s">
        <v>2096</v>
      </c>
      <c r="ASI59" s="8" t="s">
        <v>2097</v>
      </c>
      <c r="ASJ59" s="8" t="s">
        <v>2099</v>
      </c>
      <c r="ASK59" s="8" t="s">
        <v>2101</v>
      </c>
      <c r="ASL59" s="8" t="s">
        <v>2103</v>
      </c>
      <c r="ASM59" s="8" t="s">
        <v>2104</v>
      </c>
      <c r="ASN59" s="8" t="s">
        <v>2105</v>
      </c>
      <c r="ASO59" s="8" t="s">
        <v>2106</v>
      </c>
      <c r="ASP59" s="8" t="s">
        <v>2107</v>
      </c>
      <c r="ASQ59" s="8" t="s">
        <v>2109</v>
      </c>
      <c r="ASR59" s="8" t="s">
        <v>2111</v>
      </c>
      <c r="ASS59" s="8" t="s">
        <v>2112</v>
      </c>
      <c r="AST59" s="8" t="s">
        <v>2113</v>
      </c>
      <c r="ASU59" s="8" t="s">
        <v>2114</v>
      </c>
      <c r="ASV59" s="8" t="s">
        <v>2115</v>
      </c>
      <c r="ASW59" s="8" t="s">
        <v>2116</v>
      </c>
      <c r="ASX59" s="8" t="s">
        <v>2117</v>
      </c>
      <c r="ASY59" s="8" t="s">
        <v>2118</v>
      </c>
      <c r="ASZ59" s="8" t="s">
        <v>2120</v>
      </c>
      <c r="ATA59" s="8" t="s">
        <v>2122</v>
      </c>
      <c r="ATB59" s="8" t="s">
        <v>2124</v>
      </c>
      <c r="ATC59" s="8" t="s">
        <v>2125</v>
      </c>
      <c r="ATD59" s="8" t="s">
        <v>2126</v>
      </c>
      <c r="ATE59" s="8" t="s">
        <v>2127</v>
      </c>
      <c r="ATF59" s="8" t="s">
        <v>2128</v>
      </c>
      <c r="ATG59" s="8" t="s">
        <v>2129</v>
      </c>
      <c r="ATH59" s="8" t="s">
        <v>2130</v>
      </c>
      <c r="ATI59" s="8" t="s">
        <v>2131</v>
      </c>
      <c r="ATJ59" s="8" t="s">
        <v>2132</v>
      </c>
      <c r="ATK59" s="8" t="s">
        <v>2133</v>
      </c>
      <c r="ATL59" s="8" t="s">
        <v>2135</v>
      </c>
      <c r="ATM59" s="8" t="s">
        <v>2136</v>
      </c>
      <c r="ATN59" s="8" t="s">
        <v>2137</v>
      </c>
      <c r="ATO59" s="8" t="s">
        <v>2138</v>
      </c>
      <c r="ATP59" s="8" t="s">
        <v>2140</v>
      </c>
      <c r="ATQ59" s="8" t="s">
        <v>2141</v>
      </c>
      <c r="ATR59" s="8" t="s">
        <v>2143</v>
      </c>
      <c r="ATS59" s="8" t="s">
        <v>2145</v>
      </c>
      <c r="ATT59" s="8" t="s">
        <v>2146</v>
      </c>
      <c r="ATU59" s="8" t="s">
        <v>2147</v>
      </c>
      <c r="ATV59" s="8" t="s">
        <v>2148</v>
      </c>
      <c r="ATW59" s="8" t="s">
        <v>2149</v>
      </c>
      <c r="ATX59" s="8" t="s">
        <v>2150</v>
      </c>
      <c r="ATY59" s="8" t="s">
        <v>2152</v>
      </c>
      <c r="ATZ59" s="8" t="s">
        <v>2153</v>
      </c>
      <c r="AUA59" s="8" t="s">
        <v>2154</v>
      </c>
      <c r="AUB59" s="8" t="s">
        <v>2155</v>
      </c>
      <c r="AUC59" s="8" t="s">
        <v>2156</v>
      </c>
      <c r="AUD59" s="8" t="s">
        <v>2158</v>
      </c>
      <c r="AUE59" s="8" t="s">
        <v>2159</v>
      </c>
      <c r="AUF59" s="8" t="s">
        <v>2160</v>
      </c>
      <c r="AUG59" s="8" t="s">
        <v>2161</v>
      </c>
      <c r="AUH59" s="8" t="s">
        <v>2162</v>
      </c>
      <c r="AUI59" s="8" t="s">
        <v>2164</v>
      </c>
      <c r="AUJ59" s="8" t="s">
        <v>2165</v>
      </c>
      <c r="AUK59" s="8" t="s">
        <v>2167</v>
      </c>
      <c r="AUL59" s="8" t="s">
        <v>2168</v>
      </c>
      <c r="AUM59" s="8" t="s">
        <v>2169</v>
      </c>
      <c r="AUN59" s="8" t="s">
        <v>2170</v>
      </c>
      <c r="AUO59" s="8" t="s">
        <v>2172</v>
      </c>
      <c r="AUP59" s="8" t="s">
        <v>2174</v>
      </c>
      <c r="AUQ59" s="8" t="s">
        <v>2176</v>
      </c>
      <c r="AUR59" s="8" t="s">
        <v>2178</v>
      </c>
      <c r="AUS59" s="8" t="s">
        <v>2179</v>
      </c>
      <c r="AUT59" s="8" t="s">
        <v>2181</v>
      </c>
      <c r="AUU59" s="8" t="s">
        <v>2182</v>
      </c>
      <c r="AUV59" s="8" t="s">
        <v>2183</v>
      </c>
      <c r="AUW59" s="8" t="s">
        <v>2184</v>
      </c>
      <c r="AUX59" s="8" t="s">
        <v>2186</v>
      </c>
      <c r="AUY59" s="8" t="s">
        <v>2187</v>
      </c>
      <c r="AUZ59" s="8" t="s">
        <v>2188</v>
      </c>
      <c r="AVA59" s="8" t="s">
        <v>2190</v>
      </c>
      <c r="AVB59" s="8" t="s">
        <v>2191</v>
      </c>
      <c r="AVC59" s="8" t="s">
        <v>2193</v>
      </c>
      <c r="AVD59" s="8" t="s">
        <v>2194</v>
      </c>
      <c r="AVE59" s="8" t="s">
        <v>2196</v>
      </c>
      <c r="AVF59" s="8" t="s">
        <v>2197</v>
      </c>
      <c r="AVG59" s="8" t="s">
        <v>2199</v>
      </c>
      <c r="AVH59" s="8" t="s">
        <v>2201</v>
      </c>
      <c r="AVI59" s="8" t="s">
        <v>2202</v>
      </c>
      <c r="AVJ59" s="8" t="s">
        <v>2204</v>
      </c>
      <c r="AVK59" s="8" t="s">
        <v>2206</v>
      </c>
      <c r="AVL59" s="8" t="s">
        <v>2208</v>
      </c>
      <c r="AVM59" s="8" t="s">
        <v>2209</v>
      </c>
      <c r="AVN59" s="8" t="s">
        <v>2211</v>
      </c>
      <c r="AVO59" s="8" t="s">
        <v>2213</v>
      </c>
      <c r="AVP59" s="8" t="s">
        <v>2215</v>
      </c>
      <c r="AVQ59" s="8" t="s">
        <v>2217</v>
      </c>
      <c r="AVR59" s="8" t="s">
        <v>2219</v>
      </c>
      <c r="AVS59" s="8" t="s">
        <v>2221</v>
      </c>
      <c r="AVT59" s="8" t="s">
        <v>2223</v>
      </c>
      <c r="AVU59" s="8" t="s">
        <v>2225</v>
      </c>
      <c r="AVV59" s="8" t="s">
        <v>2226</v>
      </c>
      <c r="AVW59" s="8" t="s">
        <v>2228</v>
      </c>
      <c r="AVX59" s="8" t="s">
        <v>2230</v>
      </c>
      <c r="AVY59" s="8" t="s">
        <v>2231</v>
      </c>
      <c r="AVZ59" s="8" t="s">
        <v>2233</v>
      </c>
      <c r="AWA59" s="8" t="s">
        <v>2234</v>
      </c>
      <c r="AWB59" s="8" t="s">
        <v>2236</v>
      </c>
      <c r="AWC59" s="8" t="s">
        <v>2237</v>
      </c>
      <c r="AWD59" s="8" t="s">
        <v>2238</v>
      </c>
      <c r="AWE59" s="8" t="s">
        <v>2239</v>
      </c>
      <c r="AWF59" s="8" t="s">
        <v>2240</v>
      </c>
      <c r="AWG59" s="8" t="s">
        <v>2242</v>
      </c>
      <c r="AWH59" s="8" t="s">
        <v>2243</v>
      </c>
      <c r="AWI59" s="8" t="s">
        <v>2245</v>
      </c>
      <c r="AWJ59" s="8" t="s">
        <v>2246</v>
      </c>
      <c r="AWK59" s="8" t="s">
        <v>2248</v>
      </c>
      <c r="AWL59" s="8" t="s">
        <v>2250</v>
      </c>
      <c r="AWM59" s="8" t="s">
        <v>2252</v>
      </c>
      <c r="AWN59" s="8" t="s">
        <v>2254</v>
      </c>
      <c r="AWO59" s="8" t="s">
        <v>2255</v>
      </c>
      <c r="AWP59" s="8" t="s">
        <v>2257</v>
      </c>
      <c r="AWQ59" s="8" t="s">
        <v>2259</v>
      </c>
      <c r="AWR59" s="8" t="s">
        <v>2260</v>
      </c>
      <c r="AWS59" s="8" t="s">
        <v>2261</v>
      </c>
      <c r="AWT59" s="8" t="s">
        <v>2262</v>
      </c>
      <c r="AWU59" s="8" t="s">
        <v>2264</v>
      </c>
      <c r="AWV59" s="8" t="s">
        <v>2265</v>
      </c>
      <c r="AWW59" s="8" t="s">
        <v>2266</v>
      </c>
      <c r="AWX59" s="8" t="s">
        <v>2268</v>
      </c>
      <c r="AWY59" s="8" t="s">
        <v>2270</v>
      </c>
      <c r="AWZ59" s="8" t="s">
        <v>2271</v>
      </c>
      <c r="AXA59" s="8" t="s">
        <v>2272</v>
      </c>
      <c r="AXB59" s="8" t="s">
        <v>2274</v>
      </c>
      <c r="AXC59" s="8" t="s">
        <v>2275</v>
      </c>
      <c r="AXD59" s="8" t="s">
        <v>2276</v>
      </c>
      <c r="AXE59" s="8" t="s">
        <v>2278</v>
      </c>
      <c r="AXF59" s="8" t="s">
        <v>2280</v>
      </c>
      <c r="AXG59" s="8" t="s">
        <v>2281</v>
      </c>
      <c r="AXH59" s="8" t="s">
        <v>2283</v>
      </c>
      <c r="AXI59" s="8" t="s">
        <v>2285</v>
      </c>
      <c r="AXJ59" s="8" t="s">
        <v>2287</v>
      </c>
      <c r="AXK59" s="8" t="s">
        <v>2289</v>
      </c>
      <c r="AXL59" s="8" t="s">
        <v>2291</v>
      </c>
      <c r="AXM59" s="8" t="s">
        <v>2293</v>
      </c>
      <c r="AXN59" s="8" t="s">
        <v>2294</v>
      </c>
      <c r="AXO59" s="8" t="s">
        <v>2296</v>
      </c>
      <c r="AXP59" s="8" t="s">
        <v>2297</v>
      </c>
      <c r="AXQ59" s="8" t="s">
        <v>2299</v>
      </c>
      <c r="AXR59" s="8" t="s">
        <v>2300</v>
      </c>
      <c r="AXS59" s="8" t="s">
        <v>2301</v>
      </c>
      <c r="AXT59" s="8" t="s">
        <v>2303</v>
      </c>
      <c r="AXU59" s="8" t="s">
        <v>2305</v>
      </c>
      <c r="AXV59" s="8" t="s">
        <v>2306</v>
      </c>
      <c r="AXW59" s="8" t="s">
        <v>2307</v>
      </c>
      <c r="AXX59" s="8" t="s">
        <v>2308</v>
      </c>
      <c r="AXY59" s="8" t="s">
        <v>2310</v>
      </c>
      <c r="AXZ59" s="8" t="s">
        <v>2312</v>
      </c>
      <c r="AYA59" s="8" t="s">
        <v>2314</v>
      </c>
      <c r="AYB59" s="8" t="s">
        <v>2316</v>
      </c>
      <c r="AYC59" s="8" t="s">
        <v>2318</v>
      </c>
      <c r="AYD59" s="8" t="s">
        <v>2320</v>
      </c>
      <c r="AYE59" s="8" t="s">
        <v>2321</v>
      </c>
      <c r="AYF59" s="8" t="s">
        <v>2322</v>
      </c>
      <c r="AYG59" s="8" t="s">
        <v>2324</v>
      </c>
      <c r="AYH59" s="8" t="s">
        <v>2325</v>
      </c>
      <c r="AYI59" s="8" t="s">
        <v>2327</v>
      </c>
      <c r="AYJ59" s="8" t="s">
        <v>2328</v>
      </c>
      <c r="AYK59" s="8" t="s">
        <v>2329</v>
      </c>
      <c r="AYL59" s="8" t="s">
        <v>2330</v>
      </c>
      <c r="AYM59" s="8" t="s">
        <v>2331</v>
      </c>
      <c r="AYN59" s="8" t="s">
        <v>2332</v>
      </c>
      <c r="AYO59" s="8" t="s">
        <v>2334</v>
      </c>
      <c r="AYP59" s="8" t="s">
        <v>2335</v>
      </c>
      <c r="AYQ59" s="8" t="s">
        <v>2336</v>
      </c>
      <c r="AYR59" s="8" t="s">
        <v>2338</v>
      </c>
      <c r="AYS59" s="8" t="s">
        <v>2340</v>
      </c>
      <c r="AYT59" s="8" t="s">
        <v>2342</v>
      </c>
      <c r="AYU59" s="8" t="s">
        <v>2344</v>
      </c>
      <c r="AYV59" s="8" t="s">
        <v>2346</v>
      </c>
      <c r="AYW59" s="8" t="s">
        <v>2348</v>
      </c>
      <c r="AYX59" s="8" t="s">
        <v>2350</v>
      </c>
      <c r="AYY59" s="8" t="s">
        <v>2352</v>
      </c>
      <c r="AYZ59" s="8" t="s">
        <v>2354</v>
      </c>
      <c r="AZA59" s="8" t="s">
        <v>2355</v>
      </c>
      <c r="AZB59" s="8" t="s">
        <v>2357</v>
      </c>
      <c r="AZC59" s="8" t="s">
        <v>2358</v>
      </c>
      <c r="AZD59" s="8" t="s">
        <v>2359</v>
      </c>
      <c r="AZE59" s="8" t="s">
        <v>2361</v>
      </c>
      <c r="AZF59" s="8" t="s">
        <v>2362</v>
      </c>
      <c r="AZG59" s="8" t="s">
        <v>2364</v>
      </c>
      <c r="AZH59" s="8" t="s">
        <v>2365</v>
      </c>
      <c r="AZI59" s="8" t="s">
        <v>2367</v>
      </c>
      <c r="AZJ59" s="8" t="s">
        <v>2369</v>
      </c>
      <c r="AZK59" s="8" t="s">
        <v>2371</v>
      </c>
      <c r="AZL59" s="8" t="s">
        <v>2372</v>
      </c>
      <c r="AZM59" s="8" t="s">
        <v>2374</v>
      </c>
      <c r="AZN59" s="8" t="s">
        <v>2376</v>
      </c>
      <c r="AZO59" s="8" t="s">
        <v>2377</v>
      </c>
      <c r="AZP59" s="8" t="s">
        <v>2379</v>
      </c>
      <c r="AZQ59" s="8" t="s">
        <v>2380</v>
      </c>
      <c r="AZR59" s="8" t="s">
        <v>2381</v>
      </c>
      <c r="AZS59" s="8" t="s">
        <v>2383</v>
      </c>
      <c r="AZT59" s="8" t="s">
        <v>2384</v>
      </c>
      <c r="AZU59" s="8" t="s">
        <v>2385</v>
      </c>
      <c r="AZV59" s="8" t="s">
        <v>2386</v>
      </c>
      <c r="AZW59" s="8" t="s">
        <v>2387</v>
      </c>
      <c r="AZX59" s="8" t="s">
        <v>2388</v>
      </c>
      <c r="AZY59" s="8" t="s">
        <v>2389</v>
      </c>
      <c r="AZZ59" s="8" t="s">
        <v>2391</v>
      </c>
      <c r="BAA59" s="8" t="s">
        <v>2392</v>
      </c>
      <c r="BAB59" s="8" t="s">
        <v>2393</v>
      </c>
      <c r="BAC59" s="8" t="s">
        <v>2395</v>
      </c>
      <c r="BAD59" s="8" t="s">
        <v>2397</v>
      </c>
      <c r="BAE59" s="8" t="s">
        <v>2398</v>
      </c>
      <c r="BAF59" s="8" t="s">
        <v>2399</v>
      </c>
      <c r="BAG59" s="8" t="s">
        <v>2400</v>
      </c>
      <c r="BAH59" s="8" t="s">
        <v>2402</v>
      </c>
      <c r="BAI59" s="8" t="s">
        <v>2403</v>
      </c>
      <c r="BAJ59" s="8" t="s">
        <v>2405</v>
      </c>
      <c r="BAK59" s="8" t="s">
        <v>2406</v>
      </c>
      <c r="BAL59" s="8" t="s">
        <v>2407</v>
      </c>
      <c r="BAM59" s="8" t="s">
        <v>2409</v>
      </c>
      <c r="BAN59" s="8" t="s">
        <v>2411</v>
      </c>
      <c r="BAO59" s="8" t="s">
        <v>2413</v>
      </c>
      <c r="BAP59" s="8" t="s">
        <v>2414</v>
      </c>
      <c r="BAQ59" s="8" t="s">
        <v>2415</v>
      </c>
      <c r="BAR59" s="8" t="s">
        <v>2417</v>
      </c>
      <c r="BAS59" s="8" t="s">
        <v>2419</v>
      </c>
      <c r="BAT59" s="8" t="s">
        <v>2421</v>
      </c>
      <c r="BAU59" s="8" t="s">
        <v>2422</v>
      </c>
      <c r="BAV59" s="8" t="s">
        <v>2423</v>
      </c>
      <c r="BAW59" s="8" t="s">
        <v>2424</v>
      </c>
      <c r="BAX59" s="8" t="s">
        <v>2426</v>
      </c>
      <c r="BAY59" s="8" t="s">
        <v>2428</v>
      </c>
      <c r="BAZ59" s="8" t="s">
        <v>2430</v>
      </c>
      <c r="BBA59" s="8" t="s">
        <v>2432</v>
      </c>
      <c r="BBB59" s="8" t="s">
        <v>2434</v>
      </c>
      <c r="BBC59" s="8" t="s">
        <v>2435</v>
      </c>
      <c r="BBD59" s="8" t="s">
        <v>2436</v>
      </c>
      <c r="BBE59" s="8" t="s">
        <v>2437</v>
      </c>
      <c r="BBF59" s="8" t="s">
        <v>2438</v>
      </c>
      <c r="BBG59" s="8" t="s">
        <v>2439</v>
      </c>
      <c r="BBH59" s="8" t="s">
        <v>2441</v>
      </c>
      <c r="BBI59" s="8" t="s">
        <v>2442</v>
      </c>
      <c r="BBJ59" s="8" t="s">
        <v>2444</v>
      </c>
      <c r="BBK59" s="8" t="s">
        <v>2445</v>
      </c>
      <c r="BBL59" s="8" t="s">
        <v>2446</v>
      </c>
      <c r="BBM59" s="8" t="s">
        <v>2447</v>
      </c>
      <c r="BBN59" s="8" t="s">
        <v>2449</v>
      </c>
      <c r="BBO59" s="8" t="s">
        <v>2451</v>
      </c>
      <c r="BBP59" s="8" t="s">
        <v>2452</v>
      </c>
      <c r="BBQ59" s="8" t="s">
        <v>2454</v>
      </c>
      <c r="BBR59" s="8" t="s">
        <v>2455</v>
      </c>
      <c r="BBS59" s="8" t="s">
        <v>2457</v>
      </c>
      <c r="BBT59" s="8" t="s">
        <v>2458</v>
      </c>
      <c r="BBU59" s="8" t="s">
        <v>2459</v>
      </c>
      <c r="BBV59" s="8" t="s">
        <v>2460</v>
      </c>
      <c r="BBW59" s="8" t="s">
        <v>2462</v>
      </c>
      <c r="BBX59" s="8" t="s">
        <v>2463</v>
      </c>
      <c r="BBY59" s="8" t="s">
        <v>2465</v>
      </c>
      <c r="BBZ59" s="8" t="s">
        <v>2467</v>
      </c>
      <c r="BCA59" s="8" t="s">
        <v>2469</v>
      </c>
      <c r="BCB59" s="8" t="s">
        <v>2470</v>
      </c>
      <c r="BCC59" s="8" t="s">
        <v>2472</v>
      </c>
      <c r="BCD59" s="8" t="s">
        <v>2473</v>
      </c>
      <c r="BCE59" s="8" t="s">
        <v>2474</v>
      </c>
      <c r="BCF59" s="8" t="s">
        <v>2476</v>
      </c>
      <c r="BCG59" s="8" t="s">
        <v>2477</v>
      </c>
      <c r="BCH59" s="8" t="s">
        <v>2479</v>
      </c>
      <c r="BCI59" s="8" t="s">
        <v>2481</v>
      </c>
      <c r="BCJ59" s="8" t="s">
        <v>2482</v>
      </c>
      <c r="BCK59" s="8" t="s">
        <v>2483</v>
      </c>
      <c r="BCL59" s="8" t="s">
        <v>2484</v>
      </c>
      <c r="BCM59" s="8" t="s">
        <v>2485</v>
      </c>
      <c r="BCN59" s="8" t="s">
        <v>2487</v>
      </c>
      <c r="BCO59" s="8" t="s">
        <v>2489</v>
      </c>
      <c r="BCP59" s="8" t="s">
        <v>2490</v>
      </c>
      <c r="BCQ59" s="8" t="s">
        <v>2491</v>
      </c>
      <c r="BCR59" s="8" t="s">
        <v>2493</v>
      </c>
      <c r="BCS59" s="8" t="s">
        <v>2494</v>
      </c>
      <c r="BCT59" s="8" t="s">
        <v>2495</v>
      </c>
      <c r="BCU59" s="8" t="s">
        <v>2497</v>
      </c>
      <c r="BCV59" s="8" t="s">
        <v>2498</v>
      </c>
      <c r="BCW59" s="8" t="s">
        <v>2500</v>
      </c>
      <c r="BCX59" s="8" t="s">
        <v>2502</v>
      </c>
      <c r="BCY59" s="8" t="s">
        <v>2503</v>
      </c>
      <c r="BCZ59" s="8" t="s">
        <v>2505</v>
      </c>
      <c r="BDA59" s="8" t="s">
        <v>2506</v>
      </c>
      <c r="BDB59" s="8" t="s">
        <v>2508</v>
      </c>
      <c r="BDC59" s="8" t="s">
        <v>2510</v>
      </c>
      <c r="BDD59" s="8" t="s">
        <v>2512</v>
      </c>
      <c r="BDE59" s="8" t="s">
        <v>2513</v>
      </c>
      <c r="BDF59" s="8" t="s">
        <v>2514</v>
      </c>
      <c r="BDG59" s="8" t="s">
        <v>2515</v>
      </c>
      <c r="BDH59" s="8" t="s">
        <v>2516</v>
      </c>
      <c r="BDI59" s="8" t="s">
        <v>2517</v>
      </c>
      <c r="BDJ59" s="8" t="s">
        <v>2519</v>
      </c>
      <c r="BDK59" s="8" t="s">
        <v>2521</v>
      </c>
      <c r="BDL59" s="8" t="s">
        <v>2522</v>
      </c>
      <c r="BDM59" s="8" t="s">
        <v>2524</v>
      </c>
      <c r="BDN59" s="8" t="s">
        <v>2525</v>
      </c>
      <c r="BDO59" s="8" t="s">
        <v>2526</v>
      </c>
      <c r="BDP59" s="8" t="s">
        <v>2527</v>
      </c>
      <c r="BDQ59" s="8" t="s">
        <v>2529</v>
      </c>
      <c r="BDR59" s="8" t="s">
        <v>2530</v>
      </c>
      <c r="BDS59" s="8" t="s">
        <v>2531</v>
      </c>
      <c r="BDT59" s="8" t="s">
        <v>2533</v>
      </c>
      <c r="BDU59" s="8" t="s">
        <v>2534</v>
      </c>
      <c r="BDV59" s="8" t="s">
        <v>2535</v>
      </c>
      <c r="BDW59" s="8" t="s">
        <v>2537</v>
      </c>
      <c r="BDX59" s="8" t="s">
        <v>2538</v>
      </c>
      <c r="BDY59" s="8" t="s">
        <v>2539</v>
      </c>
      <c r="BDZ59" s="8" t="s">
        <v>2541</v>
      </c>
      <c r="BEA59" s="8" t="s">
        <v>2543</v>
      </c>
      <c r="BEB59" s="8" t="s">
        <v>2544</v>
      </c>
      <c r="BEC59" s="8" t="s">
        <v>2546</v>
      </c>
      <c r="BED59" s="8" t="s">
        <v>2548</v>
      </c>
      <c r="BEE59" s="8" t="s">
        <v>2549</v>
      </c>
      <c r="BEF59" s="8" t="s">
        <v>2551</v>
      </c>
      <c r="BEG59" s="8" t="s">
        <v>2553</v>
      </c>
      <c r="BEH59" s="8" t="s">
        <v>2554</v>
      </c>
      <c r="BEI59" s="8" t="s">
        <v>2556</v>
      </c>
      <c r="BEJ59" s="8" t="s">
        <v>2558</v>
      </c>
      <c r="BEK59" s="8" t="s">
        <v>2559</v>
      </c>
      <c r="BEL59" s="8" t="s">
        <v>2560</v>
      </c>
      <c r="BEM59" s="8" t="s">
        <v>2562</v>
      </c>
      <c r="BEN59" s="8" t="s">
        <v>2563</v>
      </c>
      <c r="BEO59" s="8" t="s">
        <v>2565</v>
      </c>
      <c r="BEP59" s="8" t="s">
        <v>2566</v>
      </c>
      <c r="BEQ59" s="8" t="s">
        <v>2568</v>
      </c>
      <c r="BER59" s="8" t="s">
        <v>2570</v>
      </c>
      <c r="BES59" s="8" t="s">
        <v>2571</v>
      </c>
      <c r="BET59" s="8" t="s">
        <v>2572</v>
      </c>
      <c r="BEU59" s="8" t="s">
        <v>2573</v>
      </c>
      <c r="BEV59" s="8" t="s">
        <v>2574</v>
      </c>
      <c r="BEW59" s="8" t="s">
        <v>2575</v>
      </c>
      <c r="BEX59" s="8" t="s">
        <v>2576</v>
      </c>
      <c r="BEY59" s="8" t="s">
        <v>2577</v>
      </c>
      <c r="BEZ59" s="8" t="s">
        <v>2578</v>
      </c>
      <c r="BFA59" s="8" t="s">
        <v>2579</v>
      </c>
      <c r="BFB59" s="8" t="s">
        <v>2580</v>
      </c>
      <c r="BFC59" s="8" t="s">
        <v>2582</v>
      </c>
      <c r="BFD59" s="8" t="s">
        <v>2584</v>
      </c>
      <c r="BFE59" s="8" t="s">
        <v>2586</v>
      </c>
      <c r="BFF59" s="8" t="s">
        <v>2588</v>
      </c>
      <c r="BFG59" s="8" t="s">
        <v>2589</v>
      </c>
      <c r="BFH59" s="8" t="s">
        <v>2590</v>
      </c>
      <c r="BFI59" s="8" t="s">
        <v>2592</v>
      </c>
      <c r="BFJ59" s="8" t="s">
        <v>2593</v>
      </c>
      <c r="BFK59" s="8" t="s">
        <v>2594</v>
      </c>
      <c r="BFL59" s="8" t="s">
        <v>2596</v>
      </c>
      <c r="BFM59" s="8" t="s">
        <v>2597</v>
      </c>
      <c r="BFN59" s="8" t="s">
        <v>2598</v>
      </c>
      <c r="BFO59" s="8" t="s">
        <v>2599</v>
      </c>
      <c r="BFP59" s="8" t="s">
        <v>2601</v>
      </c>
      <c r="BFQ59" s="8" t="s">
        <v>2603</v>
      </c>
      <c r="BFR59" s="8" t="s">
        <v>2604</v>
      </c>
      <c r="BFS59" s="8" t="s">
        <v>2605</v>
      </c>
      <c r="BFT59" s="8" t="s">
        <v>2606</v>
      </c>
      <c r="BFU59" s="8" t="s">
        <v>2607</v>
      </c>
      <c r="BFV59" s="8" t="s">
        <v>2609</v>
      </c>
      <c r="BFW59" s="8" t="s">
        <v>2611</v>
      </c>
      <c r="BFX59" s="8" t="s">
        <v>2612</v>
      </c>
      <c r="BFY59" s="8" t="s">
        <v>2614</v>
      </c>
      <c r="BFZ59" s="8" t="s">
        <v>2615</v>
      </c>
      <c r="BGA59" s="8" t="s">
        <v>2616</v>
      </c>
      <c r="BGB59" s="8" t="s">
        <v>2617</v>
      </c>
      <c r="BGC59" s="8" t="s">
        <v>2618</v>
      </c>
      <c r="BGD59" s="8" t="s">
        <v>2620</v>
      </c>
      <c r="BGE59" s="8" t="s">
        <v>2621</v>
      </c>
      <c r="BGF59" s="8" t="s">
        <v>2622</v>
      </c>
      <c r="BGG59" s="8" t="s">
        <v>2624</v>
      </c>
      <c r="BGH59" s="8" t="s">
        <v>2625</v>
      </c>
      <c r="BGI59" s="8" t="s">
        <v>2627</v>
      </c>
      <c r="BGJ59" s="8" t="s">
        <v>2628</v>
      </c>
      <c r="BGK59" s="8" t="s">
        <v>2629</v>
      </c>
      <c r="BGL59" s="8" t="s">
        <v>2630</v>
      </c>
      <c r="BGM59" s="8" t="s">
        <v>2631</v>
      </c>
      <c r="BGN59" s="8" t="s">
        <v>2633</v>
      </c>
      <c r="BGO59" s="8" t="s">
        <v>2635</v>
      </c>
      <c r="BGP59" s="8" t="s">
        <v>2636</v>
      </c>
      <c r="BGQ59" s="8" t="s">
        <v>2637</v>
      </c>
      <c r="BGR59" s="8" t="s">
        <v>2638</v>
      </c>
      <c r="BGS59" s="8" t="s">
        <v>2640</v>
      </c>
      <c r="BGT59" s="8" t="s">
        <v>2642</v>
      </c>
      <c r="BGU59" s="8" t="s">
        <v>2643</v>
      </c>
      <c r="BGV59" s="8" t="s">
        <v>2644</v>
      </c>
      <c r="BGW59" s="8" t="s">
        <v>2646</v>
      </c>
      <c r="BGX59" s="8" t="s">
        <v>2647</v>
      </c>
      <c r="BGY59" s="8" t="s">
        <v>2648</v>
      </c>
      <c r="BGZ59" s="8" t="s">
        <v>2650</v>
      </c>
      <c r="BHA59" s="8" t="s">
        <v>2651</v>
      </c>
      <c r="BHB59" s="8" t="s">
        <v>2652</v>
      </c>
      <c r="BHC59" s="8" t="s">
        <v>2654</v>
      </c>
      <c r="BHD59" s="8" t="s">
        <v>2655</v>
      </c>
      <c r="BHE59" s="8" t="s">
        <v>2657</v>
      </c>
      <c r="BHF59" s="8" t="s">
        <v>2658</v>
      </c>
      <c r="BHG59" s="8" t="s">
        <v>2660</v>
      </c>
      <c r="BHH59" s="8" t="s">
        <v>2661</v>
      </c>
      <c r="BHI59" s="8" t="s">
        <v>2662</v>
      </c>
      <c r="BHJ59" s="8" t="s">
        <v>2663</v>
      </c>
      <c r="BHK59" s="8" t="s">
        <v>2664</v>
      </c>
      <c r="BHL59" s="8" t="s">
        <v>2666</v>
      </c>
      <c r="BHM59" s="8" t="s">
        <v>2667</v>
      </c>
      <c r="BHN59" s="8" t="s">
        <v>2669</v>
      </c>
      <c r="BHO59" s="8" t="s">
        <v>2671</v>
      </c>
      <c r="BHP59" s="8" t="s">
        <v>2673</v>
      </c>
      <c r="BHQ59" s="8" t="s">
        <v>2674</v>
      </c>
      <c r="BHR59" s="8" t="s">
        <v>2675</v>
      </c>
      <c r="BHS59" s="8" t="s">
        <v>2676</v>
      </c>
      <c r="BHT59" s="8" t="s">
        <v>2678</v>
      </c>
      <c r="BHU59" s="8" t="s">
        <v>2679</v>
      </c>
      <c r="BHV59" s="8" t="s">
        <v>2681</v>
      </c>
      <c r="BHW59" s="8" t="s">
        <v>2682</v>
      </c>
      <c r="BHX59" s="8" t="s">
        <v>2683</v>
      </c>
      <c r="BHY59" s="8" t="s">
        <v>2685</v>
      </c>
      <c r="BHZ59" s="8" t="s">
        <v>2686</v>
      </c>
      <c r="BIA59" s="8" t="s">
        <v>2687</v>
      </c>
      <c r="BIB59" s="8" t="s">
        <v>2688</v>
      </c>
      <c r="BIC59" s="8" t="s">
        <v>2689</v>
      </c>
      <c r="BID59" s="8" t="s">
        <v>2691</v>
      </c>
      <c r="BIE59" s="8" t="s">
        <v>2692</v>
      </c>
      <c r="BIF59" s="8" t="s">
        <v>2694</v>
      </c>
      <c r="BIG59" s="8" t="s">
        <v>2696</v>
      </c>
      <c r="BIH59" s="8" t="s">
        <v>2698</v>
      </c>
      <c r="BII59" s="8" t="s">
        <v>2699</v>
      </c>
      <c r="BIJ59" s="8" t="s">
        <v>2701</v>
      </c>
      <c r="BIK59" s="8" t="s">
        <v>2703</v>
      </c>
      <c r="BIL59" s="8" t="s">
        <v>2705</v>
      </c>
      <c r="BIM59" s="8" t="s">
        <v>2706</v>
      </c>
      <c r="BIN59" s="8" t="s">
        <v>2708</v>
      </c>
      <c r="BIO59" s="8" t="s">
        <v>2710</v>
      </c>
      <c r="BIP59" s="8" t="s">
        <v>2711</v>
      </c>
      <c r="BIQ59" s="8" t="s">
        <v>2712</v>
      </c>
      <c r="BIR59" s="8" t="s">
        <v>2713</v>
      </c>
      <c r="BIS59" s="8" t="s">
        <v>2714</v>
      </c>
      <c r="BIT59" s="8" t="s">
        <v>2716</v>
      </c>
      <c r="BIU59" s="8" t="s">
        <v>2718</v>
      </c>
      <c r="BIV59" s="8" t="s">
        <v>2719</v>
      </c>
      <c r="BIW59" s="8" t="s">
        <v>2721</v>
      </c>
      <c r="BIX59" s="8" t="s">
        <v>2723</v>
      </c>
      <c r="BIY59" s="8" t="s">
        <v>2725</v>
      </c>
      <c r="BIZ59" s="8" t="s">
        <v>2726</v>
      </c>
      <c r="BJA59" s="8" t="s">
        <v>2727</v>
      </c>
      <c r="BJB59" s="8" t="s">
        <v>2729</v>
      </c>
      <c r="BJC59" s="8" t="s">
        <v>2730</v>
      </c>
      <c r="BJD59" s="8" t="s">
        <v>2731</v>
      </c>
      <c r="BJE59" s="8" t="s">
        <v>2732</v>
      </c>
      <c r="BJF59" s="8" t="s">
        <v>2734</v>
      </c>
      <c r="BJG59" s="8" t="s">
        <v>2735</v>
      </c>
      <c r="BJH59" s="8" t="s">
        <v>2737</v>
      </c>
      <c r="BJI59" s="8" t="s">
        <v>2738</v>
      </c>
      <c r="BJJ59" s="8" t="s">
        <v>2739</v>
      </c>
      <c r="BJK59" s="8" t="s">
        <v>2740</v>
      </c>
      <c r="BJL59" s="8" t="s">
        <v>2741</v>
      </c>
      <c r="BJM59" s="8" t="s">
        <v>2742</v>
      </c>
      <c r="BJN59" s="8" t="s">
        <v>2743</v>
      </c>
      <c r="BJO59" s="8" t="s">
        <v>2745</v>
      </c>
      <c r="BJP59" s="8" t="s">
        <v>2746</v>
      </c>
      <c r="BJQ59" s="8" t="s">
        <v>2747</v>
      </c>
      <c r="BJR59" s="8" t="s">
        <v>2748</v>
      </c>
      <c r="BJS59" s="8" t="s">
        <v>2749</v>
      </c>
      <c r="BJT59" s="8" t="s">
        <v>2751</v>
      </c>
      <c r="BJU59" s="8" t="s">
        <v>2753</v>
      </c>
      <c r="BJV59" s="8" t="s">
        <v>2754</v>
      </c>
      <c r="BJW59" s="8" t="s">
        <v>2755</v>
      </c>
      <c r="BJX59" s="8" t="s">
        <v>2756</v>
      </c>
      <c r="BJY59" s="8" t="s">
        <v>2757</v>
      </c>
      <c r="BJZ59" s="8" t="s">
        <v>2758</v>
      </c>
      <c r="BKA59" s="8" t="s">
        <v>2760</v>
      </c>
      <c r="BKB59" s="8" t="s">
        <v>2761</v>
      </c>
      <c r="BKC59" s="8" t="s">
        <v>2762</v>
      </c>
      <c r="BKD59" s="8" t="s">
        <v>2763</v>
      </c>
      <c r="BKE59" s="8" t="s">
        <v>2764</v>
      </c>
      <c r="BKF59" s="8" t="s">
        <v>2765</v>
      </c>
      <c r="BKG59" s="8" t="s">
        <v>2766</v>
      </c>
      <c r="BKH59" s="8" t="s">
        <v>2767</v>
      </c>
      <c r="BKI59" s="8" t="s">
        <v>2769</v>
      </c>
      <c r="BKJ59" s="8" t="s">
        <v>2770</v>
      </c>
      <c r="BKK59" s="8" t="s">
        <v>2771</v>
      </c>
      <c r="BKL59" s="8" t="s">
        <v>2772</v>
      </c>
      <c r="BKM59" s="8" t="s">
        <v>2773</v>
      </c>
      <c r="BKN59" s="8" t="s">
        <v>2774</v>
      </c>
      <c r="BKO59" s="8" t="s">
        <v>2775</v>
      </c>
      <c r="BKP59" s="8" t="s">
        <v>2776</v>
      </c>
      <c r="BKQ59" s="8" t="s">
        <v>2777</v>
      </c>
      <c r="BKR59" s="8" t="s">
        <v>2778</v>
      </c>
      <c r="BKS59" s="8" t="s">
        <v>2779</v>
      </c>
      <c r="BKT59" s="8" t="s">
        <v>2780</v>
      </c>
      <c r="BKU59" s="8" t="s">
        <v>2781</v>
      </c>
      <c r="BKV59" s="8" t="s">
        <v>2782</v>
      </c>
      <c r="BKW59" s="8" t="s">
        <v>2783</v>
      </c>
      <c r="BKX59" s="8" t="s">
        <v>2784</v>
      </c>
      <c r="BKY59" s="8" t="s">
        <v>2785</v>
      </c>
      <c r="BKZ59" s="8" t="s">
        <v>2786</v>
      </c>
      <c r="BLA59" s="8" t="s">
        <v>2787</v>
      </c>
      <c r="BLB59" s="8" t="s">
        <v>2788</v>
      </c>
      <c r="BLC59" s="8" t="s">
        <v>2790</v>
      </c>
      <c r="BLD59" s="8" t="s">
        <v>2792</v>
      </c>
      <c r="BLE59" s="8" t="s">
        <v>2794</v>
      </c>
      <c r="BLF59" s="8" t="s">
        <v>2795</v>
      </c>
      <c r="BLG59" s="8" t="s">
        <v>2796</v>
      </c>
      <c r="BLH59" s="8" t="s">
        <v>2797</v>
      </c>
      <c r="BLI59" s="8" t="s">
        <v>2799</v>
      </c>
      <c r="BLJ59" s="8" t="s">
        <v>2801</v>
      </c>
      <c r="BLK59" s="8" t="s">
        <v>2803</v>
      </c>
      <c r="BLL59" s="8" t="s">
        <v>2804</v>
      </c>
      <c r="BLM59" s="8" t="s">
        <v>2805</v>
      </c>
      <c r="BLN59" s="8" t="s">
        <v>2806</v>
      </c>
      <c r="BLO59" s="8" t="s">
        <v>2807</v>
      </c>
      <c r="BLP59" s="8" t="s">
        <v>2808</v>
      </c>
      <c r="BLQ59" s="8" t="s">
        <v>2810</v>
      </c>
      <c r="BLR59" s="8" t="s">
        <v>2811</v>
      </c>
      <c r="BLS59" s="8" t="s">
        <v>2812</v>
      </c>
      <c r="BLT59" s="8" t="s">
        <v>2813</v>
      </c>
      <c r="BLU59" s="8" t="s">
        <v>2814</v>
      </c>
      <c r="BLV59" s="8" t="s">
        <v>2815</v>
      </c>
      <c r="BLW59" s="8" t="s">
        <v>2816</v>
      </c>
      <c r="BLX59" s="8" t="s">
        <v>2817</v>
      </c>
      <c r="BLY59" s="8" t="s">
        <v>2818</v>
      </c>
      <c r="BLZ59" s="8" t="s">
        <v>2819</v>
      </c>
      <c r="BMA59" s="8" t="s">
        <v>2820</v>
      </c>
      <c r="BMB59" s="8" t="s">
        <v>2821</v>
      </c>
      <c r="BMC59" s="8" t="s">
        <v>2822</v>
      </c>
      <c r="BMD59" s="8" t="s">
        <v>2823</v>
      </c>
      <c r="BME59" s="8" t="s">
        <v>2824</v>
      </c>
      <c r="BMF59" s="8" t="s">
        <v>2825</v>
      </c>
      <c r="BMG59" s="8" t="s">
        <v>2826</v>
      </c>
      <c r="BMH59" s="8" t="s">
        <v>2827</v>
      </c>
      <c r="BMI59" s="8" t="s">
        <v>2828</v>
      </c>
      <c r="BMJ59" s="8" t="s">
        <v>2829</v>
      </c>
      <c r="BMK59" s="8" t="s">
        <v>2830</v>
      </c>
      <c r="BML59" s="8" t="s">
        <v>2832</v>
      </c>
      <c r="BMM59" s="8" t="s">
        <v>2833</v>
      </c>
      <c r="BMN59" s="8" t="s">
        <v>2835</v>
      </c>
      <c r="BMO59" s="8" t="s">
        <v>2837</v>
      </c>
      <c r="BMP59" s="8" t="s">
        <v>2839</v>
      </c>
      <c r="BMQ59" s="8" t="s">
        <v>2840</v>
      </c>
      <c r="BMR59" s="8" t="s">
        <v>2841</v>
      </c>
      <c r="BMS59" s="8" t="s">
        <v>2843</v>
      </c>
      <c r="BMT59" s="8" t="s">
        <v>2844</v>
      </c>
      <c r="BMU59" s="8" t="s">
        <v>2846</v>
      </c>
      <c r="BMV59" s="8" t="s">
        <v>2847</v>
      </c>
      <c r="BMW59" s="8" t="s">
        <v>2848</v>
      </c>
      <c r="BMX59" s="8" t="s">
        <v>2849</v>
      </c>
      <c r="BMY59" s="8" t="s">
        <v>2850</v>
      </c>
      <c r="BMZ59" s="8" t="s">
        <v>2851</v>
      </c>
      <c r="BNA59" s="8" t="s">
        <v>2853</v>
      </c>
      <c r="BNB59" s="8" t="s">
        <v>2854</v>
      </c>
      <c r="BNC59" s="8" t="s">
        <v>2855</v>
      </c>
      <c r="BND59" s="8" t="s">
        <v>2856</v>
      </c>
      <c r="BNE59" s="8" t="s">
        <v>2857</v>
      </c>
      <c r="BNF59" s="8" t="s">
        <v>2858</v>
      </c>
      <c r="BNG59" s="8" t="s">
        <v>2859</v>
      </c>
      <c r="BNH59" s="8" t="s">
        <v>2861</v>
      </c>
      <c r="BNI59" s="8" t="s">
        <v>2862</v>
      </c>
      <c r="BNJ59" s="8" t="s">
        <v>2864</v>
      </c>
      <c r="BNK59" s="8" t="s">
        <v>2866</v>
      </c>
      <c r="BNL59" s="8" t="s">
        <v>2867</v>
      </c>
      <c r="BNM59" s="8" t="s">
        <v>2868</v>
      </c>
      <c r="BNN59" s="8" t="s">
        <v>2870</v>
      </c>
      <c r="BNO59" s="8" t="s">
        <v>2871</v>
      </c>
      <c r="BNP59" s="8" t="s">
        <v>2872</v>
      </c>
      <c r="BNQ59" s="8" t="s">
        <v>2873</v>
      </c>
      <c r="BNR59" s="8" t="s">
        <v>2874</v>
      </c>
      <c r="BNS59" s="8" t="s">
        <v>2876</v>
      </c>
      <c r="BNT59" s="8" t="s">
        <v>2877</v>
      </c>
      <c r="BNU59" s="8" t="s">
        <v>2879</v>
      </c>
      <c r="BNV59" s="8" t="s">
        <v>2880</v>
      </c>
      <c r="BNW59" s="8" t="s">
        <v>2881</v>
      </c>
      <c r="BNX59" s="8" t="s">
        <v>2882</v>
      </c>
      <c r="BNY59" s="8" t="s">
        <v>2883</v>
      </c>
      <c r="BNZ59" s="8" t="s">
        <v>2884</v>
      </c>
      <c r="BOA59" s="8" t="s">
        <v>2885</v>
      </c>
      <c r="BOB59" s="8" t="s">
        <v>2886</v>
      </c>
      <c r="BOC59" s="8" t="s">
        <v>2887</v>
      </c>
      <c r="BOD59" s="8" t="s">
        <v>2889</v>
      </c>
      <c r="BOE59" s="8" t="s">
        <v>2890</v>
      </c>
      <c r="BOF59" s="8" t="s">
        <v>2891</v>
      </c>
      <c r="BOG59" s="8" t="s">
        <v>2892</v>
      </c>
      <c r="BOH59" s="8" t="s">
        <v>2893</v>
      </c>
      <c r="BOI59" s="8" t="s">
        <v>2895</v>
      </c>
      <c r="BOJ59" s="8" t="s">
        <v>2896</v>
      </c>
      <c r="BOK59" s="8" t="s">
        <v>2898</v>
      </c>
      <c r="BOL59" s="8" t="s">
        <v>2900</v>
      </c>
      <c r="BOM59" s="8" t="s">
        <v>2901</v>
      </c>
      <c r="BON59" s="8" t="s">
        <v>2902</v>
      </c>
      <c r="BOO59" s="8" t="s">
        <v>2904</v>
      </c>
      <c r="BOP59" s="8" t="s">
        <v>2905</v>
      </c>
      <c r="BOQ59" s="8" t="s">
        <v>2906</v>
      </c>
      <c r="BOR59" s="8" t="s">
        <v>2907</v>
      </c>
      <c r="BOS59" s="8" t="s">
        <v>2908</v>
      </c>
      <c r="BOT59" s="8" t="s">
        <v>2909</v>
      </c>
      <c r="BOU59" s="8" t="s">
        <v>2910</v>
      </c>
      <c r="BOV59" s="8" t="s">
        <v>2911</v>
      </c>
      <c r="BOW59" s="8" t="s">
        <v>2912</v>
      </c>
      <c r="BOX59" s="8" t="s">
        <v>2914</v>
      </c>
      <c r="BOY59" s="8" t="s">
        <v>2916</v>
      </c>
      <c r="BOZ59" s="8" t="s">
        <v>2917</v>
      </c>
      <c r="BPA59" s="8" t="s">
        <v>2918</v>
      </c>
      <c r="BPB59" s="8" t="s">
        <v>2919</v>
      </c>
      <c r="BPC59" s="8" t="s">
        <v>2920</v>
      </c>
      <c r="BPD59" s="8" t="s">
        <v>2921</v>
      </c>
      <c r="BPE59" s="8" t="s">
        <v>2922</v>
      </c>
      <c r="BPF59" s="8" t="s">
        <v>2924</v>
      </c>
      <c r="BPG59" s="8" t="s">
        <v>2926</v>
      </c>
      <c r="BPH59" s="8" t="s">
        <v>2928</v>
      </c>
      <c r="BPI59" s="8" t="s">
        <v>2930</v>
      </c>
      <c r="BPJ59" s="8" t="s">
        <v>2931</v>
      </c>
      <c r="BPK59" s="8" t="s">
        <v>2933</v>
      </c>
      <c r="BPL59" s="8" t="s">
        <v>2935</v>
      </c>
      <c r="BPM59" s="8" t="s">
        <v>2937</v>
      </c>
      <c r="BPN59" s="8" t="s">
        <v>2938</v>
      </c>
      <c r="BPO59" s="8" t="s">
        <v>2939</v>
      </c>
      <c r="BPP59" s="8" t="s">
        <v>2940</v>
      </c>
      <c r="BPQ59" s="8" t="s">
        <v>2941</v>
      </c>
      <c r="BPR59" s="8" t="s">
        <v>2942</v>
      </c>
      <c r="BPS59" s="8" t="s">
        <v>2943</v>
      </c>
      <c r="BPT59" s="8" t="s">
        <v>2944</v>
      </c>
      <c r="BPU59" s="8" t="s">
        <v>2945</v>
      </c>
      <c r="BPV59" s="8" t="s">
        <v>2946</v>
      </c>
      <c r="BPW59" s="8" t="s">
        <v>2947</v>
      </c>
      <c r="BPX59" s="8" t="s">
        <v>2948</v>
      </c>
      <c r="BPY59" s="8" t="s">
        <v>2950</v>
      </c>
      <c r="BPZ59" s="8" t="s">
        <v>2952</v>
      </c>
      <c r="BQA59" s="8" t="s">
        <v>2953</v>
      </c>
      <c r="BQB59" s="8" t="s">
        <v>2954</v>
      </c>
      <c r="BQC59" s="8" t="s">
        <v>2955</v>
      </c>
      <c r="BQD59" s="8" t="s">
        <v>2957</v>
      </c>
      <c r="BQE59" s="8" t="s">
        <v>2959</v>
      </c>
      <c r="BQF59" s="8" t="s">
        <v>2960</v>
      </c>
      <c r="BQG59" s="8" t="s">
        <v>2962</v>
      </c>
      <c r="BQH59" s="8" t="s">
        <v>2963</v>
      </c>
      <c r="BQI59" s="8" t="s">
        <v>2964</v>
      </c>
      <c r="BQJ59" s="8" t="s">
        <v>2965</v>
      </c>
      <c r="BQK59" s="8" t="s">
        <v>2967</v>
      </c>
      <c r="BQL59" s="8" t="s">
        <v>2968</v>
      </c>
      <c r="BQM59" s="8" t="s">
        <v>2970</v>
      </c>
      <c r="BQN59" s="8" t="s">
        <v>2971</v>
      </c>
      <c r="BQO59" s="8" t="s">
        <v>2972</v>
      </c>
      <c r="BQP59" s="8" t="s">
        <v>2973</v>
      </c>
      <c r="BQQ59" s="8" t="s">
        <v>2975</v>
      </c>
      <c r="BQR59" s="8" t="s">
        <v>2976</v>
      </c>
      <c r="BQS59" s="8" t="s">
        <v>2978</v>
      </c>
      <c r="BQT59" s="8" t="s">
        <v>2979</v>
      </c>
      <c r="BQU59" s="8" t="s">
        <v>2980</v>
      </c>
      <c r="BQV59" s="8" t="s">
        <v>2982</v>
      </c>
      <c r="BQW59" s="8" t="s">
        <v>2984</v>
      </c>
      <c r="BQX59" s="8" t="s">
        <v>2985</v>
      </c>
      <c r="BQY59" s="8" t="s">
        <v>2986</v>
      </c>
      <c r="BQZ59" s="8" t="s">
        <v>2988</v>
      </c>
      <c r="BRA59" s="8" t="s">
        <v>2990</v>
      </c>
      <c r="BRB59" s="8" t="s">
        <v>2991</v>
      </c>
      <c r="BRC59" s="8" t="s">
        <v>2992</v>
      </c>
      <c r="BRD59" s="8" t="s">
        <v>2994</v>
      </c>
      <c r="BRE59" s="8" t="s">
        <v>2995</v>
      </c>
      <c r="BRF59" s="8" t="s">
        <v>2996</v>
      </c>
      <c r="BRG59" s="8" t="s">
        <v>2997</v>
      </c>
      <c r="BRH59" s="8" t="s">
        <v>2998</v>
      </c>
      <c r="BRI59" s="8" t="s">
        <v>2999</v>
      </c>
      <c r="BRJ59" s="8" t="s">
        <v>3001</v>
      </c>
      <c r="BRK59" s="8" t="s">
        <v>3002</v>
      </c>
      <c r="BRL59" s="8" t="s">
        <v>3003</v>
      </c>
      <c r="BRM59" s="8" t="s">
        <v>3005</v>
      </c>
      <c r="BRN59" s="8" t="s">
        <v>3007</v>
      </c>
      <c r="BRO59" s="8" t="s">
        <v>3008</v>
      </c>
      <c r="BRP59" s="8" t="s">
        <v>3010</v>
      </c>
      <c r="BRQ59" s="8" t="s">
        <v>3011</v>
      </c>
      <c r="BRR59" s="8" t="s">
        <v>3013</v>
      </c>
      <c r="BRS59" s="8" t="s">
        <v>3014</v>
      </c>
      <c r="BRT59" s="8" t="s">
        <v>3016</v>
      </c>
      <c r="BRU59" s="8" t="s">
        <v>3017</v>
      </c>
      <c r="BRV59" s="8" t="s">
        <v>3019</v>
      </c>
      <c r="BRW59" s="8" t="s">
        <v>3021</v>
      </c>
      <c r="BRX59" s="8" t="s">
        <v>3022</v>
      </c>
      <c r="BRY59" s="8" t="s">
        <v>3023</v>
      </c>
      <c r="BRZ59" s="8" t="s">
        <v>3025</v>
      </c>
      <c r="BSA59" s="8" t="s">
        <v>3026</v>
      </c>
      <c r="BSB59" s="8" t="s">
        <v>3027</v>
      </c>
      <c r="BSC59" s="8" t="s">
        <v>3028</v>
      </c>
      <c r="BSD59" s="8" t="s">
        <v>3029</v>
      </c>
      <c r="BSE59" s="8" t="s">
        <v>3030</v>
      </c>
      <c r="BSF59" s="8" t="s">
        <v>3031</v>
      </c>
      <c r="BSG59" s="8" t="s">
        <v>3032</v>
      </c>
      <c r="BSH59" s="8" t="s">
        <v>3033</v>
      </c>
      <c r="BSI59" s="8" t="s">
        <v>3034</v>
      </c>
      <c r="BSJ59" s="8" t="s">
        <v>3035</v>
      </c>
      <c r="BSK59" s="8" t="s">
        <v>3036</v>
      </c>
      <c r="BSL59" s="8" t="s">
        <v>3037</v>
      </c>
      <c r="BSM59" s="8" t="s">
        <v>3038</v>
      </c>
      <c r="BSN59" s="8" t="s">
        <v>3040</v>
      </c>
      <c r="BSO59" s="8" t="s">
        <v>3041</v>
      </c>
      <c r="BSP59" s="8" t="s">
        <v>3043</v>
      </c>
      <c r="BSQ59" s="8" t="s">
        <v>3044</v>
      </c>
      <c r="BSR59" s="8" t="s">
        <v>3045</v>
      </c>
      <c r="BSS59" s="8" t="s">
        <v>3046</v>
      </c>
      <c r="BST59" s="8" t="s">
        <v>3047</v>
      </c>
      <c r="BSU59" s="8" t="s">
        <v>3048</v>
      </c>
      <c r="BSV59" s="8" t="s">
        <v>3049</v>
      </c>
      <c r="BSW59" s="8" t="s">
        <v>3050</v>
      </c>
      <c r="BSX59" s="8" t="s">
        <v>3051</v>
      </c>
      <c r="BSY59" s="8" t="s">
        <v>3052</v>
      </c>
      <c r="BSZ59" s="8" t="s">
        <v>3053</v>
      </c>
      <c r="BTA59" s="8" t="s">
        <v>3055</v>
      </c>
      <c r="BTB59" s="8" t="s">
        <v>3056</v>
      </c>
      <c r="BTC59" s="8" t="s">
        <v>3058</v>
      </c>
      <c r="BTD59" s="8" t="s">
        <v>3059</v>
      </c>
      <c r="BTE59" s="8" t="s">
        <v>3061</v>
      </c>
      <c r="BTF59" s="8" t="s">
        <v>3062</v>
      </c>
      <c r="BTG59" s="8" t="s">
        <v>3063</v>
      </c>
      <c r="BTH59" s="8" t="s">
        <v>3064</v>
      </c>
      <c r="BTI59" s="8" t="s">
        <v>3066</v>
      </c>
      <c r="BTJ59" s="8" t="s">
        <v>3067</v>
      </c>
      <c r="BTK59" s="8" t="s">
        <v>3069</v>
      </c>
      <c r="BTL59" s="8" t="s">
        <v>3070</v>
      </c>
      <c r="BTM59" s="8" t="s">
        <v>3071</v>
      </c>
      <c r="BTN59" s="8" t="s">
        <v>3073</v>
      </c>
      <c r="BTO59" s="8" t="s">
        <v>3075</v>
      </c>
      <c r="BTP59" s="8" t="s">
        <v>3077</v>
      </c>
      <c r="BTQ59" s="8" t="s">
        <v>3078</v>
      </c>
      <c r="BTR59" s="8" t="s">
        <v>3079</v>
      </c>
      <c r="BTS59" s="8" t="s">
        <v>3080</v>
      </c>
      <c r="BTT59" s="8" t="s">
        <v>3082</v>
      </c>
      <c r="BTU59" s="8" t="s">
        <v>3084</v>
      </c>
      <c r="BTV59" s="8" t="s">
        <v>3085</v>
      </c>
      <c r="BTW59" s="8" t="s">
        <v>3087</v>
      </c>
      <c r="BTX59" s="8" t="s">
        <v>3089</v>
      </c>
      <c r="BTY59" s="8" t="s">
        <v>3090</v>
      </c>
      <c r="BTZ59" s="8" t="s">
        <v>3091</v>
      </c>
      <c r="BUA59" s="8" t="s">
        <v>3093</v>
      </c>
      <c r="BUB59" s="8" t="s">
        <v>3095</v>
      </c>
      <c r="BUC59" s="8" t="s">
        <v>3096</v>
      </c>
      <c r="BUD59" s="8" t="s">
        <v>3097</v>
      </c>
      <c r="BUE59" s="8" t="s">
        <v>3099</v>
      </c>
      <c r="BUF59" s="8" t="s">
        <v>3100</v>
      </c>
      <c r="BUG59" s="8" t="s">
        <v>3101</v>
      </c>
      <c r="BUH59" s="8" t="s">
        <v>3103</v>
      </c>
      <c r="BUI59" s="8" t="s">
        <v>3104</v>
      </c>
      <c r="BUJ59" s="8" t="s">
        <v>3105</v>
      </c>
      <c r="BUK59" s="8" t="s">
        <v>3106</v>
      </c>
      <c r="BUL59" s="8" t="s">
        <v>3107</v>
      </c>
      <c r="BUM59" s="8" t="s">
        <v>3109</v>
      </c>
      <c r="BUN59" s="8" t="s">
        <v>3110</v>
      </c>
      <c r="BUO59" s="8" t="s">
        <v>3112</v>
      </c>
      <c r="BUP59" s="8" t="s">
        <v>3113</v>
      </c>
      <c r="BUQ59" s="8" t="s">
        <v>3115</v>
      </c>
      <c r="BUR59" s="8" t="s">
        <v>3117</v>
      </c>
      <c r="BUS59" s="8" t="s">
        <v>3118</v>
      </c>
      <c r="BUT59" s="8" t="s">
        <v>3119</v>
      </c>
      <c r="BUU59" s="8" t="s">
        <v>3121</v>
      </c>
      <c r="BUV59" s="8" t="s">
        <v>3122</v>
      </c>
      <c r="BUW59" s="8" t="s">
        <v>3123</v>
      </c>
      <c r="BUX59" s="8" t="s">
        <v>3124</v>
      </c>
      <c r="BUY59" s="8" t="s">
        <v>3125</v>
      </c>
      <c r="BUZ59" s="8" t="s">
        <v>3127</v>
      </c>
      <c r="BVA59" s="8" t="s">
        <v>3128</v>
      </c>
      <c r="BVB59" s="8" t="s">
        <v>3129</v>
      </c>
      <c r="BVC59" s="8" t="s">
        <v>3130</v>
      </c>
      <c r="BVD59" s="8" t="s">
        <v>3131</v>
      </c>
      <c r="BVE59" s="8" t="s">
        <v>3133</v>
      </c>
      <c r="BVF59" s="8" t="s">
        <v>3135</v>
      </c>
      <c r="BVG59" s="8" t="s">
        <v>3137</v>
      </c>
      <c r="BVH59" s="8" t="s">
        <v>3138</v>
      </c>
      <c r="BVI59" s="8" t="s">
        <v>3139</v>
      </c>
      <c r="BVJ59" s="8" t="s">
        <v>3140</v>
      </c>
      <c r="BVK59" s="8" t="s">
        <v>3142</v>
      </c>
      <c r="BVL59" s="8" t="s">
        <v>3143</v>
      </c>
      <c r="BVM59" s="8" t="s">
        <v>3144</v>
      </c>
      <c r="BVN59" s="8" t="s">
        <v>3146</v>
      </c>
      <c r="BVO59" s="8" t="s">
        <v>3147</v>
      </c>
      <c r="BVP59" s="8" t="s">
        <v>3148</v>
      </c>
      <c r="BVQ59" s="8" t="s">
        <v>3150</v>
      </c>
      <c r="BVR59" s="8" t="s">
        <v>3152</v>
      </c>
      <c r="BVS59" s="8" t="s">
        <v>3154</v>
      </c>
      <c r="BVT59" s="8" t="s">
        <v>3156</v>
      </c>
      <c r="BVU59" s="8" t="s">
        <v>3157</v>
      </c>
      <c r="BVV59" s="8" t="s">
        <v>3158</v>
      </c>
      <c r="BVW59" s="8" t="s">
        <v>3160</v>
      </c>
      <c r="BVX59" s="8" t="s">
        <v>3161</v>
      </c>
      <c r="BVY59" s="8" t="s">
        <v>3163</v>
      </c>
      <c r="BVZ59" s="8" t="s">
        <v>3164</v>
      </c>
      <c r="BWA59" s="8" t="s">
        <v>3165</v>
      </c>
      <c r="BWB59" s="8" t="s">
        <v>3167</v>
      </c>
      <c r="BWC59" s="8" t="s">
        <v>3168</v>
      </c>
      <c r="BWD59" s="8" t="s">
        <v>3169</v>
      </c>
      <c r="BWE59" s="8" t="s">
        <v>3170</v>
      </c>
      <c r="BWF59" s="8" t="s">
        <v>3171</v>
      </c>
      <c r="BWG59" s="8" t="s">
        <v>3172</v>
      </c>
      <c r="BWH59" s="8" t="s">
        <v>3173</v>
      </c>
      <c r="BWI59" s="8" t="s">
        <v>3174</v>
      </c>
      <c r="BWJ59" s="8" t="s">
        <v>3176</v>
      </c>
      <c r="BWK59" s="8" t="s">
        <v>3177</v>
      </c>
      <c r="BWL59" s="8" t="s">
        <v>3179</v>
      </c>
      <c r="BWM59" s="8" t="s">
        <v>3180</v>
      </c>
      <c r="BWN59" s="8" t="s">
        <v>3181</v>
      </c>
      <c r="BWO59" s="8" t="s">
        <v>3183</v>
      </c>
      <c r="BWP59" s="8" t="s">
        <v>3184</v>
      </c>
      <c r="BWQ59" s="8" t="s">
        <v>3186</v>
      </c>
      <c r="BWR59" s="8" t="s">
        <v>3187</v>
      </c>
      <c r="BWS59" s="8" t="s">
        <v>3188</v>
      </c>
      <c r="BWT59" s="8" t="s">
        <v>3189</v>
      </c>
      <c r="BWU59" s="8" t="s">
        <v>3190</v>
      </c>
      <c r="BWV59" s="8" t="s">
        <v>3192</v>
      </c>
      <c r="BWW59" s="8" t="s">
        <v>3193</v>
      </c>
      <c r="BWX59" s="8" t="s">
        <v>3194</v>
      </c>
      <c r="BWY59" s="8" t="s">
        <v>3196</v>
      </c>
      <c r="BWZ59" s="8" t="s">
        <v>3197</v>
      </c>
      <c r="BXA59" s="8" t="s">
        <v>3198</v>
      </c>
      <c r="BXB59" s="8" t="s">
        <v>3199</v>
      </c>
      <c r="BXC59" s="8" t="s">
        <v>3200</v>
      </c>
      <c r="BXD59" s="8" t="s">
        <v>3201</v>
      </c>
      <c r="BXE59" s="8" t="s">
        <v>3202</v>
      </c>
      <c r="BXF59" s="8" t="s">
        <v>3239</v>
      </c>
    </row>
    <row r="60" spans="2:1982" x14ac:dyDescent="0.25">
      <c r="B60" s="2" t="s">
        <v>3258</v>
      </c>
      <c r="C60" s="111">
        <v>1</v>
      </c>
      <c r="D60" s="111">
        <v>1</v>
      </c>
      <c r="E60" s="111">
        <v>1</v>
      </c>
      <c r="F60" s="111">
        <v>1</v>
      </c>
      <c r="G60" s="111">
        <v>1</v>
      </c>
      <c r="H60" s="111">
        <v>1</v>
      </c>
      <c r="I60" s="111">
        <v>1</v>
      </c>
      <c r="J60" s="111">
        <v>1</v>
      </c>
      <c r="K60" s="111">
        <v>1</v>
      </c>
      <c r="L60" s="111">
        <v>1</v>
      </c>
      <c r="M60" s="111">
        <v>1</v>
      </c>
      <c r="N60" s="111">
        <v>1</v>
      </c>
      <c r="O60" s="111">
        <v>1</v>
      </c>
      <c r="P60" s="111">
        <v>1</v>
      </c>
      <c r="Q60" s="111">
        <v>1</v>
      </c>
      <c r="R60" s="111">
        <v>1</v>
      </c>
      <c r="S60" s="111">
        <v>1</v>
      </c>
      <c r="T60" s="111">
        <v>1</v>
      </c>
      <c r="U60" s="111">
        <v>1</v>
      </c>
      <c r="V60" s="111">
        <v>1</v>
      </c>
      <c r="W60" s="111">
        <v>1</v>
      </c>
      <c r="X60" s="111">
        <v>1</v>
      </c>
      <c r="Y60" s="111">
        <v>1</v>
      </c>
      <c r="Z60" s="111">
        <v>1</v>
      </c>
      <c r="AA60" s="111">
        <v>1</v>
      </c>
      <c r="AB60" s="111">
        <v>1</v>
      </c>
      <c r="AC60" s="111">
        <v>1</v>
      </c>
      <c r="AD60" s="111">
        <v>1</v>
      </c>
      <c r="AE60" s="111">
        <v>1</v>
      </c>
      <c r="AF60" s="111">
        <v>1</v>
      </c>
      <c r="AG60" s="111">
        <v>1</v>
      </c>
      <c r="AH60" s="111">
        <v>1</v>
      </c>
      <c r="AI60" s="111">
        <v>1</v>
      </c>
      <c r="AJ60" s="111">
        <v>1</v>
      </c>
      <c r="AK60" s="111">
        <v>1</v>
      </c>
      <c r="AL60" s="111">
        <v>1</v>
      </c>
      <c r="AM60" s="111">
        <v>1</v>
      </c>
      <c r="AN60" s="111">
        <v>1</v>
      </c>
      <c r="AO60" s="111">
        <v>1</v>
      </c>
      <c r="AP60" s="111">
        <v>1</v>
      </c>
      <c r="AQ60" s="111">
        <v>1</v>
      </c>
      <c r="AR60" s="111">
        <v>1</v>
      </c>
      <c r="AS60" s="111">
        <v>1</v>
      </c>
      <c r="AT60" s="111">
        <v>1</v>
      </c>
      <c r="AU60" s="111">
        <v>1</v>
      </c>
      <c r="AV60" s="111">
        <v>1</v>
      </c>
      <c r="AW60" s="111">
        <v>1</v>
      </c>
      <c r="AX60" s="111">
        <v>1</v>
      </c>
      <c r="AY60" s="111">
        <v>1</v>
      </c>
      <c r="AZ60" s="111">
        <v>1</v>
      </c>
      <c r="BA60" s="111">
        <v>1</v>
      </c>
      <c r="BB60" s="111">
        <v>1</v>
      </c>
      <c r="BC60" s="111">
        <v>1</v>
      </c>
      <c r="BD60" s="111">
        <v>1</v>
      </c>
      <c r="BE60" s="111">
        <v>1</v>
      </c>
      <c r="BF60" s="111">
        <v>1</v>
      </c>
      <c r="BG60" s="111">
        <v>1</v>
      </c>
      <c r="BH60" s="111">
        <v>1</v>
      </c>
      <c r="BI60" s="111">
        <v>1</v>
      </c>
      <c r="BJ60" s="111">
        <v>1</v>
      </c>
      <c r="BK60" s="111">
        <v>1</v>
      </c>
      <c r="BL60" s="111">
        <v>1</v>
      </c>
      <c r="BM60" s="111">
        <v>1</v>
      </c>
      <c r="BN60" s="111">
        <v>1</v>
      </c>
      <c r="BO60" s="111">
        <v>1</v>
      </c>
      <c r="BP60" s="111">
        <v>1</v>
      </c>
      <c r="BQ60" s="111">
        <v>1</v>
      </c>
      <c r="BR60" s="111">
        <v>1</v>
      </c>
      <c r="BS60" s="111">
        <v>1</v>
      </c>
      <c r="BT60" s="111">
        <v>1</v>
      </c>
      <c r="BU60" s="111">
        <v>1</v>
      </c>
      <c r="BV60" s="111">
        <v>1</v>
      </c>
      <c r="BW60" s="111">
        <v>1</v>
      </c>
      <c r="BX60" s="111">
        <v>1</v>
      </c>
      <c r="BY60" s="111">
        <v>1</v>
      </c>
      <c r="BZ60" s="111">
        <v>1</v>
      </c>
      <c r="CA60" s="111">
        <v>1</v>
      </c>
      <c r="CB60" s="111">
        <v>1</v>
      </c>
      <c r="CC60" s="111">
        <v>1</v>
      </c>
      <c r="CD60" s="111">
        <v>1</v>
      </c>
      <c r="CE60" s="111">
        <v>1</v>
      </c>
      <c r="CF60" s="111">
        <v>1</v>
      </c>
      <c r="CG60" s="111">
        <v>1</v>
      </c>
      <c r="CH60" s="111">
        <v>1</v>
      </c>
      <c r="CI60" s="111">
        <v>1</v>
      </c>
      <c r="CJ60" s="111">
        <v>1</v>
      </c>
      <c r="CK60" s="111">
        <v>1</v>
      </c>
      <c r="CL60" s="111">
        <v>1</v>
      </c>
      <c r="CM60" s="111">
        <v>1</v>
      </c>
      <c r="CN60" s="111">
        <v>1</v>
      </c>
      <c r="CO60" s="111">
        <v>1</v>
      </c>
      <c r="CP60" s="111">
        <v>1</v>
      </c>
      <c r="CQ60" s="111">
        <v>1</v>
      </c>
      <c r="CR60" s="111">
        <v>1</v>
      </c>
      <c r="CS60" s="111">
        <v>1</v>
      </c>
      <c r="CT60" s="111">
        <v>1</v>
      </c>
      <c r="CU60" s="111">
        <v>1</v>
      </c>
      <c r="CV60" s="111">
        <v>1</v>
      </c>
      <c r="CW60" s="111">
        <v>1</v>
      </c>
      <c r="CX60" s="111">
        <v>1</v>
      </c>
      <c r="CY60" s="111">
        <v>1</v>
      </c>
      <c r="CZ60" s="111">
        <v>1</v>
      </c>
      <c r="DA60" s="111">
        <v>1</v>
      </c>
      <c r="DB60" s="111">
        <v>1</v>
      </c>
      <c r="DC60" s="111">
        <v>1</v>
      </c>
      <c r="DD60" s="111">
        <v>1</v>
      </c>
      <c r="DE60" s="111">
        <v>1</v>
      </c>
      <c r="DF60" s="111">
        <v>1</v>
      </c>
      <c r="DG60" s="111">
        <v>1</v>
      </c>
      <c r="DH60" s="111">
        <v>1</v>
      </c>
      <c r="DI60" s="111">
        <v>1</v>
      </c>
      <c r="DJ60" s="111">
        <v>1</v>
      </c>
      <c r="DK60" s="111">
        <v>1</v>
      </c>
      <c r="DL60" s="111">
        <v>1</v>
      </c>
      <c r="DM60" s="111">
        <v>1</v>
      </c>
      <c r="DN60" s="111">
        <v>1</v>
      </c>
      <c r="DO60" s="111">
        <v>1</v>
      </c>
      <c r="DP60" s="111">
        <v>1</v>
      </c>
      <c r="DQ60" s="111">
        <v>1</v>
      </c>
      <c r="DR60" s="111">
        <v>1</v>
      </c>
      <c r="DS60" s="111">
        <v>1</v>
      </c>
      <c r="DT60" s="111">
        <v>1</v>
      </c>
      <c r="DU60" s="111">
        <v>1</v>
      </c>
      <c r="DV60" s="111">
        <v>1</v>
      </c>
      <c r="DW60" s="111">
        <v>1</v>
      </c>
      <c r="DX60" s="111">
        <v>1</v>
      </c>
      <c r="DY60" s="111">
        <v>1</v>
      </c>
      <c r="DZ60" s="111">
        <v>1</v>
      </c>
      <c r="EA60" s="111">
        <v>1</v>
      </c>
      <c r="EB60" s="111">
        <v>1</v>
      </c>
      <c r="EC60" s="111">
        <v>1</v>
      </c>
      <c r="ED60" s="111">
        <v>1</v>
      </c>
      <c r="EE60" s="111">
        <v>1</v>
      </c>
      <c r="EF60" s="111">
        <v>1</v>
      </c>
      <c r="EG60" s="111">
        <v>1</v>
      </c>
      <c r="EH60" s="111">
        <v>1</v>
      </c>
      <c r="EI60" s="111">
        <v>1</v>
      </c>
      <c r="EJ60" s="111">
        <v>1</v>
      </c>
      <c r="EK60" s="111">
        <v>1</v>
      </c>
      <c r="EL60" s="111">
        <v>1</v>
      </c>
      <c r="EM60" s="111">
        <v>1</v>
      </c>
      <c r="EN60" s="111">
        <v>1</v>
      </c>
      <c r="EO60" s="111">
        <v>1</v>
      </c>
      <c r="EP60" s="111">
        <v>1</v>
      </c>
      <c r="EQ60" s="111">
        <v>1</v>
      </c>
      <c r="ER60" s="111">
        <v>1</v>
      </c>
      <c r="ES60" s="111">
        <v>1</v>
      </c>
      <c r="ET60" s="111">
        <v>1</v>
      </c>
      <c r="EU60" s="111">
        <v>1</v>
      </c>
      <c r="EV60" s="111">
        <v>1</v>
      </c>
      <c r="EW60" s="111">
        <v>1</v>
      </c>
      <c r="EX60" s="111">
        <v>1</v>
      </c>
      <c r="EY60" s="111">
        <v>1</v>
      </c>
      <c r="EZ60" s="111">
        <v>1</v>
      </c>
      <c r="FA60" s="111">
        <v>1</v>
      </c>
      <c r="FB60" s="111">
        <v>1</v>
      </c>
      <c r="FC60" s="111">
        <v>1</v>
      </c>
      <c r="FD60" s="111">
        <v>1</v>
      </c>
      <c r="FE60" s="111">
        <v>1</v>
      </c>
      <c r="FF60" s="111">
        <v>1</v>
      </c>
      <c r="FG60" s="111">
        <v>1</v>
      </c>
      <c r="FH60" s="111">
        <v>1</v>
      </c>
      <c r="FI60" s="111">
        <v>1</v>
      </c>
      <c r="FJ60" s="111">
        <v>1</v>
      </c>
      <c r="FK60" s="111">
        <v>1</v>
      </c>
      <c r="FL60" s="111">
        <v>1</v>
      </c>
      <c r="FM60" s="111">
        <v>1</v>
      </c>
      <c r="FN60" s="111">
        <v>1</v>
      </c>
      <c r="FO60" s="111">
        <v>1</v>
      </c>
      <c r="FP60" s="111">
        <v>1</v>
      </c>
      <c r="FQ60" s="111">
        <v>1</v>
      </c>
      <c r="FR60" s="111">
        <v>1</v>
      </c>
      <c r="FS60" s="111">
        <v>1</v>
      </c>
      <c r="FT60" s="111">
        <v>1</v>
      </c>
      <c r="FU60" s="111">
        <v>1</v>
      </c>
      <c r="FV60" s="111">
        <v>1</v>
      </c>
      <c r="FW60" s="111">
        <v>1</v>
      </c>
      <c r="FX60" s="111">
        <v>1</v>
      </c>
      <c r="FY60" s="111">
        <v>1</v>
      </c>
      <c r="FZ60" s="111">
        <v>1</v>
      </c>
      <c r="GA60" s="111">
        <v>1</v>
      </c>
      <c r="GB60" s="111">
        <v>1</v>
      </c>
      <c r="GC60" s="111">
        <v>1</v>
      </c>
      <c r="GD60" s="111">
        <v>1</v>
      </c>
      <c r="GE60" s="111">
        <v>1</v>
      </c>
      <c r="GF60" s="111">
        <v>1</v>
      </c>
      <c r="GG60" s="111">
        <v>1</v>
      </c>
      <c r="GH60" s="111">
        <v>1</v>
      </c>
      <c r="GI60" s="111">
        <v>1</v>
      </c>
      <c r="GJ60" s="111">
        <v>1</v>
      </c>
      <c r="GK60" s="111">
        <v>1</v>
      </c>
      <c r="GL60" s="111">
        <v>1</v>
      </c>
      <c r="GM60" s="111">
        <v>1</v>
      </c>
      <c r="GN60" s="111">
        <v>1</v>
      </c>
      <c r="GO60" s="111">
        <v>1</v>
      </c>
      <c r="GP60" s="111">
        <v>1</v>
      </c>
      <c r="GQ60" s="111">
        <v>1</v>
      </c>
      <c r="GR60" s="111">
        <v>1</v>
      </c>
      <c r="GS60" s="111">
        <v>1</v>
      </c>
      <c r="GT60" s="111">
        <v>1</v>
      </c>
      <c r="GU60" s="111">
        <v>1</v>
      </c>
      <c r="GV60" s="111">
        <v>1</v>
      </c>
      <c r="GW60" s="111">
        <v>1</v>
      </c>
      <c r="GX60" s="111">
        <v>1</v>
      </c>
      <c r="GY60" s="111">
        <v>1</v>
      </c>
      <c r="GZ60" s="111">
        <v>1</v>
      </c>
      <c r="HA60" s="111">
        <v>1</v>
      </c>
      <c r="HB60" s="111">
        <v>1</v>
      </c>
      <c r="HC60" s="111">
        <v>1</v>
      </c>
      <c r="HD60" s="111">
        <v>1</v>
      </c>
      <c r="HE60" s="111">
        <v>1</v>
      </c>
      <c r="HF60" s="111">
        <v>1</v>
      </c>
      <c r="HG60" s="111">
        <v>1</v>
      </c>
      <c r="HH60" s="111">
        <v>1</v>
      </c>
      <c r="HI60" s="111">
        <v>1</v>
      </c>
      <c r="HJ60" s="111">
        <v>1</v>
      </c>
      <c r="HK60" s="111">
        <v>1</v>
      </c>
      <c r="HL60" s="111">
        <v>1</v>
      </c>
      <c r="HM60" s="111">
        <v>1</v>
      </c>
      <c r="HN60" s="111">
        <v>1</v>
      </c>
      <c r="HO60" s="111">
        <v>1</v>
      </c>
      <c r="HP60" s="111">
        <v>1</v>
      </c>
      <c r="HQ60" s="111">
        <v>1</v>
      </c>
      <c r="HR60" s="111">
        <v>1</v>
      </c>
      <c r="HS60" s="111">
        <v>1</v>
      </c>
      <c r="HT60" s="111">
        <v>1</v>
      </c>
      <c r="HU60" s="111">
        <v>1</v>
      </c>
      <c r="HV60" s="111">
        <v>1</v>
      </c>
      <c r="HW60" s="111">
        <v>1</v>
      </c>
      <c r="HX60" s="111">
        <v>1</v>
      </c>
      <c r="HY60" s="111">
        <v>1</v>
      </c>
      <c r="HZ60" s="111">
        <v>1</v>
      </c>
      <c r="IA60" s="111">
        <v>1</v>
      </c>
      <c r="IB60" s="111">
        <v>1</v>
      </c>
      <c r="IC60" s="111">
        <v>1</v>
      </c>
      <c r="ID60" s="111">
        <v>1</v>
      </c>
      <c r="IE60" s="111">
        <v>1</v>
      </c>
      <c r="IF60" s="111">
        <v>1</v>
      </c>
      <c r="IG60" s="111">
        <v>1</v>
      </c>
      <c r="IH60" s="111">
        <v>1</v>
      </c>
      <c r="II60" s="111">
        <v>1</v>
      </c>
      <c r="IJ60" s="111">
        <v>1</v>
      </c>
      <c r="IK60" s="111">
        <v>1</v>
      </c>
      <c r="IL60" s="111">
        <v>1</v>
      </c>
      <c r="IM60" s="111">
        <v>1</v>
      </c>
      <c r="IN60" s="111">
        <v>1</v>
      </c>
      <c r="IO60" s="111">
        <v>1</v>
      </c>
      <c r="IP60" s="111">
        <v>1</v>
      </c>
      <c r="IQ60" s="111">
        <v>1</v>
      </c>
      <c r="IR60" s="111">
        <v>1</v>
      </c>
      <c r="IS60" s="111">
        <v>1</v>
      </c>
      <c r="IT60" s="111">
        <v>1</v>
      </c>
      <c r="IU60" s="111">
        <v>1</v>
      </c>
      <c r="IV60" s="111">
        <v>1</v>
      </c>
      <c r="IW60" s="111">
        <v>1</v>
      </c>
      <c r="IX60" s="111">
        <v>1</v>
      </c>
      <c r="IY60" s="111">
        <v>1</v>
      </c>
      <c r="IZ60" s="111">
        <v>1</v>
      </c>
      <c r="JA60" s="111">
        <v>1</v>
      </c>
      <c r="JB60" s="111">
        <v>1</v>
      </c>
      <c r="JC60" s="111">
        <v>1</v>
      </c>
      <c r="JD60" s="111">
        <v>1</v>
      </c>
      <c r="JE60" s="111">
        <v>1</v>
      </c>
      <c r="JF60" s="111">
        <v>1</v>
      </c>
      <c r="JG60" s="111">
        <v>1</v>
      </c>
      <c r="JH60" s="111">
        <v>1</v>
      </c>
      <c r="JI60" s="111">
        <v>1</v>
      </c>
      <c r="JJ60" s="111">
        <v>1</v>
      </c>
      <c r="JK60" s="111">
        <v>1</v>
      </c>
      <c r="JL60" s="111">
        <v>1</v>
      </c>
      <c r="JM60" s="111">
        <v>1</v>
      </c>
      <c r="JN60" s="111">
        <v>1</v>
      </c>
      <c r="JO60" s="111">
        <v>1</v>
      </c>
      <c r="JP60" s="111">
        <v>1</v>
      </c>
      <c r="JQ60" s="111">
        <v>1</v>
      </c>
      <c r="JR60" s="111">
        <v>1</v>
      </c>
      <c r="JS60" s="111">
        <v>1</v>
      </c>
      <c r="JT60" s="111">
        <v>1</v>
      </c>
      <c r="JU60" s="111">
        <v>1</v>
      </c>
      <c r="JV60" s="111">
        <v>1</v>
      </c>
      <c r="JW60" s="111">
        <v>1</v>
      </c>
      <c r="JX60" s="111">
        <v>1</v>
      </c>
      <c r="JY60" s="111">
        <v>1</v>
      </c>
      <c r="JZ60" s="111">
        <v>1</v>
      </c>
      <c r="KA60" s="111">
        <v>1</v>
      </c>
      <c r="KB60" s="111">
        <v>1</v>
      </c>
      <c r="KC60" s="111">
        <v>1</v>
      </c>
      <c r="KD60" s="111">
        <v>1</v>
      </c>
      <c r="KE60" s="111">
        <v>1</v>
      </c>
      <c r="KF60" s="111">
        <v>1</v>
      </c>
      <c r="KG60" s="111">
        <v>1</v>
      </c>
      <c r="KH60" s="111">
        <v>1</v>
      </c>
      <c r="KI60" s="111">
        <v>1</v>
      </c>
      <c r="KJ60" s="111">
        <v>1</v>
      </c>
      <c r="KK60" s="111">
        <v>1</v>
      </c>
      <c r="KL60" s="111">
        <v>1</v>
      </c>
      <c r="KM60" s="111">
        <v>1</v>
      </c>
      <c r="KN60" s="111">
        <v>1</v>
      </c>
      <c r="KO60" s="111">
        <v>1</v>
      </c>
      <c r="KP60" s="111">
        <v>1</v>
      </c>
      <c r="KQ60" s="111">
        <v>1</v>
      </c>
      <c r="KR60" s="111">
        <v>1</v>
      </c>
      <c r="KS60" s="111">
        <v>1</v>
      </c>
      <c r="KT60" s="111">
        <v>1</v>
      </c>
      <c r="KU60" s="111">
        <v>1</v>
      </c>
      <c r="KV60" s="111">
        <v>1</v>
      </c>
      <c r="KW60" s="111">
        <v>1</v>
      </c>
      <c r="KX60" s="111">
        <v>1</v>
      </c>
      <c r="KY60" s="111">
        <v>1</v>
      </c>
      <c r="KZ60" s="111">
        <v>1</v>
      </c>
      <c r="LA60" s="111">
        <v>1</v>
      </c>
      <c r="LB60" s="111">
        <v>1</v>
      </c>
      <c r="LC60" s="111">
        <v>1</v>
      </c>
      <c r="LD60" s="111">
        <v>1</v>
      </c>
      <c r="LE60" s="111">
        <v>1</v>
      </c>
      <c r="LF60" s="111">
        <v>1</v>
      </c>
      <c r="LG60" s="111">
        <v>1</v>
      </c>
      <c r="LH60" s="111">
        <v>1</v>
      </c>
      <c r="LI60" s="111">
        <v>1</v>
      </c>
      <c r="LJ60" s="111">
        <v>1</v>
      </c>
      <c r="LK60" s="111">
        <v>1</v>
      </c>
      <c r="LL60" s="111">
        <v>1</v>
      </c>
      <c r="LM60" s="111">
        <v>1</v>
      </c>
      <c r="LN60" s="111">
        <v>1</v>
      </c>
      <c r="LO60" s="111">
        <v>1</v>
      </c>
      <c r="LP60" s="111">
        <v>1</v>
      </c>
      <c r="LQ60" s="111">
        <v>1</v>
      </c>
      <c r="LR60" s="111">
        <v>1</v>
      </c>
      <c r="LS60" s="111">
        <v>1</v>
      </c>
      <c r="LT60" s="111">
        <v>1</v>
      </c>
      <c r="LU60" s="111">
        <v>1</v>
      </c>
      <c r="LV60" s="111">
        <v>1</v>
      </c>
      <c r="LW60" s="111">
        <v>1</v>
      </c>
      <c r="LX60" s="111">
        <v>1</v>
      </c>
      <c r="LY60" s="111">
        <v>1</v>
      </c>
      <c r="LZ60" s="111">
        <v>1</v>
      </c>
      <c r="MA60" s="111">
        <v>1</v>
      </c>
      <c r="MB60" s="111">
        <v>1</v>
      </c>
      <c r="MC60" s="111">
        <v>1</v>
      </c>
      <c r="MD60" s="111">
        <v>1</v>
      </c>
      <c r="ME60" s="111">
        <v>1</v>
      </c>
      <c r="MF60" s="111">
        <v>1</v>
      </c>
      <c r="MG60" s="111">
        <v>1</v>
      </c>
      <c r="MH60" s="111">
        <v>1</v>
      </c>
      <c r="MI60" s="111">
        <v>1</v>
      </c>
      <c r="MJ60" s="111">
        <v>1</v>
      </c>
      <c r="MK60" s="111">
        <v>1</v>
      </c>
      <c r="ML60" s="111">
        <v>1</v>
      </c>
      <c r="MM60" s="111">
        <v>1</v>
      </c>
      <c r="MN60" s="111">
        <v>1</v>
      </c>
      <c r="MO60" s="111">
        <v>1</v>
      </c>
      <c r="MP60" s="111">
        <v>1</v>
      </c>
      <c r="MQ60" s="111">
        <v>1</v>
      </c>
      <c r="MR60" s="111">
        <v>1</v>
      </c>
      <c r="MS60" s="111">
        <v>1</v>
      </c>
      <c r="MT60" s="111">
        <v>1</v>
      </c>
      <c r="MU60" s="111">
        <v>1</v>
      </c>
      <c r="MV60" s="111">
        <v>1</v>
      </c>
      <c r="MW60" s="111">
        <v>1</v>
      </c>
      <c r="MX60" s="111">
        <v>1</v>
      </c>
      <c r="MY60" s="111">
        <v>1</v>
      </c>
      <c r="MZ60" s="111">
        <v>1</v>
      </c>
      <c r="NA60" s="111">
        <v>1</v>
      </c>
      <c r="NB60" s="111">
        <v>1</v>
      </c>
      <c r="NC60" s="111">
        <v>1</v>
      </c>
      <c r="ND60" s="111">
        <v>1</v>
      </c>
      <c r="NE60" s="111">
        <v>1</v>
      </c>
      <c r="NF60" s="111">
        <v>1</v>
      </c>
      <c r="NG60" s="111">
        <v>1</v>
      </c>
      <c r="NH60" s="111">
        <v>1</v>
      </c>
      <c r="NI60" s="111">
        <v>1</v>
      </c>
      <c r="NJ60" s="111">
        <v>1</v>
      </c>
      <c r="NK60" s="111">
        <v>1</v>
      </c>
      <c r="NL60" s="111">
        <v>1</v>
      </c>
      <c r="NM60" s="111">
        <v>1</v>
      </c>
      <c r="NN60" s="111">
        <v>1</v>
      </c>
      <c r="NO60" s="111">
        <v>1</v>
      </c>
      <c r="NP60" s="111">
        <v>1</v>
      </c>
      <c r="NQ60" s="111">
        <v>1</v>
      </c>
      <c r="NR60" s="111">
        <v>1</v>
      </c>
      <c r="NS60" s="111">
        <v>1</v>
      </c>
      <c r="NT60" s="111">
        <v>1</v>
      </c>
      <c r="NU60" s="111">
        <v>1</v>
      </c>
      <c r="NV60" s="111">
        <v>1</v>
      </c>
      <c r="NW60" s="111">
        <v>1</v>
      </c>
      <c r="NX60" s="111">
        <v>1</v>
      </c>
      <c r="NY60" s="111">
        <v>1</v>
      </c>
      <c r="NZ60" s="111">
        <v>1</v>
      </c>
      <c r="OA60" s="111">
        <v>1</v>
      </c>
      <c r="OB60" s="111">
        <v>1</v>
      </c>
      <c r="OC60" s="111">
        <v>1</v>
      </c>
      <c r="OD60" s="111">
        <v>1</v>
      </c>
      <c r="OE60" s="111">
        <v>1</v>
      </c>
      <c r="OF60" s="111">
        <v>1</v>
      </c>
      <c r="OG60" s="111">
        <v>1</v>
      </c>
      <c r="OH60" s="111">
        <v>1</v>
      </c>
      <c r="OI60" s="111">
        <v>1</v>
      </c>
      <c r="OJ60" s="111">
        <v>1</v>
      </c>
      <c r="OK60" s="111">
        <v>1</v>
      </c>
      <c r="OL60" s="111">
        <v>1</v>
      </c>
      <c r="OM60" s="111">
        <v>1</v>
      </c>
      <c r="ON60" s="111">
        <v>1</v>
      </c>
      <c r="OO60" s="111">
        <v>1</v>
      </c>
      <c r="OP60" s="111">
        <v>1</v>
      </c>
      <c r="OQ60" s="111">
        <v>1</v>
      </c>
      <c r="OR60" s="111">
        <v>1</v>
      </c>
      <c r="OS60" s="111">
        <v>1</v>
      </c>
      <c r="OT60" s="111">
        <v>1</v>
      </c>
      <c r="OU60" s="111">
        <v>1</v>
      </c>
      <c r="OV60" s="111">
        <v>1</v>
      </c>
      <c r="OW60" s="111">
        <v>1</v>
      </c>
      <c r="OX60" s="111">
        <v>1</v>
      </c>
      <c r="OY60" s="111">
        <v>1</v>
      </c>
      <c r="OZ60" s="111">
        <v>1</v>
      </c>
      <c r="PA60" s="111">
        <v>1</v>
      </c>
      <c r="PB60" s="111">
        <v>1</v>
      </c>
      <c r="PC60" s="111">
        <v>1</v>
      </c>
      <c r="PD60" s="111">
        <v>1</v>
      </c>
      <c r="PE60" s="111">
        <v>1</v>
      </c>
      <c r="PF60" s="111">
        <v>1</v>
      </c>
      <c r="PG60" s="111">
        <v>1</v>
      </c>
      <c r="PH60" s="111">
        <v>1</v>
      </c>
      <c r="PI60" s="111">
        <v>1</v>
      </c>
      <c r="PJ60" s="111">
        <v>1</v>
      </c>
      <c r="PK60" s="111">
        <v>1</v>
      </c>
      <c r="PL60" s="111">
        <v>1</v>
      </c>
      <c r="PM60" s="111">
        <v>1</v>
      </c>
      <c r="PN60" s="111">
        <v>1</v>
      </c>
      <c r="PO60" s="111">
        <v>1</v>
      </c>
      <c r="PP60" s="111">
        <v>1</v>
      </c>
      <c r="PQ60" s="111">
        <v>1</v>
      </c>
      <c r="PR60" s="111">
        <v>1</v>
      </c>
      <c r="PS60" s="111">
        <v>1</v>
      </c>
      <c r="PT60" s="111">
        <v>1</v>
      </c>
      <c r="PU60" s="111">
        <v>1</v>
      </c>
      <c r="PV60" s="111">
        <v>1</v>
      </c>
      <c r="PW60" s="111">
        <v>1</v>
      </c>
      <c r="PX60" s="111">
        <v>1</v>
      </c>
      <c r="PY60" s="111">
        <v>1</v>
      </c>
      <c r="PZ60" s="111">
        <v>1</v>
      </c>
      <c r="QA60" s="111">
        <v>1</v>
      </c>
      <c r="QB60" s="111">
        <v>1</v>
      </c>
      <c r="QC60" s="111">
        <v>1</v>
      </c>
      <c r="QD60" s="111">
        <v>1</v>
      </c>
      <c r="QE60" s="111">
        <v>1</v>
      </c>
      <c r="QF60" s="111">
        <v>1</v>
      </c>
      <c r="QG60" s="111">
        <v>1</v>
      </c>
      <c r="QH60" s="111">
        <v>1</v>
      </c>
      <c r="QI60" s="111">
        <v>1</v>
      </c>
      <c r="QJ60" s="111">
        <v>1</v>
      </c>
      <c r="QK60" s="111">
        <v>1</v>
      </c>
      <c r="QL60" s="111">
        <v>1</v>
      </c>
      <c r="QM60" s="111">
        <v>1</v>
      </c>
      <c r="QN60" s="111">
        <v>1</v>
      </c>
      <c r="QO60" s="111">
        <v>1</v>
      </c>
      <c r="QP60" s="111">
        <v>1</v>
      </c>
      <c r="QQ60" s="111">
        <v>1</v>
      </c>
      <c r="QR60" s="111">
        <v>1</v>
      </c>
      <c r="QS60" s="111">
        <v>1</v>
      </c>
      <c r="QT60" s="111">
        <v>1</v>
      </c>
      <c r="QU60" s="111">
        <v>1</v>
      </c>
      <c r="QV60" s="111">
        <v>1</v>
      </c>
      <c r="QW60" s="111">
        <v>1</v>
      </c>
      <c r="QX60" s="111">
        <v>1</v>
      </c>
      <c r="QY60" s="111">
        <v>1</v>
      </c>
      <c r="QZ60" s="111">
        <v>1</v>
      </c>
      <c r="RA60" s="111">
        <v>1</v>
      </c>
      <c r="RB60" s="111">
        <v>1</v>
      </c>
      <c r="RC60" s="111">
        <v>1</v>
      </c>
      <c r="RD60" s="111">
        <v>1</v>
      </c>
      <c r="RE60" s="111">
        <v>1</v>
      </c>
      <c r="RF60" s="111">
        <v>1</v>
      </c>
      <c r="RG60" s="111">
        <v>1</v>
      </c>
      <c r="RH60" s="111">
        <v>1</v>
      </c>
      <c r="RI60" s="111">
        <v>1</v>
      </c>
      <c r="RJ60" s="111">
        <v>1</v>
      </c>
      <c r="RK60" s="111">
        <v>1</v>
      </c>
      <c r="RL60" s="111">
        <v>1</v>
      </c>
      <c r="RM60" s="111">
        <v>1</v>
      </c>
      <c r="RN60" s="111">
        <v>1</v>
      </c>
      <c r="RO60" s="111">
        <v>1</v>
      </c>
      <c r="RP60" s="111">
        <v>1</v>
      </c>
      <c r="RQ60" s="111">
        <v>1</v>
      </c>
      <c r="RR60" s="111">
        <v>1</v>
      </c>
      <c r="RS60" s="111">
        <v>1</v>
      </c>
      <c r="RT60" s="111">
        <v>1</v>
      </c>
      <c r="RU60" s="111">
        <v>1</v>
      </c>
      <c r="RV60" s="111">
        <v>1</v>
      </c>
      <c r="RW60" s="111">
        <v>1</v>
      </c>
      <c r="RX60" s="111">
        <v>1</v>
      </c>
      <c r="RY60" s="111">
        <v>1</v>
      </c>
      <c r="RZ60" s="111">
        <v>1</v>
      </c>
      <c r="SA60" s="111">
        <v>1</v>
      </c>
      <c r="SB60" s="111">
        <v>1</v>
      </c>
      <c r="SC60" s="111">
        <v>1</v>
      </c>
      <c r="SD60" s="111">
        <v>1</v>
      </c>
      <c r="SE60" s="111">
        <v>1</v>
      </c>
      <c r="SF60" s="111">
        <v>1</v>
      </c>
      <c r="SG60" s="111">
        <v>1</v>
      </c>
      <c r="SH60" s="111">
        <v>1</v>
      </c>
      <c r="SI60" s="111">
        <v>1</v>
      </c>
      <c r="SJ60" s="111">
        <v>1</v>
      </c>
      <c r="SK60" s="111">
        <v>1</v>
      </c>
      <c r="SL60" s="111">
        <v>1</v>
      </c>
      <c r="SM60" s="111">
        <v>1</v>
      </c>
      <c r="SN60" s="111">
        <v>1</v>
      </c>
      <c r="SO60" s="111">
        <v>1</v>
      </c>
      <c r="SP60" s="111">
        <v>1</v>
      </c>
      <c r="SQ60" s="111">
        <v>1</v>
      </c>
      <c r="SR60" s="111">
        <v>1</v>
      </c>
      <c r="SS60" s="111">
        <v>1</v>
      </c>
      <c r="ST60" s="111">
        <v>1</v>
      </c>
      <c r="SU60" s="111">
        <v>1</v>
      </c>
      <c r="SV60" s="111">
        <v>1</v>
      </c>
      <c r="SW60" s="111">
        <v>1</v>
      </c>
      <c r="SX60" s="111">
        <v>1</v>
      </c>
      <c r="SY60" s="111">
        <v>1</v>
      </c>
      <c r="SZ60" s="111">
        <v>1</v>
      </c>
      <c r="TA60" s="111">
        <v>1</v>
      </c>
      <c r="TB60" s="111">
        <v>1</v>
      </c>
      <c r="TC60" s="111">
        <v>1</v>
      </c>
      <c r="TD60" s="111">
        <v>1</v>
      </c>
      <c r="TE60" s="111">
        <v>1</v>
      </c>
      <c r="TF60" s="111">
        <v>1</v>
      </c>
      <c r="TG60" s="111">
        <v>1</v>
      </c>
      <c r="TH60" s="111">
        <v>1</v>
      </c>
      <c r="TI60" s="111">
        <v>1</v>
      </c>
      <c r="TJ60" s="111">
        <v>1</v>
      </c>
      <c r="TK60" s="111">
        <v>1</v>
      </c>
      <c r="TL60" s="111">
        <v>1</v>
      </c>
      <c r="TM60" s="111">
        <v>1</v>
      </c>
      <c r="TN60" s="111">
        <v>1</v>
      </c>
      <c r="TO60" s="111">
        <v>1</v>
      </c>
      <c r="TP60" s="111">
        <v>1</v>
      </c>
      <c r="TQ60" s="111">
        <v>1</v>
      </c>
      <c r="TR60" s="111">
        <v>1</v>
      </c>
      <c r="TS60" s="111">
        <v>1</v>
      </c>
      <c r="TT60" s="111">
        <v>1</v>
      </c>
      <c r="TU60" s="111">
        <v>1</v>
      </c>
      <c r="TV60" s="111">
        <v>1</v>
      </c>
      <c r="TW60" s="111">
        <v>1</v>
      </c>
      <c r="TX60" s="111">
        <v>1</v>
      </c>
      <c r="TY60" s="111">
        <v>1</v>
      </c>
      <c r="TZ60" s="111">
        <v>1</v>
      </c>
      <c r="UA60" s="111">
        <v>1</v>
      </c>
      <c r="UB60" s="111">
        <v>1</v>
      </c>
      <c r="UC60" s="111">
        <v>1</v>
      </c>
      <c r="UD60" s="111">
        <v>1</v>
      </c>
      <c r="UE60" s="111">
        <v>1</v>
      </c>
      <c r="UF60" s="111">
        <v>1</v>
      </c>
      <c r="UG60" s="111">
        <v>1</v>
      </c>
      <c r="UH60" s="111">
        <v>1</v>
      </c>
      <c r="UI60" s="111">
        <v>1</v>
      </c>
      <c r="UJ60" s="111">
        <v>1</v>
      </c>
      <c r="UK60" s="111">
        <v>1</v>
      </c>
      <c r="UL60" s="111">
        <v>1</v>
      </c>
      <c r="UM60" s="111">
        <v>1</v>
      </c>
      <c r="UN60" s="111">
        <v>1</v>
      </c>
      <c r="UO60" s="111">
        <v>1</v>
      </c>
      <c r="UP60" s="111">
        <v>1</v>
      </c>
      <c r="UQ60" s="111">
        <v>1</v>
      </c>
      <c r="UR60" s="111">
        <v>1</v>
      </c>
      <c r="US60" s="111">
        <v>1</v>
      </c>
      <c r="UT60" s="111">
        <v>1</v>
      </c>
      <c r="UU60" s="111">
        <v>1</v>
      </c>
      <c r="UV60" s="111">
        <v>1</v>
      </c>
      <c r="UW60" s="111">
        <v>1</v>
      </c>
      <c r="UX60" s="111">
        <v>1</v>
      </c>
      <c r="UY60" s="111">
        <v>1</v>
      </c>
      <c r="UZ60" s="111">
        <v>1</v>
      </c>
      <c r="VA60" s="111">
        <v>1</v>
      </c>
      <c r="VB60" s="111">
        <v>1</v>
      </c>
      <c r="VC60" s="111">
        <v>1</v>
      </c>
      <c r="VD60" s="111">
        <v>1</v>
      </c>
      <c r="VE60" s="111">
        <v>1</v>
      </c>
      <c r="VF60" s="111">
        <v>1</v>
      </c>
      <c r="VG60" s="111">
        <v>1</v>
      </c>
      <c r="VH60" s="111">
        <v>1</v>
      </c>
      <c r="VI60" s="111">
        <v>1</v>
      </c>
      <c r="VJ60" s="111">
        <v>1</v>
      </c>
      <c r="VK60" s="111">
        <v>1</v>
      </c>
      <c r="VL60" s="111">
        <v>1</v>
      </c>
      <c r="VM60" s="111">
        <v>1</v>
      </c>
      <c r="VN60" s="111">
        <v>1</v>
      </c>
      <c r="VO60" s="111">
        <v>1</v>
      </c>
      <c r="VP60" s="111">
        <v>1</v>
      </c>
      <c r="VQ60" s="111">
        <v>1</v>
      </c>
      <c r="VR60" s="111">
        <v>1</v>
      </c>
      <c r="VS60" s="111">
        <v>1</v>
      </c>
      <c r="VT60" s="111">
        <v>1</v>
      </c>
      <c r="VU60" s="111">
        <v>1</v>
      </c>
      <c r="VV60" s="111">
        <v>1</v>
      </c>
      <c r="VW60" s="111">
        <v>1</v>
      </c>
      <c r="VX60" s="111">
        <v>1</v>
      </c>
      <c r="VY60" s="111">
        <v>1</v>
      </c>
      <c r="VZ60" s="111">
        <v>1</v>
      </c>
      <c r="WA60" s="111">
        <v>1</v>
      </c>
      <c r="WB60" s="111">
        <v>1</v>
      </c>
      <c r="WC60" s="111">
        <v>1</v>
      </c>
      <c r="WD60" s="111">
        <v>1</v>
      </c>
      <c r="WE60" s="111">
        <v>1</v>
      </c>
      <c r="WF60" s="111">
        <v>1</v>
      </c>
      <c r="WG60" s="111">
        <v>1</v>
      </c>
      <c r="WH60" s="111">
        <v>1</v>
      </c>
      <c r="WI60" s="111">
        <v>1</v>
      </c>
      <c r="WJ60" s="111">
        <v>1</v>
      </c>
      <c r="WK60" s="111">
        <v>1</v>
      </c>
      <c r="WL60" s="111">
        <v>1</v>
      </c>
      <c r="WM60" s="111">
        <v>1</v>
      </c>
      <c r="WN60" s="111">
        <v>1</v>
      </c>
      <c r="WO60" s="111">
        <v>1</v>
      </c>
      <c r="WP60" s="111">
        <v>1</v>
      </c>
      <c r="WQ60" s="111">
        <v>1</v>
      </c>
      <c r="WR60" s="111">
        <v>1</v>
      </c>
      <c r="WS60" s="111">
        <v>1</v>
      </c>
      <c r="WT60" s="111">
        <v>1</v>
      </c>
      <c r="WU60" s="111">
        <v>1</v>
      </c>
      <c r="WV60" s="111">
        <v>1</v>
      </c>
      <c r="WW60" s="111">
        <v>1</v>
      </c>
      <c r="WX60" s="111">
        <v>1</v>
      </c>
      <c r="WY60" s="111">
        <v>1</v>
      </c>
      <c r="WZ60" s="111">
        <v>1</v>
      </c>
      <c r="XA60" s="111">
        <v>1</v>
      </c>
      <c r="XB60" s="111">
        <v>1</v>
      </c>
      <c r="XC60" s="111">
        <v>1</v>
      </c>
      <c r="XD60" s="111">
        <v>1</v>
      </c>
      <c r="XE60" s="111">
        <v>1</v>
      </c>
      <c r="XF60" s="111">
        <v>1</v>
      </c>
      <c r="XG60" s="111">
        <v>1</v>
      </c>
      <c r="XH60" s="111">
        <v>1</v>
      </c>
      <c r="XI60" s="111">
        <v>1</v>
      </c>
      <c r="XJ60" s="111">
        <v>1</v>
      </c>
      <c r="XK60" s="111">
        <v>1</v>
      </c>
      <c r="XL60" s="111">
        <v>1</v>
      </c>
      <c r="XM60" s="111">
        <v>1</v>
      </c>
      <c r="XN60" s="111">
        <v>1</v>
      </c>
      <c r="XO60" s="111">
        <v>1</v>
      </c>
      <c r="XP60" s="111">
        <v>1</v>
      </c>
      <c r="XQ60" s="111">
        <v>1</v>
      </c>
      <c r="XR60" s="111">
        <v>1</v>
      </c>
      <c r="XS60" s="111">
        <v>1</v>
      </c>
      <c r="XT60" s="111">
        <v>1</v>
      </c>
      <c r="XU60" s="111">
        <v>1</v>
      </c>
      <c r="XV60" s="111">
        <v>1</v>
      </c>
      <c r="XW60" s="111">
        <v>1</v>
      </c>
      <c r="XX60" s="111">
        <v>1</v>
      </c>
      <c r="XY60" s="111">
        <v>1</v>
      </c>
      <c r="XZ60" s="111">
        <v>1</v>
      </c>
      <c r="YA60" s="111">
        <v>1</v>
      </c>
      <c r="YB60" s="111">
        <v>1</v>
      </c>
      <c r="YC60" s="111">
        <v>1</v>
      </c>
      <c r="YD60" s="111">
        <v>1</v>
      </c>
      <c r="YE60" s="111">
        <v>1</v>
      </c>
      <c r="YF60" s="111">
        <v>1</v>
      </c>
      <c r="YG60" s="111">
        <v>1</v>
      </c>
      <c r="YH60" s="111">
        <v>1</v>
      </c>
      <c r="YI60" s="111">
        <v>1</v>
      </c>
      <c r="YJ60" s="111">
        <v>1</v>
      </c>
      <c r="YK60" s="111">
        <v>1</v>
      </c>
      <c r="YL60" s="111">
        <v>1</v>
      </c>
      <c r="YM60" s="111">
        <v>1</v>
      </c>
      <c r="YN60" s="111">
        <v>1</v>
      </c>
      <c r="YO60" s="111">
        <v>1</v>
      </c>
      <c r="YP60" s="111">
        <v>1</v>
      </c>
      <c r="YQ60" s="111">
        <v>1</v>
      </c>
      <c r="YR60" s="111">
        <v>1</v>
      </c>
      <c r="YS60" s="111">
        <v>1</v>
      </c>
      <c r="YT60" s="111">
        <v>1</v>
      </c>
      <c r="YU60" s="111">
        <v>1</v>
      </c>
      <c r="YV60" s="111">
        <v>1</v>
      </c>
      <c r="YW60" s="111">
        <v>1</v>
      </c>
      <c r="YX60" s="111">
        <v>1</v>
      </c>
      <c r="YY60" s="111">
        <v>1</v>
      </c>
      <c r="YZ60" s="111">
        <v>1</v>
      </c>
      <c r="ZA60" s="111">
        <v>1</v>
      </c>
      <c r="ZB60" s="111">
        <v>1</v>
      </c>
      <c r="ZC60" s="111">
        <v>1</v>
      </c>
      <c r="ZD60" s="111">
        <v>1</v>
      </c>
      <c r="ZE60" s="111">
        <v>1</v>
      </c>
      <c r="ZF60" s="111">
        <v>1</v>
      </c>
      <c r="ZG60" s="111">
        <v>1</v>
      </c>
      <c r="ZH60" s="111">
        <v>1</v>
      </c>
      <c r="ZI60" s="111">
        <v>1</v>
      </c>
      <c r="ZJ60" s="111">
        <v>1</v>
      </c>
      <c r="ZK60" s="111">
        <v>1</v>
      </c>
      <c r="ZL60" s="111">
        <v>1</v>
      </c>
      <c r="ZM60" s="111">
        <v>1</v>
      </c>
      <c r="ZN60" s="111">
        <v>1</v>
      </c>
      <c r="ZO60" s="111">
        <v>1</v>
      </c>
      <c r="ZP60" s="111">
        <v>1</v>
      </c>
      <c r="ZQ60" s="111">
        <v>1</v>
      </c>
      <c r="ZR60" s="111">
        <v>1</v>
      </c>
      <c r="ZS60" s="111">
        <v>1</v>
      </c>
      <c r="ZT60" s="111">
        <v>1</v>
      </c>
      <c r="ZU60" s="111">
        <v>1</v>
      </c>
      <c r="ZV60" s="111">
        <v>1</v>
      </c>
      <c r="ZW60" s="111">
        <v>1</v>
      </c>
      <c r="ZX60" s="111">
        <v>1</v>
      </c>
      <c r="ZY60" s="111">
        <v>1</v>
      </c>
      <c r="ZZ60" s="111">
        <v>1</v>
      </c>
      <c r="AAA60" s="111">
        <v>1</v>
      </c>
      <c r="AAB60" s="111">
        <v>1</v>
      </c>
      <c r="AAC60" s="111">
        <v>1</v>
      </c>
      <c r="AAD60" s="111">
        <v>1</v>
      </c>
      <c r="AAE60" s="111">
        <v>1</v>
      </c>
      <c r="AAF60" s="111">
        <v>1</v>
      </c>
      <c r="AAG60" s="111">
        <v>1</v>
      </c>
      <c r="AAH60" s="111">
        <v>1</v>
      </c>
      <c r="AAI60" s="111">
        <v>1</v>
      </c>
      <c r="AAJ60" s="111">
        <v>1</v>
      </c>
      <c r="AAK60" s="111">
        <v>1</v>
      </c>
      <c r="AAL60" s="111">
        <v>1</v>
      </c>
      <c r="AAM60" s="111">
        <v>1</v>
      </c>
      <c r="AAN60" s="111">
        <v>1</v>
      </c>
      <c r="AAO60" s="111">
        <v>1</v>
      </c>
      <c r="AAP60" s="111">
        <v>1</v>
      </c>
      <c r="AAQ60" s="111">
        <v>1</v>
      </c>
      <c r="AAR60" s="111">
        <v>1</v>
      </c>
      <c r="AAS60" s="111">
        <v>1</v>
      </c>
      <c r="AAT60" s="111">
        <v>1</v>
      </c>
      <c r="AAU60" s="111">
        <v>1</v>
      </c>
      <c r="AAV60" s="111">
        <v>1</v>
      </c>
      <c r="AAW60" s="111">
        <v>1</v>
      </c>
      <c r="AAX60" s="111">
        <v>1</v>
      </c>
      <c r="AAY60" s="111">
        <v>1</v>
      </c>
      <c r="AAZ60" s="111">
        <v>1</v>
      </c>
      <c r="ABA60" s="111">
        <v>1</v>
      </c>
      <c r="ABB60" s="111">
        <v>1</v>
      </c>
      <c r="ABC60" s="111">
        <v>1</v>
      </c>
      <c r="ABD60" s="111">
        <v>1</v>
      </c>
      <c r="ABE60" s="111">
        <v>1</v>
      </c>
      <c r="ABF60" s="111">
        <v>1</v>
      </c>
      <c r="ABG60" s="111">
        <v>1</v>
      </c>
      <c r="ABH60" s="111">
        <v>1</v>
      </c>
      <c r="ABI60" s="111">
        <v>1</v>
      </c>
      <c r="ABJ60" s="111">
        <v>1</v>
      </c>
      <c r="ABK60" s="111">
        <v>1</v>
      </c>
      <c r="ABL60" s="111">
        <v>1</v>
      </c>
      <c r="ABM60" s="111">
        <v>1</v>
      </c>
      <c r="ABN60" s="111">
        <v>1</v>
      </c>
      <c r="ABO60" s="111">
        <v>1</v>
      </c>
      <c r="ABP60" s="111">
        <v>1</v>
      </c>
      <c r="ABQ60" s="111">
        <v>1</v>
      </c>
      <c r="ABR60" s="111">
        <v>1</v>
      </c>
      <c r="ABS60" s="111">
        <v>1</v>
      </c>
      <c r="ABT60" s="111">
        <v>1</v>
      </c>
      <c r="ABU60" s="111">
        <v>1</v>
      </c>
      <c r="ABV60" s="111">
        <v>1</v>
      </c>
      <c r="ABW60" s="111">
        <v>1</v>
      </c>
      <c r="ABX60" s="111">
        <v>1</v>
      </c>
      <c r="ABY60" s="111">
        <v>1</v>
      </c>
      <c r="ABZ60" s="111">
        <v>1</v>
      </c>
      <c r="ACA60" s="111">
        <v>1</v>
      </c>
      <c r="ACB60" s="111">
        <v>1</v>
      </c>
      <c r="ACC60" s="111">
        <v>1</v>
      </c>
      <c r="ACD60" s="111">
        <v>1</v>
      </c>
      <c r="ACE60" s="111">
        <v>1</v>
      </c>
      <c r="ACF60" s="111">
        <v>1</v>
      </c>
      <c r="ACG60" s="111">
        <v>1</v>
      </c>
      <c r="ACH60" s="111">
        <v>1</v>
      </c>
      <c r="ACI60" s="111">
        <v>1</v>
      </c>
      <c r="ACJ60" s="111">
        <v>1</v>
      </c>
      <c r="ACK60" s="111">
        <v>1</v>
      </c>
      <c r="ACL60" s="111">
        <v>1</v>
      </c>
      <c r="ACM60" s="111">
        <v>1</v>
      </c>
      <c r="ACN60" s="111">
        <v>1</v>
      </c>
      <c r="ACO60" s="111">
        <v>1</v>
      </c>
      <c r="ACP60" s="111">
        <v>1</v>
      </c>
      <c r="ACQ60" s="111">
        <v>1</v>
      </c>
      <c r="ACR60" s="111">
        <v>1</v>
      </c>
      <c r="ACS60" s="111">
        <v>1</v>
      </c>
      <c r="ACT60" s="111">
        <v>1</v>
      </c>
      <c r="ACU60" s="111">
        <v>1</v>
      </c>
      <c r="ACV60" s="111">
        <v>1</v>
      </c>
      <c r="ACW60" s="111">
        <v>1</v>
      </c>
      <c r="ACX60" s="111">
        <v>1</v>
      </c>
      <c r="ACY60" s="111">
        <v>1</v>
      </c>
      <c r="ACZ60" s="111">
        <v>1</v>
      </c>
      <c r="ADA60" s="111">
        <v>1</v>
      </c>
      <c r="ADB60" s="111">
        <v>1</v>
      </c>
      <c r="ADC60" s="111">
        <v>1</v>
      </c>
      <c r="ADD60" s="111">
        <v>1</v>
      </c>
      <c r="ADE60" s="111">
        <v>1</v>
      </c>
      <c r="ADF60" s="111">
        <v>1</v>
      </c>
      <c r="ADG60" s="111">
        <v>1</v>
      </c>
      <c r="ADH60" s="111">
        <v>1</v>
      </c>
      <c r="ADI60" s="111">
        <v>1</v>
      </c>
      <c r="ADJ60" s="111">
        <v>1</v>
      </c>
      <c r="ADK60" s="111">
        <v>1</v>
      </c>
      <c r="ADL60" s="111">
        <v>1</v>
      </c>
      <c r="ADM60" s="111">
        <v>1</v>
      </c>
      <c r="ADN60" s="111">
        <v>1</v>
      </c>
      <c r="ADO60" s="111">
        <v>1</v>
      </c>
      <c r="ADP60" s="111">
        <v>1</v>
      </c>
      <c r="ADQ60" s="111">
        <v>1</v>
      </c>
      <c r="ADR60" s="111">
        <v>1</v>
      </c>
      <c r="ADS60" s="111">
        <v>1</v>
      </c>
      <c r="ADT60" s="111">
        <v>1</v>
      </c>
      <c r="ADU60" s="111">
        <v>1</v>
      </c>
      <c r="ADV60" s="111">
        <v>1</v>
      </c>
      <c r="ADW60" s="111">
        <v>1</v>
      </c>
      <c r="ADX60" s="111">
        <v>1</v>
      </c>
      <c r="ADY60" s="111">
        <v>1</v>
      </c>
      <c r="ADZ60" s="111">
        <v>1</v>
      </c>
      <c r="AEA60" s="111">
        <v>1</v>
      </c>
      <c r="AEB60" s="111">
        <v>1</v>
      </c>
      <c r="AEC60" s="111">
        <v>1</v>
      </c>
      <c r="AED60" s="111">
        <v>1</v>
      </c>
      <c r="AEE60" s="111">
        <v>1</v>
      </c>
      <c r="AEF60" s="111">
        <v>1</v>
      </c>
      <c r="AEG60" s="111">
        <v>1</v>
      </c>
      <c r="AEH60" s="111">
        <v>1</v>
      </c>
      <c r="AEI60" s="111">
        <v>1</v>
      </c>
      <c r="AEJ60" s="111">
        <v>1</v>
      </c>
      <c r="AEK60" s="111">
        <v>1</v>
      </c>
      <c r="AEL60" s="111">
        <v>1</v>
      </c>
      <c r="AEM60" s="111">
        <v>1</v>
      </c>
      <c r="AEN60" s="111">
        <v>1</v>
      </c>
      <c r="AEO60" s="111">
        <v>1</v>
      </c>
      <c r="AEP60" s="111">
        <v>1</v>
      </c>
      <c r="AEQ60" s="111">
        <v>1</v>
      </c>
      <c r="AER60" s="111">
        <v>1</v>
      </c>
      <c r="AES60" s="111">
        <v>1</v>
      </c>
      <c r="AET60" s="111">
        <v>1</v>
      </c>
      <c r="AEU60" s="111">
        <v>1</v>
      </c>
      <c r="AEV60" s="111">
        <v>1</v>
      </c>
      <c r="AEW60" s="111">
        <v>1</v>
      </c>
      <c r="AEX60" s="111">
        <v>1</v>
      </c>
      <c r="AEY60" s="111">
        <v>1</v>
      </c>
      <c r="AEZ60" s="111">
        <v>1</v>
      </c>
      <c r="AFA60" s="111">
        <v>1</v>
      </c>
      <c r="AFB60" s="111">
        <v>1</v>
      </c>
      <c r="AFC60" s="111">
        <v>1</v>
      </c>
      <c r="AFD60" s="111">
        <v>1</v>
      </c>
      <c r="AFE60" s="111">
        <v>1</v>
      </c>
      <c r="AFF60" s="111">
        <v>1</v>
      </c>
      <c r="AFG60" s="111">
        <v>1</v>
      </c>
      <c r="AFH60" s="111">
        <v>1</v>
      </c>
      <c r="AFI60" s="111">
        <v>1</v>
      </c>
      <c r="AFJ60" s="111">
        <v>1</v>
      </c>
      <c r="AFK60" s="111">
        <v>1</v>
      </c>
      <c r="AFL60" s="111">
        <v>1</v>
      </c>
      <c r="AFM60" s="111">
        <v>1</v>
      </c>
      <c r="AFN60" s="111">
        <v>1</v>
      </c>
      <c r="AFO60" s="111">
        <v>1</v>
      </c>
      <c r="AFP60" s="111">
        <v>1</v>
      </c>
      <c r="AFQ60" s="111">
        <v>1</v>
      </c>
      <c r="AFR60" s="111">
        <v>1</v>
      </c>
      <c r="AFS60" s="111">
        <v>1</v>
      </c>
      <c r="AFT60" s="111">
        <v>1</v>
      </c>
      <c r="AFU60" s="111">
        <v>1</v>
      </c>
      <c r="AFV60" s="111">
        <v>1</v>
      </c>
      <c r="AFW60" s="111">
        <v>1</v>
      </c>
      <c r="AFX60" s="111">
        <v>1</v>
      </c>
      <c r="AFY60" s="111">
        <v>1</v>
      </c>
      <c r="AFZ60" s="111">
        <v>1</v>
      </c>
      <c r="AGA60" s="111">
        <v>1</v>
      </c>
      <c r="AGB60" s="111">
        <v>1</v>
      </c>
      <c r="AGC60" s="111">
        <v>1</v>
      </c>
      <c r="AGD60" s="111">
        <v>1</v>
      </c>
      <c r="AGE60" s="111">
        <v>1</v>
      </c>
      <c r="AGF60" s="111">
        <v>1</v>
      </c>
      <c r="AGG60" s="111">
        <v>1</v>
      </c>
      <c r="AGH60" s="111">
        <v>1</v>
      </c>
      <c r="AGI60" s="111">
        <v>1</v>
      </c>
      <c r="AGJ60" s="111">
        <v>1</v>
      </c>
      <c r="AGK60" s="111">
        <v>1</v>
      </c>
      <c r="AGL60" s="111">
        <v>1</v>
      </c>
      <c r="AGM60" s="111">
        <v>1</v>
      </c>
      <c r="AGN60" s="111">
        <v>1</v>
      </c>
      <c r="AGO60" s="111">
        <v>1</v>
      </c>
      <c r="AGP60" s="111">
        <v>1</v>
      </c>
      <c r="AGQ60" s="111">
        <v>1</v>
      </c>
      <c r="AGR60" s="111">
        <v>1</v>
      </c>
      <c r="AGS60" s="111">
        <v>1</v>
      </c>
      <c r="AGT60" s="111">
        <v>1</v>
      </c>
      <c r="AGU60" s="111">
        <v>1</v>
      </c>
      <c r="AGV60" s="111">
        <v>1</v>
      </c>
      <c r="AGW60" s="111">
        <v>1</v>
      </c>
      <c r="AGX60" s="111">
        <v>1</v>
      </c>
      <c r="AGY60" s="111">
        <v>1</v>
      </c>
      <c r="AGZ60" s="111">
        <v>1</v>
      </c>
      <c r="AHA60" s="111">
        <v>1</v>
      </c>
      <c r="AHB60" s="111">
        <v>1</v>
      </c>
      <c r="AHC60" s="111">
        <v>1</v>
      </c>
      <c r="AHD60" s="111">
        <v>1</v>
      </c>
      <c r="AHE60" s="111">
        <v>1</v>
      </c>
      <c r="AHF60" s="111">
        <v>1</v>
      </c>
      <c r="AHG60" s="111">
        <v>1</v>
      </c>
      <c r="AHH60" s="111">
        <v>1</v>
      </c>
      <c r="AHI60" s="111">
        <v>1</v>
      </c>
      <c r="AHJ60" s="111">
        <v>1</v>
      </c>
      <c r="AHK60" s="111">
        <v>1</v>
      </c>
      <c r="AHL60" s="111">
        <v>1</v>
      </c>
      <c r="AHM60" s="111">
        <v>1</v>
      </c>
      <c r="AHN60" s="111">
        <v>1</v>
      </c>
      <c r="AHO60" s="111">
        <v>1</v>
      </c>
      <c r="AHP60" s="111">
        <v>1</v>
      </c>
      <c r="AHQ60" s="111">
        <v>1</v>
      </c>
      <c r="AHR60" s="111">
        <v>1</v>
      </c>
      <c r="AHS60" s="111">
        <v>1</v>
      </c>
      <c r="AHT60" s="111">
        <v>1</v>
      </c>
      <c r="AHU60" s="111">
        <v>1</v>
      </c>
      <c r="AHV60" s="111">
        <v>1</v>
      </c>
      <c r="AHW60" s="111">
        <v>1</v>
      </c>
      <c r="AHX60" s="111">
        <v>1</v>
      </c>
      <c r="AHY60" s="111">
        <v>1</v>
      </c>
      <c r="AHZ60" s="111">
        <v>1</v>
      </c>
      <c r="AIA60" s="111">
        <v>1</v>
      </c>
      <c r="AIB60" s="111">
        <v>1</v>
      </c>
      <c r="AIC60" s="111">
        <v>1</v>
      </c>
      <c r="AID60" s="111">
        <v>1</v>
      </c>
      <c r="AIE60" s="111">
        <v>1</v>
      </c>
      <c r="AIF60" s="111">
        <v>1</v>
      </c>
      <c r="AIG60" s="111">
        <v>1</v>
      </c>
      <c r="AIH60" s="111">
        <v>1</v>
      </c>
      <c r="AII60" s="111">
        <v>1</v>
      </c>
      <c r="AIJ60" s="111">
        <v>1</v>
      </c>
      <c r="AIK60" s="111">
        <v>1</v>
      </c>
      <c r="AIL60" s="111">
        <v>1</v>
      </c>
      <c r="AIM60" s="111">
        <v>1</v>
      </c>
      <c r="AIN60" s="111">
        <v>1</v>
      </c>
      <c r="AIO60" s="111">
        <v>1</v>
      </c>
      <c r="AIP60" s="111">
        <v>1</v>
      </c>
      <c r="AIQ60" s="111">
        <v>1</v>
      </c>
      <c r="AIR60" s="111">
        <v>1</v>
      </c>
      <c r="AIS60" s="111">
        <v>1</v>
      </c>
      <c r="AIT60" s="111">
        <v>1</v>
      </c>
      <c r="AIU60" s="111">
        <v>1</v>
      </c>
      <c r="AIV60" s="111">
        <v>1</v>
      </c>
      <c r="AIW60" s="111">
        <v>1</v>
      </c>
      <c r="AIX60" s="111">
        <v>1</v>
      </c>
      <c r="AIY60" s="111">
        <v>1</v>
      </c>
      <c r="AIZ60" s="111">
        <v>1</v>
      </c>
      <c r="AJA60" s="111">
        <v>1</v>
      </c>
      <c r="AJB60" s="111">
        <v>1</v>
      </c>
      <c r="AJC60" s="111">
        <v>1</v>
      </c>
      <c r="AJD60" s="111">
        <v>1</v>
      </c>
      <c r="AJE60" s="111">
        <v>1</v>
      </c>
      <c r="AJF60" s="111">
        <v>1</v>
      </c>
      <c r="AJG60" s="111">
        <v>1</v>
      </c>
      <c r="AJH60" s="111">
        <v>1</v>
      </c>
      <c r="AJI60" s="111">
        <v>1</v>
      </c>
      <c r="AJJ60" s="111">
        <v>1</v>
      </c>
      <c r="AJK60" s="111">
        <v>1</v>
      </c>
      <c r="AJL60" s="111">
        <v>1</v>
      </c>
      <c r="AJM60" s="111">
        <v>1</v>
      </c>
      <c r="AJN60" s="111">
        <v>1</v>
      </c>
      <c r="AJO60" s="111">
        <v>1</v>
      </c>
      <c r="AJP60" s="111">
        <v>1</v>
      </c>
      <c r="AJQ60" s="111">
        <v>1</v>
      </c>
      <c r="AJR60" s="111">
        <v>1</v>
      </c>
      <c r="AJS60" s="111">
        <v>1</v>
      </c>
      <c r="AJT60" s="111">
        <v>1</v>
      </c>
      <c r="AJU60" s="111">
        <v>1</v>
      </c>
      <c r="AJV60" s="111">
        <v>1</v>
      </c>
      <c r="AJW60" s="111">
        <v>1</v>
      </c>
      <c r="AJX60" s="111">
        <v>1</v>
      </c>
      <c r="AJY60" s="111">
        <v>1</v>
      </c>
      <c r="AJZ60" s="111">
        <v>1</v>
      </c>
      <c r="AKA60" s="111">
        <v>1</v>
      </c>
      <c r="AKB60" s="111">
        <v>1</v>
      </c>
      <c r="AKC60" s="111">
        <v>1</v>
      </c>
      <c r="AKD60" s="111">
        <v>1</v>
      </c>
      <c r="AKE60" s="111">
        <v>1</v>
      </c>
      <c r="AKF60" s="111">
        <v>1</v>
      </c>
      <c r="AKG60" s="111">
        <v>1</v>
      </c>
      <c r="AKH60" s="111">
        <v>1</v>
      </c>
      <c r="AKI60" s="111">
        <v>1</v>
      </c>
      <c r="AKJ60" s="111">
        <v>1</v>
      </c>
      <c r="AKK60" s="111">
        <v>1</v>
      </c>
      <c r="AKL60" s="111">
        <v>1</v>
      </c>
      <c r="AKM60" s="111">
        <v>1</v>
      </c>
      <c r="AKN60" s="111">
        <v>1</v>
      </c>
      <c r="AKO60" s="111">
        <v>1</v>
      </c>
      <c r="AKP60" s="111">
        <v>1</v>
      </c>
      <c r="AKQ60" s="111">
        <v>1</v>
      </c>
      <c r="AKR60" s="111">
        <v>1</v>
      </c>
      <c r="AKS60" s="111">
        <v>1</v>
      </c>
      <c r="AKT60" s="111">
        <v>1</v>
      </c>
      <c r="AKU60" s="111">
        <v>1</v>
      </c>
      <c r="AKV60" s="111">
        <v>1</v>
      </c>
      <c r="AKW60" s="111">
        <v>1</v>
      </c>
      <c r="AKX60" s="111">
        <v>1</v>
      </c>
      <c r="AKY60" s="111">
        <v>1</v>
      </c>
      <c r="AKZ60" s="111">
        <v>1</v>
      </c>
      <c r="ALA60" s="111">
        <v>1</v>
      </c>
      <c r="ALB60" s="111">
        <v>1</v>
      </c>
      <c r="ALC60" s="111">
        <v>1</v>
      </c>
      <c r="ALD60" s="111">
        <v>1</v>
      </c>
      <c r="ALE60" s="111">
        <v>1</v>
      </c>
      <c r="ALF60" s="111">
        <v>1</v>
      </c>
      <c r="ALG60" s="111">
        <v>1</v>
      </c>
      <c r="ALH60" s="111">
        <v>1</v>
      </c>
      <c r="ALI60" s="111">
        <v>1</v>
      </c>
      <c r="ALJ60" s="111">
        <v>1</v>
      </c>
      <c r="ALK60" s="111">
        <v>1</v>
      </c>
      <c r="ALL60" s="111">
        <v>1</v>
      </c>
      <c r="ALM60" s="111">
        <v>1</v>
      </c>
      <c r="ALN60" s="111">
        <v>1</v>
      </c>
      <c r="ALO60" s="111">
        <v>1</v>
      </c>
      <c r="ALP60" s="111">
        <v>1</v>
      </c>
      <c r="ALQ60" s="111">
        <v>1</v>
      </c>
      <c r="ALR60" s="111">
        <v>1</v>
      </c>
      <c r="ALS60" s="111">
        <v>1</v>
      </c>
      <c r="ALT60" s="111">
        <v>1</v>
      </c>
      <c r="ALU60" s="111">
        <v>1</v>
      </c>
      <c r="ALV60" s="111">
        <v>1</v>
      </c>
      <c r="ALW60" s="111">
        <v>1</v>
      </c>
      <c r="ALX60" s="111">
        <v>1</v>
      </c>
      <c r="ALY60" s="111">
        <v>1</v>
      </c>
      <c r="ALZ60" s="111">
        <v>1</v>
      </c>
      <c r="AMA60" s="111">
        <v>1</v>
      </c>
      <c r="AMB60" s="111">
        <v>1</v>
      </c>
      <c r="AMC60" s="111">
        <v>1</v>
      </c>
      <c r="AMD60" s="111">
        <v>1</v>
      </c>
      <c r="AME60" s="111">
        <v>1</v>
      </c>
      <c r="AMF60" s="111">
        <v>1</v>
      </c>
      <c r="AMG60" s="111">
        <v>1</v>
      </c>
      <c r="AMH60" s="111">
        <v>1</v>
      </c>
      <c r="AMI60" s="111">
        <v>1</v>
      </c>
      <c r="AMJ60" s="111">
        <v>1</v>
      </c>
      <c r="AMK60" s="111">
        <v>1</v>
      </c>
      <c r="AML60" s="111">
        <v>1</v>
      </c>
      <c r="AMM60" s="111">
        <v>1</v>
      </c>
      <c r="AMN60" s="111">
        <v>1</v>
      </c>
      <c r="AMO60" s="111">
        <v>1</v>
      </c>
      <c r="AMP60" s="111">
        <v>1</v>
      </c>
      <c r="AMQ60" s="111">
        <v>1</v>
      </c>
      <c r="AMR60" s="111">
        <v>1</v>
      </c>
      <c r="AMS60" s="111">
        <v>1</v>
      </c>
      <c r="AMT60" s="111">
        <v>1</v>
      </c>
      <c r="AMU60" s="111">
        <v>1</v>
      </c>
      <c r="AMV60" s="111">
        <v>1</v>
      </c>
      <c r="AMW60" s="111">
        <v>1</v>
      </c>
      <c r="AMX60" s="111">
        <v>1</v>
      </c>
      <c r="AMY60" s="111">
        <v>1</v>
      </c>
      <c r="AMZ60" s="111">
        <v>1</v>
      </c>
      <c r="ANA60" s="111">
        <v>1</v>
      </c>
      <c r="ANB60" s="111">
        <v>1</v>
      </c>
      <c r="ANC60" s="111">
        <v>1</v>
      </c>
      <c r="AND60" s="111">
        <v>1</v>
      </c>
      <c r="ANE60" s="111">
        <v>1</v>
      </c>
      <c r="ANF60" s="111">
        <v>1</v>
      </c>
      <c r="ANG60" s="111">
        <v>1</v>
      </c>
      <c r="ANH60" s="111">
        <v>1</v>
      </c>
      <c r="ANI60" s="111">
        <v>1</v>
      </c>
      <c r="ANJ60" s="111">
        <v>1</v>
      </c>
      <c r="ANK60" s="111">
        <v>1</v>
      </c>
      <c r="ANL60" s="111">
        <v>1</v>
      </c>
      <c r="ANM60" s="111">
        <v>1</v>
      </c>
      <c r="ANN60" s="111">
        <v>1</v>
      </c>
      <c r="ANO60" s="111">
        <v>1</v>
      </c>
      <c r="ANP60" s="111">
        <v>1</v>
      </c>
      <c r="ANQ60" s="111">
        <v>1</v>
      </c>
      <c r="ANR60" s="111">
        <v>1</v>
      </c>
      <c r="ANS60" s="111">
        <v>1</v>
      </c>
      <c r="ANT60" s="111">
        <v>1</v>
      </c>
      <c r="ANU60" s="111">
        <v>1</v>
      </c>
      <c r="ANV60" s="111">
        <v>1</v>
      </c>
      <c r="ANW60" s="111">
        <v>1</v>
      </c>
      <c r="ANX60" s="111">
        <v>1</v>
      </c>
      <c r="ANY60" s="111">
        <v>1</v>
      </c>
      <c r="ANZ60" s="111">
        <v>1</v>
      </c>
      <c r="AOA60" s="111">
        <v>1</v>
      </c>
      <c r="AOB60" s="111">
        <v>1</v>
      </c>
      <c r="AOC60" s="111">
        <v>1</v>
      </c>
      <c r="AOD60" s="111">
        <v>1</v>
      </c>
      <c r="AOE60" s="111">
        <v>1</v>
      </c>
      <c r="AOF60" s="111">
        <v>1</v>
      </c>
      <c r="AOG60" s="111">
        <v>1</v>
      </c>
      <c r="AOH60" s="111">
        <v>1</v>
      </c>
      <c r="AOI60" s="111">
        <v>1</v>
      </c>
      <c r="AOJ60" s="111">
        <v>1</v>
      </c>
      <c r="AOK60" s="111">
        <v>1</v>
      </c>
      <c r="AOL60" s="111">
        <v>1</v>
      </c>
      <c r="AOM60" s="111">
        <v>1</v>
      </c>
      <c r="AON60" s="111">
        <v>1</v>
      </c>
      <c r="AOO60" s="111">
        <v>1</v>
      </c>
      <c r="AOP60" s="111">
        <v>1</v>
      </c>
      <c r="AOQ60" s="111">
        <v>1</v>
      </c>
      <c r="AOR60" s="111">
        <v>1</v>
      </c>
      <c r="AOS60" s="111">
        <v>1</v>
      </c>
      <c r="AOT60" s="111">
        <v>1</v>
      </c>
      <c r="AOU60" s="111">
        <v>1</v>
      </c>
      <c r="AOV60" s="111">
        <v>1</v>
      </c>
      <c r="AOW60" s="111">
        <v>1</v>
      </c>
      <c r="AOX60" s="111">
        <v>1</v>
      </c>
      <c r="AOY60" s="111">
        <v>1</v>
      </c>
      <c r="AOZ60" s="111">
        <v>1</v>
      </c>
      <c r="APA60" s="111">
        <v>1</v>
      </c>
      <c r="APB60" s="111">
        <v>1</v>
      </c>
      <c r="APC60" s="111">
        <v>1</v>
      </c>
      <c r="APD60" s="111">
        <v>1</v>
      </c>
      <c r="APE60" s="111">
        <v>1</v>
      </c>
      <c r="APF60" s="111">
        <v>1</v>
      </c>
      <c r="APG60" s="111">
        <v>1</v>
      </c>
      <c r="APH60" s="111">
        <v>1</v>
      </c>
      <c r="API60" s="111">
        <v>1</v>
      </c>
      <c r="APJ60" s="111">
        <v>1</v>
      </c>
      <c r="APK60" s="111">
        <v>1</v>
      </c>
      <c r="APL60" s="111">
        <v>1</v>
      </c>
      <c r="APM60" s="111">
        <v>1</v>
      </c>
      <c r="APN60" s="111">
        <v>1</v>
      </c>
      <c r="APO60" s="111">
        <v>1</v>
      </c>
      <c r="APP60" s="111">
        <v>1</v>
      </c>
      <c r="APQ60" s="111">
        <v>1</v>
      </c>
      <c r="APR60" s="111">
        <v>1</v>
      </c>
      <c r="APS60" s="111">
        <v>1</v>
      </c>
      <c r="APT60" s="111">
        <v>1</v>
      </c>
      <c r="APU60" s="111">
        <v>1</v>
      </c>
      <c r="APV60" s="111">
        <v>1</v>
      </c>
      <c r="APW60" s="111">
        <v>1</v>
      </c>
      <c r="APX60" s="111">
        <v>1</v>
      </c>
      <c r="APY60" s="111">
        <v>1</v>
      </c>
      <c r="APZ60" s="111">
        <v>1</v>
      </c>
      <c r="AQA60" s="111">
        <v>1</v>
      </c>
      <c r="AQB60" s="111">
        <v>1</v>
      </c>
      <c r="AQC60" s="111">
        <v>1</v>
      </c>
      <c r="AQD60" s="111">
        <v>1</v>
      </c>
      <c r="AQE60" s="111">
        <v>1</v>
      </c>
      <c r="AQF60" s="111">
        <v>1</v>
      </c>
      <c r="AQG60" s="111">
        <v>1</v>
      </c>
      <c r="AQH60" s="111">
        <v>1</v>
      </c>
      <c r="AQI60" s="111">
        <v>1</v>
      </c>
      <c r="AQJ60" s="111">
        <v>1</v>
      </c>
      <c r="AQK60" s="111">
        <v>1</v>
      </c>
      <c r="AQL60" s="111">
        <v>1</v>
      </c>
      <c r="AQM60" s="111">
        <v>1</v>
      </c>
      <c r="AQN60" s="111">
        <v>1</v>
      </c>
      <c r="AQO60" s="111">
        <v>1</v>
      </c>
      <c r="AQP60" s="111">
        <v>1</v>
      </c>
      <c r="AQQ60" s="111">
        <v>1</v>
      </c>
      <c r="AQR60" s="111">
        <v>1</v>
      </c>
      <c r="AQS60" s="111">
        <v>1</v>
      </c>
      <c r="AQT60" s="111">
        <v>1</v>
      </c>
      <c r="AQU60" s="111">
        <v>1</v>
      </c>
      <c r="AQV60" s="111">
        <v>1</v>
      </c>
      <c r="AQW60" s="111">
        <v>1</v>
      </c>
      <c r="AQX60" s="111">
        <v>1</v>
      </c>
      <c r="AQY60" s="111">
        <v>1</v>
      </c>
      <c r="AQZ60" s="111">
        <v>1</v>
      </c>
      <c r="ARA60" s="111">
        <v>1</v>
      </c>
      <c r="ARB60" s="111">
        <v>1</v>
      </c>
      <c r="ARC60" s="111">
        <v>1</v>
      </c>
      <c r="ARD60" s="111">
        <v>1</v>
      </c>
      <c r="ARE60" s="111">
        <v>1</v>
      </c>
      <c r="ARF60" s="111">
        <v>1</v>
      </c>
      <c r="ARG60" s="111">
        <v>1</v>
      </c>
      <c r="ARH60" s="111">
        <v>1</v>
      </c>
      <c r="ARI60" s="111">
        <v>1</v>
      </c>
      <c r="ARJ60" s="111">
        <v>1</v>
      </c>
      <c r="ARK60" s="111">
        <v>1</v>
      </c>
      <c r="ARL60" s="111">
        <v>1</v>
      </c>
      <c r="ARM60" s="111">
        <v>1</v>
      </c>
      <c r="ARN60" s="111">
        <v>1</v>
      </c>
      <c r="ARO60" s="111">
        <v>1</v>
      </c>
      <c r="ARP60" s="111">
        <v>1</v>
      </c>
      <c r="ARQ60" s="111">
        <v>1</v>
      </c>
      <c r="ARR60" s="111">
        <v>1</v>
      </c>
      <c r="ARS60" s="111">
        <v>1</v>
      </c>
      <c r="ART60" s="111">
        <v>1</v>
      </c>
      <c r="ARU60" s="111">
        <v>1</v>
      </c>
      <c r="ARV60" s="111">
        <v>1</v>
      </c>
      <c r="ARW60" s="111">
        <v>1</v>
      </c>
      <c r="ARX60" s="111">
        <v>1</v>
      </c>
      <c r="ARY60" s="111">
        <v>1</v>
      </c>
      <c r="ARZ60" s="111">
        <v>1</v>
      </c>
      <c r="ASA60" s="111">
        <v>1</v>
      </c>
      <c r="ASB60" s="111">
        <v>1</v>
      </c>
      <c r="ASC60" s="111">
        <v>1</v>
      </c>
      <c r="ASD60" s="111">
        <v>1</v>
      </c>
      <c r="ASE60" s="111">
        <v>1</v>
      </c>
      <c r="ASF60" s="111">
        <v>1</v>
      </c>
      <c r="ASG60" s="111">
        <v>1</v>
      </c>
      <c r="ASH60" s="111">
        <v>1</v>
      </c>
      <c r="ASI60" s="111">
        <v>1</v>
      </c>
      <c r="ASJ60" s="111">
        <v>1</v>
      </c>
      <c r="ASK60" s="111">
        <v>1</v>
      </c>
      <c r="ASL60" s="111">
        <v>1</v>
      </c>
      <c r="ASM60" s="111">
        <v>1</v>
      </c>
      <c r="ASN60" s="111">
        <v>1</v>
      </c>
      <c r="ASO60" s="111">
        <v>1</v>
      </c>
      <c r="ASP60" s="111">
        <v>1</v>
      </c>
      <c r="ASQ60" s="111">
        <v>1</v>
      </c>
      <c r="ASR60" s="111">
        <v>1</v>
      </c>
      <c r="ASS60" s="111">
        <v>1</v>
      </c>
      <c r="AST60" s="111">
        <v>1</v>
      </c>
      <c r="ASU60" s="111">
        <v>1</v>
      </c>
      <c r="ASV60" s="111">
        <v>1</v>
      </c>
      <c r="ASW60" s="111">
        <v>1</v>
      </c>
      <c r="ASX60" s="111">
        <v>1</v>
      </c>
      <c r="ASY60" s="111">
        <v>1</v>
      </c>
      <c r="ASZ60" s="111">
        <v>1</v>
      </c>
      <c r="ATA60" s="111">
        <v>1</v>
      </c>
      <c r="ATB60" s="111">
        <v>1</v>
      </c>
      <c r="ATC60" s="111">
        <v>1</v>
      </c>
      <c r="ATD60" s="111">
        <v>1</v>
      </c>
      <c r="ATE60" s="111">
        <v>1</v>
      </c>
      <c r="ATF60" s="111">
        <v>1</v>
      </c>
      <c r="ATG60" s="111">
        <v>1</v>
      </c>
      <c r="ATH60" s="111">
        <v>1</v>
      </c>
      <c r="ATI60" s="111">
        <v>1</v>
      </c>
      <c r="ATJ60" s="111">
        <v>1</v>
      </c>
      <c r="ATK60" s="111">
        <v>1</v>
      </c>
      <c r="ATL60" s="111">
        <v>1</v>
      </c>
      <c r="ATM60" s="111">
        <v>1</v>
      </c>
      <c r="ATN60" s="111">
        <v>1</v>
      </c>
      <c r="ATO60" s="111">
        <v>1</v>
      </c>
      <c r="ATP60" s="111">
        <v>1</v>
      </c>
      <c r="ATQ60" s="111">
        <v>1</v>
      </c>
      <c r="ATR60" s="111">
        <v>1</v>
      </c>
      <c r="ATS60" s="111">
        <v>1</v>
      </c>
      <c r="ATT60" s="111">
        <v>1</v>
      </c>
      <c r="ATU60" s="111">
        <v>1</v>
      </c>
      <c r="ATV60" s="111">
        <v>1</v>
      </c>
      <c r="ATW60" s="111">
        <v>1</v>
      </c>
      <c r="ATX60" s="111">
        <v>1</v>
      </c>
      <c r="ATY60" s="111">
        <v>1</v>
      </c>
      <c r="ATZ60" s="111">
        <v>1</v>
      </c>
      <c r="AUA60" s="111">
        <v>1</v>
      </c>
      <c r="AUB60" s="111">
        <v>1</v>
      </c>
      <c r="AUC60" s="111">
        <v>1</v>
      </c>
      <c r="AUD60" s="111">
        <v>1</v>
      </c>
      <c r="AUE60" s="111">
        <v>1</v>
      </c>
      <c r="AUF60" s="111">
        <v>1</v>
      </c>
      <c r="AUG60" s="111">
        <v>1</v>
      </c>
      <c r="AUH60" s="111">
        <v>1</v>
      </c>
      <c r="AUI60" s="111">
        <v>1</v>
      </c>
      <c r="AUJ60" s="111">
        <v>1</v>
      </c>
      <c r="AUK60" s="111">
        <v>1</v>
      </c>
      <c r="AUL60" s="111">
        <v>1</v>
      </c>
      <c r="AUM60" s="111">
        <v>1</v>
      </c>
      <c r="AUN60" s="111">
        <v>1</v>
      </c>
      <c r="AUO60" s="111">
        <v>1</v>
      </c>
      <c r="AUP60" s="111">
        <v>1</v>
      </c>
      <c r="AUQ60" s="111">
        <v>1</v>
      </c>
      <c r="AUR60" s="111">
        <v>1</v>
      </c>
      <c r="AUS60" s="111">
        <v>1</v>
      </c>
      <c r="AUT60" s="111">
        <v>1</v>
      </c>
      <c r="AUU60" s="111">
        <v>1</v>
      </c>
      <c r="AUV60" s="111">
        <v>1</v>
      </c>
      <c r="AUW60" s="111">
        <v>1</v>
      </c>
      <c r="AUX60" s="111">
        <v>1</v>
      </c>
      <c r="AUY60" s="111">
        <v>1</v>
      </c>
      <c r="AUZ60" s="111">
        <v>1</v>
      </c>
      <c r="AVA60" s="111">
        <v>1</v>
      </c>
      <c r="AVB60" s="111">
        <v>1</v>
      </c>
      <c r="AVC60" s="111">
        <v>1</v>
      </c>
      <c r="AVD60" s="111">
        <v>1</v>
      </c>
      <c r="AVE60" s="111">
        <v>1</v>
      </c>
      <c r="AVF60" s="111">
        <v>1</v>
      </c>
      <c r="AVG60" s="111">
        <v>1</v>
      </c>
      <c r="AVH60" s="111">
        <v>1</v>
      </c>
      <c r="AVI60" s="111">
        <v>1</v>
      </c>
      <c r="AVJ60" s="111">
        <v>1</v>
      </c>
      <c r="AVK60" s="111">
        <v>1</v>
      </c>
      <c r="AVL60" s="111">
        <v>1</v>
      </c>
      <c r="AVM60" s="111">
        <v>1</v>
      </c>
      <c r="AVN60" s="111">
        <v>1</v>
      </c>
      <c r="AVO60" s="111">
        <v>1</v>
      </c>
      <c r="AVP60" s="111">
        <v>1</v>
      </c>
      <c r="AVQ60" s="111">
        <v>1</v>
      </c>
      <c r="AVR60" s="111">
        <v>1</v>
      </c>
      <c r="AVS60" s="111">
        <v>1</v>
      </c>
      <c r="AVT60" s="111">
        <v>1</v>
      </c>
      <c r="AVU60" s="111">
        <v>1</v>
      </c>
      <c r="AVV60" s="111">
        <v>1</v>
      </c>
      <c r="AVW60" s="111">
        <v>1</v>
      </c>
      <c r="AVX60" s="111">
        <v>1</v>
      </c>
      <c r="AVY60" s="111">
        <v>1</v>
      </c>
      <c r="AVZ60" s="111">
        <v>1</v>
      </c>
      <c r="AWA60" s="111">
        <v>1</v>
      </c>
      <c r="AWB60" s="111">
        <v>1</v>
      </c>
      <c r="AWC60" s="111">
        <v>1</v>
      </c>
      <c r="AWD60" s="111">
        <v>1</v>
      </c>
      <c r="AWE60" s="111">
        <v>1</v>
      </c>
      <c r="AWF60" s="111">
        <v>1</v>
      </c>
      <c r="AWG60" s="111">
        <v>1</v>
      </c>
      <c r="AWH60" s="111">
        <v>1</v>
      </c>
      <c r="AWI60" s="111">
        <v>1</v>
      </c>
      <c r="AWJ60" s="111">
        <v>1</v>
      </c>
      <c r="AWK60" s="111">
        <v>1</v>
      </c>
      <c r="AWL60" s="111">
        <v>1</v>
      </c>
      <c r="AWM60" s="111">
        <v>1</v>
      </c>
      <c r="AWN60" s="111">
        <v>1</v>
      </c>
      <c r="AWO60" s="111">
        <v>1</v>
      </c>
      <c r="AWP60" s="111">
        <v>1</v>
      </c>
      <c r="AWQ60" s="111">
        <v>1</v>
      </c>
      <c r="AWR60" s="111">
        <v>1</v>
      </c>
      <c r="AWS60" s="111">
        <v>1</v>
      </c>
      <c r="AWT60" s="111">
        <v>1</v>
      </c>
      <c r="AWU60" s="111">
        <v>1</v>
      </c>
      <c r="AWV60" s="111">
        <v>1</v>
      </c>
      <c r="AWW60" s="111">
        <v>1</v>
      </c>
      <c r="AWX60" s="111">
        <v>1</v>
      </c>
      <c r="AWY60" s="111">
        <v>1</v>
      </c>
      <c r="AWZ60" s="111">
        <v>1</v>
      </c>
      <c r="AXA60" s="111">
        <v>1</v>
      </c>
      <c r="AXB60" s="111">
        <v>1</v>
      </c>
      <c r="AXC60" s="111">
        <v>1</v>
      </c>
      <c r="AXD60" s="111">
        <v>1</v>
      </c>
      <c r="AXE60" s="111">
        <v>1</v>
      </c>
      <c r="AXF60" s="111">
        <v>1</v>
      </c>
      <c r="AXG60" s="111">
        <v>1</v>
      </c>
      <c r="AXH60" s="111">
        <v>1</v>
      </c>
      <c r="AXI60" s="111">
        <v>1</v>
      </c>
      <c r="AXJ60" s="111">
        <v>1</v>
      </c>
      <c r="AXK60" s="111">
        <v>1</v>
      </c>
      <c r="AXL60" s="111">
        <v>1</v>
      </c>
      <c r="AXM60" s="111">
        <v>1</v>
      </c>
      <c r="AXN60" s="111">
        <v>1</v>
      </c>
      <c r="AXO60" s="111">
        <v>1</v>
      </c>
      <c r="AXP60" s="111">
        <v>1</v>
      </c>
      <c r="AXQ60" s="111">
        <v>1</v>
      </c>
      <c r="AXR60" s="111">
        <v>1</v>
      </c>
      <c r="AXS60" s="111">
        <v>1</v>
      </c>
      <c r="AXT60" s="111">
        <v>1</v>
      </c>
      <c r="AXU60" s="111">
        <v>1</v>
      </c>
      <c r="AXV60" s="111">
        <v>1</v>
      </c>
      <c r="AXW60" s="111">
        <v>1</v>
      </c>
      <c r="AXX60" s="111">
        <v>1</v>
      </c>
      <c r="AXY60" s="111">
        <v>1</v>
      </c>
      <c r="AXZ60" s="111">
        <v>1</v>
      </c>
      <c r="AYA60" s="111">
        <v>1</v>
      </c>
      <c r="AYB60" s="111">
        <v>1</v>
      </c>
      <c r="AYC60" s="111">
        <v>1</v>
      </c>
      <c r="AYD60" s="111">
        <v>1</v>
      </c>
      <c r="AYE60" s="111">
        <v>1</v>
      </c>
      <c r="AYF60" s="111">
        <v>1</v>
      </c>
      <c r="AYG60" s="111">
        <v>1</v>
      </c>
      <c r="AYH60" s="111">
        <v>1</v>
      </c>
      <c r="AYI60" s="111">
        <v>1</v>
      </c>
      <c r="AYJ60" s="111">
        <v>1</v>
      </c>
      <c r="AYK60" s="111">
        <v>1</v>
      </c>
      <c r="AYL60" s="111">
        <v>1</v>
      </c>
      <c r="AYM60" s="111">
        <v>1</v>
      </c>
      <c r="AYN60" s="111">
        <v>1</v>
      </c>
      <c r="AYO60" s="111">
        <v>1</v>
      </c>
      <c r="AYP60" s="111">
        <v>1</v>
      </c>
      <c r="AYQ60" s="111">
        <v>1</v>
      </c>
      <c r="AYR60" s="111">
        <v>1</v>
      </c>
      <c r="AYS60" s="111">
        <v>1</v>
      </c>
      <c r="AYT60" s="111">
        <v>1</v>
      </c>
      <c r="AYU60" s="111">
        <v>1</v>
      </c>
      <c r="AYV60" s="111">
        <v>1</v>
      </c>
      <c r="AYW60" s="111">
        <v>1</v>
      </c>
      <c r="AYX60" s="111">
        <v>1</v>
      </c>
      <c r="AYY60" s="111">
        <v>1</v>
      </c>
      <c r="AYZ60" s="111">
        <v>1</v>
      </c>
      <c r="AZA60" s="111">
        <v>1</v>
      </c>
      <c r="AZB60" s="111">
        <v>1</v>
      </c>
      <c r="AZC60" s="111">
        <v>1</v>
      </c>
      <c r="AZD60" s="111">
        <v>1</v>
      </c>
      <c r="AZE60" s="111">
        <v>1</v>
      </c>
      <c r="AZF60" s="111">
        <v>1</v>
      </c>
      <c r="AZG60" s="111">
        <v>1</v>
      </c>
      <c r="AZH60" s="111">
        <v>1</v>
      </c>
      <c r="AZI60" s="111">
        <v>1</v>
      </c>
      <c r="AZJ60" s="111">
        <v>1</v>
      </c>
      <c r="AZK60" s="111">
        <v>1</v>
      </c>
      <c r="AZL60" s="111">
        <v>1</v>
      </c>
      <c r="AZM60" s="111">
        <v>1</v>
      </c>
      <c r="AZN60" s="111">
        <v>1</v>
      </c>
      <c r="AZO60" s="111">
        <v>1</v>
      </c>
      <c r="AZP60" s="111">
        <v>1</v>
      </c>
      <c r="AZQ60" s="111">
        <v>1</v>
      </c>
      <c r="AZR60" s="111">
        <v>1</v>
      </c>
      <c r="AZS60" s="111">
        <v>1</v>
      </c>
      <c r="AZT60" s="111">
        <v>1</v>
      </c>
      <c r="AZU60" s="111">
        <v>1</v>
      </c>
      <c r="AZV60" s="111">
        <v>1</v>
      </c>
      <c r="AZW60" s="111">
        <v>1</v>
      </c>
      <c r="AZX60" s="111">
        <v>1</v>
      </c>
      <c r="AZY60" s="111">
        <v>1</v>
      </c>
      <c r="AZZ60" s="111">
        <v>1</v>
      </c>
      <c r="BAA60" s="111">
        <v>1</v>
      </c>
      <c r="BAB60" s="111">
        <v>1</v>
      </c>
      <c r="BAC60" s="111">
        <v>1</v>
      </c>
      <c r="BAD60" s="111">
        <v>1</v>
      </c>
      <c r="BAE60" s="111">
        <v>1</v>
      </c>
      <c r="BAF60" s="111">
        <v>1</v>
      </c>
      <c r="BAG60" s="111">
        <v>1</v>
      </c>
      <c r="BAH60" s="111">
        <v>1</v>
      </c>
      <c r="BAI60" s="111">
        <v>1</v>
      </c>
      <c r="BAJ60" s="111">
        <v>1</v>
      </c>
      <c r="BAK60" s="111">
        <v>1</v>
      </c>
      <c r="BAL60" s="111">
        <v>1</v>
      </c>
      <c r="BAM60" s="111">
        <v>1</v>
      </c>
      <c r="BAN60" s="111">
        <v>1</v>
      </c>
      <c r="BAO60" s="111">
        <v>1</v>
      </c>
      <c r="BAP60" s="111">
        <v>1</v>
      </c>
      <c r="BAQ60" s="111">
        <v>1</v>
      </c>
      <c r="BAR60" s="111">
        <v>1</v>
      </c>
      <c r="BAS60" s="111">
        <v>1</v>
      </c>
      <c r="BAT60" s="111">
        <v>1</v>
      </c>
      <c r="BAU60" s="111">
        <v>1</v>
      </c>
      <c r="BAV60" s="111">
        <v>1</v>
      </c>
      <c r="BAW60" s="111">
        <v>1</v>
      </c>
      <c r="BAX60" s="111">
        <v>1</v>
      </c>
      <c r="BAY60" s="111">
        <v>1</v>
      </c>
      <c r="BAZ60" s="111">
        <v>1</v>
      </c>
      <c r="BBA60" s="111">
        <v>1</v>
      </c>
      <c r="BBB60" s="111">
        <v>1</v>
      </c>
      <c r="BBC60" s="111">
        <v>1</v>
      </c>
      <c r="BBD60" s="111">
        <v>1</v>
      </c>
      <c r="BBE60" s="111">
        <v>1</v>
      </c>
      <c r="BBF60" s="111">
        <v>1</v>
      </c>
      <c r="BBG60" s="111">
        <v>1</v>
      </c>
      <c r="BBH60" s="111">
        <v>1</v>
      </c>
      <c r="BBI60" s="111">
        <v>1</v>
      </c>
      <c r="BBJ60" s="111">
        <v>1</v>
      </c>
      <c r="BBK60" s="111">
        <v>1</v>
      </c>
      <c r="BBL60" s="111">
        <v>1</v>
      </c>
      <c r="BBM60" s="111">
        <v>1</v>
      </c>
      <c r="BBN60" s="111">
        <v>1</v>
      </c>
      <c r="BBO60" s="111">
        <v>1</v>
      </c>
      <c r="BBP60" s="111">
        <v>1</v>
      </c>
      <c r="BBQ60" s="111">
        <v>1</v>
      </c>
      <c r="BBR60" s="111">
        <v>1</v>
      </c>
      <c r="BBS60" s="111">
        <v>1</v>
      </c>
      <c r="BBT60" s="111">
        <v>1</v>
      </c>
      <c r="BBU60" s="111">
        <v>1</v>
      </c>
      <c r="BBV60" s="111">
        <v>1</v>
      </c>
      <c r="BBW60" s="111">
        <v>1</v>
      </c>
      <c r="BBX60" s="111">
        <v>1</v>
      </c>
      <c r="BBY60" s="111">
        <v>1</v>
      </c>
      <c r="BBZ60" s="111">
        <v>1</v>
      </c>
      <c r="BCA60" s="111">
        <v>1</v>
      </c>
      <c r="BCB60" s="111">
        <v>1</v>
      </c>
      <c r="BCC60" s="111">
        <v>1</v>
      </c>
      <c r="BCD60" s="111">
        <v>1</v>
      </c>
      <c r="BCE60" s="111">
        <v>1</v>
      </c>
      <c r="BCF60" s="111">
        <v>1</v>
      </c>
      <c r="BCG60" s="111">
        <v>1</v>
      </c>
      <c r="BCH60" s="111">
        <v>1</v>
      </c>
      <c r="BCI60" s="111">
        <v>1</v>
      </c>
      <c r="BCJ60" s="111">
        <v>1</v>
      </c>
      <c r="BCK60" s="111">
        <v>1</v>
      </c>
      <c r="BCL60" s="111">
        <v>1</v>
      </c>
      <c r="BCM60" s="111">
        <v>1</v>
      </c>
      <c r="BCN60" s="111">
        <v>1</v>
      </c>
      <c r="BCO60" s="111">
        <v>1</v>
      </c>
      <c r="BCP60" s="111">
        <v>1</v>
      </c>
      <c r="BCQ60" s="111">
        <v>1</v>
      </c>
      <c r="BCR60" s="111">
        <v>1</v>
      </c>
      <c r="BCS60" s="111">
        <v>1</v>
      </c>
      <c r="BCT60" s="111">
        <v>1</v>
      </c>
      <c r="BCU60" s="111">
        <v>1</v>
      </c>
      <c r="BCV60" s="111">
        <v>1</v>
      </c>
      <c r="BCW60" s="111">
        <v>1</v>
      </c>
      <c r="BCX60" s="111">
        <v>1</v>
      </c>
      <c r="BCY60" s="111">
        <v>1</v>
      </c>
      <c r="BCZ60" s="111">
        <v>1</v>
      </c>
      <c r="BDA60" s="111">
        <v>1</v>
      </c>
      <c r="BDB60" s="111">
        <v>1</v>
      </c>
      <c r="BDC60" s="111">
        <v>1</v>
      </c>
      <c r="BDD60" s="111">
        <v>1</v>
      </c>
      <c r="BDE60" s="111">
        <v>1</v>
      </c>
      <c r="BDF60" s="111">
        <v>1</v>
      </c>
      <c r="BDG60" s="111">
        <v>1</v>
      </c>
      <c r="BDH60" s="111">
        <v>1</v>
      </c>
      <c r="BDI60" s="111">
        <v>1</v>
      </c>
      <c r="BDJ60" s="111">
        <v>1</v>
      </c>
      <c r="BDK60" s="111">
        <v>1</v>
      </c>
      <c r="BDL60" s="111">
        <v>1</v>
      </c>
      <c r="BDM60" s="111">
        <v>1</v>
      </c>
      <c r="BDN60" s="111">
        <v>1</v>
      </c>
      <c r="BDO60" s="111">
        <v>1</v>
      </c>
      <c r="BDP60" s="111">
        <v>1</v>
      </c>
      <c r="BDQ60" s="111">
        <v>1</v>
      </c>
      <c r="BDR60" s="111">
        <v>1</v>
      </c>
      <c r="BDS60" s="111">
        <v>1</v>
      </c>
      <c r="BDT60" s="111">
        <v>1</v>
      </c>
      <c r="BDU60" s="111">
        <v>1</v>
      </c>
      <c r="BDV60" s="111">
        <v>1</v>
      </c>
      <c r="BDW60" s="111">
        <v>1</v>
      </c>
      <c r="BDX60" s="111">
        <v>1</v>
      </c>
      <c r="BDY60" s="111">
        <v>1</v>
      </c>
      <c r="BDZ60" s="111">
        <v>1</v>
      </c>
      <c r="BEA60" s="111">
        <v>1</v>
      </c>
      <c r="BEB60" s="111">
        <v>1</v>
      </c>
      <c r="BEC60" s="111">
        <v>1</v>
      </c>
      <c r="BED60" s="111">
        <v>1</v>
      </c>
      <c r="BEE60" s="111">
        <v>1</v>
      </c>
      <c r="BEF60" s="111">
        <v>1</v>
      </c>
      <c r="BEG60" s="111">
        <v>1</v>
      </c>
      <c r="BEH60" s="111">
        <v>1</v>
      </c>
      <c r="BEI60" s="111">
        <v>1</v>
      </c>
      <c r="BEJ60" s="111">
        <v>1</v>
      </c>
      <c r="BEK60" s="111">
        <v>1</v>
      </c>
      <c r="BEL60" s="111">
        <v>1</v>
      </c>
      <c r="BEM60" s="111">
        <v>1</v>
      </c>
      <c r="BEN60" s="111">
        <v>1</v>
      </c>
      <c r="BEO60" s="111">
        <v>1</v>
      </c>
      <c r="BEP60" s="111">
        <v>1</v>
      </c>
      <c r="BEQ60" s="111">
        <v>1</v>
      </c>
      <c r="BER60" s="111">
        <v>1</v>
      </c>
      <c r="BES60" s="111">
        <v>1</v>
      </c>
      <c r="BET60" s="111">
        <v>1</v>
      </c>
      <c r="BEU60" s="111">
        <v>1</v>
      </c>
      <c r="BEV60" s="111">
        <v>1</v>
      </c>
      <c r="BEW60" s="111">
        <v>1</v>
      </c>
      <c r="BEX60" s="111">
        <v>1</v>
      </c>
      <c r="BEY60" s="111">
        <v>1</v>
      </c>
      <c r="BEZ60" s="111">
        <v>1</v>
      </c>
      <c r="BFA60" s="111">
        <v>1</v>
      </c>
      <c r="BFB60" s="111">
        <v>1</v>
      </c>
      <c r="BFC60" s="111">
        <v>1</v>
      </c>
      <c r="BFD60" s="111">
        <v>1</v>
      </c>
      <c r="BFE60" s="111">
        <v>1</v>
      </c>
      <c r="BFF60" s="111">
        <v>1</v>
      </c>
      <c r="BFG60" s="111">
        <v>1</v>
      </c>
      <c r="BFH60" s="111">
        <v>1</v>
      </c>
      <c r="BFI60" s="111">
        <v>1</v>
      </c>
      <c r="BFJ60" s="111">
        <v>1</v>
      </c>
      <c r="BFK60" s="111">
        <v>1</v>
      </c>
      <c r="BFL60" s="111">
        <v>1</v>
      </c>
      <c r="BFM60" s="111">
        <v>1</v>
      </c>
      <c r="BFN60" s="111">
        <v>1</v>
      </c>
      <c r="BFO60" s="111">
        <v>1</v>
      </c>
      <c r="BFP60" s="111">
        <v>1</v>
      </c>
      <c r="BFQ60" s="111">
        <v>1</v>
      </c>
      <c r="BFR60" s="111">
        <v>1</v>
      </c>
      <c r="BFS60" s="111">
        <v>1</v>
      </c>
      <c r="BFT60" s="111">
        <v>1</v>
      </c>
      <c r="BFU60" s="111">
        <v>1</v>
      </c>
      <c r="BFV60" s="111">
        <v>1</v>
      </c>
      <c r="BFW60" s="111">
        <v>1</v>
      </c>
      <c r="BFX60" s="111">
        <v>1</v>
      </c>
      <c r="BFY60" s="111">
        <v>1</v>
      </c>
      <c r="BFZ60" s="111">
        <v>1</v>
      </c>
      <c r="BGA60" s="111">
        <v>1</v>
      </c>
      <c r="BGB60" s="111">
        <v>1</v>
      </c>
      <c r="BGC60" s="111">
        <v>1</v>
      </c>
      <c r="BGD60" s="111">
        <v>1</v>
      </c>
      <c r="BGE60" s="111">
        <v>1</v>
      </c>
      <c r="BGF60" s="111">
        <v>1</v>
      </c>
      <c r="BGG60" s="111">
        <v>1</v>
      </c>
      <c r="BGH60" s="111">
        <v>1</v>
      </c>
      <c r="BGI60" s="111">
        <v>1</v>
      </c>
      <c r="BGJ60" s="111">
        <v>1</v>
      </c>
      <c r="BGK60" s="111">
        <v>1</v>
      </c>
      <c r="BGL60" s="111">
        <v>1</v>
      </c>
      <c r="BGM60" s="111">
        <v>1</v>
      </c>
      <c r="BGN60" s="111">
        <v>1</v>
      </c>
      <c r="BGO60" s="111">
        <v>1</v>
      </c>
      <c r="BGP60" s="111">
        <v>1</v>
      </c>
      <c r="BGQ60" s="111">
        <v>1</v>
      </c>
      <c r="BGR60" s="111">
        <v>1</v>
      </c>
      <c r="BGS60" s="111">
        <v>1</v>
      </c>
      <c r="BGT60" s="111">
        <v>1</v>
      </c>
      <c r="BGU60" s="111">
        <v>1</v>
      </c>
      <c r="BGV60" s="111">
        <v>1</v>
      </c>
      <c r="BGW60" s="111">
        <v>1</v>
      </c>
      <c r="BGX60" s="111">
        <v>1</v>
      </c>
      <c r="BGY60" s="111">
        <v>1</v>
      </c>
      <c r="BGZ60" s="111">
        <v>1</v>
      </c>
      <c r="BHA60" s="111">
        <v>1</v>
      </c>
      <c r="BHB60" s="111">
        <v>1</v>
      </c>
      <c r="BHC60" s="111">
        <v>1</v>
      </c>
      <c r="BHD60" s="111">
        <v>1</v>
      </c>
      <c r="BHE60" s="111">
        <v>1</v>
      </c>
      <c r="BHF60" s="111">
        <v>1</v>
      </c>
      <c r="BHG60" s="111">
        <v>1</v>
      </c>
      <c r="BHH60" s="111">
        <v>1</v>
      </c>
      <c r="BHI60" s="111">
        <v>1</v>
      </c>
      <c r="BHJ60" s="111">
        <v>1</v>
      </c>
      <c r="BHK60" s="111">
        <v>1</v>
      </c>
      <c r="BHL60" s="111">
        <v>1</v>
      </c>
      <c r="BHM60" s="111">
        <v>1</v>
      </c>
      <c r="BHN60" s="111">
        <v>1</v>
      </c>
      <c r="BHO60" s="111">
        <v>1</v>
      </c>
      <c r="BHP60" s="111">
        <v>1</v>
      </c>
      <c r="BHQ60" s="111">
        <v>1</v>
      </c>
      <c r="BHR60" s="111">
        <v>1</v>
      </c>
      <c r="BHS60" s="111">
        <v>1</v>
      </c>
      <c r="BHT60" s="111">
        <v>1</v>
      </c>
      <c r="BHU60" s="111">
        <v>1</v>
      </c>
      <c r="BHV60" s="111">
        <v>1</v>
      </c>
      <c r="BHW60" s="111">
        <v>1</v>
      </c>
      <c r="BHX60" s="111">
        <v>1</v>
      </c>
      <c r="BHY60" s="111">
        <v>1</v>
      </c>
      <c r="BHZ60" s="111">
        <v>1</v>
      </c>
      <c r="BIA60" s="111">
        <v>1</v>
      </c>
      <c r="BIB60" s="111">
        <v>1</v>
      </c>
      <c r="BIC60" s="111">
        <v>1</v>
      </c>
      <c r="BID60" s="111">
        <v>1</v>
      </c>
      <c r="BIE60" s="111">
        <v>1</v>
      </c>
      <c r="BIF60" s="111">
        <v>1</v>
      </c>
      <c r="BIG60" s="111">
        <v>1</v>
      </c>
      <c r="BIH60" s="111">
        <v>1</v>
      </c>
      <c r="BII60" s="111">
        <v>1</v>
      </c>
      <c r="BIJ60" s="111">
        <v>1</v>
      </c>
      <c r="BIK60" s="111">
        <v>1</v>
      </c>
      <c r="BIL60" s="111">
        <v>1</v>
      </c>
      <c r="BIM60" s="111">
        <v>1</v>
      </c>
      <c r="BIN60" s="111">
        <v>1</v>
      </c>
      <c r="BIO60" s="111">
        <v>1</v>
      </c>
      <c r="BIP60" s="111">
        <v>1</v>
      </c>
      <c r="BIQ60" s="111">
        <v>1</v>
      </c>
      <c r="BIR60" s="111">
        <v>1</v>
      </c>
      <c r="BIS60" s="111">
        <v>1</v>
      </c>
      <c r="BIT60" s="111">
        <v>1</v>
      </c>
      <c r="BIU60" s="111">
        <v>1</v>
      </c>
      <c r="BIV60" s="111">
        <v>1</v>
      </c>
      <c r="BIW60" s="111">
        <v>1</v>
      </c>
      <c r="BIX60" s="111">
        <v>1</v>
      </c>
      <c r="BIY60" s="111">
        <v>1</v>
      </c>
      <c r="BIZ60" s="111">
        <v>1</v>
      </c>
      <c r="BJA60" s="111">
        <v>1</v>
      </c>
      <c r="BJB60" s="111">
        <v>1</v>
      </c>
      <c r="BJC60" s="111">
        <v>1</v>
      </c>
      <c r="BJD60" s="111">
        <v>1</v>
      </c>
      <c r="BJE60" s="111">
        <v>1</v>
      </c>
      <c r="BJF60" s="111">
        <v>1</v>
      </c>
      <c r="BJG60" s="111">
        <v>1</v>
      </c>
      <c r="BJH60" s="111">
        <v>1</v>
      </c>
      <c r="BJI60" s="111">
        <v>1</v>
      </c>
      <c r="BJJ60" s="111">
        <v>1</v>
      </c>
      <c r="BJK60" s="111">
        <v>1</v>
      </c>
      <c r="BJL60" s="111">
        <v>1</v>
      </c>
      <c r="BJM60" s="111">
        <v>1</v>
      </c>
      <c r="BJN60" s="111">
        <v>1</v>
      </c>
      <c r="BJO60" s="111">
        <v>1</v>
      </c>
      <c r="BJP60" s="111">
        <v>1</v>
      </c>
      <c r="BJQ60" s="111">
        <v>1</v>
      </c>
      <c r="BJR60" s="111">
        <v>1</v>
      </c>
      <c r="BJS60" s="111">
        <v>1</v>
      </c>
      <c r="BJT60" s="111">
        <v>1</v>
      </c>
      <c r="BJU60" s="111">
        <v>1</v>
      </c>
      <c r="BJV60" s="111">
        <v>1</v>
      </c>
      <c r="BJW60" s="111">
        <v>1</v>
      </c>
      <c r="BJX60" s="111">
        <v>1</v>
      </c>
      <c r="BJY60" s="111">
        <v>1</v>
      </c>
      <c r="BJZ60" s="111">
        <v>1</v>
      </c>
      <c r="BKA60" s="111">
        <v>1</v>
      </c>
      <c r="BKB60" s="111">
        <v>1</v>
      </c>
      <c r="BKC60" s="111">
        <v>1</v>
      </c>
      <c r="BKD60" s="111">
        <v>1</v>
      </c>
      <c r="BKE60" s="111">
        <v>1</v>
      </c>
      <c r="BKF60" s="111">
        <v>1</v>
      </c>
      <c r="BKG60" s="111">
        <v>1</v>
      </c>
      <c r="BKH60" s="111">
        <v>1</v>
      </c>
      <c r="BKI60" s="111">
        <v>1</v>
      </c>
      <c r="BKJ60" s="111">
        <v>1</v>
      </c>
      <c r="BKK60" s="111">
        <v>1</v>
      </c>
      <c r="BKL60" s="111">
        <v>1</v>
      </c>
      <c r="BKM60" s="111">
        <v>1</v>
      </c>
      <c r="BKN60" s="111">
        <v>1</v>
      </c>
      <c r="BKO60" s="111">
        <v>1</v>
      </c>
      <c r="BKP60" s="111">
        <v>1</v>
      </c>
      <c r="BKQ60" s="111">
        <v>1</v>
      </c>
      <c r="BKR60" s="111">
        <v>1</v>
      </c>
      <c r="BKS60" s="111">
        <v>1</v>
      </c>
      <c r="BKT60" s="111">
        <v>1</v>
      </c>
      <c r="BKU60" s="111">
        <v>1</v>
      </c>
      <c r="BKV60" s="111">
        <v>1</v>
      </c>
      <c r="BKW60" s="111">
        <v>1</v>
      </c>
      <c r="BKX60" s="111">
        <v>1</v>
      </c>
      <c r="BKY60" s="111">
        <v>1</v>
      </c>
      <c r="BKZ60" s="111">
        <v>1</v>
      </c>
      <c r="BLA60" s="111">
        <v>1</v>
      </c>
      <c r="BLB60" s="111">
        <v>1</v>
      </c>
      <c r="BLC60" s="111">
        <v>1</v>
      </c>
      <c r="BLD60" s="111">
        <v>1</v>
      </c>
      <c r="BLE60" s="111">
        <v>1</v>
      </c>
      <c r="BLF60" s="111">
        <v>1</v>
      </c>
      <c r="BLG60" s="111">
        <v>1</v>
      </c>
      <c r="BLH60" s="111">
        <v>1</v>
      </c>
      <c r="BLI60" s="111">
        <v>1</v>
      </c>
      <c r="BLJ60" s="111">
        <v>1</v>
      </c>
      <c r="BLK60" s="111">
        <v>1</v>
      </c>
      <c r="BLL60" s="111">
        <v>1</v>
      </c>
      <c r="BLM60" s="111">
        <v>1</v>
      </c>
      <c r="BLN60" s="111">
        <v>1</v>
      </c>
      <c r="BLO60" s="111">
        <v>1</v>
      </c>
      <c r="BLP60" s="111">
        <v>1</v>
      </c>
      <c r="BLQ60" s="111">
        <v>1</v>
      </c>
      <c r="BLR60" s="111">
        <v>1</v>
      </c>
      <c r="BLS60" s="111">
        <v>1</v>
      </c>
      <c r="BLT60" s="111">
        <v>1</v>
      </c>
      <c r="BLU60" s="111">
        <v>1</v>
      </c>
      <c r="BLV60" s="111">
        <v>1</v>
      </c>
      <c r="BLW60" s="111">
        <v>1</v>
      </c>
      <c r="BLX60" s="111">
        <v>1</v>
      </c>
      <c r="BLY60" s="111">
        <v>1</v>
      </c>
      <c r="BLZ60" s="111">
        <v>1</v>
      </c>
      <c r="BMA60" s="111">
        <v>1</v>
      </c>
      <c r="BMB60" s="111">
        <v>1</v>
      </c>
      <c r="BMC60" s="111">
        <v>1</v>
      </c>
      <c r="BMD60" s="111">
        <v>1</v>
      </c>
      <c r="BME60" s="111">
        <v>1</v>
      </c>
      <c r="BMF60" s="111">
        <v>1</v>
      </c>
      <c r="BMG60" s="111">
        <v>1</v>
      </c>
      <c r="BMH60" s="111">
        <v>1</v>
      </c>
      <c r="BMI60" s="111">
        <v>1</v>
      </c>
      <c r="BMJ60" s="111">
        <v>1</v>
      </c>
      <c r="BMK60" s="111">
        <v>1</v>
      </c>
      <c r="BML60" s="111">
        <v>1</v>
      </c>
      <c r="BMM60" s="111">
        <v>1</v>
      </c>
      <c r="BMN60" s="111">
        <v>1</v>
      </c>
      <c r="BMO60" s="111">
        <v>1</v>
      </c>
      <c r="BMP60" s="111">
        <v>1</v>
      </c>
      <c r="BMQ60" s="111">
        <v>1</v>
      </c>
      <c r="BMR60" s="111">
        <v>1</v>
      </c>
      <c r="BMS60" s="111">
        <v>1</v>
      </c>
      <c r="BMT60" s="111">
        <v>1</v>
      </c>
      <c r="BMU60" s="111">
        <v>1</v>
      </c>
      <c r="BMV60" s="111">
        <v>1</v>
      </c>
      <c r="BMW60" s="111">
        <v>1</v>
      </c>
      <c r="BMX60" s="111">
        <v>1</v>
      </c>
      <c r="BMY60" s="111">
        <v>1</v>
      </c>
      <c r="BMZ60" s="111">
        <v>1</v>
      </c>
      <c r="BNA60" s="111">
        <v>1</v>
      </c>
      <c r="BNB60" s="111">
        <v>1</v>
      </c>
      <c r="BNC60" s="111">
        <v>1</v>
      </c>
      <c r="BND60" s="111">
        <v>1</v>
      </c>
      <c r="BNE60" s="111">
        <v>1</v>
      </c>
      <c r="BNF60" s="111">
        <v>1</v>
      </c>
      <c r="BNG60" s="111">
        <v>1</v>
      </c>
      <c r="BNH60" s="111">
        <v>1</v>
      </c>
      <c r="BNI60" s="111">
        <v>1</v>
      </c>
      <c r="BNJ60" s="111">
        <v>1</v>
      </c>
      <c r="BNK60" s="111">
        <v>1</v>
      </c>
      <c r="BNL60" s="111">
        <v>1</v>
      </c>
      <c r="BNM60" s="111">
        <v>1</v>
      </c>
      <c r="BNN60" s="111">
        <v>1</v>
      </c>
      <c r="BNO60" s="111">
        <v>1</v>
      </c>
      <c r="BNP60" s="111">
        <v>1</v>
      </c>
      <c r="BNQ60" s="111">
        <v>1</v>
      </c>
      <c r="BNR60" s="111">
        <v>1</v>
      </c>
      <c r="BNS60" s="111">
        <v>1</v>
      </c>
      <c r="BNT60" s="111">
        <v>1</v>
      </c>
      <c r="BNU60" s="111">
        <v>1</v>
      </c>
      <c r="BNV60" s="111">
        <v>1</v>
      </c>
      <c r="BNW60" s="111">
        <v>1</v>
      </c>
      <c r="BNX60" s="111">
        <v>1</v>
      </c>
      <c r="BNY60" s="111">
        <v>1</v>
      </c>
      <c r="BNZ60" s="111">
        <v>1</v>
      </c>
      <c r="BOA60" s="111">
        <v>1</v>
      </c>
      <c r="BOB60" s="111">
        <v>1</v>
      </c>
      <c r="BOC60" s="111">
        <v>1</v>
      </c>
      <c r="BOD60" s="111">
        <v>1</v>
      </c>
      <c r="BOE60" s="111">
        <v>1</v>
      </c>
      <c r="BOF60" s="111">
        <v>1</v>
      </c>
      <c r="BOG60" s="111">
        <v>1</v>
      </c>
      <c r="BOH60" s="111">
        <v>1</v>
      </c>
      <c r="BOI60" s="111">
        <v>1</v>
      </c>
      <c r="BOJ60" s="111">
        <v>1</v>
      </c>
      <c r="BOK60" s="111">
        <v>1</v>
      </c>
      <c r="BOL60" s="111">
        <v>1</v>
      </c>
      <c r="BOM60" s="111">
        <v>1</v>
      </c>
      <c r="BON60" s="111">
        <v>1</v>
      </c>
      <c r="BOO60" s="111">
        <v>1</v>
      </c>
      <c r="BOP60" s="111">
        <v>1</v>
      </c>
      <c r="BOQ60" s="111">
        <v>1</v>
      </c>
      <c r="BOR60" s="111">
        <v>1</v>
      </c>
      <c r="BOS60" s="111">
        <v>1</v>
      </c>
      <c r="BOT60" s="111">
        <v>1</v>
      </c>
      <c r="BOU60" s="111">
        <v>1</v>
      </c>
      <c r="BOV60" s="111">
        <v>1</v>
      </c>
      <c r="BOW60" s="111">
        <v>1</v>
      </c>
      <c r="BOX60" s="111">
        <v>1</v>
      </c>
      <c r="BOY60" s="111">
        <v>1</v>
      </c>
      <c r="BOZ60" s="111">
        <v>1</v>
      </c>
      <c r="BPA60" s="111">
        <v>1</v>
      </c>
      <c r="BPB60" s="111">
        <v>1</v>
      </c>
      <c r="BPC60" s="111">
        <v>1</v>
      </c>
      <c r="BPD60" s="111">
        <v>1</v>
      </c>
      <c r="BPE60" s="111">
        <v>1</v>
      </c>
      <c r="BPF60" s="111">
        <v>1</v>
      </c>
      <c r="BPG60" s="111">
        <v>1</v>
      </c>
      <c r="BPH60" s="111">
        <v>1</v>
      </c>
      <c r="BPI60" s="111">
        <v>1</v>
      </c>
      <c r="BPJ60" s="111">
        <v>1</v>
      </c>
      <c r="BPK60" s="111">
        <v>1</v>
      </c>
      <c r="BPL60" s="111">
        <v>1</v>
      </c>
      <c r="BPM60" s="111">
        <v>1</v>
      </c>
      <c r="BPN60" s="111">
        <v>1</v>
      </c>
      <c r="BPO60" s="111">
        <v>1</v>
      </c>
      <c r="BPP60" s="111">
        <v>1</v>
      </c>
      <c r="BPQ60" s="111">
        <v>1</v>
      </c>
      <c r="BPR60" s="111">
        <v>1</v>
      </c>
      <c r="BPS60" s="111">
        <v>1</v>
      </c>
      <c r="BPT60" s="111">
        <v>1</v>
      </c>
      <c r="BPU60" s="111">
        <v>1</v>
      </c>
      <c r="BPV60" s="111">
        <v>1</v>
      </c>
      <c r="BPW60" s="111">
        <v>1</v>
      </c>
      <c r="BPX60" s="111">
        <v>1</v>
      </c>
      <c r="BPY60" s="111">
        <v>1</v>
      </c>
      <c r="BPZ60" s="111">
        <v>1</v>
      </c>
      <c r="BQA60" s="111">
        <v>1</v>
      </c>
      <c r="BQB60" s="111">
        <v>1</v>
      </c>
      <c r="BQC60" s="111">
        <v>1</v>
      </c>
      <c r="BQD60" s="111">
        <v>1</v>
      </c>
      <c r="BQE60" s="111">
        <v>1</v>
      </c>
      <c r="BQF60" s="111">
        <v>1</v>
      </c>
      <c r="BQG60" s="111">
        <v>1</v>
      </c>
      <c r="BQH60" s="111">
        <v>1</v>
      </c>
      <c r="BQI60" s="111">
        <v>1</v>
      </c>
      <c r="BQJ60" s="111">
        <v>1</v>
      </c>
      <c r="BQK60" s="111">
        <v>1</v>
      </c>
      <c r="BQL60" s="111">
        <v>1</v>
      </c>
      <c r="BQM60" s="111">
        <v>1</v>
      </c>
      <c r="BQN60" s="111">
        <v>1</v>
      </c>
      <c r="BQO60" s="111">
        <v>1</v>
      </c>
      <c r="BQP60" s="111">
        <v>1</v>
      </c>
      <c r="BQQ60" s="111">
        <v>1</v>
      </c>
      <c r="BQR60" s="111">
        <v>1</v>
      </c>
      <c r="BQS60" s="111">
        <v>1</v>
      </c>
      <c r="BQT60" s="111">
        <v>1</v>
      </c>
      <c r="BQU60" s="111">
        <v>1</v>
      </c>
      <c r="BQV60" s="111">
        <v>1</v>
      </c>
      <c r="BQW60" s="111">
        <v>1</v>
      </c>
      <c r="BQX60" s="111">
        <v>1</v>
      </c>
      <c r="BQY60" s="111">
        <v>1</v>
      </c>
      <c r="BQZ60" s="111">
        <v>1</v>
      </c>
      <c r="BRA60" s="111">
        <v>1</v>
      </c>
      <c r="BRB60" s="111">
        <v>1</v>
      </c>
      <c r="BRC60" s="111">
        <v>1</v>
      </c>
      <c r="BRD60" s="111">
        <v>1</v>
      </c>
      <c r="BRE60" s="111">
        <v>1</v>
      </c>
      <c r="BRF60" s="111">
        <v>1</v>
      </c>
      <c r="BRG60" s="111">
        <v>1</v>
      </c>
      <c r="BRH60" s="111">
        <v>1</v>
      </c>
      <c r="BRI60" s="111">
        <v>1</v>
      </c>
      <c r="BRJ60" s="111">
        <v>1</v>
      </c>
      <c r="BRK60" s="111">
        <v>1</v>
      </c>
      <c r="BRL60" s="111">
        <v>1</v>
      </c>
      <c r="BRM60" s="111">
        <v>1</v>
      </c>
      <c r="BRN60" s="111">
        <v>1</v>
      </c>
      <c r="BRO60" s="111">
        <v>1</v>
      </c>
      <c r="BRP60" s="111">
        <v>1</v>
      </c>
      <c r="BRQ60" s="111">
        <v>1</v>
      </c>
      <c r="BRR60" s="111">
        <v>1</v>
      </c>
      <c r="BRS60" s="111">
        <v>1</v>
      </c>
      <c r="BRT60" s="111">
        <v>1</v>
      </c>
      <c r="BRU60" s="111">
        <v>1</v>
      </c>
      <c r="BRV60" s="111">
        <v>1</v>
      </c>
      <c r="BRW60" s="111">
        <v>1</v>
      </c>
      <c r="BRX60" s="111">
        <v>1</v>
      </c>
      <c r="BRY60" s="111">
        <v>1</v>
      </c>
      <c r="BRZ60" s="111">
        <v>1</v>
      </c>
      <c r="BSA60" s="111">
        <v>1</v>
      </c>
      <c r="BSB60" s="111">
        <v>1</v>
      </c>
      <c r="BSC60" s="111">
        <v>1</v>
      </c>
      <c r="BSD60" s="111">
        <v>1</v>
      </c>
      <c r="BSE60" s="111">
        <v>1</v>
      </c>
      <c r="BSF60" s="111">
        <v>1</v>
      </c>
      <c r="BSG60" s="111">
        <v>1</v>
      </c>
      <c r="BSH60" s="111">
        <v>1</v>
      </c>
      <c r="BSI60" s="111">
        <v>1</v>
      </c>
      <c r="BSJ60" s="111">
        <v>1</v>
      </c>
      <c r="BSK60" s="111">
        <v>1</v>
      </c>
      <c r="BSL60" s="111">
        <v>1</v>
      </c>
      <c r="BSM60" s="111">
        <v>1</v>
      </c>
      <c r="BSN60" s="111">
        <v>1</v>
      </c>
      <c r="BSO60" s="111">
        <v>1</v>
      </c>
      <c r="BSP60" s="111">
        <v>1</v>
      </c>
      <c r="BSQ60" s="111">
        <v>1</v>
      </c>
      <c r="BSR60" s="111">
        <v>1</v>
      </c>
      <c r="BSS60" s="111">
        <v>1</v>
      </c>
      <c r="BST60" s="111">
        <v>1</v>
      </c>
      <c r="BSU60" s="111">
        <v>1</v>
      </c>
      <c r="BSV60" s="111">
        <v>1</v>
      </c>
      <c r="BSW60" s="111">
        <v>1</v>
      </c>
      <c r="BSX60" s="111">
        <v>1</v>
      </c>
      <c r="BSY60" s="111">
        <v>1</v>
      </c>
      <c r="BSZ60" s="111">
        <v>1</v>
      </c>
      <c r="BTA60" s="111">
        <v>1</v>
      </c>
      <c r="BTB60" s="111">
        <v>1</v>
      </c>
      <c r="BTC60" s="111">
        <v>1</v>
      </c>
      <c r="BTD60" s="111">
        <v>1</v>
      </c>
      <c r="BTE60" s="111">
        <v>1</v>
      </c>
      <c r="BTF60" s="111">
        <v>1</v>
      </c>
      <c r="BTG60" s="111">
        <v>1</v>
      </c>
      <c r="BTH60" s="111">
        <v>1</v>
      </c>
      <c r="BTI60" s="111">
        <v>1</v>
      </c>
      <c r="BTJ60" s="111">
        <v>1</v>
      </c>
      <c r="BTK60" s="111">
        <v>1</v>
      </c>
      <c r="BTL60" s="111">
        <v>1</v>
      </c>
      <c r="BTM60" s="111">
        <v>1</v>
      </c>
      <c r="BTN60" s="111">
        <v>1</v>
      </c>
      <c r="BTO60" s="111">
        <v>1</v>
      </c>
      <c r="BTP60" s="111">
        <v>1</v>
      </c>
      <c r="BTQ60" s="111">
        <v>1</v>
      </c>
      <c r="BTR60" s="111">
        <v>1</v>
      </c>
      <c r="BTS60" s="111">
        <v>1</v>
      </c>
      <c r="BTT60" s="111">
        <v>1</v>
      </c>
      <c r="BTU60" s="111">
        <v>1</v>
      </c>
      <c r="BTV60" s="111">
        <v>1</v>
      </c>
      <c r="BTW60" s="111">
        <v>1</v>
      </c>
      <c r="BTX60" s="111">
        <v>1</v>
      </c>
      <c r="BTY60" s="111">
        <v>1</v>
      </c>
      <c r="BTZ60" s="111">
        <v>1</v>
      </c>
      <c r="BUA60" s="111">
        <v>1</v>
      </c>
      <c r="BUB60" s="111">
        <v>1</v>
      </c>
      <c r="BUC60" s="111">
        <v>1</v>
      </c>
      <c r="BUD60" s="111">
        <v>1</v>
      </c>
      <c r="BUE60" s="111">
        <v>1</v>
      </c>
      <c r="BUF60" s="111">
        <v>1</v>
      </c>
      <c r="BUG60" s="111">
        <v>1</v>
      </c>
      <c r="BUH60" s="111">
        <v>1</v>
      </c>
      <c r="BUI60" s="111">
        <v>1</v>
      </c>
      <c r="BUJ60" s="111">
        <v>1</v>
      </c>
      <c r="BUK60" s="111">
        <v>1</v>
      </c>
      <c r="BUL60" s="111">
        <v>1</v>
      </c>
      <c r="BUM60" s="111">
        <v>1</v>
      </c>
      <c r="BUN60" s="111">
        <v>1</v>
      </c>
      <c r="BUO60" s="111">
        <v>1</v>
      </c>
      <c r="BUP60" s="111">
        <v>1</v>
      </c>
      <c r="BUQ60" s="111">
        <v>1</v>
      </c>
      <c r="BUR60" s="111">
        <v>1</v>
      </c>
      <c r="BUS60" s="111">
        <v>1</v>
      </c>
      <c r="BUT60" s="111">
        <v>1</v>
      </c>
      <c r="BUU60" s="111">
        <v>1</v>
      </c>
      <c r="BUV60" s="111">
        <v>1</v>
      </c>
      <c r="BUW60" s="111">
        <v>1</v>
      </c>
      <c r="BUX60" s="111">
        <v>1</v>
      </c>
      <c r="BUY60" s="111">
        <v>1</v>
      </c>
      <c r="BUZ60" s="111">
        <v>1</v>
      </c>
      <c r="BVA60" s="111">
        <v>1</v>
      </c>
      <c r="BVB60" s="111">
        <v>1</v>
      </c>
      <c r="BVC60" s="111">
        <v>1</v>
      </c>
      <c r="BVD60" s="111">
        <v>1</v>
      </c>
      <c r="BVE60" s="111">
        <v>1</v>
      </c>
      <c r="BVF60" s="111">
        <v>1</v>
      </c>
      <c r="BVG60" s="111">
        <v>1</v>
      </c>
      <c r="BVH60" s="111">
        <v>1</v>
      </c>
      <c r="BVI60" s="111">
        <v>1</v>
      </c>
      <c r="BVJ60" s="111">
        <v>1</v>
      </c>
      <c r="BVK60" s="111">
        <v>1</v>
      </c>
      <c r="BVL60" s="111">
        <v>1</v>
      </c>
      <c r="BVM60" s="111">
        <v>1</v>
      </c>
      <c r="BVN60" s="111">
        <v>1</v>
      </c>
      <c r="BVO60" s="111">
        <v>1</v>
      </c>
      <c r="BVP60" s="111">
        <v>1</v>
      </c>
      <c r="BVQ60" s="111">
        <v>1</v>
      </c>
      <c r="BVR60" s="111">
        <v>1</v>
      </c>
      <c r="BVS60" s="111">
        <v>1</v>
      </c>
      <c r="BVT60" s="111">
        <v>1</v>
      </c>
      <c r="BVU60" s="111">
        <v>1</v>
      </c>
      <c r="BVV60" s="111">
        <v>1</v>
      </c>
      <c r="BVW60" s="111">
        <v>1</v>
      </c>
      <c r="BVX60" s="111">
        <v>1</v>
      </c>
      <c r="BVY60" s="111">
        <v>1</v>
      </c>
      <c r="BVZ60" s="111">
        <v>1</v>
      </c>
      <c r="BWA60" s="111">
        <v>1</v>
      </c>
      <c r="BWB60" s="111">
        <v>1</v>
      </c>
      <c r="BWC60" s="111">
        <v>1</v>
      </c>
      <c r="BWD60" s="111">
        <v>1</v>
      </c>
      <c r="BWE60" s="111">
        <v>1</v>
      </c>
      <c r="BWF60" s="111">
        <v>1</v>
      </c>
      <c r="BWG60" s="111">
        <v>1</v>
      </c>
      <c r="BWH60" s="111">
        <v>1</v>
      </c>
      <c r="BWI60" s="111">
        <v>1</v>
      </c>
      <c r="BWJ60" s="111">
        <v>1</v>
      </c>
      <c r="BWK60" s="111">
        <v>1</v>
      </c>
      <c r="BWL60" s="111">
        <v>1</v>
      </c>
      <c r="BWM60" s="111">
        <v>1</v>
      </c>
      <c r="BWN60" s="111">
        <v>1</v>
      </c>
      <c r="BWO60" s="111">
        <v>1</v>
      </c>
      <c r="BWP60" s="111">
        <v>1</v>
      </c>
      <c r="BWQ60" s="111">
        <v>1</v>
      </c>
      <c r="BWR60" s="111">
        <v>1</v>
      </c>
      <c r="BWS60" s="111">
        <v>1</v>
      </c>
      <c r="BWT60" s="111">
        <v>1</v>
      </c>
      <c r="BWU60" s="111">
        <v>1</v>
      </c>
      <c r="BWV60" s="111">
        <v>1</v>
      </c>
      <c r="BWW60" s="111">
        <v>1</v>
      </c>
      <c r="BWX60" s="111">
        <v>1</v>
      </c>
      <c r="BWY60" s="111">
        <v>1</v>
      </c>
      <c r="BWZ60" s="111">
        <v>1</v>
      </c>
      <c r="BXA60" s="111">
        <v>1</v>
      </c>
      <c r="BXB60" s="111">
        <v>1</v>
      </c>
      <c r="BXC60" s="111">
        <v>1</v>
      </c>
      <c r="BXD60" s="111">
        <v>1</v>
      </c>
      <c r="BXE60" s="111">
        <v>1</v>
      </c>
      <c r="BXF60" s="111">
        <v>1979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9C94-5690-4702-8A38-97A33821BA97}">
  <dimension ref="B2:P64"/>
  <sheetViews>
    <sheetView topLeftCell="D19" zoomScale="90" zoomScaleNormal="90" workbookViewId="0">
      <selection activeCell="R6" sqref="R6"/>
    </sheetView>
  </sheetViews>
  <sheetFormatPr defaultRowHeight="15" x14ac:dyDescent="0.25"/>
  <cols>
    <col min="2" max="2" width="23.85546875" bestFit="1" customWidth="1"/>
    <col min="3" max="3" width="17.42578125" bestFit="1" customWidth="1"/>
    <col min="4" max="4" width="14.85546875" bestFit="1" customWidth="1"/>
    <col min="5" max="7" width="14.28515625" bestFit="1" customWidth="1"/>
    <col min="8" max="8" width="15.5703125" bestFit="1" customWidth="1"/>
    <col min="9" max="9" width="19.85546875" bestFit="1" customWidth="1"/>
    <col min="10" max="10" width="15.85546875" bestFit="1" customWidth="1"/>
    <col min="11" max="11" width="20.28515625" bestFit="1" customWidth="1"/>
    <col min="12" max="12" width="22.28515625" bestFit="1" customWidth="1"/>
    <col min="13" max="14" width="11.5703125" bestFit="1" customWidth="1"/>
    <col min="15" max="15" width="14" bestFit="1" customWidth="1"/>
    <col min="16" max="16" width="11.28515625" bestFit="1" customWidth="1"/>
  </cols>
  <sheetData>
    <row r="2" spans="2:12" x14ac:dyDescent="0.25">
      <c r="B2" s="6" t="s">
        <v>3240</v>
      </c>
      <c r="C2" s="9" t="s">
        <v>3237</v>
      </c>
      <c r="D2" s="2"/>
      <c r="E2" s="2"/>
      <c r="F2" s="2"/>
      <c r="H2" s="6" t="s">
        <v>3263</v>
      </c>
      <c r="I2" s="6" t="s">
        <v>3257</v>
      </c>
      <c r="J2" s="2"/>
      <c r="K2" s="2"/>
      <c r="L2" s="2"/>
    </row>
    <row r="3" spans="2:12" x14ac:dyDescent="0.25">
      <c r="B3" s="6" t="s">
        <v>3254</v>
      </c>
      <c r="C3" s="2" t="s">
        <v>3236</v>
      </c>
      <c r="D3" s="2" t="s">
        <v>3288</v>
      </c>
      <c r="E3" s="2" t="s">
        <v>3289</v>
      </c>
      <c r="F3" s="8" t="s">
        <v>3239</v>
      </c>
      <c r="H3" s="6" t="s">
        <v>3238</v>
      </c>
      <c r="I3" s="8" t="s">
        <v>3236</v>
      </c>
      <c r="J3" s="8" t="s">
        <v>3288</v>
      </c>
      <c r="K3" s="8" t="s">
        <v>3289</v>
      </c>
      <c r="L3" s="8" t="s">
        <v>3239</v>
      </c>
    </row>
    <row r="4" spans="2:12" x14ac:dyDescent="0.25">
      <c r="B4" s="7" t="s">
        <v>3203</v>
      </c>
      <c r="C4" s="10">
        <v>770883468.33999956</v>
      </c>
      <c r="D4" s="10"/>
      <c r="E4" s="10"/>
      <c r="F4" s="10">
        <v>770883468.33999956</v>
      </c>
      <c r="H4" s="7" t="s">
        <v>3203</v>
      </c>
      <c r="I4" s="68">
        <v>77.088346834000049</v>
      </c>
      <c r="J4" s="68"/>
      <c r="K4" s="68"/>
      <c r="L4" s="68">
        <v>77.088346834000049</v>
      </c>
    </row>
    <row r="5" spans="2:12" x14ac:dyDescent="0.25">
      <c r="B5" s="7" t="s">
        <v>3204</v>
      </c>
      <c r="C5" s="10">
        <v>692321520.29000032</v>
      </c>
      <c r="D5" s="10"/>
      <c r="E5" s="10"/>
      <c r="F5" s="10">
        <v>692321520.29000032</v>
      </c>
      <c r="H5" s="7" t="s">
        <v>3204</v>
      </c>
      <c r="I5" s="68">
        <v>69.232152028999991</v>
      </c>
      <c r="J5" s="68"/>
      <c r="K5" s="68"/>
      <c r="L5" s="68">
        <v>69.232152028999991</v>
      </c>
    </row>
    <row r="6" spans="2:12" x14ac:dyDescent="0.25">
      <c r="B6" s="7" t="s">
        <v>24</v>
      </c>
      <c r="C6" s="10"/>
      <c r="D6" s="10">
        <v>704615800.59999943</v>
      </c>
      <c r="E6" s="10"/>
      <c r="F6" s="10">
        <v>704615800.59999943</v>
      </c>
      <c r="H6" s="7" t="s">
        <v>24</v>
      </c>
      <c r="I6" s="68"/>
      <c r="J6" s="68">
        <v>70.461580060000045</v>
      </c>
      <c r="K6" s="68"/>
      <c r="L6" s="68">
        <v>70.461580060000045</v>
      </c>
    </row>
    <row r="7" spans="2:12" x14ac:dyDescent="0.25">
      <c r="B7" s="7" t="s">
        <v>53</v>
      </c>
      <c r="C7" s="10"/>
      <c r="D7" s="10">
        <v>754517490.90000045</v>
      </c>
      <c r="E7" s="10"/>
      <c r="F7" s="10">
        <v>754517490.90000045</v>
      </c>
      <c r="H7" s="7" t="s">
        <v>53</v>
      </c>
      <c r="I7" s="68"/>
      <c r="J7" s="68">
        <v>75.451749089999964</v>
      </c>
      <c r="K7" s="68"/>
      <c r="L7" s="68">
        <v>75.451749089999964</v>
      </c>
    </row>
    <row r="8" spans="2:12" x14ac:dyDescent="0.25">
      <c r="B8" s="7" t="s">
        <v>58</v>
      </c>
      <c r="C8" s="10"/>
      <c r="D8" s="10"/>
      <c r="E8" s="10">
        <v>855688604.07000089</v>
      </c>
      <c r="F8" s="10">
        <v>855688604.07000089</v>
      </c>
      <c r="H8" s="7" t="s">
        <v>58</v>
      </c>
      <c r="I8" s="68"/>
      <c r="J8" s="68"/>
      <c r="K8" s="68">
        <v>85.56886040699996</v>
      </c>
      <c r="L8" s="68">
        <v>85.56886040699996</v>
      </c>
    </row>
    <row r="9" spans="2:12" x14ac:dyDescent="0.25">
      <c r="B9" s="7" t="s">
        <v>3239</v>
      </c>
      <c r="C9" s="10">
        <v>1463204988.6299999</v>
      </c>
      <c r="D9" s="10">
        <v>1459133291.5</v>
      </c>
      <c r="E9" s="10">
        <v>855688604.07000089</v>
      </c>
      <c r="F9" s="10">
        <v>3778026884.2000008</v>
      </c>
      <c r="H9" s="7" t="s">
        <v>3239</v>
      </c>
      <c r="I9" s="68">
        <v>146.32049886300004</v>
      </c>
      <c r="J9" s="68">
        <v>145.91332915000001</v>
      </c>
      <c r="K9" s="68">
        <v>85.56886040699996</v>
      </c>
      <c r="L9" s="68">
        <v>377.80268841999998</v>
      </c>
    </row>
    <row r="10" spans="2:12" x14ac:dyDescent="0.25">
      <c r="B10" s="11"/>
    </row>
    <row r="11" spans="2:12" x14ac:dyDescent="0.25">
      <c r="B11" s="11"/>
    </row>
    <row r="12" spans="2:12" x14ac:dyDescent="0.25">
      <c r="B12" s="11"/>
    </row>
    <row r="13" spans="2:12" x14ac:dyDescent="0.25">
      <c r="B13" s="11"/>
    </row>
    <row r="14" spans="2:12" x14ac:dyDescent="0.25">
      <c r="B14" s="6" t="s">
        <v>3252</v>
      </c>
      <c r="C14" s="6" t="s">
        <v>3255</v>
      </c>
      <c r="D14" s="2"/>
      <c r="E14" s="2"/>
      <c r="F14" s="2"/>
      <c r="G14" s="2"/>
    </row>
    <row r="15" spans="2:12" x14ac:dyDescent="0.25">
      <c r="B15" s="63" t="s">
        <v>5</v>
      </c>
      <c r="C15" s="8" t="s">
        <v>22</v>
      </c>
      <c r="D15" s="8" t="s">
        <v>68</v>
      </c>
      <c r="E15" s="8" t="s">
        <v>40</v>
      </c>
      <c r="F15" s="8" t="s">
        <v>32</v>
      </c>
      <c r="G15" s="8" t="s">
        <v>3239</v>
      </c>
    </row>
    <row r="16" spans="2:12" x14ac:dyDescent="0.25">
      <c r="B16" s="64" t="s">
        <v>3203</v>
      </c>
      <c r="C16" s="112">
        <v>651</v>
      </c>
      <c r="D16" s="112">
        <v>371</v>
      </c>
      <c r="E16" s="112">
        <v>339</v>
      </c>
      <c r="F16" s="112">
        <v>397</v>
      </c>
      <c r="G16" s="112">
        <v>1758</v>
      </c>
    </row>
    <row r="17" spans="2:16" x14ac:dyDescent="0.25">
      <c r="B17" s="64" t="s">
        <v>3204</v>
      </c>
      <c r="C17" s="112">
        <v>694</v>
      </c>
      <c r="D17" s="112">
        <v>289</v>
      </c>
      <c r="E17" s="112">
        <v>291</v>
      </c>
      <c r="F17" s="112">
        <v>350</v>
      </c>
      <c r="G17" s="112">
        <v>1624</v>
      </c>
    </row>
    <row r="18" spans="2:16" x14ac:dyDescent="0.25">
      <c r="B18" s="64" t="s">
        <v>24</v>
      </c>
      <c r="C18" s="112">
        <v>708</v>
      </c>
      <c r="D18" s="112">
        <v>340</v>
      </c>
      <c r="E18" s="112">
        <v>329</v>
      </c>
      <c r="F18" s="112">
        <v>277</v>
      </c>
      <c r="G18" s="112">
        <v>1654</v>
      </c>
    </row>
    <row r="19" spans="2:16" x14ac:dyDescent="0.25">
      <c r="B19" s="64" t="s">
        <v>53</v>
      </c>
      <c r="C19" s="112">
        <v>745</v>
      </c>
      <c r="D19" s="112">
        <v>330</v>
      </c>
      <c r="E19" s="112">
        <v>409</v>
      </c>
      <c r="F19" s="112">
        <v>283</v>
      </c>
      <c r="G19" s="112">
        <v>1767</v>
      </c>
    </row>
    <row r="20" spans="2:16" x14ac:dyDescent="0.25">
      <c r="B20" s="64" t="s">
        <v>58</v>
      </c>
      <c r="C20" s="112">
        <v>764</v>
      </c>
      <c r="D20" s="112">
        <v>517</v>
      </c>
      <c r="E20" s="112">
        <v>355</v>
      </c>
      <c r="F20" s="112">
        <v>280</v>
      </c>
      <c r="G20" s="112">
        <v>1916</v>
      </c>
    </row>
    <row r="21" spans="2:16" x14ac:dyDescent="0.25">
      <c r="B21" s="7" t="s">
        <v>3239</v>
      </c>
      <c r="C21" s="112">
        <v>3562</v>
      </c>
      <c r="D21" s="112">
        <v>1847</v>
      </c>
      <c r="E21" s="112">
        <v>1723</v>
      </c>
      <c r="F21" s="112">
        <v>1587</v>
      </c>
      <c r="G21" s="112">
        <v>8719</v>
      </c>
    </row>
    <row r="23" spans="2:16" x14ac:dyDescent="0.25">
      <c r="B23" s="12" t="s">
        <v>3240</v>
      </c>
      <c r="C23" s="13" t="s">
        <v>3255</v>
      </c>
      <c r="D23" s="14"/>
      <c r="E23" s="14"/>
      <c r="F23" s="14"/>
      <c r="G23" s="14"/>
      <c r="H23" s="14"/>
      <c r="J23" s="33" t="s">
        <v>3263</v>
      </c>
      <c r="K23" s="33" t="s">
        <v>3257</v>
      </c>
      <c r="L23" s="34"/>
      <c r="M23" s="34"/>
      <c r="N23" s="34"/>
      <c r="O23" s="34"/>
      <c r="P23" s="34"/>
    </row>
    <row r="24" spans="2:16" x14ac:dyDescent="0.25">
      <c r="B24" s="6" t="s">
        <v>3248</v>
      </c>
      <c r="C24" s="8" t="s">
        <v>3203</v>
      </c>
      <c r="D24" s="8" t="s">
        <v>3204</v>
      </c>
      <c r="E24" s="8" t="s">
        <v>24</v>
      </c>
      <c r="F24" s="8" t="s">
        <v>53</v>
      </c>
      <c r="G24" s="8" t="s">
        <v>58</v>
      </c>
      <c r="H24" s="8" t="s">
        <v>3239</v>
      </c>
      <c r="J24" s="33" t="s">
        <v>3238</v>
      </c>
      <c r="K24" s="36" t="s">
        <v>3203</v>
      </c>
      <c r="L24" s="36" t="s">
        <v>3204</v>
      </c>
      <c r="M24" s="36" t="s">
        <v>24</v>
      </c>
      <c r="N24" s="36" t="s">
        <v>53</v>
      </c>
      <c r="O24" s="36" t="s">
        <v>58</v>
      </c>
      <c r="P24" s="36" t="s">
        <v>3239</v>
      </c>
    </row>
    <row r="25" spans="2:16" x14ac:dyDescent="0.25">
      <c r="B25" s="7" t="s">
        <v>3243</v>
      </c>
      <c r="C25" s="10">
        <v>89184486.780000001</v>
      </c>
      <c r="D25" s="10">
        <v>90607022.030000016</v>
      </c>
      <c r="E25" s="10">
        <v>81032858.469999999</v>
      </c>
      <c r="F25" s="10">
        <v>71832024.609999999</v>
      </c>
      <c r="G25" s="10">
        <v>64437177.380000003</v>
      </c>
      <c r="H25" s="10">
        <v>397093569.26999998</v>
      </c>
      <c r="J25" s="35" t="s">
        <v>3243</v>
      </c>
      <c r="K25" s="37">
        <v>8.9184486780000007</v>
      </c>
      <c r="L25" s="37">
        <v>9.060702203</v>
      </c>
      <c r="M25" s="37">
        <v>8.1032858470000004</v>
      </c>
      <c r="N25" s="37">
        <v>7.1832024610000014</v>
      </c>
      <c r="O25" s="37">
        <v>6.4437177380000001</v>
      </c>
      <c r="P25" s="37">
        <v>39.709356927000002</v>
      </c>
    </row>
    <row r="26" spans="2:16" x14ac:dyDescent="0.25">
      <c r="B26" s="7" t="s">
        <v>3244</v>
      </c>
      <c r="C26" s="10">
        <v>94616033.590000004</v>
      </c>
      <c r="D26" s="10">
        <v>96491601.430000007</v>
      </c>
      <c r="E26" s="10">
        <v>59027768.910000004</v>
      </c>
      <c r="F26" s="10">
        <v>87761649.919999972</v>
      </c>
      <c r="G26" s="10">
        <v>80778380.210000023</v>
      </c>
      <c r="H26" s="10">
        <v>418675434.06</v>
      </c>
      <c r="J26" s="35" t="s">
        <v>3244</v>
      </c>
      <c r="K26" s="37">
        <v>9.4616033590000015</v>
      </c>
      <c r="L26" s="37">
        <v>9.6491601429999978</v>
      </c>
      <c r="M26" s="37">
        <v>5.9027768909999985</v>
      </c>
      <c r="N26" s="37">
        <v>8.776164992</v>
      </c>
      <c r="O26" s="37">
        <v>8.0778380210000016</v>
      </c>
      <c r="P26" s="37">
        <v>41.867543405999996</v>
      </c>
    </row>
    <row r="27" spans="2:16" x14ac:dyDescent="0.25">
      <c r="B27" s="7" t="s">
        <v>3245</v>
      </c>
      <c r="C27" s="10">
        <v>100710334.04000002</v>
      </c>
      <c r="D27" s="10">
        <v>48218853.040000007</v>
      </c>
      <c r="E27" s="10">
        <v>71411024.74000001</v>
      </c>
      <c r="F27" s="10">
        <v>89900712.319999978</v>
      </c>
      <c r="G27" s="10">
        <v>110724709.72999997</v>
      </c>
      <c r="H27" s="10">
        <v>420965633.87</v>
      </c>
      <c r="J27" s="35" t="s">
        <v>3245</v>
      </c>
      <c r="K27" s="37">
        <v>10.071033404</v>
      </c>
      <c r="L27" s="37">
        <v>4.8218853039999994</v>
      </c>
      <c r="M27" s="37">
        <v>7.1411024740000002</v>
      </c>
      <c r="N27" s="37">
        <v>8.990071232</v>
      </c>
      <c r="O27" s="37">
        <v>11.072470972999998</v>
      </c>
      <c r="P27" s="37">
        <v>42.096563387000003</v>
      </c>
    </row>
    <row r="28" spans="2:16" x14ac:dyDescent="0.25">
      <c r="B28" s="7" t="s">
        <v>3246</v>
      </c>
      <c r="C28" s="10">
        <v>66876065.840000011</v>
      </c>
      <c r="D28" s="10">
        <v>43134217.690000005</v>
      </c>
      <c r="E28" s="10">
        <v>79531474.579999983</v>
      </c>
      <c r="F28" s="10">
        <v>63464974.510000013</v>
      </c>
      <c r="G28" s="10">
        <v>120748057.53999998</v>
      </c>
      <c r="H28" s="10">
        <v>373754790.16000003</v>
      </c>
      <c r="J28" s="35" t="s">
        <v>3246</v>
      </c>
      <c r="K28" s="37">
        <v>6.687606584000001</v>
      </c>
      <c r="L28" s="37">
        <v>4.3134217689999996</v>
      </c>
      <c r="M28" s="37">
        <v>7.953147458000001</v>
      </c>
      <c r="N28" s="37">
        <v>6.3464974509999994</v>
      </c>
      <c r="O28" s="37">
        <v>12.074805754000003</v>
      </c>
      <c r="P28" s="37">
        <v>37.375479016000007</v>
      </c>
    </row>
    <row r="29" spans="2:16" x14ac:dyDescent="0.25">
      <c r="B29" s="7" t="s">
        <v>3277</v>
      </c>
      <c r="C29" s="10">
        <v>99517799.700000018</v>
      </c>
      <c r="D29" s="10">
        <v>95946951.690000027</v>
      </c>
      <c r="E29" s="10">
        <v>57726990.530000001</v>
      </c>
      <c r="F29" s="10">
        <v>65983517.18</v>
      </c>
      <c r="G29" s="10">
        <v>81797483.539999992</v>
      </c>
      <c r="H29" s="10">
        <v>400972742.63999999</v>
      </c>
      <c r="J29" s="35" t="s">
        <v>3277</v>
      </c>
      <c r="K29" s="37">
        <v>9.9517799699999987</v>
      </c>
      <c r="L29" s="37">
        <v>9.5946951690000013</v>
      </c>
      <c r="M29" s="37">
        <v>5.7726990529999975</v>
      </c>
      <c r="N29" s="37">
        <v>6.5983517179999982</v>
      </c>
      <c r="O29" s="37">
        <v>8.1797483540000009</v>
      </c>
      <c r="P29" s="37">
        <v>40.097274263999992</v>
      </c>
    </row>
    <row r="30" spans="2:16" x14ac:dyDescent="0.25">
      <c r="B30" s="7" t="s">
        <v>3278</v>
      </c>
      <c r="C30" s="10">
        <v>72242371.010000005</v>
      </c>
      <c r="D30" s="10">
        <v>47454721.43</v>
      </c>
      <c r="E30" s="10">
        <v>63459813.18999999</v>
      </c>
      <c r="F30" s="10">
        <v>67430387.730000004</v>
      </c>
      <c r="G30" s="10">
        <v>75540574.169999987</v>
      </c>
      <c r="H30" s="10">
        <v>326127867.52999997</v>
      </c>
      <c r="J30" s="35" t="s">
        <v>3278</v>
      </c>
      <c r="K30" s="37">
        <v>7.2242371009999991</v>
      </c>
      <c r="L30" s="37">
        <v>4.7454721429999998</v>
      </c>
      <c r="M30" s="37">
        <v>6.3459813190000016</v>
      </c>
      <c r="N30" s="37">
        <v>6.7430387730000012</v>
      </c>
      <c r="O30" s="37">
        <v>7.5540574170000001</v>
      </c>
      <c r="P30" s="37">
        <v>32.612786753000002</v>
      </c>
    </row>
    <row r="31" spans="2:16" x14ac:dyDescent="0.25">
      <c r="B31" s="7" t="s">
        <v>3279</v>
      </c>
      <c r="C31" s="10">
        <v>17539547.309999999</v>
      </c>
      <c r="D31" s="10">
        <v>31845115.329999998</v>
      </c>
      <c r="E31" s="10">
        <v>61170837.020000003</v>
      </c>
      <c r="F31" s="10">
        <v>61735154.340000004</v>
      </c>
      <c r="G31" s="10">
        <v>52935543.670000002</v>
      </c>
      <c r="H31" s="10">
        <v>225226197.67000002</v>
      </c>
      <c r="J31" s="35" t="s">
        <v>3279</v>
      </c>
      <c r="K31" s="37">
        <v>1.7539547309999997</v>
      </c>
      <c r="L31" s="37">
        <v>3.1845115330000002</v>
      </c>
      <c r="M31" s="37">
        <v>6.1170837020000004</v>
      </c>
      <c r="N31" s="37">
        <v>6.1735154340000005</v>
      </c>
      <c r="O31" s="37">
        <v>5.2935543669999987</v>
      </c>
      <c r="P31" s="37">
        <v>22.522619767000002</v>
      </c>
    </row>
    <row r="32" spans="2:16" x14ac:dyDescent="0.25">
      <c r="B32" s="7" t="s">
        <v>3280</v>
      </c>
      <c r="C32" s="10">
        <v>44020810.730000012</v>
      </c>
      <c r="D32" s="10">
        <v>59448302.209999993</v>
      </c>
      <c r="E32" s="10">
        <v>39240012.999999993</v>
      </c>
      <c r="F32" s="10">
        <v>41646315.119999997</v>
      </c>
      <c r="G32" s="10">
        <v>51470552.570000008</v>
      </c>
      <c r="H32" s="10">
        <v>235825993.63</v>
      </c>
      <c r="J32" s="35" t="s">
        <v>3280</v>
      </c>
      <c r="K32" s="37">
        <v>4.4020810729999997</v>
      </c>
      <c r="L32" s="37">
        <v>5.9448302210000001</v>
      </c>
      <c r="M32" s="37">
        <v>3.9240013</v>
      </c>
      <c r="N32" s="37">
        <v>4.1646315119999997</v>
      </c>
      <c r="O32" s="37">
        <v>5.1470552569999999</v>
      </c>
      <c r="P32" s="37">
        <v>23.582599363</v>
      </c>
    </row>
    <row r="33" spans="2:16" x14ac:dyDescent="0.25">
      <c r="B33" s="7" t="s">
        <v>3281</v>
      </c>
      <c r="C33" s="10">
        <v>44758194.29999999</v>
      </c>
      <c r="D33" s="10">
        <v>50669628.910000004</v>
      </c>
      <c r="E33" s="10">
        <v>39089542.700000003</v>
      </c>
      <c r="F33" s="10">
        <v>53548720.549999997</v>
      </c>
      <c r="G33" s="10">
        <v>47350623.5</v>
      </c>
      <c r="H33" s="10">
        <v>235416709.95999998</v>
      </c>
      <c r="J33" s="35" t="s">
        <v>3281</v>
      </c>
      <c r="K33" s="37">
        <v>4.4758194299999996</v>
      </c>
      <c r="L33" s="37">
        <v>5.0669628909999993</v>
      </c>
      <c r="M33" s="37">
        <v>3.9089542699999997</v>
      </c>
      <c r="N33" s="37">
        <v>5.3548720550000013</v>
      </c>
      <c r="O33" s="37">
        <v>4.7350623499999998</v>
      </c>
      <c r="P33" s="37">
        <v>23.541670996000001</v>
      </c>
    </row>
    <row r="34" spans="2:16" x14ac:dyDescent="0.25">
      <c r="B34" s="7" t="s">
        <v>3282</v>
      </c>
      <c r="C34" s="10">
        <v>43669029.919999994</v>
      </c>
      <c r="D34" s="10">
        <v>46322227.289999992</v>
      </c>
      <c r="E34" s="10">
        <v>56674240.170000002</v>
      </c>
      <c r="F34" s="10">
        <v>45804532.910000004</v>
      </c>
      <c r="G34" s="10">
        <v>35082514.010000005</v>
      </c>
      <c r="H34" s="10">
        <v>227552544.30000001</v>
      </c>
      <c r="J34" s="35" t="s">
        <v>3282</v>
      </c>
      <c r="K34" s="37">
        <v>4.366902992</v>
      </c>
      <c r="L34" s="37">
        <v>4.6322227289999987</v>
      </c>
      <c r="M34" s="37">
        <v>5.667424017000001</v>
      </c>
      <c r="N34" s="37">
        <v>4.5804532909999995</v>
      </c>
      <c r="O34" s="37">
        <v>3.5082514010000008</v>
      </c>
      <c r="P34" s="37">
        <v>22.755254430000001</v>
      </c>
    </row>
    <row r="35" spans="2:16" x14ac:dyDescent="0.25">
      <c r="B35" s="7" t="s">
        <v>3283</v>
      </c>
      <c r="C35" s="10">
        <v>61251669.68</v>
      </c>
      <c r="D35" s="10">
        <v>44871994.640000001</v>
      </c>
      <c r="E35" s="10">
        <v>31193289.91</v>
      </c>
      <c r="F35" s="10">
        <v>64858129.75</v>
      </c>
      <c r="G35" s="10">
        <v>50607920.459999993</v>
      </c>
      <c r="H35" s="10">
        <v>252783004.44</v>
      </c>
      <c r="J35" s="35" t="s">
        <v>3283</v>
      </c>
      <c r="K35" s="37">
        <v>6.1251669680000012</v>
      </c>
      <c r="L35" s="37">
        <v>4.4871994639999997</v>
      </c>
      <c r="M35" s="37">
        <v>3.1193289910000002</v>
      </c>
      <c r="N35" s="37">
        <v>6.4858129749999982</v>
      </c>
      <c r="O35" s="37">
        <v>5.0607920460000004</v>
      </c>
      <c r="P35" s="37">
        <v>25.278300443999999</v>
      </c>
    </row>
    <row r="36" spans="2:16" x14ac:dyDescent="0.25">
      <c r="B36" s="7" t="s">
        <v>3284</v>
      </c>
      <c r="C36" s="10">
        <v>36497125.43999999</v>
      </c>
      <c r="D36" s="10">
        <v>37310884.600000001</v>
      </c>
      <c r="E36" s="10">
        <v>65057947.379999995</v>
      </c>
      <c r="F36" s="10">
        <v>40551371.960000008</v>
      </c>
      <c r="G36" s="10">
        <v>84215067.290000007</v>
      </c>
      <c r="H36" s="10">
        <v>263632396.67000002</v>
      </c>
      <c r="J36" s="35" t="s">
        <v>3284</v>
      </c>
      <c r="K36" s="37">
        <v>3.6497125440000002</v>
      </c>
      <c r="L36" s="37">
        <v>3.7310884600000001</v>
      </c>
      <c r="M36" s="37">
        <v>6.5057947379999996</v>
      </c>
      <c r="N36" s="37">
        <v>4.0551371959999996</v>
      </c>
      <c r="O36" s="37">
        <v>8.4215067290000007</v>
      </c>
      <c r="P36" s="37">
        <v>26.363239667000002</v>
      </c>
    </row>
    <row r="37" spans="2:16" x14ac:dyDescent="0.25">
      <c r="B37" s="7" t="s">
        <v>3239</v>
      </c>
      <c r="C37" s="10">
        <v>770883468.33999979</v>
      </c>
      <c r="D37" s="10">
        <v>692321520.29000008</v>
      </c>
      <c r="E37" s="10">
        <v>704615800.5999999</v>
      </c>
      <c r="F37" s="10">
        <v>754517490.89999998</v>
      </c>
      <c r="G37" s="10">
        <v>855688604.06999993</v>
      </c>
      <c r="H37" s="10">
        <v>3778026884.2000003</v>
      </c>
      <c r="J37" s="35" t="s">
        <v>3239</v>
      </c>
      <c r="K37" s="37">
        <v>77.088346834000006</v>
      </c>
      <c r="L37" s="37">
        <v>69.232152028999991</v>
      </c>
      <c r="M37" s="37">
        <v>70.461580060000017</v>
      </c>
      <c r="N37" s="37">
        <v>75.451749090000007</v>
      </c>
      <c r="O37" s="37">
        <v>85.568860406999988</v>
      </c>
      <c r="P37" s="37">
        <v>377.80268841999998</v>
      </c>
    </row>
    <row r="40" spans="2:16" x14ac:dyDescent="0.25">
      <c r="B40" s="6" t="s">
        <v>3252</v>
      </c>
      <c r="C40" s="6" t="s">
        <v>3255</v>
      </c>
      <c r="D40" s="2"/>
      <c r="E40" s="2"/>
      <c r="F40" s="2"/>
    </row>
    <row r="41" spans="2:16" x14ac:dyDescent="0.25">
      <c r="B41" s="6" t="s">
        <v>3248</v>
      </c>
      <c r="C41" s="8" t="s">
        <v>3236</v>
      </c>
      <c r="D41" s="8" t="s">
        <v>3288</v>
      </c>
      <c r="E41" s="8" t="s">
        <v>3289</v>
      </c>
      <c r="F41" s="8" t="s">
        <v>3239</v>
      </c>
      <c r="J41" s="6" t="s">
        <v>3250</v>
      </c>
      <c r="K41" s="2" t="s">
        <v>3263</v>
      </c>
      <c r="L41" s="2" t="s">
        <v>3286</v>
      </c>
    </row>
    <row r="42" spans="2:16" x14ac:dyDescent="0.25">
      <c r="B42" s="7" t="s">
        <v>3243</v>
      </c>
      <c r="C42" s="112">
        <v>435</v>
      </c>
      <c r="D42" s="112">
        <v>375</v>
      </c>
      <c r="E42" s="112">
        <v>165</v>
      </c>
      <c r="F42" s="112">
        <v>975</v>
      </c>
      <c r="J42" s="7" t="s">
        <v>3270</v>
      </c>
      <c r="K42" s="67">
        <v>70.991519128999968</v>
      </c>
      <c r="L42" s="69">
        <v>0.18790633657450131</v>
      </c>
    </row>
    <row r="43" spans="2:16" x14ac:dyDescent="0.25">
      <c r="B43" s="7" t="s">
        <v>3244</v>
      </c>
      <c r="C43" s="112">
        <v>433</v>
      </c>
      <c r="D43" s="112">
        <v>341</v>
      </c>
      <c r="E43" s="112">
        <v>177</v>
      </c>
      <c r="F43" s="112">
        <v>951</v>
      </c>
      <c r="J43" s="7" t="s">
        <v>37</v>
      </c>
      <c r="K43" s="67">
        <v>78.547504596999985</v>
      </c>
      <c r="L43" s="69">
        <v>0.20790615579124572</v>
      </c>
    </row>
    <row r="44" spans="2:16" x14ac:dyDescent="0.25">
      <c r="B44" s="7" t="s">
        <v>3245</v>
      </c>
      <c r="C44" s="112">
        <v>332</v>
      </c>
      <c r="D44" s="112">
        <v>370</v>
      </c>
      <c r="E44" s="112">
        <v>220</v>
      </c>
      <c r="F44" s="112">
        <v>922</v>
      </c>
      <c r="J44" s="7" t="s">
        <v>3269</v>
      </c>
      <c r="K44" s="67">
        <v>77.553771119999993</v>
      </c>
      <c r="L44" s="69">
        <v>0.20527585826436506</v>
      </c>
    </row>
    <row r="45" spans="2:16" x14ac:dyDescent="0.25">
      <c r="B45" s="7" t="s">
        <v>3246</v>
      </c>
      <c r="C45" s="112">
        <v>289</v>
      </c>
      <c r="D45" s="112">
        <v>322</v>
      </c>
      <c r="E45" s="112">
        <v>263</v>
      </c>
      <c r="F45" s="112">
        <v>874</v>
      </c>
      <c r="J45" s="7" t="s">
        <v>3271</v>
      </c>
      <c r="K45" s="67">
        <v>79.482545294000005</v>
      </c>
      <c r="L45" s="69">
        <v>0.21038110032091659</v>
      </c>
    </row>
    <row r="46" spans="2:16" x14ac:dyDescent="0.25">
      <c r="B46" s="7" t="s">
        <v>3277</v>
      </c>
      <c r="C46" s="112">
        <v>446</v>
      </c>
      <c r="D46" s="112">
        <v>318</v>
      </c>
      <c r="E46" s="112">
        <v>187</v>
      </c>
      <c r="F46" s="112">
        <v>951</v>
      </c>
      <c r="J46" s="7" t="s">
        <v>3268</v>
      </c>
      <c r="K46" s="67">
        <v>71.227348280000029</v>
      </c>
      <c r="L46" s="69">
        <v>0.18853054904897129</v>
      </c>
    </row>
    <row r="47" spans="2:16" x14ac:dyDescent="0.25">
      <c r="B47" s="7" t="s">
        <v>3278</v>
      </c>
      <c r="C47" s="112">
        <v>271</v>
      </c>
      <c r="D47" s="112">
        <v>309</v>
      </c>
      <c r="E47" s="112">
        <v>183</v>
      </c>
      <c r="F47" s="112">
        <v>763</v>
      </c>
      <c r="J47" s="7" t="s">
        <v>3239</v>
      </c>
      <c r="K47" s="67">
        <v>377.80268841999998</v>
      </c>
      <c r="L47" s="69">
        <v>1</v>
      </c>
    </row>
    <row r="48" spans="2:16" x14ac:dyDescent="0.25">
      <c r="B48" s="7" t="s">
        <v>3279</v>
      </c>
      <c r="C48" s="112">
        <v>117</v>
      </c>
      <c r="D48" s="112">
        <v>244</v>
      </c>
      <c r="E48" s="112">
        <v>119</v>
      </c>
      <c r="F48" s="112">
        <v>480</v>
      </c>
    </row>
    <row r="49" spans="2:8" x14ac:dyDescent="0.25">
      <c r="B49" s="7" t="s">
        <v>3280</v>
      </c>
      <c r="C49" s="112">
        <v>221</v>
      </c>
      <c r="D49" s="112">
        <v>201</v>
      </c>
      <c r="E49" s="112">
        <v>115</v>
      </c>
      <c r="F49" s="112">
        <v>537</v>
      </c>
    </row>
    <row r="50" spans="2:8" x14ac:dyDescent="0.25">
      <c r="B50" s="7" t="s">
        <v>3281</v>
      </c>
      <c r="C50" s="112">
        <v>201</v>
      </c>
      <c r="D50" s="112">
        <v>229</v>
      </c>
      <c r="E50" s="112">
        <v>100</v>
      </c>
      <c r="F50" s="112">
        <v>530</v>
      </c>
    </row>
    <row r="51" spans="2:8" x14ac:dyDescent="0.25">
      <c r="B51" s="7" t="s">
        <v>3282</v>
      </c>
      <c r="C51" s="112">
        <v>199</v>
      </c>
      <c r="D51" s="112">
        <v>262</v>
      </c>
      <c r="E51" s="112">
        <v>101</v>
      </c>
      <c r="F51" s="112">
        <v>562</v>
      </c>
    </row>
    <row r="52" spans="2:8" x14ac:dyDescent="0.25">
      <c r="B52" s="7" t="s">
        <v>3283</v>
      </c>
      <c r="C52" s="112">
        <v>241</v>
      </c>
      <c r="D52" s="112">
        <v>231</v>
      </c>
      <c r="E52" s="112">
        <v>109</v>
      </c>
      <c r="F52" s="112">
        <v>581</v>
      </c>
    </row>
    <row r="53" spans="2:8" x14ac:dyDescent="0.25">
      <c r="B53" s="7" t="s">
        <v>3284</v>
      </c>
      <c r="C53" s="112">
        <v>197</v>
      </c>
      <c r="D53" s="112">
        <v>219</v>
      </c>
      <c r="E53" s="112">
        <v>177</v>
      </c>
      <c r="F53" s="112">
        <v>593</v>
      </c>
    </row>
    <row r="54" spans="2:8" x14ac:dyDescent="0.25">
      <c r="B54" s="7" t="s">
        <v>3239</v>
      </c>
      <c r="C54" s="112">
        <v>3382</v>
      </c>
      <c r="D54" s="112">
        <v>3421</v>
      </c>
      <c r="E54" s="112">
        <v>1916</v>
      </c>
      <c r="F54" s="112">
        <v>8719</v>
      </c>
    </row>
    <row r="57" spans="2:8" x14ac:dyDescent="0.25">
      <c r="B57" s="6" t="s">
        <v>3252</v>
      </c>
      <c r="C57" s="6" t="s">
        <v>3255</v>
      </c>
      <c r="D57" s="2"/>
      <c r="E57" s="2"/>
      <c r="F57" s="2"/>
      <c r="G57" s="2"/>
      <c r="H57" s="2"/>
    </row>
    <row r="58" spans="2:8" x14ac:dyDescent="0.25">
      <c r="B58" s="15" t="s">
        <v>2</v>
      </c>
      <c r="C58" s="8" t="s">
        <v>37</v>
      </c>
      <c r="D58" s="8" t="s">
        <v>3269</v>
      </c>
      <c r="E58" s="8" t="s">
        <v>3268</v>
      </c>
      <c r="F58" s="8" t="s">
        <v>3271</v>
      </c>
      <c r="G58" s="8" t="s">
        <v>3270</v>
      </c>
      <c r="H58" s="8" t="s">
        <v>3239</v>
      </c>
    </row>
    <row r="59" spans="2:8" x14ac:dyDescent="0.25">
      <c r="B59" s="29" t="s">
        <v>3203</v>
      </c>
      <c r="C59" s="112">
        <v>388</v>
      </c>
      <c r="D59" s="112">
        <v>361</v>
      </c>
      <c r="E59" s="112">
        <v>340</v>
      </c>
      <c r="F59" s="112">
        <v>352</v>
      </c>
      <c r="G59" s="112">
        <v>317</v>
      </c>
      <c r="H59" s="112">
        <v>1758</v>
      </c>
    </row>
    <row r="60" spans="2:8" x14ac:dyDescent="0.25">
      <c r="B60" s="29" t="s">
        <v>3204</v>
      </c>
      <c r="C60" s="112">
        <v>326</v>
      </c>
      <c r="D60" s="112">
        <v>388</v>
      </c>
      <c r="E60" s="112">
        <v>321</v>
      </c>
      <c r="F60" s="112">
        <v>276</v>
      </c>
      <c r="G60" s="112">
        <v>313</v>
      </c>
      <c r="H60" s="112">
        <v>1624</v>
      </c>
    </row>
    <row r="61" spans="2:8" x14ac:dyDescent="0.25">
      <c r="B61" s="29" t="s">
        <v>24</v>
      </c>
      <c r="C61" s="112">
        <v>324</v>
      </c>
      <c r="D61" s="112">
        <v>290</v>
      </c>
      <c r="E61" s="112">
        <v>336</v>
      </c>
      <c r="F61" s="112">
        <v>358</v>
      </c>
      <c r="G61" s="112">
        <v>346</v>
      </c>
      <c r="H61" s="112">
        <v>1654</v>
      </c>
    </row>
    <row r="62" spans="2:8" x14ac:dyDescent="0.25">
      <c r="B62" s="29" t="s">
        <v>53</v>
      </c>
      <c r="C62" s="112">
        <v>368</v>
      </c>
      <c r="D62" s="112">
        <v>391</v>
      </c>
      <c r="E62" s="112">
        <v>312</v>
      </c>
      <c r="F62" s="112">
        <v>353</v>
      </c>
      <c r="G62" s="112">
        <v>343</v>
      </c>
      <c r="H62" s="112">
        <v>1767</v>
      </c>
    </row>
    <row r="63" spans="2:8" x14ac:dyDescent="0.25">
      <c r="B63" s="29" t="s">
        <v>58</v>
      </c>
      <c r="C63" s="112">
        <v>391</v>
      </c>
      <c r="D63" s="112">
        <v>340</v>
      </c>
      <c r="E63" s="112">
        <v>424</v>
      </c>
      <c r="F63" s="112">
        <v>389</v>
      </c>
      <c r="G63" s="112">
        <v>372</v>
      </c>
      <c r="H63" s="112">
        <v>1916</v>
      </c>
    </row>
    <row r="64" spans="2:8" x14ac:dyDescent="0.25">
      <c r="B64" s="7" t="s">
        <v>3239</v>
      </c>
      <c r="C64" s="112">
        <v>1797</v>
      </c>
      <c r="D64" s="112">
        <v>1770</v>
      </c>
      <c r="E64" s="112">
        <v>1733</v>
      </c>
      <c r="F64" s="112">
        <v>1728</v>
      </c>
      <c r="G64" s="112">
        <v>1691</v>
      </c>
      <c r="H64" s="112">
        <v>8719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87F1-2B80-4008-B308-53F1C93749A4}">
  <dimension ref="E2:M8"/>
  <sheetViews>
    <sheetView showGridLines="0" showRowColHeaders="0" tabSelected="1" topLeftCell="A10" zoomScale="80" zoomScaleNormal="80" workbookViewId="0">
      <selection activeCell="K51" sqref="K51"/>
    </sheetView>
  </sheetViews>
  <sheetFormatPr defaultRowHeight="15" x14ac:dyDescent="0.25"/>
  <cols>
    <col min="4" max="4" width="16.5703125" customWidth="1"/>
    <col min="5" max="5" width="27" customWidth="1"/>
    <col min="6" max="6" width="2.140625" customWidth="1"/>
    <col min="7" max="7" width="27.85546875" customWidth="1"/>
    <col min="8" max="8" width="2.140625" customWidth="1"/>
    <col min="9" max="9" width="27" customWidth="1"/>
    <col min="10" max="10" width="2.140625" customWidth="1"/>
    <col min="11" max="11" width="27.140625" customWidth="1"/>
    <col min="12" max="12" width="2.5703125" customWidth="1"/>
    <col min="13" max="13" width="28" customWidth="1"/>
  </cols>
  <sheetData>
    <row r="2" spans="5:13" x14ac:dyDescent="0.25">
      <c r="E2" s="77" t="s">
        <v>3272</v>
      </c>
      <c r="F2" s="78"/>
      <c r="G2" s="78"/>
      <c r="H2" s="78"/>
      <c r="I2" s="78"/>
      <c r="J2" s="78"/>
      <c r="K2" s="78"/>
      <c r="L2" s="78"/>
      <c r="M2" s="78"/>
    </row>
    <row r="3" spans="5:13" x14ac:dyDescent="0.25">
      <c r="E3" s="78"/>
      <c r="F3" s="78"/>
      <c r="G3" s="78"/>
      <c r="H3" s="78"/>
      <c r="I3" s="78"/>
      <c r="J3" s="78"/>
      <c r="K3" s="78"/>
      <c r="L3" s="78"/>
      <c r="M3" s="78"/>
    </row>
    <row r="4" spans="5:13" x14ac:dyDescent="0.25">
      <c r="E4" s="78"/>
      <c r="F4" s="79"/>
      <c r="G4" s="79"/>
      <c r="H4" s="79"/>
      <c r="I4" s="79"/>
      <c r="J4" s="79"/>
      <c r="K4" s="79"/>
      <c r="L4" s="79"/>
      <c r="M4" s="79"/>
    </row>
    <row r="5" spans="5:13" ht="9" customHeight="1" x14ac:dyDescent="0.25">
      <c r="E5" s="85" t="s">
        <v>3232</v>
      </c>
      <c r="F5" s="27"/>
      <c r="G5" s="86" t="s">
        <v>3266</v>
      </c>
      <c r="H5" s="66"/>
      <c r="I5" s="85" t="s">
        <v>3256</v>
      </c>
      <c r="K5" s="85" t="s">
        <v>3265</v>
      </c>
      <c r="M5" s="85" t="s">
        <v>3260</v>
      </c>
    </row>
    <row r="6" spans="5:13" ht="18" customHeight="1" x14ac:dyDescent="0.25">
      <c r="E6" s="85"/>
      <c r="F6" s="27"/>
      <c r="G6" s="87"/>
      <c r="H6" s="65"/>
      <c r="I6" s="85"/>
      <c r="K6" s="85"/>
      <c r="M6" s="85"/>
    </row>
    <row r="7" spans="5:13" ht="31.5" customHeight="1" x14ac:dyDescent="0.25">
      <c r="E7" s="80">
        <f>GETPIVOTDATA("Net Sales  (Cr)",'Executive Sales Report'!$J$2)</f>
        <v>377.80268842000004</v>
      </c>
      <c r="F7" s="28"/>
      <c r="G7" s="81">
        <f>GETPIVOTDATA("Quantity",'Executive Sales Report'!$B$12)</f>
        <v>8719</v>
      </c>
      <c r="I7" s="82">
        <f>GETPIVOTDATA("Invoice ID",'Executive Sales Report'!$B$58)</f>
        <v>1979</v>
      </c>
      <c r="K7" s="83">
        <f>(GETPIVOTDATA("Net Sales Amount",'Executive Sales Report'!$B$2))/GETPIVOTDATA("Invoice ID",'Executive Sales Report'!$B$58)</f>
        <v>1909058.5569479542</v>
      </c>
      <c r="M7" s="84">
        <f>GETPIVOTDATA("Discount %",'Master Sheet'!$B$16)</f>
        <v>6.482566953006569</v>
      </c>
    </row>
    <row r="8" spans="5:13" ht="0.75" customHeight="1" x14ac:dyDescent="0.25">
      <c r="E8" s="80"/>
      <c r="G8" s="81"/>
      <c r="I8" s="82"/>
      <c r="K8" s="83"/>
      <c r="M8" s="84"/>
    </row>
  </sheetData>
  <mergeCells count="11">
    <mergeCell ref="E2:M4"/>
    <mergeCell ref="E7:E8"/>
    <mergeCell ref="G7:G8"/>
    <mergeCell ref="I7:I8"/>
    <mergeCell ref="K7:K8"/>
    <mergeCell ref="M7:M8"/>
    <mergeCell ref="E5:E6"/>
    <mergeCell ref="G5:G6"/>
    <mergeCell ref="I5:I6"/>
    <mergeCell ref="K5:K6"/>
    <mergeCell ref="M5:M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335D-4E5E-47AD-A01A-5EDEB2A108B3}">
  <sheetPr>
    <pageSetUpPr autoPageBreaks="0"/>
  </sheetPr>
  <dimension ref="D1:N45"/>
  <sheetViews>
    <sheetView showGridLines="0" zoomScale="80" zoomScaleNormal="80" workbookViewId="0">
      <selection activeCell="D43" sqref="D43"/>
    </sheetView>
  </sheetViews>
  <sheetFormatPr defaultRowHeight="15" x14ac:dyDescent="0.25"/>
  <cols>
    <col min="2" max="2" width="2.5703125" customWidth="1"/>
    <col min="3" max="3" width="24" customWidth="1"/>
    <col min="4" max="4" width="9.85546875" customWidth="1"/>
    <col min="5" max="5" width="23.5703125" customWidth="1"/>
    <col min="6" max="6" width="1.5703125" customWidth="1"/>
    <col min="7" max="7" width="25.42578125" customWidth="1"/>
    <col min="8" max="8" width="2.5703125" customWidth="1"/>
    <col min="9" max="9" width="26.28515625" customWidth="1"/>
    <col min="10" max="10" width="1.85546875" customWidth="1"/>
    <col min="11" max="11" width="23.5703125" customWidth="1"/>
    <col min="12" max="12" width="1.5703125" customWidth="1"/>
    <col min="13" max="13" width="25" customWidth="1"/>
  </cols>
  <sheetData>
    <row r="1" spans="4:14" ht="15" customHeight="1" x14ac:dyDescent="0.25">
      <c r="E1" s="94" t="s">
        <v>3267</v>
      </c>
      <c r="F1" s="94"/>
      <c r="G1" s="94"/>
      <c r="H1" s="94"/>
      <c r="I1" s="94"/>
      <c r="J1" s="94"/>
      <c r="K1" s="94"/>
      <c r="L1" s="94"/>
      <c r="M1" s="94"/>
    </row>
    <row r="2" spans="4:14" ht="15" customHeight="1" x14ac:dyDescent="0.25">
      <c r="E2" s="94"/>
      <c r="F2" s="94"/>
      <c r="G2" s="94"/>
      <c r="H2" s="94"/>
      <c r="I2" s="94"/>
      <c r="J2" s="94"/>
      <c r="K2" s="94"/>
      <c r="L2" s="94"/>
      <c r="M2" s="94"/>
    </row>
    <row r="3" spans="4:14" ht="15" customHeight="1" x14ac:dyDescent="0.25">
      <c r="E3" s="95"/>
      <c r="F3" s="95"/>
      <c r="G3" s="94"/>
      <c r="H3" s="95"/>
      <c r="I3" s="95"/>
      <c r="J3" s="95"/>
      <c r="K3" s="95"/>
      <c r="L3" s="95"/>
      <c r="M3" s="95"/>
    </row>
    <row r="4" spans="4:14" ht="15" customHeight="1" x14ac:dyDescent="0.25">
      <c r="E4" s="106" t="s">
        <v>3232</v>
      </c>
      <c r="F4" s="38"/>
      <c r="G4" s="85" t="s">
        <v>3266</v>
      </c>
      <c r="I4" s="107" t="s">
        <v>3256</v>
      </c>
      <c r="J4" s="30"/>
      <c r="K4" s="85" t="s">
        <v>3265</v>
      </c>
      <c r="L4" s="31"/>
      <c r="M4" s="109" t="s">
        <v>3260</v>
      </c>
    </row>
    <row r="5" spans="4:14" ht="15" customHeight="1" x14ac:dyDescent="0.25">
      <c r="E5" s="106"/>
      <c r="F5" s="38"/>
      <c r="G5" s="85"/>
      <c r="I5" s="108"/>
      <c r="J5" s="30"/>
      <c r="K5" s="85"/>
      <c r="L5" s="39"/>
      <c r="M5" s="110"/>
      <c r="N5" s="30"/>
    </row>
    <row r="6" spans="4:14" ht="23.25" customHeight="1" x14ac:dyDescent="0.25">
      <c r="E6" s="104">
        <f>GETPIVOTDATA("Net Sales  (Cr)",'Executive Sales Report'!$J$2)</f>
        <v>377.80268842000004</v>
      </c>
      <c r="F6" s="32"/>
      <c r="G6" s="98">
        <f>GETPIVOTDATA("Quantity",'Executive Sales Report'!$B$12)</f>
        <v>8719</v>
      </c>
      <c r="H6" s="31"/>
      <c r="I6" s="100">
        <f>GETPIVOTDATA("Invoice ID",'Executive Sales Report'!$B$58)</f>
        <v>1979</v>
      </c>
      <c r="J6" s="31"/>
      <c r="K6" s="102">
        <f>(GETPIVOTDATA("Net Sales Amount",'Executive Sales Report'!$B$2))/GETPIVOTDATA("Invoice ID",'Executive Sales Report'!$B$58)</f>
        <v>1909058.5569479542</v>
      </c>
      <c r="L6" s="31"/>
      <c r="M6" s="96">
        <f>GETPIVOTDATA("Discount %",'Master Sheet'!$B$16)</f>
        <v>6.482566953006569</v>
      </c>
      <c r="N6" s="30"/>
    </row>
    <row r="7" spans="4:14" ht="15" customHeight="1" x14ac:dyDescent="0.25">
      <c r="E7" s="105"/>
      <c r="F7" s="31"/>
      <c r="G7" s="99"/>
      <c r="H7" s="31"/>
      <c r="I7" s="101"/>
      <c r="J7" s="31"/>
      <c r="K7" s="103"/>
      <c r="L7" s="31"/>
      <c r="M7" s="97"/>
      <c r="N7" s="30"/>
    </row>
    <row r="8" spans="4:14" ht="16.5" customHeight="1" x14ac:dyDescent="0.25"/>
    <row r="9" spans="4:14" ht="21" customHeight="1" x14ac:dyDescent="0.25">
      <c r="D9" s="16"/>
    </row>
    <row r="45" spans="9:9" x14ac:dyDescent="0.25">
      <c r="I45" t="s">
        <v>3287</v>
      </c>
    </row>
  </sheetData>
  <mergeCells count="11">
    <mergeCell ref="E1:M3"/>
    <mergeCell ref="M6:M7"/>
    <mergeCell ref="G6:G7"/>
    <mergeCell ref="I6:I7"/>
    <mergeCell ref="K6:K7"/>
    <mergeCell ref="E6:E7"/>
    <mergeCell ref="E4:E5"/>
    <mergeCell ref="G4:G5"/>
    <mergeCell ref="I4:I5"/>
    <mergeCell ref="K4:K5"/>
    <mergeCell ref="M4:M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Raw_Sales_Data</vt:lpstr>
      <vt:lpstr>Master Sheet</vt:lpstr>
      <vt:lpstr>Cleaned Data</vt:lpstr>
      <vt:lpstr>Executive Sales Report</vt:lpstr>
      <vt:lpstr>Brand Sales Report</vt:lpstr>
      <vt:lpstr>Brand Sales Dashboard</vt:lpstr>
      <vt:lpstr>Executive Sales Dashboard</vt:lpstr>
      <vt:lpstr>Discount_Table</vt:lpstr>
      <vt:lpstr>Product_Assign</vt:lpstr>
      <vt:lpstr>Region_Table</vt:lpstr>
      <vt:lpstr>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Aryabrat Gupta</cp:lastModifiedBy>
  <cp:lastPrinted>2026-08-03T02:53:59Z</cp:lastPrinted>
  <dcterms:created xsi:type="dcterms:W3CDTF">2026-07-25T03:07:55Z</dcterms:created>
  <dcterms:modified xsi:type="dcterms:W3CDTF">2026-08-21T11:44:23Z</dcterms:modified>
</cp:coreProperties>
</file>